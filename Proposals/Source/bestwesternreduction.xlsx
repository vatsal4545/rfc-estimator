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105c30d39e2200c/Documents/RipandReplaces/"/>
    </mc:Choice>
  </mc:AlternateContent>
  <xr:revisionPtr revIDLastSave="1" documentId="8_{045D7024-A4E1-48A7-95B0-06FC9797BCF6}" xr6:coauthVersionLast="47" xr6:coauthVersionMax="47" xr10:uidLastSave="{844715B1-CBC3-4A3A-A576-4E0918C79CAF}"/>
  <bookViews>
    <workbookView xWindow="28680" yWindow="-120" windowWidth="29040" windowHeight="15840" activeTab="3" xr2:uid="{00000000-000D-0000-FFFF-FFFF00000000}"/>
  </bookViews>
  <sheets>
    <sheet name="INPUT SHEET" sheetId="1" r:id="rId1"/>
    <sheet name="Proposal" sheetId="3" r:id="rId2"/>
    <sheet name="Internal Summary" sheetId="2" r:id="rId3"/>
    <sheet name="Financial Worksheet" sheetId="4" r:id="rId4"/>
    <sheet name="DLL Schedule" sheetId="25" r:id="rId5"/>
    <sheet name="Cashflow" sheetId="26" r:id="rId6"/>
    <sheet name="Updated Chargers Revenue Calcul" sheetId="5" r:id="rId7"/>
    <sheet name="CTX Price Book" sheetId="6" r:id="rId8"/>
    <sheet name="INPUT SHEET CPM" sheetId="19" r:id="rId9"/>
    <sheet name="Costs Internal" sheetId="20" r:id="rId10"/>
    <sheet name="EV_SUB 2P  208V" sheetId="23" r:id="rId11"/>
    <sheet name="CPM Calcs" sheetId="24" r:id="rId12"/>
  </sheets>
  <definedNames>
    <definedName name="_Buy_America" localSheetId="11">#REF!</definedName>
    <definedName name="_Buy_America">'CTX Price Book'!$C$68:$C$85</definedName>
    <definedName name="_CTX_Category_List" localSheetId="11">#REF!</definedName>
    <definedName name="_CTX_Category_List">'CTX Price Book'!$I$3:$I$16</definedName>
    <definedName name="_CTX_category_List2">#REF!</definedName>
    <definedName name="_CTX_Service_Plans" localSheetId="11">#REF!</definedName>
    <definedName name="_CTX_Service_Plans">'CTX Price Book'!$C$111:$C$131</definedName>
    <definedName name="_CTX_Warranty" localSheetId="11">#REF!</definedName>
    <definedName name="_CTX_Warranty">'CTX Price Book'!$C$95:$C$110</definedName>
    <definedName name="_Distributed_System" localSheetId="11">#REF!</definedName>
    <definedName name="_Distributed_System">'CTX Price Book'!$C$63:$C$67</definedName>
    <definedName name="_kW120" localSheetId="11">#REF!</definedName>
    <definedName name="_kW120">'CTX Price Book'!$C$22:$C$30</definedName>
    <definedName name="_kW160" localSheetId="11">#REF!</definedName>
    <definedName name="_kW160">'CTX Price Book'!$C$31:$C$41</definedName>
    <definedName name="_kW180" localSheetId="11">#REF!</definedName>
    <definedName name="_kW180">'CTX Price Book'!$C$42:$C$46</definedName>
    <definedName name="_kW240" localSheetId="11">#REF!</definedName>
    <definedName name="_kW240">'CTX Price Book'!$C$47:$C$54</definedName>
    <definedName name="_kW30" localSheetId="11">#REF!</definedName>
    <definedName name="_kW30">'CTX Price Book'!$C$13:$C$14</definedName>
    <definedName name="_kW360" localSheetId="11">#REF!</definedName>
    <definedName name="_kW360">'CTX Price Book'!$C$55:$C$62</definedName>
    <definedName name="_kW60" localSheetId="11">#REF!</definedName>
    <definedName name="_kW60">'CTX Price Book'!$C$15:$C$21</definedName>
    <definedName name="_L2" localSheetId="11">#REF!</definedName>
    <definedName name="_L2">'CTX Price Book'!$C$3:$C$12</definedName>
    <definedName name="_L2_Accessories" localSheetId="11">#REF!</definedName>
    <definedName name="_L2_Accessories">'CTX Price Book'!$C$90:$C$94</definedName>
    <definedName name="_Pick_First">'CTX Price Book'!$J$2</definedName>
    <definedName name="_V2G" localSheetId="11">#REF!</definedName>
    <definedName name="_V2G">'CTX Price Book'!$C$86:$C$89</definedName>
    <definedName name="Beg_Bal" localSheetId="4">'DLL Schedule'!$C$18:$C$497</definedName>
    <definedName name="ColumnTitle1">#REF!</definedName>
    <definedName name="ColumnTitleRegion1..B12.1">#REF!</definedName>
    <definedName name="ColumnTitleRegion2..E12.1">#REF!</definedName>
    <definedName name="Company_Name">#REF!</definedName>
    <definedName name="Cum_Int" localSheetId="4">'DLL Schedule'!$J$18:$J$497</definedName>
    <definedName name="cumCashCats">OFFSET('Financial Worksheet'!$D$5,0,0,'Financial Worksheet'!$B$10+1,1)</definedName>
    <definedName name="cumCashVals">OFFSET('Financial Worksheet'!$F$5,0,0,'Financial Worksheet'!$B$10+1,1)</definedName>
    <definedName name="Data" localSheetId="4">'DLL Schedule'!$A$18:$J$497</definedName>
    <definedName name="End_Bal" localSheetId="4">'DLL Schedule'!$I$18:$I$497</definedName>
    <definedName name="Extra_Pay" localSheetId="4">'DLL Schedule'!$E$18:$E$497</definedName>
    <definedName name="Full_Print" localSheetId="4">'DLL Schedule'!$A$1:$J$497</definedName>
    <definedName name="Int" localSheetId="4">'DLL Schedule'!$H$18:$H$497</definedName>
    <definedName name="Interest_Rate" localSheetId="4">'DLL Schedule'!$D$6</definedName>
    <definedName name="Loan_Amount" localSheetId="4">'DLL Schedule'!$D$5</definedName>
    <definedName name="Loan_Start" localSheetId="4">'DLL Schedule'!$D$9</definedName>
    <definedName name="Loan_Years" localSheetId="4">'DLL Schedule'!$D$7</definedName>
    <definedName name="Num_Pmt_Per_Year" localSheetId="4">'DLL Schedule'!$D$8</definedName>
    <definedName name="Pay_Date" localSheetId="4">'DLL Schedule'!$B$18:$B$497</definedName>
    <definedName name="Pay_Num" localSheetId="4">'DLL Schedule'!$A$18:$A$497</definedName>
    <definedName name="Princ" localSheetId="4">'DLL Schedule'!$G$18:$G$497</definedName>
    <definedName name="RowTitleRegion1..E5">#REF!</definedName>
    <definedName name="Sched_Pay" localSheetId="4">'DLL Schedule'!$D$18:$D$497</definedName>
    <definedName name="Scheduled_Extra_Payments" localSheetId="4">'DLL Schedule'!$D$10</definedName>
    <definedName name="Scheduled_Interest_Rate" localSheetId="4">'DLL Schedule'!$D$6</definedName>
    <definedName name="Scheduled_Monthly_Payment" localSheetId="4">'DLL Schedule'!$J$5</definedName>
    <definedName name="Total_Interest" localSheetId="4">'DLL Schedule'!$J$9</definedName>
    <definedName name="Total_Pay" localSheetId="4">'DLL Schedule'!$F$18:$F$497</definedName>
    <definedName name="Values_Entered" localSheetId="4">IF('DLL Schedule'!Loan_Amount*'DLL Schedule'!Interest_Rate*'DLL Schedule'!Loan_Years*'DLL Schedule'!Num_Pmt_Per_Year*'DLL Schedule'!Loan_Start&gt;0,1,0)</definedName>
  </definedNames>
  <calcPr calcId="191029"/>
</workbook>
</file>

<file path=xl/calcChain.xml><?xml version="1.0" encoding="utf-8"?>
<calcChain xmlns="http://schemas.openxmlformats.org/spreadsheetml/2006/main">
  <c r="H12" i="2" l="1"/>
  <c r="H11" i="2"/>
  <c r="D18" i="20" l="1"/>
  <c r="C40" i="3"/>
  <c r="C38" i="3"/>
  <c r="F143" i="6"/>
  <c r="F142" i="6"/>
  <c r="H143" i="6"/>
  <c r="H142" i="6"/>
  <c r="D141" i="6"/>
  <c r="C144" i="6"/>
  <c r="C143" i="6"/>
  <c r="C142" i="6"/>
  <c r="G11" i="2"/>
  <c r="G12" i="2" s="1"/>
  <c r="C39" i="3" s="1"/>
  <c r="F135" i="6"/>
  <c r="F136" i="6"/>
  <c r="F137" i="6"/>
  <c r="F138" i="6"/>
  <c r="F139" i="6"/>
  <c r="F140" i="6"/>
  <c r="F141" i="6"/>
  <c r="F144" i="6"/>
  <c r="B10" i="4" l="1"/>
  <c r="T34" i="19"/>
  <c r="T33" i="19"/>
  <c r="T29" i="19"/>
  <c r="T30" i="19"/>
  <c r="T31" i="19"/>
  <c r="L1" i="4" l="1"/>
  <c r="H15" i="4"/>
  <c r="D15" i="4"/>
  <c r="H6" i="4"/>
  <c r="H11" i="4"/>
  <c r="H14" i="4"/>
  <c r="H12" i="4"/>
  <c r="H7" i="4"/>
  <c r="H8" i="4"/>
  <c r="H9" i="4"/>
  <c r="H13" i="4"/>
  <c r="H10" i="4"/>
  <c r="D13" i="4"/>
  <c r="D9" i="4"/>
  <c r="D6" i="4"/>
  <c r="D10" i="4"/>
  <c r="D14" i="4"/>
  <c r="D7" i="4"/>
  <c r="D11" i="4"/>
  <c r="D8" i="4"/>
  <c r="D12" i="4"/>
  <c r="O36" i="19"/>
  <c r="E6" i="26"/>
  <c r="E7" i="26" s="1"/>
  <c r="V11" i="5"/>
  <c r="V10" i="5"/>
  <c r="U10" i="5"/>
  <c r="U11" i="5" s="1"/>
  <c r="T10" i="5"/>
  <c r="T11" i="5" s="1"/>
  <c r="S10" i="5"/>
  <c r="S11" i="5" s="1"/>
  <c r="V8" i="5"/>
  <c r="U8" i="5"/>
  <c r="T8" i="5"/>
  <c r="S8" i="5"/>
  <c r="V4" i="5"/>
  <c r="U4" i="5"/>
  <c r="T4" i="5"/>
  <c r="S4" i="5"/>
  <c r="L12" i="5"/>
  <c r="O10" i="5"/>
  <c r="O11" i="5" s="1"/>
  <c r="N10" i="5"/>
  <c r="N11" i="5" s="1"/>
  <c r="M10" i="5"/>
  <c r="M11" i="5" s="1"/>
  <c r="L10" i="5"/>
  <c r="L11" i="5" s="1"/>
  <c r="O8" i="5"/>
  <c r="N8" i="5"/>
  <c r="M8" i="5"/>
  <c r="L8" i="5"/>
  <c r="O4" i="5"/>
  <c r="N4" i="5"/>
  <c r="M4" i="5"/>
  <c r="L4" i="5"/>
  <c r="H12" i="5"/>
  <c r="V12" i="5" s="1"/>
  <c r="G12" i="5"/>
  <c r="U12" i="5" s="1"/>
  <c r="F12" i="5"/>
  <c r="M12" i="5" s="1"/>
  <c r="E12" i="5"/>
  <c r="S12" i="5" s="1"/>
  <c r="H10" i="5"/>
  <c r="H11" i="5" s="1"/>
  <c r="G10" i="5"/>
  <c r="G11" i="5" s="1"/>
  <c r="F10" i="5"/>
  <c r="F11" i="5" s="1"/>
  <c r="E10" i="5"/>
  <c r="E11" i="5" s="1"/>
  <c r="H4" i="5"/>
  <c r="G4" i="5"/>
  <c r="F4" i="5"/>
  <c r="E4" i="5"/>
  <c r="J43" i="4"/>
  <c r="J45" i="4" s="1"/>
  <c r="I43" i="4"/>
  <c r="I45" i="4" s="1"/>
  <c r="H43" i="4"/>
  <c r="H45" i="4" s="1"/>
  <c r="G43" i="4"/>
  <c r="G45" i="4" s="1"/>
  <c r="F43" i="4"/>
  <c r="F45" i="4" s="1"/>
  <c r="E43" i="4"/>
  <c r="E45" i="4" s="1"/>
  <c r="T11" i="1"/>
  <c r="S11" i="1"/>
  <c r="R11" i="1"/>
  <c r="Q11" i="1"/>
  <c r="T8" i="1"/>
  <c r="T9" i="1" s="1"/>
  <c r="H6" i="5" s="1"/>
  <c r="S8" i="1"/>
  <c r="S9" i="1" s="1"/>
  <c r="G6" i="5" s="1"/>
  <c r="R8" i="1"/>
  <c r="R9" i="1" s="1"/>
  <c r="F6" i="5" s="1"/>
  <c r="F9" i="5" s="1"/>
  <c r="Q8" i="1"/>
  <c r="Q9" i="1" s="1"/>
  <c r="E6" i="5" s="1"/>
  <c r="E9" i="5" s="1"/>
  <c r="E16" i="5" s="1"/>
  <c r="R4" i="5"/>
  <c r="Q4" i="5"/>
  <c r="K4" i="5"/>
  <c r="J4" i="5"/>
  <c r="D4" i="5"/>
  <c r="C4" i="5"/>
  <c r="R10" i="5"/>
  <c r="R11" i="5" s="1"/>
  <c r="R8" i="5"/>
  <c r="K10" i="5"/>
  <c r="K11" i="5" s="1"/>
  <c r="K8" i="5"/>
  <c r="D12" i="5"/>
  <c r="K12" i="5" s="1"/>
  <c r="D10" i="5"/>
  <c r="D11" i="5" s="1"/>
  <c r="P11" i="1"/>
  <c r="P8" i="1"/>
  <c r="P9" i="1" s="1"/>
  <c r="D6" i="5" s="1"/>
  <c r="D9" i="5" s="1"/>
  <c r="O8" i="1"/>
  <c r="C141" i="6"/>
  <c r="C140" i="6"/>
  <c r="C139" i="6"/>
  <c r="C136" i="6"/>
  <c r="C135" i="6"/>
  <c r="C35" i="3"/>
  <c r="E35" i="3" s="1"/>
  <c r="C27" i="3"/>
  <c r="I12" i="2" l="1"/>
  <c r="I11" i="2"/>
  <c r="E8" i="26"/>
  <c r="G9" i="5"/>
  <c r="G16" i="5" s="1"/>
  <c r="U6" i="5"/>
  <c r="U9" i="5" s="1"/>
  <c r="U16" i="5" s="1"/>
  <c r="H9" i="5"/>
  <c r="H16" i="5" s="1"/>
  <c r="O6" i="5"/>
  <c r="O9" i="5" s="1"/>
  <c r="G44" i="4"/>
  <c r="H44" i="4"/>
  <c r="I44" i="4"/>
  <c r="E5" i="5"/>
  <c r="J44" i="4"/>
  <c r="F5" i="5"/>
  <c r="G5" i="5"/>
  <c r="N5" i="5" s="1"/>
  <c r="H5" i="5"/>
  <c r="V5" i="5" s="1"/>
  <c r="F44" i="4"/>
  <c r="E44" i="4"/>
  <c r="N12" i="5"/>
  <c r="L6" i="5"/>
  <c r="L9" i="5" s="1"/>
  <c r="L16" i="5" s="1"/>
  <c r="O12" i="5"/>
  <c r="M6" i="5"/>
  <c r="M9" i="5" s="1"/>
  <c r="M16" i="5" s="1"/>
  <c r="S6" i="5"/>
  <c r="S9" i="5" s="1"/>
  <c r="S16" i="5" s="1"/>
  <c r="T12" i="5"/>
  <c r="N6" i="5"/>
  <c r="N9" i="5" s="1"/>
  <c r="T6" i="5"/>
  <c r="T9" i="5" s="1"/>
  <c r="T16" i="5" s="1"/>
  <c r="V6" i="5"/>
  <c r="V9" i="5" s="1"/>
  <c r="V16" i="5" s="1"/>
  <c r="F16" i="5"/>
  <c r="R12" i="5"/>
  <c r="D16" i="5"/>
  <c r="R6" i="5"/>
  <c r="R9" i="5" s="1"/>
  <c r="K6" i="5"/>
  <c r="K9" i="5" s="1"/>
  <c r="K16" i="5" s="1"/>
  <c r="D5" i="5"/>
  <c r="D39" i="3"/>
  <c r="E39" i="3" s="1"/>
  <c r="D38" i="3"/>
  <c r="E38" i="3" s="1"/>
  <c r="C145" i="6"/>
  <c r="I14" i="2" l="1"/>
  <c r="B5" i="2" s="1"/>
  <c r="B20" i="4" s="1"/>
  <c r="U5" i="5"/>
  <c r="E9" i="26"/>
  <c r="O5" i="5"/>
  <c r="O16" i="5"/>
  <c r="S5" i="5"/>
  <c r="L5" i="5"/>
  <c r="T5" i="5"/>
  <c r="M5" i="5"/>
  <c r="N16" i="5"/>
  <c r="R16" i="5"/>
  <c r="K5" i="5"/>
  <c r="R5" i="5"/>
  <c r="I3" i="19"/>
  <c r="J3" i="19"/>
  <c r="K3" i="19"/>
  <c r="D9" i="3"/>
  <c r="D10" i="3"/>
  <c r="D11" i="3"/>
  <c r="D12" i="3"/>
  <c r="E10" i="26" l="1"/>
  <c r="G17" i="19"/>
  <c r="C14" i="19"/>
  <c r="C15" i="19" s="1"/>
  <c r="C13" i="19"/>
  <c r="H110" i="24"/>
  <c r="H109" i="24"/>
  <c r="M108" i="24"/>
  <c r="O108" i="24" s="1"/>
  <c r="H108" i="24"/>
  <c r="M107" i="24"/>
  <c r="O107" i="24" s="1"/>
  <c r="H107" i="24"/>
  <c r="H106" i="24"/>
  <c r="H105" i="24"/>
  <c r="H104" i="24"/>
  <c r="O103" i="24"/>
  <c r="H103" i="24"/>
  <c r="N102" i="24"/>
  <c r="M102" i="24"/>
  <c r="O102" i="24" s="1"/>
  <c r="H102" i="24"/>
  <c r="M101" i="24"/>
  <c r="O101" i="24" s="1"/>
  <c r="E101" i="24"/>
  <c r="H101" i="24" s="1"/>
  <c r="G100" i="24"/>
  <c r="H100" i="24" s="1"/>
  <c r="J99" i="24"/>
  <c r="I99" i="24"/>
  <c r="H99" i="24"/>
  <c r="G98" i="24"/>
  <c r="E98" i="24"/>
  <c r="O97" i="24"/>
  <c r="H97" i="24"/>
  <c r="G97" i="24"/>
  <c r="M96" i="24"/>
  <c r="O96" i="24" s="1"/>
  <c r="G96" i="24"/>
  <c r="E96" i="24"/>
  <c r="H96" i="24" s="1"/>
  <c r="M95" i="24"/>
  <c r="O95" i="24" s="1"/>
  <c r="G95" i="24"/>
  <c r="D95" i="24"/>
  <c r="H95" i="24" s="1"/>
  <c r="I92" i="24"/>
  <c r="F92" i="24"/>
  <c r="D91" i="24"/>
  <c r="F91" i="24" s="1"/>
  <c r="O90" i="24"/>
  <c r="O89" i="24"/>
  <c r="O88" i="24"/>
  <c r="O87" i="24"/>
  <c r="D87" i="24"/>
  <c r="F87" i="24" s="1"/>
  <c r="O86" i="24"/>
  <c r="D86" i="24"/>
  <c r="F86" i="24" s="1"/>
  <c r="G92" i="24" s="1"/>
  <c r="O85" i="24"/>
  <c r="N80" i="24"/>
  <c r="L80" i="24"/>
  <c r="K80" i="24"/>
  <c r="J80" i="24"/>
  <c r="I80" i="24"/>
  <c r="H80" i="24"/>
  <c r="G80" i="24"/>
  <c r="F80" i="24"/>
  <c r="E80" i="24"/>
  <c r="D80" i="24"/>
  <c r="M78" i="24"/>
  <c r="M80" i="24" s="1"/>
  <c r="L76" i="24"/>
  <c r="K76" i="24"/>
  <c r="J76" i="24"/>
  <c r="H76" i="24"/>
  <c r="F76" i="24"/>
  <c r="E76" i="24"/>
  <c r="M75" i="24"/>
  <c r="N74" i="24"/>
  <c r="N76" i="24" s="1"/>
  <c r="Z73" i="24"/>
  <c r="Y73" i="24"/>
  <c r="X73" i="24"/>
  <c r="W73" i="24"/>
  <c r="V73" i="24"/>
  <c r="U73" i="24"/>
  <c r="T73" i="24"/>
  <c r="S73" i="24"/>
  <c r="R73" i="24"/>
  <c r="J72" i="24"/>
  <c r="H72" i="24"/>
  <c r="H81" i="24" s="1"/>
  <c r="G72" i="24"/>
  <c r="F72" i="24"/>
  <c r="F81" i="24" s="1"/>
  <c r="E72" i="24"/>
  <c r="E81" i="24" s="1"/>
  <c r="D72" i="24"/>
  <c r="N71" i="24"/>
  <c r="K70" i="24"/>
  <c r="L70" i="24" s="1"/>
  <c r="I70" i="24"/>
  <c r="I72" i="24" s="1"/>
  <c r="E65" i="24"/>
  <c r="S54" i="24"/>
  <c r="T54" i="24" s="1"/>
  <c r="Y54" i="24" s="1"/>
  <c r="S53" i="24"/>
  <c r="T53" i="24" s="1"/>
  <c r="Y53" i="24" s="1"/>
  <c r="S52" i="24"/>
  <c r="T52" i="24" s="1"/>
  <c r="Y52" i="24" s="1"/>
  <c r="S51" i="24"/>
  <c r="T51" i="24" s="1"/>
  <c r="Y51" i="24" s="1"/>
  <c r="S50" i="24"/>
  <c r="T50" i="24" s="1"/>
  <c r="Y50" i="24" s="1"/>
  <c r="S49" i="24"/>
  <c r="T49" i="24" s="1"/>
  <c r="Y49" i="24" s="1"/>
  <c r="S48" i="24"/>
  <c r="T48" i="24" s="1"/>
  <c r="Y48" i="24" s="1"/>
  <c r="S47" i="24"/>
  <c r="T47" i="24" s="1"/>
  <c r="Y47" i="24" s="1"/>
  <c r="S46" i="24"/>
  <c r="T46" i="24" s="1"/>
  <c r="Y46" i="24" s="1"/>
  <c r="S45" i="24"/>
  <c r="T45" i="24" s="1"/>
  <c r="Y45" i="24" s="1"/>
  <c r="S44" i="24"/>
  <c r="T44" i="24" s="1"/>
  <c r="Y44" i="24" s="1"/>
  <c r="L44" i="24"/>
  <c r="M44" i="24" s="1"/>
  <c r="M65" i="24" s="1"/>
  <c r="K44" i="24"/>
  <c r="H44" i="24"/>
  <c r="J44" i="24" s="1"/>
  <c r="J65" i="24" s="1"/>
  <c r="G44" i="24"/>
  <c r="I44" i="24" s="1"/>
  <c r="F44" i="24"/>
  <c r="F65" i="24" s="1"/>
  <c r="X43" i="24"/>
  <c r="W43" i="24"/>
  <c r="S43" i="24"/>
  <c r="T43" i="24" s="1"/>
  <c r="Y43" i="24" s="1"/>
  <c r="X42" i="24"/>
  <c r="W42" i="24"/>
  <c r="S42" i="24"/>
  <c r="T42" i="24" s="1"/>
  <c r="Y42" i="24" s="1"/>
  <c r="W41" i="24"/>
  <c r="X41" i="24" s="1"/>
  <c r="S41" i="24"/>
  <c r="T41" i="24" s="1"/>
  <c r="W40" i="24"/>
  <c r="X40" i="24" s="1"/>
  <c r="S40" i="24"/>
  <c r="T40" i="24" s="1"/>
  <c r="Y40" i="24" s="1"/>
  <c r="W39" i="24"/>
  <c r="X39" i="24" s="1"/>
  <c r="T39" i="24"/>
  <c r="S39" i="24"/>
  <c r="E39" i="24"/>
  <c r="W38" i="24"/>
  <c r="X38" i="24" s="1"/>
  <c r="S38" i="24"/>
  <c r="T38" i="24" s="1"/>
  <c r="W37" i="24"/>
  <c r="X37" i="24" s="1"/>
  <c r="S37" i="24"/>
  <c r="T37" i="24" s="1"/>
  <c r="W36" i="24"/>
  <c r="X36" i="24" s="1"/>
  <c r="S36" i="24"/>
  <c r="T36" i="24" s="1"/>
  <c r="Y36" i="24" s="1"/>
  <c r="W35" i="24"/>
  <c r="X35" i="24" s="1"/>
  <c r="T35" i="24"/>
  <c r="S35" i="24"/>
  <c r="W34" i="24"/>
  <c r="X34" i="24" s="1"/>
  <c r="S34" i="24"/>
  <c r="T34" i="24" s="1"/>
  <c r="Y34" i="24" s="1"/>
  <c r="J34" i="24"/>
  <c r="I34" i="24"/>
  <c r="H34" i="24"/>
  <c r="F34" i="24"/>
  <c r="W33" i="24"/>
  <c r="X33" i="24" s="1"/>
  <c r="T33" i="24"/>
  <c r="S33" i="24"/>
  <c r="J33" i="24"/>
  <c r="J39" i="24" s="1"/>
  <c r="I33" i="24"/>
  <c r="H33" i="24"/>
  <c r="F33" i="24"/>
  <c r="F39" i="24" s="1"/>
  <c r="E28" i="24"/>
  <c r="S26" i="24"/>
  <c r="S25" i="24"/>
  <c r="T25" i="24" s="1"/>
  <c r="Y25" i="24" s="1"/>
  <c r="S24" i="24"/>
  <c r="T24" i="24" s="1"/>
  <c r="Y24" i="24" s="1"/>
  <c r="S23" i="24"/>
  <c r="S22" i="24"/>
  <c r="T22" i="24" s="1"/>
  <c r="Y22" i="24" s="1"/>
  <c r="S21" i="24"/>
  <c r="S20" i="24"/>
  <c r="S19" i="24"/>
  <c r="S18" i="24"/>
  <c r="S17" i="24"/>
  <c r="S16" i="24"/>
  <c r="W15" i="24"/>
  <c r="S15" i="24"/>
  <c r="W14" i="24"/>
  <c r="S14" i="24"/>
  <c r="W13" i="24"/>
  <c r="S13" i="24"/>
  <c r="W12" i="24"/>
  <c r="S12" i="24"/>
  <c r="W11" i="24"/>
  <c r="S11" i="24"/>
  <c r="W10" i="24"/>
  <c r="S10" i="24"/>
  <c r="W9" i="24"/>
  <c r="S9" i="24"/>
  <c r="W8" i="24"/>
  <c r="S8" i="24"/>
  <c r="W7" i="24"/>
  <c r="S7" i="24"/>
  <c r="W6" i="24"/>
  <c r="S6" i="24"/>
  <c r="W5" i="24"/>
  <c r="S5" i="24"/>
  <c r="H5" i="24"/>
  <c r="H28" i="24" s="1"/>
  <c r="G5" i="24"/>
  <c r="F5" i="24"/>
  <c r="F28" i="24" s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T4" i="19"/>
  <c r="T5" i="19"/>
  <c r="T6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3" i="19"/>
  <c r="S9" i="19"/>
  <c r="S10" i="19"/>
  <c r="S11" i="19"/>
  <c r="S12" i="19"/>
  <c r="S13" i="19"/>
  <c r="S14" i="19"/>
  <c r="S15" i="19"/>
  <c r="S16" i="19"/>
  <c r="S17" i="19"/>
  <c r="S18" i="19"/>
  <c r="S19" i="19"/>
  <c r="C5" i="3"/>
  <c r="C6" i="3"/>
  <c r="C7" i="3"/>
  <c r="C8" i="3"/>
  <c r="B9" i="3"/>
  <c r="C9" i="3"/>
  <c r="B10" i="3"/>
  <c r="C10" i="3"/>
  <c r="B11" i="3"/>
  <c r="C11" i="3"/>
  <c r="B12" i="3"/>
  <c r="C12" i="3"/>
  <c r="K74" i="23"/>
  <c r="K75" i="23" s="1"/>
  <c r="I74" i="23"/>
  <c r="I75" i="23" s="1"/>
  <c r="B51" i="23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B72" i="23" s="1"/>
  <c r="Q50" i="23"/>
  <c r="Q51" i="23" s="1"/>
  <c r="Q52" i="23" s="1"/>
  <c r="Q53" i="23" s="1"/>
  <c r="Q54" i="23" s="1"/>
  <c r="Q55" i="23" s="1"/>
  <c r="Q56" i="23" s="1"/>
  <c r="Q57" i="23" s="1"/>
  <c r="Q58" i="23" s="1"/>
  <c r="Q59" i="23" s="1"/>
  <c r="Q60" i="23" s="1"/>
  <c r="Q61" i="23" s="1"/>
  <c r="Q62" i="23" s="1"/>
  <c r="Q63" i="23" s="1"/>
  <c r="Q64" i="23" s="1"/>
  <c r="Q65" i="23" s="1"/>
  <c r="Q66" i="23" s="1"/>
  <c r="Q67" i="23" s="1"/>
  <c r="Q68" i="23" s="1"/>
  <c r="B50" i="23"/>
  <c r="Q13" i="23"/>
  <c r="Q14" i="23" s="1"/>
  <c r="Q15" i="23" s="1"/>
  <c r="Q16" i="23" s="1"/>
  <c r="Q17" i="23" s="1"/>
  <c r="Q18" i="23" s="1"/>
  <c r="Q19" i="23" s="1"/>
  <c r="Q20" i="23" s="1"/>
  <c r="Q21" i="23" s="1"/>
  <c r="Q22" i="23" s="1"/>
  <c r="Q23" i="23" s="1"/>
  <c r="Q24" i="23" s="1"/>
  <c r="Q25" i="23" s="1"/>
  <c r="Q26" i="23" s="1"/>
  <c r="Q27" i="23" s="1"/>
  <c r="Q28" i="23" s="1"/>
  <c r="Q29" i="23" s="1"/>
  <c r="Q30" i="23" s="1"/>
  <c r="Q31" i="23" s="1"/>
  <c r="Q32" i="23" s="1"/>
  <c r="B13" i="23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K6" i="23"/>
  <c r="F18" i="20"/>
  <c r="K5" i="20"/>
  <c r="C18" i="20" s="1"/>
  <c r="Q35" i="19"/>
  <c r="O35" i="19"/>
  <c r="C35" i="19"/>
  <c r="Q34" i="19"/>
  <c r="O34" i="19"/>
  <c r="C34" i="19"/>
  <c r="Q33" i="19"/>
  <c r="O33" i="19"/>
  <c r="C33" i="19"/>
  <c r="Q32" i="19"/>
  <c r="O32" i="19"/>
  <c r="C32" i="19"/>
  <c r="Q31" i="19"/>
  <c r="O31" i="19"/>
  <c r="C31" i="19"/>
  <c r="C30" i="19"/>
  <c r="J10" i="19"/>
  <c r="H10" i="19"/>
  <c r="G10" i="19"/>
  <c r="D10" i="19"/>
  <c r="I6" i="19"/>
  <c r="H6" i="19"/>
  <c r="G6" i="19"/>
  <c r="D6" i="19"/>
  <c r="J5" i="19"/>
  <c r="H5" i="19"/>
  <c r="G5" i="19"/>
  <c r="I4" i="19"/>
  <c r="H4" i="19"/>
  <c r="G4" i="19"/>
  <c r="L3" i="19"/>
  <c r="L6" i="19" s="1"/>
  <c r="C12" i="23"/>
  <c r="J6" i="19"/>
  <c r="F3" i="19"/>
  <c r="F6" i="19" s="1"/>
  <c r="E3" i="19"/>
  <c r="E10" i="19" s="1"/>
  <c r="C3" i="19"/>
  <c r="G18" i="20" l="1"/>
  <c r="O104" i="24"/>
  <c r="Y35" i="24"/>
  <c r="O110" i="24"/>
  <c r="Y39" i="24"/>
  <c r="J5" i="24"/>
  <c r="I74" i="24"/>
  <c r="I76" i="24" s="1"/>
  <c r="I81" i="24" s="1"/>
  <c r="Y33" i="24"/>
  <c r="H65" i="24"/>
  <c r="G74" i="24" s="1"/>
  <c r="Y75" i="24"/>
  <c r="Y37" i="24"/>
  <c r="Y41" i="24"/>
  <c r="O98" i="24"/>
  <c r="Y38" i="24"/>
  <c r="M70" i="24"/>
  <c r="M72" i="24" s="1"/>
  <c r="J81" i="24"/>
  <c r="H98" i="24"/>
  <c r="K72" i="24"/>
  <c r="K81" i="24" s="1"/>
  <c r="O92" i="24"/>
  <c r="E11" i="26"/>
  <c r="F10" i="19"/>
  <c r="E6" i="19"/>
  <c r="H111" i="24"/>
  <c r="J86" i="24"/>
  <c r="J92" i="24" s="1"/>
  <c r="N70" i="24"/>
  <c r="N72" i="24" s="1"/>
  <c r="N81" i="24" s="1"/>
  <c r="L72" i="24"/>
  <c r="L81" i="24" s="1"/>
  <c r="V14" i="24"/>
  <c r="X14" i="24" s="1"/>
  <c r="R5" i="24"/>
  <c r="T5" i="24" s="1"/>
  <c r="R13" i="24"/>
  <c r="T13" i="24" s="1"/>
  <c r="H39" i="24"/>
  <c r="L65" i="24"/>
  <c r="I5" i="24"/>
  <c r="C16" i="19"/>
  <c r="G19" i="20"/>
  <c r="K5" i="19"/>
  <c r="M21" i="23"/>
  <c r="L32" i="23"/>
  <c r="J31" i="23"/>
  <c r="G12" i="19"/>
  <c r="G24" i="23"/>
  <c r="J25" i="23"/>
  <c r="E27" i="23"/>
  <c r="K6" i="19"/>
  <c r="K4" i="19"/>
  <c r="K10" i="19"/>
  <c r="C6" i="19"/>
  <c r="O21" i="23"/>
  <c r="C10" i="19"/>
  <c r="O18" i="23"/>
  <c r="L20" i="23"/>
  <c r="O30" i="23"/>
  <c r="H18" i="23"/>
  <c r="C24" i="23"/>
  <c r="K29" i="23"/>
  <c r="K7" i="20"/>
  <c r="O15" i="23"/>
  <c r="M18" i="23"/>
  <c r="G21" i="23"/>
  <c r="J22" i="23"/>
  <c r="E24" i="23"/>
  <c r="O27" i="23"/>
  <c r="L29" i="23"/>
  <c r="M30" i="23"/>
  <c r="O12" i="23"/>
  <c r="F21" i="23"/>
  <c r="I22" i="23"/>
  <c r="N27" i="23"/>
  <c r="H30" i="23"/>
  <c r="I5" i="19"/>
  <c r="E15" i="23" s="1"/>
  <c r="L10" i="19"/>
  <c r="C15" i="23"/>
  <c r="N18" i="23"/>
  <c r="K20" i="23"/>
  <c r="H21" i="23"/>
  <c r="F24" i="23"/>
  <c r="I25" i="23"/>
  <c r="C27" i="23"/>
  <c r="N30" i="23"/>
  <c r="K32" i="23"/>
  <c r="F15" i="23"/>
  <c r="C18" i="23"/>
  <c r="N21" i="23"/>
  <c r="K23" i="23"/>
  <c r="H24" i="23"/>
  <c r="F27" i="23"/>
  <c r="I28" i="23"/>
  <c r="C30" i="23"/>
  <c r="J4" i="19"/>
  <c r="G15" i="23" s="1"/>
  <c r="L5" i="19"/>
  <c r="K6" i="20"/>
  <c r="F12" i="23"/>
  <c r="E18" i="23"/>
  <c r="L23" i="23"/>
  <c r="M24" i="23"/>
  <c r="G27" i="23"/>
  <c r="J28" i="23"/>
  <c r="E30" i="23"/>
  <c r="G12" i="23"/>
  <c r="F18" i="23"/>
  <c r="I19" i="23"/>
  <c r="C21" i="23"/>
  <c r="N24" i="23"/>
  <c r="K26" i="23"/>
  <c r="H27" i="23"/>
  <c r="F30" i="23"/>
  <c r="I31" i="23"/>
  <c r="L4" i="19"/>
  <c r="I10" i="19"/>
  <c r="M15" i="23"/>
  <c r="G18" i="23"/>
  <c r="J19" i="23"/>
  <c r="E21" i="23"/>
  <c r="O24" i="23"/>
  <c r="L26" i="23"/>
  <c r="M27" i="23"/>
  <c r="G30" i="23"/>
  <c r="J28" i="24" l="1"/>
  <c r="L5" i="24"/>
  <c r="E12" i="26"/>
  <c r="L14" i="23"/>
  <c r="J13" i="23"/>
  <c r="E12" i="23"/>
  <c r="H12" i="23"/>
  <c r="I16" i="23"/>
  <c r="H15" i="23"/>
  <c r="K14" i="23"/>
  <c r="K17" i="23"/>
  <c r="J16" i="23"/>
  <c r="I13" i="23"/>
  <c r="L17" i="23"/>
  <c r="G49" i="23"/>
  <c r="G74" i="23" s="1"/>
  <c r="G75" i="23" s="1"/>
  <c r="N15" i="23"/>
  <c r="G76" i="24"/>
  <c r="V11" i="24"/>
  <c r="X11" i="24" s="1"/>
  <c r="V10" i="24"/>
  <c r="X10" i="24" s="1"/>
  <c r="V12" i="24"/>
  <c r="X12" i="24" s="1"/>
  <c r="V13" i="24"/>
  <c r="X13" i="24" s="1"/>
  <c r="Y13" i="24" s="1"/>
  <c r="V5" i="24"/>
  <c r="V7" i="24"/>
  <c r="X7" i="24" s="1"/>
  <c r="V15" i="24"/>
  <c r="X15" i="24" s="1"/>
  <c r="V9" i="24"/>
  <c r="X9" i="24" s="1"/>
  <c r="V8" i="24"/>
  <c r="X8" i="24" s="1"/>
  <c r="M6" i="19"/>
  <c r="C12" i="19"/>
  <c r="L28" i="24" l="1"/>
  <c r="M74" i="24" s="1"/>
  <c r="M76" i="24" s="1"/>
  <c r="M81" i="24" s="1"/>
  <c r="M5" i="24"/>
  <c r="E13" i="26"/>
  <c r="G33" i="23"/>
  <c r="G34" i="23" s="1"/>
  <c r="G35" i="23" s="1"/>
  <c r="G36" i="23" s="1"/>
  <c r="I33" i="23"/>
  <c r="I34" i="23" s="1"/>
  <c r="O74" i="23"/>
  <c r="O75" i="23" s="1"/>
  <c r="O76" i="23" s="1"/>
  <c r="O77" i="23" s="1"/>
  <c r="K33" i="23"/>
  <c r="K34" i="23" s="1"/>
  <c r="R18" i="24"/>
  <c r="T18" i="24" s="1"/>
  <c r="Y18" i="24" s="1"/>
  <c r="R6" i="24"/>
  <c r="T6" i="24" s="1"/>
  <c r="R9" i="24"/>
  <c r="T9" i="24" s="1"/>
  <c r="Y9" i="24" s="1"/>
  <c r="X5" i="24"/>
  <c r="Y5" i="24" s="1"/>
  <c r="R15" i="24"/>
  <c r="T15" i="24" s="1"/>
  <c r="Y15" i="24" s="1"/>
  <c r="R17" i="24"/>
  <c r="T17" i="24" s="1"/>
  <c r="Y17" i="24" s="1"/>
  <c r="G81" i="24"/>
  <c r="R20" i="24" s="1"/>
  <c r="T20" i="24" s="1"/>
  <c r="Y20" i="24" s="1"/>
  <c r="R11" i="24"/>
  <c r="T11" i="24" s="1"/>
  <c r="Y11" i="24" s="1"/>
  <c r="R10" i="24"/>
  <c r="T10" i="24" s="1"/>
  <c r="Y10" i="24" s="1"/>
  <c r="R22" i="24"/>
  <c r="R24" i="24"/>
  <c r="R26" i="24"/>
  <c r="T26" i="24" s="1"/>
  <c r="Y26" i="24" s="1"/>
  <c r="R19" i="24"/>
  <c r="T19" i="24" s="1"/>
  <c r="Y19" i="24" s="1"/>
  <c r="R16" i="24"/>
  <c r="T16" i="24" s="1"/>
  <c r="Y16" i="24" s="1"/>
  <c r="R14" i="24"/>
  <c r="T14" i="24" s="1"/>
  <c r="Y14" i="24" s="1"/>
  <c r="R25" i="24"/>
  <c r="G76" i="23"/>
  <c r="G77" i="23" s="1"/>
  <c r="K76" i="23"/>
  <c r="K77" i="23" s="1"/>
  <c r="I76" i="23"/>
  <c r="I77" i="23" s="1"/>
  <c r="O33" i="23"/>
  <c r="O34" i="23" s="1"/>
  <c r="O35" i="23" s="1"/>
  <c r="O36" i="23" s="1"/>
  <c r="M28" i="24" l="1"/>
  <c r="V6" i="24"/>
  <c r="E14" i="26"/>
  <c r="K35" i="23"/>
  <c r="K36" i="23" s="1"/>
  <c r="R23" i="24"/>
  <c r="T23" i="24" s="1"/>
  <c r="Y23" i="24" s="1"/>
  <c r="R7" i="24"/>
  <c r="T7" i="24" s="1"/>
  <c r="Y7" i="24" s="1"/>
  <c r="R8" i="24"/>
  <c r="T8" i="24" s="1"/>
  <c r="Y8" i="24" s="1"/>
  <c r="R12" i="24"/>
  <c r="T12" i="24" s="1"/>
  <c r="Y12" i="24" s="1"/>
  <c r="R21" i="24"/>
  <c r="T21" i="24" s="1"/>
  <c r="Y21" i="24" s="1"/>
  <c r="I35" i="23"/>
  <c r="I36" i="23" s="1"/>
  <c r="P7" i="23"/>
  <c r="Q6" i="23"/>
  <c r="P6" i="23"/>
  <c r="X6" i="24" l="1"/>
  <c r="Y6" i="24" s="1"/>
  <c r="D74" i="24"/>
  <c r="D76" i="24" s="1"/>
  <c r="D81" i="24" s="1"/>
  <c r="N82" i="24" s="1"/>
  <c r="E15" i="26"/>
  <c r="Y27" i="24"/>
  <c r="G15" i="20" l="1"/>
  <c r="B28" i="2" s="1"/>
  <c r="E16" i="26"/>
  <c r="B23" i="2" l="1"/>
  <c r="B18" i="2"/>
  <c r="B21" i="2"/>
  <c r="B24" i="2"/>
  <c r="B15" i="2"/>
  <c r="B14" i="2"/>
  <c r="B20" i="2"/>
  <c r="G20" i="20"/>
  <c r="B22" i="2"/>
  <c r="B17" i="2"/>
  <c r="B19" i="2"/>
  <c r="B16" i="2"/>
  <c r="E17" i="26"/>
  <c r="E18" i="26" l="1"/>
  <c r="D15" i="2"/>
  <c r="D16" i="2"/>
  <c r="D17" i="2"/>
  <c r="D18" i="2"/>
  <c r="B32" i="4" s="1"/>
  <c r="D19" i="2"/>
  <c r="B33" i="4" s="1"/>
  <c r="D20" i="2"/>
  <c r="B34" i="4" s="1"/>
  <c r="D21" i="2"/>
  <c r="B35" i="4" s="1"/>
  <c r="D22" i="2"/>
  <c r="D23" i="2"/>
  <c r="B37" i="4" s="1"/>
  <c r="D24" i="2"/>
  <c r="D25" i="2"/>
  <c r="B39" i="4" s="1"/>
  <c r="D26" i="2"/>
  <c r="B40" i="4" s="1"/>
  <c r="D14" i="2"/>
  <c r="D10" i="2"/>
  <c r="B24" i="4" s="1"/>
  <c r="D11" i="2"/>
  <c r="B25" i="4" s="1"/>
  <c r="D12" i="2"/>
  <c r="B26" i="4" s="1"/>
  <c r="D9" i="2"/>
  <c r="B23" i="4" s="1"/>
  <c r="D18" i="3" l="1"/>
  <c r="B31" i="4"/>
  <c r="D21" i="3"/>
  <c r="B38" i="4"/>
  <c r="D17" i="3"/>
  <c r="B30" i="4"/>
  <c r="D15" i="3"/>
  <c r="C15" i="3" s="1"/>
  <c r="E15" i="3" s="1"/>
  <c r="B28" i="4"/>
  <c r="D16" i="3"/>
  <c r="B29" i="4"/>
  <c r="D19" i="3"/>
  <c r="B36" i="4"/>
  <c r="E19" i="26"/>
  <c r="D22" i="3"/>
  <c r="C22" i="3" s="1"/>
  <c r="E22" i="3" s="1"/>
  <c r="Z17" i="5"/>
  <c r="Y17" i="5"/>
  <c r="Q17" i="5"/>
  <c r="P17" i="5"/>
  <c r="J17" i="5"/>
  <c r="I17" i="5"/>
  <c r="C17" i="5"/>
  <c r="Z13" i="5"/>
  <c r="Y13" i="5"/>
  <c r="Q13" i="5"/>
  <c r="P13" i="5"/>
  <c r="J13" i="5"/>
  <c r="I13" i="5"/>
  <c r="C13" i="5"/>
  <c r="C12" i="5"/>
  <c r="Q12" i="5" s="1"/>
  <c r="B12" i="5"/>
  <c r="P12" i="5" s="1"/>
  <c r="Z10" i="5"/>
  <c r="Z11" i="5" s="1"/>
  <c r="Y10" i="5"/>
  <c r="Y11" i="5" s="1"/>
  <c r="X10" i="5"/>
  <c r="X11" i="5" s="1"/>
  <c r="W10" i="5"/>
  <c r="Q10" i="5"/>
  <c r="Q11" i="5" s="1"/>
  <c r="P10" i="5"/>
  <c r="P11" i="5" s="1"/>
  <c r="J10" i="5"/>
  <c r="J11" i="5" s="1"/>
  <c r="I10" i="5"/>
  <c r="I11" i="5" s="1"/>
  <c r="C10" i="5"/>
  <c r="C11" i="5" s="1"/>
  <c r="B10" i="5"/>
  <c r="B11" i="5" s="1"/>
  <c r="Z8" i="5"/>
  <c r="Y8" i="5"/>
  <c r="X8" i="5"/>
  <c r="W8" i="5"/>
  <c r="Q8" i="5"/>
  <c r="P8" i="5"/>
  <c r="J8" i="5"/>
  <c r="I8" i="5"/>
  <c r="E31" i="3"/>
  <c r="C21" i="3"/>
  <c r="E21" i="3" s="1"/>
  <c r="C19" i="3"/>
  <c r="E19" i="3" s="1"/>
  <c r="C18" i="3"/>
  <c r="E18" i="3" s="1"/>
  <c r="C17" i="3"/>
  <c r="E17" i="3" s="1"/>
  <c r="C16" i="3"/>
  <c r="E16" i="3" s="1"/>
  <c r="E12" i="3"/>
  <c r="E11" i="3"/>
  <c r="E10" i="3"/>
  <c r="E9" i="3"/>
  <c r="C4" i="3"/>
  <c r="C3" i="3"/>
  <c r="B8" i="2"/>
  <c r="G37" i="1"/>
  <c r="K37" i="1" s="1"/>
  <c r="F37" i="1"/>
  <c r="C37" i="1"/>
  <c r="G36" i="1"/>
  <c r="K36" i="1" s="1"/>
  <c r="F36" i="1"/>
  <c r="C36" i="1"/>
  <c r="G35" i="1"/>
  <c r="K35" i="1" s="1"/>
  <c r="F35" i="1"/>
  <c r="C35" i="1"/>
  <c r="G34" i="1"/>
  <c r="K34" i="1" s="1"/>
  <c r="F34" i="1"/>
  <c r="C34" i="1"/>
  <c r="G33" i="1"/>
  <c r="K33" i="1" s="1"/>
  <c r="F33" i="1"/>
  <c r="C33" i="1"/>
  <c r="G32" i="1"/>
  <c r="K32" i="1" s="1"/>
  <c r="F32" i="1"/>
  <c r="C32" i="1"/>
  <c r="G31" i="1"/>
  <c r="K31" i="1" s="1"/>
  <c r="F31" i="1"/>
  <c r="C31" i="1"/>
  <c r="G30" i="1"/>
  <c r="K30" i="1" s="1"/>
  <c r="F30" i="1"/>
  <c r="C30" i="1"/>
  <c r="G29" i="1"/>
  <c r="K29" i="1" s="1"/>
  <c r="F29" i="1"/>
  <c r="C29" i="1"/>
  <c r="G28" i="1"/>
  <c r="K28" i="1" s="1"/>
  <c r="F28" i="1"/>
  <c r="C28" i="1"/>
  <c r="G27" i="1"/>
  <c r="K27" i="1" s="1"/>
  <c r="F27" i="1"/>
  <c r="C27" i="1"/>
  <c r="G26" i="1"/>
  <c r="K26" i="1" s="1"/>
  <c r="F26" i="1"/>
  <c r="C26" i="1"/>
  <c r="G25" i="1"/>
  <c r="K25" i="1" s="1"/>
  <c r="F25" i="1"/>
  <c r="C25" i="1"/>
  <c r="G24" i="1"/>
  <c r="K24" i="1" s="1"/>
  <c r="F24" i="1"/>
  <c r="C24" i="1"/>
  <c r="G23" i="1"/>
  <c r="K23" i="1" s="1"/>
  <c r="F23" i="1"/>
  <c r="C23" i="1"/>
  <c r="G22" i="1"/>
  <c r="K22" i="1" s="1"/>
  <c r="F22" i="1"/>
  <c r="C22" i="1"/>
  <c r="G21" i="1"/>
  <c r="K21" i="1" s="1"/>
  <c r="F21" i="1"/>
  <c r="C21" i="1"/>
  <c r="G20" i="1"/>
  <c r="K20" i="1" s="1"/>
  <c r="F20" i="1"/>
  <c r="C20" i="1"/>
  <c r="G19" i="1"/>
  <c r="K19" i="1" s="1"/>
  <c r="F19" i="1"/>
  <c r="C19" i="1"/>
  <c r="G18" i="1"/>
  <c r="K18" i="1" s="1"/>
  <c r="F18" i="1"/>
  <c r="C18" i="1"/>
  <c r="G17" i="1"/>
  <c r="K17" i="1" s="1"/>
  <c r="F17" i="1"/>
  <c r="C17" i="1"/>
  <c r="G16" i="1"/>
  <c r="K16" i="1" s="1"/>
  <c r="F16" i="1"/>
  <c r="C16" i="1"/>
  <c r="G15" i="1"/>
  <c r="K15" i="1" s="1"/>
  <c r="F15" i="1"/>
  <c r="C15" i="1"/>
  <c r="G14" i="1"/>
  <c r="K14" i="1" s="1"/>
  <c r="F14" i="1"/>
  <c r="C14" i="1"/>
  <c r="G13" i="1"/>
  <c r="F13" i="1"/>
  <c r="C13" i="1"/>
  <c r="G12" i="1"/>
  <c r="F12" i="1"/>
  <c r="C12" i="1"/>
  <c r="G11" i="1"/>
  <c r="F11" i="1"/>
  <c r="C11" i="1"/>
  <c r="G10" i="1"/>
  <c r="F10" i="1"/>
  <c r="C10" i="1"/>
  <c r="G9" i="1"/>
  <c r="F9" i="1"/>
  <c r="C9" i="1"/>
  <c r="O9" i="1"/>
  <c r="C6" i="5" s="1"/>
  <c r="N8" i="1"/>
  <c r="G8" i="1"/>
  <c r="J8" i="1" s="1"/>
  <c r="F8" i="1"/>
  <c r="C8" i="1"/>
  <c r="N9" i="1" l="1"/>
  <c r="C26" i="3" s="1"/>
  <c r="E26" i="3" s="1"/>
  <c r="E27" i="3" s="1"/>
  <c r="E20" i="26"/>
  <c r="B8" i="3"/>
  <c r="S8" i="19"/>
  <c r="J13" i="1"/>
  <c r="K13" i="1" s="1"/>
  <c r="D8" i="3" s="1"/>
  <c r="B7" i="3"/>
  <c r="S7" i="19"/>
  <c r="J12" i="1"/>
  <c r="K12" i="1" s="1"/>
  <c r="D7" i="3" s="1"/>
  <c r="B6" i="3"/>
  <c r="S6" i="19"/>
  <c r="J11" i="1"/>
  <c r="K11" i="1" s="1"/>
  <c r="D6" i="3" s="1"/>
  <c r="R13" i="5"/>
  <c r="R14" i="5" s="1"/>
  <c r="R15" i="5" s="1"/>
  <c r="D13" i="5"/>
  <c r="K13" i="5"/>
  <c r="K14" i="5" s="1"/>
  <c r="K15" i="5" s="1"/>
  <c r="D17" i="5"/>
  <c r="R17" i="5"/>
  <c r="K17" i="5"/>
  <c r="X12" i="5"/>
  <c r="J10" i="1"/>
  <c r="K10" i="1" s="1"/>
  <c r="D5" i="3" s="1"/>
  <c r="B5" i="3"/>
  <c r="S5" i="19"/>
  <c r="J9" i="1"/>
  <c r="K9" i="1" s="1"/>
  <c r="D4" i="3" s="1"/>
  <c r="B4" i="3"/>
  <c r="S4" i="19"/>
  <c r="B3" i="3"/>
  <c r="S3" i="19"/>
  <c r="K8" i="1"/>
  <c r="D3" i="3" s="1"/>
  <c r="Y12" i="5"/>
  <c r="D8" i="2"/>
  <c r="C9" i="5"/>
  <c r="C16" i="5" s="1"/>
  <c r="Q6" i="5"/>
  <c r="Q9" i="5" s="1"/>
  <c r="Q16" i="5" s="1"/>
  <c r="J6" i="5"/>
  <c r="J9" i="5" s="1"/>
  <c r="Z12" i="5"/>
  <c r="B5" i="5"/>
  <c r="I12" i="5"/>
  <c r="C5" i="5"/>
  <c r="J12" i="5"/>
  <c r="B6" i="5" l="1"/>
  <c r="I6" i="5" s="1"/>
  <c r="I9" i="5" s="1"/>
  <c r="I16" i="5" s="1"/>
  <c r="G3" i="2"/>
  <c r="I3" i="2" s="1"/>
  <c r="I5" i="2" s="1"/>
  <c r="B6" i="2" s="1"/>
  <c r="D6" i="2" s="1"/>
  <c r="B19" i="4" s="1"/>
  <c r="L17" i="5"/>
  <c r="S17" i="5"/>
  <c r="E17" i="5"/>
  <c r="C8" i="2"/>
  <c r="B22" i="4"/>
  <c r="D14" i="5"/>
  <c r="D15" i="5" s="1"/>
  <c r="D18" i="5" s="1"/>
  <c r="D19" i="5" s="1"/>
  <c r="S13" i="5"/>
  <c r="S14" i="5" s="1"/>
  <c r="S15" i="5" s="1"/>
  <c r="S18" i="5" s="1"/>
  <c r="S19" i="5" s="1"/>
  <c r="L13" i="5"/>
  <c r="L14" i="5" s="1"/>
  <c r="L15" i="5" s="1"/>
  <c r="L18" i="5" s="1"/>
  <c r="L19" i="5" s="1"/>
  <c r="E13" i="5"/>
  <c r="E21" i="26"/>
  <c r="E8" i="3"/>
  <c r="E7" i="3"/>
  <c r="E6" i="3"/>
  <c r="K18" i="5"/>
  <c r="K19" i="5" s="1"/>
  <c r="R18" i="5"/>
  <c r="R19" i="5" s="1"/>
  <c r="E5" i="3"/>
  <c r="J38" i="1"/>
  <c r="B4" i="2" s="1"/>
  <c r="E4" i="3"/>
  <c r="E3" i="3"/>
  <c r="J14" i="5"/>
  <c r="J15" i="5" s="1"/>
  <c r="D20" i="3"/>
  <c r="C20" i="3" s="1"/>
  <c r="E20" i="3" s="1"/>
  <c r="C14" i="5"/>
  <c r="C15" i="5" s="1"/>
  <c r="C18" i="5" s="1"/>
  <c r="C19" i="5" s="1"/>
  <c r="Q14" i="5"/>
  <c r="Q15" i="5" s="1"/>
  <c r="Q18" i="5" s="1"/>
  <c r="Q19" i="5" s="1"/>
  <c r="K38" i="1"/>
  <c r="I5" i="5"/>
  <c r="Z5" i="5"/>
  <c r="Y5" i="5"/>
  <c r="X5" i="5"/>
  <c r="P5" i="5"/>
  <c r="J16" i="5"/>
  <c r="J5" i="5"/>
  <c r="Q5" i="5"/>
  <c r="X6" i="5" l="1"/>
  <c r="X9" i="5" s="1"/>
  <c r="X14" i="5" s="1"/>
  <c r="X15" i="5" s="1"/>
  <c r="P6" i="5"/>
  <c r="P9" i="5" s="1"/>
  <c r="P16" i="5" s="1"/>
  <c r="Y6" i="5"/>
  <c r="Y9" i="5" s="1"/>
  <c r="Y16" i="5" s="1"/>
  <c r="Z6" i="5"/>
  <c r="Z9" i="5" s="1"/>
  <c r="Z16" i="5" s="1"/>
  <c r="B9" i="5"/>
  <c r="B16" i="5" s="1"/>
  <c r="E47" i="4" s="1"/>
  <c r="G47" i="4" s="1"/>
  <c r="B4" i="4" s="1"/>
  <c r="F17" i="5"/>
  <c r="M17" i="5"/>
  <c r="T17" i="5"/>
  <c r="F13" i="5"/>
  <c r="M13" i="5"/>
  <c r="M14" i="5" s="1"/>
  <c r="M15" i="5" s="1"/>
  <c r="M18" i="5" s="1"/>
  <c r="M19" i="5" s="1"/>
  <c r="T13" i="5"/>
  <c r="T14" i="5" s="1"/>
  <c r="T15" i="5" s="1"/>
  <c r="T18" i="5" s="1"/>
  <c r="T19" i="5" s="1"/>
  <c r="E14" i="5"/>
  <c r="E15" i="5" s="1"/>
  <c r="E18" i="5" s="1"/>
  <c r="E19" i="5" s="1"/>
  <c r="B7" i="2"/>
  <c r="D7" i="2" s="1"/>
  <c r="E30" i="3" s="1"/>
  <c r="E22" i="26"/>
  <c r="E28" i="3"/>
  <c r="C4" i="2"/>
  <c r="D4" i="2" s="1"/>
  <c r="J18" i="5"/>
  <c r="J19" i="5" s="1"/>
  <c r="I14" i="5"/>
  <c r="I15" i="5" s="1"/>
  <c r="I18" i="5" s="1"/>
  <c r="I19" i="5" s="1"/>
  <c r="Y14" i="5" l="1"/>
  <c r="Y15" i="5" s="1"/>
  <c r="Y18" i="5" s="1"/>
  <c r="Y19" i="5" s="1"/>
  <c r="Z14" i="5"/>
  <c r="Z15" i="5" s="1"/>
  <c r="Z18" i="5" s="1"/>
  <c r="Z19" i="5" s="1"/>
  <c r="B14" i="5"/>
  <c r="B15" i="5" s="1"/>
  <c r="B18" i="5" s="1"/>
  <c r="B19" i="5" s="1"/>
  <c r="X16" i="5"/>
  <c r="X18" i="5" s="1"/>
  <c r="X19" i="5" s="1"/>
  <c r="P14" i="5"/>
  <c r="P15" i="5" s="1"/>
  <c r="P18" i="5" s="1"/>
  <c r="P19" i="5" s="1"/>
  <c r="G6" i="26"/>
  <c r="G14" i="26"/>
  <c r="G22" i="26"/>
  <c r="G30" i="26"/>
  <c r="G38" i="26"/>
  <c r="G46" i="26"/>
  <c r="G54" i="26"/>
  <c r="G62" i="26"/>
  <c r="G7" i="26"/>
  <c r="G15" i="26"/>
  <c r="G23" i="26"/>
  <c r="G31" i="26"/>
  <c r="G39" i="26"/>
  <c r="G47" i="26"/>
  <c r="G55" i="26"/>
  <c r="G3" i="26"/>
  <c r="G8" i="26"/>
  <c r="G16" i="26"/>
  <c r="G24" i="26"/>
  <c r="G32" i="26"/>
  <c r="G40" i="26"/>
  <c r="G48" i="26"/>
  <c r="G56" i="26"/>
  <c r="G9" i="26"/>
  <c r="G17" i="26"/>
  <c r="G25" i="26"/>
  <c r="G33" i="26"/>
  <c r="G41" i="26"/>
  <c r="G49" i="26"/>
  <c r="G57" i="26"/>
  <c r="G10" i="26"/>
  <c r="G18" i="26"/>
  <c r="G26" i="26"/>
  <c r="G34" i="26"/>
  <c r="G42" i="26"/>
  <c r="G50" i="26"/>
  <c r="G58" i="26"/>
  <c r="G11" i="26"/>
  <c r="G19" i="26"/>
  <c r="G27" i="26"/>
  <c r="G35" i="26"/>
  <c r="G43" i="26"/>
  <c r="G51" i="26"/>
  <c r="G59" i="26"/>
  <c r="G4" i="26"/>
  <c r="G12" i="26"/>
  <c r="G20" i="26"/>
  <c r="G28" i="26"/>
  <c r="G36" i="26"/>
  <c r="G44" i="26"/>
  <c r="G52" i="26"/>
  <c r="G60" i="26"/>
  <c r="G5" i="26"/>
  <c r="G13" i="26"/>
  <c r="G21" i="26"/>
  <c r="G29" i="26"/>
  <c r="G37" i="26"/>
  <c r="G45" i="26"/>
  <c r="G53" i="26"/>
  <c r="G61" i="26"/>
  <c r="N13" i="5"/>
  <c r="N14" i="5" s="1"/>
  <c r="N15" i="5" s="1"/>
  <c r="U13" i="5"/>
  <c r="U14" i="5" s="1"/>
  <c r="U15" i="5" s="1"/>
  <c r="G13" i="5"/>
  <c r="F14" i="5"/>
  <c r="F15" i="5" s="1"/>
  <c r="F18" i="5" s="1"/>
  <c r="F19" i="5" s="1"/>
  <c r="G17" i="5"/>
  <c r="N17" i="5"/>
  <c r="U17" i="5"/>
  <c r="B3" i="2"/>
  <c r="B21" i="4"/>
  <c r="E13" i="3"/>
  <c r="B17" i="4"/>
  <c r="E23" i="26"/>
  <c r="H17" i="5" l="1"/>
  <c r="V17" i="5"/>
  <c r="O17" i="5"/>
  <c r="O13" i="5"/>
  <c r="O14" i="5" s="1"/>
  <c r="O15" i="5" s="1"/>
  <c r="O18" i="5" s="1"/>
  <c r="O19" i="5" s="1"/>
  <c r="V13" i="5"/>
  <c r="V14" i="5" s="1"/>
  <c r="V15" i="5" s="1"/>
  <c r="V18" i="5" s="1"/>
  <c r="V19" i="5" s="1"/>
  <c r="G14" i="5"/>
  <c r="G15" i="5" s="1"/>
  <c r="G18" i="5" s="1"/>
  <c r="G19" i="5" s="1"/>
  <c r="H13" i="5"/>
  <c r="H14" i="5" s="1"/>
  <c r="H15" i="5" s="1"/>
  <c r="H18" i="5" s="1"/>
  <c r="H19" i="5" s="1"/>
  <c r="U18" i="5"/>
  <c r="U19" i="5" s="1"/>
  <c r="N18" i="5"/>
  <c r="N19" i="5" s="1"/>
  <c r="E24" i="26"/>
  <c r="J24" i="5" l="1"/>
  <c r="H11" i="26" s="1"/>
  <c r="Q24" i="5"/>
  <c r="Q26" i="5" s="1"/>
  <c r="P24" i="5"/>
  <c r="E25" i="26"/>
  <c r="Q25" i="5" l="1"/>
  <c r="H9" i="26"/>
  <c r="H4" i="26"/>
  <c r="H17" i="26"/>
  <c r="J29" i="5"/>
  <c r="J30" i="5" s="1"/>
  <c r="H15" i="26"/>
  <c r="H5" i="26"/>
  <c r="H18" i="26"/>
  <c r="H25" i="26"/>
  <c r="Q29" i="5"/>
  <c r="Q31" i="5" s="1"/>
  <c r="H19" i="26"/>
  <c r="H10" i="26"/>
  <c r="H20" i="26"/>
  <c r="H21" i="26"/>
  <c r="H13" i="26"/>
  <c r="H6" i="26"/>
  <c r="H22" i="26"/>
  <c r="H23" i="26"/>
  <c r="H8" i="26"/>
  <c r="H16" i="26"/>
  <c r="H12" i="26"/>
  <c r="H14" i="26"/>
  <c r="J25" i="5"/>
  <c r="H3" i="26"/>
  <c r="J26" i="5"/>
  <c r="H7" i="26"/>
  <c r="H24" i="26"/>
  <c r="I6" i="4"/>
  <c r="E6" i="4" s="1"/>
  <c r="P25" i="5"/>
  <c r="P29" i="5"/>
  <c r="P26" i="5"/>
  <c r="I7" i="4"/>
  <c r="E26" i="26"/>
  <c r="H26" i="26" s="1"/>
  <c r="J31" i="5" l="1"/>
  <c r="Q30" i="5"/>
  <c r="I8" i="4"/>
  <c r="E7" i="4"/>
  <c r="P30" i="5"/>
  <c r="P31" i="5"/>
  <c r="E27" i="26"/>
  <c r="H27" i="26" s="1"/>
  <c r="E8" i="4" l="1"/>
  <c r="I9" i="4"/>
  <c r="I11" i="4"/>
  <c r="I12" i="4" s="1"/>
  <c r="I13" i="4" s="1"/>
  <c r="I14" i="4" s="1"/>
  <c r="I15" i="4" s="1"/>
  <c r="E15" i="4" s="1"/>
  <c r="E28" i="26"/>
  <c r="H28" i="26" s="1"/>
  <c r="I10" i="4" l="1"/>
  <c r="E10" i="4" s="1"/>
  <c r="E9" i="4"/>
  <c r="E11" i="4"/>
  <c r="E12" i="4"/>
  <c r="E29" i="26"/>
  <c r="H29" i="26" s="1"/>
  <c r="D5" i="2"/>
  <c r="E40" i="3" l="1"/>
  <c r="E41" i="3"/>
  <c r="B6" i="4"/>
  <c r="B18" i="4"/>
  <c r="E30" i="26"/>
  <c r="H30" i="26" s="1"/>
  <c r="D3" i="2"/>
  <c r="B16" i="4" s="1"/>
  <c r="E14" i="4" l="1"/>
  <c r="E13" i="4"/>
  <c r="E31" i="26"/>
  <c r="H31" i="26" s="1"/>
  <c r="C3" i="2"/>
  <c r="B13" i="2"/>
  <c r="D27" i="2"/>
  <c r="D23" i="3" l="1"/>
  <c r="C23" i="3" s="1"/>
  <c r="E23" i="3" s="1"/>
  <c r="E24" i="3" s="1"/>
  <c r="E29" i="3" s="1"/>
  <c r="E32" i="3" s="1"/>
  <c r="E43" i="3" s="1"/>
  <c r="B41" i="4"/>
  <c r="D29" i="2"/>
  <c r="B43" i="4" s="1"/>
  <c r="E32" i="26"/>
  <c r="H32" i="26" s="1"/>
  <c r="D13" i="2"/>
  <c r="B27" i="4" s="1"/>
  <c r="E33" i="26" l="1"/>
  <c r="H33" i="26" s="1"/>
  <c r="C13" i="2"/>
  <c r="E34" i="26" l="1"/>
  <c r="H34" i="26" s="1"/>
  <c r="D28" i="2"/>
  <c r="D30" i="2" l="1"/>
  <c r="B44" i="4" s="1"/>
  <c r="B3" i="4" s="1"/>
  <c r="B7" i="4" s="1"/>
  <c r="B42" i="4"/>
  <c r="E35" i="26"/>
  <c r="H35" i="26" s="1"/>
  <c r="E36" i="3"/>
  <c r="D5" i="25" l="1"/>
  <c r="J5" i="25" s="1"/>
  <c r="F3" i="26" s="1"/>
  <c r="F4" i="26" s="1"/>
  <c r="F5" i="26" s="1"/>
  <c r="F6" i="26" s="1"/>
  <c r="F7" i="26" s="1"/>
  <c r="F8" i="26" s="1"/>
  <c r="F9" i="26" s="1"/>
  <c r="F10" i="26" s="1"/>
  <c r="F11" i="26" s="1"/>
  <c r="F12" i="26" s="1"/>
  <c r="F13" i="26" s="1"/>
  <c r="F14" i="26" s="1"/>
  <c r="F15" i="26" s="1"/>
  <c r="F16" i="26" s="1"/>
  <c r="F17" i="26" s="1"/>
  <c r="F18" i="26" s="1"/>
  <c r="F19" i="26" s="1"/>
  <c r="F20" i="26" s="1"/>
  <c r="F21" i="26" s="1"/>
  <c r="F22" i="26" s="1"/>
  <c r="F23" i="26" s="1"/>
  <c r="F24" i="26" s="1"/>
  <c r="F25" i="26" s="1"/>
  <c r="F26" i="26" s="1"/>
  <c r="F27" i="26" s="1"/>
  <c r="F28" i="26" s="1"/>
  <c r="F29" i="26" s="1"/>
  <c r="F30" i="26" s="1"/>
  <c r="F31" i="26" s="1"/>
  <c r="F32" i="26" s="1"/>
  <c r="F33" i="26" s="1"/>
  <c r="I5" i="4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E5" i="4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E36" i="26"/>
  <c r="H36" i="26" s="1"/>
  <c r="E44" i="3"/>
  <c r="E45" i="3" s="1"/>
  <c r="C18" i="25" l="1"/>
  <c r="J6" i="25"/>
  <c r="A18" i="25"/>
  <c r="I5" i="26"/>
  <c r="I13" i="26"/>
  <c r="I4" i="26"/>
  <c r="I6" i="26"/>
  <c r="I14" i="26"/>
  <c r="I9" i="26"/>
  <c r="I11" i="26"/>
  <c r="I12" i="26"/>
  <c r="I10" i="26"/>
  <c r="I8" i="26"/>
  <c r="I7" i="26"/>
  <c r="I21" i="26"/>
  <c r="I25" i="26"/>
  <c r="I17" i="26"/>
  <c r="I32" i="26"/>
  <c r="I23" i="26"/>
  <c r="I18" i="26"/>
  <c r="I27" i="26"/>
  <c r="I24" i="26"/>
  <c r="I15" i="26"/>
  <c r="I20" i="26"/>
  <c r="I19" i="26"/>
  <c r="I16" i="26"/>
  <c r="I31" i="26"/>
  <c r="I22" i="26"/>
  <c r="I30" i="26"/>
  <c r="I26" i="26"/>
  <c r="I29" i="26"/>
  <c r="I28" i="26"/>
  <c r="I3" i="26"/>
  <c r="G1" i="26"/>
  <c r="E37" i="26"/>
  <c r="H37" i="26" s="1"/>
  <c r="F34" i="26"/>
  <c r="I33" i="26"/>
  <c r="B18" i="25" l="1"/>
  <c r="H18" i="25"/>
  <c r="J18" i="25" s="1"/>
  <c r="D18" i="25"/>
  <c r="E18" i="25" s="1"/>
  <c r="F18" i="25" s="1"/>
  <c r="G18" i="25" s="1"/>
  <c r="I18" i="25" s="1"/>
  <c r="A19" i="25" s="1"/>
  <c r="F35" i="26"/>
  <c r="I34" i="26"/>
  <c r="E38" i="26"/>
  <c r="H38" i="26" s="1"/>
  <c r="D19" i="25" l="1"/>
  <c r="C19" i="25"/>
  <c r="H19" i="25" s="1"/>
  <c r="J19" i="25" s="1"/>
  <c r="B19" i="25"/>
  <c r="E39" i="26"/>
  <c r="H39" i="26" s="1"/>
  <c r="F36" i="26"/>
  <c r="I35" i="26"/>
  <c r="E19" i="25" l="1"/>
  <c r="F19" i="25" s="1"/>
  <c r="G19" i="25" s="1"/>
  <c r="I19" i="25" s="1"/>
  <c r="F37" i="26"/>
  <c r="I36" i="26"/>
  <c r="E40" i="26"/>
  <c r="H40" i="26" s="1"/>
  <c r="A20" i="25" l="1"/>
  <c r="F38" i="26"/>
  <c r="I37" i="26"/>
  <c r="E41" i="26"/>
  <c r="H41" i="26" s="1"/>
  <c r="C20" i="25" l="1"/>
  <c r="H20" i="25" s="1"/>
  <c r="B20" i="25"/>
  <c r="D20" i="25"/>
  <c r="F39" i="26"/>
  <c r="I38" i="26"/>
  <c r="E42" i="26"/>
  <c r="H42" i="26" s="1"/>
  <c r="E20" i="25" l="1"/>
  <c r="F20" i="25" s="1"/>
  <c r="G20" i="25" s="1"/>
  <c r="I20" i="25" s="1"/>
  <c r="J20" i="25"/>
  <c r="E43" i="26"/>
  <c r="H43" i="26" s="1"/>
  <c r="F40" i="26"/>
  <c r="I39" i="26"/>
  <c r="A21" i="25" l="1"/>
  <c r="F41" i="26"/>
  <c r="I40" i="26"/>
  <c r="E44" i="26"/>
  <c r="H44" i="26" s="1"/>
  <c r="B21" i="25" l="1"/>
  <c r="D21" i="25"/>
  <c r="C21" i="25"/>
  <c r="H21" i="25" s="1"/>
  <c r="E45" i="26"/>
  <c r="H45" i="26" s="1"/>
  <c r="F42" i="26"/>
  <c r="I41" i="26"/>
  <c r="E21" i="25" l="1"/>
  <c r="F21" i="25" s="1"/>
  <c r="G21" i="25" s="1"/>
  <c r="J21" i="25"/>
  <c r="E46" i="26"/>
  <c r="H46" i="26" s="1"/>
  <c r="F43" i="26"/>
  <c r="I42" i="26"/>
  <c r="I21" i="25" l="1"/>
  <c r="F44" i="26"/>
  <c r="I43" i="26"/>
  <c r="E47" i="26"/>
  <c r="H47" i="26" s="1"/>
  <c r="A22" i="25" l="1"/>
  <c r="E48" i="26"/>
  <c r="H48" i="26" s="1"/>
  <c r="F45" i="26"/>
  <c r="I44" i="26"/>
  <c r="B22" i="25" l="1"/>
  <c r="C22" i="25"/>
  <c r="H22" i="25" s="1"/>
  <c r="J22" i="25" s="1"/>
  <c r="D22" i="25"/>
  <c r="F46" i="26"/>
  <c r="I45" i="26"/>
  <c r="E49" i="26"/>
  <c r="H49" i="26" s="1"/>
  <c r="E22" i="25" l="1"/>
  <c r="F22" i="25" s="1"/>
  <c r="G22" i="25" s="1"/>
  <c r="I22" i="25" s="1"/>
  <c r="E50" i="26"/>
  <c r="H50" i="26" s="1"/>
  <c r="F47" i="26"/>
  <c r="I46" i="26"/>
  <c r="A23" i="25" l="1"/>
  <c r="F48" i="26"/>
  <c r="I47" i="26"/>
  <c r="E51" i="26"/>
  <c r="H51" i="26" s="1"/>
  <c r="D23" i="25" l="1"/>
  <c r="B23" i="25"/>
  <c r="C23" i="25"/>
  <c r="E52" i="26"/>
  <c r="H52" i="26" s="1"/>
  <c r="F49" i="26"/>
  <c r="I48" i="26"/>
  <c r="E23" i="25" l="1"/>
  <c r="F23" i="25" s="1"/>
  <c r="H23" i="25"/>
  <c r="J23" i="25" s="1"/>
  <c r="F50" i="26"/>
  <c r="I49" i="26"/>
  <c r="E53" i="26"/>
  <c r="H53" i="26" s="1"/>
  <c r="G23" i="25" l="1"/>
  <c r="I23" i="25" s="1"/>
  <c r="A24" i="25" s="1"/>
  <c r="C24" i="25" s="1"/>
  <c r="F51" i="26"/>
  <c r="I50" i="26"/>
  <c r="E54" i="26"/>
  <c r="H54" i="26" s="1"/>
  <c r="D24" i="25" l="1"/>
  <c r="E24" i="25" s="1"/>
  <c r="H24" i="25"/>
  <c r="J24" i="25" s="1"/>
  <c r="B24" i="25"/>
  <c r="F52" i="26"/>
  <c r="I51" i="26"/>
  <c r="E55" i="26"/>
  <c r="H55" i="26" s="1"/>
  <c r="F24" i="25" l="1"/>
  <c r="G24" i="25" s="1"/>
  <c r="I24" i="25" s="1"/>
  <c r="A25" i="25" s="1"/>
  <c r="E56" i="26"/>
  <c r="H56" i="26" s="1"/>
  <c r="F53" i="26"/>
  <c r="I52" i="26"/>
  <c r="B25" i="25" l="1"/>
  <c r="C25" i="25"/>
  <c r="H25" i="25" s="1"/>
  <c r="J25" i="25" s="1"/>
  <c r="D25" i="25"/>
  <c r="E57" i="26"/>
  <c r="H57" i="26" s="1"/>
  <c r="F54" i="26"/>
  <c r="I53" i="26"/>
  <c r="E25" i="25" l="1"/>
  <c r="F25" i="25" s="1"/>
  <c r="G25" i="25" s="1"/>
  <c r="I25" i="25" s="1"/>
  <c r="A26" i="25" s="1"/>
  <c r="F55" i="26"/>
  <c r="I54" i="26"/>
  <c r="E58" i="26"/>
  <c r="H58" i="26" s="1"/>
  <c r="B26" i="25" l="1"/>
  <c r="C26" i="25"/>
  <c r="H26" i="25" s="1"/>
  <c r="J26" i="25" s="1"/>
  <c r="D26" i="25"/>
  <c r="E59" i="26"/>
  <c r="H59" i="26" s="1"/>
  <c r="F56" i="26"/>
  <c r="I55" i="26"/>
  <c r="E26" i="25" l="1"/>
  <c r="F26" i="25" s="1"/>
  <c r="G26" i="25" s="1"/>
  <c r="I26" i="25" s="1"/>
  <c r="A27" i="25" s="1"/>
  <c r="E60" i="26"/>
  <c r="H60" i="26" s="1"/>
  <c r="F57" i="26"/>
  <c r="I56" i="26"/>
  <c r="C27" i="25" l="1"/>
  <c r="H27" i="25" s="1"/>
  <c r="J27" i="25" s="1"/>
  <c r="D27" i="25"/>
  <c r="B27" i="25"/>
  <c r="F58" i="26"/>
  <c r="I57" i="26"/>
  <c r="E61" i="26"/>
  <c r="H61" i="26" s="1"/>
  <c r="E27" i="25" l="1"/>
  <c r="F27" i="25" s="1"/>
  <c r="G27" i="25" s="1"/>
  <c r="I27" i="25" s="1"/>
  <c r="A28" i="25" s="1"/>
  <c r="C28" i="25" s="1"/>
  <c r="H28" i="25" s="1"/>
  <c r="J28" i="25" s="1"/>
  <c r="E62" i="26"/>
  <c r="H62" i="26" s="1"/>
  <c r="F59" i="26"/>
  <c r="I58" i="26"/>
  <c r="B28" i="25" l="1"/>
  <c r="D28" i="25"/>
  <c r="E28" i="25" s="1"/>
  <c r="F28" i="25" s="1"/>
  <c r="G28" i="25" s="1"/>
  <c r="I28" i="25" s="1"/>
  <c r="A29" i="25" s="1"/>
  <c r="D29" i="25" s="1"/>
  <c r="F60" i="26"/>
  <c r="I59" i="26"/>
  <c r="H1" i="26"/>
  <c r="C29" i="25" l="1"/>
  <c r="H29" i="25" s="1"/>
  <c r="J29" i="25" s="1"/>
  <c r="B29" i="25"/>
  <c r="F61" i="26"/>
  <c r="I60" i="26"/>
  <c r="E29" i="25" l="1"/>
  <c r="F29" i="25" s="1"/>
  <c r="G29" i="25" s="1"/>
  <c r="I29" i="25" s="1"/>
  <c r="A30" i="25" s="1"/>
  <c r="D30" i="25" s="1"/>
  <c r="F62" i="26"/>
  <c r="I61" i="26"/>
  <c r="B30" i="25" l="1"/>
  <c r="C30" i="25"/>
  <c r="E30" i="25" s="1"/>
  <c r="F30" i="25" s="1"/>
  <c r="F1" i="26"/>
  <c r="I62" i="26"/>
  <c r="H30" i="25" l="1"/>
  <c r="J30" i="25" s="1"/>
  <c r="G30" i="25" l="1"/>
  <c r="I30" i="25" s="1"/>
  <c r="A31" i="25" s="1"/>
  <c r="B31" i="25" l="1"/>
  <c r="D31" i="25"/>
  <c r="C31" i="25"/>
  <c r="H31" i="25" s="1"/>
  <c r="J31" i="25" s="1"/>
  <c r="E31" i="25" l="1"/>
  <c r="F31" i="25" s="1"/>
  <c r="G31" i="25" s="1"/>
  <c r="I31" i="25" s="1"/>
  <c r="A32" i="25" s="1"/>
  <c r="B32" i="25" s="1"/>
  <c r="C32" i="25" l="1"/>
  <c r="H32" i="25" s="1"/>
  <c r="J32" i="25" s="1"/>
  <c r="D32" i="25"/>
  <c r="E32" i="25" l="1"/>
  <c r="F32" i="25" s="1"/>
  <c r="G32" i="25" s="1"/>
  <c r="I32" i="25" s="1"/>
  <c r="A33" i="25" s="1"/>
  <c r="C33" i="25" s="1"/>
  <c r="H33" i="25" l="1"/>
  <c r="J33" i="25" s="1"/>
  <c r="D33" i="25"/>
  <c r="E33" i="25" s="1"/>
  <c r="F33" i="25" s="1"/>
  <c r="B33" i="25"/>
  <c r="G33" i="25" l="1"/>
  <c r="I33" i="25" s="1"/>
  <c r="A34" i="25" s="1"/>
  <c r="D34" i="25" s="1"/>
  <c r="C34" i="25" l="1"/>
  <c r="H34" i="25" s="1"/>
  <c r="J34" i="25" s="1"/>
  <c r="B34" i="25"/>
  <c r="E34" i="25"/>
  <c r="F34" i="25" s="1"/>
  <c r="G34" i="25" s="1"/>
  <c r="I34" i="25" s="1"/>
  <c r="A35" i="25" s="1"/>
  <c r="B35" i="25" s="1"/>
  <c r="D35" i="25" l="1"/>
  <c r="C35" i="25"/>
  <c r="H35" i="25" s="1"/>
  <c r="J35" i="25" s="1"/>
  <c r="E35" i="25" l="1"/>
  <c r="F35" i="25" s="1"/>
  <c r="G35" i="25" s="1"/>
  <c r="I35" i="25" s="1"/>
  <c r="A36" i="25" s="1"/>
  <c r="C36" i="25" s="1"/>
  <c r="H36" i="25" s="1"/>
  <c r="J36" i="25" s="1"/>
  <c r="D36" i="25" l="1"/>
  <c r="B36" i="25"/>
  <c r="E36" i="25"/>
  <c r="F36" i="25" s="1"/>
  <c r="G36" i="25" s="1"/>
  <c r="I36" i="25" s="1"/>
  <c r="A37" i="25" s="1"/>
  <c r="B37" i="25" s="1"/>
  <c r="D37" i="25" l="1"/>
  <c r="C37" i="25"/>
  <c r="H37" i="25" s="1"/>
  <c r="J37" i="25" s="1"/>
  <c r="E37" i="25" l="1"/>
  <c r="F37" i="25" s="1"/>
  <c r="G37" i="25" s="1"/>
  <c r="I37" i="25" s="1"/>
  <c r="A38" i="25" s="1"/>
  <c r="C38" i="25" l="1"/>
  <c r="H38" i="25" s="1"/>
  <c r="J38" i="25" s="1"/>
  <c r="B38" i="25"/>
  <c r="D38" i="25"/>
  <c r="E38" i="25" l="1"/>
  <c r="F38" i="25" s="1"/>
  <c r="G38" i="25" s="1"/>
  <c r="I38" i="25" l="1"/>
  <c r="A39" i="25" s="1"/>
  <c r="C39" i="25" l="1"/>
  <c r="H39" i="25" s="1"/>
  <c r="J39" i="25" s="1"/>
  <c r="B39" i="25"/>
  <c r="D39" i="25"/>
  <c r="E39" i="25" s="1"/>
  <c r="F39" i="25" l="1"/>
  <c r="G39" i="25" s="1"/>
  <c r="I39" i="25" s="1"/>
  <c r="A40" i="25" s="1"/>
  <c r="C40" i="25" l="1"/>
  <c r="H40" i="25" s="1"/>
  <c r="J40" i="25" s="1"/>
  <c r="D40" i="25"/>
  <c r="B40" i="25"/>
  <c r="E40" i="25" l="1"/>
  <c r="F40" i="25" s="1"/>
  <c r="G40" i="25" s="1"/>
  <c r="I40" i="25" s="1"/>
  <c r="A41" i="25" s="1"/>
  <c r="B41" i="25" l="1"/>
  <c r="D41" i="25"/>
  <c r="C41" i="25"/>
  <c r="H41" i="25" s="1"/>
  <c r="J41" i="25" s="1"/>
  <c r="E41" i="25" l="1"/>
  <c r="F41" i="25" s="1"/>
  <c r="G41" i="25" s="1"/>
  <c r="I41" i="25" s="1"/>
  <c r="A42" i="25" s="1"/>
  <c r="D42" i="25" l="1"/>
  <c r="C42" i="25"/>
  <c r="H42" i="25" s="1"/>
  <c r="J42" i="25" s="1"/>
  <c r="B42" i="25"/>
  <c r="E42" i="25" l="1"/>
  <c r="F42" i="25" s="1"/>
  <c r="G42" i="25" s="1"/>
  <c r="I42" i="25" l="1"/>
  <c r="A43" i="25" s="1"/>
  <c r="C43" i="25" l="1"/>
  <c r="H43" i="25" s="1"/>
  <c r="J43" i="25" s="1"/>
  <c r="D43" i="25"/>
  <c r="B43" i="25"/>
  <c r="E43" i="25" l="1"/>
  <c r="F43" i="25" s="1"/>
  <c r="G43" i="25" s="1"/>
  <c r="I43" i="25" l="1"/>
  <c r="A44" i="25" s="1"/>
  <c r="C44" i="25" s="1"/>
  <c r="D44" i="25" l="1"/>
  <c r="E44" i="25" s="1"/>
  <c r="F44" i="25" s="1"/>
  <c r="H44" i="25"/>
  <c r="J44" i="25" s="1"/>
  <c r="B44" i="25"/>
  <c r="G44" i="25" l="1"/>
  <c r="I44" i="25" s="1"/>
  <c r="A45" i="25" s="1"/>
  <c r="B45" i="25" s="1"/>
  <c r="D45" i="25" l="1"/>
  <c r="C45" i="25"/>
  <c r="H45" i="25" s="1"/>
  <c r="J45" i="25" s="1"/>
  <c r="E45" i="25" l="1"/>
  <c r="F45" i="25" s="1"/>
  <c r="G45" i="25" s="1"/>
  <c r="I45" i="25" s="1"/>
  <c r="A46" i="25" s="1"/>
  <c r="B46" i="25" l="1"/>
  <c r="C46" i="25"/>
  <c r="H46" i="25" s="1"/>
  <c r="J46" i="25" s="1"/>
  <c r="D46" i="25"/>
  <c r="E46" i="25" s="1"/>
  <c r="F46" i="25" l="1"/>
  <c r="G46" i="25" s="1"/>
  <c r="I46" i="25" s="1"/>
  <c r="A47" i="25" s="1"/>
  <c r="D47" i="25" l="1"/>
  <c r="B47" i="25"/>
  <c r="C47" i="25"/>
  <c r="E47" i="25" l="1"/>
  <c r="F47" i="25" s="1"/>
  <c r="H47" i="25"/>
  <c r="J47" i="25" s="1"/>
  <c r="G47" i="25" l="1"/>
  <c r="I47" i="25" s="1"/>
  <c r="A48" i="25" s="1"/>
  <c r="B48" i="25" s="1"/>
  <c r="C48" i="25" l="1"/>
  <c r="H48" i="25" s="1"/>
  <c r="J48" i="25" s="1"/>
  <c r="D48" i="25"/>
  <c r="E48" i="25" l="1"/>
  <c r="F48" i="25" s="1"/>
  <c r="G48" i="25" s="1"/>
  <c r="I48" i="25" l="1"/>
  <c r="A49" i="25" s="1"/>
  <c r="D49" i="25" s="1"/>
  <c r="C49" i="25" l="1"/>
  <c r="H49" i="25" s="1"/>
  <c r="J49" i="25" s="1"/>
  <c r="B49" i="25"/>
  <c r="E49" i="25" l="1"/>
  <c r="F49" i="25" s="1"/>
  <c r="G49" i="25" s="1"/>
  <c r="I49" i="25" l="1"/>
  <c r="A50" i="25" s="1"/>
  <c r="D50" i="25" s="1"/>
  <c r="B50" i="25" l="1"/>
  <c r="C50" i="25"/>
  <c r="H50" i="25" s="1"/>
  <c r="J50" i="25" s="1"/>
  <c r="E50" i="25" l="1"/>
  <c r="F50" i="25" s="1"/>
  <c r="G50" i="25" s="1"/>
  <c r="I50" i="25" s="1"/>
  <c r="A51" i="25" s="1"/>
  <c r="D51" i="25" s="1"/>
  <c r="B51" i="25" l="1"/>
  <c r="C51" i="25"/>
  <c r="H51" i="25" s="1"/>
  <c r="J51" i="25" s="1"/>
  <c r="E51" i="25" l="1"/>
  <c r="F51" i="25" l="1"/>
  <c r="G51" i="25" s="1"/>
  <c r="I51" i="25" s="1"/>
  <c r="A52" i="25" s="1"/>
  <c r="D52" i="25" l="1"/>
  <c r="C52" i="25"/>
  <c r="H52" i="25" s="1"/>
  <c r="J52" i="25" s="1"/>
  <c r="B52" i="25"/>
  <c r="E52" i="25" l="1"/>
  <c r="F52" i="25" s="1"/>
  <c r="G52" i="25" s="1"/>
  <c r="I52" i="25" s="1"/>
  <c r="A53" i="25" s="1"/>
  <c r="B53" i="25" s="1"/>
  <c r="C53" i="25" l="1"/>
  <c r="H53" i="25" s="1"/>
  <c r="J53" i="25" s="1"/>
  <c r="D53" i="25"/>
  <c r="E53" i="25" l="1"/>
  <c r="F53" i="25" s="1"/>
  <c r="G53" i="25" s="1"/>
  <c r="I53" i="25" s="1"/>
  <c r="A54" i="25" s="1"/>
  <c r="C54" i="25" s="1"/>
  <c r="H54" i="25" s="1"/>
  <c r="J54" i="25" s="1"/>
  <c r="B54" i="25" l="1"/>
  <c r="D54" i="25"/>
  <c r="E54" i="25" s="1"/>
  <c r="F54" i="25" s="1"/>
  <c r="G54" i="25" s="1"/>
  <c r="I54" i="25" s="1"/>
  <c r="A55" i="25" s="1"/>
  <c r="D55" i="25" l="1"/>
  <c r="C55" i="25"/>
  <c r="H55" i="25" s="1"/>
  <c r="J55" i="25" s="1"/>
  <c r="B55" i="25"/>
  <c r="E55" i="25" l="1"/>
  <c r="F55" i="25" s="1"/>
  <c r="G55" i="25" s="1"/>
  <c r="I55" i="25" s="1"/>
  <c r="A56" i="25" s="1"/>
  <c r="C56" i="25" l="1"/>
  <c r="H56" i="25" s="1"/>
  <c r="J56" i="25" s="1"/>
  <c r="B56" i="25"/>
  <c r="D56" i="25"/>
  <c r="E56" i="25" s="1"/>
  <c r="F56" i="25" l="1"/>
  <c r="G56" i="25" s="1"/>
  <c r="I56" i="25" s="1"/>
  <c r="A57" i="25" s="1"/>
  <c r="B57" i="25" l="1"/>
  <c r="C57" i="25"/>
  <c r="H57" i="25" s="1"/>
  <c r="J57" i="25" s="1"/>
  <c r="D57" i="25"/>
  <c r="E57" i="25" l="1"/>
  <c r="F57" i="25" l="1"/>
  <c r="G57" i="25" s="1"/>
  <c r="I57" i="25" s="1"/>
  <c r="A58" i="25" s="1"/>
  <c r="B58" i="25" l="1"/>
  <c r="D58" i="25"/>
  <c r="C58" i="25"/>
  <c r="E58" i="25" l="1"/>
  <c r="F58" i="25" s="1"/>
  <c r="H58" i="25"/>
  <c r="J58" i="25" s="1"/>
  <c r="G58" i="25" l="1"/>
  <c r="I58" i="25" s="1"/>
  <c r="A59" i="25" s="1"/>
  <c r="B59" i="25" s="1"/>
  <c r="C59" i="25" l="1"/>
  <c r="H59" i="25" s="1"/>
  <c r="J59" i="25" s="1"/>
  <c r="D59" i="25"/>
  <c r="E59" i="25" s="1"/>
  <c r="F59" i="25" s="1"/>
  <c r="G59" i="25" s="1"/>
  <c r="I59" i="25" s="1"/>
  <c r="A60" i="25" s="1"/>
  <c r="B60" i="25" l="1"/>
  <c r="C60" i="25"/>
  <c r="H60" i="25" s="1"/>
  <c r="J60" i="25" s="1"/>
  <c r="D60" i="25"/>
  <c r="E60" i="25" l="1"/>
  <c r="F60" i="25" s="1"/>
  <c r="G60" i="25" s="1"/>
  <c r="I60" i="25" s="1"/>
  <c r="A61" i="25" s="1"/>
  <c r="D61" i="25" l="1"/>
  <c r="C61" i="25"/>
  <c r="H61" i="25" s="1"/>
  <c r="J61" i="25" s="1"/>
  <c r="B61" i="25"/>
  <c r="E61" i="25" l="1"/>
  <c r="F61" i="25" s="1"/>
  <c r="G61" i="25" s="1"/>
  <c r="I61" i="25" s="1"/>
  <c r="A62" i="25" s="1"/>
  <c r="B62" i="25" l="1"/>
  <c r="C62" i="25"/>
  <c r="H62" i="25" s="1"/>
  <c r="J62" i="25" s="1"/>
  <c r="D62" i="25"/>
  <c r="E62" i="25" l="1"/>
  <c r="F62" i="25" l="1"/>
  <c r="G62" i="25" s="1"/>
  <c r="I62" i="25" s="1"/>
  <c r="A63" i="25" s="1"/>
  <c r="D63" i="25" l="1"/>
  <c r="B63" i="25"/>
  <c r="C63" i="25"/>
  <c r="H63" i="25" s="1"/>
  <c r="J63" i="25" s="1"/>
  <c r="E63" i="25" l="1"/>
  <c r="F63" i="25" s="1"/>
  <c r="G63" i="25" s="1"/>
  <c r="I63" i="25" s="1"/>
  <c r="A64" i="25" s="1"/>
  <c r="C64" i="25" l="1"/>
  <c r="H64" i="25" s="1"/>
  <c r="J64" i="25" s="1"/>
  <c r="B64" i="25"/>
  <c r="D64" i="25"/>
  <c r="E64" i="25" l="1"/>
  <c r="F64" i="25" l="1"/>
  <c r="G64" i="25" s="1"/>
  <c r="I64" i="25" s="1"/>
  <c r="A65" i="25" s="1"/>
  <c r="B65" i="25" l="1"/>
  <c r="C65" i="25"/>
  <c r="H65" i="25" s="1"/>
  <c r="J65" i="25" s="1"/>
  <c r="D65" i="25"/>
  <c r="E65" i="25" l="1"/>
  <c r="F65" i="25" l="1"/>
  <c r="G65" i="25" s="1"/>
  <c r="I65" i="25" s="1"/>
  <c r="A66" i="25" s="1"/>
  <c r="D66" i="25" l="1"/>
  <c r="B66" i="25"/>
  <c r="C66" i="25"/>
  <c r="H66" i="25" s="1"/>
  <c r="J66" i="25" s="1"/>
  <c r="E66" i="25" l="1"/>
  <c r="F66" i="25" s="1"/>
  <c r="G66" i="25" s="1"/>
  <c r="I66" i="25" s="1"/>
  <c r="A67" i="25" s="1"/>
  <c r="D67" i="25" l="1"/>
  <c r="C67" i="25"/>
  <c r="H67" i="25" s="1"/>
  <c r="J67" i="25" s="1"/>
  <c r="B67" i="25"/>
  <c r="E67" i="25" l="1"/>
  <c r="F67" i="25" s="1"/>
  <c r="G67" i="25" s="1"/>
  <c r="I67" i="25" s="1"/>
  <c r="A68" i="25" s="1"/>
  <c r="C68" i="25" l="1"/>
  <c r="D68" i="25"/>
  <c r="H68" i="25"/>
  <c r="J68" i="25" s="1"/>
  <c r="B68" i="25"/>
  <c r="E68" i="25" l="1"/>
  <c r="F68" i="25" s="1"/>
  <c r="G68" i="25" s="1"/>
  <c r="I68" i="25" s="1"/>
  <c r="A69" i="25" s="1"/>
  <c r="D69" i="25" l="1"/>
  <c r="C69" i="25"/>
  <c r="H69" i="25" s="1"/>
  <c r="J69" i="25" s="1"/>
  <c r="B69" i="25"/>
  <c r="E69" i="25" l="1"/>
  <c r="F69" i="25" s="1"/>
  <c r="G69" i="25" s="1"/>
  <c r="I69" i="25" s="1"/>
  <c r="A70" i="25" s="1"/>
  <c r="D70" i="25" s="1"/>
  <c r="C70" i="25" l="1"/>
  <c r="E70" i="25" s="1"/>
  <c r="F70" i="25" s="1"/>
  <c r="B70" i="25"/>
  <c r="H70" i="25" l="1"/>
  <c r="J70" i="25" s="1"/>
  <c r="G70" i="25" l="1"/>
  <c r="I70" i="25" s="1"/>
  <c r="A71" i="25" s="1"/>
  <c r="B71" i="25" s="1"/>
  <c r="C71" i="25" l="1"/>
  <c r="H71" i="25" s="1"/>
  <c r="J71" i="25" s="1"/>
  <c r="D71" i="25"/>
  <c r="E71" i="25" l="1"/>
  <c r="F71" i="25" s="1"/>
  <c r="G71" i="25" s="1"/>
  <c r="I71" i="25" s="1"/>
  <c r="A72" i="25" s="1"/>
  <c r="C72" i="25" s="1"/>
  <c r="H72" i="25" s="1"/>
  <c r="J72" i="25" s="1"/>
  <c r="B72" i="25" l="1"/>
  <c r="D72" i="25"/>
  <c r="E72" i="25" s="1"/>
  <c r="F72" i="25" s="1"/>
  <c r="G72" i="25" s="1"/>
  <c r="I72" i="25" s="1"/>
  <c r="A73" i="25" s="1"/>
  <c r="D73" i="25" s="1"/>
  <c r="C73" i="25" l="1"/>
  <c r="E73" i="25" s="1"/>
  <c r="F73" i="25" s="1"/>
  <c r="B73" i="25"/>
  <c r="H73" i="25" l="1"/>
  <c r="J73" i="25" s="1"/>
  <c r="G73" i="25" l="1"/>
  <c r="I73" i="25" s="1"/>
  <c r="A74" i="25" s="1"/>
  <c r="C74" i="25" s="1"/>
  <c r="D74" i="25" l="1"/>
  <c r="E74" i="25" s="1"/>
  <c r="F74" i="25" s="1"/>
  <c r="B74" i="25"/>
  <c r="H74" i="25"/>
  <c r="J74" i="25" s="1"/>
  <c r="G74" i="25" l="1"/>
  <c r="I74" i="25"/>
  <c r="A75" i="25" s="1"/>
  <c r="C75" i="25" s="1"/>
  <c r="D75" i="25" l="1"/>
  <c r="E75" i="25" s="1"/>
  <c r="F75" i="25" s="1"/>
  <c r="G75" i="25" s="1"/>
  <c r="I75" i="25" s="1"/>
  <c r="A76" i="25" s="1"/>
  <c r="H75" i="25"/>
  <c r="J75" i="25" s="1"/>
  <c r="B75" i="25"/>
  <c r="C76" i="25" l="1"/>
  <c r="H76" i="25" s="1"/>
  <c r="J76" i="25" s="1"/>
  <c r="B76" i="25"/>
  <c r="D76" i="25"/>
  <c r="E76" i="25" l="1"/>
  <c r="F76" i="25" l="1"/>
  <c r="G76" i="25" s="1"/>
  <c r="I76" i="25" s="1"/>
  <c r="A77" i="25" s="1"/>
  <c r="C77" i="25" l="1"/>
  <c r="H77" i="25" s="1"/>
  <c r="J77" i="25" s="1"/>
  <c r="B77" i="25"/>
  <c r="D77" i="25"/>
  <c r="E77" i="25" l="1"/>
  <c r="F77" i="25" s="1"/>
  <c r="G77" i="25" s="1"/>
  <c r="I77" i="25" l="1"/>
  <c r="A78" i="25" s="1"/>
  <c r="I78" i="25" l="1"/>
  <c r="A79" i="25" s="1"/>
  <c r="C78" i="25"/>
  <c r="F78" i="25"/>
  <c r="B78" i="25"/>
  <c r="G78" i="25"/>
  <c r="E78" i="25"/>
  <c r="D78" i="25"/>
  <c r="H78" i="25"/>
  <c r="J78" i="25" s="1"/>
  <c r="E79" i="25" l="1"/>
  <c r="B79" i="25"/>
  <c r="G79" i="25"/>
  <c r="D79" i="25"/>
  <c r="H79" i="25"/>
  <c r="J79" i="25" s="1"/>
  <c r="I79" i="25"/>
  <c r="A80" i="25" s="1"/>
  <c r="F79" i="25"/>
  <c r="C79" i="25"/>
  <c r="G80" i="25" l="1"/>
  <c r="E80" i="25"/>
  <c r="C80" i="25"/>
  <c r="I80" i="25"/>
  <c r="A81" i="25" s="1"/>
  <c r="H80" i="25"/>
  <c r="J80" i="25" s="1"/>
  <c r="D80" i="25"/>
  <c r="B80" i="25"/>
  <c r="F80" i="25"/>
  <c r="C81" i="25" l="1"/>
  <c r="B81" i="25"/>
  <c r="G81" i="25"/>
  <c r="I81" i="25"/>
  <c r="A82" i="25" s="1"/>
  <c r="E81" i="25"/>
  <c r="D81" i="25"/>
  <c r="H81" i="25"/>
  <c r="J81" i="25" s="1"/>
  <c r="F81" i="25"/>
  <c r="H82" i="25" l="1"/>
  <c r="J82" i="25" s="1"/>
  <c r="C82" i="25"/>
  <c r="I82" i="25"/>
  <c r="A83" i="25" s="1"/>
  <c r="G82" i="25"/>
  <c r="F82" i="25"/>
  <c r="D82" i="25"/>
  <c r="E82" i="25"/>
  <c r="B82" i="25"/>
  <c r="D83" i="25" l="1"/>
  <c r="C83" i="25"/>
  <c r="F83" i="25"/>
  <c r="E83" i="25"/>
  <c r="B83" i="25"/>
  <c r="G83" i="25"/>
  <c r="H83" i="25"/>
  <c r="J83" i="25" s="1"/>
  <c r="I83" i="25"/>
  <c r="A84" i="25" s="1"/>
  <c r="C84" i="25" l="1"/>
  <c r="F84" i="25"/>
  <c r="E84" i="25"/>
  <c r="G84" i="25"/>
  <c r="D84" i="25"/>
  <c r="I84" i="25"/>
  <c r="A85" i="25" s="1"/>
  <c r="B84" i="25"/>
  <c r="H84" i="25"/>
  <c r="J84" i="25" s="1"/>
  <c r="E85" i="25" l="1"/>
  <c r="G85" i="25"/>
  <c r="F85" i="25"/>
  <c r="D85" i="25"/>
  <c r="I85" i="25"/>
  <c r="A86" i="25" s="1"/>
  <c r="C85" i="25"/>
  <c r="B85" i="25"/>
  <c r="H85" i="25"/>
  <c r="J85" i="25" s="1"/>
  <c r="E86" i="25" l="1"/>
  <c r="B86" i="25"/>
  <c r="D86" i="25"/>
  <c r="C86" i="25"/>
  <c r="F86" i="25"/>
  <c r="I86" i="25"/>
  <c r="A87" i="25" s="1"/>
  <c r="G86" i="25"/>
  <c r="H86" i="25"/>
  <c r="J86" i="25" s="1"/>
  <c r="G87" i="25" l="1"/>
  <c r="D87" i="25"/>
  <c r="I87" i="25"/>
  <c r="A88" i="25" s="1"/>
  <c r="B87" i="25"/>
  <c r="C87" i="25"/>
  <c r="E87" i="25"/>
  <c r="F87" i="25"/>
  <c r="H87" i="25"/>
  <c r="J87" i="25" s="1"/>
  <c r="C88" i="25" l="1"/>
  <c r="I88" i="25"/>
  <c r="A89" i="25" s="1"/>
  <c r="D88" i="25"/>
  <c r="F88" i="25"/>
  <c r="B88" i="25"/>
  <c r="E88" i="25"/>
  <c r="H88" i="25"/>
  <c r="J88" i="25" s="1"/>
  <c r="G88" i="25"/>
  <c r="I89" i="25" l="1"/>
  <c r="A90" i="25" s="1"/>
  <c r="G89" i="25"/>
  <c r="H89" i="25"/>
  <c r="J89" i="25" s="1"/>
  <c r="C89" i="25"/>
  <c r="D89" i="25"/>
  <c r="F89" i="25"/>
  <c r="B89" i="25"/>
  <c r="E89" i="25"/>
  <c r="G90" i="25" l="1"/>
  <c r="E90" i="25"/>
  <c r="I90" i="25"/>
  <c r="A91" i="25" s="1"/>
  <c r="F90" i="25"/>
  <c r="D90" i="25"/>
  <c r="B90" i="25"/>
  <c r="C90" i="25"/>
  <c r="H90" i="25"/>
  <c r="J90" i="25" s="1"/>
  <c r="E91" i="25" l="1"/>
  <c r="F91" i="25"/>
  <c r="I91" i="25"/>
  <c r="A92" i="25" s="1"/>
  <c r="H91" i="25"/>
  <c r="J91" i="25" s="1"/>
  <c r="C91" i="25"/>
  <c r="B91" i="25"/>
  <c r="D91" i="25"/>
  <c r="G91" i="25"/>
  <c r="G92" i="25" l="1"/>
  <c r="C92" i="25"/>
  <c r="B92" i="25"/>
  <c r="I92" i="25"/>
  <c r="A93" i="25" s="1"/>
  <c r="E92" i="25"/>
  <c r="H92" i="25"/>
  <c r="J92" i="25" s="1"/>
  <c r="D92" i="25"/>
  <c r="F92" i="25"/>
  <c r="I93" i="25" l="1"/>
  <c r="A94" i="25" s="1"/>
  <c r="D93" i="25"/>
  <c r="B93" i="25"/>
  <c r="F93" i="25"/>
  <c r="G93" i="25"/>
  <c r="H93" i="25"/>
  <c r="J93" i="25" s="1"/>
  <c r="C93" i="25"/>
  <c r="E93" i="25"/>
  <c r="B94" i="25" l="1"/>
  <c r="E94" i="25"/>
  <c r="F94" i="25"/>
  <c r="G94" i="25"/>
  <c r="C94" i="25"/>
  <c r="H94" i="25"/>
  <c r="J94" i="25" s="1"/>
  <c r="D94" i="25"/>
  <c r="I94" i="25"/>
  <c r="A95" i="25" s="1"/>
  <c r="B95" i="25" l="1"/>
  <c r="H95" i="25"/>
  <c r="J95" i="25" s="1"/>
  <c r="E95" i="25"/>
  <c r="C95" i="25"/>
  <c r="F95" i="25"/>
  <c r="D95" i="25"/>
  <c r="G95" i="25"/>
  <c r="I95" i="25"/>
  <c r="A96" i="25" s="1"/>
  <c r="D96" i="25" l="1"/>
  <c r="E96" i="25"/>
  <c r="F96" i="25"/>
  <c r="B96" i="25"/>
  <c r="I96" i="25"/>
  <c r="A97" i="25" s="1"/>
  <c r="C96" i="25"/>
  <c r="H96" i="25"/>
  <c r="J96" i="25" s="1"/>
  <c r="G96" i="25"/>
  <c r="C97" i="25" l="1"/>
  <c r="I97" i="25"/>
  <c r="A98" i="25" s="1"/>
  <c r="E97" i="25"/>
  <c r="F97" i="25"/>
  <c r="G97" i="25"/>
  <c r="H97" i="25"/>
  <c r="J97" i="25" s="1"/>
  <c r="B97" i="25"/>
  <c r="D97" i="25"/>
  <c r="H98" i="25" l="1"/>
  <c r="J98" i="25" s="1"/>
  <c r="C98" i="25"/>
  <c r="B98" i="25"/>
  <c r="D98" i="25"/>
  <c r="E98" i="25"/>
  <c r="I98" i="25"/>
  <c r="A99" i="25" s="1"/>
  <c r="G98" i="25"/>
  <c r="F98" i="25"/>
  <c r="C99" i="25" l="1"/>
  <c r="F99" i="25"/>
  <c r="H99" i="25"/>
  <c r="J99" i="25" s="1"/>
  <c r="B99" i="25"/>
  <c r="G99" i="25"/>
  <c r="E99" i="25"/>
  <c r="I99" i="25"/>
  <c r="A100" i="25" s="1"/>
  <c r="D99" i="25"/>
  <c r="I100" i="25" l="1"/>
  <c r="A101" i="25" s="1"/>
  <c r="B100" i="25"/>
  <c r="C100" i="25"/>
  <c r="D100" i="25"/>
  <c r="E100" i="25"/>
  <c r="G100" i="25"/>
  <c r="H100" i="25"/>
  <c r="J100" i="25" s="1"/>
  <c r="F100" i="25"/>
  <c r="E101" i="25" l="1"/>
  <c r="H101" i="25"/>
  <c r="J101" i="25" s="1"/>
  <c r="C101" i="25"/>
  <c r="B101" i="25"/>
  <c r="G101" i="25"/>
  <c r="F101" i="25"/>
  <c r="D101" i="25"/>
  <c r="I101" i="25"/>
  <c r="A102" i="25" s="1"/>
  <c r="H102" i="25" l="1"/>
  <c r="J102" i="25" s="1"/>
  <c r="E102" i="25"/>
  <c r="C102" i="25"/>
  <c r="F102" i="25"/>
  <c r="I102" i="25"/>
  <c r="A103" i="25" s="1"/>
  <c r="G102" i="25"/>
  <c r="B102" i="25"/>
  <c r="D102" i="25"/>
  <c r="F103" i="25" l="1"/>
  <c r="I103" i="25"/>
  <c r="A104" i="25" s="1"/>
  <c r="D103" i="25"/>
  <c r="H103" i="25"/>
  <c r="J103" i="25" s="1"/>
  <c r="E103" i="25"/>
  <c r="G103" i="25"/>
  <c r="C103" i="25"/>
  <c r="B103" i="25"/>
  <c r="C104" i="25" l="1"/>
  <c r="B104" i="25"/>
  <c r="D104" i="25"/>
  <c r="F104" i="25"/>
  <c r="H104" i="25"/>
  <c r="J104" i="25" s="1"/>
  <c r="I104" i="25"/>
  <c r="A105" i="25" s="1"/>
  <c r="E104" i="25"/>
  <c r="G104" i="25"/>
  <c r="E105" i="25" l="1"/>
  <c r="G105" i="25"/>
  <c r="D105" i="25"/>
  <c r="H105" i="25"/>
  <c r="J105" i="25" s="1"/>
  <c r="C105" i="25"/>
  <c r="I105" i="25"/>
  <c r="A106" i="25" s="1"/>
  <c r="B105" i="25"/>
  <c r="F105" i="25"/>
  <c r="C106" i="25" l="1"/>
  <c r="F106" i="25"/>
  <c r="H106" i="25"/>
  <c r="J106" i="25" s="1"/>
  <c r="D106" i="25"/>
  <c r="E106" i="25"/>
  <c r="I106" i="25"/>
  <c r="A107" i="25" s="1"/>
  <c r="B106" i="25"/>
  <c r="G106" i="25"/>
  <c r="I107" i="25" l="1"/>
  <c r="A108" i="25" s="1"/>
  <c r="F107" i="25"/>
  <c r="C107" i="25"/>
  <c r="B107" i="25"/>
  <c r="H107" i="25"/>
  <c r="J107" i="25" s="1"/>
  <c r="E107" i="25"/>
  <c r="D107" i="25"/>
  <c r="G107" i="25"/>
  <c r="F108" i="25" l="1"/>
  <c r="G108" i="25"/>
  <c r="C108" i="25"/>
  <c r="D108" i="25"/>
  <c r="E108" i="25"/>
  <c r="H108" i="25"/>
  <c r="J108" i="25" s="1"/>
  <c r="I108" i="25"/>
  <c r="A109" i="25" s="1"/>
  <c r="B108" i="25"/>
  <c r="H109" i="25" l="1"/>
  <c r="J109" i="25" s="1"/>
  <c r="F109" i="25"/>
  <c r="E109" i="25"/>
  <c r="B109" i="25"/>
  <c r="D109" i="25"/>
  <c r="I109" i="25"/>
  <c r="A110" i="25" s="1"/>
  <c r="C109" i="25"/>
  <c r="G109" i="25"/>
  <c r="E110" i="25" l="1"/>
  <c r="G110" i="25"/>
  <c r="C110" i="25"/>
  <c r="B110" i="25"/>
  <c r="I110" i="25"/>
  <c r="A111" i="25" s="1"/>
  <c r="H110" i="25"/>
  <c r="J110" i="25" s="1"/>
  <c r="D110" i="25"/>
  <c r="F110" i="25"/>
  <c r="H111" i="25" l="1"/>
  <c r="J111" i="25" s="1"/>
  <c r="I111" i="25"/>
  <c r="A112" i="25" s="1"/>
  <c r="F111" i="25"/>
  <c r="G111" i="25"/>
  <c r="E111" i="25"/>
  <c r="C111" i="25"/>
  <c r="D111" i="25"/>
  <c r="B111" i="25"/>
  <c r="D112" i="25" l="1"/>
  <c r="E112" i="25"/>
  <c r="B112" i="25"/>
  <c r="I112" i="25"/>
  <c r="A113" i="25" s="1"/>
  <c r="H112" i="25"/>
  <c r="J112" i="25" s="1"/>
  <c r="C112" i="25"/>
  <c r="F112" i="25"/>
  <c r="G112" i="25"/>
  <c r="H113" i="25" l="1"/>
  <c r="J113" i="25" s="1"/>
  <c r="F113" i="25"/>
  <c r="G113" i="25"/>
  <c r="C113" i="25"/>
  <c r="B113" i="25"/>
  <c r="E113" i="25"/>
  <c r="I113" i="25"/>
  <c r="A114" i="25" s="1"/>
  <c r="D113" i="25"/>
  <c r="I114" i="25" l="1"/>
  <c r="A115" i="25" s="1"/>
  <c r="C114" i="25"/>
  <c r="F114" i="25"/>
  <c r="G114" i="25"/>
  <c r="E114" i="25"/>
  <c r="H114" i="25"/>
  <c r="J114" i="25" s="1"/>
  <c r="D114" i="25"/>
  <c r="B114" i="25"/>
  <c r="I115" i="25" l="1"/>
  <c r="A116" i="25" s="1"/>
  <c r="F115" i="25"/>
  <c r="H115" i="25"/>
  <c r="J115" i="25" s="1"/>
  <c r="G115" i="25"/>
  <c r="E115" i="25"/>
  <c r="D115" i="25"/>
  <c r="C115" i="25"/>
  <c r="B115" i="25"/>
  <c r="D116" i="25" l="1"/>
  <c r="E116" i="25"/>
  <c r="B116" i="25"/>
  <c r="F116" i="25"/>
  <c r="C116" i="25"/>
  <c r="I116" i="25"/>
  <c r="A117" i="25" s="1"/>
  <c r="H116" i="25"/>
  <c r="J116" i="25" s="1"/>
  <c r="G116" i="25"/>
  <c r="C117" i="25" l="1"/>
  <c r="I117" i="25"/>
  <c r="A118" i="25" s="1"/>
  <c r="H117" i="25"/>
  <c r="J117" i="25" s="1"/>
  <c r="B117" i="25"/>
  <c r="F117" i="25"/>
  <c r="E117" i="25"/>
  <c r="D117" i="25"/>
  <c r="G117" i="25"/>
  <c r="B118" i="25" l="1"/>
  <c r="G118" i="25"/>
  <c r="E118" i="25"/>
  <c r="C118" i="25"/>
  <c r="I118" i="25"/>
  <c r="A119" i="25" s="1"/>
  <c r="H118" i="25"/>
  <c r="J118" i="25" s="1"/>
  <c r="D118" i="25"/>
  <c r="F118" i="25"/>
  <c r="E119" i="25" l="1"/>
  <c r="G119" i="25"/>
  <c r="B119" i="25"/>
  <c r="H119" i="25"/>
  <c r="J119" i="25" s="1"/>
  <c r="F119" i="25"/>
  <c r="D119" i="25"/>
  <c r="C119" i="25"/>
  <c r="I119" i="25"/>
  <c r="A120" i="25" s="1"/>
  <c r="G120" i="25" l="1"/>
  <c r="H120" i="25"/>
  <c r="J120" i="25" s="1"/>
  <c r="E120" i="25"/>
  <c r="B120" i="25"/>
  <c r="D120" i="25"/>
  <c r="I120" i="25"/>
  <c r="A121" i="25" s="1"/>
  <c r="C120" i="25"/>
  <c r="F120" i="25"/>
  <c r="I121" i="25" l="1"/>
  <c r="A122" i="25" s="1"/>
  <c r="H121" i="25"/>
  <c r="J121" i="25" s="1"/>
  <c r="G121" i="25"/>
  <c r="E121" i="25"/>
  <c r="D121" i="25"/>
  <c r="C121" i="25"/>
  <c r="F121" i="25"/>
  <c r="B121" i="25"/>
  <c r="I122" i="25" l="1"/>
  <c r="A123" i="25" s="1"/>
  <c r="D122" i="25"/>
  <c r="H122" i="25"/>
  <c r="J122" i="25" s="1"/>
  <c r="G122" i="25"/>
  <c r="F122" i="25"/>
  <c r="E122" i="25"/>
  <c r="B122" i="25"/>
  <c r="C122" i="25"/>
  <c r="I123" i="25" l="1"/>
  <c r="A124" i="25" s="1"/>
  <c r="C123" i="25"/>
  <c r="E123" i="25"/>
  <c r="F123" i="25"/>
  <c r="B123" i="25"/>
  <c r="D123" i="25"/>
  <c r="G123" i="25"/>
  <c r="H123" i="25"/>
  <c r="J123" i="25" s="1"/>
  <c r="F124" i="25" l="1"/>
  <c r="I124" i="25"/>
  <c r="A125" i="25" s="1"/>
  <c r="H124" i="25"/>
  <c r="J124" i="25" s="1"/>
  <c r="B124" i="25"/>
  <c r="D124" i="25"/>
  <c r="C124" i="25"/>
  <c r="E124" i="25"/>
  <c r="G124" i="25"/>
  <c r="E125" i="25" l="1"/>
  <c r="G125" i="25"/>
  <c r="B125" i="25"/>
  <c r="H125" i="25"/>
  <c r="J125" i="25" s="1"/>
  <c r="F125" i="25"/>
  <c r="I125" i="25"/>
  <c r="A126" i="25" s="1"/>
  <c r="D125" i="25"/>
  <c r="C125" i="25"/>
  <c r="H126" i="25" l="1"/>
  <c r="J126" i="25" s="1"/>
  <c r="C126" i="25"/>
  <c r="D126" i="25"/>
  <c r="I126" i="25"/>
  <c r="A127" i="25" s="1"/>
  <c r="E126" i="25"/>
  <c r="G126" i="25"/>
  <c r="F126" i="25"/>
  <c r="B126" i="25"/>
  <c r="F127" i="25" l="1"/>
  <c r="C127" i="25"/>
  <c r="G127" i="25"/>
  <c r="D127" i="25"/>
  <c r="E127" i="25"/>
  <c r="B127" i="25"/>
  <c r="I127" i="25"/>
  <c r="A128" i="25" s="1"/>
  <c r="H127" i="25"/>
  <c r="J127" i="25" s="1"/>
  <c r="F128" i="25" l="1"/>
  <c r="H128" i="25"/>
  <c r="J128" i="25" s="1"/>
  <c r="C128" i="25"/>
  <c r="D128" i="25"/>
  <c r="G128" i="25"/>
  <c r="I128" i="25"/>
  <c r="A129" i="25" s="1"/>
  <c r="E128" i="25"/>
  <c r="B128" i="25"/>
  <c r="E129" i="25" l="1"/>
  <c r="G129" i="25"/>
  <c r="H129" i="25"/>
  <c r="J129" i="25" s="1"/>
  <c r="C129" i="25"/>
  <c r="B129" i="25"/>
  <c r="I129" i="25"/>
  <c r="A130" i="25" s="1"/>
  <c r="F129" i="25"/>
  <c r="D129" i="25"/>
  <c r="B130" i="25" l="1"/>
  <c r="D130" i="25"/>
  <c r="I130" i="25"/>
  <c r="A131" i="25" s="1"/>
  <c r="E130" i="25"/>
  <c r="C130" i="25"/>
  <c r="F130" i="25"/>
  <c r="H130" i="25"/>
  <c r="J130" i="25" s="1"/>
  <c r="G130" i="25"/>
  <c r="I131" i="25" l="1"/>
  <c r="A132" i="25" s="1"/>
  <c r="F131" i="25"/>
  <c r="B131" i="25"/>
  <c r="E131" i="25"/>
  <c r="C131" i="25"/>
  <c r="D131" i="25"/>
  <c r="H131" i="25"/>
  <c r="J131" i="25" s="1"/>
  <c r="G131" i="25"/>
  <c r="F132" i="25" l="1"/>
  <c r="B132" i="25"/>
  <c r="E132" i="25"/>
  <c r="C132" i="25"/>
  <c r="G132" i="25"/>
  <c r="H132" i="25"/>
  <c r="J132" i="25" s="1"/>
  <c r="D132" i="25"/>
  <c r="I132" i="25"/>
  <c r="A133" i="25" s="1"/>
  <c r="G133" i="25" l="1"/>
  <c r="C133" i="25"/>
  <c r="F133" i="25"/>
  <c r="B133" i="25"/>
  <c r="I133" i="25"/>
  <c r="A134" i="25" s="1"/>
  <c r="D133" i="25"/>
  <c r="H133" i="25"/>
  <c r="J133" i="25" s="1"/>
  <c r="E133" i="25"/>
  <c r="H134" i="25" l="1"/>
  <c r="J134" i="25" s="1"/>
  <c r="I134" i="25"/>
  <c r="A135" i="25" s="1"/>
  <c r="C134" i="25"/>
  <c r="G134" i="25"/>
  <c r="F134" i="25"/>
  <c r="D134" i="25"/>
  <c r="E134" i="25"/>
  <c r="B134" i="25"/>
  <c r="I135" i="25" l="1"/>
  <c r="A136" i="25" s="1"/>
  <c r="F135" i="25"/>
  <c r="C135" i="25"/>
  <c r="E135" i="25"/>
  <c r="D135" i="25"/>
  <c r="G135" i="25"/>
  <c r="H135" i="25"/>
  <c r="J135" i="25" s="1"/>
  <c r="B135" i="25"/>
  <c r="I136" i="25" l="1"/>
  <c r="A137" i="25" s="1"/>
  <c r="E136" i="25"/>
  <c r="F136" i="25"/>
  <c r="D136" i="25"/>
  <c r="C136" i="25"/>
  <c r="H136" i="25"/>
  <c r="J136" i="25" s="1"/>
  <c r="B136" i="25"/>
  <c r="G136" i="25"/>
  <c r="E137" i="25" l="1"/>
  <c r="G137" i="25"/>
  <c r="I137" i="25"/>
  <c r="A138" i="25" s="1"/>
  <c r="H137" i="25"/>
  <c r="J137" i="25" s="1"/>
  <c r="C137" i="25"/>
  <c r="B137" i="25"/>
  <c r="F137" i="25"/>
  <c r="D137" i="25"/>
  <c r="E138" i="25" l="1"/>
  <c r="I138" i="25"/>
  <c r="A139" i="25" s="1"/>
  <c r="F138" i="25"/>
  <c r="H138" i="25"/>
  <c r="J138" i="25" s="1"/>
  <c r="B138" i="25"/>
  <c r="C138" i="25"/>
  <c r="G138" i="25"/>
  <c r="D138" i="25"/>
  <c r="H139" i="25" l="1"/>
  <c r="J139" i="25" s="1"/>
  <c r="B139" i="25"/>
  <c r="E139" i="25"/>
  <c r="I139" i="25"/>
  <c r="A140" i="25" s="1"/>
  <c r="D139" i="25"/>
  <c r="C139" i="25"/>
  <c r="F139" i="25"/>
  <c r="G139" i="25"/>
  <c r="G140" i="25" l="1"/>
  <c r="F140" i="25"/>
  <c r="I140" i="25"/>
  <c r="A141" i="25" s="1"/>
  <c r="C140" i="25"/>
  <c r="E140" i="25"/>
  <c r="H140" i="25"/>
  <c r="J140" i="25" s="1"/>
  <c r="B140" i="25"/>
  <c r="D140" i="25"/>
  <c r="B141" i="25" l="1"/>
  <c r="G141" i="25"/>
  <c r="D141" i="25"/>
  <c r="I141" i="25"/>
  <c r="A142" i="25" s="1"/>
  <c r="H141" i="25"/>
  <c r="J141" i="25" s="1"/>
  <c r="E141" i="25"/>
  <c r="C141" i="25"/>
  <c r="F141" i="25"/>
  <c r="B142" i="25" l="1"/>
  <c r="E142" i="25"/>
  <c r="D142" i="25"/>
  <c r="C142" i="25"/>
  <c r="G142" i="25"/>
  <c r="F142" i="25"/>
  <c r="H142" i="25"/>
  <c r="J142" i="25" s="1"/>
  <c r="I142" i="25"/>
  <c r="A143" i="25" s="1"/>
  <c r="E143" i="25" l="1"/>
  <c r="B143" i="25"/>
  <c r="I143" i="25"/>
  <c r="A144" i="25" s="1"/>
  <c r="F143" i="25"/>
  <c r="G143" i="25"/>
  <c r="H143" i="25"/>
  <c r="J143" i="25" s="1"/>
  <c r="C143" i="25"/>
  <c r="D143" i="25"/>
  <c r="B144" i="25" l="1"/>
  <c r="F144" i="25"/>
  <c r="G144" i="25"/>
  <c r="H144" i="25"/>
  <c r="J144" i="25" s="1"/>
  <c r="D144" i="25"/>
  <c r="E144" i="25"/>
  <c r="C144" i="25"/>
  <c r="I144" i="25"/>
  <c r="A145" i="25" s="1"/>
  <c r="F145" i="25" l="1"/>
  <c r="B145" i="25"/>
  <c r="D145" i="25"/>
  <c r="E145" i="25"/>
  <c r="I145" i="25"/>
  <c r="A146" i="25" s="1"/>
  <c r="H145" i="25"/>
  <c r="J145" i="25" s="1"/>
  <c r="C145" i="25"/>
  <c r="G145" i="25"/>
  <c r="F146" i="25" l="1"/>
  <c r="H146" i="25"/>
  <c r="J146" i="25" s="1"/>
  <c r="G146" i="25"/>
  <c r="E146" i="25"/>
  <c r="I146" i="25"/>
  <c r="A147" i="25" s="1"/>
  <c r="B146" i="25"/>
  <c r="C146" i="25"/>
  <c r="D146" i="25"/>
  <c r="D147" i="25" l="1"/>
  <c r="H147" i="25"/>
  <c r="J147" i="25" s="1"/>
  <c r="E147" i="25"/>
  <c r="B147" i="25"/>
  <c r="G147" i="25"/>
  <c r="F147" i="25"/>
  <c r="C147" i="25"/>
  <c r="I147" i="25"/>
  <c r="A148" i="25" s="1"/>
  <c r="C148" i="25" l="1"/>
  <c r="G148" i="25"/>
  <c r="I148" i="25"/>
  <c r="A149" i="25" s="1"/>
  <c r="E148" i="25"/>
  <c r="B148" i="25"/>
  <c r="D148" i="25"/>
  <c r="F148" i="25"/>
  <c r="H148" i="25"/>
  <c r="J148" i="25" s="1"/>
  <c r="I149" i="25" l="1"/>
  <c r="A150" i="25" s="1"/>
  <c r="F149" i="25"/>
  <c r="G149" i="25"/>
  <c r="B149" i="25"/>
  <c r="H149" i="25"/>
  <c r="J149" i="25" s="1"/>
  <c r="C149" i="25"/>
  <c r="E149" i="25"/>
  <c r="D149" i="25"/>
  <c r="H150" i="25" l="1"/>
  <c r="J150" i="25" s="1"/>
  <c r="B150" i="25"/>
  <c r="I150" i="25"/>
  <c r="A151" i="25" s="1"/>
  <c r="C150" i="25"/>
  <c r="D150" i="25"/>
  <c r="F150" i="25"/>
  <c r="G150" i="25"/>
  <c r="E150" i="25"/>
  <c r="F151" i="25" l="1"/>
  <c r="D151" i="25"/>
  <c r="I151" i="25"/>
  <c r="A152" i="25" s="1"/>
  <c r="B151" i="25"/>
  <c r="E151" i="25"/>
  <c r="G151" i="25"/>
  <c r="H151" i="25"/>
  <c r="J151" i="25" s="1"/>
  <c r="C151" i="25"/>
  <c r="I152" i="25" l="1"/>
  <c r="A153" i="25" s="1"/>
  <c r="C152" i="25"/>
  <c r="G152" i="25"/>
  <c r="E152" i="25"/>
  <c r="F152" i="25"/>
  <c r="D152" i="25"/>
  <c r="B152" i="25"/>
  <c r="H152" i="25"/>
  <c r="J152" i="25" s="1"/>
  <c r="B153" i="25" l="1"/>
  <c r="D153" i="25"/>
  <c r="H153" i="25"/>
  <c r="J153" i="25" s="1"/>
  <c r="I153" i="25"/>
  <c r="A154" i="25" s="1"/>
  <c r="F153" i="25"/>
  <c r="C153" i="25"/>
  <c r="E153" i="25"/>
  <c r="G153" i="25"/>
  <c r="D154" i="25" l="1"/>
  <c r="F154" i="25"/>
  <c r="C154" i="25"/>
  <c r="G154" i="25"/>
  <c r="E154" i="25"/>
  <c r="H154" i="25"/>
  <c r="J154" i="25" s="1"/>
  <c r="I154" i="25"/>
  <c r="A155" i="25" s="1"/>
  <c r="B154" i="25"/>
  <c r="I155" i="25" l="1"/>
  <c r="A156" i="25" s="1"/>
  <c r="B155" i="25"/>
  <c r="F155" i="25"/>
  <c r="E155" i="25"/>
  <c r="D155" i="25"/>
  <c r="H155" i="25"/>
  <c r="J155" i="25" s="1"/>
  <c r="C155" i="25"/>
  <c r="G155" i="25"/>
  <c r="C156" i="25" l="1"/>
  <c r="F156" i="25"/>
  <c r="B156" i="25"/>
  <c r="E156" i="25"/>
  <c r="G156" i="25"/>
  <c r="D156" i="25"/>
  <c r="H156" i="25"/>
  <c r="J156" i="25" s="1"/>
  <c r="I156" i="25"/>
  <c r="A157" i="25" s="1"/>
  <c r="G157" i="25" l="1"/>
  <c r="I157" i="25"/>
  <c r="A158" i="25" s="1"/>
  <c r="H157" i="25"/>
  <c r="J157" i="25" s="1"/>
  <c r="B157" i="25"/>
  <c r="D157" i="25"/>
  <c r="E157" i="25"/>
  <c r="F157" i="25"/>
  <c r="C157" i="25"/>
  <c r="B158" i="25" l="1"/>
  <c r="I158" i="25"/>
  <c r="A159" i="25" s="1"/>
  <c r="C158" i="25"/>
  <c r="D158" i="25"/>
  <c r="G158" i="25"/>
  <c r="E158" i="25"/>
  <c r="F158" i="25"/>
  <c r="H158" i="25"/>
  <c r="J158" i="25" s="1"/>
  <c r="F159" i="25" l="1"/>
  <c r="G159" i="25"/>
  <c r="C159" i="25"/>
  <c r="E159" i="25"/>
  <c r="I159" i="25"/>
  <c r="A160" i="25" s="1"/>
  <c r="D159" i="25"/>
  <c r="B159" i="25"/>
  <c r="H159" i="25"/>
  <c r="J159" i="25" s="1"/>
  <c r="C160" i="25" l="1"/>
  <c r="F160" i="25"/>
  <c r="I160" i="25"/>
  <c r="A161" i="25" s="1"/>
  <c r="D160" i="25"/>
  <c r="G160" i="25"/>
  <c r="E160" i="25"/>
  <c r="B160" i="25"/>
  <c r="H160" i="25"/>
  <c r="J160" i="25" s="1"/>
  <c r="D161" i="25" l="1"/>
  <c r="C161" i="25"/>
  <c r="I161" i="25"/>
  <c r="A162" i="25" s="1"/>
  <c r="G161" i="25"/>
  <c r="H161" i="25"/>
  <c r="J161" i="25" s="1"/>
  <c r="E161" i="25"/>
  <c r="F161" i="25"/>
  <c r="B161" i="25"/>
  <c r="B162" i="25" l="1"/>
  <c r="F162" i="25"/>
  <c r="C162" i="25"/>
  <c r="E162" i="25"/>
  <c r="I162" i="25"/>
  <c r="A163" i="25" s="1"/>
  <c r="G162" i="25"/>
  <c r="D162" i="25"/>
  <c r="H162" i="25"/>
  <c r="J162" i="25" s="1"/>
  <c r="F163" i="25" l="1"/>
  <c r="E163" i="25"/>
  <c r="H163" i="25"/>
  <c r="J163" i="25" s="1"/>
  <c r="D163" i="25"/>
  <c r="C163" i="25"/>
  <c r="G163" i="25"/>
  <c r="I163" i="25"/>
  <c r="A164" i="25" s="1"/>
  <c r="B163" i="25"/>
  <c r="F164" i="25" l="1"/>
  <c r="I164" i="25"/>
  <c r="A165" i="25" s="1"/>
  <c r="B164" i="25"/>
  <c r="C164" i="25"/>
  <c r="G164" i="25"/>
  <c r="H164" i="25"/>
  <c r="J164" i="25" s="1"/>
  <c r="E164" i="25"/>
  <c r="D164" i="25"/>
  <c r="D165" i="25" l="1"/>
  <c r="H165" i="25"/>
  <c r="J165" i="25" s="1"/>
  <c r="E165" i="25"/>
  <c r="G165" i="25"/>
  <c r="B165" i="25"/>
  <c r="F165" i="25"/>
  <c r="C165" i="25"/>
  <c r="I165" i="25"/>
  <c r="A166" i="25" s="1"/>
  <c r="B166" i="25" l="1"/>
  <c r="D166" i="25"/>
  <c r="I166" i="25"/>
  <c r="A167" i="25" s="1"/>
  <c r="F166" i="25"/>
  <c r="G166" i="25"/>
  <c r="C166" i="25"/>
  <c r="H166" i="25"/>
  <c r="J166" i="25" s="1"/>
  <c r="E166" i="25"/>
  <c r="F167" i="25" l="1"/>
  <c r="G167" i="25"/>
  <c r="B167" i="25"/>
  <c r="C167" i="25"/>
  <c r="I167" i="25"/>
  <c r="A168" i="25" s="1"/>
  <c r="E167" i="25"/>
  <c r="H167" i="25"/>
  <c r="J167" i="25" s="1"/>
  <c r="D167" i="25"/>
  <c r="E168" i="25" l="1"/>
  <c r="H168" i="25"/>
  <c r="J168" i="25" s="1"/>
  <c r="D168" i="25"/>
  <c r="F168" i="25"/>
  <c r="I168" i="25"/>
  <c r="A169" i="25" s="1"/>
  <c r="B168" i="25"/>
  <c r="G168" i="25"/>
  <c r="C168" i="25"/>
  <c r="C169" i="25" l="1"/>
  <c r="F169" i="25"/>
  <c r="E169" i="25"/>
  <c r="G169" i="25"/>
  <c r="D169" i="25"/>
  <c r="B169" i="25"/>
  <c r="I169" i="25"/>
  <c r="A170" i="25" s="1"/>
  <c r="H169" i="25"/>
  <c r="J169" i="25" s="1"/>
  <c r="B170" i="25" l="1"/>
  <c r="E170" i="25"/>
  <c r="I170" i="25"/>
  <c r="A171" i="25" s="1"/>
  <c r="F170" i="25"/>
  <c r="C170" i="25"/>
  <c r="H170" i="25"/>
  <c r="J170" i="25" s="1"/>
  <c r="D170" i="25"/>
  <c r="G170" i="25"/>
  <c r="E171" i="25" l="1"/>
  <c r="G171" i="25"/>
  <c r="F171" i="25"/>
  <c r="H171" i="25"/>
  <c r="J171" i="25" s="1"/>
  <c r="C171" i="25"/>
  <c r="I171" i="25"/>
  <c r="A172" i="25" s="1"/>
  <c r="B171" i="25"/>
  <c r="D171" i="25"/>
  <c r="H172" i="25" l="1"/>
  <c r="J172" i="25" s="1"/>
  <c r="I172" i="25"/>
  <c r="A173" i="25" s="1"/>
  <c r="E172" i="25"/>
  <c r="F172" i="25"/>
  <c r="D172" i="25"/>
  <c r="B172" i="25"/>
  <c r="C172" i="25"/>
  <c r="G172" i="25"/>
  <c r="D173" i="25" l="1"/>
  <c r="E173" i="25"/>
  <c r="I173" i="25"/>
  <c r="A174" i="25" s="1"/>
  <c r="C173" i="25"/>
  <c r="H173" i="25"/>
  <c r="J173" i="25" s="1"/>
  <c r="B173" i="25"/>
  <c r="G173" i="25"/>
  <c r="F173" i="25"/>
  <c r="C174" i="25" l="1"/>
  <c r="F174" i="25"/>
  <c r="G174" i="25"/>
  <c r="D174" i="25"/>
  <c r="B174" i="25"/>
  <c r="I174" i="25"/>
  <c r="A175" i="25" s="1"/>
  <c r="H174" i="25"/>
  <c r="J174" i="25" s="1"/>
  <c r="E174" i="25"/>
  <c r="I175" i="25" l="1"/>
  <c r="A176" i="25" s="1"/>
  <c r="B175" i="25"/>
  <c r="D175" i="25"/>
  <c r="C175" i="25"/>
  <c r="H175" i="25"/>
  <c r="J175" i="25" s="1"/>
  <c r="E175" i="25"/>
  <c r="G175" i="25"/>
  <c r="F175" i="25"/>
  <c r="G176" i="25" l="1"/>
  <c r="D176" i="25"/>
  <c r="E176" i="25"/>
  <c r="H176" i="25"/>
  <c r="J176" i="25" s="1"/>
  <c r="F176" i="25"/>
  <c r="C176" i="25"/>
  <c r="I176" i="25"/>
  <c r="A177" i="25" s="1"/>
  <c r="B176" i="25"/>
  <c r="I177" i="25" l="1"/>
  <c r="A178" i="25" s="1"/>
  <c r="E177" i="25"/>
  <c r="C177" i="25"/>
  <c r="D177" i="25"/>
  <c r="H177" i="25"/>
  <c r="J177" i="25" s="1"/>
  <c r="B177" i="25"/>
  <c r="F177" i="25"/>
  <c r="G177" i="25"/>
  <c r="H178" i="25" l="1"/>
  <c r="J178" i="25" s="1"/>
  <c r="B178" i="25"/>
  <c r="E178" i="25"/>
  <c r="G178" i="25"/>
  <c r="C178" i="25"/>
  <c r="F178" i="25"/>
  <c r="D178" i="25"/>
  <c r="I178" i="25"/>
  <c r="A179" i="25" s="1"/>
  <c r="F179" i="25" l="1"/>
  <c r="B179" i="25"/>
  <c r="E179" i="25"/>
  <c r="I179" i="25"/>
  <c r="A180" i="25" s="1"/>
  <c r="D179" i="25"/>
  <c r="H179" i="25"/>
  <c r="J179" i="25" s="1"/>
  <c r="C179" i="25"/>
  <c r="G179" i="25"/>
  <c r="C180" i="25" l="1"/>
  <c r="F180" i="25"/>
  <c r="E180" i="25"/>
  <c r="H180" i="25"/>
  <c r="J180" i="25" s="1"/>
  <c r="G180" i="25"/>
  <c r="D180" i="25"/>
  <c r="I180" i="25"/>
  <c r="A181" i="25" s="1"/>
  <c r="B180" i="25"/>
  <c r="D181" i="25" l="1"/>
  <c r="I181" i="25"/>
  <c r="A182" i="25" s="1"/>
  <c r="C181" i="25"/>
  <c r="H181" i="25"/>
  <c r="J181" i="25" s="1"/>
  <c r="B181" i="25"/>
  <c r="E181" i="25"/>
  <c r="F181" i="25"/>
  <c r="G181" i="25"/>
  <c r="C182" i="25" l="1"/>
  <c r="H182" i="25"/>
  <c r="J182" i="25" s="1"/>
  <c r="F182" i="25"/>
  <c r="I182" i="25"/>
  <c r="A183" i="25" s="1"/>
  <c r="D182" i="25"/>
  <c r="G182" i="25"/>
  <c r="B182" i="25"/>
  <c r="E182" i="25"/>
  <c r="E183" i="25" l="1"/>
  <c r="C183" i="25"/>
  <c r="H183" i="25"/>
  <c r="J183" i="25" s="1"/>
  <c r="I183" i="25"/>
  <c r="A184" i="25" s="1"/>
  <c r="F183" i="25"/>
  <c r="B183" i="25"/>
  <c r="D183" i="25"/>
  <c r="G183" i="25"/>
  <c r="I184" i="25" l="1"/>
  <c r="A185" i="25" s="1"/>
  <c r="C184" i="25"/>
  <c r="G184" i="25"/>
  <c r="B184" i="25"/>
  <c r="D184" i="25"/>
  <c r="H184" i="25"/>
  <c r="J184" i="25" s="1"/>
  <c r="E184" i="25"/>
  <c r="F184" i="25"/>
  <c r="C185" i="25" l="1"/>
  <c r="D185" i="25"/>
  <c r="H185" i="25"/>
  <c r="J185" i="25" s="1"/>
  <c r="G185" i="25"/>
  <c r="B185" i="25"/>
  <c r="F185" i="25"/>
  <c r="E185" i="25"/>
  <c r="I185" i="25"/>
  <c r="A186" i="25" s="1"/>
  <c r="C186" i="25" l="1"/>
  <c r="G186" i="25"/>
  <c r="D186" i="25"/>
  <c r="H186" i="25"/>
  <c r="J186" i="25" s="1"/>
  <c r="B186" i="25"/>
  <c r="F186" i="25"/>
  <c r="I186" i="25"/>
  <c r="A187" i="25" s="1"/>
  <c r="E186" i="25"/>
  <c r="E187" i="25" l="1"/>
  <c r="F187" i="25"/>
  <c r="D187" i="25"/>
  <c r="I187" i="25"/>
  <c r="A188" i="25" s="1"/>
  <c r="H187" i="25"/>
  <c r="J187" i="25" s="1"/>
  <c r="G187" i="25"/>
  <c r="C187" i="25"/>
  <c r="B187" i="25"/>
  <c r="G188" i="25" l="1"/>
  <c r="C188" i="25"/>
  <c r="H188" i="25"/>
  <c r="J188" i="25" s="1"/>
  <c r="F188" i="25"/>
  <c r="B188" i="25"/>
  <c r="D188" i="25"/>
  <c r="I188" i="25"/>
  <c r="A189" i="25" s="1"/>
  <c r="E188" i="25"/>
  <c r="I189" i="25" l="1"/>
  <c r="A190" i="25" s="1"/>
  <c r="C189" i="25"/>
  <c r="F189" i="25"/>
  <c r="H189" i="25"/>
  <c r="J189" i="25" s="1"/>
  <c r="G189" i="25"/>
  <c r="D189" i="25"/>
  <c r="B189" i="25"/>
  <c r="E189" i="25"/>
  <c r="B190" i="25" l="1"/>
  <c r="H190" i="25"/>
  <c r="J190" i="25" s="1"/>
  <c r="C190" i="25"/>
  <c r="D190" i="25"/>
  <c r="F190" i="25"/>
  <c r="E190" i="25"/>
  <c r="I190" i="25"/>
  <c r="A191" i="25" s="1"/>
  <c r="G190" i="25"/>
  <c r="F191" i="25" l="1"/>
  <c r="I191" i="25"/>
  <c r="A192" i="25" s="1"/>
  <c r="E191" i="25"/>
  <c r="H191" i="25"/>
  <c r="J191" i="25" s="1"/>
  <c r="G191" i="25"/>
  <c r="C191" i="25"/>
  <c r="B191" i="25"/>
  <c r="D191" i="25"/>
  <c r="F192" i="25" l="1"/>
  <c r="G192" i="25"/>
  <c r="D192" i="25"/>
  <c r="H192" i="25"/>
  <c r="J192" i="25" s="1"/>
  <c r="E192" i="25"/>
  <c r="I192" i="25"/>
  <c r="A193" i="25" s="1"/>
  <c r="C192" i="25"/>
  <c r="B192" i="25"/>
  <c r="B193" i="25" l="1"/>
  <c r="F193" i="25"/>
  <c r="G193" i="25"/>
  <c r="E193" i="25"/>
  <c r="H193" i="25"/>
  <c r="J193" i="25" s="1"/>
  <c r="D193" i="25"/>
  <c r="I193" i="25"/>
  <c r="A194" i="25" s="1"/>
  <c r="C193" i="25"/>
  <c r="B194" i="25" l="1"/>
  <c r="F194" i="25"/>
  <c r="E194" i="25"/>
  <c r="C194" i="25"/>
  <c r="D194" i="25"/>
  <c r="I194" i="25"/>
  <c r="A195" i="25" s="1"/>
  <c r="G194" i="25"/>
  <c r="H194" i="25"/>
  <c r="J194" i="25" s="1"/>
  <c r="F195" i="25" l="1"/>
  <c r="B195" i="25"/>
  <c r="G195" i="25"/>
  <c r="C195" i="25"/>
  <c r="I195" i="25"/>
  <c r="A196" i="25" s="1"/>
  <c r="E195" i="25"/>
  <c r="D195" i="25"/>
  <c r="H195" i="25"/>
  <c r="J195" i="25" s="1"/>
  <c r="F196" i="25" l="1"/>
  <c r="H196" i="25"/>
  <c r="J196" i="25" s="1"/>
  <c r="D196" i="25"/>
  <c r="G196" i="25"/>
  <c r="I196" i="25"/>
  <c r="A197" i="25" s="1"/>
  <c r="B196" i="25"/>
  <c r="C196" i="25"/>
  <c r="E196" i="25"/>
  <c r="D197" i="25" l="1"/>
  <c r="B197" i="25"/>
  <c r="F197" i="25"/>
  <c r="H197" i="25"/>
  <c r="J197" i="25" s="1"/>
  <c r="E197" i="25"/>
  <c r="I197" i="25"/>
  <c r="A198" i="25" s="1"/>
  <c r="C197" i="25"/>
  <c r="G197" i="25"/>
  <c r="B198" i="25" l="1"/>
  <c r="D198" i="25"/>
  <c r="E198" i="25"/>
  <c r="H198" i="25"/>
  <c r="J198" i="25" s="1"/>
  <c r="G198" i="25"/>
  <c r="F198" i="25"/>
  <c r="C198" i="25"/>
  <c r="I198" i="25"/>
  <c r="A199" i="25" s="1"/>
  <c r="G199" i="25" l="1"/>
  <c r="C199" i="25"/>
  <c r="D199" i="25"/>
  <c r="B199" i="25"/>
  <c r="F199" i="25"/>
  <c r="E199" i="25"/>
  <c r="I199" i="25"/>
  <c r="A200" i="25" s="1"/>
  <c r="H199" i="25"/>
  <c r="J199" i="25" s="1"/>
  <c r="F200" i="25" l="1"/>
  <c r="G200" i="25"/>
  <c r="H200" i="25"/>
  <c r="J200" i="25" s="1"/>
  <c r="C200" i="25"/>
  <c r="I200" i="25"/>
  <c r="A201" i="25" s="1"/>
  <c r="E200" i="25"/>
  <c r="D200" i="25"/>
  <c r="B200" i="25"/>
  <c r="E201" i="25" l="1"/>
  <c r="B201" i="25"/>
  <c r="C201" i="25"/>
  <c r="D201" i="25"/>
  <c r="H201" i="25"/>
  <c r="J201" i="25" s="1"/>
  <c r="I201" i="25"/>
  <c r="A202" i="25" s="1"/>
  <c r="G201" i="25"/>
  <c r="F201" i="25"/>
  <c r="C202" i="25" l="1"/>
  <c r="D202" i="25"/>
  <c r="F202" i="25"/>
  <c r="B202" i="25"/>
  <c r="H202" i="25"/>
  <c r="J202" i="25" s="1"/>
  <c r="I202" i="25"/>
  <c r="A203" i="25" s="1"/>
  <c r="G202" i="25"/>
  <c r="E202" i="25"/>
  <c r="F203" i="25" l="1"/>
  <c r="E203" i="25"/>
  <c r="C203" i="25"/>
  <c r="H203" i="25"/>
  <c r="J203" i="25" s="1"/>
  <c r="B203" i="25"/>
  <c r="G203" i="25"/>
  <c r="D203" i="25"/>
  <c r="I203" i="25"/>
  <c r="A204" i="25" s="1"/>
  <c r="G204" i="25" l="1"/>
  <c r="C204" i="25"/>
  <c r="E204" i="25"/>
  <c r="H204" i="25"/>
  <c r="J204" i="25" s="1"/>
  <c r="I204" i="25"/>
  <c r="A205" i="25" s="1"/>
  <c r="B204" i="25"/>
  <c r="D204" i="25"/>
  <c r="F204" i="25"/>
  <c r="E205" i="25" l="1"/>
  <c r="F205" i="25"/>
  <c r="B205" i="25"/>
  <c r="D205" i="25"/>
  <c r="C205" i="25"/>
  <c r="H205" i="25"/>
  <c r="J205" i="25" s="1"/>
  <c r="I205" i="25"/>
  <c r="A206" i="25" s="1"/>
  <c r="G205" i="25"/>
  <c r="H206" i="25" l="1"/>
  <c r="J206" i="25" s="1"/>
  <c r="G206" i="25"/>
  <c r="C206" i="25"/>
  <c r="F206" i="25"/>
  <c r="B206" i="25"/>
  <c r="E206" i="25"/>
  <c r="D206" i="25"/>
  <c r="I206" i="25"/>
  <c r="A207" i="25" s="1"/>
  <c r="D207" i="25" l="1"/>
  <c r="G207" i="25"/>
  <c r="B207" i="25"/>
  <c r="I207" i="25"/>
  <c r="A208" i="25" s="1"/>
  <c r="H207" i="25"/>
  <c r="J207" i="25" s="1"/>
  <c r="E207" i="25"/>
  <c r="C207" i="25"/>
  <c r="F207" i="25"/>
  <c r="F208" i="25" l="1"/>
  <c r="I208" i="25"/>
  <c r="A209" i="25" s="1"/>
  <c r="C208" i="25"/>
  <c r="H208" i="25"/>
  <c r="J208" i="25" s="1"/>
  <c r="D208" i="25"/>
  <c r="E208" i="25"/>
  <c r="B208" i="25"/>
  <c r="G208" i="25"/>
  <c r="E209" i="25" l="1"/>
  <c r="H209" i="25"/>
  <c r="J209" i="25" s="1"/>
  <c r="G209" i="25"/>
  <c r="I209" i="25"/>
  <c r="A210" i="25" s="1"/>
  <c r="D209" i="25"/>
  <c r="F209" i="25"/>
  <c r="B209" i="25"/>
  <c r="C209" i="25"/>
  <c r="H210" i="25" l="1"/>
  <c r="J210" i="25" s="1"/>
  <c r="C210" i="25"/>
  <c r="D210" i="25"/>
  <c r="E210" i="25"/>
  <c r="G210" i="25"/>
  <c r="B210" i="25"/>
  <c r="F210" i="25"/>
  <c r="I210" i="25"/>
  <c r="A211" i="25" s="1"/>
  <c r="F211" i="25" l="1"/>
  <c r="G211" i="25"/>
  <c r="C211" i="25"/>
  <c r="H211" i="25"/>
  <c r="J211" i="25" s="1"/>
  <c r="E211" i="25"/>
  <c r="B211" i="25"/>
  <c r="D211" i="25"/>
  <c r="I211" i="25"/>
  <c r="A212" i="25" s="1"/>
  <c r="G212" i="25" l="1"/>
  <c r="H212" i="25"/>
  <c r="J212" i="25" s="1"/>
  <c r="F212" i="25"/>
  <c r="E212" i="25"/>
  <c r="C212" i="25"/>
  <c r="I212" i="25"/>
  <c r="A213" i="25" s="1"/>
  <c r="D212" i="25"/>
  <c r="B212" i="25"/>
  <c r="E213" i="25" l="1"/>
  <c r="C213" i="25"/>
  <c r="D213" i="25"/>
  <c r="G213" i="25"/>
  <c r="F213" i="25"/>
  <c r="I213" i="25"/>
  <c r="A214" i="25" s="1"/>
  <c r="B213" i="25"/>
  <c r="H213" i="25"/>
  <c r="J213" i="25" s="1"/>
  <c r="C214" i="25" l="1"/>
  <c r="D214" i="25"/>
  <c r="G214" i="25"/>
  <c r="H214" i="25"/>
  <c r="J214" i="25" s="1"/>
  <c r="I214" i="25"/>
  <c r="A215" i="25" s="1"/>
  <c r="E214" i="25"/>
  <c r="F214" i="25"/>
  <c r="B214" i="25"/>
  <c r="I215" i="25" l="1"/>
  <c r="A216" i="25" s="1"/>
  <c r="E215" i="25"/>
  <c r="F215" i="25"/>
  <c r="B215" i="25"/>
  <c r="G215" i="25"/>
  <c r="C215" i="25"/>
  <c r="H215" i="25"/>
  <c r="J215" i="25" s="1"/>
  <c r="D215" i="25"/>
  <c r="G216" i="25" l="1"/>
  <c r="F216" i="25"/>
  <c r="C216" i="25"/>
  <c r="E216" i="25"/>
  <c r="D216" i="25"/>
  <c r="B216" i="25"/>
  <c r="H216" i="25"/>
  <c r="J216" i="25" s="1"/>
  <c r="I216" i="25"/>
  <c r="A217" i="25" s="1"/>
  <c r="C217" i="25" l="1"/>
  <c r="F217" i="25"/>
  <c r="E217" i="25"/>
  <c r="H217" i="25"/>
  <c r="J217" i="25" s="1"/>
  <c r="B217" i="25"/>
  <c r="G217" i="25"/>
  <c r="D217" i="25"/>
  <c r="I217" i="25"/>
  <c r="A218" i="25" s="1"/>
  <c r="C218" i="25" l="1"/>
  <c r="E218" i="25"/>
  <c r="D218" i="25"/>
  <c r="F218" i="25"/>
  <c r="G218" i="25"/>
  <c r="I218" i="25"/>
  <c r="A219" i="25" s="1"/>
  <c r="B218" i="25"/>
  <c r="H218" i="25"/>
  <c r="J218" i="25" s="1"/>
  <c r="G219" i="25" l="1"/>
  <c r="E219" i="25"/>
  <c r="I219" i="25"/>
  <c r="A220" i="25" s="1"/>
  <c r="C219" i="25"/>
  <c r="D219" i="25"/>
  <c r="F219" i="25"/>
  <c r="B219" i="25"/>
  <c r="H219" i="25"/>
  <c r="J219" i="25" s="1"/>
  <c r="D220" i="25" l="1"/>
  <c r="C220" i="25"/>
  <c r="E220" i="25"/>
  <c r="G220" i="25"/>
  <c r="H220" i="25"/>
  <c r="J220" i="25" s="1"/>
  <c r="F220" i="25"/>
  <c r="I220" i="25"/>
  <c r="A221" i="25" s="1"/>
  <c r="B220" i="25"/>
  <c r="C221" i="25" l="1"/>
  <c r="D221" i="25"/>
  <c r="F221" i="25"/>
  <c r="E221" i="25"/>
  <c r="H221" i="25"/>
  <c r="J221" i="25" s="1"/>
  <c r="G221" i="25"/>
  <c r="B221" i="25"/>
  <c r="I221" i="25"/>
  <c r="A222" i="25" s="1"/>
  <c r="C222" i="25" l="1"/>
  <c r="F222" i="25"/>
  <c r="I222" i="25"/>
  <c r="A223" i="25" s="1"/>
  <c r="D222" i="25"/>
  <c r="G222" i="25"/>
  <c r="H222" i="25"/>
  <c r="J222" i="25" s="1"/>
  <c r="E222" i="25"/>
  <c r="B222" i="25"/>
  <c r="G223" i="25" l="1"/>
  <c r="B223" i="25"/>
  <c r="D223" i="25"/>
  <c r="H223" i="25"/>
  <c r="J223" i="25" s="1"/>
  <c r="F223" i="25"/>
  <c r="E223" i="25"/>
  <c r="I223" i="25"/>
  <c r="A224" i="25" s="1"/>
  <c r="C223" i="25"/>
  <c r="F224" i="25" l="1"/>
  <c r="D224" i="25"/>
  <c r="C224" i="25"/>
  <c r="I224" i="25"/>
  <c r="A225" i="25" s="1"/>
  <c r="G224" i="25"/>
  <c r="E224" i="25"/>
  <c r="B224" i="25"/>
  <c r="H224" i="25"/>
  <c r="J224" i="25" s="1"/>
  <c r="E225" i="25" l="1"/>
  <c r="F225" i="25"/>
  <c r="G225" i="25"/>
  <c r="C225" i="25"/>
  <c r="I225" i="25"/>
  <c r="A226" i="25" s="1"/>
  <c r="B225" i="25"/>
  <c r="D225" i="25"/>
  <c r="H225" i="25"/>
  <c r="J225" i="25" s="1"/>
  <c r="H226" i="25" l="1"/>
  <c r="J226" i="25" s="1"/>
  <c r="C226" i="25"/>
  <c r="G226" i="25"/>
  <c r="F226" i="25"/>
  <c r="D226" i="25"/>
  <c r="E226" i="25"/>
  <c r="I226" i="25"/>
  <c r="A227" i="25" s="1"/>
  <c r="B226" i="25"/>
  <c r="E227" i="25" l="1"/>
  <c r="D227" i="25"/>
  <c r="I227" i="25"/>
  <c r="A228" i="25" s="1"/>
  <c r="G227" i="25"/>
  <c r="B227" i="25"/>
  <c r="F227" i="25"/>
  <c r="C227" i="25"/>
  <c r="H227" i="25"/>
  <c r="J227" i="25" s="1"/>
  <c r="D228" i="25" l="1"/>
  <c r="C228" i="25"/>
  <c r="H228" i="25"/>
  <c r="J228" i="25" s="1"/>
  <c r="I228" i="25"/>
  <c r="A229" i="25" s="1"/>
  <c r="B228" i="25"/>
  <c r="G228" i="25"/>
  <c r="F228" i="25"/>
  <c r="E228" i="25"/>
  <c r="E229" i="25" l="1"/>
  <c r="G229" i="25"/>
  <c r="I229" i="25"/>
  <c r="A230" i="25" s="1"/>
  <c r="B229" i="25"/>
  <c r="C229" i="25"/>
  <c r="F229" i="25"/>
  <c r="D229" i="25"/>
  <c r="H229" i="25"/>
  <c r="J229" i="25" s="1"/>
  <c r="C230" i="25" l="1"/>
  <c r="F230" i="25"/>
  <c r="E230" i="25"/>
  <c r="I230" i="25"/>
  <c r="A231" i="25" s="1"/>
  <c r="G230" i="25"/>
  <c r="D230" i="25"/>
  <c r="H230" i="25"/>
  <c r="J230" i="25" s="1"/>
  <c r="B230" i="25"/>
  <c r="G231" i="25" l="1"/>
  <c r="B231" i="25"/>
  <c r="E231" i="25"/>
  <c r="I231" i="25"/>
  <c r="A232" i="25" s="1"/>
  <c r="C231" i="25"/>
  <c r="H231" i="25"/>
  <c r="J231" i="25" s="1"/>
  <c r="D231" i="25"/>
  <c r="F231" i="25"/>
  <c r="G232" i="25" l="1"/>
  <c r="F232" i="25"/>
  <c r="C232" i="25"/>
  <c r="D232" i="25"/>
  <c r="I232" i="25"/>
  <c r="A233" i="25" s="1"/>
  <c r="B232" i="25"/>
  <c r="E232" i="25"/>
  <c r="H232" i="25"/>
  <c r="J232" i="25" s="1"/>
  <c r="E233" i="25" l="1"/>
  <c r="H233" i="25"/>
  <c r="J233" i="25" s="1"/>
  <c r="F233" i="25"/>
  <c r="I233" i="25"/>
  <c r="A234" i="25" s="1"/>
  <c r="C233" i="25"/>
  <c r="D233" i="25"/>
  <c r="G233" i="25"/>
  <c r="B233" i="25"/>
  <c r="I234" i="25" l="1"/>
  <c r="A235" i="25" s="1"/>
  <c r="B234" i="25"/>
  <c r="F234" i="25"/>
  <c r="H234" i="25"/>
  <c r="J234" i="25" s="1"/>
  <c r="G234" i="25"/>
  <c r="E234" i="25"/>
  <c r="D234" i="25"/>
  <c r="C234" i="25"/>
  <c r="F235" i="25" l="1"/>
  <c r="E235" i="25"/>
  <c r="I235" i="25"/>
  <c r="A236" i="25" s="1"/>
  <c r="G235" i="25"/>
  <c r="D235" i="25"/>
  <c r="B235" i="25"/>
  <c r="H235" i="25"/>
  <c r="J235" i="25" s="1"/>
  <c r="C235" i="25"/>
  <c r="F236" i="25" l="1"/>
  <c r="G236" i="25"/>
  <c r="I236" i="25"/>
  <c r="A237" i="25" s="1"/>
  <c r="B236" i="25"/>
  <c r="H236" i="25"/>
  <c r="J236" i="25" s="1"/>
  <c r="E236" i="25"/>
  <c r="D236" i="25"/>
  <c r="C236" i="25"/>
  <c r="E237" i="25" l="1"/>
  <c r="H237" i="25"/>
  <c r="J237" i="25" s="1"/>
  <c r="I237" i="25"/>
  <c r="A238" i="25" s="1"/>
  <c r="F237" i="25"/>
  <c r="D237" i="25"/>
  <c r="B237" i="25"/>
  <c r="C237" i="25"/>
  <c r="G237" i="25"/>
  <c r="C238" i="25" l="1"/>
  <c r="G238" i="25"/>
  <c r="D238" i="25"/>
  <c r="F238" i="25"/>
  <c r="H238" i="25"/>
  <c r="J238" i="25" s="1"/>
  <c r="I238" i="25"/>
  <c r="A239" i="25" s="1"/>
  <c r="E238" i="25"/>
  <c r="B238" i="25"/>
  <c r="G239" i="25" l="1"/>
  <c r="E239" i="25"/>
  <c r="I239" i="25"/>
  <c r="A240" i="25" s="1"/>
  <c r="H239" i="25"/>
  <c r="J239" i="25" s="1"/>
  <c r="B239" i="25"/>
  <c r="C239" i="25"/>
  <c r="F239" i="25"/>
  <c r="D239" i="25"/>
  <c r="G240" i="25" l="1"/>
  <c r="F240" i="25"/>
  <c r="E240" i="25"/>
  <c r="I240" i="25"/>
  <c r="A241" i="25" s="1"/>
  <c r="D240" i="25"/>
  <c r="B240" i="25"/>
  <c r="H240" i="25"/>
  <c r="J240" i="25" s="1"/>
  <c r="C240" i="25"/>
  <c r="E241" i="25" l="1"/>
  <c r="G241" i="25"/>
  <c r="D241" i="25"/>
  <c r="C241" i="25"/>
  <c r="I241" i="25"/>
  <c r="A242" i="25" s="1"/>
  <c r="F241" i="25"/>
  <c r="H241" i="25"/>
  <c r="J241" i="25" s="1"/>
  <c r="B241" i="25"/>
  <c r="C242" i="25" l="1"/>
  <c r="E242" i="25"/>
  <c r="H242" i="25"/>
  <c r="J242" i="25" s="1"/>
  <c r="D242" i="25"/>
  <c r="I242" i="25"/>
  <c r="A243" i="25" s="1"/>
  <c r="G242" i="25"/>
  <c r="B242" i="25"/>
  <c r="F242" i="25"/>
  <c r="F243" i="25" l="1"/>
  <c r="C243" i="25"/>
  <c r="H243" i="25"/>
  <c r="J243" i="25" s="1"/>
  <c r="G243" i="25"/>
  <c r="I243" i="25"/>
  <c r="A244" i="25" s="1"/>
  <c r="D243" i="25"/>
  <c r="E243" i="25"/>
  <c r="B243" i="25"/>
  <c r="F244" i="25" l="1"/>
  <c r="I244" i="25"/>
  <c r="A245" i="25" s="1"/>
  <c r="D244" i="25"/>
  <c r="G244" i="25"/>
  <c r="B244" i="25"/>
  <c r="C244" i="25"/>
  <c r="H244" i="25"/>
  <c r="J244" i="25" s="1"/>
  <c r="E244" i="25"/>
  <c r="E245" i="25" l="1"/>
  <c r="G245" i="25"/>
  <c r="H245" i="25"/>
  <c r="J245" i="25" s="1"/>
  <c r="I245" i="25"/>
  <c r="A246" i="25" s="1"/>
  <c r="D245" i="25"/>
  <c r="F245" i="25"/>
  <c r="C245" i="25"/>
  <c r="B245" i="25"/>
  <c r="C246" i="25" l="1"/>
  <c r="H246" i="25"/>
  <c r="J246" i="25" s="1"/>
  <c r="B246" i="25"/>
  <c r="D246" i="25"/>
  <c r="F246" i="25"/>
  <c r="E246" i="25"/>
  <c r="G246" i="25"/>
  <c r="I246" i="25"/>
  <c r="A247" i="25" s="1"/>
  <c r="B247" i="25" l="1"/>
  <c r="C247" i="25"/>
  <c r="E247" i="25"/>
  <c r="D247" i="25"/>
  <c r="G247" i="25"/>
  <c r="H247" i="25"/>
  <c r="J247" i="25" s="1"/>
  <c r="F247" i="25"/>
  <c r="I247" i="25"/>
  <c r="A248" i="25" s="1"/>
  <c r="G248" i="25" l="1"/>
  <c r="E248" i="25"/>
  <c r="H248" i="25"/>
  <c r="J248" i="25" s="1"/>
  <c r="I248" i="25"/>
  <c r="A249" i="25" s="1"/>
  <c r="B248" i="25"/>
  <c r="D248" i="25"/>
  <c r="C248" i="25"/>
  <c r="F248" i="25"/>
  <c r="E249" i="25" l="1"/>
  <c r="F249" i="25"/>
  <c r="H249" i="25"/>
  <c r="J249" i="25" s="1"/>
  <c r="C249" i="25"/>
  <c r="D249" i="25"/>
  <c r="I249" i="25"/>
  <c r="A250" i="25" s="1"/>
  <c r="G249" i="25"/>
  <c r="B249" i="25"/>
  <c r="H250" i="25" l="1"/>
  <c r="J250" i="25" s="1"/>
  <c r="D250" i="25"/>
  <c r="B250" i="25"/>
  <c r="E250" i="25"/>
  <c r="I250" i="25"/>
  <c r="A251" i="25" s="1"/>
  <c r="C250" i="25"/>
  <c r="G250" i="25"/>
  <c r="F250" i="25"/>
  <c r="H251" i="25" l="1"/>
  <c r="J251" i="25" s="1"/>
  <c r="D251" i="25"/>
  <c r="G251" i="25"/>
  <c r="F251" i="25"/>
  <c r="I251" i="25"/>
  <c r="A252" i="25" s="1"/>
  <c r="B251" i="25"/>
  <c r="E251" i="25"/>
  <c r="C251" i="25"/>
  <c r="G252" i="25" l="1"/>
  <c r="B252" i="25"/>
  <c r="D252" i="25"/>
  <c r="E252" i="25"/>
  <c r="I252" i="25"/>
  <c r="A253" i="25" s="1"/>
  <c r="F252" i="25"/>
  <c r="C252" i="25"/>
  <c r="H252" i="25"/>
  <c r="J252" i="25" s="1"/>
  <c r="B253" i="25" l="1"/>
  <c r="D253" i="25"/>
  <c r="F253" i="25"/>
  <c r="H253" i="25"/>
  <c r="J253" i="25" s="1"/>
  <c r="I253" i="25"/>
  <c r="A254" i="25" s="1"/>
  <c r="G253" i="25"/>
  <c r="C253" i="25"/>
  <c r="E253" i="25"/>
  <c r="F254" i="25" l="1"/>
  <c r="E254" i="25"/>
  <c r="B254" i="25"/>
  <c r="C254" i="25"/>
  <c r="H254" i="25"/>
  <c r="J254" i="25" s="1"/>
  <c r="G254" i="25"/>
  <c r="D254" i="25"/>
  <c r="I254" i="25"/>
  <c r="A255" i="25" s="1"/>
  <c r="F255" i="25" l="1"/>
  <c r="G255" i="25"/>
  <c r="H255" i="25"/>
  <c r="J255" i="25" s="1"/>
  <c r="B255" i="25"/>
  <c r="E255" i="25"/>
  <c r="D255" i="25"/>
  <c r="C255" i="25"/>
  <c r="I255" i="25"/>
  <c r="A256" i="25" s="1"/>
  <c r="B256" i="25" l="1"/>
  <c r="F256" i="25"/>
  <c r="G256" i="25"/>
  <c r="C256" i="25"/>
  <c r="I256" i="25"/>
  <c r="A257" i="25" s="1"/>
  <c r="D256" i="25"/>
  <c r="H256" i="25"/>
  <c r="J256" i="25" s="1"/>
  <c r="E256" i="25"/>
  <c r="E257" i="25" l="1"/>
  <c r="D257" i="25"/>
  <c r="H257" i="25"/>
  <c r="J257" i="25" s="1"/>
  <c r="G257" i="25"/>
  <c r="F257" i="25"/>
  <c r="B257" i="25"/>
  <c r="I257" i="25"/>
  <c r="A258" i="25" s="1"/>
  <c r="C257" i="25"/>
  <c r="C258" i="25" l="1"/>
  <c r="I258" i="25"/>
  <c r="A259" i="25" s="1"/>
  <c r="D258" i="25"/>
  <c r="F258" i="25"/>
  <c r="G258" i="25"/>
  <c r="E258" i="25"/>
  <c r="H258" i="25"/>
  <c r="J258" i="25" s="1"/>
  <c r="B258" i="25"/>
  <c r="I259" i="25" l="1"/>
  <c r="E259" i="25"/>
  <c r="F259" i="25"/>
  <c r="C259" i="25"/>
  <c r="H259" i="25"/>
  <c r="J259" i="25" s="1"/>
  <c r="B259" i="25"/>
  <c r="D259" i="25"/>
  <c r="A260" i="25"/>
  <c r="G259" i="25"/>
  <c r="E260" i="25" l="1"/>
  <c r="F260" i="25"/>
  <c r="H260" i="25"/>
  <c r="J260" i="25" s="1"/>
  <c r="D260" i="25"/>
  <c r="G260" i="25"/>
  <c r="B260" i="25"/>
  <c r="I260" i="25"/>
  <c r="A261" i="25" s="1"/>
  <c r="C260" i="25"/>
  <c r="C261" i="25" l="1"/>
  <c r="H261" i="25"/>
  <c r="J261" i="25" s="1"/>
  <c r="E261" i="25"/>
  <c r="B261" i="25"/>
  <c r="D261" i="25"/>
  <c r="G261" i="25"/>
  <c r="F261" i="25"/>
  <c r="I261" i="25"/>
  <c r="A262" i="25" s="1"/>
  <c r="C262" i="25" l="1"/>
  <c r="I262" i="25"/>
  <c r="A263" i="25" s="1"/>
  <c r="D262" i="25"/>
  <c r="G262" i="25"/>
  <c r="B262" i="25"/>
  <c r="E262" i="25"/>
  <c r="H262" i="25"/>
  <c r="J262" i="25" s="1"/>
  <c r="F262" i="25"/>
  <c r="I263" i="25" l="1"/>
  <c r="A264" i="25" s="1"/>
  <c r="C263" i="25"/>
  <c r="H263" i="25"/>
  <c r="J263" i="25" s="1"/>
  <c r="B263" i="25"/>
  <c r="G263" i="25"/>
  <c r="D263" i="25"/>
  <c r="F263" i="25"/>
  <c r="E263" i="25"/>
  <c r="F264" i="25" l="1"/>
  <c r="B264" i="25"/>
  <c r="I264" i="25"/>
  <c r="A265" i="25" s="1"/>
  <c r="G264" i="25"/>
  <c r="D264" i="25"/>
  <c r="E264" i="25"/>
  <c r="C264" i="25"/>
  <c r="H264" i="25"/>
  <c r="J264" i="25" s="1"/>
  <c r="F265" i="25" l="1"/>
  <c r="E265" i="25"/>
  <c r="I265" i="25"/>
  <c r="A266" i="25" s="1"/>
  <c r="G265" i="25"/>
  <c r="H265" i="25"/>
  <c r="J265" i="25" s="1"/>
  <c r="B265" i="25"/>
  <c r="D265" i="25"/>
  <c r="C265" i="25"/>
  <c r="D266" i="25" l="1"/>
  <c r="F266" i="25"/>
  <c r="B266" i="25"/>
  <c r="C266" i="25"/>
  <c r="H266" i="25"/>
  <c r="J266" i="25" s="1"/>
  <c r="E266" i="25"/>
  <c r="I266" i="25"/>
  <c r="A267" i="25" s="1"/>
  <c r="G266" i="25"/>
  <c r="B267" i="25" l="1"/>
  <c r="C267" i="25"/>
  <c r="I267" i="25"/>
  <c r="A268" i="25" s="1"/>
  <c r="D267" i="25"/>
  <c r="E267" i="25"/>
  <c r="G267" i="25"/>
  <c r="H267" i="25"/>
  <c r="J267" i="25" s="1"/>
  <c r="F267" i="25"/>
  <c r="E268" i="25" l="1"/>
  <c r="I268" i="25"/>
  <c r="A269" i="25" s="1"/>
  <c r="D268" i="25"/>
  <c r="G268" i="25"/>
  <c r="F268" i="25"/>
  <c r="H268" i="25"/>
  <c r="J268" i="25" s="1"/>
  <c r="C268" i="25"/>
  <c r="B268" i="25"/>
  <c r="G269" i="25" l="1"/>
  <c r="H269" i="25"/>
  <c r="J269" i="25" s="1"/>
  <c r="I269" i="25"/>
  <c r="A270" i="25" s="1"/>
  <c r="D269" i="25"/>
  <c r="F269" i="25"/>
  <c r="C269" i="25"/>
  <c r="B269" i="25"/>
  <c r="E269" i="25"/>
  <c r="E270" i="25" l="1"/>
  <c r="C270" i="25"/>
  <c r="F270" i="25"/>
  <c r="B270" i="25"/>
  <c r="H270" i="25"/>
  <c r="J270" i="25" s="1"/>
  <c r="D270" i="25"/>
  <c r="I270" i="25"/>
  <c r="A271" i="25" s="1"/>
  <c r="G270" i="25"/>
  <c r="C271" i="25" l="1"/>
  <c r="B271" i="25"/>
  <c r="H271" i="25"/>
  <c r="J271" i="25" s="1"/>
  <c r="I271" i="25"/>
  <c r="A272" i="25" s="1"/>
  <c r="F271" i="25"/>
  <c r="G271" i="25"/>
  <c r="D271" i="25"/>
  <c r="E271" i="25"/>
  <c r="G272" i="25" l="1"/>
  <c r="E272" i="25"/>
  <c r="D272" i="25"/>
  <c r="C272" i="25"/>
  <c r="F272" i="25"/>
  <c r="I272" i="25"/>
  <c r="A273" i="25" s="1"/>
  <c r="B272" i="25"/>
  <c r="H272" i="25"/>
  <c r="J272" i="25" s="1"/>
  <c r="G273" i="25" l="1"/>
  <c r="D273" i="25"/>
  <c r="F273" i="25"/>
  <c r="H273" i="25"/>
  <c r="J273" i="25" s="1"/>
  <c r="I273" i="25"/>
  <c r="A274" i="25" s="1"/>
  <c r="C273" i="25"/>
  <c r="E273" i="25"/>
  <c r="B273" i="25"/>
  <c r="H274" i="25" l="1"/>
  <c r="J274" i="25" s="1"/>
  <c r="E274" i="25"/>
  <c r="B274" i="25"/>
  <c r="G274" i="25"/>
  <c r="I274" i="25"/>
  <c r="A275" i="25" s="1"/>
  <c r="D274" i="25"/>
  <c r="C274" i="25"/>
  <c r="F274" i="25"/>
  <c r="C275" i="25" l="1"/>
  <c r="F275" i="25"/>
  <c r="I275" i="25"/>
  <c r="A276" i="25" s="1"/>
  <c r="H275" i="25"/>
  <c r="J275" i="25" s="1"/>
  <c r="B275" i="25"/>
  <c r="E275" i="25"/>
  <c r="D275" i="25"/>
  <c r="G275" i="25"/>
  <c r="H276" i="25" l="1"/>
  <c r="J276" i="25" s="1"/>
  <c r="E276" i="25"/>
  <c r="I276" i="25"/>
  <c r="A277" i="25" s="1"/>
  <c r="D276" i="25"/>
  <c r="C276" i="25"/>
  <c r="F276" i="25"/>
  <c r="B276" i="25"/>
  <c r="G276" i="25"/>
  <c r="I277" i="25" l="1"/>
  <c r="A278" i="25" s="1"/>
  <c r="H277" i="25"/>
  <c r="J277" i="25" s="1"/>
  <c r="E277" i="25"/>
  <c r="D277" i="25"/>
  <c r="F277" i="25"/>
  <c r="G277" i="25"/>
  <c r="B277" i="25"/>
  <c r="C277" i="25"/>
  <c r="H278" i="25" l="1"/>
  <c r="J278" i="25" s="1"/>
  <c r="B278" i="25"/>
  <c r="F278" i="25"/>
  <c r="C278" i="25"/>
  <c r="E278" i="25"/>
  <c r="G278" i="25"/>
  <c r="I278" i="25"/>
  <c r="A279" i="25" s="1"/>
  <c r="D278" i="25"/>
  <c r="C279" i="25" l="1"/>
  <c r="E279" i="25"/>
  <c r="H279" i="25"/>
  <c r="J279" i="25" s="1"/>
  <c r="D279" i="25"/>
  <c r="G279" i="25"/>
  <c r="B279" i="25"/>
  <c r="F279" i="25"/>
  <c r="I279" i="25"/>
  <c r="A280" i="25" s="1"/>
  <c r="H280" i="25" l="1"/>
  <c r="J280" i="25" s="1"/>
  <c r="G280" i="25"/>
  <c r="E280" i="25"/>
  <c r="C280" i="25"/>
  <c r="F280" i="25"/>
  <c r="D280" i="25"/>
  <c r="B280" i="25"/>
  <c r="I280" i="25"/>
  <c r="A281" i="25" s="1"/>
  <c r="C281" i="25" l="1"/>
  <c r="H281" i="25"/>
  <c r="J281" i="25" s="1"/>
  <c r="E281" i="25"/>
  <c r="G281" i="25"/>
  <c r="D281" i="25"/>
  <c r="I281" i="25"/>
  <c r="A282" i="25" s="1"/>
  <c r="F281" i="25"/>
  <c r="B281" i="25"/>
  <c r="I282" i="25" l="1"/>
  <c r="A283" i="25" s="1"/>
  <c r="E282" i="25"/>
  <c r="H282" i="25"/>
  <c r="J282" i="25" s="1"/>
  <c r="C282" i="25"/>
  <c r="B282" i="25"/>
  <c r="G282" i="25"/>
  <c r="F282" i="25"/>
  <c r="D282" i="25"/>
  <c r="C283" i="25" l="1"/>
  <c r="G283" i="25"/>
  <c r="E283" i="25"/>
  <c r="H283" i="25"/>
  <c r="J283" i="25" s="1"/>
  <c r="F283" i="25"/>
  <c r="D283" i="25"/>
  <c r="B283" i="25"/>
  <c r="I283" i="25"/>
  <c r="A284" i="25" s="1"/>
  <c r="C284" i="25" l="1"/>
  <c r="B284" i="25"/>
  <c r="F284" i="25"/>
  <c r="E284" i="25"/>
  <c r="D284" i="25"/>
  <c r="H284" i="25"/>
  <c r="J284" i="25" s="1"/>
  <c r="G284" i="25"/>
  <c r="I284" i="25"/>
  <c r="A285" i="25" s="1"/>
  <c r="F285" i="25" l="1"/>
  <c r="G285" i="25"/>
  <c r="E285" i="25"/>
  <c r="H285" i="25"/>
  <c r="J285" i="25" s="1"/>
  <c r="D285" i="25"/>
  <c r="I285" i="25"/>
  <c r="A286" i="25" s="1"/>
  <c r="B285" i="25"/>
  <c r="C285" i="25"/>
  <c r="F286" i="25" l="1"/>
  <c r="D286" i="25"/>
  <c r="C286" i="25"/>
  <c r="B286" i="25"/>
  <c r="E286" i="25"/>
  <c r="H286" i="25"/>
  <c r="J286" i="25" s="1"/>
  <c r="I286" i="25"/>
  <c r="A287" i="25" s="1"/>
  <c r="G286" i="25"/>
  <c r="H287" i="25" l="1"/>
  <c r="J287" i="25" s="1"/>
  <c r="G287" i="25"/>
  <c r="D287" i="25"/>
  <c r="I287" i="25"/>
  <c r="A288" i="25" s="1"/>
  <c r="B287" i="25"/>
  <c r="C287" i="25"/>
  <c r="F287" i="25"/>
  <c r="E287" i="25"/>
  <c r="B288" i="25" l="1"/>
  <c r="D288" i="25"/>
  <c r="H288" i="25"/>
  <c r="J288" i="25" s="1"/>
  <c r="E288" i="25"/>
  <c r="I288" i="25"/>
  <c r="A289" i="25" s="1"/>
  <c r="G288" i="25"/>
  <c r="C288" i="25"/>
  <c r="F288" i="25"/>
  <c r="H289" i="25" l="1"/>
  <c r="J289" i="25" s="1"/>
  <c r="B289" i="25"/>
  <c r="I289" i="25"/>
  <c r="A290" i="25" s="1"/>
  <c r="E289" i="25"/>
  <c r="F289" i="25"/>
  <c r="G289" i="25"/>
  <c r="D289" i="25"/>
  <c r="C289" i="25"/>
  <c r="H290" i="25" l="1"/>
  <c r="J290" i="25" s="1"/>
  <c r="B290" i="25"/>
  <c r="G290" i="25"/>
  <c r="E290" i="25"/>
  <c r="C290" i="25"/>
  <c r="F290" i="25"/>
  <c r="D290" i="25"/>
  <c r="I290" i="25"/>
  <c r="A291" i="25" s="1"/>
  <c r="G291" i="25" l="1"/>
  <c r="D291" i="25"/>
  <c r="I291" i="25"/>
  <c r="A292" i="25" s="1"/>
  <c r="C291" i="25"/>
  <c r="F291" i="25"/>
  <c r="B291" i="25"/>
  <c r="E291" i="25"/>
  <c r="H291" i="25"/>
  <c r="J291" i="25" s="1"/>
  <c r="D292" i="25" l="1"/>
  <c r="G292" i="25"/>
  <c r="I292" i="25"/>
  <c r="A293" i="25" s="1"/>
  <c r="B292" i="25"/>
  <c r="E292" i="25"/>
  <c r="F292" i="25"/>
  <c r="H292" i="25"/>
  <c r="J292" i="25" s="1"/>
  <c r="C292" i="25"/>
  <c r="E293" i="25" l="1"/>
  <c r="F293" i="25"/>
  <c r="G293" i="25"/>
  <c r="H293" i="25"/>
  <c r="J293" i="25" s="1"/>
  <c r="I293" i="25"/>
  <c r="A294" i="25" s="1"/>
  <c r="D293" i="25"/>
  <c r="C293" i="25"/>
  <c r="B293" i="25"/>
  <c r="C294" i="25" l="1"/>
  <c r="E294" i="25"/>
  <c r="G294" i="25"/>
  <c r="D294" i="25"/>
  <c r="I294" i="25"/>
  <c r="A295" i="25" s="1"/>
  <c r="H294" i="25"/>
  <c r="J294" i="25" s="1"/>
  <c r="B294" i="25"/>
  <c r="F294" i="25"/>
  <c r="I295" i="25" l="1"/>
  <c r="A296" i="25" s="1"/>
  <c r="D295" i="25"/>
  <c r="E295" i="25"/>
  <c r="G295" i="25"/>
  <c r="B295" i="25"/>
  <c r="F295" i="25"/>
  <c r="C295" i="25"/>
  <c r="H295" i="25"/>
  <c r="J295" i="25" s="1"/>
  <c r="E296" i="25" l="1"/>
  <c r="F296" i="25"/>
  <c r="B296" i="25"/>
  <c r="H296" i="25"/>
  <c r="J296" i="25" s="1"/>
  <c r="D296" i="25"/>
  <c r="C296" i="25"/>
  <c r="G296" i="25"/>
  <c r="I296" i="25"/>
  <c r="A297" i="25" s="1"/>
  <c r="H297" i="25" l="1"/>
  <c r="J297" i="25" s="1"/>
  <c r="C297" i="25"/>
  <c r="B297" i="25"/>
  <c r="E297" i="25"/>
  <c r="I297" i="25"/>
  <c r="A298" i="25" s="1"/>
  <c r="D297" i="25"/>
  <c r="F297" i="25"/>
  <c r="G297" i="25"/>
  <c r="E298" i="25" l="1"/>
  <c r="F298" i="25"/>
  <c r="D298" i="25"/>
  <c r="B298" i="25"/>
  <c r="C298" i="25"/>
  <c r="G298" i="25"/>
  <c r="H298" i="25"/>
  <c r="J298" i="25" s="1"/>
  <c r="I298" i="25"/>
  <c r="A299" i="25" s="1"/>
  <c r="G299" i="25" l="1"/>
  <c r="B299" i="25"/>
  <c r="D299" i="25"/>
  <c r="E299" i="25"/>
  <c r="H299" i="25"/>
  <c r="J299" i="25" s="1"/>
  <c r="C299" i="25"/>
  <c r="I299" i="25"/>
  <c r="A300" i="25" s="1"/>
  <c r="F299" i="25"/>
  <c r="F300" i="25" l="1"/>
  <c r="B300" i="25"/>
  <c r="C300" i="25"/>
  <c r="G300" i="25"/>
  <c r="I300" i="25"/>
  <c r="A301" i="25" s="1"/>
  <c r="H300" i="25"/>
  <c r="J300" i="25" s="1"/>
  <c r="E300" i="25"/>
  <c r="D300" i="25"/>
  <c r="H301" i="25" l="1"/>
  <c r="J301" i="25" s="1"/>
  <c r="C301" i="25"/>
  <c r="D301" i="25"/>
  <c r="E301" i="25"/>
  <c r="G301" i="25"/>
  <c r="F301" i="25"/>
  <c r="B301" i="25"/>
  <c r="I301" i="25"/>
  <c r="A302" i="25" s="1"/>
  <c r="D302" i="25" l="1"/>
  <c r="C302" i="25"/>
  <c r="H302" i="25"/>
  <c r="J302" i="25" s="1"/>
  <c r="I302" i="25"/>
  <c r="A303" i="25" s="1"/>
  <c r="E302" i="25"/>
  <c r="F302" i="25"/>
  <c r="B302" i="25"/>
  <c r="G302" i="25"/>
  <c r="C303" i="25" l="1"/>
  <c r="F303" i="25"/>
  <c r="I303" i="25"/>
  <c r="A304" i="25" s="1"/>
  <c r="E303" i="25"/>
  <c r="H303" i="25"/>
  <c r="J303" i="25" s="1"/>
  <c r="D303" i="25"/>
  <c r="G303" i="25"/>
  <c r="B303" i="25"/>
  <c r="E304" i="25" l="1"/>
  <c r="G304" i="25"/>
  <c r="H304" i="25"/>
  <c r="J304" i="25" s="1"/>
  <c r="B304" i="25"/>
  <c r="D304" i="25"/>
  <c r="F304" i="25"/>
  <c r="C304" i="25"/>
  <c r="I304" i="25"/>
  <c r="A305" i="25" s="1"/>
  <c r="D305" i="25" l="1"/>
  <c r="C305" i="25"/>
  <c r="E305" i="25"/>
  <c r="F305" i="25"/>
  <c r="G305" i="25"/>
  <c r="H305" i="25"/>
  <c r="J305" i="25" s="1"/>
  <c r="B305" i="25"/>
  <c r="I305" i="25"/>
  <c r="A306" i="25" s="1"/>
  <c r="F306" i="25" l="1"/>
  <c r="E306" i="25"/>
  <c r="I306" i="25"/>
  <c r="A307" i="25" s="1"/>
  <c r="C306" i="25"/>
  <c r="G306" i="25"/>
  <c r="D306" i="25"/>
  <c r="H306" i="25"/>
  <c r="J306" i="25" s="1"/>
  <c r="B306" i="25"/>
  <c r="D307" i="25" l="1"/>
  <c r="C307" i="25"/>
  <c r="B307" i="25"/>
  <c r="E307" i="25"/>
  <c r="H307" i="25"/>
  <c r="J307" i="25" s="1"/>
  <c r="G307" i="25"/>
  <c r="I307" i="25"/>
  <c r="A308" i="25" s="1"/>
  <c r="F307" i="25"/>
  <c r="B308" i="25" l="1"/>
  <c r="F308" i="25"/>
  <c r="I308" i="25"/>
  <c r="A309" i="25" s="1"/>
  <c r="E308" i="25"/>
  <c r="D308" i="25"/>
  <c r="H308" i="25"/>
  <c r="J308" i="25" s="1"/>
  <c r="C308" i="25"/>
  <c r="G308" i="25"/>
  <c r="C309" i="25" l="1"/>
  <c r="G309" i="25"/>
  <c r="I309" i="25"/>
  <c r="A310" i="25" s="1"/>
  <c r="D309" i="25"/>
  <c r="B309" i="25"/>
  <c r="F309" i="25"/>
  <c r="H309" i="25"/>
  <c r="J309" i="25" s="1"/>
  <c r="E309" i="25"/>
  <c r="F310" i="25" l="1"/>
  <c r="D310" i="25"/>
  <c r="I310" i="25"/>
  <c r="A311" i="25" s="1"/>
  <c r="B310" i="25"/>
  <c r="H310" i="25"/>
  <c r="J310" i="25" s="1"/>
  <c r="E310" i="25"/>
  <c r="C310" i="25"/>
  <c r="G310" i="25"/>
  <c r="G311" i="25" l="1"/>
  <c r="I311" i="25"/>
  <c r="A312" i="25" s="1"/>
  <c r="E311" i="25"/>
  <c r="B311" i="25"/>
  <c r="F311" i="25"/>
  <c r="H311" i="25"/>
  <c r="J311" i="25" s="1"/>
  <c r="D311" i="25"/>
  <c r="C311" i="25"/>
  <c r="D312" i="25" l="1"/>
  <c r="I312" i="25"/>
  <c r="A313" i="25" s="1"/>
  <c r="B312" i="25"/>
  <c r="C312" i="25"/>
  <c r="E312" i="25"/>
  <c r="G312" i="25"/>
  <c r="H312" i="25"/>
  <c r="J312" i="25" s="1"/>
  <c r="F312" i="25"/>
  <c r="C313" i="25" l="1"/>
  <c r="E313" i="25"/>
  <c r="G313" i="25"/>
  <c r="I313" i="25"/>
  <c r="A314" i="25" s="1"/>
  <c r="B313" i="25"/>
  <c r="D313" i="25"/>
  <c r="H313" i="25"/>
  <c r="J313" i="25" s="1"/>
  <c r="F313" i="25"/>
  <c r="G314" i="25" l="1"/>
  <c r="F314" i="25"/>
  <c r="I314" i="25"/>
  <c r="A315" i="25" s="1"/>
  <c r="D314" i="25"/>
  <c r="B314" i="25"/>
  <c r="H314" i="25"/>
  <c r="J314" i="25" s="1"/>
  <c r="C314" i="25"/>
  <c r="E314" i="25"/>
  <c r="E315" i="25" l="1"/>
  <c r="G315" i="25"/>
  <c r="F315" i="25"/>
  <c r="I315" i="25"/>
  <c r="A316" i="25" s="1"/>
  <c r="D315" i="25"/>
  <c r="B315" i="25"/>
  <c r="C315" i="25"/>
  <c r="H315" i="25"/>
  <c r="J315" i="25" s="1"/>
  <c r="G316" i="25" l="1"/>
  <c r="I316" i="25"/>
  <c r="A317" i="25" s="1"/>
  <c r="B316" i="25"/>
  <c r="E316" i="25"/>
  <c r="C316" i="25"/>
  <c r="H316" i="25"/>
  <c r="J316" i="25" s="1"/>
  <c r="D316" i="25"/>
  <c r="F316" i="25"/>
  <c r="C317" i="25" l="1"/>
  <c r="G317" i="25"/>
  <c r="I317" i="25"/>
  <c r="A318" i="25" s="1"/>
  <c r="D317" i="25"/>
  <c r="F317" i="25"/>
  <c r="E317" i="25"/>
  <c r="H317" i="25"/>
  <c r="J317" i="25" s="1"/>
  <c r="B317" i="25"/>
  <c r="I318" i="25" l="1"/>
  <c r="A319" i="25" s="1"/>
  <c r="H318" i="25"/>
  <c r="J318" i="25" s="1"/>
  <c r="B318" i="25"/>
  <c r="G318" i="25"/>
  <c r="D318" i="25"/>
  <c r="E318" i="25"/>
  <c r="F318" i="25"/>
  <c r="C318" i="25"/>
  <c r="G319" i="25" l="1"/>
  <c r="F319" i="25"/>
  <c r="H319" i="25"/>
  <c r="J319" i="25" s="1"/>
  <c r="D319" i="25"/>
  <c r="C319" i="25"/>
  <c r="E319" i="25"/>
  <c r="I319" i="25"/>
  <c r="A320" i="25" s="1"/>
  <c r="B319" i="25"/>
  <c r="E320" i="25" l="1"/>
  <c r="G320" i="25"/>
  <c r="D320" i="25"/>
  <c r="I320" i="25"/>
  <c r="A321" i="25" s="1"/>
  <c r="H320" i="25"/>
  <c r="J320" i="25" s="1"/>
  <c r="B320" i="25"/>
  <c r="C320" i="25"/>
  <c r="F320" i="25"/>
  <c r="H321" i="25" l="1"/>
  <c r="J321" i="25" s="1"/>
  <c r="B321" i="25"/>
  <c r="D321" i="25"/>
  <c r="E321" i="25"/>
  <c r="F321" i="25"/>
  <c r="C321" i="25"/>
  <c r="I321" i="25"/>
  <c r="A322" i="25" s="1"/>
  <c r="G321" i="25"/>
  <c r="F322" i="25" l="1"/>
  <c r="I322" i="25"/>
  <c r="A323" i="25" s="1"/>
  <c r="G322" i="25"/>
  <c r="C322" i="25"/>
  <c r="B322" i="25"/>
  <c r="D322" i="25"/>
  <c r="H322" i="25"/>
  <c r="J322" i="25" s="1"/>
  <c r="E322" i="25"/>
  <c r="B323" i="25" l="1"/>
  <c r="C323" i="25"/>
  <c r="E323" i="25"/>
  <c r="D323" i="25"/>
  <c r="I323" i="25"/>
  <c r="A324" i="25" s="1"/>
  <c r="F323" i="25"/>
  <c r="H323" i="25"/>
  <c r="J323" i="25" s="1"/>
  <c r="G323" i="25"/>
  <c r="F324" i="25" l="1"/>
  <c r="G324" i="25"/>
  <c r="D324" i="25"/>
  <c r="E324" i="25"/>
  <c r="I324" i="25"/>
  <c r="A325" i="25" s="1"/>
  <c r="B324" i="25"/>
  <c r="H324" i="25"/>
  <c r="J324" i="25" s="1"/>
  <c r="C324" i="25"/>
  <c r="C325" i="25" l="1"/>
  <c r="H325" i="25"/>
  <c r="J325" i="25" s="1"/>
  <c r="D325" i="25"/>
  <c r="F325" i="25"/>
  <c r="G325" i="25"/>
  <c r="B325" i="25"/>
  <c r="I325" i="25"/>
  <c r="A326" i="25" s="1"/>
  <c r="E325" i="25"/>
  <c r="B326" i="25" l="1"/>
  <c r="C326" i="25"/>
  <c r="F326" i="25"/>
  <c r="G326" i="25"/>
  <c r="I326" i="25"/>
  <c r="A327" i="25" s="1"/>
  <c r="E326" i="25"/>
  <c r="D326" i="25"/>
  <c r="H326" i="25"/>
  <c r="J326" i="25" s="1"/>
  <c r="G327" i="25" l="1"/>
  <c r="H327" i="25"/>
  <c r="J327" i="25" s="1"/>
  <c r="B327" i="25"/>
  <c r="E327" i="25"/>
  <c r="I327" i="25"/>
  <c r="A328" i="25" s="1"/>
  <c r="C327" i="25"/>
  <c r="D327" i="25"/>
  <c r="F327" i="25"/>
  <c r="F328" i="25" l="1"/>
  <c r="I328" i="25"/>
  <c r="A329" i="25" s="1"/>
  <c r="B328" i="25"/>
  <c r="H328" i="25"/>
  <c r="J328" i="25" s="1"/>
  <c r="E328" i="25"/>
  <c r="G328" i="25"/>
  <c r="C328" i="25"/>
  <c r="D328" i="25"/>
  <c r="B329" i="25" l="1"/>
  <c r="F329" i="25"/>
  <c r="I329" i="25"/>
  <c r="A330" i="25" s="1"/>
  <c r="H329" i="25"/>
  <c r="J329" i="25" s="1"/>
  <c r="C329" i="25"/>
  <c r="D329" i="25"/>
  <c r="E329" i="25"/>
  <c r="G329" i="25"/>
  <c r="G330" i="25" l="1"/>
  <c r="D330" i="25"/>
  <c r="C330" i="25"/>
  <c r="H330" i="25"/>
  <c r="J330" i="25" s="1"/>
  <c r="E330" i="25"/>
  <c r="F330" i="25"/>
  <c r="I330" i="25"/>
  <c r="A331" i="25" s="1"/>
  <c r="B330" i="25"/>
  <c r="F331" i="25" l="1"/>
  <c r="C331" i="25"/>
  <c r="H331" i="25"/>
  <c r="J331" i="25" s="1"/>
  <c r="D331" i="25"/>
  <c r="E331" i="25"/>
  <c r="B331" i="25"/>
  <c r="G331" i="25"/>
  <c r="I331" i="25"/>
  <c r="A332" i="25" s="1"/>
  <c r="F332" i="25" l="1"/>
  <c r="H332" i="25"/>
  <c r="J332" i="25" s="1"/>
  <c r="D332" i="25"/>
  <c r="I332" i="25"/>
  <c r="A333" i="25" s="1"/>
  <c r="C332" i="25"/>
  <c r="G332" i="25"/>
  <c r="B332" i="25"/>
  <c r="E332" i="25"/>
  <c r="D333" i="25" l="1"/>
  <c r="E333" i="25"/>
  <c r="F333" i="25"/>
  <c r="B333" i="25"/>
  <c r="I333" i="25"/>
  <c r="A334" i="25" s="1"/>
  <c r="G333" i="25"/>
  <c r="C333" i="25"/>
  <c r="H333" i="25"/>
  <c r="J333" i="25" s="1"/>
  <c r="I334" i="25" l="1"/>
  <c r="A335" i="25" s="1"/>
  <c r="C334" i="25"/>
  <c r="D334" i="25"/>
  <c r="G334" i="25"/>
  <c r="B334" i="25"/>
  <c r="E334" i="25"/>
  <c r="F334" i="25"/>
  <c r="H334" i="25"/>
  <c r="J334" i="25" s="1"/>
  <c r="H335" i="25" l="1"/>
  <c r="J335" i="25" s="1"/>
  <c r="D335" i="25"/>
  <c r="E335" i="25"/>
  <c r="B335" i="25"/>
  <c r="C335" i="25"/>
  <c r="I335" i="25"/>
  <c r="A336" i="25" s="1"/>
  <c r="G335" i="25"/>
  <c r="F335" i="25"/>
  <c r="F336" i="25" l="1"/>
  <c r="D336" i="25"/>
  <c r="G336" i="25"/>
  <c r="E336" i="25"/>
  <c r="H336" i="25"/>
  <c r="J336" i="25" s="1"/>
  <c r="C336" i="25"/>
  <c r="B336" i="25"/>
  <c r="I336" i="25"/>
  <c r="A337" i="25" s="1"/>
  <c r="B337" i="25" l="1"/>
  <c r="H337" i="25"/>
  <c r="J337" i="25" s="1"/>
  <c r="D337" i="25"/>
  <c r="G337" i="25"/>
  <c r="F337" i="25"/>
  <c r="I337" i="25"/>
  <c r="A338" i="25" s="1"/>
  <c r="E337" i="25"/>
  <c r="C337" i="25"/>
  <c r="B338" i="25" l="1"/>
  <c r="G338" i="25"/>
  <c r="H338" i="25"/>
  <c r="J338" i="25" s="1"/>
  <c r="E338" i="25"/>
  <c r="D338" i="25"/>
  <c r="C338" i="25"/>
  <c r="F338" i="25"/>
  <c r="I338" i="25"/>
  <c r="A339" i="25" s="1"/>
  <c r="G339" i="25" l="1"/>
  <c r="D339" i="25"/>
  <c r="I339" i="25"/>
  <c r="A340" i="25" s="1"/>
  <c r="F339" i="25"/>
  <c r="C339" i="25"/>
  <c r="H339" i="25"/>
  <c r="J339" i="25" s="1"/>
  <c r="B339" i="25"/>
  <c r="E339" i="25"/>
  <c r="E340" i="25" l="1"/>
  <c r="F340" i="25"/>
  <c r="I340" i="25"/>
  <c r="A341" i="25" s="1"/>
  <c r="C340" i="25"/>
  <c r="G340" i="25"/>
  <c r="B340" i="25"/>
  <c r="D340" i="25"/>
  <c r="H340" i="25"/>
  <c r="J340" i="25" s="1"/>
  <c r="D341" i="25" l="1"/>
  <c r="B341" i="25"/>
  <c r="C341" i="25"/>
  <c r="G341" i="25"/>
  <c r="F341" i="25"/>
  <c r="E341" i="25"/>
  <c r="I341" i="25"/>
  <c r="A342" i="25" s="1"/>
  <c r="H341" i="25"/>
  <c r="J341" i="25" s="1"/>
  <c r="I342" i="25" l="1"/>
  <c r="A343" i="25" s="1"/>
  <c r="H342" i="25"/>
  <c r="J342" i="25" s="1"/>
  <c r="D342" i="25"/>
  <c r="B342" i="25"/>
  <c r="C342" i="25"/>
  <c r="F342" i="25"/>
  <c r="G342" i="25"/>
  <c r="E342" i="25"/>
  <c r="E343" i="25" l="1"/>
  <c r="I343" i="25"/>
  <c r="A344" i="25" s="1"/>
  <c r="D343" i="25"/>
  <c r="H343" i="25"/>
  <c r="J343" i="25" s="1"/>
  <c r="C343" i="25"/>
  <c r="G343" i="25"/>
  <c r="B343" i="25"/>
  <c r="F343" i="25"/>
  <c r="E344" i="25" l="1"/>
  <c r="C344" i="25"/>
  <c r="H344" i="25"/>
  <c r="J344" i="25" s="1"/>
  <c r="I344" i="25"/>
  <c r="A345" i="25" s="1"/>
  <c r="F344" i="25"/>
  <c r="B344" i="25"/>
  <c r="G344" i="25"/>
  <c r="D344" i="25"/>
  <c r="G345" i="25" l="1"/>
  <c r="H345" i="25"/>
  <c r="J345" i="25" s="1"/>
  <c r="I345" i="25"/>
  <c r="A346" i="25" s="1"/>
  <c r="E345" i="25"/>
  <c r="F345" i="25"/>
  <c r="D345" i="25"/>
  <c r="C345" i="25"/>
  <c r="B345" i="25"/>
  <c r="I346" i="25" l="1"/>
  <c r="A347" i="25" s="1"/>
  <c r="C346" i="25"/>
  <c r="D346" i="25"/>
  <c r="F346" i="25"/>
  <c r="G346" i="25"/>
  <c r="E346" i="25"/>
  <c r="B346" i="25"/>
  <c r="H346" i="25"/>
  <c r="J346" i="25" s="1"/>
  <c r="E347" i="25" l="1"/>
  <c r="F347" i="25"/>
  <c r="D347" i="25"/>
  <c r="I347" i="25"/>
  <c r="A348" i="25" s="1"/>
  <c r="C347" i="25"/>
  <c r="B347" i="25"/>
  <c r="G347" i="25"/>
  <c r="H347" i="25"/>
  <c r="J347" i="25" s="1"/>
  <c r="E348" i="25" l="1"/>
  <c r="F348" i="25"/>
  <c r="C348" i="25"/>
  <c r="G348" i="25"/>
  <c r="I348" i="25"/>
  <c r="A349" i="25" s="1"/>
  <c r="D348" i="25"/>
  <c r="H348" i="25"/>
  <c r="J348" i="25" s="1"/>
  <c r="B348" i="25"/>
  <c r="D349" i="25" l="1"/>
  <c r="I349" i="25"/>
  <c r="A350" i="25" s="1"/>
  <c r="B349" i="25"/>
  <c r="G349" i="25"/>
  <c r="E349" i="25"/>
  <c r="C349" i="25"/>
  <c r="H349" i="25"/>
  <c r="J349" i="25" s="1"/>
  <c r="F349" i="25"/>
  <c r="B350" i="25" l="1"/>
  <c r="C350" i="25"/>
  <c r="D350" i="25"/>
  <c r="H350" i="25"/>
  <c r="J350" i="25" s="1"/>
  <c r="E350" i="25"/>
  <c r="G350" i="25"/>
  <c r="F350" i="25"/>
  <c r="I350" i="25"/>
  <c r="A351" i="25" s="1"/>
  <c r="G351" i="25" l="1"/>
  <c r="D351" i="25"/>
  <c r="E351" i="25"/>
  <c r="F351" i="25"/>
  <c r="C351" i="25"/>
  <c r="H351" i="25"/>
  <c r="J351" i="25" s="1"/>
  <c r="B351" i="25"/>
  <c r="I351" i="25"/>
  <c r="A352" i="25" s="1"/>
  <c r="G352" i="25" l="1"/>
  <c r="E352" i="25"/>
  <c r="D352" i="25"/>
  <c r="H352" i="25"/>
  <c r="J352" i="25" s="1"/>
  <c r="F352" i="25"/>
  <c r="C352" i="25"/>
  <c r="B352" i="25"/>
  <c r="I352" i="25"/>
  <c r="A353" i="25" s="1"/>
  <c r="D353" i="25" l="1"/>
  <c r="C353" i="25"/>
  <c r="G353" i="25"/>
  <c r="F353" i="25"/>
  <c r="H353" i="25"/>
  <c r="J353" i="25" s="1"/>
  <c r="I353" i="25"/>
  <c r="A354" i="25" s="1"/>
  <c r="B353" i="25"/>
  <c r="E353" i="25"/>
  <c r="B354" i="25" l="1"/>
  <c r="I354" i="25"/>
  <c r="A355" i="25" s="1"/>
  <c r="G354" i="25"/>
  <c r="H354" i="25"/>
  <c r="J354" i="25" s="1"/>
  <c r="C354" i="25"/>
  <c r="D354" i="25"/>
  <c r="F354" i="25"/>
  <c r="E354" i="25"/>
  <c r="F355" i="25" l="1"/>
  <c r="B355" i="25"/>
  <c r="I355" i="25"/>
  <c r="A356" i="25" s="1"/>
  <c r="H355" i="25"/>
  <c r="J355" i="25" s="1"/>
  <c r="C355" i="25"/>
  <c r="D355" i="25"/>
  <c r="G355" i="25"/>
  <c r="E355" i="25"/>
  <c r="G356" i="25" l="1"/>
  <c r="B356" i="25"/>
  <c r="C356" i="25"/>
  <c r="F356" i="25"/>
  <c r="I356" i="25"/>
  <c r="A357" i="25" s="1"/>
  <c r="E356" i="25"/>
  <c r="H356" i="25"/>
  <c r="J356" i="25" s="1"/>
  <c r="D356" i="25"/>
  <c r="D357" i="25" l="1"/>
  <c r="H357" i="25"/>
  <c r="J357" i="25" s="1"/>
  <c r="I357" i="25"/>
  <c r="A358" i="25" s="1"/>
  <c r="F357" i="25"/>
  <c r="G357" i="25"/>
  <c r="E357" i="25"/>
  <c r="C357" i="25"/>
  <c r="B357" i="25"/>
  <c r="C358" i="25" l="1"/>
  <c r="F358" i="25"/>
  <c r="D358" i="25"/>
  <c r="I358" i="25"/>
  <c r="A359" i="25" s="1"/>
  <c r="E358" i="25"/>
  <c r="H358" i="25"/>
  <c r="J358" i="25" s="1"/>
  <c r="B358" i="25"/>
  <c r="G358" i="25"/>
  <c r="H359" i="25" l="1"/>
  <c r="J359" i="25" s="1"/>
  <c r="G359" i="25"/>
  <c r="D359" i="25"/>
  <c r="I359" i="25"/>
  <c r="A360" i="25" s="1"/>
  <c r="B359" i="25"/>
  <c r="C359" i="25"/>
  <c r="F359" i="25"/>
  <c r="E359" i="25"/>
  <c r="G360" i="25" l="1"/>
  <c r="E360" i="25"/>
  <c r="I360" i="25"/>
  <c r="A361" i="25" s="1"/>
  <c r="C360" i="25"/>
  <c r="F360" i="25"/>
  <c r="D360" i="25"/>
  <c r="H360" i="25"/>
  <c r="J360" i="25" s="1"/>
  <c r="B360" i="25"/>
  <c r="E361" i="25" l="1"/>
  <c r="H361" i="25"/>
  <c r="J361" i="25" s="1"/>
  <c r="D361" i="25"/>
  <c r="G361" i="25"/>
  <c r="B361" i="25"/>
  <c r="F361" i="25"/>
  <c r="I361" i="25"/>
  <c r="A362" i="25" s="1"/>
  <c r="C361" i="25"/>
  <c r="C362" i="25" l="1"/>
  <c r="I362" i="25"/>
  <c r="A363" i="25" s="1"/>
  <c r="H362" i="25"/>
  <c r="J362" i="25" s="1"/>
  <c r="D362" i="25"/>
  <c r="B362" i="25"/>
  <c r="E362" i="25"/>
  <c r="G362" i="25"/>
  <c r="F362" i="25"/>
  <c r="F363" i="25" l="1"/>
  <c r="H363" i="25"/>
  <c r="J363" i="25" s="1"/>
  <c r="I363" i="25"/>
  <c r="A364" i="25" s="1"/>
  <c r="C363" i="25"/>
  <c r="E363" i="25"/>
  <c r="D363" i="25"/>
  <c r="G363" i="25"/>
  <c r="B363" i="25"/>
  <c r="F364" i="25" l="1"/>
  <c r="I364" i="25"/>
  <c r="A365" i="25" s="1"/>
  <c r="H364" i="25"/>
  <c r="J364" i="25" s="1"/>
  <c r="C364" i="25"/>
  <c r="B364" i="25"/>
  <c r="G364" i="25"/>
  <c r="E364" i="25"/>
  <c r="D364" i="25"/>
  <c r="B365" i="25" l="1"/>
  <c r="F365" i="25"/>
  <c r="G365" i="25"/>
  <c r="D365" i="25"/>
  <c r="H365" i="25"/>
  <c r="J365" i="25" s="1"/>
  <c r="E365" i="25"/>
  <c r="I365" i="25"/>
  <c r="A366" i="25" s="1"/>
  <c r="C365" i="25"/>
  <c r="F366" i="25" l="1"/>
  <c r="G366" i="25"/>
  <c r="E366" i="25"/>
  <c r="H366" i="25"/>
  <c r="J366" i="25" s="1"/>
  <c r="I366" i="25"/>
  <c r="A367" i="25" s="1"/>
  <c r="D366" i="25"/>
  <c r="C366" i="25"/>
  <c r="B366" i="25"/>
  <c r="G367" i="25" l="1"/>
  <c r="D367" i="25"/>
  <c r="I367" i="25"/>
  <c r="A368" i="25" s="1"/>
  <c r="H367" i="25"/>
  <c r="J367" i="25" s="1"/>
  <c r="F367" i="25"/>
  <c r="C367" i="25"/>
  <c r="B367" i="25"/>
  <c r="E367" i="25"/>
  <c r="I368" i="25" l="1"/>
  <c r="A369" i="25" s="1"/>
  <c r="D368" i="25"/>
  <c r="E368" i="25"/>
  <c r="B368" i="25"/>
  <c r="C368" i="25"/>
  <c r="G368" i="25"/>
  <c r="H368" i="25"/>
  <c r="J368" i="25" s="1"/>
  <c r="F368" i="25"/>
  <c r="I369" i="25" l="1"/>
  <c r="A370" i="25" s="1"/>
  <c r="B369" i="25"/>
  <c r="H369" i="25"/>
  <c r="J369" i="25" s="1"/>
  <c r="E369" i="25"/>
  <c r="C369" i="25"/>
  <c r="F369" i="25"/>
  <c r="D369" i="25"/>
  <c r="G369" i="25"/>
  <c r="G370" i="25" l="1"/>
  <c r="D370" i="25"/>
  <c r="B370" i="25"/>
  <c r="C370" i="25"/>
  <c r="H370" i="25"/>
  <c r="J370" i="25" s="1"/>
  <c r="E370" i="25"/>
  <c r="F370" i="25"/>
  <c r="I370" i="25"/>
  <c r="A371" i="25" s="1"/>
  <c r="I371" i="25" l="1"/>
  <c r="A372" i="25" s="1"/>
  <c r="C371" i="25"/>
  <c r="G371" i="25"/>
  <c r="E371" i="25"/>
  <c r="B371" i="25"/>
  <c r="F371" i="25"/>
  <c r="H371" i="25"/>
  <c r="J371" i="25" s="1"/>
  <c r="D371" i="25"/>
  <c r="G372" i="25" l="1"/>
  <c r="D372" i="25"/>
  <c r="C372" i="25"/>
  <c r="I372" i="25"/>
  <c r="A373" i="25" s="1"/>
  <c r="B372" i="25"/>
  <c r="F372" i="25"/>
  <c r="H372" i="25"/>
  <c r="J372" i="25" s="1"/>
  <c r="E372" i="25"/>
  <c r="F373" i="25" l="1"/>
  <c r="E373" i="25"/>
  <c r="G373" i="25"/>
  <c r="H373" i="25"/>
  <c r="J373" i="25" s="1"/>
  <c r="I373" i="25"/>
  <c r="A374" i="25" s="1"/>
  <c r="D373" i="25"/>
  <c r="C373" i="25"/>
  <c r="B373" i="25"/>
  <c r="C374" i="25" l="1"/>
  <c r="F374" i="25"/>
  <c r="I374" i="25"/>
  <c r="A375" i="25" s="1"/>
  <c r="H374" i="25"/>
  <c r="J374" i="25" s="1"/>
  <c r="D374" i="25"/>
  <c r="B374" i="25"/>
  <c r="G374" i="25"/>
  <c r="E374" i="25"/>
  <c r="D375" i="25" l="1"/>
  <c r="G375" i="25"/>
  <c r="B375" i="25"/>
  <c r="I375" i="25"/>
  <c r="A376" i="25" s="1"/>
  <c r="F375" i="25"/>
  <c r="H375" i="25"/>
  <c r="J375" i="25" s="1"/>
  <c r="E375" i="25"/>
  <c r="C375" i="25"/>
  <c r="G376" i="25" l="1"/>
  <c r="I376" i="25"/>
  <c r="A377" i="25" s="1"/>
  <c r="E376" i="25"/>
  <c r="H376" i="25"/>
  <c r="J376" i="25" s="1"/>
  <c r="C376" i="25"/>
  <c r="B376" i="25"/>
  <c r="D376" i="25"/>
  <c r="F376" i="25"/>
  <c r="I377" i="25" l="1"/>
  <c r="A378" i="25" s="1"/>
  <c r="F377" i="25"/>
  <c r="E377" i="25"/>
  <c r="C377" i="25"/>
  <c r="B377" i="25"/>
  <c r="G377" i="25"/>
  <c r="D377" i="25"/>
  <c r="H377" i="25"/>
  <c r="J377" i="25" s="1"/>
  <c r="B378" i="25" l="1"/>
  <c r="C378" i="25"/>
  <c r="F378" i="25"/>
  <c r="D378" i="25"/>
  <c r="I378" i="25"/>
  <c r="A379" i="25" s="1"/>
  <c r="H378" i="25"/>
  <c r="J378" i="25" s="1"/>
  <c r="E378" i="25"/>
  <c r="G378" i="25"/>
  <c r="G379" i="25" l="1"/>
  <c r="I379" i="25"/>
  <c r="A380" i="25" s="1"/>
  <c r="B379" i="25"/>
  <c r="E379" i="25"/>
  <c r="H379" i="25"/>
  <c r="J379" i="25" s="1"/>
  <c r="F379" i="25"/>
  <c r="D379" i="25"/>
  <c r="C379" i="25"/>
  <c r="E380" i="25" l="1"/>
  <c r="C380" i="25"/>
  <c r="D380" i="25"/>
  <c r="F380" i="25"/>
  <c r="H380" i="25"/>
  <c r="J380" i="25" s="1"/>
  <c r="I380" i="25"/>
  <c r="A381" i="25" s="1"/>
  <c r="B380" i="25"/>
  <c r="G380" i="25"/>
  <c r="B381" i="25" l="1"/>
  <c r="H381" i="25"/>
  <c r="J381" i="25" s="1"/>
  <c r="I381" i="25"/>
  <c r="A382" i="25" s="1"/>
  <c r="D381" i="25"/>
  <c r="E381" i="25"/>
  <c r="C381" i="25"/>
  <c r="G381" i="25"/>
  <c r="F381" i="25"/>
  <c r="B382" i="25" l="1"/>
  <c r="I382" i="25"/>
  <c r="A383" i="25" s="1"/>
  <c r="D382" i="25"/>
  <c r="F382" i="25"/>
  <c r="H382" i="25"/>
  <c r="J382" i="25" s="1"/>
  <c r="C382" i="25"/>
  <c r="E382" i="25"/>
  <c r="G382" i="25"/>
  <c r="H383" i="25" l="1"/>
  <c r="J383" i="25" s="1"/>
  <c r="G383" i="25"/>
  <c r="C383" i="25"/>
  <c r="I383" i="25"/>
  <c r="A384" i="25" s="1"/>
  <c r="F383" i="25"/>
  <c r="E383" i="25"/>
  <c r="B383" i="25"/>
  <c r="D383" i="25"/>
  <c r="F384" i="25" l="1"/>
  <c r="I384" i="25"/>
  <c r="A385" i="25" s="1"/>
  <c r="C384" i="25"/>
  <c r="G384" i="25"/>
  <c r="B384" i="25"/>
  <c r="H384" i="25"/>
  <c r="J384" i="25" s="1"/>
  <c r="E384" i="25"/>
  <c r="D384" i="25"/>
  <c r="D385" i="25" l="1"/>
  <c r="H385" i="25"/>
  <c r="J385" i="25" s="1"/>
  <c r="G385" i="25"/>
  <c r="E385" i="25"/>
  <c r="B385" i="25"/>
  <c r="F385" i="25"/>
  <c r="I385" i="25"/>
  <c r="A386" i="25" s="1"/>
  <c r="C385" i="25"/>
  <c r="F386" i="25" l="1"/>
  <c r="B386" i="25"/>
  <c r="D386" i="25"/>
  <c r="I386" i="25"/>
  <c r="A387" i="25" s="1"/>
  <c r="G386" i="25"/>
  <c r="E386" i="25"/>
  <c r="H386" i="25"/>
  <c r="J386" i="25" s="1"/>
  <c r="C386" i="25"/>
  <c r="H387" i="25" l="1"/>
  <c r="J387" i="25" s="1"/>
  <c r="B387" i="25"/>
  <c r="C387" i="25"/>
  <c r="F387" i="25"/>
  <c r="G387" i="25"/>
  <c r="E387" i="25"/>
  <c r="I387" i="25"/>
  <c r="A388" i="25" s="1"/>
  <c r="D387" i="25"/>
  <c r="F388" i="25" l="1"/>
  <c r="I388" i="25"/>
  <c r="A389" i="25" s="1"/>
  <c r="D388" i="25"/>
  <c r="H388" i="25"/>
  <c r="J388" i="25" s="1"/>
  <c r="G388" i="25"/>
  <c r="B388" i="25"/>
  <c r="E388" i="25"/>
  <c r="C388" i="25"/>
  <c r="D389" i="25" l="1"/>
  <c r="H389" i="25"/>
  <c r="J389" i="25" s="1"/>
  <c r="G389" i="25"/>
  <c r="E389" i="25"/>
  <c r="C389" i="25"/>
  <c r="B389" i="25"/>
  <c r="I389" i="25"/>
  <c r="A390" i="25" s="1"/>
  <c r="F389" i="25"/>
  <c r="I390" i="25" l="1"/>
  <c r="A391" i="25" s="1"/>
  <c r="D390" i="25"/>
  <c r="F390" i="25"/>
  <c r="E390" i="25"/>
  <c r="B390" i="25"/>
  <c r="H390" i="25"/>
  <c r="J390" i="25" s="1"/>
  <c r="C390" i="25"/>
  <c r="G390" i="25"/>
  <c r="G391" i="25" l="1"/>
  <c r="F391" i="25"/>
  <c r="E391" i="25"/>
  <c r="D391" i="25"/>
  <c r="I391" i="25"/>
  <c r="A392" i="25" s="1"/>
  <c r="H391" i="25"/>
  <c r="J391" i="25" s="1"/>
  <c r="B391" i="25"/>
  <c r="C391" i="25"/>
  <c r="I392" i="25" l="1"/>
  <c r="A393" i="25" s="1"/>
  <c r="D392" i="25"/>
  <c r="H392" i="25"/>
  <c r="J392" i="25" s="1"/>
  <c r="E392" i="25"/>
  <c r="B392" i="25"/>
  <c r="F392" i="25"/>
  <c r="C392" i="25"/>
  <c r="G392" i="25"/>
  <c r="I393" i="25" l="1"/>
  <c r="A394" i="25" s="1"/>
  <c r="E393" i="25"/>
  <c r="D393" i="25"/>
  <c r="B393" i="25"/>
  <c r="G393" i="25"/>
  <c r="F393" i="25"/>
  <c r="H393" i="25"/>
  <c r="J393" i="25" s="1"/>
  <c r="C393" i="25"/>
  <c r="B394" i="25" l="1"/>
  <c r="D394" i="25"/>
  <c r="G394" i="25"/>
  <c r="E394" i="25"/>
  <c r="C394" i="25"/>
  <c r="I394" i="25"/>
  <c r="A395" i="25" s="1"/>
  <c r="H394" i="25"/>
  <c r="J394" i="25" s="1"/>
  <c r="F394" i="25"/>
  <c r="G395" i="25" l="1"/>
  <c r="E395" i="25"/>
  <c r="H395" i="25"/>
  <c r="J395" i="25" s="1"/>
  <c r="C395" i="25"/>
  <c r="D395" i="25"/>
  <c r="F395" i="25"/>
  <c r="B395" i="25"/>
  <c r="I395" i="25"/>
  <c r="A396" i="25" s="1"/>
  <c r="G396" i="25" l="1"/>
  <c r="H396" i="25"/>
  <c r="J396" i="25" s="1"/>
  <c r="D396" i="25"/>
  <c r="E396" i="25"/>
  <c r="F396" i="25"/>
  <c r="I396" i="25"/>
  <c r="A397" i="25" s="1"/>
  <c r="B396" i="25"/>
  <c r="C396" i="25"/>
  <c r="G397" i="25" l="1"/>
  <c r="C397" i="25"/>
  <c r="F397" i="25"/>
  <c r="I397" i="25"/>
  <c r="A398" i="25" s="1"/>
  <c r="H397" i="25"/>
  <c r="J397" i="25" s="1"/>
  <c r="B397" i="25"/>
  <c r="D397" i="25"/>
  <c r="E397" i="25"/>
  <c r="C398" i="25" l="1"/>
  <c r="D398" i="25"/>
  <c r="I398" i="25"/>
  <c r="A399" i="25" s="1"/>
  <c r="F398" i="25"/>
  <c r="B398" i="25"/>
  <c r="H398" i="25"/>
  <c r="J398" i="25" s="1"/>
  <c r="G398" i="25"/>
  <c r="E398" i="25"/>
  <c r="F399" i="25" l="1"/>
  <c r="H399" i="25"/>
  <c r="J399" i="25" s="1"/>
  <c r="E399" i="25"/>
  <c r="G399" i="25"/>
  <c r="B399" i="25"/>
  <c r="D399" i="25"/>
  <c r="C399" i="25"/>
  <c r="I399" i="25"/>
  <c r="A400" i="25" s="1"/>
  <c r="E400" i="25" l="1"/>
  <c r="I400" i="25"/>
  <c r="A401" i="25" s="1"/>
  <c r="D400" i="25"/>
  <c r="B400" i="25"/>
  <c r="G400" i="25"/>
  <c r="C400" i="25"/>
  <c r="H400" i="25"/>
  <c r="J400" i="25" s="1"/>
  <c r="F400" i="25"/>
  <c r="D401" i="25" l="1"/>
  <c r="G401" i="25"/>
  <c r="E401" i="25"/>
  <c r="I401" i="25"/>
  <c r="A402" i="25" s="1"/>
  <c r="H401" i="25"/>
  <c r="J401" i="25" s="1"/>
  <c r="B401" i="25"/>
  <c r="C401" i="25"/>
  <c r="F401" i="25"/>
  <c r="B402" i="25" l="1"/>
  <c r="C402" i="25"/>
  <c r="E402" i="25"/>
  <c r="G402" i="25"/>
  <c r="D402" i="25"/>
  <c r="F402" i="25"/>
  <c r="I402" i="25"/>
  <c r="A403" i="25" s="1"/>
  <c r="H402" i="25"/>
  <c r="J402" i="25" s="1"/>
  <c r="G403" i="25" l="1"/>
  <c r="E403" i="25"/>
  <c r="F403" i="25"/>
  <c r="H403" i="25"/>
  <c r="J403" i="25" s="1"/>
  <c r="C403" i="25"/>
  <c r="I403" i="25"/>
  <c r="A404" i="25" s="1"/>
  <c r="B403" i="25"/>
  <c r="D403" i="25"/>
  <c r="C404" i="25" l="1"/>
  <c r="D404" i="25"/>
  <c r="F404" i="25"/>
  <c r="B404" i="25"/>
  <c r="G404" i="25"/>
  <c r="E404" i="25"/>
  <c r="I404" i="25"/>
  <c r="A405" i="25" s="1"/>
  <c r="H404" i="25"/>
  <c r="J404" i="25" s="1"/>
  <c r="D405" i="25" l="1"/>
  <c r="B405" i="25"/>
  <c r="G405" i="25"/>
  <c r="I405" i="25"/>
  <c r="A406" i="25" s="1"/>
  <c r="F405" i="25"/>
  <c r="C405" i="25"/>
  <c r="H405" i="25"/>
  <c r="J405" i="25" s="1"/>
  <c r="E405" i="25"/>
  <c r="I406" i="25" l="1"/>
  <c r="A407" i="25" s="1"/>
  <c r="C406" i="25"/>
  <c r="G406" i="25"/>
  <c r="B406" i="25"/>
  <c r="E406" i="25"/>
  <c r="D406" i="25"/>
  <c r="H406" i="25"/>
  <c r="J406" i="25" s="1"/>
  <c r="F406" i="25"/>
  <c r="H407" i="25" l="1"/>
  <c r="J407" i="25" s="1"/>
  <c r="B407" i="25"/>
  <c r="D407" i="25"/>
  <c r="E407" i="25"/>
  <c r="I407" i="25"/>
  <c r="A408" i="25" s="1"/>
  <c r="G407" i="25"/>
  <c r="C407" i="25"/>
  <c r="F407" i="25"/>
  <c r="F408" i="25" l="1"/>
  <c r="B408" i="25"/>
  <c r="I408" i="25"/>
  <c r="A409" i="25" s="1"/>
  <c r="E408" i="25"/>
  <c r="C408" i="25"/>
  <c r="D408" i="25"/>
  <c r="G408" i="25"/>
  <c r="H408" i="25"/>
  <c r="J408" i="25" s="1"/>
  <c r="B409" i="25" l="1"/>
  <c r="F409" i="25"/>
  <c r="D409" i="25"/>
  <c r="H409" i="25"/>
  <c r="J409" i="25" s="1"/>
  <c r="E409" i="25"/>
  <c r="I409" i="25"/>
  <c r="A410" i="25" s="1"/>
  <c r="C409" i="25"/>
  <c r="G409" i="25"/>
  <c r="B410" i="25" l="1"/>
  <c r="C410" i="25"/>
  <c r="G410" i="25"/>
  <c r="F410" i="25"/>
  <c r="D410" i="25"/>
  <c r="E410" i="25"/>
  <c r="I410" i="25"/>
  <c r="A411" i="25" s="1"/>
  <c r="H410" i="25"/>
  <c r="J410" i="25" s="1"/>
  <c r="H411" i="25" l="1"/>
  <c r="J411" i="25" s="1"/>
  <c r="E411" i="25"/>
  <c r="C411" i="25"/>
  <c r="F411" i="25"/>
  <c r="I411" i="25"/>
  <c r="A412" i="25" s="1"/>
  <c r="G411" i="25"/>
  <c r="D411" i="25"/>
  <c r="B411" i="25"/>
  <c r="E412" i="25" l="1"/>
  <c r="C412" i="25"/>
  <c r="B412" i="25"/>
  <c r="H412" i="25"/>
  <c r="J412" i="25" s="1"/>
  <c r="G412" i="25"/>
  <c r="D412" i="25"/>
  <c r="F412" i="25"/>
  <c r="I412" i="25"/>
  <c r="A413" i="25" s="1"/>
  <c r="C413" i="25" l="1"/>
  <c r="F413" i="25"/>
  <c r="I413" i="25"/>
  <c r="A414" i="25" s="1"/>
  <c r="B413" i="25"/>
  <c r="E413" i="25"/>
  <c r="D413" i="25"/>
  <c r="G413" i="25"/>
  <c r="H413" i="25"/>
  <c r="J413" i="25" s="1"/>
  <c r="B414" i="25" l="1"/>
  <c r="C414" i="25"/>
  <c r="H414" i="25"/>
  <c r="J414" i="25" s="1"/>
  <c r="D414" i="25"/>
  <c r="F414" i="25"/>
  <c r="E414" i="25"/>
  <c r="I414" i="25"/>
  <c r="A415" i="25" s="1"/>
  <c r="G414" i="25"/>
  <c r="H415" i="25" l="1"/>
  <c r="J415" i="25" s="1"/>
  <c r="I415" i="25"/>
  <c r="A416" i="25" s="1"/>
  <c r="E415" i="25"/>
  <c r="F415" i="25"/>
  <c r="C415" i="25"/>
  <c r="B415" i="25"/>
  <c r="D415" i="25"/>
  <c r="G415" i="25"/>
  <c r="F416" i="25" l="1"/>
  <c r="G416" i="25"/>
  <c r="D416" i="25"/>
  <c r="B416" i="25"/>
  <c r="I416" i="25"/>
  <c r="A417" i="25" s="1"/>
  <c r="E416" i="25"/>
  <c r="C416" i="25"/>
  <c r="H416" i="25"/>
  <c r="J416" i="25" s="1"/>
  <c r="B417" i="25" l="1"/>
  <c r="F417" i="25"/>
  <c r="I417" i="25"/>
  <c r="A418" i="25" s="1"/>
  <c r="H417" i="25"/>
  <c r="J417" i="25" s="1"/>
  <c r="E417" i="25"/>
  <c r="C417" i="25"/>
  <c r="G417" i="25"/>
  <c r="D417" i="25"/>
  <c r="G418" i="25" l="1"/>
  <c r="E418" i="25"/>
  <c r="I418" i="25"/>
  <c r="A419" i="25" s="1"/>
  <c r="C418" i="25"/>
  <c r="D418" i="25"/>
  <c r="F418" i="25"/>
  <c r="B418" i="25"/>
  <c r="H418" i="25"/>
  <c r="J418" i="25" s="1"/>
  <c r="F419" i="25" l="1"/>
  <c r="I419" i="25"/>
  <c r="A420" i="25" s="1"/>
  <c r="H419" i="25"/>
  <c r="J419" i="25" s="1"/>
  <c r="C419" i="25"/>
  <c r="E419" i="25"/>
  <c r="D419" i="25"/>
  <c r="B419" i="25"/>
  <c r="G419" i="25"/>
  <c r="G420" i="25" l="1"/>
  <c r="H420" i="25"/>
  <c r="J420" i="25" s="1"/>
  <c r="D420" i="25"/>
  <c r="F420" i="25"/>
  <c r="I420" i="25"/>
  <c r="A421" i="25" s="1"/>
  <c r="B420" i="25"/>
  <c r="C420" i="25"/>
  <c r="E420" i="25"/>
  <c r="D421" i="25" l="1"/>
  <c r="E421" i="25"/>
  <c r="H421" i="25"/>
  <c r="J421" i="25" s="1"/>
  <c r="B421" i="25"/>
  <c r="I421" i="25"/>
  <c r="A422" i="25" s="1"/>
  <c r="C421" i="25"/>
  <c r="G421" i="25"/>
  <c r="F421" i="25"/>
  <c r="F422" i="25" l="1"/>
  <c r="I422" i="25"/>
  <c r="A423" i="25" s="1"/>
  <c r="G422" i="25"/>
  <c r="E422" i="25"/>
  <c r="B422" i="25"/>
  <c r="H422" i="25"/>
  <c r="J422" i="25" s="1"/>
  <c r="C422" i="25"/>
  <c r="D422" i="25"/>
  <c r="H423" i="25" l="1"/>
  <c r="J423" i="25" s="1"/>
  <c r="C423" i="25"/>
  <c r="G423" i="25"/>
  <c r="I423" i="25"/>
  <c r="A424" i="25" s="1"/>
  <c r="D423" i="25"/>
  <c r="E423" i="25"/>
  <c r="F423" i="25"/>
  <c r="B423" i="25"/>
  <c r="F424" i="25" l="1"/>
  <c r="G424" i="25"/>
  <c r="H424" i="25"/>
  <c r="J424" i="25" s="1"/>
  <c r="B424" i="25"/>
  <c r="D424" i="25"/>
  <c r="C424" i="25"/>
  <c r="I424" i="25"/>
  <c r="A425" i="25" s="1"/>
  <c r="E424" i="25"/>
  <c r="H425" i="25" l="1"/>
  <c r="J425" i="25" s="1"/>
  <c r="F425" i="25"/>
  <c r="E425" i="25"/>
  <c r="G425" i="25"/>
  <c r="B425" i="25"/>
  <c r="C425" i="25"/>
  <c r="D425" i="25"/>
  <c r="I425" i="25"/>
  <c r="A426" i="25" s="1"/>
  <c r="B426" i="25" l="1"/>
  <c r="G426" i="25"/>
  <c r="C426" i="25"/>
  <c r="D426" i="25"/>
  <c r="H426" i="25"/>
  <c r="J426" i="25" s="1"/>
  <c r="F426" i="25"/>
  <c r="I426" i="25"/>
  <c r="A427" i="25" s="1"/>
  <c r="E426" i="25"/>
  <c r="G427" i="25" l="1"/>
  <c r="I427" i="25"/>
  <c r="A428" i="25" s="1"/>
  <c r="B427" i="25"/>
  <c r="C427" i="25"/>
  <c r="F427" i="25"/>
  <c r="E427" i="25"/>
  <c r="D427" i="25"/>
  <c r="H427" i="25"/>
  <c r="J427" i="25" s="1"/>
  <c r="F428" i="25" l="1"/>
  <c r="D428" i="25"/>
  <c r="H428" i="25"/>
  <c r="J428" i="25" s="1"/>
  <c r="G428" i="25"/>
  <c r="B428" i="25"/>
  <c r="E428" i="25"/>
  <c r="I428" i="25"/>
  <c r="A429" i="25" s="1"/>
  <c r="C428" i="25"/>
  <c r="D429" i="25" l="1"/>
  <c r="B429" i="25"/>
  <c r="I429" i="25"/>
  <c r="A430" i="25" s="1"/>
  <c r="C429" i="25"/>
  <c r="F429" i="25"/>
  <c r="E429" i="25"/>
  <c r="G429" i="25"/>
  <c r="H429" i="25"/>
  <c r="J429" i="25" s="1"/>
  <c r="I430" i="25" l="1"/>
  <c r="A431" i="25" s="1"/>
  <c r="B430" i="25"/>
  <c r="H430" i="25"/>
  <c r="J430" i="25" s="1"/>
  <c r="C430" i="25"/>
  <c r="D430" i="25"/>
  <c r="F430" i="25"/>
  <c r="E430" i="25"/>
  <c r="G430" i="25"/>
  <c r="F431" i="25" l="1"/>
  <c r="B431" i="25"/>
  <c r="E431" i="25"/>
  <c r="H431" i="25"/>
  <c r="J431" i="25" s="1"/>
  <c r="G431" i="25"/>
  <c r="I431" i="25"/>
  <c r="A432" i="25" s="1"/>
  <c r="D431" i="25"/>
  <c r="C431" i="25"/>
  <c r="G432" i="25" l="1"/>
  <c r="I432" i="25"/>
  <c r="A433" i="25" s="1"/>
  <c r="B432" i="25"/>
  <c r="D432" i="25"/>
  <c r="C432" i="25"/>
  <c r="H432" i="25"/>
  <c r="J432" i="25" s="1"/>
  <c r="E432" i="25"/>
  <c r="F432" i="25"/>
  <c r="D433" i="25" l="1"/>
  <c r="B433" i="25"/>
  <c r="C433" i="25"/>
  <c r="G433" i="25"/>
  <c r="H433" i="25"/>
  <c r="J433" i="25" s="1"/>
  <c r="I433" i="25"/>
  <c r="A434" i="25" s="1"/>
  <c r="E433" i="25"/>
  <c r="F433" i="25"/>
  <c r="B434" i="25" l="1"/>
  <c r="D434" i="25"/>
  <c r="I434" i="25"/>
  <c r="A435" i="25" s="1"/>
  <c r="G434" i="25"/>
  <c r="H434" i="25"/>
  <c r="J434" i="25" s="1"/>
  <c r="E434" i="25"/>
  <c r="C434" i="25"/>
  <c r="F434" i="25"/>
  <c r="H435" i="25" l="1"/>
  <c r="J435" i="25" s="1"/>
  <c r="D435" i="25"/>
  <c r="F435" i="25"/>
  <c r="C435" i="25"/>
  <c r="E435" i="25"/>
  <c r="I435" i="25"/>
  <c r="A436" i="25" s="1"/>
  <c r="G435" i="25"/>
  <c r="B435" i="25"/>
  <c r="F436" i="25" l="1"/>
  <c r="G436" i="25"/>
  <c r="C436" i="25"/>
  <c r="I436" i="25"/>
  <c r="A437" i="25" s="1"/>
  <c r="H436" i="25"/>
  <c r="J436" i="25" s="1"/>
  <c r="E436" i="25"/>
  <c r="B436" i="25"/>
  <c r="D436" i="25"/>
  <c r="G437" i="25" l="1"/>
  <c r="C437" i="25"/>
  <c r="H437" i="25"/>
  <c r="J437" i="25" s="1"/>
  <c r="D437" i="25"/>
  <c r="E437" i="25"/>
  <c r="I437" i="25"/>
  <c r="A438" i="25" s="1"/>
  <c r="B437" i="25"/>
  <c r="F437" i="25"/>
  <c r="I438" i="25" l="1"/>
  <c r="A439" i="25" s="1"/>
  <c r="C438" i="25"/>
  <c r="F438" i="25"/>
  <c r="E438" i="25"/>
  <c r="G438" i="25"/>
  <c r="B438" i="25"/>
  <c r="D438" i="25"/>
  <c r="H438" i="25"/>
  <c r="J438" i="25" s="1"/>
  <c r="E439" i="25" l="1"/>
  <c r="G439" i="25"/>
  <c r="B439" i="25"/>
  <c r="H439" i="25"/>
  <c r="J439" i="25" s="1"/>
  <c r="F439" i="25"/>
  <c r="D439" i="25"/>
  <c r="I439" i="25"/>
  <c r="A440" i="25" s="1"/>
  <c r="C439" i="25"/>
  <c r="C440" i="25" l="1"/>
  <c r="H440" i="25"/>
  <c r="J440" i="25" s="1"/>
  <c r="I440" i="25"/>
  <c r="A441" i="25" s="1"/>
  <c r="F440" i="25"/>
  <c r="G440" i="25"/>
  <c r="D440" i="25"/>
  <c r="E440" i="25"/>
  <c r="B440" i="25"/>
  <c r="D441" i="25" l="1"/>
  <c r="G441" i="25"/>
  <c r="F441" i="25"/>
  <c r="E441" i="25"/>
  <c r="H441" i="25"/>
  <c r="J441" i="25" s="1"/>
  <c r="C441" i="25"/>
  <c r="I441" i="25"/>
  <c r="A442" i="25" s="1"/>
  <c r="B441" i="25"/>
  <c r="B442" i="25" l="1"/>
  <c r="H442" i="25"/>
  <c r="J442" i="25" s="1"/>
  <c r="C442" i="25"/>
  <c r="G442" i="25"/>
  <c r="I442" i="25"/>
  <c r="A443" i="25" s="1"/>
  <c r="E442" i="25"/>
  <c r="F442" i="25"/>
  <c r="D442" i="25"/>
  <c r="G443" i="25" l="1"/>
  <c r="H443" i="25"/>
  <c r="J443" i="25" s="1"/>
  <c r="B443" i="25"/>
  <c r="I443" i="25"/>
  <c r="A444" i="25" s="1"/>
  <c r="D443" i="25"/>
  <c r="C443" i="25"/>
  <c r="E443" i="25"/>
  <c r="F443" i="25"/>
  <c r="I444" i="25" l="1"/>
  <c r="A445" i="25" s="1"/>
  <c r="G444" i="25"/>
  <c r="C444" i="25"/>
  <c r="E444" i="25"/>
  <c r="H444" i="25"/>
  <c r="J444" i="25" s="1"/>
  <c r="F444" i="25"/>
  <c r="D444" i="25"/>
  <c r="B444" i="25"/>
  <c r="D445" i="25" l="1"/>
  <c r="I445" i="25"/>
  <c r="A446" i="25" s="1"/>
  <c r="C445" i="25"/>
  <c r="E445" i="25"/>
  <c r="F445" i="25"/>
  <c r="G445" i="25"/>
  <c r="H445" i="25"/>
  <c r="J445" i="25" s="1"/>
  <c r="B445" i="25"/>
  <c r="C446" i="25" l="1"/>
  <c r="B446" i="25"/>
  <c r="E446" i="25"/>
  <c r="D446" i="25"/>
  <c r="H446" i="25"/>
  <c r="J446" i="25" s="1"/>
  <c r="I446" i="25"/>
  <c r="A447" i="25" s="1"/>
  <c r="F446" i="25"/>
  <c r="G446" i="25"/>
  <c r="C447" i="25" l="1"/>
  <c r="E447" i="25"/>
  <c r="D447" i="25"/>
  <c r="G447" i="25"/>
  <c r="H447" i="25"/>
  <c r="J447" i="25" s="1"/>
  <c r="F447" i="25"/>
  <c r="I447" i="25"/>
  <c r="A448" i="25" s="1"/>
  <c r="B447" i="25"/>
  <c r="F448" i="25" l="1"/>
  <c r="E448" i="25"/>
  <c r="H448" i="25"/>
  <c r="J448" i="25" s="1"/>
  <c r="D448" i="25"/>
  <c r="C448" i="25"/>
  <c r="G448" i="25"/>
  <c r="B448" i="25"/>
  <c r="I448" i="25"/>
  <c r="A449" i="25" s="1"/>
  <c r="D449" i="25" l="1"/>
  <c r="I449" i="25"/>
  <c r="A450" i="25" s="1"/>
  <c r="G449" i="25"/>
  <c r="H449" i="25"/>
  <c r="J449" i="25" s="1"/>
  <c r="F449" i="25"/>
  <c r="B449" i="25"/>
  <c r="E449" i="25"/>
  <c r="C449" i="25"/>
  <c r="C450" i="25" l="1"/>
  <c r="F450" i="25"/>
  <c r="E450" i="25"/>
  <c r="I450" i="25"/>
  <c r="A451" i="25" s="1"/>
  <c r="D450" i="25"/>
  <c r="G450" i="25"/>
  <c r="B450" i="25"/>
  <c r="H450" i="25"/>
  <c r="J450" i="25" s="1"/>
  <c r="C451" i="25" l="1"/>
  <c r="B451" i="25"/>
  <c r="E451" i="25"/>
  <c r="H451" i="25"/>
  <c r="J451" i="25" s="1"/>
  <c r="I451" i="25"/>
  <c r="A452" i="25" s="1"/>
  <c r="G451" i="25"/>
  <c r="D451" i="25"/>
  <c r="F451" i="25"/>
  <c r="G452" i="25" l="1"/>
  <c r="F452" i="25"/>
  <c r="E452" i="25"/>
  <c r="D452" i="25"/>
  <c r="H452" i="25"/>
  <c r="J452" i="25" s="1"/>
  <c r="I452" i="25"/>
  <c r="A453" i="25" s="1"/>
  <c r="B452" i="25"/>
  <c r="C452" i="25"/>
  <c r="F453" i="25" l="1"/>
  <c r="B453" i="25"/>
  <c r="D453" i="25"/>
  <c r="H453" i="25"/>
  <c r="J453" i="25" s="1"/>
  <c r="G453" i="25"/>
  <c r="I453" i="25"/>
  <c r="A454" i="25" s="1"/>
  <c r="E453" i="25"/>
  <c r="C453" i="25"/>
  <c r="G454" i="25" l="1"/>
  <c r="I454" i="25"/>
  <c r="A455" i="25" s="1"/>
  <c r="H454" i="25"/>
  <c r="J454" i="25" s="1"/>
  <c r="D454" i="25"/>
  <c r="E454" i="25"/>
  <c r="B454" i="25"/>
  <c r="C454" i="25"/>
  <c r="F454" i="25"/>
  <c r="I455" i="25" l="1"/>
  <c r="A456" i="25" s="1"/>
  <c r="H455" i="25"/>
  <c r="J455" i="25" s="1"/>
  <c r="D455" i="25"/>
  <c r="F455" i="25"/>
  <c r="C455" i="25"/>
  <c r="G455" i="25"/>
  <c r="E455" i="25"/>
  <c r="B455" i="25"/>
  <c r="G456" i="25" l="1"/>
  <c r="E456" i="25"/>
  <c r="F456" i="25"/>
  <c r="B456" i="25"/>
  <c r="H456" i="25"/>
  <c r="J456" i="25" s="1"/>
  <c r="I456" i="25"/>
  <c r="A457" i="25" s="1"/>
  <c r="C456" i="25"/>
  <c r="D456" i="25"/>
  <c r="G457" i="25" l="1"/>
  <c r="C457" i="25"/>
  <c r="H457" i="25"/>
  <c r="J457" i="25" s="1"/>
  <c r="E457" i="25"/>
  <c r="I457" i="25"/>
  <c r="A458" i="25" s="1"/>
  <c r="D457" i="25"/>
  <c r="F457" i="25"/>
  <c r="B457" i="25"/>
  <c r="E458" i="25" l="1"/>
  <c r="C458" i="25"/>
  <c r="F458" i="25"/>
  <c r="B458" i="25"/>
  <c r="I458" i="25"/>
  <c r="A459" i="25" s="1"/>
  <c r="H458" i="25"/>
  <c r="J458" i="25" s="1"/>
  <c r="G458" i="25"/>
  <c r="D458" i="25"/>
  <c r="I459" i="25" l="1"/>
  <c r="A460" i="25" s="1"/>
  <c r="D459" i="25"/>
  <c r="G459" i="25"/>
  <c r="F459" i="25"/>
  <c r="E459" i="25"/>
  <c r="B459" i="25"/>
  <c r="H459" i="25"/>
  <c r="J459" i="25" s="1"/>
  <c r="C459" i="25"/>
  <c r="F460" i="25" l="1"/>
  <c r="I460" i="25"/>
  <c r="A461" i="25" s="1"/>
  <c r="D460" i="25"/>
  <c r="E460" i="25"/>
  <c r="H460" i="25"/>
  <c r="J460" i="25" s="1"/>
  <c r="C460" i="25"/>
  <c r="B460" i="25"/>
  <c r="G460" i="25"/>
  <c r="C461" i="25" l="1"/>
  <c r="H461" i="25"/>
  <c r="J461" i="25" s="1"/>
  <c r="E461" i="25"/>
  <c r="B461" i="25"/>
  <c r="D461" i="25"/>
  <c r="I461" i="25"/>
  <c r="A462" i="25" s="1"/>
  <c r="G461" i="25"/>
  <c r="F461" i="25"/>
  <c r="F462" i="25" l="1"/>
  <c r="H462" i="25"/>
  <c r="J462" i="25" s="1"/>
  <c r="B462" i="25"/>
  <c r="C462" i="25"/>
  <c r="G462" i="25"/>
  <c r="E462" i="25"/>
  <c r="I462" i="25"/>
  <c r="A463" i="25" s="1"/>
  <c r="D462" i="25"/>
  <c r="I463" i="25" l="1"/>
  <c r="A464" i="25" s="1"/>
  <c r="G463" i="25"/>
  <c r="H463" i="25"/>
  <c r="J463" i="25" s="1"/>
  <c r="D463" i="25"/>
  <c r="C463" i="25"/>
  <c r="E463" i="25"/>
  <c r="B463" i="25"/>
  <c r="F463" i="25"/>
  <c r="E464" i="25" l="1"/>
  <c r="G464" i="25"/>
  <c r="H464" i="25"/>
  <c r="J464" i="25" s="1"/>
  <c r="C464" i="25"/>
  <c r="I464" i="25"/>
  <c r="A465" i="25" s="1"/>
  <c r="B464" i="25"/>
  <c r="F464" i="25"/>
  <c r="D464" i="25"/>
  <c r="F465" i="25" l="1"/>
  <c r="H465" i="25"/>
  <c r="J465" i="25" s="1"/>
  <c r="B465" i="25"/>
  <c r="D465" i="25"/>
  <c r="E465" i="25"/>
  <c r="G465" i="25"/>
  <c r="I465" i="25"/>
  <c r="A466" i="25" s="1"/>
  <c r="C465" i="25"/>
  <c r="I466" i="25" l="1"/>
  <c r="A467" i="25" s="1"/>
  <c r="E466" i="25"/>
  <c r="G466" i="25"/>
  <c r="H466" i="25"/>
  <c r="J466" i="25" s="1"/>
  <c r="B466" i="25"/>
  <c r="C466" i="25"/>
  <c r="D466" i="25"/>
  <c r="F466" i="25"/>
  <c r="I467" i="25" l="1"/>
  <c r="A468" i="25" s="1"/>
  <c r="F467" i="25"/>
  <c r="D467" i="25"/>
  <c r="C467" i="25"/>
  <c r="H467" i="25"/>
  <c r="J467" i="25" s="1"/>
  <c r="G467" i="25"/>
  <c r="B467" i="25"/>
  <c r="E467" i="25"/>
  <c r="F468" i="25" l="1"/>
  <c r="I468" i="25"/>
  <c r="A469" i="25" s="1"/>
  <c r="G468" i="25"/>
  <c r="D468" i="25"/>
  <c r="H468" i="25"/>
  <c r="J468" i="25" s="1"/>
  <c r="B468" i="25"/>
  <c r="E468" i="25"/>
  <c r="C468" i="25"/>
  <c r="I469" i="25" l="1"/>
  <c r="A470" i="25" s="1"/>
  <c r="C469" i="25"/>
  <c r="H469" i="25"/>
  <c r="J469" i="25" s="1"/>
  <c r="F469" i="25"/>
  <c r="D469" i="25"/>
  <c r="E469" i="25"/>
  <c r="B469" i="25"/>
  <c r="G469" i="25"/>
  <c r="B470" i="25" l="1"/>
  <c r="I470" i="25"/>
  <c r="A471" i="25" s="1"/>
  <c r="D470" i="25"/>
  <c r="G470" i="25"/>
  <c r="F470" i="25"/>
  <c r="E470" i="25"/>
  <c r="C470" i="25"/>
  <c r="H470" i="25"/>
  <c r="J470" i="25" s="1"/>
  <c r="H471" i="25" l="1"/>
  <c r="J471" i="25" s="1"/>
  <c r="B471" i="25"/>
  <c r="E471" i="25"/>
  <c r="G471" i="25"/>
  <c r="F471" i="25"/>
  <c r="D471" i="25"/>
  <c r="C471" i="25"/>
  <c r="I471" i="25"/>
  <c r="A472" i="25" s="1"/>
  <c r="G472" i="25" l="1"/>
  <c r="D472" i="25"/>
  <c r="F472" i="25"/>
  <c r="E472" i="25"/>
  <c r="C472" i="25"/>
  <c r="H472" i="25"/>
  <c r="J472" i="25" s="1"/>
  <c r="I472" i="25"/>
  <c r="A473" i="25" s="1"/>
  <c r="B472" i="25"/>
  <c r="F473" i="25" l="1"/>
  <c r="D473" i="25"/>
  <c r="E473" i="25"/>
  <c r="G473" i="25"/>
  <c r="H473" i="25"/>
  <c r="J473" i="25" s="1"/>
  <c r="I473" i="25"/>
  <c r="A474" i="25" s="1"/>
  <c r="C473" i="25"/>
  <c r="B473" i="25"/>
  <c r="B474" i="25" l="1"/>
  <c r="F474" i="25"/>
  <c r="H474" i="25"/>
  <c r="J474" i="25" s="1"/>
  <c r="E474" i="25"/>
  <c r="D474" i="25"/>
  <c r="C474" i="25"/>
  <c r="I474" i="25"/>
  <c r="A475" i="25" s="1"/>
  <c r="G474" i="25"/>
  <c r="H475" i="25" l="1"/>
  <c r="J475" i="25" s="1"/>
  <c r="I475" i="25"/>
  <c r="A476" i="25" s="1"/>
  <c r="C475" i="25"/>
  <c r="D475" i="25"/>
  <c r="B475" i="25"/>
  <c r="G475" i="25"/>
  <c r="F475" i="25"/>
  <c r="E475" i="25"/>
  <c r="F476" i="25" l="1"/>
  <c r="B476" i="25"/>
  <c r="H476" i="25"/>
  <c r="J476" i="25" s="1"/>
  <c r="D476" i="25"/>
  <c r="C476" i="25"/>
  <c r="I476" i="25"/>
  <c r="A477" i="25" s="1"/>
  <c r="G476" i="25"/>
  <c r="E476" i="25"/>
  <c r="I477" i="25" l="1"/>
  <c r="A478" i="25" s="1"/>
  <c r="G477" i="25"/>
  <c r="C477" i="25"/>
  <c r="D477" i="25"/>
  <c r="B477" i="25"/>
  <c r="F477" i="25"/>
  <c r="H477" i="25"/>
  <c r="J477" i="25" s="1"/>
  <c r="E477" i="25"/>
  <c r="C478" i="25" l="1"/>
  <c r="F478" i="25"/>
  <c r="I478" i="25"/>
  <c r="A479" i="25" s="1"/>
  <c r="H478" i="25"/>
  <c r="J478" i="25" s="1"/>
  <c r="D478" i="25"/>
  <c r="G478" i="25"/>
  <c r="E478" i="25"/>
  <c r="B478" i="25"/>
  <c r="F479" i="25" l="1"/>
  <c r="I479" i="25"/>
  <c r="A480" i="25" s="1"/>
  <c r="D479" i="25"/>
  <c r="G479" i="25"/>
  <c r="C479" i="25"/>
  <c r="H479" i="25"/>
  <c r="J479" i="25" s="1"/>
  <c r="E479" i="25"/>
  <c r="B479" i="25"/>
  <c r="F480" i="25" l="1"/>
  <c r="C480" i="25"/>
  <c r="H480" i="25"/>
  <c r="J480" i="25" s="1"/>
  <c r="B480" i="25"/>
  <c r="E480" i="25"/>
  <c r="I480" i="25"/>
  <c r="A481" i="25" s="1"/>
  <c r="G480" i="25"/>
  <c r="D480" i="25"/>
  <c r="H481" i="25" l="1"/>
  <c r="J481" i="25" s="1"/>
  <c r="D481" i="25"/>
  <c r="I481" i="25"/>
  <c r="A482" i="25" s="1"/>
  <c r="G481" i="25"/>
  <c r="F481" i="25"/>
  <c r="E481" i="25"/>
  <c r="C481" i="25"/>
  <c r="B481" i="25"/>
  <c r="H482" i="25" l="1"/>
  <c r="J482" i="25" s="1"/>
  <c r="C482" i="25"/>
  <c r="I482" i="25"/>
  <c r="A483" i="25" s="1"/>
  <c r="E482" i="25"/>
  <c r="B482" i="25"/>
  <c r="F482" i="25"/>
  <c r="G482" i="25"/>
  <c r="D482" i="25"/>
  <c r="F483" i="25" l="1"/>
  <c r="D483" i="25"/>
  <c r="H483" i="25"/>
  <c r="J483" i="25" s="1"/>
  <c r="G483" i="25"/>
  <c r="I483" i="25"/>
  <c r="A484" i="25" s="1"/>
  <c r="B483" i="25"/>
  <c r="E483" i="25"/>
  <c r="C483" i="25"/>
  <c r="F484" i="25" l="1"/>
  <c r="D484" i="25"/>
  <c r="G484" i="25"/>
  <c r="H484" i="25"/>
  <c r="J484" i="25" s="1"/>
  <c r="I484" i="25"/>
  <c r="A485" i="25" s="1"/>
  <c r="C484" i="25"/>
  <c r="B484" i="25"/>
  <c r="E484" i="25"/>
  <c r="E485" i="25" l="1"/>
  <c r="I485" i="25"/>
  <c r="A486" i="25" s="1"/>
  <c r="B485" i="25"/>
  <c r="H485" i="25"/>
  <c r="J485" i="25" s="1"/>
  <c r="C485" i="25"/>
  <c r="D485" i="25"/>
  <c r="G485" i="25"/>
  <c r="F485" i="25"/>
  <c r="C486" i="25" l="1"/>
  <c r="F486" i="25"/>
  <c r="I486" i="25"/>
  <c r="A487" i="25" s="1"/>
  <c r="D486" i="25"/>
  <c r="G486" i="25"/>
  <c r="E486" i="25"/>
  <c r="H486" i="25"/>
  <c r="J486" i="25" s="1"/>
  <c r="B486" i="25"/>
  <c r="H487" i="25" l="1"/>
  <c r="J487" i="25" s="1"/>
  <c r="E487" i="25"/>
  <c r="D487" i="25"/>
  <c r="F487" i="25"/>
  <c r="C487" i="25"/>
  <c r="I487" i="25"/>
  <c r="A488" i="25" s="1"/>
  <c r="G487" i="25"/>
  <c r="B487" i="25"/>
  <c r="G488" i="25" l="1"/>
  <c r="F488" i="25"/>
  <c r="H488" i="25"/>
  <c r="J488" i="25" s="1"/>
  <c r="C488" i="25"/>
  <c r="E488" i="25"/>
  <c r="I488" i="25"/>
  <c r="A489" i="25" s="1"/>
  <c r="D488" i="25"/>
  <c r="B488" i="25"/>
  <c r="H489" i="25" l="1"/>
  <c r="J489" i="25" s="1"/>
  <c r="B489" i="25"/>
  <c r="D489" i="25"/>
  <c r="E489" i="25"/>
  <c r="F489" i="25"/>
  <c r="I489" i="25"/>
  <c r="A490" i="25" s="1"/>
  <c r="G489" i="25"/>
  <c r="C489" i="25"/>
  <c r="C490" i="25" l="1"/>
  <c r="F490" i="25"/>
  <c r="G490" i="25"/>
  <c r="B490" i="25"/>
  <c r="E490" i="25"/>
  <c r="I490" i="25"/>
  <c r="A491" i="25" s="1"/>
  <c r="D490" i="25"/>
  <c r="H490" i="25"/>
  <c r="J490" i="25" s="1"/>
  <c r="G491" i="25" l="1"/>
  <c r="H491" i="25"/>
  <c r="J491" i="25" s="1"/>
  <c r="B491" i="25"/>
  <c r="E491" i="25"/>
  <c r="F491" i="25"/>
  <c r="C491" i="25"/>
  <c r="I491" i="25"/>
  <c r="A492" i="25" s="1"/>
  <c r="D491" i="25"/>
  <c r="E492" i="25" l="1"/>
  <c r="D492" i="25"/>
  <c r="C492" i="25"/>
  <c r="G492" i="25"/>
  <c r="F492" i="25"/>
  <c r="H492" i="25"/>
  <c r="J492" i="25" s="1"/>
  <c r="I492" i="25"/>
  <c r="A493" i="25" s="1"/>
  <c r="B492" i="25"/>
  <c r="C493" i="25" l="1"/>
  <c r="E493" i="25"/>
  <c r="H493" i="25"/>
  <c r="J493" i="25" s="1"/>
  <c r="B493" i="25"/>
  <c r="G493" i="25"/>
  <c r="D493" i="25"/>
  <c r="I493" i="25"/>
  <c r="A494" i="25" s="1"/>
  <c r="F493" i="25"/>
  <c r="C494" i="25" l="1"/>
  <c r="E494" i="25"/>
  <c r="B494" i="25"/>
  <c r="H494" i="25"/>
  <c r="J494" i="25" s="1"/>
  <c r="G494" i="25"/>
  <c r="D494" i="25"/>
  <c r="F494" i="25"/>
  <c r="I494" i="25"/>
  <c r="A495" i="25" s="1"/>
  <c r="H495" i="25" l="1"/>
  <c r="J495" i="25" s="1"/>
  <c r="B495" i="25"/>
  <c r="E495" i="25"/>
  <c r="F495" i="25"/>
  <c r="I495" i="25"/>
  <c r="A496" i="25" s="1"/>
  <c r="D495" i="25"/>
  <c r="G495" i="25"/>
  <c r="C495" i="25"/>
  <c r="E496" i="25" l="1"/>
  <c r="H496" i="25"/>
  <c r="J496" i="25" s="1"/>
  <c r="G496" i="25"/>
  <c r="C496" i="25"/>
  <c r="I496" i="25"/>
  <c r="A497" i="25" s="1"/>
  <c r="F496" i="25"/>
  <c r="B496" i="25"/>
  <c r="D496" i="25"/>
  <c r="C497" i="25" l="1"/>
  <c r="D497" i="25"/>
  <c r="B497" i="25"/>
  <c r="E497" i="25"/>
  <c r="F497" i="25"/>
  <c r="I497" i="25"/>
  <c r="J7" i="25" s="1"/>
  <c r="H497" i="25"/>
  <c r="J497" i="25" s="1"/>
  <c r="G497" i="25"/>
  <c r="J9" i="25" l="1"/>
  <c r="J8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N9" authorId="0" shapeId="0" xr:uid="{9A7A6A86-CEAB-4381-871D-8F1B6603E1EB}">
      <text>
        <r>
          <rPr>
            <b/>
            <sz val="9"/>
            <color indexed="81"/>
            <rFont val="Tahoma"/>
            <charset val="1"/>
          </rPr>
          <t>Sam Mathew:</t>
        </r>
        <r>
          <rPr>
            <sz val="9"/>
            <color indexed="81"/>
            <rFont val="Tahoma"/>
            <charset val="1"/>
          </rPr>
          <t xml:space="preserve">
L2 ports = sum of Qty for each _L2 line, doubled when the Description contains "Dual" (dual-port charger).</t>
        </r>
      </text>
    </comment>
    <comment ref="O10" authorId="0" shapeId="0" xr:uid="{9A4F4D74-5B1F-4FC7-8D45-7A3519210A4F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Nominal kW rating of L3 Type 1. Qty in row 8 auto-counts line items with category _kW&lt;rating&gt;.</t>
        </r>
      </text>
    </comment>
    <comment ref="P10" authorId="0" shapeId="0" xr:uid="{428B2CA6-11F9-461F-ADD4-F214D20054B4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Nominal kW rating of L3 Type 2. Qty in row 8 auto-counts line items with category _kW&lt;rating&gt;.</t>
        </r>
      </text>
    </comment>
    <comment ref="P11" authorId="0" shapeId="0" xr:uid="{7C513412-C34D-4BCB-97A4-EFCA117328DF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De-rate factor shared across charger types.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C40" authorId="0" shapeId="0" xr:uid="{87B5DB9E-CD82-47E3-9F9C-4F2780CE4400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INPUT - Length of contract in years. Dropdown limited to 2-5. Per Svc Wrrty the parts-only warranty extension is only offered 'per year after year 2, up to 5', so 5 is the maximum.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E42" authorId="0" shapeId="0" xr:uid="{97789CE0-A8F8-403C-8C91-109F2C0707CE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Carbon credit rate per kW per year (e.g. 60 kW = $4,300/yr, 120 kW = $8,600/yr). Update when LCFS credit prices change.</t>
        </r>
      </text>
    </comment>
    <comment ref="E44" authorId="0" shapeId="0" xr:uid="{2292DB06-796A-4C5F-ABB3-521ACD168CB9}">
      <text>
        <r>
          <rPr>
            <b/>
            <sz val="9"/>
            <color indexed="81"/>
            <rFont val="Tahoma"/>
            <family val="2"/>
          </rPr>
          <t>Qty auto-counts INPUT SHEET line items with category _kW&lt;rating&gt;.</t>
        </r>
      </text>
    </comment>
    <comment ref="H44" authorId="0" shapeId="0" xr:uid="{B5D5EE4D-BB6E-4D1C-B245-8ED95886B4B7}">
      <text>
        <r>
          <rPr>
            <b/>
            <sz val="9"/>
            <color indexed="81"/>
            <rFont val="Tahoma"/>
            <family val="2"/>
          </rPr>
          <t>Qty auto-counts INPUT SHEET line items with category _kW&lt;rating&gt;.</t>
        </r>
      </text>
    </comment>
    <comment ref="E45" authorId="0" shapeId="0" xr:uid="{6DE54B24-C21E-4094-BE5E-782FA1864E5F}">
      <text>
        <r>
          <rPr>
            <b/>
            <sz val="9"/>
            <color indexed="81"/>
            <rFont val="Tahoma"/>
            <family val="2"/>
          </rPr>
          <t>= Rating (kW) × CC rate ($/kW/yr)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C135" authorId="0" shapeId="0" xr:uid="{1CEF61D5-8518-4A81-BF80-6B5265E8026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All single-port L2 chargers from INPUT SHEET (SKUs ending -1 or -1-ISO). PMP vs WMP mount cannot be determined from INPUT SHEET SKUs, so all singles are counted here.</t>
        </r>
      </text>
    </comment>
    <comment ref="H135" authorId="0" shapeId="0" xr:uid="{E1FDA700-D44E-462D-BDEC-411920D56B3A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Wrrty!D5 — out-of-warranty service cost, yearly. Reference only; feeds no formulas.</t>
        </r>
      </text>
    </comment>
    <comment ref="C136" authorId="0" shapeId="0" xr:uid="{BA4A39E2-C1A8-4AE2-A347-ED540C60A28B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All dual-port L2 chargers from INPUT SHEET (SKUs ending -2 or -2-ISO).</t>
        </r>
      </text>
    </comment>
    <comment ref="H136" authorId="0" shapeId="0" xr:uid="{692D25B3-7749-4F58-B4EB-04408CE7930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Wrrty!D6 — out-of-warranty service cost, yearly.</t>
        </r>
      </text>
    </comment>
    <comment ref="C137" authorId="0" shapeId="0" xr:uid="{D759A3AB-4D4C-48EC-9028-B67D2C955624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WMP variant cannot be distinguished from INPUT SHEET SKUs — all singles counted in the row above.</t>
        </r>
      </text>
    </comment>
    <comment ref="H137" authorId="0" shapeId="0" xr:uid="{41DA2F61-C9D3-411D-A626-9DFBB64F58DA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Wrrty!D7 — out-of-warranty service cost, yearly.</t>
        </r>
      </text>
    </comment>
    <comment ref="C138" authorId="0" shapeId="0" xr:uid="{1161207A-D0D3-4582-9000-5AF99C7E1A32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WMP variant cannot be distinguished from INPUT SHEET SKUs — all duals counted in the Dual PMP row.</t>
        </r>
      </text>
    </comment>
    <comment ref="H138" authorId="0" shapeId="0" xr:uid="{78CFB958-CC46-4DBE-8CE7-1950BC601F0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Wrrty!D8 — out-of-warranty service cost, yearly.</t>
        </r>
      </text>
    </comment>
    <comment ref="H139" authorId="0" shapeId="0" xr:uid="{4870B2B9-3CEE-4B5B-AE6C-0BFA95745B62}">
      <text>
        <r>
          <rPr>
            <b/>
            <sz val="9"/>
            <color indexed="81"/>
            <rFont val="Tahoma"/>
            <family val="2"/>
          </rPr>
          <t>MSRP. Source: Svc Wrrty!D10 — out-of-warranty service cost, yearly.</t>
        </r>
      </text>
    </comment>
    <comment ref="H140" authorId="0" shapeId="0" xr:uid="{655109F3-9E1F-4999-81D0-92243E944457}">
      <text>
        <r>
          <rPr>
            <b/>
            <sz val="9"/>
            <color indexed="81"/>
            <rFont val="Tahoma"/>
            <family val="2"/>
          </rPr>
          <t>MSRP. Source: Svc Wrrty!D11 — out-of-warranty service cost, yearly.</t>
        </r>
      </text>
    </comment>
    <comment ref="H141" authorId="0" shapeId="0" xr:uid="{51B88FDE-5100-4902-B50A-1057D9EB3A3E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Wrrty!D12 — out-of-warranty service cost, yearly.</t>
        </r>
      </text>
    </comment>
    <comment ref="C142" authorId="0" shapeId="0" xr:uid="{B4362BC6-0D7C-4471-AF7E-4DDDE0BA5C46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Per user: DC-300kW row uses the _kW240 category total (no 300kW category exists on INPUT SHEET).</t>
        </r>
      </text>
    </comment>
    <comment ref="H142" authorId="0" shapeId="0" xr:uid="{46E1B27E-C7A8-4345-A365-3B001338A6C4}">
      <text>
        <r>
          <rPr>
            <b/>
            <sz val="9"/>
            <color indexed="81"/>
            <rFont val="Tahoma"/>
            <family val="2"/>
          </rPr>
          <t>MSRP. Source: Svc Wrrty!D13 — out-of-warranty service cost, yearly.</t>
        </r>
      </text>
    </comment>
    <comment ref="H144" authorId="0" shapeId="0" xr:uid="{EFE074AC-8379-496B-BB80-087BF0A97969}">
      <text>
        <r>
          <rPr>
            <b/>
            <sz val="9"/>
            <color indexed="81"/>
            <rFont val="Tahoma"/>
            <family val="2"/>
          </rPr>
          <t>MSRP. Source: Svc Wrrty!D13 — out-of-warranty service cost, yearly.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Vatsal Patel</author>
  </authors>
  <commentList>
    <comment ref="C106" authorId="0" shapeId="0" xr:uid="{697B892D-E6CF-48C7-80B3-9915C15224FF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72, 6500 Watt Generator Rental = $220.00.</t>
        </r>
      </text>
    </comment>
    <comment ref="C107" authorId="0" shapeId="0" xr:uid="{DE1C04A7-0A82-4CFC-AE9F-F4302DEBD2ED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156, Dump Trailer Rental = $796.63.</t>
        </r>
      </text>
    </comment>
    <comment ref="C108" authorId="0" shapeId="0" xr:uid="{7DB131EA-5F1B-4E4B-96F6-AE9D336CEF6C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158, Equipment Protection = $45.00.</t>
        </r>
      </text>
    </comment>
    <comment ref="C109" authorId="0" shapeId="0" xr:uid="{CF847256-EA7F-43DA-936D-A481FD7F60A2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161 / summary note row 8, Dahl's skidsteer quote incl. delivery/pickup = $750.00.</t>
        </r>
      </text>
    </comment>
    <comment ref="C110" authorId="0" shapeId="0" xr:uid="{9FEA6C91-BA34-43BE-9849-7F55BEF3B814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162 / summary note row 8, Dahl's telehandler quote incl. fork set + delivery/pickup = $1,410.00.</t>
        </r>
      </text>
    </comment>
  </commentList>
</comments>
</file>

<file path=xl/sharedStrings.xml><?xml version="1.0" encoding="utf-8"?>
<sst xmlns="http://schemas.openxmlformats.org/spreadsheetml/2006/main" count="1401" uniqueCount="762">
  <si>
    <t>Charger Input Calculator</t>
  </si>
  <si>
    <t>CTX Product Selection:</t>
  </si>
  <si>
    <t>Start by selecting Category dropdown →   (blue cells = your inputs: Category, SKU, Discount %, Qty)</t>
  </si>
  <si>
    <t>Financial Worksheet Inputs</t>
  </si>
  <si>
    <t>Item #</t>
  </si>
  <si>
    <t>Category</t>
  </si>
  <si>
    <t>SKU</t>
  </si>
  <si>
    <t>Description</t>
  </si>
  <si>
    <t>Our Cost</t>
  </si>
  <si>
    <t>MSRP</t>
  </si>
  <si>
    <t>Discount %</t>
  </si>
  <si>
    <t>Qty</t>
  </si>
  <si>
    <t>Line Total After Discount</t>
  </si>
  <si>
    <t>Level 2</t>
  </si>
  <si>
    <t># Chargers (auto from line items)</t>
  </si>
  <si>
    <t>EV Stall Qty (# of ports)</t>
  </si>
  <si>
    <t>Charger Rating (kW)</t>
  </si>
  <si>
    <t>Rating de-rate factor (x)</t>
  </si>
  <si>
    <t>Tip: # Chargers auto-fills from your line item categories (_L2 and _kW*).</t>
  </si>
  <si>
    <t>Set the ports and kW rating per level. Revenue uses rating x de-rate factor.</t>
  </si>
  <si>
    <t>Grand Total</t>
  </si>
  <si>
    <t>Instructions</t>
  </si>
  <si>
    <t>Applied Discount</t>
  </si>
  <si>
    <t>Customer Price</t>
  </si>
  <si>
    <t>Equipment Purchase Invoice (Finance)</t>
  </si>
  <si>
    <t>Charger Hardware</t>
  </si>
  <si>
    <t>EVOLV &amp; Commissioning Subtotal</t>
  </si>
  <si>
    <t>5 Year Service Agreement</t>
  </si>
  <si>
    <t>Sales Tax on Chargers</t>
  </si>
  <si>
    <t>Design Invoice (Finance)</t>
  </si>
  <si>
    <t>AutoCad Design Services</t>
  </si>
  <si>
    <t>Electrical Engineering Design</t>
  </si>
  <si>
    <t>Project Management (@$358/hour)</t>
  </si>
  <si>
    <t>Plan Check and Permit Fees</t>
  </si>
  <si>
    <t>Electrical Supply &amp; Construction Management Costs</t>
  </si>
  <si>
    <t>Wires, Conduits and Peripherals</t>
  </si>
  <si>
    <t>Main Distribution Switchgear</t>
  </si>
  <si>
    <t>Electrical Sub-Panels, Transformers, Breakers</t>
  </si>
  <si>
    <t>Striping, Bollards, Signage</t>
  </si>
  <si>
    <t>Asphalt and Paving</t>
  </si>
  <si>
    <t>Concrete Improvements</t>
  </si>
  <si>
    <t xml:space="preserve">ADA </t>
  </si>
  <si>
    <t>Dump/ Waste</t>
  </si>
  <si>
    <t xml:space="preserve">Permits </t>
  </si>
  <si>
    <t>Utility</t>
  </si>
  <si>
    <t>Construction Equipment</t>
  </si>
  <si>
    <t>Construction PM</t>
  </si>
  <si>
    <t>Materials</t>
  </si>
  <si>
    <t>Sales Tax on equipment</t>
  </si>
  <si>
    <t>Labor</t>
  </si>
  <si>
    <t>Total After Discount</t>
  </si>
  <si>
    <t>How to use:  If you need extra costs Insert the extra costs into the Costs Row. The Values will be populated tot eh Cost Export and Financial Worksheet automatically</t>
  </si>
  <si>
    <t>ZERO IMPACT SOLUTIONS COSTS BREAKDOWN</t>
  </si>
  <si>
    <t>Charger cost factor (1.05 contingency x 1.10 markup):</t>
  </si>
  <si>
    <t>Charger (2-year Parts Only Warranty included)</t>
  </si>
  <si>
    <t>Quantity</t>
  </si>
  <si>
    <t>Final Cost</t>
  </si>
  <si>
    <t>Total</t>
  </si>
  <si>
    <t>Total Cost of EVSE</t>
  </si>
  <si>
    <t>Permits</t>
  </si>
  <si>
    <t>Designs and Engineering</t>
  </si>
  <si>
    <t>Material Costs</t>
  </si>
  <si>
    <t>Miscellaneous</t>
  </si>
  <si>
    <t>Total Cost of Supply &amp; Management</t>
  </si>
  <si>
    <t>EVOLV platform costs (Calculated Yearly)</t>
  </si>
  <si>
    <t>Monthly Network Cloud Services Fees (Per Port)</t>
  </si>
  <si>
    <t>Subtotal</t>
  </si>
  <si>
    <t>Tax</t>
  </si>
  <si>
    <t>Rebate</t>
  </si>
  <si>
    <t>ZERO IMPACT BUILDERS COSTS BREAKDOWN</t>
  </si>
  <si>
    <t>Labor Days</t>
  </si>
  <si>
    <t>Total Labor Costs</t>
  </si>
  <si>
    <t>Servicing Fees (Yearly calculation)</t>
  </si>
  <si>
    <t>In warranty Service Plan (Per year &lt; 2 years)</t>
  </si>
  <si>
    <t>Warranty + Service Plan &gt; 2 years</t>
  </si>
  <si>
    <t>Total Charger | EVSE | Evolv</t>
  </si>
  <si>
    <t>Total ZIB Costs</t>
  </si>
  <si>
    <t>Projected Profits Over 5 Years</t>
  </si>
  <si>
    <t>5 Year Cashflow</t>
  </si>
  <si>
    <t>5 Year Charger Revenue</t>
  </si>
  <si>
    <t>Total Costs Upfront</t>
  </si>
  <si>
    <t xml:space="preserve">Carbon Credits </t>
  </si>
  <si>
    <t>Year</t>
  </si>
  <si>
    <t>Annual Cashflow</t>
  </si>
  <si>
    <t>Cumulative</t>
  </si>
  <si>
    <t>EVSE Revenues</t>
  </si>
  <si>
    <t xml:space="preserve">Net Revenues </t>
  </si>
  <si>
    <t>L3</t>
  </si>
  <si>
    <t>Multiplier</t>
  </si>
  <si>
    <t>Customer Total</t>
  </si>
  <si>
    <t>L2</t>
  </si>
  <si>
    <t>Usage</t>
  </si>
  <si>
    <t>Equipment Purchase Invoice</t>
  </si>
  <si>
    <t>Consumption Credits/m</t>
  </si>
  <si>
    <t>Parts Warranty</t>
  </si>
  <si>
    <t>Design Invoice</t>
  </si>
  <si>
    <t>ADA</t>
  </si>
  <si>
    <t>Remaining Balance after Discount</t>
  </si>
  <si>
    <t>STANDARD-DAY</t>
  </si>
  <si>
    <t>FLEET-NIGHT</t>
  </si>
  <si>
    <t>Revenues</t>
  </si>
  <si>
    <t>Standard-Low</t>
  </si>
  <si>
    <t>Standard-Med</t>
  </si>
  <si>
    <t>Standard-High</t>
  </si>
  <si>
    <t>Fleet-Low</t>
  </si>
  <si>
    <t>Fleet-Med</t>
  </si>
  <si>
    <t>Fleet-High</t>
  </si>
  <si>
    <t xml:space="preserve">Level 2 </t>
  </si>
  <si>
    <t xml:space="preserve">Chargers </t>
  </si>
  <si>
    <t>EV Stall Quantity (Based on # of ports)</t>
  </si>
  <si>
    <t>Max hours of operation of parking</t>
  </si>
  <si>
    <t>Assumed Stall Occupancy %</t>
  </si>
  <si>
    <t>Number of stalls used per day</t>
  </si>
  <si>
    <t>Assumed Charging Hourly % per stall per day</t>
  </si>
  <si>
    <t>Number of hours usage per stall per day</t>
  </si>
  <si>
    <t>Actual Charger Rating</t>
  </si>
  <si>
    <t>Retail Revenue per kWHr</t>
  </si>
  <si>
    <t>Total Revenue per day</t>
  </si>
  <si>
    <t>Per 30 day Cycle</t>
  </si>
  <si>
    <t>Total kWhr dispensed per day</t>
  </si>
  <si>
    <t>EV Utility Rate average per kWHr</t>
  </si>
  <si>
    <t>Net Profit per Month</t>
  </si>
  <si>
    <t>Total Profit per Year</t>
  </si>
  <si>
    <t>Modify Stall Occupancy % here</t>
  </si>
  <si>
    <t>Modify Charging Hourly percentage per stall per day</t>
  </si>
  <si>
    <t>Total (Standard )</t>
  </si>
  <si>
    <t>Low</t>
  </si>
  <si>
    <t>Medium</t>
  </si>
  <si>
    <t>High</t>
  </si>
  <si>
    <t>Yearly</t>
  </si>
  <si>
    <t>3 Years</t>
  </si>
  <si>
    <t>5 Years</t>
  </si>
  <si>
    <t>Total (Standard &amp; Fleet Night)</t>
  </si>
  <si>
    <t>Category List</t>
  </si>
  <si>
    <t>← Pick a Category first</t>
  </si>
  <si>
    <t>_L2</t>
  </si>
  <si>
    <t>CTX-R40-240-1</t>
  </si>
  <si>
    <t>40A Single Home Charger</t>
  </si>
  <si>
    <t>CTX-R48-240-1</t>
  </si>
  <si>
    <t>48A Single Home Charger</t>
  </si>
  <si>
    <t>_kW30</t>
  </si>
  <si>
    <t>CTX-C32-240-1</t>
  </si>
  <si>
    <t>32A Single Commercial L2 Charger</t>
  </si>
  <si>
    <t>_kW60</t>
  </si>
  <si>
    <t>CTX-C48-240-1</t>
  </si>
  <si>
    <t>48A Single Commercial L2 Charger (18' Cable with Modem)</t>
  </si>
  <si>
    <t>_kW120</t>
  </si>
  <si>
    <t>CTX-C80-240-1</t>
  </si>
  <si>
    <t>80A Single Commercial L2 Charger (18' Cable with Modem)</t>
  </si>
  <si>
    <t>_kW160</t>
  </si>
  <si>
    <t>CTX-C40-240-2</t>
  </si>
  <si>
    <t>40A Dual Commercial L2 Charger (18' Cable with Modem)</t>
  </si>
  <si>
    <t>_kW180</t>
  </si>
  <si>
    <t>CTX-C80-240-2</t>
  </si>
  <si>
    <t>80A Dual Commercial L2 Charger (18' Cable with Modem)</t>
  </si>
  <si>
    <t>_kW240</t>
  </si>
  <si>
    <t>CTX-C80-240-1-ISO</t>
  </si>
  <si>
    <t>_kW360</t>
  </si>
  <si>
    <t>CTX-C40-240-2-ISO</t>
  </si>
  <si>
    <t>_Distributed_System</t>
  </si>
  <si>
    <t>CTX-C80-240-2-ISO</t>
  </si>
  <si>
    <t>_Buy_America</t>
  </si>
  <si>
    <t>TP5-30-480-1</t>
  </si>
  <si>
    <t>Gen2 30kW DCFC Wall Mount - 100 Amps / 1000VDC with CCS1 (~16ft)</t>
  </si>
  <si>
    <t>_V2G</t>
  </si>
  <si>
    <t>TP5-30-480-3</t>
  </si>
  <si>
    <t>Gen 2Gen 30kW DCFC Wall Mount - 200 Amps / 1000VDC with NACS (~16ft)</t>
  </si>
  <si>
    <t>_L2_Accessories</t>
  </si>
  <si>
    <t>TP5-60-480-1</t>
  </si>
  <si>
    <t xml:space="preserve">60kW DCFC - 200 Amps / 1000VDC with CCS1 &amp; CHAdeMO(~16ft) ; 4G Modem </t>
  </si>
  <si>
    <t>_CTX_Warranty</t>
  </si>
  <si>
    <t>TP5-60-480-2</t>
  </si>
  <si>
    <t xml:space="preserve">60kW DCFC - 200 Amps / 1000VDC with CCS1 &amp; CCS1(~16ft) ; 4G Modem </t>
  </si>
  <si>
    <t>_CTX_Service_Plans</t>
  </si>
  <si>
    <t>TP5-60-480-3</t>
  </si>
  <si>
    <t xml:space="preserve">60kW DCFC - 200 Amps / 1000VDC with CCS1 &amp; NACS(~16ft) ; 4G Modem </t>
  </si>
  <si>
    <t>TP5-60-480-4</t>
  </si>
  <si>
    <t xml:space="preserve">60kW DCFC - 200 Amps / 1000VDC with NACS &amp; NACS(~16ft) ; 4G Modem </t>
  </si>
  <si>
    <t>CTX-AiO-60-2-200</t>
  </si>
  <si>
    <t xml:space="preserve">Gen 2 60kW DCFC - 200 Amps / 1000VDC with CCS1 &amp; CCS1(~16ft) ; 4G Modem </t>
  </si>
  <si>
    <t>CTX-AiO-60-3-200</t>
  </si>
  <si>
    <t xml:space="preserve">Gen 2 60kW DCFC - 200 Amps / 1000VDC with CCS1 &amp; NACS(~16ft) ; 4G Modem </t>
  </si>
  <si>
    <t>CTX-AiO-60-4-200</t>
  </si>
  <si>
    <t xml:space="preserve">Gen 2 60kW DCFC - 200 Amps / 1000VDC with NACS &amp; NACS(~16ft) ; 4G Modem </t>
  </si>
  <si>
    <t>TP5-120-480-1</t>
  </si>
  <si>
    <t xml:space="preserve">120kW DCFC All In One Charger - 200 Amps / 1000VDC with CCS1 &amp; CHAdeMO(~16ft) ; Can charge 2 cars simultaneously with 60kW each ; 4G Modem </t>
  </si>
  <si>
    <t>TP5-120-480-2</t>
  </si>
  <si>
    <t xml:space="preserve">120kW DCFC All In One Charger - 200 Amps / 1000VDC with CCS1 &amp; CCS1(~16ft); Can charge 2 cars simultaneously with 60kW each ; 4G Modem </t>
  </si>
  <si>
    <t>TP5-120-480-2-300</t>
  </si>
  <si>
    <t xml:space="preserve">120kW DCFC All In One Charger - 350A Cable / 1000VDC with CCS1 &amp; CCS1(~16ft); Can charge 2 cars simultaneously with 60kW each ; 4G Modem </t>
  </si>
  <si>
    <t>TP5-120-480-3-300</t>
  </si>
  <si>
    <t xml:space="preserve">120kW DCFC All In One Charger - 1000VDC, Cables: 350A CCS1 &amp; 400A NACS (~16ft); Can charge 2 cars simultaneously with 60kW each ; 4G Modem </t>
  </si>
  <si>
    <t>CTX-AiO-120-2-350</t>
  </si>
  <si>
    <t>Gen3 120kW CCS1 350A + CCS1 350A ; Cable Management + CC</t>
  </si>
  <si>
    <t>CTX-AiO-120-3-350</t>
  </si>
  <si>
    <t>Gen3 120kW CCS1 350A + NACS 350A   ; Cable Management + CC</t>
  </si>
  <si>
    <t>CTX-AiO-120-4-350</t>
  </si>
  <si>
    <t>Gen3 120kW NACS 350A + NACS 350A  ; Cable Management + CC</t>
  </si>
  <si>
    <t>CTX-AiO-120-5-350</t>
  </si>
  <si>
    <t>Gen3 120kW Single CCS1 350A  ; Cable Management + CC</t>
  </si>
  <si>
    <t>CTX-AiO-120-6-350</t>
  </si>
  <si>
    <t>Gen3 120kW Single NACS 350A  ; Cable Management + CC</t>
  </si>
  <si>
    <t>TP5-160-480-1</t>
  </si>
  <si>
    <t>160kW DCFC All In One Charger - 200 Amps / 1000VDC with CCS1 &amp; CHAdeMO(~16ft); It can dispense 200A on single connector and can charge 2 cars simultaneously with 80kW each or 100kW CCS1 and 60kW CHAdeMO ; 4G Modem</t>
  </si>
  <si>
    <t>TP5-160-480-2</t>
  </si>
  <si>
    <t>160kW DCFC All In One Charger - 200 Amps / 1000VDC with CCS1 &amp; CCS1(~16ft); It can dispense 200A on single connector and can charge 2 cars simultaneously with 80kW each ; 4G Modem</t>
  </si>
  <si>
    <t>TP5-160-480-3</t>
  </si>
  <si>
    <t>160kW DCFC All In One Charger - 200 Amps / 1000VDC with CCS1 &amp; NACS (~16ft); It can dispense 200A on single connector and can charge 2 cars simultaneously with 80kW each ; 4G Modem</t>
  </si>
  <si>
    <t>TP5-160-480-2-300</t>
  </si>
  <si>
    <t>160kW DCFC All In One Charger - 350A Cable / 1000VDC with CCS1 &amp; CCS1(~16ft); Can charge 2 cars simultaneously with 80kW each ; 4G Modem</t>
  </si>
  <si>
    <t>HPC-160-480-1</t>
  </si>
  <si>
    <t>160kW HPC All In One Charger - 400 Amps / 1000VDC with Liquid Cooled Connector for CCS1(~14ft) &amp; CHAdeMO(~16ft) ; It can deliver 400A on the CCS coonnector. Can charge 2 cars simultaneously with 80kW each or 100kW CCS1 and 60kW CHAdeMO ; 4G Modem</t>
  </si>
  <si>
    <t>HPC-160-480-2</t>
  </si>
  <si>
    <t xml:space="preserve">160kW HPC All In One Charger - 400 Amps / 1000VDC with Liquid Cooled Connector for CCS1(~14ft) &amp; CHAdeMO(~16ft) ; It can deliver 400A on the CCS coonnector. Also can charge 2 cars with 200Amps each; 4G Modem </t>
  </si>
  <si>
    <t>CTX-AiO-160-2-350</t>
  </si>
  <si>
    <t>Gen3 160kW CCS1 350A + CCS1 350A ; Cable Management + CC</t>
  </si>
  <si>
    <t>CTX-AiO-160-3-350</t>
  </si>
  <si>
    <t>Gen3 160kW CCS1 350A + NACS 350A   ; Cable Management + CC</t>
  </si>
  <si>
    <t>CTX-AiO-160-4-350</t>
  </si>
  <si>
    <t>Gen3 160kW NACS 350A + NACS 350A  ; Cable Management + CC</t>
  </si>
  <si>
    <t>CTX-AiO-160-5-350</t>
  </si>
  <si>
    <t>Gen3 160kW Single CCS1 350A  ; Cable Management + CC</t>
  </si>
  <si>
    <t>CTX-AiO-160-6-350</t>
  </si>
  <si>
    <t>Gen3 160kW Single NACS 350A  ; Cable Management + CC</t>
  </si>
  <si>
    <t>TP5-180-480-1</t>
  </si>
  <si>
    <t xml:space="preserve">180kW DCFC All In One Charger - 200 Amps / 1000VDC with CCS1 &amp; CHAdeMO(~16ft); Can charge 2 cars simultaneously with 90kW each or 120kW on CCS1 and 60kW on CHAdeMO; 4G Modem </t>
  </si>
  <si>
    <t>TP5-180-480-2</t>
  </si>
  <si>
    <t xml:space="preserve">180kW DCFC All In One Charger - 200 Amps / 1000VDC with CCS1 &amp; CCS1(~16ft); Can charge 2 cars simultaneously with 90kW each ; 4G Modem </t>
  </si>
  <si>
    <t>TP5-180-480-2-300</t>
  </si>
  <si>
    <t xml:space="preserve">180kW DCFC All In One Charger - 350A Cable / 1000VDC with CCS1 &amp; CCS1(~16ft); Can charge 2 cars simultaneously with 90kW each ; 4G Modem </t>
  </si>
  <si>
    <t>TP5-180-480-3-300</t>
  </si>
  <si>
    <t xml:space="preserve">180kW DCFC All In One Charger - 1000VDC, Cables: 350A CCS1 &amp; 400A NACS (~16ft); Can charge 2 cars simultaneously with 90kW each ; 4G Modem </t>
  </si>
  <si>
    <t>TP5-180-480-2-300-CL20</t>
  </si>
  <si>
    <t xml:space="preserve">180kW DCFC All In One Charger - 350A Cable / 1000VDC with CCS1 &amp; CCS1(~20ft); Can charge 2 cars simultaneously with 90kW each ; 4G Modem </t>
  </si>
  <si>
    <t>TP5-240-480-2-300</t>
  </si>
  <si>
    <t xml:space="preserve">240kW DCFC All In One Charger - 350A Cable / 1000VDC Dual CCS1 ; Can charge 2 cars simultaneously with 120kW each ; 4G Modem </t>
  </si>
  <si>
    <t>TP5-240-480-2-400</t>
  </si>
  <si>
    <t xml:space="preserve">240kW DCFC All In One Charger - 1000VDC, Cables: 350A CCS1 &amp; 400A NACS; Can charge 2 cars simultaneously with 120kW each ; 4G Modem </t>
  </si>
  <si>
    <t>HPC-240-480-1</t>
  </si>
  <si>
    <t xml:space="preserve">240kW HPC All In One Charger - 500 Amps / 1000VDC with Liquid Cooled Connector for CCS1 &amp; CHAdeMO(~14ft) ; Can deliver 500A on CCS coonnector. Can charge 2 cars simultaneously; 4G Modem </t>
  </si>
  <si>
    <t>HPC-240-480-2</t>
  </si>
  <si>
    <t xml:space="preserve">240kW HPC All In One Charger - 500 Amps / 1000VDC with Liquid Cooled Connector for Dual CCS1 ; Can deliver 450A on one CCS coonnector and 250A on each connector if used simultaneously ; 4G Modem </t>
  </si>
  <si>
    <t>CTX-AiO-240-2-300</t>
  </si>
  <si>
    <t>Gen3 240kW CCS1 350A + CCS1 350A; Cable Management + CC</t>
  </si>
  <si>
    <t>CTX-AiO-240-3-300</t>
  </si>
  <si>
    <t>Gen3 240kW CCS1 350A + NACS 350A; Cable Management + CC</t>
  </si>
  <si>
    <t>CTX-AiO-240-4-300</t>
  </si>
  <si>
    <t>Gen3 240kW NACS 350A + NACS 350A; Cable Management + CC</t>
  </si>
  <si>
    <t>CTX-AiO-240-5-300</t>
  </si>
  <si>
    <t>Gen3 240kW Single CCS1 350A; Cable Management + CC</t>
  </si>
  <si>
    <t>TP5-360-480-1-300</t>
  </si>
  <si>
    <t xml:space="preserve">360kW DCFC All In One Charger - 1000VDC, Cables: 350A CCS1 &amp; CHAdeMO ;  Can charge 2 cars simultaneously with 180kW each ; 4G Modem </t>
  </si>
  <si>
    <t>TP5-360-480-2-300</t>
  </si>
  <si>
    <t xml:space="preserve">360kW DCFC All In One Charger - 350A Cable / 1000VDC Dual CCS1 ;  Can charge 2 cars simultaneously with 180kW each ; 4G Modem </t>
  </si>
  <si>
    <t>TP5-360-480-3-300</t>
  </si>
  <si>
    <t xml:space="preserve">360kW DCFC All In One Charger - 1000VDC, Cables: 350A CCS1 &amp; 400A NACS ;  Can charge 2 cars simultaneously with 180kW each ; 4G Modem </t>
  </si>
  <si>
    <t>TP5-360-480-4-300</t>
  </si>
  <si>
    <t xml:space="preserve">360kW DCFC All In One Charger - 1000VDC, Cables: 400A NACS / 400A NACS ;  Can charge 2 cars simultaneously with 180kW each ; 4G Modem </t>
  </si>
  <si>
    <t>HPC-360-480-1</t>
  </si>
  <si>
    <t xml:space="preserve">360kW HPC All In One Charger - 500 Amps / 1000VDC with Liquid Cooled Connector for CCS1 &amp; CHAdeMO(~14ft) ; Can deliver 500A on CCS coonnector. Can charge 2 cars simultaneously; 4G Modem </t>
  </si>
  <si>
    <t>HPC-360-480-2</t>
  </si>
  <si>
    <t xml:space="preserve">360kW HPC All In One Charger - 500 Amps / 1000VDC with Liquid Cooled Connector for Dual CCS1 ; Can deliver 500A on one CCS coonnector and 400A on each connector if used simultaneously ; 4G Modem </t>
  </si>
  <si>
    <t>HPC-360-480-3</t>
  </si>
  <si>
    <t xml:space="preserve">360kW HPC All In One Charger - 500 Amps / 1000VDC with Liquid Cooled Connector for CCS1 &amp; NACS ; Can deliver 500A on CCS coonnector. Can charge 2 cars simultaneously; 4G Modem </t>
  </si>
  <si>
    <t>HPC-360-480-4</t>
  </si>
  <si>
    <t xml:space="preserve">360kW HPC All In One Charger - 500 Amps / 1000VDC with Liquid Cooled Connector for NACS / NACS ; Can deliver 500A on CCS coonnector. Can charge 2 cars simultaneously; 4G Modem </t>
  </si>
  <si>
    <t>CTX-DSPB-360</t>
  </si>
  <si>
    <t>360kW Tower</t>
  </si>
  <si>
    <t>CTX-DSPB-480</t>
  </si>
  <si>
    <t>480kW Tower</t>
  </si>
  <si>
    <t>CTX-DSPB-1280</t>
  </si>
  <si>
    <t>1,280kW Tower</t>
  </si>
  <si>
    <t>CTX-DST-2-300</t>
  </si>
  <si>
    <t>Dispenser 300/300</t>
  </si>
  <si>
    <t>CTX-DST-HPC-2-500/300</t>
  </si>
  <si>
    <t>Dispenser 500/300</t>
  </si>
  <si>
    <t>TP5-60-480-2-BAA</t>
  </si>
  <si>
    <t xml:space="preserve">Buy America NEVI Compliant, Assembled in CA, USA 60kW DCFC - 140 Amps / 1000VDC with CCS1 &amp; CCS1(~16ft) ; 4G Modem </t>
  </si>
  <si>
    <t>TP5-60-480-3-BAA</t>
  </si>
  <si>
    <t xml:space="preserve">Buy America NEVI Compliant, Assembled in CA, USA 60kW DCFC - 140 Amps / 1000VDC with CCS1 &amp; NACS ; 4G Modem </t>
  </si>
  <si>
    <t>TP5-60-480-4-BAA</t>
  </si>
  <si>
    <t xml:space="preserve">Buy America NEVI Compliant, Assembled in CA, USA 60kW DCFC - 140 Amps / 1000VDC with NACS &amp; NACS ; 4G Modem </t>
  </si>
  <si>
    <t>TP5-120-480-2-300-BAA</t>
  </si>
  <si>
    <t xml:space="preserve">Buy America NEVI Compliant, Assembled in CA, USA 120kW DCFC All In One Charger - 350A Cable / 1000VDC with CCS1 &amp; CCS1(~16ft); Can charge 2 cars simultaneously with 60kW each ; 4G Modem </t>
  </si>
  <si>
    <t>TP5-120-480-3-300-BAA</t>
  </si>
  <si>
    <t xml:space="preserve">Buy America NEVI Compliant, Assembled in CA, USA 120kW DCFC All In One Charger - 350A Cable / 1000VDC with CCS1 &amp; NACS; Can charge 2 cars simultaneously with 60kW each ; 4G Modem </t>
  </si>
  <si>
    <t>TP5-120-480-4-300-BAA</t>
  </si>
  <si>
    <t>Buy America NEVI Compliant, Assembled in CA, USA 120kW DCFC All In One Charger - 350A Cable / 1000VDC with NACS &amp; NACS(~16ft); Can charge 2 cars simultaneously with 60kW each ; 4G Modem</t>
  </si>
  <si>
    <t>TP5-180-480-2-BAA</t>
  </si>
  <si>
    <t>Buy America NEVI Compliant, Assembled in CA, USA 180kW Air Cooled 350A Cable (BAA) CCS1 / CCS1 1000VDC Connector for Dual CCS1; Can deliver 350A on one CCS conector. Set to Sequential Mode Only.</t>
  </si>
  <si>
    <t>TP5-180-480-3-BAA</t>
  </si>
  <si>
    <t>Buy America NEVI Compliant, Assembled in CA, USA 180kW Air Cooled 350A Cable (BAA)  CCS1 / NACS 1000VDC Connector for Dual CCS1; Can deliver 350A on one CCS conector. Set to Sequential Mode Only.</t>
  </si>
  <si>
    <t>TP5-180-480-4-BAA</t>
  </si>
  <si>
    <t>Buy America NEVI Compliant, Assembled in CA, USA 180kW Air Cooled 350A Cable (BAA) NACS / NACS 1000VDC Connector for Dual CCS1; Can deliver 350A on one CCS conector. Set to Sequential Mode Only.</t>
  </si>
  <si>
    <t>HPC-180-480-2-BAA</t>
  </si>
  <si>
    <t>Buy America NEVI Compliant, Assembled in CA, USA 180kW Liquid Cooled (BAA) Dual CCS1 500 Amps / 1000VDC with Liquid Cooled Connector for Dual CCS1 ; Can deliver 450A on one CCS connector. Set to Sequential Mode Only</t>
  </si>
  <si>
    <t>HPC-180-480-3-BAA</t>
  </si>
  <si>
    <t>Buy America NEVI Compliant, Assembled in CA, USA 180kW Liquid Cooled (BAA) CCS1 / NACS 1000VDC with Liquid Cooled Connector for Dual CCS1 ; Can deliver 450A on one CCS connector. Set to Sequential Mode Only</t>
  </si>
  <si>
    <t>HPC-180-480-4-BAA</t>
  </si>
  <si>
    <t>Buy America NEVI Compliant, Assembled in CA, USA 180kW Liquid Cooled (BAA) NACS /NACS 1000VDC with Liquid Cooled Connector for Dual CCS1 ; Can deliver 450A on one CCS connector. Set to Sequential Mode Only</t>
  </si>
  <si>
    <t>TP5-360-480-2-BAA</t>
  </si>
  <si>
    <t xml:space="preserve">Buy America NEVI Compliant 360kW Air Cooled 350A Cable (BAA) Dual CCS1 / 1000VDC Connector for Dual CCS1 ; Can deliver 350A on one CCS connector and 350A on each connector if used simultaneously ; 4G Modem </t>
  </si>
  <si>
    <t>TP5-360-480-3-BAA</t>
  </si>
  <si>
    <t xml:space="preserve">Buy America NEVI Compliant 360kW Air Cooled 350A Cable (BAA) Dual CCS1 / 1000VDC Connector for CCS1/NACS ; Can deliver 350A on one CCS connector and 350A on each connector if used simultaneously ; 4G Modem </t>
  </si>
  <si>
    <t>TP5-360-480-4-BAA</t>
  </si>
  <si>
    <t xml:space="preserve">Buy America NEVI Compliant 360kW Air Cooled 350A Cable (BAA) Dual CCS1 / 1000VDC Connector for NACS/NACS ; Can deliver 350A on one CCS connector and 350A on each connector if used simultaneously ; 4G Modem </t>
  </si>
  <si>
    <t>HPC-360-480-2-BAA</t>
  </si>
  <si>
    <t xml:space="preserve">Buy America NEVI Compliant 360kW Liquid Cooled (BAA) 500 Amps / 1000VDC with Liquid Cooled Connector for Dual CCS1 ; Can deliver 500A on one CCS connector and 400A on each connector if used simultaneously ; 4G Modem </t>
  </si>
  <si>
    <t>HPC-360-480-3-BAA</t>
  </si>
  <si>
    <t xml:space="preserve">Buy America NEVI Compliant 360kW Liquid Cooled (BAA) 500 Amps / 1000VDC with Liquid Cooled Connector for CCS1/NACS ; Can deliver 500A on one CCS connector and 400A on each connector if used simultaneously ; 4G Modem </t>
  </si>
  <si>
    <t>HPC-360-480-4-BAA</t>
  </si>
  <si>
    <t xml:space="preserve">Buy America NEVI Compliant 360kW Liquid Cooled (BAA) 500 Amps / 1000VDC with Liquid Cooled Connector for NACS/NACS ; Can deliver 500A on one CCS connector and 400A on each connector if used simultaneously ; 4G Modem </t>
  </si>
  <si>
    <t>CTX-V2G-20-480-1</t>
  </si>
  <si>
    <t>20kW V2G Charger</t>
  </si>
  <si>
    <t>CTX-V2G-30-480-1</t>
  </si>
  <si>
    <t>30kW V2G Charger</t>
  </si>
  <si>
    <t>CTX-V2G-40-480-1</t>
  </si>
  <si>
    <t>40kW V2G Charger</t>
  </si>
  <si>
    <t>CTX-V2G-60-480-1</t>
  </si>
  <si>
    <t>60kW V2G Charger</t>
  </si>
  <si>
    <t>CTX-FLUXPED</t>
  </si>
  <si>
    <t>Single Post (no Retraction)</t>
  </si>
  <si>
    <t>CTX-FLUXWAL-CMS-1</t>
  </si>
  <si>
    <t>Single Retractor (Wall)</t>
  </si>
  <si>
    <t>CTX-FLUXPED-CMS-1</t>
  </si>
  <si>
    <t>Single Retractor post</t>
  </si>
  <si>
    <t>CTX-FLUXPED-CMS-2</t>
  </si>
  <si>
    <t>Dual Retractor (Post)</t>
  </si>
  <si>
    <t>CTX-FLUXPED-SBS</t>
  </si>
  <si>
    <t>Side By Side Bracket</t>
  </si>
  <si>
    <t>CTX-W-AC-3</t>
  </si>
  <si>
    <t>3 year</t>
  </si>
  <si>
    <t>CTX-W-AC-5</t>
  </si>
  <si>
    <t>5 year</t>
  </si>
  <si>
    <t>CTX-W-30-3</t>
  </si>
  <si>
    <t>CTX-W-30-5</t>
  </si>
  <si>
    <t>CTX-W-60-3</t>
  </si>
  <si>
    <t>CTX-W-60-5</t>
  </si>
  <si>
    <t>CTX-W-120-3</t>
  </si>
  <si>
    <t>CTX-W-120-5</t>
  </si>
  <si>
    <t>CTX-W-160-3</t>
  </si>
  <si>
    <t>CTX-W-160-5</t>
  </si>
  <si>
    <t>CTX-W-180-3</t>
  </si>
  <si>
    <t>CTX-W-180-5</t>
  </si>
  <si>
    <t>CTX-W-240-3</t>
  </si>
  <si>
    <t>CTX-W-240-5</t>
  </si>
  <si>
    <t>CTX-W-360-3</t>
  </si>
  <si>
    <t>CTX-W-360-5</t>
  </si>
  <si>
    <t>CTX-SW-30-2</t>
  </si>
  <si>
    <t>2 year</t>
  </si>
  <si>
    <t>CTX-SW-30-3</t>
  </si>
  <si>
    <t xml:space="preserve">3 year </t>
  </si>
  <si>
    <t>CTX-SW-30-5</t>
  </si>
  <si>
    <t>CTX-SW-60-2</t>
  </si>
  <si>
    <t>CTX-SW-60-3</t>
  </si>
  <si>
    <t>CTX-SW-60-5</t>
  </si>
  <si>
    <t>CTX-SW-120-2</t>
  </si>
  <si>
    <t>CTX-SW-120-3</t>
  </si>
  <si>
    <t>CTX-SW-120-5</t>
  </si>
  <si>
    <t>CTX-SW-160-2</t>
  </si>
  <si>
    <t>CTX-SW-160-3</t>
  </si>
  <si>
    <t>CTX-SW-160-5</t>
  </si>
  <si>
    <t>CTX-SW-180-2</t>
  </si>
  <si>
    <t>CTX-SW-180-3</t>
  </si>
  <si>
    <t>CTX-SW-180-5</t>
  </si>
  <si>
    <t>CTX-SW-240-2</t>
  </si>
  <si>
    <t>CTX-SW-240-3</t>
  </si>
  <si>
    <t>CTX-SW-240-5</t>
  </si>
  <si>
    <t>CTX-SW-360-2</t>
  </si>
  <si>
    <t>CTX-SW-360-3</t>
  </si>
  <si>
    <t>CTX-SW-360-5</t>
  </si>
  <si>
    <t>Cost</t>
  </si>
  <si>
    <t>MSRP Total</t>
  </si>
  <si>
    <t>Total after Discount</t>
  </si>
  <si>
    <t>Price</t>
  </si>
  <si>
    <t>STANDARD RFC</t>
  </si>
  <si>
    <t>Level 3</t>
  </si>
  <si>
    <t>Type of Charger per Rating</t>
  </si>
  <si>
    <t>L2 Single P</t>
  </si>
  <si>
    <t>L2 Dual P</t>
  </si>
  <si>
    <t>L2 Single W</t>
  </si>
  <si>
    <t>L2 Dual W</t>
  </si>
  <si>
    <t>TOTAL</t>
  </si>
  <si>
    <t>CONTRACT LENGTH</t>
  </si>
  <si>
    <t>KVA per Phase</t>
  </si>
  <si>
    <t/>
  </si>
  <si>
    <t>Breaker size per port (in A)</t>
  </si>
  <si>
    <t>Quantity of Ports</t>
  </si>
  <si>
    <t>Rating per Port for L2 (in KW)</t>
  </si>
  <si>
    <t>CALCULATIONS</t>
  </si>
  <si>
    <t>Quantity of Charger Breakers</t>
  </si>
  <si>
    <t xml:space="preserve">Total Load Size </t>
  </si>
  <si>
    <t>Labor In Days</t>
  </si>
  <si>
    <t>Total Kva</t>
  </si>
  <si>
    <t>Quantity of Sub-panels</t>
  </si>
  <si>
    <t>Rebate Amount</t>
  </si>
  <si>
    <t>Sub-panel Size</t>
  </si>
  <si>
    <t>Main Breaker Size</t>
  </si>
  <si>
    <t>Total Gear Size @208V  (AMPERAGE)</t>
  </si>
  <si>
    <t>Total Gear Size @ 480 V (AMPERAGE)</t>
  </si>
  <si>
    <t xml:space="preserve">Address </t>
  </si>
  <si>
    <t>Client Info:</t>
  </si>
  <si>
    <t>CPM:</t>
  </si>
  <si>
    <t>Utility:</t>
  </si>
  <si>
    <t>Individual Cost</t>
  </si>
  <si>
    <t>Contingency</t>
  </si>
  <si>
    <t>Daily Cost</t>
  </si>
  <si>
    <t>Total Business Days</t>
  </si>
  <si>
    <t>Bollards, Signage</t>
  </si>
  <si>
    <t>Total Months</t>
  </si>
  <si>
    <t>Asphalt, Paving, and Striping</t>
  </si>
  <si>
    <t>Total Labor</t>
  </si>
  <si>
    <t>ZERO IMPACT BUILDERS COSTS</t>
  </si>
  <si>
    <t xml:space="preserve">CHARGER PLACEMENT AND DISTANCE FROM DISTRIBUTION </t>
  </si>
  <si>
    <t>DATE</t>
  </si>
  <si>
    <t>Rexel 3/20/26</t>
  </si>
  <si>
    <t>Cu</t>
  </si>
  <si>
    <t>PVC</t>
  </si>
  <si>
    <t>CU WIRE*</t>
  </si>
  <si>
    <t>AL WIRE*</t>
  </si>
  <si>
    <t>COND</t>
  </si>
  <si>
    <t>Material</t>
  </si>
  <si>
    <t>Charger</t>
  </si>
  <si>
    <t>Distance</t>
  </si>
  <si>
    <t>Wire Length</t>
  </si>
  <si>
    <t>Wire Size</t>
  </si>
  <si>
    <t>Conduit Length</t>
  </si>
  <si>
    <t>Conduit Size</t>
  </si>
  <si>
    <t>Grounding</t>
  </si>
  <si>
    <t>Grounding Wire Size</t>
  </si>
  <si>
    <t>CAT 5 Cable</t>
  </si>
  <si>
    <t>Wire</t>
  </si>
  <si>
    <t>Unit Cost</t>
  </si>
  <si>
    <t>Conduit</t>
  </si>
  <si>
    <t>SIZE</t>
  </si>
  <si>
    <t>TYPE</t>
  </si>
  <si>
    <t>PRICE</t>
  </si>
  <si>
    <t>EMT</t>
  </si>
  <si>
    <t>SCH-40</t>
  </si>
  <si>
    <t>Dual</t>
  </si>
  <si>
    <t>10 AWG</t>
  </si>
  <si>
    <t>(3/4")</t>
  </si>
  <si>
    <t>(1/2")</t>
  </si>
  <si>
    <t>10 SOL</t>
  </si>
  <si>
    <t xml:space="preserve">  THHN  </t>
  </si>
  <si>
    <t>XHHW</t>
  </si>
  <si>
    <t>3/8</t>
  </si>
  <si>
    <t>8 AWG</t>
  </si>
  <si>
    <t>10 STR</t>
  </si>
  <si>
    <t>1/2</t>
  </si>
  <si>
    <t>6 AWG</t>
  </si>
  <si>
    <t>(1")</t>
  </si>
  <si>
    <t>8</t>
  </si>
  <si>
    <t>3/4</t>
  </si>
  <si>
    <t>4 AWG</t>
  </si>
  <si>
    <t>(1 1/4")</t>
  </si>
  <si>
    <t>6</t>
  </si>
  <si>
    <t>2 AWG</t>
  </si>
  <si>
    <t>(1 1/2")</t>
  </si>
  <si>
    <t>4</t>
  </si>
  <si>
    <t>3</t>
  </si>
  <si>
    <t>1-1/4</t>
  </si>
  <si>
    <t>1 AWG</t>
  </si>
  <si>
    <t>(2")</t>
  </si>
  <si>
    <t>THHN</t>
  </si>
  <si>
    <t>1-1/2</t>
  </si>
  <si>
    <t>1 /0</t>
  </si>
  <si>
    <t>(2 1/2")</t>
  </si>
  <si>
    <t>2</t>
  </si>
  <si>
    <t>2 /0</t>
  </si>
  <si>
    <t xml:space="preserve">(3") </t>
  </si>
  <si>
    <t>1</t>
  </si>
  <si>
    <t>1/0</t>
  </si>
  <si>
    <t>2-1/2</t>
  </si>
  <si>
    <t>3 /0</t>
  </si>
  <si>
    <t>(3  1/2")</t>
  </si>
  <si>
    <t>2/0</t>
  </si>
  <si>
    <t>4 /0</t>
  </si>
  <si>
    <t>(4")</t>
  </si>
  <si>
    <t>3/0</t>
  </si>
  <si>
    <t>3-1/2</t>
  </si>
  <si>
    <t>250 KCMIL</t>
  </si>
  <si>
    <t>(5")</t>
  </si>
  <si>
    <t>4/0</t>
  </si>
  <si>
    <t>300 KCMIL</t>
  </si>
  <si>
    <t>350 KCMIL</t>
  </si>
  <si>
    <t>250</t>
  </si>
  <si>
    <t>400 KCMIL</t>
  </si>
  <si>
    <t>300</t>
  </si>
  <si>
    <t>450 KCMIL</t>
  </si>
  <si>
    <t>350</t>
  </si>
  <si>
    <t>500 KCMIL</t>
  </si>
  <si>
    <t>400</t>
  </si>
  <si>
    <t>600 KCMIL</t>
  </si>
  <si>
    <t>450</t>
  </si>
  <si>
    <t>700 KCMIL</t>
  </si>
  <si>
    <t>500</t>
  </si>
  <si>
    <t>750 KCMIL</t>
  </si>
  <si>
    <t>600</t>
  </si>
  <si>
    <t>800 KCMIL</t>
  </si>
  <si>
    <t>700</t>
  </si>
  <si>
    <t>900 KCMIL</t>
  </si>
  <si>
    <t>750</t>
  </si>
  <si>
    <t>1000 KCMIL</t>
  </si>
  <si>
    <t>800</t>
  </si>
  <si>
    <t>900</t>
  </si>
  <si>
    <t>Manual Entry only</t>
  </si>
  <si>
    <t xml:space="preserve">PANEL PLACEMENT AND DISTANCE FROM DISTRIBUTION </t>
  </si>
  <si>
    <t>Al</t>
  </si>
  <si>
    <t xml:space="preserve"> 3/20/26</t>
  </si>
  <si>
    <t>480V</t>
  </si>
  <si>
    <t>208V</t>
  </si>
  <si>
    <t>Size</t>
  </si>
  <si>
    <t>Panel</t>
  </si>
  <si>
    <t>Runs</t>
  </si>
  <si>
    <t>SN</t>
  </si>
  <si>
    <t>Voltage</t>
  </si>
  <si>
    <t xml:space="preserve">Main </t>
  </si>
  <si>
    <t>350A</t>
  </si>
  <si>
    <t xml:space="preserve">Pole - TX </t>
  </si>
  <si>
    <t>breakers</t>
  </si>
  <si>
    <t>40A</t>
  </si>
  <si>
    <t>TX - SG</t>
  </si>
  <si>
    <t>Main</t>
  </si>
  <si>
    <t>400A</t>
  </si>
  <si>
    <t>800A</t>
  </si>
  <si>
    <t>main breakers</t>
  </si>
  <si>
    <t>1000A</t>
  </si>
  <si>
    <t>600A</t>
  </si>
  <si>
    <t>1200A</t>
  </si>
  <si>
    <t>1600A</t>
  </si>
  <si>
    <t>Transformer</t>
  </si>
  <si>
    <t>75KVA</t>
  </si>
  <si>
    <t>2000A</t>
  </si>
  <si>
    <t>112.5KVA</t>
  </si>
  <si>
    <t>150KVA</t>
  </si>
  <si>
    <t>3000A</t>
  </si>
  <si>
    <t>175KVA</t>
  </si>
  <si>
    <t>4000A</t>
  </si>
  <si>
    <t>225KVA</t>
  </si>
  <si>
    <t>5000A</t>
  </si>
  <si>
    <t>300KVA</t>
  </si>
  <si>
    <t>100kW</t>
  </si>
  <si>
    <t>500KVA</t>
  </si>
  <si>
    <t>110A</t>
  </si>
  <si>
    <t>125A</t>
  </si>
  <si>
    <t>sub-Panel</t>
  </si>
  <si>
    <t>150A</t>
  </si>
  <si>
    <t>250A</t>
  </si>
  <si>
    <t>20ea 40A</t>
  </si>
  <si>
    <t>100A</t>
  </si>
  <si>
    <t>200A</t>
  </si>
  <si>
    <t>300A</t>
  </si>
  <si>
    <t>Distribution panel</t>
  </si>
  <si>
    <t>500A</t>
  </si>
  <si>
    <t>Meter socket</t>
  </si>
  <si>
    <t>ELECTRICAL GEAR</t>
  </si>
  <si>
    <t>PERIPHERALS</t>
  </si>
  <si>
    <t>Main MSA</t>
  </si>
  <si>
    <t>Subpanels</t>
  </si>
  <si>
    <t>Main Breakers</t>
  </si>
  <si>
    <t>Disconnects</t>
  </si>
  <si>
    <t>Transfromers</t>
  </si>
  <si>
    <t>Breakers</t>
  </si>
  <si>
    <t>D. Panels</t>
  </si>
  <si>
    <t>Meter Socket</t>
  </si>
  <si>
    <t>Type</t>
  </si>
  <si>
    <t>Nuts</t>
  </si>
  <si>
    <t>Washers</t>
  </si>
  <si>
    <t>Screws &amp; Bolts</t>
  </si>
  <si>
    <t>Elbow</t>
  </si>
  <si>
    <t>Sweeps</t>
  </si>
  <si>
    <t>GROUND ROD</t>
  </si>
  <si>
    <t>Uni Strut</t>
  </si>
  <si>
    <t>Power Strut</t>
  </si>
  <si>
    <t>Threaded rod</t>
  </si>
  <si>
    <t>Hole strap</t>
  </si>
  <si>
    <t>Drop-in Anchors</t>
  </si>
  <si>
    <t>QTY</t>
  </si>
  <si>
    <t>PVC Cement</t>
  </si>
  <si>
    <t>PVC Bushing</t>
  </si>
  <si>
    <t>PVC Coupling</t>
  </si>
  <si>
    <t>GPR Scan</t>
  </si>
  <si>
    <t>Ground Rod Clamp</t>
  </si>
  <si>
    <t>Combo Lock</t>
  </si>
  <si>
    <t>Tape/Marking Supplies</t>
  </si>
  <si>
    <t>Data Box</t>
  </si>
  <si>
    <t>CAT5</t>
  </si>
  <si>
    <t>Charger Anchors</t>
  </si>
  <si>
    <t xml:space="preserve">Ply wood </t>
  </si>
  <si>
    <t>2'x4'</t>
  </si>
  <si>
    <t>Sono tubes</t>
  </si>
  <si>
    <t>Christy box</t>
  </si>
  <si>
    <t>Cutting/Saw Consumables</t>
  </si>
  <si>
    <t>Misc Electrical Hdw.</t>
  </si>
  <si>
    <t>Form Stakes</t>
  </si>
  <si>
    <t>Wire Dobies</t>
  </si>
  <si>
    <t>Junction Box</t>
  </si>
  <si>
    <t>Wheel stop</t>
  </si>
  <si>
    <t>GFI Test (SgA&gt;1000</t>
  </si>
  <si>
    <t>GRAND TOTAL</t>
  </si>
  <si>
    <t>Utility Fees</t>
  </si>
  <si>
    <t xml:space="preserve">Costs </t>
  </si>
  <si>
    <t>Equipment</t>
  </si>
  <si>
    <t>R16 Fees</t>
  </si>
  <si>
    <t>Signs</t>
  </si>
  <si>
    <t>Transformer Pad</t>
  </si>
  <si>
    <t xml:space="preserve">Sign posts </t>
  </si>
  <si>
    <t>Cabel well</t>
  </si>
  <si>
    <t>Utility Vault/Pull Box</t>
  </si>
  <si>
    <t>PGE Sand</t>
  </si>
  <si>
    <t xml:space="preserve">Contract Fees </t>
  </si>
  <si>
    <t>Bollards</t>
  </si>
  <si>
    <t>Duration</t>
  </si>
  <si>
    <t>Delivery fees</t>
  </si>
  <si>
    <t xml:space="preserve">Concrete </t>
  </si>
  <si>
    <t>Fencing</t>
  </si>
  <si>
    <t>Concrete yd³</t>
  </si>
  <si>
    <t>Mini x</t>
  </si>
  <si>
    <t>Rebar</t>
  </si>
  <si>
    <t>Dump Truck</t>
  </si>
  <si>
    <t xml:space="preserve">Freight/Disposal </t>
  </si>
  <si>
    <t xml:space="preserve">Steel Mesh Roll </t>
  </si>
  <si>
    <t>Forklift</t>
  </si>
  <si>
    <t>Trench Plates</t>
  </si>
  <si>
    <t>Storage container</t>
  </si>
  <si>
    <t xml:space="preserve">Portable restroom </t>
  </si>
  <si>
    <t>Apshalt</t>
  </si>
  <si>
    <t xml:space="preserve">Low boi </t>
  </si>
  <si>
    <t>Striping</t>
  </si>
  <si>
    <t>Saw cutter</t>
  </si>
  <si>
    <t xml:space="preserve">Jack hammer </t>
  </si>
  <si>
    <t>Compactor</t>
  </si>
  <si>
    <t>Generator rental</t>
  </si>
  <si>
    <t>Dump trailer rental</t>
  </si>
  <si>
    <t>2% Ada Stalls</t>
  </si>
  <si>
    <t>Equipment protection</t>
  </si>
  <si>
    <t xml:space="preserve">ADA Ramp </t>
  </si>
  <si>
    <t>Skidsteer rental</t>
  </si>
  <si>
    <t>Telehandler rental</t>
  </si>
  <si>
    <t>PANEL SCHEDULE</t>
  </si>
  <si>
    <t xml:space="preserve">NAME </t>
  </si>
  <si>
    <t>EV_Main</t>
  </si>
  <si>
    <t>LOCATION</t>
  </si>
  <si>
    <t>OUTDOOR</t>
  </si>
  <si>
    <t>VOLTAGE</t>
  </si>
  <si>
    <t xml:space="preserve"> 3PH 4W</t>
  </si>
  <si>
    <t>MAIN</t>
  </si>
  <si>
    <t>FED BY</t>
  </si>
  <si>
    <t>UTILITY</t>
  </si>
  <si>
    <t>ENCLOSURE</t>
  </si>
  <si>
    <t>NEMA3R</t>
  </si>
  <si>
    <t>BUS BAR</t>
  </si>
  <si>
    <t>A</t>
  </si>
  <si>
    <t>MOUNTING</t>
  </si>
  <si>
    <t>SURFACE</t>
  </si>
  <si>
    <t>PANEL TYPE</t>
  </si>
  <si>
    <t>NF</t>
  </si>
  <si>
    <t>MAIN AIC</t>
  </si>
  <si>
    <t>CKT</t>
  </si>
  <si>
    <t>DESCRIPTION</t>
  </si>
  <si>
    <t>BREAKER</t>
  </si>
  <si>
    <t>POLES</t>
  </si>
  <si>
    <t>B</t>
  </si>
  <si>
    <t>C</t>
  </si>
  <si>
    <t>---</t>
  </si>
  <si>
    <t>TOTAL VA</t>
  </si>
  <si>
    <t>TOTAL 3PH VA</t>
  </si>
  <si>
    <t>DEMAND VA</t>
  </si>
  <si>
    <t>TOTAL DEMAND VA</t>
  </si>
  <si>
    <t>HIGH PH VA</t>
  </si>
  <si>
    <t>TOTAL AMP</t>
  </si>
  <si>
    <t>HIGH PH AMP</t>
  </si>
  <si>
    <t>MAIN BREAKER</t>
  </si>
  <si>
    <t>SB 2</t>
  </si>
  <si>
    <t>A 3P</t>
  </si>
  <si>
    <t>EV CHARGER L2 #1A</t>
  </si>
  <si>
    <t>EV CHARGER L2 #2A</t>
  </si>
  <si>
    <t>EV CHARGER L2 #1B</t>
  </si>
  <si>
    <t>EV CHARGER L2 #2B</t>
  </si>
  <si>
    <t>EV CHARGER L2 #3A</t>
  </si>
  <si>
    <t>EV CHARGER L2 #4A</t>
  </si>
  <si>
    <t>EV CHARGER L2 #3B</t>
  </si>
  <si>
    <t>EV CHARGER L2 #4B</t>
  </si>
  <si>
    <t>EV CHARGER L2 #5A</t>
  </si>
  <si>
    <t>EV CHARGER L2 #6A</t>
  </si>
  <si>
    <t>EV CHARGER L2 #5B</t>
  </si>
  <si>
    <t>EV CHARGER L2 #6B</t>
  </si>
  <si>
    <t xml:space="preserve"> # of years  for duration of contract</t>
  </si>
  <si>
    <t>Evolv Total Cost</t>
  </si>
  <si>
    <t>Yearly Warranty</t>
  </si>
  <si>
    <t>IW Service</t>
  </si>
  <si>
    <t>Warranty + Service &gt;Year  2</t>
  </si>
  <si>
    <t>OW Service</t>
  </si>
  <si>
    <t>AC Charger - 7.2 kW UP80J-PMP Single</t>
  </si>
  <si>
    <t>AC Charger - 2 x 7.2 kW UP160J-PMP Dual</t>
  </si>
  <si>
    <t>AC Charger - 7.2 kW UP80J-WMP Single</t>
  </si>
  <si>
    <t>AC Charger - 2 x 7.2 kW UP160J-WMP Dual</t>
  </si>
  <si>
    <t>DC-60kW CCS1 + CHAdeMO</t>
  </si>
  <si>
    <t>DC-120kW CCS1 + CHAdeMO</t>
  </si>
  <si>
    <t>DC-160kW CCS1 + CHAdeMO</t>
  </si>
  <si>
    <t>DC-360kW CCS1 + CCS1</t>
  </si>
  <si>
    <t>Length Of Contract</t>
  </si>
  <si>
    <t>5 Year Service Agreement + Warranty</t>
  </si>
  <si>
    <t>Multiplier ($/yr)</t>
  </si>
  <si>
    <t>L3 Type 1 (DCFC)</t>
  </si>
  <si>
    <t>L3 Type 2 (DCFC)</t>
  </si>
  <si>
    <t>L3 Type 3 (DCFC)</t>
  </si>
  <si>
    <t>L3 Type 4 (DCFC)</t>
  </si>
  <si>
    <t>L3 Type 5 (DCFC)</t>
  </si>
  <si>
    <t>L3 Type 6 (DCFC)</t>
  </si>
  <si>
    <t>CC Rate ($/kW/yr)</t>
  </si>
  <si>
    <t>L3 Rating (kW)</t>
  </si>
  <si>
    <t>Loan Amortization Schedule</t>
  </si>
  <si>
    <t>Enter values</t>
  </si>
  <si>
    <t>Loan summary</t>
  </si>
  <si>
    <t>Loan amount</t>
  </si>
  <si>
    <t>Scheduled payment</t>
  </si>
  <si>
    <t>Annual interest rate</t>
  </si>
  <si>
    <t>Scheduled number of payments</t>
  </si>
  <si>
    <t>Loan period in years</t>
  </si>
  <si>
    <t>Actual number of payments</t>
  </si>
  <si>
    <t>Number of payments per year</t>
  </si>
  <si>
    <t>Total early payments</t>
  </si>
  <si>
    <t>Start date of loan</t>
  </si>
  <si>
    <t>Total interest</t>
  </si>
  <si>
    <t>Optional extra payments</t>
  </si>
  <si>
    <t>Lender name:</t>
  </si>
  <si>
    <t>Pmt. No.</t>
  </si>
  <si>
    <t>Payment Date</t>
  </si>
  <si>
    <t>Beginning Balance</t>
  </si>
  <si>
    <t>Scheduled Payment</t>
  </si>
  <si>
    <t>Extra Payment</t>
  </si>
  <si>
    <t>Total Payment</t>
  </si>
  <si>
    <t>Principal</t>
  </si>
  <si>
    <t>Interest</t>
  </si>
  <si>
    <t>Ending Balance</t>
  </si>
  <si>
    <t>Cumulative Interest</t>
  </si>
  <si>
    <t>Loan Payment</t>
  </si>
  <si>
    <t>Carbon Credits</t>
  </si>
  <si>
    <t>EVSE Profit</t>
  </si>
  <si>
    <t>Address</t>
  </si>
  <si>
    <t xml:space="preserve">RSM: </t>
  </si>
  <si>
    <t>RSM: RSM: Paul Arms / Brian Rischmann / Dan Koven</t>
  </si>
  <si>
    <t>Fill this out for CPMS</t>
  </si>
  <si>
    <t>Scope of Work :                                                                     Pictures Attatched on INPUT SHEET</t>
  </si>
  <si>
    <t>How to use:  Pick a Category, then a SKU, using the dropdowns (tip: select the cell and press Alt + ↓ to open a dropdown without clicking the small arrow). Then type the Discount % and Qty in the blue cells.
To REMOVE a row: right-click its row number on the left → Delete  (rows below shift up automatically).
To CLEAR a row in place: select the blue cells in that row and press Delete.
To ADD more rows: right-click a row number inside the table → Insert.              Fill out CPM INFO Table</t>
  </si>
  <si>
    <t>View Period</t>
  </si>
  <si>
    <t>Years (auto)</t>
  </si>
  <si>
    <t>5 Year</t>
  </si>
  <si>
    <t>ITC</t>
  </si>
  <si>
    <t>Project Management</t>
  </si>
  <si>
    <t>Servicing Fees</t>
  </si>
  <si>
    <t>x</t>
  </si>
  <si>
    <t>Length Of Contract (years)</t>
  </si>
  <si>
    <t>DC-180KW</t>
  </si>
  <si>
    <t>DC-240KW</t>
  </si>
  <si>
    <t>Pictures of Site (Max 3, circle the location of the chargers) Give 2 or 3 Possible options for Charger Locations..</t>
  </si>
  <si>
    <t>Scope  of Work: ie: Client Requests, Amount of chargers, if chargers are dual…  Is the client a city?</t>
  </si>
  <si>
    <t>Environmental Cleanup Fee</t>
  </si>
  <si>
    <t>Annual Charger Revenue</t>
  </si>
  <si>
    <t xml:space="preserve">CTX Price Book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</si>
</sst>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.00"/>
    <numFmt numFmtId="165" formatCode="0.000"/>
    <numFmt numFmtId="166" formatCode="0.0"/>
    <numFmt numFmtId="167" formatCode="\$#,##0"/>
    <numFmt numFmtId="168" formatCode="\$#,##0.0000"/>
    <numFmt numFmtId="169" formatCode="&quot;$&quot;#,##0.00"/>
    <numFmt numFmtId="170" formatCode="&quot;$&quot;#,##0"/>
    <numFmt numFmtId="171" formatCode="&quot;$&quot;#,##0.0000"/>
    <numFmt numFmtId="172" formatCode="0.00?%_)"/>
    <numFmt numFmtId="173" formatCode="0_)"/>
  </numFmts>
  <fonts count="80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C00000"/>
      <name val="Calibri"/>
      <family val="2"/>
    </font>
    <font>
      <b/>
      <sz val="11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color rgb="FFFFFFFF"/>
      <name val="Cambria"/>
      <family val="1"/>
    </font>
    <font>
      <b/>
      <sz val="11"/>
      <name val="Cambria"/>
      <family val="1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mbria"/>
      <family val="1"/>
    </font>
    <font>
      <i/>
      <sz val="9"/>
      <name val="Cambria"/>
      <family val="1"/>
    </font>
    <font>
      <sz val="1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8000"/>
      <name val="Calibri"/>
      <family val="2"/>
    </font>
    <font>
      <b/>
      <sz val="12"/>
      <name val="Cambria"/>
      <family val="1"/>
    </font>
    <font>
      <b/>
      <sz val="9"/>
      <name val="Cambria"/>
      <family val="1"/>
    </font>
    <font>
      <b/>
      <sz val="11"/>
      <color rgb="FF000000"/>
      <name val="Cambria"/>
      <family val="1"/>
    </font>
    <font>
      <b/>
      <sz val="12"/>
      <color rgb="FFFFFFFF"/>
      <name val="Calibri"/>
      <family val="2"/>
    </font>
    <font>
      <sz val="11"/>
      <color rgb="FF3F3F3F"/>
      <name val="Calibri"/>
      <family val="2"/>
    </font>
    <font>
      <b/>
      <sz val="11"/>
      <color rgb="FF3F3F3F"/>
      <name val="Calibri"/>
      <family val="2"/>
    </font>
    <font>
      <b/>
      <sz val="14"/>
      <color rgb="FFFFFFFF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FFFFFF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charset val="1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rgb="FF333333"/>
      <name val="Arial"/>
      <family val="2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GE Inspira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36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mbria"/>
      <family val="1"/>
    </font>
    <font>
      <b/>
      <sz val="9"/>
      <color theme="1"/>
      <name val="Cambria"/>
      <family val="1"/>
      <scheme val="major"/>
    </font>
    <font>
      <sz val="11"/>
      <color rgb="FF0A780A"/>
      <name val="Calibri"/>
      <family val="2"/>
    </font>
    <font>
      <b/>
      <i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rgb="FF0000FF"/>
      <name val="Cambria"/>
      <family val="1"/>
    </font>
    <font>
      <b/>
      <sz val="11"/>
      <color rgb="FF008000"/>
      <name val="Calibri"/>
      <family val="2"/>
    </font>
    <font>
      <sz val="11"/>
      <color rgb="FF3F3F3F"/>
      <name val="Calibri"/>
      <family val="2"/>
      <scheme val="minor"/>
    </font>
    <font>
      <b/>
      <sz val="18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b/>
      <sz val="10"/>
      <color rgb="FFFA7D00"/>
      <name val="Calibri"/>
      <family val="2"/>
    </font>
    <font>
      <sz val="10"/>
      <color rgb="FF80808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3F3F3F"/>
      <name val="Calibri"/>
      <family val="2"/>
    </font>
    <font>
      <sz val="11"/>
      <color rgb="FF3F3F3F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sz val="11"/>
      <color rgb="FF0000FF"/>
      <name val="Calibri"/>
      <family val="2"/>
      <charset val="1"/>
    </font>
    <font>
      <sz val="11"/>
      <color rgb="FF00B05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2">
    <fill>
      <patternFill patternType="none"/>
    </fill>
    <fill>
      <patternFill patternType="gray125"/>
    </fill>
    <fill>
      <patternFill patternType="solid">
        <fgColor rgb="FF326698"/>
        <bgColor rgb="FF4F81BD"/>
      </patternFill>
    </fill>
    <fill>
      <patternFill patternType="solid">
        <fgColor rgb="FFBDD7EE"/>
        <bgColor rgb="FFC7E4DC"/>
      </patternFill>
    </fill>
    <fill>
      <patternFill patternType="solid">
        <fgColor rgb="FFDDEBF7"/>
        <bgColor rgb="FFDEEAF6"/>
      </patternFill>
    </fill>
    <fill>
      <patternFill patternType="solid">
        <fgColor rgb="FFE2EFDA"/>
        <bgColor rgb="FFE2EFD9"/>
      </patternFill>
    </fill>
    <fill>
      <patternFill patternType="solid">
        <fgColor rgb="FFFFF2CC"/>
        <bgColor rgb="FFFBE4D5"/>
      </patternFill>
    </fill>
    <fill>
      <patternFill patternType="solid">
        <fgColor rgb="FFDEEAF6"/>
        <bgColor rgb="FFDDEBF7"/>
      </patternFill>
    </fill>
    <fill>
      <patternFill patternType="solid">
        <fgColor rgb="FFE2EFD9"/>
        <bgColor rgb="FFE2EFDA"/>
      </patternFill>
    </fill>
    <fill>
      <patternFill patternType="solid">
        <fgColor rgb="FFE7E6E6"/>
        <bgColor rgb="FFDEEAF6"/>
      </patternFill>
    </fill>
    <fill>
      <patternFill patternType="solid">
        <fgColor rgb="FFFFE599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9AD3E6"/>
        <bgColor rgb="FFBDD7EE"/>
      </patternFill>
    </fill>
    <fill>
      <patternFill patternType="solid">
        <fgColor rgb="FF0B3D91"/>
        <bgColor rgb="FF333399"/>
      </patternFill>
    </fill>
    <fill>
      <patternFill patternType="solid">
        <fgColor rgb="FFF5F7FA"/>
        <bgColor rgb="FFFFFFFF"/>
      </patternFill>
    </fill>
    <fill>
      <patternFill patternType="solid">
        <fgColor rgb="FFC7E4DC"/>
        <bgColor rgb="FFCFE2F3"/>
      </patternFill>
    </fill>
    <fill>
      <patternFill patternType="solid">
        <fgColor rgb="FFD8D8D8"/>
        <bgColor rgb="FFD9D9D9"/>
      </patternFill>
    </fill>
    <fill>
      <patternFill patternType="solid">
        <fgColor rgb="FFF2F2F2"/>
      </patternFill>
    </fill>
    <fill>
      <patternFill patternType="solid">
        <fgColor rgb="FF9AD3E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669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3F1ED"/>
        <bgColor rgb="FFE3F1ED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4"/>
        <bgColor indexed="64"/>
      </patternFill>
    </fill>
    <fill>
      <patternFill patternType="solid">
        <fgColor rgb="FF4472C4"/>
      </patternFill>
    </fill>
    <fill>
      <patternFill patternType="solid">
        <fgColor rgb="FFF9E3E3"/>
      </patternFill>
    </fill>
    <fill>
      <patternFill patternType="solid">
        <fgColor rgb="FFE2EFDA"/>
      </patternFill>
    </fill>
    <fill>
      <patternFill patternType="solid">
        <fgColor rgb="FFD9E2F3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BE4D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</fills>
  <borders count="12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hair">
        <color rgb="FF800000"/>
      </bottom>
      <diagonal/>
    </border>
    <border>
      <left style="hair">
        <color rgb="FF800000"/>
      </left>
      <right/>
      <top style="hair">
        <color rgb="FF800000"/>
      </top>
      <bottom style="hair">
        <color rgb="FF800000"/>
      </bottom>
      <diagonal/>
    </border>
    <border>
      <left/>
      <right/>
      <top style="hair">
        <color rgb="FF800000"/>
      </top>
      <bottom style="hair">
        <color rgb="FF800000"/>
      </bottom>
      <diagonal/>
    </border>
    <border>
      <left/>
      <right style="hair">
        <color rgb="FF800000"/>
      </right>
      <top style="hair">
        <color rgb="FF800000"/>
      </top>
      <bottom style="hair">
        <color rgb="FF800000"/>
      </bottom>
      <diagonal/>
    </border>
    <border>
      <left style="hair">
        <color rgb="FF800000"/>
      </left>
      <right/>
      <top/>
      <bottom/>
      <diagonal/>
    </border>
    <border>
      <left style="hair">
        <color rgb="FF800000"/>
      </left>
      <right/>
      <top/>
      <bottom style="hair">
        <color rgb="FF800000"/>
      </bottom>
      <diagonal/>
    </border>
    <border>
      <left style="hair">
        <color rgb="FF800000"/>
      </left>
      <right/>
      <top style="hair">
        <color rgb="FF800000"/>
      </top>
      <bottom/>
      <diagonal/>
    </border>
    <border>
      <left/>
      <right style="hair">
        <color rgb="FF800000"/>
      </right>
      <top style="hair">
        <color rgb="FF800000"/>
      </top>
      <bottom/>
      <diagonal/>
    </border>
    <border>
      <left/>
      <right/>
      <top style="hair">
        <color rgb="FF8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9DB4D6"/>
      </left>
      <right style="thin">
        <color rgb="FF9DB4D6"/>
      </right>
      <top style="thin">
        <color rgb="FF9DB4D6"/>
      </top>
      <bottom style="thin">
        <color rgb="FF9DB4D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/>
      <bottom style="thin">
        <color rgb="FFBFBFBF"/>
      </bottom>
      <diagonal/>
    </border>
    <border>
      <left style="thin">
        <color rgb="FF7F7F7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BFBFBF"/>
      </right>
      <top style="medium">
        <color rgb="FF7F7F7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medium">
        <color rgb="FF7F7F7F"/>
      </top>
      <bottom style="thin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</borders>
  <cellStyleXfs count="21">
    <xf numFmtId="0" fontId="0" fillId="0" borderId="0"/>
    <xf numFmtId="44" fontId="30" fillId="0" borderId="0" applyFont="0" applyFill="0" applyBorder="0" applyAlignment="0" applyProtection="0"/>
    <xf numFmtId="0" fontId="31" fillId="17" borderId="32" applyNumberFormat="0" applyAlignment="0" applyProtection="0"/>
    <xf numFmtId="0" fontId="4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9" fillId="0" borderId="0"/>
    <xf numFmtId="0" fontId="39" fillId="0" borderId="0"/>
    <xf numFmtId="43" fontId="4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2" fillId="0" borderId="0"/>
    <xf numFmtId="44" fontId="4" fillId="0" borderId="0" applyFont="0" applyFill="0" applyBorder="0" applyAlignment="0" applyProtection="0"/>
    <xf numFmtId="0" fontId="30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60" fillId="0" borderId="0"/>
  </cellStyleXfs>
  <cellXfs count="680">
    <xf numFmtId="0" fontId="0" fillId="0" borderId="0" xfId="0"/>
    <xf numFmtId="0" fontId="16" fillId="0" borderId="22" xfId="0" applyFont="1" applyBorder="1" applyAlignment="1">
      <alignment horizontal="center" wrapText="1"/>
    </xf>
    <xf numFmtId="0" fontId="17" fillId="12" borderId="12" xfId="0" applyFont="1" applyFill="1" applyBorder="1" applyAlignment="1">
      <alignment horizontal="center" wrapText="1"/>
    </xf>
    <xf numFmtId="0" fontId="9" fillId="2" borderId="2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2" fillId="0" borderId="2" xfId="0" applyFont="1" applyBorder="1"/>
    <xf numFmtId="0" fontId="11" fillId="0" borderId="2" xfId="0" applyFont="1" applyBorder="1" applyAlignment="1">
      <alignment horizontal="left"/>
    </xf>
    <xf numFmtId="164" fontId="11" fillId="0" borderId="2" xfId="0" applyNumberFormat="1" applyFont="1" applyBorder="1"/>
    <xf numFmtId="9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4" fillId="0" borderId="0" xfId="0" applyFont="1"/>
    <xf numFmtId="0" fontId="6" fillId="5" borderId="2" xfId="0" applyFont="1" applyFill="1" applyBorder="1"/>
    <xf numFmtId="164" fontId="6" fillId="5" borderId="2" xfId="0" applyNumberFormat="1" applyFont="1" applyFill="1" applyBorder="1"/>
    <xf numFmtId="164" fontId="16" fillId="0" borderId="0" xfId="0" applyNumberFormat="1" applyFont="1" applyAlignment="1">
      <alignment horizontal="center"/>
    </xf>
    <xf numFmtId="10" fontId="16" fillId="0" borderId="0" xfId="0" applyNumberFormat="1" applyFont="1" applyAlignment="1">
      <alignment horizontal="center"/>
    </xf>
    <xf numFmtId="164" fontId="17" fillId="7" borderId="4" xfId="0" applyNumberFormat="1" applyFont="1" applyFill="1" applyBorder="1" applyAlignment="1">
      <alignment horizontal="center"/>
    </xf>
    <xf numFmtId="0" fontId="17" fillId="7" borderId="4" xfId="0" applyFont="1" applyFill="1" applyBorder="1" applyAlignment="1">
      <alignment horizontal="center"/>
    </xf>
    <xf numFmtId="10" fontId="17" fillId="7" borderId="4" xfId="0" applyNumberFormat="1" applyFont="1" applyFill="1" applyBorder="1" applyAlignment="1">
      <alignment horizontal="center"/>
    </xf>
    <xf numFmtId="0" fontId="17" fillId="8" borderId="5" xfId="0" applyFont="1" applyFill="1" applyBorder="1"/>
    <xf numFmtId="164" fontId="16" fillId="8" borderId="4" xfId="0" applyNumberFormat="1" applyFont="1" applyFill="1" applyBorder="1" applyAlignment="1">
      <alignment horizontal="center"/>
    </xf>
    <xf numFmtId="10" fontId="16" fillId="8" borderId="4" xfId="0" applyNumberFormat="1" applyFont="1" applyFill="1" applyBorder="1" applyAlignment="1">
      <alignment horizontal="center"/>
    </xf>
    <xf numFmtId="164" fontId="16" fillId="8" borderId="4" xfId="0" applyNumberFormat="1" applyFont="1" applyFill="1" applyBorder="1"/>
    <xf numFmtId="0" fontId="16" fillId="0" borderId="6" xfId="0" applyFont="1" applyBorder="1" applyAlignment="1">
      <alignment horizontal="right"/>
    </xf>
    <xf numFmtId="164" fontId="16" fillId="0" borderId="7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164" fontId="16" fillId="0" borderId="7" xfId="0" applyNumberFormat="1" applyFont="1" applyBorder="1"/>
    <xf numFmtId="164" fontId="0" fillId="0" borderId="0" xfId="0" applyNumberFormat="1"/>
    <xf numFmtId="0" fontId="16" fillId="0" borderId="8" xfId="0" applyFont="1" applyBorder="1" applyAlignment="1">
      <alignment horizontal="right"/>
    </xf>
    <xf numFmtId="164" fontId="16" fillId="0" borderId="9" xfId="0" applyNumberFormat="1" applyFont="1" applyBorder="1" applyAlignment="1">
      <alignment horizontal="center"/>
    </xf>
    <xf numFmtId="0" fontId="17" fillId="8" borderId="5" xfId="0" applyFont="1" applyFill="1" applyBorder="1" applyAlignment="1">
      <alignment horizontal="left"/>
    </xf>
    <xf numFmtId="0" fontId="17" fillId="8" borderId="10" xfId="0" applyFont="1" applyFill="1" applyBorder="1" applyAlignment="1">
      <alignment horizontal="right"/>
    </xf>
    <xf numFmtId="164" fontId="16" fillId="8" borderId="11" xfId="0" applyNumberFormat="1" applyFont="1" applyFill="1" applyBorder="1" applyAlignment="1">
      <alignment horizontal="center"/>
    </xf>
    <xf numFmtId="10" fontId="16" fillId="8" borderId="11" xfId="0" applyNumberFormat="1" applyFont="1" applyFill="1" applyBorder="1" applyAlignment="1">
      <alignment horizontal="center"/>
    </xf>
    <xf numFmtId="164" fontId="16" fillId="8" borderId="11" xfId="0" applyNumberFormat="1" applyFont="1" applyFill="1" applyBorder="1" applyAlignment="1">
      <alignment horizontal="right"/>
    </xf>
    <xf numFmtId="0" fontId="17" fillId="9" borderId="5" xfId="0" applyFont="1" applyFill="1" applyBorder="1" applyAlignment="1">
      <alignment horizontal="right"/>
    </xf>
    <xf numFmtId="164" fontId="16" fillId="9" borderId="4" xfId="0" applyNumberFormat="1" applyFont="1" applyFill="1" applyBorder="1" applyAlignment="1">
      <alignment horizontal="center"/>
    </xf>
    <xf numFmtId="10" fontId="16" fillId="9" borderId="4" xfId="0" applyNumberFormat="1" applyFont="1" applyFill="1" applyBorder="1" applyAlignment="1">
      <alignment horizontal="center"/>
    </xf>
    <xf numFmtId="164" fontId="16" fillId="9" borderId="4" xfId="0" applyNumberFormat="1" applyFont="1" applyFill="1" applyBorder="1" applyAlignment="1">
      <alignment horizontal="right"/>
    </xf>
    <xf numFmtId="4" fontId="0" fillId="0" borderId="0" xfId="0" applyNumberFormat="1"/>
    <xf numFmtId="0" fontId="17" fillId="10" borderId="12" xfId="0" applyFont="1" applyFill="1" applyBorder="1" applyAlignment="1">
      <alignment horizontal="right"/>
    </xf>
    <xf numFmtId="164" fontId="16" fillId="10" borderId="13" xfId="0" applyNumberFormat="1" applyFont="1" applyFill="1" applyBorder="1" applyAlignment="1">
      <alignment horizontal="center"/>
    </xf>
    <xf numFmtId="10" fontId="16" fillId="10" borderId="13" xfId="0" applyNumberFormat="1" applyFont="1" applyFill="1" applyBorder="1" applyAlignment="1">
      <alignment horizontal="center"/>
    </xf>
    <xf numFmtId="164" fontId="16" fillId="10" borderId="14" xfId="0" applyNumberFormat="1" applyFont="1" applyFill="1" applyBorder="1" applyAlignment="1">
      <alignment horizontal="right"/>
    </xf>
    <xf numFmtId="165" fontId="20" fillId="0" borderId="0" xfId="0" applyNumberFormat="1" applyFont="1"/>
    <xf numFmtId="0" fontId="9" fillId="2" borderId="2" xfId="0" applyFont="1" applyFill="1" applyBorder="1" applyAlignment="1">
      <alignment horizontal="center"/>
    </xf>
    <xf numFmtId="0" fontId="10" fillId="0" borderId="2" xfId="0" applyFont="1" applyBorder="1"/>
    <xf numFmtId="1" fontId="0" fillId="0" borderId="2" xfId="0" applyNumberFormat="1" applyBorder="1" applyAlignment="1">
      <alignment horizontal="center"/>
    </xf>
    <xf numFmtId="164" fontId="0" fillId="0" borderId="2" xfId="0" applyNumberFormat="1" applyBorder="1"/>
    <xf numFmtId="164" fontId="10" fillId="11" borderId="2" xfId="0" applyNumberFormat="1" applyFont="1" applyFill="1" applyBorder="1"/>
    <xf numFmtId="0" fontId="10" fillId="12" borderId="2" xfId="0" applyFont="1" applyFill="1" applyBorder="1"/>
    <xf numFmtId="0" fontId="10" fillId="0" borderId="2" xfId="0" applyFont="1" applyBorder="1" applyAlignment="1">
      <alignment horizontal="right"/>
    </xf>
    <xf numFmtId="164" fontId="9" fillId="2" borderId="2" xfId="0" applyNumberFormat="1" applyFont="1" applyFill="1" applyBorder="1"/>
    <xf numFmtId="164" fontId="10" fillId="0" borderId="2" xfId="0" applyNumberFormat="1" applyFont="1" applyBorder="1"/>
    <xf numFmtId="166" fontId="0" fillId="0" borderId="2" xfId="0" applyNumberFormat="1" applyBorder="1" applyAlignment="1">
      <alignment horizontal="center"/>
    </xf>
    <xf numFmtId="164" fontId="21" fillId="11" borderId="2" xfId="0" applyNumberFormat="1" applyFont="1" applyFill="1" applyBorder="1"/>
    <xf numFmtId="0" fontId="16" fillId="0" borderId="0" xfId="0" applyFont="1" applyAlignment="1">
      <alignment wrapText="1"/>
    </xf>
    <xf numFmtId="0" fontId="23" fillId="0" borderId="0" xfId="0" applyFont="1"/>
    <xf numFmtId="0" fontId="17" fillId="14" borderId="15" xfId="0" applyFont="1" applyFill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15" xfId="0" applyFont="1" applyBorder="1" applyAlignment="1">
      <alignment horizontal="center" wrapText="1"/>
    </xf>
    <xf numFmtId="167" fontId="16" fillId="0" borderId="15" xfId="0" applyNumberFormat="1" applyFont="1" applyBorder="1" applyAlignment="1">
      <alignment horizontal="center" wrapText="1"/>
    </xf>
    <xf numFmtId="167" fontId="16" fillId="0" borderId="0" xfId="0" applyNumberFormat="1" applyFont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wrapText="1"/>
    </xf>
    <xf numFmtId="164" fontId="16" fillId="0" borderId="0" xfId="0" applyNumberFormat="1" applyFont="1" applyAlignment="1">
      <alignment wrapText="1"/>
    </xf>
    <xf numFmtId="168" fontId="16" fillId="0" borderId="0" xfId="0" applyNumberFormat="1" applyFont="1" applyAlignment="1">
      <alignment horizontal="center" wrapText="1"/>
    </xf>
    <xf numFmtId="0" fontId="25" fillId="2" borderId="12" xfId="0" applyFont="1" applyFill="1" applyBorder="1" applyAlignment="1">
      <alignment horizontal="center" wrapText="1"/>
    </xf>
    <xf numFmtId="0" fontId="23" fillId="0" borderId="16" xfId="0" applyFont="1" applyBorder="1"/>
    <xf numFmtId="0" fontId="16" fillId="0" borderId="16" xfId="0" applyFont="1" applyBorder="1" applyAlignment="1">
      <alignment wrapText="1"/>
    </xf>
    <xf numFmtId="0" fontId="25" fillId="2" borderId="0" xfId="0" applyFont="1" applyFill="1" applyAlignment="1">
      <alignment horizontal="center" wrapText="1"/>
    </xf>
    <xf numFmtId="0" fontId="23" fillId="0" borderId="17" xfId="0" applyFont="1" applyBorder="1"/>
    <xf numFmtId="0" fontId="23" fillId="0" borderId="18" xfId="0" applyFont="1" applyBorder="1"/>
    <xf numFmtId="0" fontId="17" fillId="12" borderId="15" xfId="0" applyFont="1" applyFill="1" applyBorder="1" applyAlignment="1">
      <alignment horizontal="center" wrapText="1"/>
    </xf>
    <xf numFmtId="0" fontId="23" fillId="0" borderId="19" xfId="0" applyFont="1" applyBorder="1"/>
    <xf numFmtId="0" fontId="17" fillId="12" borderId="20" xfId="0" applyFont="1" applyFill="1" applyBorder="1" applyAlignment="1">
      <alignment horizontal="center" wrapText="1"/>
    </xf>
    <xf numFmtId="0" fontId="23" fillId="0" borderId="20" xfId="0" applyFont="1" applyBorder="1"/>
    <xf numFmtId="0" fontId="17" fillId="12" borderId="19" xfId="0" applyFont="1" applyFill="1" applyBorder="1" applyAlignment="1">
      <alignment horizontal="center" wrapText="1"/>
    </xf>
    <xf numFmtId="0" fontId="17" fillId="12" borderId="21" xfId="0" applyFont="1" applyFill="1" applyBorder="1" applyAlignment="1">
      <alignment horizontal="center" wrapText="1"/>
    </xf>
    <xf numFmtId="0" fontId="17" fillId="12" borderId="0" xfId="0" applyFont="1" applyFill="1" applyAlignment="1">
      <alignment horizontal="center" wrapText="1"/>
    </xf>
    <xf numFmtId="0" fontId="16" fillId="12" borderId="22" xfId="0" applyFont="1" applyFill="1" applyBorder="1" applyAlignment="1">
      <alignment wrapText="1"/>
    </xf>
    <xf numFmtId="0" fontId="17" fillId="12" borderId="23" xfId="0" applyFont="1" applyFill="1" applyBorder="1" applyAlignment="1">
      <alignment horizontal="center" wrapText="1"/>
    </xf>
    <xf numFmtId="0" fontId="17" fillId="12" borderId="24" xfId="0" applyFont="1" applyFill="1" applyBorder="1" applyAlignment="1">
      <alignment horizontal="center" wrapText="1"/>
    </xf>
    <xf numFmtId="0" fontId="17" fillId="12" borderId="25" xfId="0" applyFont="1" applyFill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0" fontId="16" fillId="0" borderId="24" xfId="0" applyFont="1" applyBorder="1" applyAlignment="1">
      <alignment horizontal="center" wrapText="1"/>
    </xf>
    <xf numFmtId="0" fontId="26" fillId="0" borderId="22" xfId="0" applyFont="1" applyBorder="1" applyAlignment="1">
      <alignment horizontal="center" wrapText="1"/>
    </xf>
    <xf numFmtId="9" fontId="27" fillId="9" borderId="23" xfId="0" applyNumberFormat="1" applyFont="1" applyFill="1" applyBorder="1" applyAlignment="1">
      <alignment horizontal="center" wrapText="1"/>
    </xf>
    <xf numFmtId="9" fontId="27" fillId="9" borderId="24" xfId="0" applyNumberFormat="1" applyFont="1" applyFill="1" applyBorder="1" applyAlignment="1">
      <alignment horizontal="center" wrapText="1"/>
    </xf>
    <xf numFmtId="9" fontId="27" fillId="0" borderId="24" xfId="0" applyNumberFormat="1" applyFont="1" applyBorder="1" applyAlignment="1">
      <alignment horizontal="center" wrapText="1"/>
    </xf>
    <xf numFmtId="9" fontId="27" fillId="0" borderId="23" xfId="0" applyNumberFormat="1" applyFont="1" applyBorder="1" applyAlignment="1">
      <alignment horizontal="center" wrapText="1"/>
    </xf>
    <xf numFmtId="2" fontId="16" fillId="0" borderId="23" xfId="0" applyNumberFormat="1" applyFont="1" applyBorder="1" applyAlignment="1">
      <alignment horizontal="center" wrapText="1"/>
    </xf>
    <xf numFmtId="2" fontId="16" fillId="0" borderId="24" xfId="0" applyNumberFormat="1" applyFont="1" applyBorder="1" applyAlignment="1">
      <alignment horizontal="center" wrapText="1"/>
    </xf>
    <xf numFmtId="0" fontId="17" fillId="15" borderId="22" xfId="0" applyFont="1" applyFill="1" applyBorder="1" applyAlignment="1">
      <alignment horizontal="center" wrapText="1"/>
    </xf>
    <xf numFmtId="164" fontId="17" fillId="15" borderId="23" xfId="0" applyNumberFormat="1" applyFont="1" applyFill="1" applyBorder="1" applyAlignment="1">
      <alignment horizontal="center" wrapText="1"/>
    </xf>
    <xf numFmtId="164" fontId="17" fillId="15" borderId="24" xfId="0" applyNumberFormat="1" applyFont="1" applyFill="1" applyBorder="1" applyAlignment="1">
      <alignment horizontal="center" wrapText="1"/>
    </xf>
    <xf numFmtId="164" fontId="16" fillId="0" borderId="23" xfId="0" applyNumberFormat="1" applyFont="1" applyBorder="1" applyAlignment="1">
      <alignment horizontal="center" wrapText="1"/>
    </xf>
    <xf numFmtId="0" fontId="17" fillId="0" borderId="22" xfId="0" applyFont="1" applyBorder="1" applyAlignment="1">
      <alignment horizontal="center" wrapText="1"/>
    </xf>
    <xf numFmtId="0" fontId="17" fillId="0" borderId="23" xfId="0" applyFont="1" applyBorder="1" applyAlignment="1">
      <alignment horizontal="center" wrapText="1"/>
    </xf>
    <xf numFmtId="0" fontId="17" fillId="16" borderId="22" xfId="0" applyFont="1" applyFill="1" applyBorder="1" applyAlignment="1">
      <alignment horizontal="center" wrapText="1"/>
    </xf>
    <xf numFmtId="164" fontId="17" fillId="16" borderId="23" xfId="0" applyNumberFormat="1" applyFont="1" applyFill="1" applyBorder="1" applyAlignment="1">
      <alignment horizontal="center" wrapText="1"/>
    </xf>
    <xf numFmtId="164" fontId="16" fillId="0" borderId="26" xfId="0" applyNumberFormat="1" applyFont="1" applyBorder="1" applyAlignment="1">
      <alignment horizontal="center" wrapText="1"/>
    </xf>
    <xf numFmtId="164" fontId="17" fillId="12" borderId="26" xfId="0" applyNumberFormat="1" applyFont="1" applyFill="1" applyBorder="1" applyAlignment="1">
      <alignment horizontal="center" wrapText="1"/>
    </xf>
    <xf numFmtId="164" fontId="17" fillId="12" borderId="17" xfId="0" applyNumberFormat="1" applyFont="1" applyFill="1" applyBorder="1" applyAlignment="1">
      <alignment horizontal="center" wrapText="1"/>
    </xf>
    <xf numFmtId="164" fontId="17" fillId="0" borderId="0" xfId="0" applyNumberFormat="1" applyFont="1" applyAlignment="1">
      <alignment horizontal="center" wrapText="1"/>
    </xf>
    <xf numFmtId="164" fontId="17" fillId="12" borderId="27" xfId="0" applyNumberFormat="1" applyFont="1" applyFill="1" applyBorder="1" applyAlignment="1">
      <alignment horizontal="center" wrapText="1"/>
    </xf>
    <xf numFmtId="0" fontId="26" fillId="0" borderId="0" xfId="0" applyFont="1" applyAlignment="1">
      <alignment horizontal="center" wrapText="1"/>
    </xf>
    <xf numFmtId="9" fontId="28" fillId="2" borderId="26" xfId="0" applyNumberFormat="1" applyFont="1" applyFill="1" applyBorder="1" applyAlignment="1">
      <alignment horizontal="center" wrapText="1"/>
    </xf>
    <xf numFmtId="9" fontId="28" fillId="2" borderId="27" xfId="0" applyNumberFormat="1" applyFont="1" applyFill="1" applyBorder="1" applyAlignment="1">
      <alignment horizontal="center" wrapText="1"/>
    </xf>
    <xf numFmtId="9" fontId="28" fillId="2" borderId="18" xfId="0" applyNumberFormat="1" applyFont="1" applyFill="1" applyBorder="1" applyAlignment="1">
      <alignment horizontal="center" wrapText="1"/>
    </xf>
    <xf numFmtId="164" fontId="16" fillId="0" borderId="24" xfId="0" applyNumberFormat="1" applyFont="1" applyBorder="1" applyAlignment="1">
      <alignment horizontal="center" wrapText="1"/>
    </xf>
    <xf numFmtId="164" fontId="16" fillId="0" borderId="27" xfId="0" applyNumberFormat="1" applyFont="1" applyBorder="1" applyAlignment="1">
      <alignment horizontal="center" wrapText="1"/>
    </xf>
    <xf numFmtId="0" fontId="29" fillId="0" borderId="0" xfId="0" applyFont="1"/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6" fillId="4" borderId="2" xfId="0" applyFont="1" applyFill="1" applyBorder="1"/>
    <xf numFmtId="0" fontId="11" fillId="0" borderId="2" xfId="0" applyFont="1" applyBorder="1"/>
    <xf numFmtId="164" fontId="16" fillId="8" borderId="5" xfId="0" applyNumberFormat="1" applyFont="1" applyFill="1" applyBorder="1" applyAlignment="1">
      <alignment horizontal="center"/>
    </xf>
    <xf numFmtId="164" fontId="16" fillId="0" borderId="6" xfId="0" applyNumberFormat="1" applyFont="1" applyBorder="1" applyAlignment="1">
      <alignment horizontal="center"/>
    </xf>
    <xf numFmtId="164" fontId="16" fillId="8" borderId="28" xfId="0" applyNumberFormat="1" applyFont="1" applyFill="1" applyBorder="1"/>
    <xf numFmtId="164" fontId="16" fillId="0" borderId="29" xfId="0" applyNumberFormat="1" applyFont="1" applyBorder="1"/>
    <xf numFmtId="164" fontId="16" fillId="8" borderId="7" xfId="0" applyNumberFormat="1" applyFont="1" applyFill="1" applyBorder="1"/>
    <xf numFmtId="164" fontId="16" fillId="0" borderId="31" xfId="0" applyNumberFormat="1" applyFont="1" applyBorder="1"/>
    <xf numFmtId="10" fontId="16" fillId="8" borderId="30" xfId="0" applyNumberFormat="1" applyFont="1" applyFill="1" applyBorder="1" applyAlignment="1">
      <alignment horizontal="center"/>
    </xf>
    <xf numFmtId="164" fontId="16" fillId="0" borderId="9" xfId="0" applyNumberFormat="1" applyFont="1" applyBorder="1"/>
    <xf numFmtId="44" fontId="0" fillId="0" borderId="0" xfId="1" applyFont="1"/>
    <xf numFmtId="44" fontId="6" fillId="3" borderId="2" xfId="1" applyFont="1" applyFill="1" applyBorder="1" applyAlignment="1">
      <alignment horizontal="center" wrapText="1"/>
    </xf>
    <xf numFmtId="0" fontId="16" fillId="0" borderId="5" xfId="0" applyFont="1" applyBorder="1" applyAlignment="1">
      <alignment horizontal="right"/>
    </xf>
    <xf numFmtId="164" fontId="18" fillId="0" borderId="5" xfId="0" applyNumberFormat="1" applyFont="1" applyBorder="1" applyAlignment="1">
      <alignment horizontal="center"/>
    </xf>
    <xf numFmtId="164" fontId="16" fillId="0" borderId="28" xfId="0" applyNumberFormat="1" applyFont="1" applyBorder="1"/>
    <xf numFmtId="0" fontId="17" fillId="8" borderId="6" xfId="0" applyFont="1" applyFill="1" applyBorder="1"/>
    <xf numFmtId="164" fontId="16" fillId="0" borderId="4" xfId="0" applyNumberFormat="1" applyFont="1" applyBorder="1" applyAlignment="1">
      <alignment horizontal="center"/>
    </xf>
    <xf numFmtId="10" fontId="16" fillId="0" borderId="4" xfId="0" applyNumberFormat="1" applyFont="1" applyBorder="1" applyAlignment="1">
      <alignment horizontal="center"/>
    </xf>
    <xf numFmtId="164" fontId="16" fillId="0" borderId="4" xfId="0" applyNumberFormat="1" applyFont="1" applyBorder="1"/>
    <xf numFmtId="0" fontId="4" fillId="0" borderId="0" xfId="6" applyAlignment="1">
      <alignment horizontal="center"/>
    </xf>
    <xf numFmtId="169" fontId="4" fillId="0" borderId="0" xfId="6" applyNumberFormat="1" applyAlignment="1">
      <alignment horizontal="center"/>
    </xf>
    <xf numFmtId="0" fontId="4" fillId="0" borderId="33" xfId="6" applyBorder="1"/>
    <xf numFmtId="0" fontId="4" fillId="0" borderId="16" xfId="6" applyBorder="1" applyAlignment="1">
      <alignment horizontal="center"/>
    </xf>
    <xf numFmtId="0" fontId="4" fillId="0" borderId="16" xfId="6" applyBorder="1"/>
    <xf numFmtId="0" fontId="4" fillId="0" borderId="20" xfId="6" applyBorder="1"/>
    <xf numFmtId="0" fontId="4" fillId="0" borderId="22" xfId="6" applyBorder="1"/>
    <xf numFmtId="0" fontId="4" fillId="0" borderId="24" xfId="6" applyBorder="1"/>
    <xf numFmtId="0" fontId="4" fillId="0" borderId="17" xfId="6" applyBorder="1"/>
    <xf numFmtId="0" fontId="4" fillId="0" borderId="18" xfId="6" applyBorder="1" applyAlignment="1">
      <alignment horizontal="center"/>
    </xf>
    <xf numFmtId="0" fontId="4" fillId="0" borderId="18" xfId="6" applyBorder="1"/>
    <xf numFmtId="0" fontId="4" fillId="0" borderId="27" xfId="6" applyBorder="1"/>
    <xf numFmtId="0" fontId="4" fillId="0" borderId="15" xfId="6" applyBorder="1" applyAlignment="1">
      <alignment horizontal="center"/>
    </xf>
    <xf numFmtId="0" fontId="4" fillId="0" borderId="0" xfId="6" applyAlignment="1">
      <alignment horizontal="center" vertical="center"/>
    </xf>
    <xf numFmtId="0" fontId="4" fillId="0" borderId="0" xfId="6" applyAlignment="1">
      <alignment horizontal="left"/>
    </xf>
    <xf numFmtId="0" fontId="4" fillId="0" borderId="35" xfId="6" applyBorder="1" applyAlignment="1">
      <alignment horizontal="center"/>
    </xf>
    <xf numFmtId="0" fontId="4" fillId="0" borderId="40" xfId="6" applyBorder="1" applyAlignment="1">
      <alignment horizontal="center"/>
    </xf>
    <xf numFmtId="0" fontId="4" fillId="0" borderId="37" xfId="6" applyBorder="1" applyAlignment="1">
      <alignment horizontal="left"/>
    </xf>
    <xf numFmtId="0" fontId="4" fillId="0" borderId="38" xfId="6" applyBorder="1" applyAlignment="1">
      <alignment horizontal="center"/>
    </xf>
    <xf numFmtId="0" fontId="4" fillId="0" borderId="39" xfId="6" applyBorder="1" applyAlignment="1">
      <alignment horizontal="center"/>
    </xf>
    <xf numFmtId="0" fontId="4" fillId="0" borderId="14" xfId="6" applyBorder="1" applyAlignment="1">
      <alignment horizontal="left"/>
    </xf>
    <xf numFmtId="0" fontId="33" fillId="0" borderId="0" xfId="6" applyFont="1" applyAlignment="1">
      <alignment horizontal="center"/>
    </xf>
    <xf numFmtId="0" fontId="4" fillId="0" borderId="5" xfId="6" applyBorder="1" applyAlignment="1">
      <alignment horizontal="left"/>
    </xf>
    <xf numFmtId="0" fontId="33" fillId="19" borderId="0" xfId="6" applyFont="1" applyFill="1" applyAlignment="1">
      <alignment horizontal="center"/>
    </xf>
    <xf numFmtId="169" fontId="33" fillId="19" borderId="0" xfId="6" applyNumberFormat="1" applyFont="1" applyFill="1" applyAlignment="1">
      <alignment horizontal="center"/>
    </xf>
    <xf numFmtId="0" fontId="4" fillId="0" borderId="6" xfId="6" applyBorder="1"/>
    <xf numFmtId="0" fontId="4" fillId="0" borderId="8" xfId="6" applyBorder="1"/>
    <xf numFmtId="0" fontId="32" fillId="30" borderId="53" xfId="6" applyFont="1" applyFill="1" applyBorder="1" applyAlignment="1">
      <alignment horizontal="center"/>
    </xf>
    <xf numFmtId="0" fontId="32" fillId="30" borderId="30" xfId="6" applyFont="1" applyFill="1" applyBorder="1" applyAlignment="1">
      <alignment horizontal="center"/>
    </xf>
    <xf numFmtId="0" fontId="32" fillId="30" borderId="0" xfId="6" applyFont="1" applyFill="1" applyAlignment="1">
      <alignment horizontal="center"/>
    </xf>
    <xf numFmtId="0" fontId="33" fillId="18" borderId="44" xfId="6" applyFont="1" applyFill="1" applyBorder="1" applyAlignment="1">
      <alignment horizontal="left"/>
    </xf>
    <xf numFmtId="0" fontId="33" fillId="18" borderId="14" xfId="6" applyFont="1" applyFill="1" applyBorder="1" applyAlignment="1">
      <alignment horizontal="center"/>
    </xf>
    <xf numFmtId="0" fontId="33" fillId="18" borderId="15" xfId="6" applyFont="1" applyFill="1" applyBorder="1" applyAlignment="1">
      <alignment horizontal="center"/>
    </xf>
    <xf numFmtId="0" fontId="4" fillId="18" borderId="15" xfId="6" applyFill="1" applyBorder="1" applyAlignment="1">
      <alignment horizontal="center"/>
    </xf>
    <xf numFmtId="0" fontId="4" fillId="18" borderId="40" xfId="6" applyFill="1" applyBorder="1" applyAlignment="1">
      <alignment horizontal="center"/>
    </xf>
    <xf numFmtId="0" fontId="33" fillId="18" borderId="13" xfId="6" applyFont="1" applyFill="1" applyBorder="1" applyAlignment="1">
      <alignment horizontal="left"/>
    </xf>
    <xf numFmtId="0" fontId="33" fillId="18" borderId="40" xfId="6" applyFont="1" applyFill="1" applyBorder="1" applyAlignment="1">
      <alignment horizontal="center"/>
    </xf>
    <xf numFmtId="0" fontId="33" fillId="18" borderId="52" xfId="6" applyFont="1" applyFill="1" applyBorder="1" applyAlignment="1">
      <alignment horizontal="left"/>
    </xf>
    <xf numFmtId="0" fontId="33" fillId="18" borderId="47" xfId="6" applyFont="1" applyFill="1" applyBorder="1" applyAlignment="1">
      <alignment horizontal="center"/>
    </xf>
    <xf numFmtId="0" fontId="33" fillId="18" borderId="25" xfId="6" applyFont="1" applyFill="1" applyBorder="1" applyAlignment="1">
      <alignment horizontal="center"/>
    </xf>
    <xf numFmtId="0" fontId="33" fillId="18" borderId="48" xfId="6" applyFont="1" applyFill="1" applyBorder="1" applyAlignment="1">
      <alignment horizontal="center"/>
    </xf>
    <xf numFmtId="0" fontId="32" fillId="30" borderId="11" xfId="6" applyFont="1" applyFill="1" applyBorder="1" applyAlignment="1">
      <alignment horizontal="center"/>
    </xf>
    <xf numFmtId="0" fontId="33" fillId="18" borderId="11" xfId="6" applyFont="1" applyFill="1" applyBorder="1" applyAlignment="1">
      <alignment horizontal="center"/>
    </xf>
    <xf numFmtId="0" fontId="32" fillId="30" borderId="5" xfId="6" applyFont="1" applyFill="1" applyBorder="1" applyAlignment="1">
      <alignment horizontal="center"/>
    </xf>
    <xf numFmtId="169" fontId="32" fillId="30" borderId="28" xfId="6" applyNumberFormat="1" applyFont="1" applyFill="1" applyBorder="1" applyAlignment="1">
      <alignment horizontal="center"/>
    </xf>
    <xf numFmtId="0" fontId="39" fillId="33" borderId="0" xfId="8" applyFill="1"/>
    <xf numFmtId="0" fontId="41" fillId="35" borderId="37" xfId="8" quotePrefix="1" applyFont="1" applyFill="1" applyBorder="1" applyAlignment="1">
      <alignment horizontal="center"/>
    </xf>
    <xf numFmtId="43" fontId="41" fillId="35" borderId="38" xfId="10" applyFont="1" applyFill="1" applyBorder="1" applyAlignment="1" applyProtection="1">
      <alignment horizontal="center"/>
    </xf>
    <xf numFmtId="43" fontId="41" fillId="35" borderId="39" xfId="10" applyFont="1" applyFill="1" applyBorder="1" applyAlignment="1" applyProtection="1">
      <alignment horizontal="center"/>
    </xf>
    <xf numFmtId="0" fontId="41" fillId="32" borderId="14" xfId="8" applyFont="1" applyFill="1" applyBorder="1" applyAlignment="1">
      <alignment horizontal="center"/>
    </xf>
    <xf numFmtId="43" fontId="41" fillId="36" borderId="15" xfId="11" applyFont="1" applyFill="1" applyBorder="1" applyAlignment="1" applyProtection="1">
      <alignment horizontal="center"/>
    </xf>
    <xf numFmtId="43" fontId="41" fillId="36" borderId="40" xfId="11" applyFont="1" applyFill="1" applyBorder="1" applyAlignment="1" applyProtection="1">
      <alignment horizontal="center"/>
    </xf>
    <xf numFmtId="0" fontId="41" fillId="34" borderId="14" xfId="9" applyFont="1" applyFill="1" applyBorder="1" applyAlignment="1">
      <alignment horizontal="center"/>
    </xf>
    <xf numFmtId="43" fontId="41" fillId="34" borderId="15" xfId="11" applyFont="1" applyFill="1" applyBorder="1" applyAlignment="1" applyProtection="1">
      <alignment horizontal="center"/>
    </xf>
    <xf numFmtId="43" fontId="41" fillId="34" borderId="40" xfId="11" applyFont="1" applyFill="1" applyBorder="1" applyAlignment="1" applyProtection="1">
      <alignment horizontal="center"/>
    </xf>
    <xf numFmtId="0" fontId="41" fillId="35" borderId="14" xfId="8" applyFont="1" applyFill="1" applyBorder="1" applyAlignment="1">
      <alignment horizontal="center"/>
    </xf>
    <xf numFmtId="43" fontId="41" fillId="35" borderId="40" xfId="10" applyFont="1" applyFill="1" applyBorder="1" applyAlignment="1" applyProtection="1">
      <alignment horizontal="center"/>
    </xf>
    <xf numFmtId="43" fontId="39" fillId="0" borderId="14" xfId="11" quotePrefix="1" applyFont="1" applyFill="1" applyBorder="1" applyAlignment="1" applyProtection="1">
      <alignment horizontal="center"/>
    </xf>
    <xf numFmtId="43" fontId="39" fillId="0" borderId="15" xfId="11" applyFont="1" applyFill="1" applyBorder="1" applyAlignment="1" applyProtection="1">
      <alignment horizontal="center"/>
    </xf>
    <xf numFmtId="43" fontId="39" fillId="0" borderId="40" xfId="11" applyFont="1" applyFill="1" applyBorder="1" applyAlignment="1" applyProtection="1">
      <alignment horizontal="center"/>
    </xf>
    <xf numFmtId="49" fontId="39" fillId="33" borderId="14" xfId="11" quotePrefix="1" applyNumberFormat="1" applyFont="1" applyFill="1" applyBorder="1" applyAlignment="1" applyProtection="1">
      <alignment horizontal="center"/>
    </xf>
    <xf numFmtId="43" fontId="39" fillId="33" borderId="15" xfId="11" applyFont="1" applyFill="1" applyBorder="1" applyAlignment="1" applyProtection="1">
      <alignment horizontal="center"/>
    </xf>
    <xf numFmtId="43" fontId="39" fillId="37" borderId="40" xfId="11" applyFont="1" applyFill="1" applyBorder="1" applyAlignment="1" applyProtection="1">
      <alignment horizontal="center"/>
    </xf>
    <xf numFmtId="16" fontId="39" fillId="33" borderId="14" xfId="8" quotePrefix="1" applyNumberFormat="1" applyFill="1" applyBorder="1" applyAlignment="1">
      <alignment horizontal="center"/>
    </xf>
    <xf numFmtId="43" fontId="39" fillId="38" borderId="40" xfId="11" applyFont="1" applyFill="1" applyBorder="1" applyAlignment="1" applyProtection="1">
      <alignment horizontal="center"/>
    </xf>
    <xf numFmtId="43" fontId="39" fillId="33" borderId="40" xfId="12" applyFont="1" applyFill="1" applyBorder="1" applyAlignment="1" applyProtection="1">
      <alignment horizontal="center" vertical="center"/>
    </xf>
    <xf numFmtId="0" fontId="39" fillId="33" borderId="14" xfId="8" quotePrefix="1" applyFill="1" applyBorder="1" applyAlignment="1">
      <alignment horizontal="center"/>
    </xf>
    <xf numFmtId="0" fontId="39" fillId="33" borderId="14" xfId="8" applyFill="1" applyBorder="1" applyAlignment="1">
      <alignment horizontal="center"/>
    </xf>
    <xf numFmtId="43" fontId="39" fillId="0" borderId="14" xfId="11" applyFont="1" applyFill="1" applyBorder="1" applyAlignment="1" applyProtection="1">
      <alignment horizontal="center"/>
    </xf>
    <xf numFmtId="49" fontId="39" fillId="33" borderId="14" xfId="11" applyNumberFormat="1" applyFont="1" applyFill="1" applyBorder="1" applyAlignment="1" applyProtection="1">
      <alignment horizontal="center"/>
    </xf>
    <xf numFmtId="43" fontId="39" fillId="33" borderId="0" xfId="10" applyFont="1" applyFill="1" applyAlignment="1" applyProtection="1">
      <alignment horizontal="center"/>
    </xf>
    <xf numFmtId="0" fontId="39" fillId="33" borderId="41" xfId="8" applyFill="1" applyBorder="1" applyAlignment="1">
      <alignment horizontal="center"/>
    </xf>
    <xf numFmtId="43" fontId="39" fillId="37" borderId="43" xfId="12" applyFont="1" applyFill="1" applyBorder="1" applyAlignment="1" applyProtection="1">
      <alignment horizontal="center" vertical="center"/>
    </xf>
    <xf numFmtId="0" fontId="39" fillId="33" borderId="0" xfId="8" applyFill="1" applyAlignment="1">
      <alignment horizontal="center"/>
    </xf>
    <xf numFmtId="49" fontId="44" fillId="33" borderId="41" xfId="13" applyNumberFormat="1" applyFont="1" applyFill="1" applyBorder="1" applyAlignment="1">
      <alignment horizontal="center" vertical="center"/>
    </xf>
    <xf numFmtId="49" fontId="44" fillId="0" borderId="41" xfId="13" applyNumberFormat="1" applyFont="1" applyBorder="1" applyAlignment="1">
      <alignment horizontal="center" vertical="center"/>
    </xf>
    <xf numFmtId="43" fontId="39" fillId="0" borderId="55" xfId="11" applyFont="1" applyFill="1" applyBorder="1" applyAlignment="1" applyProtection="1">
      <alignment horizontal="center"/>
    </xf>
    <xf numFmtId="169" fontId="4" fillId="0" borderId="29" xfId="6" applyNumberFormat="1" applyBorder="1" applyAlignment="1">
      <alignment horizontal="center"/>
    </xf>
    <xf numFmtId="169" fontId="33" fillId="19" borderId="29" xfId="6" applyNumberFormat="1" applyFont="1" applyFill="1" applyBorder="1" applyAlignment="1">
      <alignment horizontal="center"/>
    </xf>
    <xf numFmtId="0" fontId="4" fillId="0" borderId="0" xfId="6" applyAlignment="1">
      <alignment horizontal="right"/>
    </xf>
    <xf numFmtId="0" fontId="4" fillId="0" borderId="15" xfId="6" applyBorder="1"/>
    <xf numFmtId="3" fontId="4" fillId="0" borderId="15" xfId="6" applyNumberFormat="1" applyBorder="1" applyAlignment="1">
      <alignment horizontal="center" vertical="center"/>
    </xf>
    <xf numFmtId="0" fontId="4" fillId="0" borderId="15" xfId="6" applyBorder="1" applyAlignment="1">
      <alignment horizontal="center" vertical="center"/>
    </xf>
    <xf numFmtId="169" fontId="32" fillId="30" borderId="29" xfId="6" applyNumberFormat="1" applyFont="1" applyFill="1" applyBorder="1" applyAlignment="1">
      <alignment horizontal="center"/>
    </xf>
    <xf numFmtId="0" fontId="33" fillId="18" borderId="6" xfId="6" applyFont="1" applyFill="1" applyBorder="1"/>
    <xf numFmtId="0" fontId="33" fillId="19" borderId="6" xfId="6" applyFont="1" applyFill="1" applyBorder="1"/>
    <xf numFmtId="9" fontId="33" fillId="19" borderId="0" xfId="4" applyFont="1" applyFill="1" applyBorder="1" applyAlignment="1" applyProtection="1">
      <alignment horizontal="center"/>
    </xf>
    <xf numFmtId="0" fontId="32" fillId="30" borderId="6" xfId="6" applyFont="1" applyFill="1" applyBorder="1"/>
    <xf numFmtId="169" fontId="32" fillId="30" borderId="0" xfId="6" applyNumberFormat="1" applyFont="1" applyFill="1" applyAlignment="1">
      <alignment horizontal="center"/>
    </xf>
    <xf numFmtId="9" fontId="32" fillId="30" borderId="0" xfId="4" applyFont="1" applyFill="1" applyBorder="1" applyAlignment="1" applyProtection="1">
      <alignment horizontal="center"/>
    </xf>
    <xf numFmtId="169" fontId="32" fillId="30" borderId="31" xfId="6" applyNumberFormat="1" applyFont="1" applyFill="1" applyBorder="1" applyAlignment="1">
      <alignment horizontal="center"/>
    </xf>
    <xf numFmtId="0" fontId="33" fillId="0" borderId="0" xfId="6" applyFont="1" applyAlignment="1">
      <alignment horizontal="right"/>
    </xf>
    <xf numFmtId="169" fontId="32" fillId="0" borderId="0" xfId="6" applyNumberFormat="1" applyFont="1" applyAlignment="1">
      <alignment horizontal="center"/>
    </xf>
    <xf numFmtId="0" fontId="39" fillId="0" borderId="14" xfId="8" applyBorder="1" applyAlignment="1">
      <alignment horizontal="center"/>
    </xf>
    <xf numFmtId="43" fontId="39" fillId="0" borderId="15" xfId="12" applyFont="1" applyFill="1" applyBorder="1" applyAlignment="1" applyProtection="1">
      <alignment horizontal="center"/>
    </xf>
    <xf numFmtId="8" fontId="39" fillId="0" borderId="40" xfId="12" applyNumberFormat="1" applyFont="1" applyFill="1" applyBorder="1" applyAlignment="1" applyProtection="1">
      <alignment horizontal="center"/>
    </xf>
    <xf numFmtId="43" fontId="39" fillId="39" borderId="15" xfId="12" applyFont="1" applyFill="1" applyBorder="1" applyAlignment="1" applyProtection="1">
      <alignment horizontal="center" vertical="center"/>
    </xf>
    <xf numFmtId="8" fontId="39" fillId="0" borderId="15" xfId="12" applyNumberFormat="1" applyFont="1" applyFill="1" applyBorder="1" applyAlignment="1" applyProtection="1">
      <alignment horizontal="center"/>
    </xf>
    <xf numFmtId="43" fontId="39" fillId="39" borderId="42" xfId="12" applyFont="1" applyFill="1" applyBorder="1" applyAlignment="1" applyProtection="1">
      <alignment horizontal="center" vertical="center"/>
    </xf>
    <xf numFmtId="43" fontId="39" fillId="0" borderId="42" xfId="12" applyFont="1" applyFill="1" applyBorder="1" applyAlignment="1" applyProtection="1">
      <alignment horizontal="center"/>
    </xf>
    <xf numFmtId="8" fontId="39" fillId="0" borderId="43" xfId="12" applyNumberFormat="1" applyFont="1" applyFill="1" applyBorder="1" applyAlignment="1" applyProtection="1">
      <alignment horizontal="center"/>
    </xf>
    <xf numFmtId="0" fontId="44" fillId="0" borderId="15" xfId="6" applyFont="1" applyBorder="1" applyAlignment="1">
      <alignment horizontal="center" vertical="center"/>
    </xf>
    <xf numFmtId="0" fontId="4" fillId="0" borderId="0" xfId="6"/>
    <xf numFmtId="0" fontId="39" fillId="0" borderId="0" xfId="9"/>
    <xf numFmtId="169" fontId="33" fillId="18" borderId="11" xfId="6" applyNumberFormat="1" applyFont="1" applyFill="1" applyBorder="1" applyAlignment="1">
      <alignment horizontal="center"/>
    </xf>
    <xf numFmtId="0" fontId="4" fillId="0" borderId="34" xfId="6" applyBorder="1"/>
    <xf numFmtId="0" fontId="4" fillId="0" borderId="28" xfId="6" applyBorder="1"/>
    <xf numFmtId="0" fontId="4" fillId="0" borderId="29" xfId="6" applyBorder="1"/>
    <xf numFmtId="0" fontId="4" fillId="0" borderId="6" xfId="6" applyBorder="1" applyAlignment="1">
      <alignment horizontal="left"/>
    </xf>
    <xf numFmtId="0" fontId="4" fillId="0" borderId="31" xfId="6" applyBorder="1"/>
    <xf numFmtId="0" fontId="4" fillId="0" borderId="8" xfId="6" applyBorder="1" applyAlignment="1">
      <alignment horizontal="left"/>
    </xf>
    <xf numFmtId="0" fontId="4" fillId="0" borderId="35" xfId="6" applyBorder="1"/>
    <xf numFmtId="3" fontId="4" fillId="0" borderId="0" xfId="6" applyNumberFormat="1" applyAlignment="1">
      <alignment horizontal="right"/>
    </xf>
    <xf numFmtId="1" fontId="4" fillId="0" borderId="15" xfId="6" applyNumberFormat="1" applyBorder="1"/>
    <xf numFmtId="43" fontId="39" fillId="0" borderId="40" xfId="12" applyFont="1" applyFill="1" applyBorder="1" applyAlignment="1" applyProtection="1">
      <alignment horizontal="center" vertical="center"/>
    </xf>
    <xf numFmtId="8" fontId="39" fillId="38" borderId="40" xfId="12" applyNumberFormat="1" applyFont="1" applyFill="1" applyBorder="1" applyAlignment="1" applyProtection="1">
      <alignment horizontal="center"/>
    </xf>
    <xf numFmtId="8" fontId="39" fillId="38" borderId="43" xfId="12" applyNumberFormat="1" applyFont="1" applyFill="1" applyBorder="1" applyAlignment="1" applyProtection="1">
      <alignment horizontal="center"/>
    </xf>
    <xf numFmtId="43" fontId="39" fillId="38" borderId="43" xfId="11" applyFont="1" applyFill="1" applyBorder="1" applyAlignment="1" applyProtection="1">
      <alignment horizontal="center"/>
    </xf>
    <xf numFmtId="0" fontId="34" fillId="0" borderId="13" xfId="15" applyFont="1" applyBorder="1" applyAlignment="1">
      <alignment horizontal="center"/>
    </xf>
    <xf numFmtId="1" fontId="30" fillId="0" borderId="13" xfId="15" applyNumberFormat="1" applyBorder="1" applyAlignment="1">
      <alignment horizontal="center"/>
    </xf>
    <xf numFmtId="164" fontId="30" fillId="0" borderId="52" xfId="15" applyNumberFormat="1" applyBorder="1" applyAlignment="1">
      <alignment horizontal="center"/>
    </xf>
    <xf numFmtId="0" fontId="4" fillId="42" borderId="15" xfId="6" applyFill="1" applyBorder="1" applyAlignment="1">
      <alignment horizontal="center"/>
    </xf>
    <xf numFmtId="0" fontId="4" fillId="42" borderId="40" xfId="6" applyFill="1" applyBorder="1" applyAlignment="1">
      <alignment horizontal="center"/>
    </xf>
    <xf numFmtId="0" fontId="33" fillId="18" borderId="90" xfId="6" applyFont="1" applyFill="1" applyBorder="1" applyAlignment="1">
      <alignment horizontal="left"/>
    </xf>
    <xf numFmtId="0" fontId="33" fillId="18" borderId="19" xfId="6" applyFont="1" applyFill="1" applyBorder="1" applyAlignment="1">
      <alignment horizontal="center"/>
    </xf>
    <xf numFmtId="0" fontId="4" fillId="0" borderId="25" xfId="6" applyBorder="1" applyAlignment="1">
      <alignment horizontal="center"/>
    </xf>
    <xf numFmtId="169" fontId="30" fillId="0" borderId="52" xfId="15" applyNumberFormat="1" applyBorder="1" applyAlignment="1">
      <alignment horizontal="center"/>
    </xf>
    <xf numFmtId="0" fontId="4" fillId="0" borderId="0" xfId="6" applyAlignment="1">
      <alignment horizontal="center" wrapText="1"/>
    </xf>
    <xf numFmtId="0" fontId="0" fillId="0" borderId="0" xfId="14" applyNumberFormat="1" applyFont="1" applyProtection="1"/>
    <xf numFmtId="9" fontId="0" fillId="0" borderId="0" xfId="4" applyFont="1" applyBorder="1" applyAlignment="1" applyProtection="1">
      <alignment horizontal="center"/>
    </xf>
    <xf numFmtId="169" fontId="0" fillId="0" borderId="29" xfId="14" applyNumberFormat="1" applyFont="1" applyBorder="1" applyProtection="1"/>
    <xf numFmtId="0" fontId="0" fillId="0" borderId="29" xfId="14" applyNumberFormat="1" applyFont="1" applyBorder="1" applyAlignment="1" applyProtection="1">
      <alignment horizontal="center"/>
    </xf>
    <xf numFmtId="169" fontId="0" fillId="0" borderId="31" xfId="14" applyNumberFormat="1" applyFont="1" applyBorder="1" applyProtection="1"/>
    <xf numFmtId="169" fontId="0" fillId="0" borderId="0" xfId="14" applyNumberFormat="1" applyFont="1" applyBorder="1" applyProtection="1"/>
    <xf numFmtId="0" fontId="0" fillId="0" borderId="0" xfId="14" applyNumberFormat="1" applyFont="1" applyBorder="1" applyProtection="1"/>
    <xf numFmtId="0" fontId="0" fillId="0" borderId="0" xfId="4" applyNumberFormat="1" applyFont="1" applyProtection="1"/>
    <xf numFmtId="0" fontId="0" fillId="0" borderId="0" xfId="4" applyNumberFormat="1" applyFont="1" applyAlignment="1" applyProtection="1">
      <alignment horizontal="center"/>
    </xf>
    <xf numFmtId="0" fontId="33" fillId="0" borderId="0" xfId="6" applyFont="1" applyAlignment="1">
      <alignment horizontal="left"/>
    </xf>
    <xf numFmtId="169" fontId="33" fillId="0" borderId="0" xfId="6" applyNumberFormat="1" applyFont="1" applyAlignment="1">
      <alignment horizontal="center"/>
    </xf>
    <xf numFmtId="0" fontId="4" fillId="0" borderId="0" xfId="6" applyAlignment="1">
      <alignment wrapText="1"/>
    </xf>
    <xf numFmtId="0" fontId="31" fillId="17" borderId="32" xfId="2" applyAlignment="1">
      <alignment wrapText="1"/>
    </xf>
    <xf numFmtId="0" fontId="33" fillId="0" borderId="11" xfId="6" applyFont="1" applyBorder="1" applyAlignment="1">
      <alignment wrapText="1"/>
    </xf>
    <xf numFmtId="0" fontId="4" fillId="0" borderId="7" xfId="6" applyBorder="1" applyAlignment="1">
      <alignment wrapText="1"/>
    </xf>
    <xf numFmtId="0" fontId="4" fillId="0" borderId="9" xfId="6" applyBorder="1" applyAlignment="1">
      <alignment wrapText="1"/>
    </xf>
    <xf numFmtId="0" fontId="4" fillId="0" borderId="0" xfId="6" applyAlignment="1">
      <alignment vertical="center"/>
    </xf>
    <xf numFmtId="0" fontId="33" fillId="0" borderId="36" xfId="6" applyFont="1" applyBorder="1" applyAlignment="1">
      <alignment vertical="center"/>
    </xf>
    <xf numFmtId="0" fontId="4" fillId="0" borderId="29" xfId="6" applyBorder="1" applyAlignment="1">
      <alignment vertical="center"/>
    </xf>
    <xf numFmtId="0" fontId="4" fillId="0" borderId="31" xfId="6" applyBorder="1" applyAlignment="1">
      <alignment vertical="center"/>
    </xf>
    <xf numFmtId="10" fontId="16" fillId="0" borderId="28" xfId="0" applyNumberFormat="1" applyFont="1" applyBorder="1" applyAlignment="1">
      <alignment horizontal="center"/>
    </xf>
    <xf numFmtId="10" fontId="16" fillId="0" borderId="29" xfId="0" applyNumberFormat="1" applyFont="1" applyBorder="1" applyAlignment="1">
      <alignment horizontal="center"/>
    </xf>
    <xf numFmtId="10" fontId="16" fillId="0" borderId="31" xfId="0" applyNumberFormat="1" applyFont="1" applyBorder="1" applyAlignment="1">
      <alignment horizontal="center"/>
    </xf>
    <xf numFmtId="164" fontId="17" fillId="8" borderId="11" xfId="0" applyNumberFormat="1" applyFont="1" applyFill="1" applyBorder="1" applyAlignment="1">
      <alignment horizontal="center"/>
    </xf>
    <xf numFmtId="44" fontId="44" fillId="0" borderId="2" xfId="1" applyFont="1" applyBorder="1" applyAlignment="1">
      <alignment horizontal="center"/>
    </xf>
    <xf numFmtId="0" fontId="3" fillId="0" borderId="0" xfId="16" applyAlignment="1">
      <alignment horizontal="center"/>
    </xf>
    <xf numFmtId="0" fontId="3" fillId="0" borderId="0" xfId="16" applyAlignment="1">
      <alignment horizontal="center" vertical="center"/>
    </xf>
    <xf numFmtId="0" fontId="3" fillId="0" borderId="0" xfId="16"/>
    <xf numFmtId="0" fontId="3" fillId="0" borderId="5" xfId="16" applyBorder="1" applyAlignment="1">
      <alignment horizontal="center" vertical="center"/>
    </xf>
    <xf numFmtId="0" fontId="3" fillId="0" borderId="34" xfId="16" applyBorder="1" applyAlignment="1">
      <alignment horizontal="center" vertical="center"/>
    </xf>
    <xf numFmtId="0" fontId="33" fillId="23" borderId="4" xfId="16" applyFont="1" applyFill="1" applyBorder="1" applyAlignment="1">
      <alignment horizontal="center" vertical="center"/>
    </xf>
    <xf numFmtId="0" fontId="3" fillId="23" borderId="11" xfId="16" applyFill="1" applyBorder="1" applyAlignment="1">
      <alignment horizontal="center" vertical="center"/>
    </xf>
    <xf numFmtId="0" fontId="3" fillId="0" borderId="28" xfId="16" applyBorder="1" applyAlignment="1">
      <alignment horizontal="center"/>
    </xf>
    <xf numFmtId="0" fontId="33" fillId="40" borderId="11" xfId="16" applyFont="1" applyFill="1" applyBorder="1" applyAlignment="1">
      <alignment horizontal="center" vertical="center"/>
    </xf>
    <xf numFmtId="14" fontId="3" fillId="0" borderId="9" xfId="16" applyNumberFormat="1" applyBorder="1" applyAlignment="1">
      <alignment horizontal="center" vertical="center"/>
    </xf>
    <xf numFmtId="0" fontId="3" fillId="0" borderId="29" xfId="16" applyBorder="1" applyAlignment="1">
      <alignment horizontal="center"/>
    </xf>
    <xf numFmtId="0" fontId="33" fillId="40" borderId="5" xfId="16" applyFont="1" applyFill="1" applyBorder="1" applyAlignment="1">
      <alignment horizontal="center"/>
    </xf>
    <xf numFmtId="0" fontId="33" fillId="40" borderId="4" xfId="16" applyFont="1" applyFill="1" applyBorder="1" applyAlignment="1">
      <alignment horizontal="center"/>
    </xf>
    <xf numFmtId="0" fontId="33" fillId="40" borderId="34" xfId="16" applyFont="1" applyFill="1" applyBorder="1" applyAlignment="1">
      <alignment horizontal="center"/>
    </xf>
    <xf numFmtId="0" fontId="33" fillId="21" borderId="4" xfId="16" applyFont="1" applyFill="1" applyBorder="1" applyAlignment="1">
      <alignment horizontal="center"/>
    </xf>
    <xf numFmtId="0" fontId="33" fillId="21" borderId="34" xfId="16" applyFont="1" applyFill="1" applyBorder="1" applyAlignment="1">
      <alignment horizontal="center"/>
    </xf>
    <xf numFmtId="0" fontId="33" fillId="21" borderId="4" xfId="16" applyFont="1" applyFill="1" applyBorder="1" applyAlignment="1">
      <alignment horizontal="center" vertical="center"/>
    </xf>
    <xf numFmtId="0" fontId="33" fillId="21" borderId="28" xfId="16" applyFont="1" applyFill="1" applyBorder="1" applyAlignment="1">
      <alignment horizontal="center" vertical="center"/>
    </xf>
    <xf numFmtId="0" fontId="33" fillId="0" borderId="4" xfId="16" applyFont="1" applyBorder="1" applyAlignment="1">
      <alignment horizontal="center" vertical="center"/>
    </xf>
    <xf numFmtId="0" fontId="33" fillId="0" borderId="0" xfId="16" applyFont="1" applyAlignment="1">
      <alignment horizontal="center" vertical="center"/>
    </xf>
    <xf numFmtId="0" fontId="33" fillId="24" borderId="4" xfId="16" applyFont="1" applyFill="1" applyBorder="1" applyAlignment="1">
      <alignment horizontal="center" vertical="center"/>
    </xf>
    <xf numFmtId="0" fontId="33" fillId="0" borderId="7" xfId="16" applyFont="1" applyBorder="1" applyAlignment="1">
      <alignment horizontal="center" vertical="center"/>
    </xf>
    <xf numFmtId="0" fontId="33" fillId="0" borderId="29" xfId="16" applyFont="1" applyBorder="1" applyAlignment="1">
      <alignment horizontal="center"/>
    </xf>
    <xf numFmtId="43" fontId="41" fillId="32" borderId="15" xfId="17" applyFont="1" applyFill="1" applyBorder="1" applyAlignment="1" applyProtection="1">
      <alignment horizontal="center"/>
    </xf>
    <xf numFmtId="0" fontId="3" fillId="0" borderId="6" xfId="16" applyBorder="1" applyAlignment="1">
      <alignment horizontal="center"/>
    </xf>
    <xf numFmtId="0" fontId="3" fillId="0" borderId="7" xfId="16" applyBorder="1" applyAlignment="1">
      <alignment horizontal="center"/>
    </xf>
    <xf numFmtId="1" fontId="3" fillId="0" borderId="0" xfId="16" applyNumberFormat="1" applyAlignment="1">
      <alignment horizontal="center"/>
    </xf>
    <xf numFmtId="0" fontId="35" fillId="0" borderId="0" xfId="16" applyFont="1" applyAlignment="1">
      <alignment horizontal="center"/>
    </xf>
    <xf numFmtId="1" fontId="3" fillId="0" borderId="7" xfId="16" applyNumberFormat="1" applyBorder="1" applyAlignment="1">
      <alignment horizontal="center"/>
    </xf>
    <xf numFmtId="16" fontId="35" fillId="0" borderId="7" xfId="16" applyNumberFormat="1" applyFont="1" applyBorder="1" applyAlignment="1">
      <alignment horizontal="center"/>
    </xf>
    <xf numFmtId="1" fontId="3" fillId="0" borderId="7" xfId="16" applyNumberFormat="1" applyBorder="1" applyAlignment="1">
      <alignment horizontal="center" vertical="center"/>
    </xf>
    <xf numFmtId="16" fontId="35" fillId="0" borderId="29" xfId="16" applyNumberFormat="1" applyFont="1" applyBorder="1" applyAlignment="1">
      <alignment horizontal="center"/>
    </xf>
    <xf numFmtId="0" fontId="3" fillId="0" borderId="44" xfId="16" applyBorder="1" applyAlignment="1">
      <alignment horizontal="center" vertical="center"/>
    </xf>
    <xf numFmtId="43" fontId="0" fillId="0" borderId="21" xfId="17" applyFont="1" applyBorder="1" applyAlignment="1">
      <alignment horizontal="center" vertical="center"/>
    </xf>
    <xf numFmtId="0" fontId="3" fillId="24" borderId="44" xfId="16" applyFill="1" applyBorder="1" applyAlignment="1">
      <alignment horizontal="center" vertical="center"/>
    </xf>
    <xf numFmtId="44" fontId="0" fillId="0" borderId="0" xfId="18" applyFont="1" applyAlignment="1">
      <alignment horizontal="center" vertical="center"/>
    </xf>
    <xf numFmtId="0" fontId="3" fillId="0" borderId="13" xfId="16" applyBorder="1" applyAlignment="1">
      <alignment horizontal="center" vertical="center"/>
    </xf>
    <xf numFmtId="43" fontId="0" fillId="0" borderId="21" xfId="17" applyFont="1" applyFill="1" applyBorder="1" applyAlignment="1">
      <alignment horizontal="center" vertical="center"/>
    </xf>
    <xf numFmtId="0" fontId="3" fillId="24" borderId="13" xfId="16" applyFill="1" applyBorder="1" applyAlignment="1">
      <alignment horizontal="center" vertical="center"/>
    </xf>
    <xf numFmtId="43" fontId="3" fillId="0" borderId="0" xfId="16" applyNumberFormat="1" applyAlignment="1">
      <alignment horizontal="center" vertical="center"/>
    </xf>
    <xf numFmtId="44" fontId="0" fillId="0" borderId="29" xfId="18" applyFont="1" applyBorder="1" applyAlignment="1">
      <alignment horizontal="center"/>
    </xf>
    <xf numFmtId="49" fontId="3" fillId="0" borderId="13" xfId="16" applyNumberFormat="1" applyBorder="1" applyAlignment="1">
      <alignment horizontal="center" vertical="center"/>
    </xf>
    <xf numFmtId="0" fontId="3" fillId="0" borderId="7" xfId="16" applyBorder="1" applyAlignment="1">
      <alignment horizontal="center" vertical="center"/>
    </xf>
    <xf numFmtId="0" fontId="3" fillId="0" borderId="45" xfId="16" applyBorder="1" applyAlignment="1">
      <alignment horizontal="center" vertical="center"/>
    </xf>
    <xf numFmtId="0" fontId="3" fillId="0" borderId="8" xfId="16" applyBorder="1" applyAlignment="1">
      <alignment horizontal="center" vertical="center"/>
    </xf>
    <xf numFmtId="0" fontId="3" fillId="0" borderId="35" xfId="16" applyBorder="1" applyAlignment="1">
      <alignment horizontal="center" vertical="center"/>
    </xf>
    <xf numFmtId="169" fontId="33" fillId="25" borderId="11" xfId="16" applyNumberFormat="1" applyFont="1" applyFill="1" applyBorder="1" applyAlignment="1">
      <alignment horizontal="center"/>
    </xf>
    <xf numFmtId="0" fontId="33" fillId="0" borderId="10" xfId="16" applyFont="1" applyBorder="1" applyAlignment="1">
      <alignment horizontal="center"/>
    </xf>
    <xf numFmtId="0" fontId="33" fillId="0" borderId="11" xfId="16" applyFont="1" applyBorder="1" applyAlignment="1">
      <alignment horizontal="center"/>
    </xf>
    <xf numFmtId="1" fontId="33" fillId="0" borderId="1" xfId="16" applyNumberFormat="1" applyFont="1" applyBorder="1" applyAlignment="1">
      <alignment horizontal="center"/>
    </xf>
    <xf numFmtId="0" fontId="33" fillId="0" borderId="1" xfId="16" applyFont="1" applyBorder="1" applyAlignment="1">
      <alignment horizontal="center"/>
    </xf>
    <xf numFmtId="0" fontId="3" fillId="0" borderId="36" xfId="16" applyBorder="1" applyAlignment="1">
      <alignment horizontal="center"/>
    </xf>
    <xf numFmtId="0" fontId="3" fillId="25" borderId="0" xfId="16" applyFill="1"/>
    <xf numFmtId="0" fontId="3" fillId="25" borderId="0" xfId="16" applyFill="1" applyAlignment="1">
      <alignment horizontal="center" vertical="center"/>
    </xf>
    <xf numFmtId="0" fontId="36" fillId="0" borderId="0" xfId="16" applyFont="1" applyAlignment="1">
      <alignment vertical="center"/>
    </xf>
    <xf numFmtId="16" fontId="3" fillId="0" borderId="0" xfId="16" applyNumberFormat="1"/>
    <xf numFmtId="0" fontId="46" fillId="0" borderId="58" xfId="16" applyFont="1" applyBorder="1" applyAlignment="1">
      <alignment horizontal="center" vertical="top"/>
    </xf>
    <xf numFmtId="0" fontId="46" fillId="0" borderId="58" xfId="16" applyFont="1" applyBorder="1" applyAlignment="1">
      <alignment horizontal="center" vertical="center"/>
    </xf>
    <xf numFmtId="0" fontId="46" fillId="0" borderId="59" xfId="16" applyFont="1" applyBorder="1" applyAlignment="1">
      <alignment horizontal="center" vertical="center"/>
    </xf>
    <xf numFmtId="0" fontId="46" fillId="0" borderId="60" xfId="16" applyFont="1" applyBorder="1" applyAlignment="1">
      <alignment horizontal="center" vertical="center"/>
    </xf>
    <xf numFmtId="0" fontId="3" fillId="0" borderId="61" xfId="16" applyBorder="1" applyAlignment="1">
      <alignment horizontal="center" vertical="center"/>
    </xf>
    <xf numFmtId="0" fontId="3" fillId="0" borderId="62" xfId="16" applyBorder="1" applyAlignment="1">
      <alignment horizontal="center" vertical="center"/>
    </xf>
    <xf numFmtId="44" fontId="0" fillId="0" borderId="62" xfId="18" applyFont="1" applyBorder="1" applyAlignment="1">
      <alignment horizontal="center" vertical="center"/>
    </xf>
    <xf numFmtId="0" fontId="3" fillId="0" borderId="63" xfId="16" applyBorder="1" applyAlignment="1">
      <alignment horizontal="center" vertical="center"/>
    </xf>
    <xf numFmtId="2" fontId="3" fillId="40" borderId="7" xfId="16" applyNumberFormat="1" applyFill="1" applyBorder="1" applyAlignment="1">
      <alignment horizontal="center"/>
    </xf>
    <xf numFmtId="49" fontId="35" fillId="0" borderId="0" xfId="16" applyNumberFormat="1" applyFont="1" applyAlignment="1">
      <alignment horizontal="center"/>
    </xf>
    <xf numFmtId="49" fontId="35" fillId="0" borderId="7" xfId="16" applyNumberFormat="1" applyFont="1" applyBorder="1" applyAlignment="1">
      <alignment horizontal="center"/>
    </xf>
    <xf numFmtId="0" fontId="3" fillId="0" borderId="64" xfId="16" applyBorder="1"/>
    <xf numFmtId="0" fontId="3" fillId="0" borderId="65" xfId="16" applyBorder="1"/>
    <xf numFmtId="0" fontId="3" fillId="0" borderId="66" xfId="16" applyBorder="1"/>
    <xf numFmtId="0" fontId="3" fillId="0" borderId="67" xfId="16" applyBorder="1" applyAlignment="1">
      <alignment horizontal="center" vertical="center"/>
    </xf>
    <xf numFmtId="0" fontId="3" fillId="0" borderId="68" xfId="16" applyBorder="1" applyAlignment="1">
      <alignment horizontal="center" vertical="center"/>
    </xf>
    <xf numFmtId="6" fontId="3" fillId="0" borderId="68" xfId="16" applyNumberFormat="1" applyBorder="1" applyAlignment="1">
      <alignment horizontal="center" vertical="center"/>
    </xf>
    <xf numFmtId="0" fontId="3" fillId="0" borderId="69" xfId="16" applyBorder="1" applyAlignment="1">
      <alignment horizontal="center" vertical="center"/>
    </xf>
    <xf numFmtId="49" fontId="3" fillId="0" borderId="7" xfId="16" applyNumberFormat="1" applyBorder="1" applyAlignment="1">
      <alignment horizontal="center"/>
    </xf>
    <xf numFmtId="49" fontId="33" fillId="0" borderId="11" xfId="16" applyNumberFormat="1" applyFont="1" applyBorder="1" applyAlignment="1">
      <alignment horizontal="center"/>
    </xf>
    <xf numFmtId="1" fontId="33" fillId="0" borderId="11" xfId="16" applyNumberFormat="1" applyFont="1" applyBorder="1" applyAlignment="1">
      <alignment horizontal="center"/>
    </xf>
    <xf numFmtId="6" fontId="3" fillId="38" borderId="68" xfId="16" applyNumberFormat="1" applyFill="1" applyBorder="1" applyAlignment="1">
      <alignment horizontal="center" vertical="center"/>
    </xf>
    <xf numFmtId="0" fontId="35" fillId="40" borderId="0" xfId="16" applyFont="1" applyFill="1" applyAlignment="1">
      <alignment horizontal="center"/>
    </xf>
    <xf numFmtId="16" fontId="35" fillId="40" borderId="7" xfId="16" applyNumberFormat="1" applyFont="1" applyFill="1" applyBorder="1" applyAlignment="1">
      <alignment horizontal="center"/>
    </xf>
    <xf numFmtId="0" fontId="3" fillId="0" borderId="70" xfId="16" applyBorder="1" applyAlignment="1">
      <alignment horizontal="center" vertical="center"/>
    </xf>
    <xf numFmtId="0" fontId="3" fillId="0" borderId="71" xfId="16" applyBorder="1" applyAlignment="1">
      <alignment horizontal="center" vertical="center"/>
    </xf>
    <xf numFmtId="0" fontId="3" fillId="0" borderId="72" xfId="16" applyBorder="1" applyAlignment="1">
      <alignment horizontal="center" vertical="center"/>
    </xf>
    <xf numFmtId="6" fontId="3" fillId="0" borderId="72" xfId="16" applyNumberFormat="1" applyBorder="1" applyAlignment="1">
      <alignment horizontal="center" vertical="center"/>
    </xf>
    <xf numFmtId="0" fontId="3" fillId="0" borderId="73" xfId="16" applyBorder="1" applyAlignment="1">
      <alignment horizontal="center" vertical="center"/>
    </xf>
    <xf numFmtId="0" fontId="3" fillId="0" borderId="74" xfId="16" applyBorder="1" applyAlignment="1">
      <alignment horizontal="center" vertical="center"/>
    </xf>
    <xf numFmtId="0" fontId="3" fillId="0" borderId="75" xfId="16" applyBorder="1" applyAlignment="1">
      <alignment horizontal="center" vertical="center"/>
    </xf>
    <xf numFmtId="6" fontId="3" fillId="0" borderId="75" xfId="16" applyNumberFormat="1" applyBorder="1" applyAlignment="1">
      <alignment horizontal="center" vertical="center"/>
    </xf>
    <xf numFmtId="0" fontId="3" fillId="0" borderId="76" xfId="16" applyBorder="1" applyAlignment="1">
      <alignment horizontal="center" vertical="center"/>
    </xf>
    <xf numFmtId="49" fontId="3" fillId="0" borderId="0" xfId="16" applyNumberFormat="1" applyAlignment="1">
      <alignment horizontal="center" vertical="center"/>
    </xf>
    <xf numFmtId="43" fontId="0" fillId="0" borderId="0" xfId="17" applyFont="1" applyFill="1" applyBorder="1" applyAlignment="1">
      <alignment horizontal="center" vertical="center"/>
    </xf>
    <xf numFmtId="44" fontId="0" fillId="0" borderId="0" xfId="18" applyFont="1" applyFill="1" applyAlignment="1">
      <alignment horizontal="center" vertical="center"/>
    </xf>
    <xf numFmtId="44" fontId="0" fillId="0" borderId="0" xfId="18" applyFont="1" applyFill="1" applyBorder="1" applyAlignment="1">
      <alignment horizontal="center"/>
    </xf>
    <xf numFmtId="6" fontId="3" fillId="0" borderId="0" xfId="16" applyNumberFormat="1" applyAlignment="1">
      <alignment horizontal="center" vertical="center"/>
    </xf>
    <xf numFmtId="43" fontId="0" fillId="0" borderId="0" xfId="17" applyFont="1" applyBorder="1" applyAlignment="1">
      <alignment horizontal="center" vertical="center"/>
    </xf>
    <xf numFmtId="44" fontId="0" fillId="0" borderId="0" xfId="18" applyFont="1" applyBorder="1" applyAlignment="1">
      <alignment horizontal="center"/>
    </xf>
    <xf numFmtId="16" fontId="3" fillId="0" borderId="0" xfId="16" applyNumberFormat="1" applyAlignment="1">
      <alignment horizontal="center"/>
    </xf>
    <xf numFmtId="0" fontId="3" fillId="0" borderId="8" xfId="16" applyBorder="1" applyAlignment="1">
      <alignment horizontal="center"/>
    </xf>
    <xf numFmtId="0" fontId="3" fillId="0" borderId="9" xfId="16" applyBorder="1" applyAlignment="1">
      <alignment horizontal="center"/>
    </xf>
    <xf numFmtId="0" fontId="3" fillId="0" borderId="35" xfId="16" applyBorder="1" applyAlignment="1">
      <alignment horizontal="center"/>
    </xf>
    <xf numFmtId="0" fontId="3" fillId="0" borderId="9" xfId="16" applyBorder="1" applyAlignment="1">
      <alignment horizontal="center" vertical="center"/>
    </xf>
    <xf numFmtId="0" fontId="3" fillId="0" borderId="31" xfId="16" applyBorder="1" applyAlignment="1">
      <alignment horizontal="center"/>
    </xf>
    <xf numFmtId="0" fontId="37" fillId="21" borderId="6" xfId="16" applyFont="1" applyFill="1" applyBorder="1" applyAlignment="1">
      <alignment horizontal="center" vertical="center"/>
    </xf>
    <xf numFmtId="0" fontId="37" fillId="21" borderId="0" xfId="16" applyFont="1" applyFill="1" applyAlignment="1">
      <alignment horizontal="center" vertical="center"/>
    </xf>
    <xf numFmtId="0" fontId="37" fillId="21" borderId="29" xfId="16" applyFont="1" applyFill="1" applyBorder="1" applyAlignment="1">
      <alignment horizontal="center" vertical="center"/>
    </xf>
    <xf numFmtId="0" fontId="3" fillId="0" borderId="6" xfId="16" applyBorder="1" applyAlignment="1">
      <alignment horizontal="center" vertical="center"/>
    </xf>
    <xf numFmtId="0" fontId="33" fillId="0" borderId="49" xfId="16" applyFont="1" applyBorder="1" applyAlignment="1">
      <alignment horizontal="center"/>
    </xf>
    <xf numFmtId="0" fontId="33" fillId="0" borderId="13" xfId="16" applyFont="1" applyBorder="1" applyAlignment="1">
      <alignment horizontal="center"/>
    </xf>
    <xf numFmtId="0" fontId="33" fillId="0" borderId="44" xfId="16" applyFont="1" applyBorder="1" applyAlignment="1">
      <alignment horizontal="center"/>
    </xf>
    <xf numFmtId="0" fontId="33" fillId="0" borderId="44" xfId="16" applyFont="1" applyBorder="1" applyAlignment="1">
      <alignment horizontal="center" vertical="center"/>
    </xf>
    <xf numFmtId="0" fontId="3" fillId="29" borderId="0" xfId="16" applyFill="1" applyAlignment="1">
      <alignment horizontal="center" vertical="center"/>
    </xf>
    <xf numFmtId="0" fontId="3" fillId="29" borderId="29" xfId="16" applyFill="1" applyBorder="1" applyAlignment="1">
      <alignment horizontal="center"/>
    </xf>
    <xf numFmtId="0" fontId="33" fillId="0" borderId="50" xfId="16" applyFont="1" applyBorder="1" applyAlignment="1">
      <alignment horizontal="center"/>
    </xf>
    <xf numFmtId="0" fontId="3" fillId="0" borderId="13" xfId="16" applyBorder="1" applyAlignment="1">
      <alignment horizontal="center"/>
    </xf>
    <xf numFmtId="0" fontId="3" fillId="40" borderId="13" xfId="16" applyFill="1" applyBorder="1" applyAlignment="1">
      <alignment horizontal="center"/>
    </xf>
    <xf numFmtId="169" fontId="3" fillId="0" borderId="0" xfId="16" applyNumberFormat="1" applyAlignment="1">
      <alignment horizontal="center" vertical="center"/>
    </xf>
    <xf numFmtId="169" fontId="0" fillId="0" borderId="0" xfId="18" applyNumberFormat="1" applyFont="1" applyAlignment="1">
      <alignment horizontal="center" vertical="center"/>
    </xf>
    <xf numFmtId="169" fontId="3" fillId="0" borderId="29" xfId="16" applyNumberFormat="1" applyBorder="1" applyAlignment="1">
      <alignment horizontal="center" vertical="center"/>
    </xf>
    <xf numFmtId="0" fontId="33" fillId="0" borderId="51" xfId="16" applyFont="1" applyBorder="1" applyAlignment="1">
      <alignment horizontal="center"/>
    </xf>
    <xf numFmtId="0" fontId="3" fillId="0" borderId="52" xfId="16" applyBorder="1" applyAlignment="1">
      <alignment horizontal="center"/>
    </xf>
    <xf numFmtId="44" fontId="0" fillId="0" borderId="0" xfId="18" applyFont="1" applyBorder="1"/>
    <xf numFmtId="0" fontId="3" fillId="0" borderId="52" xfId="16" applyBorder="1" applyAlignment="1">
      <alignment horizontal="center" vertical="center"/>
    </xf>
    <xf numFmtId="0" fontId="33" fillId="21" borderId="10" xfId="16" applyFont="1" applyFill="1" applyBorder="1" applyAlignment="1">
      <alignment horizontal="center"/>
    </xf>
    <xf numFmtId="169" fontId="33" fillId="21" borderId="11" xfId="16" applyNumberFormat="1" applyFont="1" applyFill="1" applyBorder="1" applyAlignment="1">
      <alignment horizontal="center"/>
    </xf>
    <xf numFmtId="0" fontId="33" fillId="0" borderId="13" xfId="16" applyFont="1" applyBorder="1" applyAlignment="1">
      <alignment horizontal="center" vertical="center"/>
    </xf>
    <xf numFmtId="0" fontId="3" fillId="0" borderId="10" xfId="16" applyBorder="1" applyAlignment="1">
      <alignment horizontal="center" vertical="center"/>
    </xf>
    <xf numFmtId="169" fontId="3" fillId="0" borderId="1" xfId="16" applyNumberFormat="1" applyBorder="1" applyAlignment="1">
      <alignment horizontal="center" vertical="center"/>
    </xf>
    <xf numFmtId="0" fontId="3" fillId="0" borderId="1" xfId="16" applyBorder="1" applyAlignment="1">
      <alignment horizontal="center" vertical="center"/>
    </xf>
    <xf numFmtId="0" fontId="33" fillId="0" borderId="1" xfId="16" applyFont="1" applyBorder="1" applyAlignment="1">
      <alignment horizontal="center" vertical="center"/>
    </xf>
    <xf numFmtId="169" fontId="3" fillId="0" borderId="36" xfId="16" applyNumberFormat="1" applyBorder="1" applyAlignment="1">
      <alignment horizontal="center" vertical="center"/>
    </xf>
    <xf numFmtId="1" fontId="3" fillId="0" borderId="13" xfId="16" applyNumberFormat="1" applyBorder="1" applyAlignment="1">
      <alignment horizontal="center"/>
    </xf>
    <xf numFmtId="0" fontId="33" fillId="0" borderId="45" xfId="16" applyFont="1" applyBorder="1" applyAlignment="1">
      <alignment horizontal="center"/>
    </xf>
    <xf numFmtId="169" fontId="33" fillId="26" borderId="11" xfId="16" applyNumberFormat="1" applyFont="1" applyFill="1" applyBorder="1" applyAlignment="1">
      <alignment horizontal="center"/>
    </xf>
    <xf numFmtId="169" fontId="33" fillId="21" borderId="9" xfId="16" applyNumberFormat="1" applyFont="1" applyFill="1" applyBorder="1" applyAlignment="1">
      <alignment horizontal="center"/>
    </xf>
    <xf numFmtId="0" fontId="3" fillId="40" borderId="13" xfId="16" applyFill="1" applyBorder="1" applyAlignment="1">
      <alignment horizontal="center" vertical="center"/>
    </xf>
    <xf numFmtId="0" fontId="33" fillId="19" borderId="10" xfId="16" applyFont="1" applyFill="1" applyBorder="1" applyAlignment="1">
      <alignment horizontal="center"/>
    </xf>
    <xf numFmtId="0" fontId="33" fillId="19" borderId="11" xfId="16" applyFont="1" applyFill="1" applyBorder="1" applyAlignment="1">
      <alignment horizontal="center"/>
    </xf>
    <xf numFmtId="44" fontId="33" fillId="19" borderId="11" xfId="16" applyNumberFormat="1" applyFont="1" applyFill="1" applyBorder="1" applyAlignment="1">
      <alignment horizontal="center"/>
    </xf>
    <xf numFmtId="169" fontId="33" fillId="19" borderId="11" xfId="16" applyNumberFormat="1" applyFont="1" applyFill="1" applyBorder="1" applyAlignment="1">
      <alignment horizontal="center"/>
    </xf>
    <xf numFmtId="44" fontId="3" fillId="19" borderId="31" xfId="16" applyNumberFormat="1" applyFill="1" applyBorder="1" applyAlignment="1">
      <alignment horizontal="center"/>
    </xf>
    <xf numFmtId="0" fontId="33" fillId="0" borderId="0" xfId="16" applyFont="1" applyAlignment="1">
      <alignment horizontal="center"/>
    </xf>
    <xf numFmtId="0" fontId="33" fillId="29" borderId="49" xfId="16" applyFont="1" applyFill="1" applyBorder="1" applyAlignment="1">
      <alignment horizontal="center"/>
    </xf>
    <xf numFmtId="0" fontId="33" fillId="40" borderId="44" xfId="16" applyFont="1" applyFill="1" applyBorder="1" applyAlignment="1">
      <alignment horizontal="center" vertical="center"/>
    </xf>
    <xf numFmtId="0" fontId="33" fillId="29" borderId="44" xfId="16" applyFont="1" applyFill="1" applyBorder="1" applyAlignment="1">
      <alignment horizontal="center" vertical="center"/>
    </xf>
    <xf numFmtId="0" fontId="33" fillId="27" borderId="5" xfId="16" applyFont="1" applyFill="1" applyBorder="1" applyAlignment="1">
      <alignment horizontal="center" vertical="center"/>
    </xf>
    <xf numFmtId="0" fontId="33" fillId="27" borderId="34" xfId="16" applyFont="1" applyFill="1" applyBorder="1" applyAlignment="1">
      <alignment horizontal="center"/>
    </xf>
    <xf numFmtId="0" fontId="33" fillId="27" borderId="28" xfId="16" applyFont="1" applyFill="1" applyBorder="1" applyAlignment="1">
      <alignment horizontal="center"/>
    </xf>
    <xf numFmtId="0" fontId="33" fillId="40" borderId="49" xfId="16" applyFont="1" applyFill="1" applyBorder="1" applyAlignment="1">
      <alignment horizontal="center"/>
    </xf>
    <xf numFmtId="169" fontId="3" fillId="0" borderId="0" xfId="16" applyNumberFormat="1" applyAlignment="1">
      <alignment horizontal="center"/>
    </xf>
    <xf numFmtId="169" fontId="33" fillId="0" borderId="6" xfId="16" applyNumberFormat="1" applyFont="1" applyBorder="1" applyAlignment="1">
      <alignment horizontal="center" vertical="center"/>
    </xf>
    <xf numFmtId="169" fontId="3" fillId="40" borderId="7" xfId="16" applyNumberFormat="1" applyFill="1" applyBorder="1" applyAlignment="1">
      <alignment horizontal="center" vertical="center"/>
    </xf>
    <xf numFmtId="169" fontId="3" fillId="0" borderId="7" xfId="16" applyNumberFormat="1" applyBorder="1" applyAlignment="1">
      <alignment horizontal="center" vertical="center"/>
    </xf>
    <xf numFmtId="169" fontId="3" fillId="0" borderId="52" xfId="16" applyNumberFormat="1" applyBorder="1" applyAlignment="1">
      <alignment horizontal="center"/>
    </xf>
    <xf numFmtId="3" fontId="3" fillId="0" borderId="7" xfId="16" applyNumberFormat="1" applyBorder="1" applyAlignment="1">
      <alignment horizontal="center" vertical="center"/>
    </xf>
    <xf numFmtId="0" fontId="34" fillId="0" borderId="13" xfId="16" applyFont="1" applyBorder="1" applyAlignment="1">
      <alignment horizontal="center"/>
    </xf>
    <xf numFmtId="164" fontId="3" fillId="0" borderId="52" xfId="16" applyNumberFormat="1" applyBorder="1" applyAlignment="1">
      <alignment horizontal="center"/>
    </xf>
    <xf numFmtId="164" fontId="3" fillId="0" borderId="52" xfId="16" applyNumberFormat="1" applyBorder="1" applyAlignment="1">
      <alignment horizontal="center" vertical="center"/>
    </xf>
    <xf numFmtId="169" fontId="3" fillId="0" borderId="52" xfId="16" applyNumberFormat="1" applyBorder="1" applyAlignment="1">
      <alignment horizontal="center" vertical="center"/>
    </xf>
    <xf numFmtId="0" fontId="33" fillId="0" borderId="8" xfId="16" applyFont="1" applyBorder="1" applyAlignment="1">
      <alignment horizontal="center" vertical="center"/>
    </xf>
    <xf numFmtId="0" fontId="3" fillId="0" borderId="45" xfId="16" applyBorder="1" applyAlignment="1">
      <alignment horizontal="center"/>
    </xf>
    <xf numFmtId="169" fontId="3" fillId="0" borderId="45" xfId="16" applyNumberFormat="1" applyBorder="1" applyAlignment="1">
      <alignment horizontal="center"/>
    </xf>
    <xf numFmtId="169" fontId="38" fillId="28" borderId="11" xfId="16" applyNumberFormat="1" applyFont="1" applyFill="1" applyBorder="1" applyAlignment="1">
      <alignment horizontal="center" vertical="center"/>
    </xf>
    <xf numFmtId="0" fontId="33" fillId="40" borderId="28" xfId="16" applyFont="1" applyFill="1" applyBorder="1" applyAlignment="1">
      <alignment horizontal="center"/>
    </xf>
    <xf numFmtId="0" fontId="33" fillId="0" borderId="52" xfId="16" applyFont="1" applyBorder="1" applyAlignment="1">
      <alignment horizontal="center" vertical="center"/>
    </xf>
    <xf numFmtId="0" fontId="33" fillId="0" borderId="45" xfId="16" applyFont="1" applyBorder="1" applyAlignment="1">
      <alignment horizontal="center" vertical="center"/>
    </xf>
    <xf numFmtId="169" fontId="3" fillId="0" borderId="45" xfId="16" applyNumberFormat="1" applyBorder="1" applyAlignment="1">
      <alignment horizontal="center" vertical="center"/>
    </xf>
    <xf numFmtId="4" fontId="3" fillId="0" borderId="7" xfId="16" applyNumberFormat="1" applyBorder="1" applyAlignment="1">
      <alignment horizontal="center" vertical="center"/>
    </xf>
    <xf numFmtId="0" fontId="0" fillId="0" borderId="15" xfId="0" applyBorder="1"/>
    <xf numFmtId="0" fontId="0" fillId="44" borderId="15" xfId="0" applyFill="1" applyBorder="1"/>
    <xf numFmtId="44" fontId="0" fillId="44" borderId="15" xfId="1" applyFont="1" applyFill="1" applyBorder="1"/>
    <xf numFmtId="1" fontId="0" fillId="0" borderId="0" xfId="0" applyNumberFormat="1" applyAlignment="1">
      <alignment horizontal="center"/>
    </xf>
    <xf numFmtId="0" fontId="10" fillId="0" borderId="0" xfId="0" applyFont="1"/>
    <xf numFmtId="164" fontId="0" fillId="0" borderId="91" xfId="0" applyNumberFormat="1" applyBorder="1"/>
    <xf numFmtId="0" fontId="10" fillId="0" borderId="92" xfId="0" applyFont="1" applyBorder="1" applyAlignment="1">
      <alignment horizontal="right"/>
    </xf>
    <xf numFmtId="164" fontId="9" fillId="2" borderId="92" xfId="0" applyNumberFormat="1" applyFont="1" applyFill="1" applyBorder="1"/>
    <xf numFmtId="164" fontId="0" fillId="0" borderId="93" xfId="0" applyNumberFormat="1" applyBorder="1"/>
    <xf numFmtId="0" fontId="50" fillId="0" borderId="94" xfId="0" applyFont="1" applyBorder="1" applyAlignment="1">
      <alignment horizontal="right"/>
    </xf>
    <xf numFmtId="44" fontId="0" fillId="0" borderId="15" xfId="1" applyFont="1" applyBorder="1"/>
    <xf numFmtId="164" fontId="51" fillId="0" borderId="6" xfId="0" applyNumberFormat="1" applyFont="1" applyBorder="1" applyAlignment="1">
      <alignment horizontal="center"/>
    </xf>
    <xf numFmtId="0" fontId="32" fillId="30" borderId="0" xfId="0" applyFont="1" applyFill="1" applyAlignment="1">
      <alignment horizontal="center"/>
    </xf>
    <xf numFmtId="0" fontId="32" fillId="30" borderId="0" xfId="19" applyNumberFormat="1" applyFont="1" applyFill="1" applyAlignment="1" applyProtection="1">
      <alignment horizontal="center"/>
    </xf>
    <xf numFmtId="0" fontId="52" fillId="30" borderId="0" xfId="19" applyNumberFormat="1" applyFont="1" applyFill="1" applyAlignment="1" applyProtection="1">
      <alignment horizont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0" xfId="19" applyNumberFormat="1" applyFont="1" applyAlignment="1" applyProtection="1">
      <alignment horizontal="center"/>
    </xf>
    <xf numFmtId="169" fontId="53" fillId="0" borderId="0" xfId="19" applyNumberFormat="1" applyFont="1" applyAlignment="1" applyProtection="1">
      <alignment horizontal="center"/>
    </xf>
    <xf numFmtId="0" fontId="33" fillId="19" borderId="0" xfId="0" applyFont="1" applyFill="1" applyAlignment="1">
      <alignment horizontal="right"/>
    </xf>
    <xf numFmtId="0" fontId="33" fillId="19" borderId="0" xfId="0" applyFont="1" applyFill="1" applyAlignment="1">
      <alignment horizontal="center"/>
    </xf>
    <xf numFmtId="0" fontId="33" fillId="19" borderId="0" xfId="19" applyNumberFormat="1" applyFont="1" applyFill="1" applyAlignment="1" applyProtection="1">
      <alignment horizontal="center"/>
    </xf>
    <xf numFmtId="0" fontId="54" fillId="19" borderId="0" xfId="0" applyFont="1" applyFill="1" applyAlignment="1">
      <alignment horizontal="center"/>
    </xf>
    <xf numFmtId="169" fontId="0" fillId="19" borderId="0" xfId="0" applyNumberFormat="1" applyFill="1" applyAlignment="1">
      <alignment horizontal="center"/>
    </xf>
    <xf numFmtId="164" fontId="49" fillId="11" borderId="2" xfId="0" applyNumberFormat="1" applyFont="1" applyFill="1" applyBorder="1"/>
    <xf numFmtId="0" fontId="55" fillId="0" borderId="6" xfId="0" applyFont="1" applyBorder="1" applyAlignment="1">
      <alignment horizontal="right"/>
    </xf>
    <xf numFmtId="1" fontId="18" fillId="0" borderId="0" xfId="0" applyNumberFormat="1" applyFont="1" applyAlignment="1">
      <alignment horizontal="center" wrapText="1"/>
    </xf>
    <xf numFmtId="170" fontId="44" fillId="0" borderId="0" xfId="0" applyNumberFormat="1" applyFont="1" applyAlignment="1">
      <alignment horizontal="center" wrapText="1"/>
    </xf>
    <xf numFmtId="171" fontId="12" fillId="0" borderId="0" xfId="0" applyNumberFormat="1" applyFont="1" applyAlignment="1">
      <alignment horizontal="center" wrapText="1"/>
    </xf>
    <xf numFmtId="164" fontId="16" fillId="0" borderId="0" xfId="0" applyNumberFormat="1" applyFont="1" applyAlignment="1">
      <alignment horizontal="center" wrapText="1"/>
    </xf>
    <xf numFmtId="1" fontId="59" fillId="0" borderId="0" xfId="0" applyNumberFormat="1" applyFont="1" applyAlignment="1">
      <alignment horizontal="center" wrapText="1"/>
    </xf>
    <xf numFmtId="0" fontId="2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10" fillId="4" borderId="15" xfId="0" applyFont="1" applyFill="1" applyBorder="1" applyAlignment="1">
      <alignment horizontal="center"/>
    </xf>
    <xf numFmtId="0" fontId="56" fillId="45" borderId="15" xfId="0" applyFont="1" applyFill="1" applyBorder="1" applyAlignment="1">
      <alignment horizontal="center"/>
    </xf>
    <xf numFmtId="0" fontId="57" fillId="45" borderId="15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58" fillId="0" borderId="15" xfId="0" applyFont="1" applyBorder="1" applyAlignment="1">
      <alignment horizontal="center"/>
    </xf>
    <xf numFmtId="0" fontId="61" fillId="46" borderId="0" xfId="20" applyFont="1" applyFill="1"/>
    <xf numFmtId="0" fontId="62" fillId="0" borderId="0" xfId="20" applyFont="1"/>
    <xf numFmtId="0" fontId="62" fillId="46" borderId="0" xfId="20" applyFont="1" applyFill="1" applyAlignment="1">
      <alignment horizontal="left"/>
    </xf>
    <xf numFmtId="0" fontId="23" fillId="0" borderId="0" xfId="20" applyFont="1"/>
    <xf numFmtId="0" fontId="60" fillId="0" borderId="0" xfId="20" applyAlignment="1">
      <alignment wrapText="1"/>
    </xf>
    <xf numFmtId="0" fontId="62" fillId="46" borderId="96" xfId="20" applyFont="1" applyFill="1" applyBorder="1" applyAlignment="1">
      <alignment horizontal="left"/>
    </xf>
    <xf numFmtId="0" fontId="62" fillId="46" borderId="96" xfId="20" applyFont="1" applyFill="1" applyBorder="1"/>
    <xf numFmtId="0" fontId="62" fillId="46" borderId="0" xfId="20" applyFont="1" applyFill="1"/>
    <xf numFmtId="0" fontId="62" fillId="46" borderId="100" xfId="20" applyFont="1" applyFill="1" applyBorder="1" applyAlignment="1">
      <alignment horizontal="left"/>
    </xf>
    <xf numFmtId="0" fontId="62" fillId="46" borderId="0" xfId="20" applyFont="1" applyFill="1" applyAlignment="1">
      <alignment horizontal="right"/>
    </xf>
    <xf numFmtId="44" fontId="64" fillId="48" borderId="95" xfId="20" applyNumberFormat="1" applyFont="1" applyFill="1" applyBorder="1" applyAlignment="1">
      <alignment horizontal="right"/>
    </xf>
    <xf numFmtId="44" fontId="65" fillId="49" borderId="95" xfId="20" applyNumberFormat="1" applyFont="1" applyFill="1" applyBorder="1" applyAlignment="1">
      <alignment horizontal="right"/>
    </xf>
    <xf numFmtId="172" fontId="64" fillId="48" borderId="95" xfId="20" applyNumberFormat="1" applyFont="1" applyFill="1" applyBorder="1" applyAlignment="1">
      <alignment horizontal="right"/>
    </xf>
    <xf numFmtId="173" fontId="65" fillId="49" borderId="95" xfId="20" applyNumberFormat="1" applyFont="1" applyFill="1" applyBorder="1" applyAlignment="1">
      <alignment horizontal="right"/>
    </xf>
    <xf numFmtId="173" fontId="64" fillId="48" borderId="95" xfId="20" applyNumberFormat="1" applyFont="1" applyFill="1" applyBorder="1" applyAlignment="1">
      <alignment horizontal="right"/>
    </xf>
    <xf numFmtId="14" fontId="64" fillId="48" borderId="95" xfId="20" applyNumberFormat="1" applyFont="1" applyFill="1" applyBorder="1" applyAlignment="1">
      <alignment horizontal="right"/>
    </xf>
    <xf numFmtId="0" fontId="62" fillId="46" borderId="101" xfId="20" applyFont="1" applyFill="1" applyBorder="1" applyAlignment="1">
      <alignment horizontal="left"/>
    </xf>
    <xf numFmtId="0" fontId="62" fillId="46" borderId="96" xfId="20" applyFont="1" applyFill="1" applyBorder="1" applyAlignment="1">
      <alignment horizontal="right"/>
    </xf>
    <xf numFmtId="0" fontId="63" fillId="46" borderId="0" xfId="20" applyFont="1" applyFill="1" applyAlignment="1">
      <alignment horizontal="right"/>
    </xf>
    <xf numFmtId="0" fontId="62" fillId="46" borderId="104" xfId="20" applyFont="1" applyFill="1" applyBorder="1" applyAlignment="1">
      <alignment horizontal="left"/>
    </xf>
    <xf numFmtId="0" fontId="16" fillId="47" borderId="0" xfId="20" applyFont="1" applyFill="1" applyAlignment="1">
      <alignment horizontal="left"/>
    </xf>
    <xf numFmtId="0" fontId="16" fillId="47" borderId="0" xfId="20" applyFont="1" applyFill="1"/>
    <xf numFmtId="0" fontId="63" fillId="47" borderId="105" xfId="20" applyFont="1" applyFill="1" applyBorder="1" applyAlignment="1">
      <alignment horizontal="center" vertical="center" wrapText="1"/>
    </xf>
    <xf numFmtId="0" fontId="63" fillId="47" borderId="106" xfId="20" applyFont="1" applyFill="1" applyBorder="1" applyAlignment="1">
      <alignment horizontal="center" vertical="center" wrapText="1"/>
    </xf>
    <xf numFmtId="0" fontId="63" fillId="47" borderId="107" xfId="20" applyFont="1" applyFill="1" applyBorder="1" applyAlignment="1">
      <alignment horizontal="center" vertical="center" wrapText="1"/>
    </xf>
    <xf numFmtId="0" fontId="16" fillId="47" borderId="96" xfId="20" applyFont="1" applyFill="1" applyBorder="1" applyAlignment="1">
      <alignment horizontal="left"/>
    </xf>
    <xf numFmtId="0" fontId="16" fillId="47" borderId="96" xfId="20" applyFont="1" applyFill="1" applyBorder="1" applyAlignment="1">
      <alignment horizontal="left" wrapText="1"/>
    </xf>
    <xf numFmtId="0" fontId="66" fillId="46" borderId="0" xfId="20" applyFont="1" applyFill="1" applyAlignment="1">
      <alignment horizontal="left"/>
    </xf>
    <xf numFmtId="14" fontId="66" fillId="46" borderId="0" xfId="20" applyNumberFormat="1" applyFont="1" applyFill="1" applyAlignment="1">
      <alignment horizontal="right"/>
    </xf>
    <xf numFmtId="44" fontId="66" fillId="46" borderId="0" xfId="20" applyNumberFormat="1" applyFont="1" applyFill="1" applyAlignment="1">
      <alignment horizontal="right"/>
    </xf>
    <xf numFmtId="169" fontId="17" fillId="0" borderId="0" xfId="20" applyNumberFormat="1" applyFont="1" applyAlignment="1">
      <alignment horizontal="center"/>
    </xf>
    <xf numFmtId="169" fontId="23" fillId="0" borderId="0" xfId="20" applyNumberFormat="1" applyFont="1"/>
    <xf numFmtId="169" fontId="17" fillId="50" borderId="0" xfId="20" applyNumberFormat="1" applyFont="1" applyFill="1" applyAlignment="1">
      <alignment horizontal="center"/>
    </xf>
    <xf numFmtId="0" fontId="16" fillId="0" borderId="0" xfId="20" applyFont="1" applyAlignment="1">
      <alignment horizontal="center"/>
    </xf>
    <xf numFmtId="169" fontId="16" fillId="0" borderId="0" xfId="20" applyNumberFormat="1" applyFont="1" applyAlignment="1">
      <alignment horizontal="center"/>
    </xf>
    <xf numFmtId="0" fontId="17" fillId="0" borderId="0" xfId="20" applyFont="1" applyAlignment="1">
      <alignment horizontal="center"/>
    </xf>
    <xf numFmtId="0" fontId="16" fillId="51" borderId="0" xfId="20" applyFont="1" applyFill="1" applyAlignment="1">
      <alignment horizontal="center"/>
    </xf>
    <xf numFmtId="44" fontId="16" fillId="51" borderId="0" xfId="20" applyNumberFormat="1" applyFont="1" applyFill="1" applyAlignment="1">
      <alignment horizontal="center"/>
    </xf>
    <xf numFmtId="44" fontId="16" fillId="0" borderId="0" xfId="20" applyNumberFormat="1" applyFont="1" applyAlignment="1">
      <alignment horizontal="center"/>
    </xf>
    <xf numFmtId="0" fontId="2" fillId="0" borderId="0" xfId="6" applyFont="1" applyAlignment="1">
      <alignment vertical="center"/>
    </xf>
    <xf numFmtId="0" fontId="2" fillId="0" borderId="0" xfId="6" applyFont="1"/>
    <xf numFmtId="0" fontId="70" fillId="58" borderId="112" xfId="0" applyFont="1" applyFill="1" applyBorder="1" applyAlignment="1">
      <alignment horizontal="left" wrapText="1"/>
    </xf>
    <xf numFmtId="0" fontId="71" fillId="58" borderId="112" xfId="0" applyFont="1" applyFill="1" applyBorder="1" applyAlignment="1">
      <alignment horizontal="left" wrapText="1"/>
    </xf>
    <xf numFmtId="0" fontId="71" fillId="0" borderId="112" xfId="0" applyFont="1" applyBorder="1" applyAlignment="1">
      <alignment horizontal="center" vertical="center" wrapText="1"/>
    </xf>
    <xf numFmtId="0" fontId="72" fillId="53" borderId="113" xfId="0" applyFont="1" applyFill="1" applyBorder="1" applyAlignment="1">
      <alignment horizontal="center" wrapText="1"/>
    </xf>
    <xf numFmtId="0" fontId="73" fillId="56" borderId="115" xfId="0" applyFont="1" applyFill="1" applyBorder="1" applyAlignment="1">
      <alignment wrapText="1"/>
    </xf>
    <xf numFmtId="0" fontId="68" fillId="0" borderId="115" xfId="0" applyFont="1" applyBorder="1" applyAlignment="1">
      <alignment horizontal="left" wrapText="1"/>
    </xf>
    <xf numFmtId="0" fontId="69" fillId="17" borderId="117" xfId="0" applyFont="1" applyFill="1" applyBorder="1" applyAlignment="1">
      <alignment horizontal="left"/>
    </xf>
    <xf numFmtId="0" fontId="16" fillId="0" borderId="25" xfId="0" applyFont="1" applyBorder="1" applyAlignment="1">
      <alignment horizontal="center" wrapText="1"/>
    </xf>
    <xf numFmtId="167" fontId="16" fillId="0" borderId="25" xfId="0" applyNumberFormat="1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167" fontId="16" fillId="0" borderId="16" xfId="0" applyNumberFormat="1" applyFont="1" applyBorder="1" applyAlignment="1">
      <alignment horizontal="center" wrapText="1"/>
    </xf>
    <xf numFmtId="0" fontId="74" fillId="53" borderId="114" xfId="0" applyFont="1" applyFill="1" applyBorder="1" applyAlignment="1">
      <alignment horizontal="center" vertical="center" wrapText="1"/>
    </xf>
    <xf numFmtId="169" fontId="75" fillId="56" borderId="116" xfId="0" applyNumberFormat="1" applyFont="1" applyFill="1" applyBorder="1" applyAlignment="1">
      <alignment horizontal="center" vertical="center" wrapText="1"/>
    </xf>
    <xf numFmtId="169" fontId="6" fillId="0" borderId="116" xfId="0" applyNumberFormat="1" applyFont="1" applyBorder="1" applyAlignment="1">
      <alignment horizontal="center" vertical="center" wrapText="1"/>
    </xf>
    <xf numFmtId="169" fontId="6" fillId="17" borderId="118" xfId="0" applyNumberFormat="1" applyFont="1" applyFill="1" applyBorder="1" applyAlignment="1">
      <alignment horizontal="center" vertical="center"/>
    </xf>
    <xf numFmtId="0" fontId="6" fillId="59" borderId="115" xfId="0" applyFont="1" applyFill="1" applyBorder="1" applyAlignment="1">
      <alignment horizontal="left" wrapText="1"/>
    </xf>
    <xf numFmtId="169" fontId="6" fillId="59" borderId="116" xfId="0" applyNumberFormat="1" applyFont="1" applyFill="1" applyBorder="1" applyAlignment="1">
      <alignment horizontal="center"/>
    </xf>
    <xf numFmtId="0" fontId="11" fillId="54" borderId="111" xfId="0" applyFont="1" applyFill="1" applyBorder="1" applyAlignment="1">
      <alignment horizontal="center" wrapText="1"/>
    </xf>
    <xf numFmtId="169" fontId="11" fillId="54" borderId="111" xfId="0" applyNumberFormat="1" applyFont="1" applyFill="1" applyBorder="1" applyAlignment="1">
      <alignment horizontal="center" wrapText="1"/>
    </xf>
    <xf numFmtId="0" fontId="11" fillId="55" borderId="111" xfId="0" applyFont="1" applyFill="1" applyBorder="1" applyAlignment="1">
      <alignment horizontal="center" wrapText="1"/>
    </xf>
    <xf numFmtId="169" fontId="11" fillId="55" borderId="111" xfId="0" applyNumberFormat="1" applyFont="1" applyFill="1" applyBorder="1" applyAlignment="1">
      <alignment horizontal="center" wrapText="1"/>
    </xf>
    <xf numFmtId="0" fontId="6" fillId="57" borderId="111" xfId="0" applyFont="1" applyFill="1" applyBorder="1" applyAlignment="1">
      <alignment horizontal="center" wrapText="1"/>
    </xf>
    <xf numFmtId="169" fontId="6" fillId="57" borderId="111" xfId="0" applyNumberFormat="1" applyFont="1" applyFill="1" applyBorder="1" applyAlignment="1">
      <alignment horizontal="center" wrapText="1"/>
    </xf>
    <xf numFmtId="1" fontId="76" fillId="0" borderId="2" xfId="0" applyNumberFormat="1" applyFont="1" applyBorder="1" applyAlignment="1">
      <alignment horizontal="center"/>
    </xf>
    <xf numFmtId="0" fontId="20" fillId="12" borderId="2" xfId="0" applyFont="1" applyFill="1" applyBorder="1"/>
    <xf numFmtId="1" fontId="0" fillId="0" borderId="15" xfId="0" applyNumberFormat="1" applyBorder="1" applyAlignment="1">
      <alignment horizontal="center"/>
    </xf>
    <xf numFmtId="169" fontId="0" fillId="0" borderId="15" xfId="0" applyNumberFormat="1" applyBorder="1"/>
    <xf numFmtId="1" fontId="76" fillId="0" borderId="15" xfId="0" applyNumberFormat="1" applyFont="1" applyBorder="1" applyAlignment="1">
      <alignment horizontal="center"/>
    </xf>
    <xf numFmtId="164" fontId="77" fillId="0" borderId="6" xfId="0" applyNumberFormat="1" applyFont="1" applyBorder="1" applyAlignment="1">
      <alignment horizontal="center"/>
    </xf>
    <xf numFmtId="169" fontId="0" fillId="60" borderId="15" xfId="0" applyNumberFormat="1" applyFill="1" applyBorder="1"/>
    <xf numFmtId="0" fontId="1" fillId="0" borderId="0" xfId="6" applyFont="1" applyAlignment="1">
      <alignment horizontal="left"/>
    </xf>
    <xf numFmtId="0" fontId="17" fillId="0" borderId="15" xfId="0" applyFont="1" applyBorder="1" applyAlignment="1">
      <alignment horizontal="center" wrapText="1"/>
    </xf>
    <xf numFmtId="0" fontId="70" fillId="61" borderId="112" xfId="0" applyFont="1" applyFill="1" applyBorder="1" applyAlignment="1">
      <alignment horizontal="center" vertical="center" wrapText="1"/>
    </xf>
    <xf numFmtId="0" fontId="67" fillId="52" borderId="1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6" borderId="3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left" vertical="top" wrapText="1"/>
    </xf>
    <xf numFmtId="0" fontId="0" fillId="0" borderId="15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0" fontId="0" fillId="0" borderId="19" xfId="0" applyBorder="1" applyAlignment="1">
      <alignment horizontal="center"/>
    </xf>
    <xf numFmtId="0" fontId="10" fillId="11" borderId="2" xfId="0" applyFont="1" applyFill="1" applyBorder="1" applyAlignment="1">
      <alignment horizontal="right"/>
    </xf>
    <xf numFmtId="0" fontId="9" fillId="2" borderId="2" xfId="0" applyFont="1" applyFill="1" applyBorder="1"/>
    <xf numFmtId="0" fontId="21" fillId="11" borderId="2" xfId="0" applyFont="1" applyFill="1" applyBorder="1" applyAlignment="1">
      <alignment horizontal="right"/>
    </xf>
    <xf numFmtId="0" fontId="19" fillId="0" borderId="2" xfId="0" applyFont="1" applyBorder="1" applyAlignment="1">
      <alignment horizontal="center"/>
    </xf>
    <xf numFmtId="0" fontId="0" fillId="60" borderId="15" xfId="0" applyFill="1" applyBorder="1" applyAlignment="1">
      <alignment horizontal="center"/>
    </xf>
    <xf numFmtId="0" fontId="22" fillId="13" borderId="15" xfId="0" applyFont="1" applyFill="1" applyBorder="1" applyAlignment="1">
      <alignment horizontal="center" vertical="center" wrapText="1"/>
    </xf>
    <xf numFmtId="0" fontId="22" fillId="53" borderId="111" xfId="0" applyFont="1" applyFill="1" applyBorder="1" applyAlignment="1">
      <alignment horizontal="center" wrapText="1"/>
    </xf>
    <xf numFmtId="0" fontId="63" fillId="47" borderId="97" xfId="20" applyFont="1" applyFill="1" applyBorder="1" applyAlignment="1">
      <alignment horizontal="right"/>
    </xf>
    <xf numFmtId="0" fontId="11" fillId="0" borderId="98" xfId="20" applyFont="1" applyBorder="1" applyAlignment="1">
      <alignment wrapText="1"/>
    </xf>
    <xf numFmtId="0" fontId="11" fillId="0" borderId="99" xfId="20" applyFont="1" applyBorder="1" applyAlignment="1">
      <alignment wrapText="1"/>
    </xf>
    <xf numFmtId="0" fontId="62" fillId="46" borderId="102" xfId="20" applyFont="1" applyFill="1" applyBorder="1" applyAlignment="1">
      <alignment horizontal="left"/>
    </xf>
    <xf numFmtId="0" fontId="11" fillId="0" borderId="103" xfId="20" applyFont="1" applyBorder="1" applyAlignment="1">
      <alignment wrapText="1"/>
    </xf>
    <xf numFmtId="0" fontId="16" fillId="0" borderId="22" xfId="0" applyFont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  <xf numFmtId="0" fontId="17" fillId="12" borderId="12" xfId="0" applyFont="1" applyFill="1" applyBorder="1" applyAlignment="1">
      <alignment horizontal="center" wrapText="1"/>
    </xf>
    <xf numFmtId="169" fontId="0" fillId="0" borderId="0" xfId="0" applyNumberFormat="1" applyAlignment="1">
      <alignment horizontal="center"/>
    </xf>
    <xf numFmtId="0" fontId="32" fillId="30" borderId="0" xfId="0" applyFont="1" applyFill="1" applyAlignment="1">
      <alignment horizontal="center"/>
    </xf>
    <xf numFmtId="0" fontId="4" fillId="0" borderId="0" xfId="6" applyAlignment="1">
      <alignment horizontal="center"/>
    </xf>
    <xf numFmtId="0" fontId="4" fillId="0" borderId="0" xfId="6" applyAlignment="1">
      <alignment horizontal="center" wrapText="1"/>
    </xf>
    <xf numFmtId="0" fontId="31" fillId="17" borderId="80" xfId="2" applyBorder="1" applyAlignment="1">
      <alignment horizontal="center" vertical="center" wrapText="1"/>
    </xf>
    <xf numFmtId="0" fontId="31" fillId="17" borderId="81" xfId="2" applyBorder="1" applyAlignment="1">
      <alignment horizontal="center" vertical="center" wrapText="1"/>
    </xf>
    <xf numFmtId="0" fontId="31" fillId="17" borderId="82" xfId="2" applyBorder="1" applyAlignment="1">
      <alignment horizontal="center" vertical="center" wrapText="1"/>
    </xf>
    <xf numFmtId="0" fontId="31" fillId="17" borderId="83" xfId="2" applyBorder="1" applyAlignment="1">
      <alignment horizontal="left" vertical="center" wrapText="1"/>
    </xf>
    <xf numFmtId="0" fontId="31" fillId="17" borderId="79" xfId="2" applyBorder="1" applyAlignment="1">
      <alignment horizontal="left" vertical="center" wrapText="1"/>
    </xf>
    <xf numFmtId="0" fontId="31" fillId="17" borderId="84" xfId="2" applyBorder="1" applyAlignment="1">
      <alignment horizontal="left" vertical="center" wrapText="1"/>
    </xf>
    <xf numFmtId="0" fontId="31" fillId="17" borderId="85" xfId="2" applyBorder="1" applyAlignment="1">
      <alignment horizontal="left" vertical="center" wrapText="1"/>
    </xf>
    <xf numFmtId="0" fontId="31" fillId="17" borderId="0" xfId="2" applyBorder="1" applyAlignment="1">
      <alignment horizontal="left" vertical="center" wrapText="1"/>
    </xf>
    <xf numFmtId="0" fontId="31" fillId="17" borderId="86" xfId="2" applyBorder="1" applyAlignment="1">
      <alignment horizontal="left" vertical="center" wrapText="1"/>
    </xf>
    <xf numFmtId="0" fontId="31" fillId="17" borderId="87" xfId="2" applyBorder="1" applyAlignment="1">
      <alignment horizontal="left" vertical="center" wrapText="1"/>
    </xf>
    <xf numFmtId="0" fontId="31" fillId="17" borderId="88" xfId="2" applyBorder="1" applyAlignment="1">
      <alignment horizontal="left" vertical="center" wrapText="1"/>
    </xf>
    <xf numFmtId="0" fontId="31" fillId="17" borderId="89" xfId="2" applyBorder="1" applyAlignment="1">
      <alignment horizontal="left" vertical="center" wrapText="1"/>
    </xf>
    <xf numFmtId="0" fontId="31" fillId="17" borderId="32" xfId="2" applyAlignment="1">
      <alignment horizontal="left"/>
    </xf>
    <xf numFmtId="0" fontId="4" fillId="0" borderId="12" xfId="6" applyBorder="1" applyAlignment="1">
      <alignment horizontal="center"/>
    </xf>
    <xf numFmtId="0" fontId="4" fillId="0" borderId="21" xfId="6" applyBorder="1" applyAlignment="1">
      <alignment horizontal="center"/>
    </xf>
    <xf numFmtId="0" fontId="4" fillId="0" borderId="19" xfId="6" applyBorder="1" applyAlignment="1">
      <alignment horizontal="center"/>
    </xf>
    <xf numFmtId="0" fontId="4" fillId="0" borderId="77" xfId="6" applyBorder="1" applyAlignment="1">
      <alignment horizontal="center"/>
    </xf>
    <xf numFmtId="0" fontId="45" fillId="0" borderId="6" xfId="6" applyFont="1" applyBorder="1" applyAlignment="1">
      <alignment horizontal="center" vertical="center"/>
    </xf>
    <xf numFmtId="0" fontId="45" fillId="0" borderId="0" xfId="6" applyFont="1" applyAlignment="1">
      <alignment horizontal="center" vertical="center"/>
    </xf>
    <xf numFmtId="0" fontId="45" fillId="0" borderId="8" xfId="6" applyFont="1" applyBorder="1" applyAlignment="1">
      <alignment horizontal="center" vertical="center"/>
    </xf>
    <xf numFmtId="0" fontId="45" fillId="0" borderId="35" xfId="6" applyFont="1" applyBorder="1" applyAlignment="1">
      <alignment horizontal="center" vertical="center"/>
    </xf>
    <xf numFmtId="0" fontId="33" fillId="0" borderId="0" xfId="6" applyFont="1" applyAlignment="1">
      <alignment horizontal="center"/>
    </xf>
    <xf numFmtId="0" fontId="31" fillId="17" borderId="108" xfId="2" applyBorder="1" applyAlignment="1">
      <alignment horizontal="left"/>
    </xf>
    <xf numFmtId="0" fontId="31" fillId="17" borderId="109" xfId="2" applyBorder="1" applyAlignment="1">
      <alignment horizontal="left"/>
    </xf>
    <xf numFmtId="0" fontId="31" fillId="17" borderId="110" xfId="2" applyBorder="1" applyAlignment="1">
      <alignment horizontal="left"/>
    </xf>
    <xf numFmtId="0" fontId="4" fillId="0" borderId="56" xfId="6" applyBorder="1" applyAlignment="1">
      <alignment horizontal="center"/>
    </xf>
    <xf numFmtId="0" fontId="4" fillId="0" borderId="57" xfId="6" applyBorder="1" applyAlignment="1">
      <alignment horizontal="center"/>
    </xf>
    <xf numFmtId="0" fontId="4" fillId="0" borderId="78" xfId="6" applyBorder="1" applyAlignment="1">
      <alignment horizontal="center"/>
    </xf>
    <xf numFmtId="3" fontId="4" fillId="0" borderId="12" xfId="6" applyNumberFormat="1" applyBorder="1" applyAlignment="1">
      <alignment horizontal="center"/>
    </xf>
    <xf numFmtId="3" fontId="4" fillId="0" borderId="21" xfId="6" applyNumberFormat="1" applyBorder="1" applyAlignment="1">
      <alignment horizontal="center"/>
    </xf>
    <xf numFmtId="3" fontId="4" fillId="0" borderId="77" xfId="6" applyNumberFormat="1" applyBorder="1" applyAlignment="1">
      <alignment horizontal="center"/>
    </xf>
    <xf numFmtId="0" fontId="4" fillId="41" borderId="1" xfId="6" applyFill="1" applyBorder="1" applyAlignment="1">
      <alignment horizontal="center"/>
    </xf>
    <xf numFmtId="0" fontId="4" fillId="43" borderId="34" xfId="6" applyFill="1" applyBorder="1" applyAlignment="1">
      <alignment horizontal="center"/>
    </xf>
    <xf numFmtId="0" fontId="33" fillId="31" borderId="8" xfId="6" applyFont="1" applyFill="1" applyBorder="1" applyAlignment="1">
      <alignment horizontal="center"/>
    </xf>
    <xf numFmtId="0" fontId="33" fillId="31" borderId="35" xfId="6" applyFont="1" applyFill="1" applyBorder="1" applyAlignment="1">
      <alignment horizontal="center"/>
    </xf>
    <xf numFmtId="0" fontId="33" fillId="31" borderId="31" xfId="6" applyFont="1" applyFill="1" applyBorder="1" applyAlignment="1">
      <alignment horizontal="center"/>
    </xf>
    <xf numFmtId="0" fontId="33" fillId="0" borderId="10" xfId="6" applyFont="1" applyBorder="1" applyAlignment="1">
      <alignment horizontal="center"/>
    </xf>
    <xf numFmtId="0" fontId="33" fillId="0" borderId="1" xfId="6" applyFont="1" applyBorder="1" applyAlignment="1">
      <alignment horizontal="center"/>
    </xf>
    <xf numFmtId="0" fontId="33" fillId="0" borderId="36" xfId="6" applyFont="1" applyBorder="1" applyAlignment="1">
      <alignment horizontal="center"/>
    </xf>
    <xf numFmtId="0" fontId="33" fillId="0" borderId="35" xfId="6" applyFont="1" applyBorder="1" applyAlignment="1">
      <alignment horizontal="right"/>
    </xf>
    <xf numFmtId="0" fontId="4" fillId="0" borderId="18" xfId="6" applyBorder="1" applyAlignment="1">
      <alignment horizontal="left"/>
    </xf>
    <xf numFmtId="1" fontId="4" fillId="0" borderId="18" xfId="6" applyNumberFormat="1" applyBorder="1" applyAlignment="1">
      <alignment horizontal="center" vertical="center"/>
    </xf>
    <xf numFmtId="0" fontId="4" fillId="0" borderId="18" xfId="6" applyBorder="1" applyAlignment="1">
      <alignment horizontal="center"/>
    </xf>
    <xf numFmtId="0" fontId="4" fillId="0" borderId="0" xfId="6" applyAlignment="1">
      <alignment horizontal="left"/>
    </xf>
    <xf numFmtId="3" fontId="4" fillId="0" borderId="0" xfId="6" applyNumberFormat="1" applyAlignment="1">
      <alignment horizontal="center" vertical="center"/>
    </xf>
    <xf numFmtId="3" fontId="4" fillId="0" borderId="0" xfId="6" applyNumberFormat="1" applyAlignment="1">
      <alignment horizontal="center"/>
    </xf>
    <xf numFmtId="0" fontId="4" fillId="0" borderId="0" xfId="6" applyAlignment="1">
      <alignment horizontal="center" vertical="center"/>
    </xf>
    <xf numFmtId="0" fontId="4" fillId="0" borderId="12" xfId="6" quotePrefix="1" applyBorder="1" applyAlignment="1">
      <alignment horizontal="center"/>
    </xf>
    <xf numFmtId="0" fontId="4" fillId="0" borderId="19" xfId="6" quotePrefix="1" applyBorder="1" applyAlignment="1">
      <alignment horizontal="center"/>
    </xf>
    <xf numFmtId="0" fontId="4" fillId="0" borderId="16" xfId="6" applyBorder="1" applyAlignment="1">
      <alignment horizontal="left"/>
    </xf>
    <xf numFmtId="3" fontId="4" fillId="0" borderId="16" xfId="6" applyNumberFormat="1" applyBorder="1" applyAlignment="1">
      <alignment horizontal="center" vertical="center"/>
    </xf>
    <xf numFmtId="3" fontId="4" fillId="0" borderId="16" xfId="6" applyNumberFormat="1" applyBorder="1" applyAlignment="1">
      <alignment horizontal="center"/>
    </xf>
    <xf numFmtId="0" fontId="4" fillId="0" borderId="16" xfId="6" applyBorder="1" applyAlignment="1">
      <alignment horizontal="center"/>
    </xf>
    <xf numFmtId="0" fontId="4" fillId="0" borderId="15" xfId="6" applyBorder="1" applyAlignment="1">
      <alignment horizontal="center"/>
    </xf>
    <xf numFmtId="1" fontId="4" fillId="0" borderId="18" xfId="6" applyNumberFormat="1" applyBorder="1" applyAlignment="1" applyProtection="1">
      <alignment horizontal="center" vertical="center"/>
      <protection locked="0"/>
    </xf>
    <xf numFmtId="3" fontId="4" fillId="0" borderId="0" xfId="6" applyNumberFormat="1" applyAlignment="1" applyProtection="1">
      <alignment horizontal="center" vertical="center"/>
      <protection locked="0"/>
    </xf>
    <xf numFmtId="0" fontId="4" fillId="0" borderId="0" xfId="6" applyAlignment="1" applyProtection="1">
      <alignment horizontal="center" vertical="center"/>
      <protection locked="0"/>
    </xf>
    <xf numFmtId="3" fontId="4" fillId="0" borderId="16" xfId="6" applyNumberFormat="1" applyBorder="1" applyAlignment="1" applyProtection="1">
      <alignment horizontal="center" vertical="center"/>
      <protection locked="0"/>
    </xf>
    <xf numFmtId="0" fontId="4" fillId="0" borderId="25" xfId="6" applyBorder="1" applyAlignment="1">
      <alignment horizontal="center"/>
    </xf>
    <xf numFmtId="0" fontId="36" fillId="22" borderId="5" xfId="16" applyFont="1" applyFill="1" applyBorder="1" applyAlignment="1">
      <alignment horizontal="center" vertical="center"/>
    </xf>
    <xf numFmtId="0" fontId="36" fillId="22" borderId="34" xfId="16" applyFont="1" applyFill="1" applyBorder="1" applyAlignment="1">
      <alignment horizontal="center" vertical="center"/>
    </xf>
    <xf numFmtId="0" fontId="36" fillId="22" borderId="28" xfId="16" applyFont="1" applyFill="1" applyBorder="1" applyAlignment="1">
      <alignment horizontal="center" vertical="center"/>
    </xf>
    <xf numFmtId="0" fontId="36" fillId="22" borderId="6" xfId="16" applyFont="1" applyFill="1" applyBorder="1" applyAlignment="1">
      <alignment horizontal="center" vertical="center"/>
    </xf>
    <xf numFmtId="0" fontId="36" fillId="22" borderId="0" xfId="16" applyFont="1" applyFill="1" applyAlignment="1">
      <alignment horizontal="center" vertical="center"/>
    </xf>
    <xf numFmtId="0" fontId="36" fillId="22" borderId="29" xfId="16" applyFont="1" applyFill="1" applyBorder="1" applyAlignment="1">
      <alignment horizontal="center" vertical="center"/>
    </xf>
    <xf numFmtId="0" fontId="36" fillId="20" borderId="0" xfId="16" applyFont="1" applyFill="1" applyAlignment="1">
      <alignment horizontal="center" vertical="center"/>
    </xf>
    <xf numFmtId="0" fontId="36" fillId="20" borderId="35" xfId="16" applyFont="1" applyFill="1" applyBorder="1" applyAlignment="1">
      <alignment horizontal="center" vertical="center"/>
    </xf>
    <xf numFmtId="0" fontId="40" fillId="32" borderId="49" xfId="8" applyFont="1" applyFill="1" applyBorder="1" applyAlignment="1">
      <alignment horizontal="center"/>
    </xf>
    <xf numFmtId="0" fontId="40" fillId="32" borderId="46" xfId="8" applyFont="1" applyFill="1" applyBorder="1" applyAlignment="1">
      <alignment horizontal="center"/>
    </xf>
    <xf numFmtId="0" fontId="40" fillId="32" borderId="54" xfId="8" applyFont="1" applyFill="1" applyBorder="1" applyAlignment="1">
      <alignment horizontal="center"/>
    </xf>
    <xf numFmtId="0" fontId="40" fillId="34" borderId="49" xfId="9" applyFont="1" applyFill="1" applyBorder="1" applyAlignment="1">
      <alignment horizontal="center"/>
    </xf>
    <xf numFmtId="0" fontId="40" fillId="34" borderId="46" xfId="9" applyFont="1" applyFill="1" applyBorder="1" applyAlignment="1">
      <alignment horizontal="center"/>
    </xf>
    <xf numFmtId="0" fontId="40" fillId="34" borderId="54" xfId="9" applyFont="1" applyFill="1" applyBorder="1" applyAlignment="1">
      <alignment horizontal="center"/>
    </xf>
    <xf numFmtId="0" fontId="37" fillId="21" borderId="5" xfId="16" applyFont="1" applyFill="1" applyBorder="1" applyAlignment="1">
      <alignment horizontal="center" vertical="center"/>
    </xf>
    <xf numFmtId="0" fontId="37" fillId="21" borderId="34" xfId="16" applyFont="1" applyFill="1" applyBorder="1" applyAlignment="1">
      <alignment horizontal="center" vertical="center"/>
    </xf>
    <xf numFmtId="0" fontId="37" fillId="21" borderId="28" xfId="16" applyFont="1" applyFill="1" applyBorder="1" applyAlignment="1">
      <alignment horizontal="center" vertical="center"/>
    </xf>
    <xf numFmtId="0" fontId="37" fillId="21" borderId="8" xfId="16" applyFont="1" applyFill="1" applyBorder="1" applyAlignment="1">
      <alignment horizontal="center" vertical="center"/>
    </xf>
    <xf numFmtId="0" fontId="37" fillId="21" borderId="35" xfId="16" applyFont="1" applyFill="1" applyBorder="1" applyAlignment="1">
      <alignment horizontal="center" vertical="center"/>
    </xf>
    <xf numFmtId="0" fontId="37" fillId="21" borderId="31" xfId="16" applyFont="1" applyFill="1" applyBorder="1" applyAlignment="1">
      <alignment horizontal="center" vertical="center"/>
    </xf>
    <xf numFmtId="8" fontId="16" fillId="0" borderId="119" xfId="0" applyNumberFormat="1" applyFont="1" applyBorder="1" applyAlignment="1">
      <alignment horizontal="center" wrapText="1"/>
    </xf>
    <xf numFmtId="9" fontId="16" fillId="0" borderId="119" xfId="0" applyNumberFormat="1" applyFont="1" applyBorder="1" applyAlignment="1">
      <alignment horizontal="center" wrapText="1"/>
    </xf>
    <xf numFmtId="8" fontId="16" fillId="0" borderId="120" xfId="0" applyNumberFormat="1" applyFont="1" applyBorder="1" applyAlignment="1">
      <alignment horizontal="center" wrapText="1"/>
    </xf>
  </cellXfs>
  <cellStyles count="21">
    <cellStyle name="Comma 2" xfId="11" xr:uid="{CCE07C65-81B1-428D-8077-AD8BADF7A000}"/>
    <cellStyle name="Comma 2 3" xfId="12" xr:uid="{69B2964F-124C-4B0C-979E-F8E88BBE26B1}"/>
    <cellStyle name="Comma 3" xfId="10" xr:uid="{6D64E499-39B8-4817-BD05-7F5A9782A48F}"/>
    <cellStyle name="Comma 4" xfId="7" xr:uid="{3271D472-1AD5-4877-8D86-7DD78C10D752}"/>
    <cellStyle name="Comma 5" xfId="17" xr:uid="{D7182C93-9EFD-4681-AECC-3BB564BAC38F}"/>
    <cellStyle name="Currency" xfId="1" builtinId="4"/>
    <cellStyle name="Currency 2" xfId="14" xr:uid="{196D7297-86C4-4164-8441-11AF4E75616F}"/>
    <cellStyle name="Currency 3" xfId="5" xr:uid="{7819283C-F2FF-4F14-8995-3952AB0F2509}"/>
    <cellStyle name="Currency 4" xfId="18" xr:uid="{D017A6AA-3EA3-48FD-BC4E-D210D5E791D6}"/>
    <cellStyle name="Normal" xfId="0" builtinId="0"/>
    <cellStyle name="Normal 2" xfId="6" xr:uid="{A461CFB4-CAE1-4BAC-8506-0E2CD90BDC5F}"/>
    <cellStyle name="Normal 3" xfId="13" xr:uid="{BFB199B1-4CCF-40D9-88FA-44125180EE99}"/>
    <cellStyle name="Normal 4" xfId="15" xr:uid="{2AE5A0E2-69FD-49AA-99D8-7BC3D2B78137}"/>
    <cellStyle name="Normal 5" xfId="3" xr:uid="{344B6BB4-4BEF-4CD5-B48E-C3D71A55BF88}"/>
    <cellStyle name="Normal 6" xfId="16" xr:uid="{95F1F9BA-0457-46A3-8636-75A6B2537D59}"/>
    <cellStyle name="Normal 7" xfId="20" xr:uid="{097D50B0-2624-4148-AD9A-04409ECB98F2}"/>
    <cellStyle name="Normal_INTERNAL - COLLINS Hot Sheet with Formulas ( UPDATED 02-15-08)" xfId="8" xr:uid="{0934966A-EF63-48FA-B748-3F302BD45504}"/>
    <cellStyle name="Normal_INTERNAL - THE BEST ELECTRIC Hot Sheet with Formulas ( UPDATED 02-15--08) 2" xfId="9" xr:uid="{797C1AA7-64E0-400D-AEB8-E6601D307810}"/>
    <cellStyle name="Output" xfId="2" builtinId="21"/>
    <cellStyle name="Percent" xfId="19" builtinId="5"/>
    <cellStyle name="Percent 2" xfId="4" xr:uid="{4607D426-7BD0-48BA-8B7A-D76061A1FC1B}"/>
  </cellStyles>
  <dxfs count="4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>
          <bgColor rgb="FF9AD3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BE4D5"/>
      <rgbColor rgb="FFFF00FF"/>
      <rgbColor rgb="FFEBF1DE"/>
      <rgbColor rgb="FF800000"/>
      <rgbColor rgb="FF008000"/>
      <rgbColor rgb="FF000080"/>
      <rgbColor rgb="FFE7E6E6"/>
      <rgbColor rgb="FF800080"/>
      <rgbColor rgb="FF008080"/>
      <rgbColor rgb="FFBFBFBF"/>
      <rgbColor rgb="FF4F81BD"/>
      <rgbColor rgb="FFB6D7A8"/>
      <rgbColor rgb="FF993366"/>
      <rgbColor rgb="FFFFF2CC"/>
      <rgbColor rgb="FFDDEBF7"/>
      <rgbColor rgb="FF660066"/>
      <rgbColor rgb="FFD9D9D9"/>
      <rgbColor rgb="FF326698"/>
      <rgbColor rgb="FFBDD7EE"/>
      <rgbColor rgb="FF000080"/>
      <rgbColor rgb="FFFF00FF"/>
      <rgbColor rgb="FFE2EFDA"/>
      <rgbColor rgb="FFF5F7FA"/>
      <rgbColor rgb="FF800080"/>
      <rgbColor rgb="FF800000"/>
      <rgbColor rgb="FF008080"/>
      <rgbColor rgb="FF0000FF"/>
      <rgbColor rgb="FF00CCFF"/>
      <rgbColor rgb="FFDEEAF6"/>
      <rgbColor rgb="FFE2EFD9"/>
      <rgbColor rgb="FFFFE599"/>
      <rgbColor rgb="FF9AD3E6"/>
      <rgbColor rgb="FFD8D8D8"/>
      <rgbColor rgb="FFB3B3B3"/>
      <rgbColor rgb="FFF4CCCC"/>
      <rgbColor rgb="FF3366FF"/>
      <rgbColor rgb="FFC7E4DC"/>
      <rgbColor rgb="FF9BBB59"/>
      <rgbColor rgb="FFD6B656"/>
      <rgbColor rgb="FFF79646"/>
      <rgbColor rgb="FFFF6600"/>
      <rgbColor rgb="FF8064A2"/>
      <rgbColor rgb="FF999999"/>
      <rgbColor rgb="FF0B3D91"/>
      <rgbColor rgb="FFCFE2F3"/>
      <rgbColor rgb="FF003300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1FB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microsoft.com/office/2017/10/relationships/person" Target="persons/person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strRef>
          <c:f>'Financial Worksheet'!$L$1</c:f>
          <c:strCache>
            <c:ptCount val="1"/>
            <c:pt idx="0">
              <c:v>5-Year Cumulative Cashflow</c:v>
            </c:pt>
          </c:strCache>
        </c:strRef>
      </c:tx>
      <c:overlay val="0"/>
      <c:spPr>
        <a:noFill/>
        <a:ln w="0">
          <a:noFill/>
        </a:ln>
      </c:spPr>
      <c:txPr>
        <a:bodyPr rot="0"/>
        <a:lstStyle/>
        <a:p>
          <a:pPr>
            <a:defRPr lang="en-US" sz="1800" b="1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0000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9360">
                <a:noFill/>
              </a:ln>
            </c:spPr>
            <c:trendlineType val="linear"/>
            <c:dispRSqr val="0"/>
            <c:dispEq val="0"/>
          </c:trendline>
          <c:cat>
            <c:strRef>
              <c:f>'Financial Worksheet'!$D$5:$D$15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'Financial Worksheet'!$F$5:$F$15</c:f>
              <c:numCache>
                <c:formatCode>\$#,##0</c:formatCode>
                <c:ptCount val="11"/>
                <c:pt idx="0">
                  <c:v>-1132124.0150000001</c:v>
                </c:pt>
                <c:pt idx="1">
                  <c:v>-958449.92117600015</c:v>
                </c:pt>
                <c:pt idx="2">
                  <c:v>-771694.00335200015</c:v>
                </c:pt>
                <c:pt idx="3">
                  <c:v>-570221.03352800012</c:v>
                </c:pt>
                <c:pt idx="4">
                  <c:v>-352191.38020400016</c:v>
                </c:pt>
                <c:pt idx="5">
                  <c:v>-115535.45794250019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8-4CAB-9F20-C6354C4A6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91507"/>
        <c:axId val="80192745"/>
      </c:barChart>
      <c:catAx>
        <c:axId val="26091507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crossAx val="80192745"/>
        <c:crosses val="autoZero"/>
        <c:auto val="1"/>
        <c:lblAlgn val="ctr"/>
        <c:lblOffset val="100"/>
        <c:noMultiLvlLbl val="0"/>
      </c:catAx>
      <c:valAx>
        <c:axId val="801927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Cumulative 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0915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15615</xdr:colOff>
      <xdr:row>47</xdr:row>
      <xdr:rowOff>80462</xdr:rowOff>
    </xdr:from>
    <xdr:to>
      <xdr:col>6</xdr:col>
      <xdr:colOff>390369</xdr:colOff>
      <xdr:row>61</xdr:row>
      <xdr:rowOff>93689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A72191-2194-490F-BA3C-58324F99922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0626517-8915-4ab0-9361-692bb52085a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9646"/>
  </sheetPr>
  <dimension ref="B1:T44"/>
  <sheetViews>
    <sheetView showGridLines="0" zoomScale="70" zoomScaleNormal="70" workbookViewId="0">
      <pane ySplit="7" topLeftCell="A8" activePane="bottomLeft" state="frozen"/>
      <selection activeCell="C1" sqref="C1"/>
      <selection pane="bottomLeft" activeCell="J22" sqref="J22"/>
    </sheetView>
  </sheetViews>
  <sheetFormatPr defaultColWidth="8.7109375" defaultRowHeight="15"/>
  <cols>
    <col min="1" max="1" width="2" customWidth="1"/>
    <col min="2" max="2" width="22" customWidth="1"/>
    <col min="3" max="3" width="7" customWidth="1"/>
    <col min="4" max="4" width="17" customWidth="1"/>
    <col min="5" max="5" width="22" customWidth="1"/>
    <col min="6" max="6" width="142.5703125" bestFit="1" customWidth="1"/>
    <col min="7" max="7" width="20.7109375" customWidth="1"/>
    <col min="8" max="8" width="15.85546875" customWidth="1"/>
    <col min="9" max="9" width="5.5703125" customWidth="1"/>
    <col min="10" max="10" width="15.85546875" style="128" customWidth="1"/>
    <col min="11" max="11" width="23" customWidth="1"/>
    <col min="13" max="13" width="45.5703125" customWidth="1"/>
    <col min="14" max="14" width="12" customWidth="1"/>
    <col min="15" max="15" width="32.5703125" customWidth="1"/>
    <col min="16" max="16" width="25.28515625" customWidth="1"/>
    <col min="17" max="17" width="20.7109375" customWidth="1"/>
    <col min="18" max="18" width="23.85546875" customWidth="1"/>
    <col min="19" max="19" width="24" customWidth="1"/>
    <col min="20" max="20" width="24.5703125" customWidth="1"/>
    <col min="21" max="21" width="36.85546875" customWidth="1"/>
  </cols>
  <sheetData>
    <row r="1" spans="2:20" ht="15.75" thickBot="1"/>
    <row r="2" spans="2:20" ht="15" customHeight="1" thickBot="1">
      <c r="C2" s="571" t="s">
        <v>0</v>
      </c>
      <c r="D2" s="571"/>
      <c r="E2" s="571"/>
      <c r="F2" s="571"/>
      <c r="G2" s="571"/>
      <c r="H2" s="571"/>
      <c r="I2" s="571"/>
      <c r="J2" s="571"/>
      <c r="K2" s="571"/>
    </row>
    <row r="3" spans="2:20" ht="15" customHeight="1" thickBot="1">
      <c r="C3" s="571"/>
      <c r="D3" s="571"/>
      <c r="E3" s="571"/>
      <c r="F3" s="571"/>
      <c r="G3" s="571"/>
      <c r="H3" s="571"/>
      <c r="I3" s="571"/>
      <c r="J3" s="571"/>
      <c r="K3" s="571"/>
    </row>
    <row r="5" spans="2:20" ht="15" customHeight="1">
      <c r="B5" s="4" t="s">
        <v>1</v>
      </c>
      <c r="M5" s="573" t="s">
        <v>3</v>
      </c>
      <c r="N5" s="573"/>
      <c r="O5" s="573"/>
      <c r="P5" s="573"/>
      <c r="Q5" s="573"/>
      <c r="R5" s="573"/>
      <c r="S5" s="573"/>
      <c r="T5" s="573"/>
    </row>
    <row r="6" spans="2:20" ht="15" customHeight="1">
      <c r="B6" s="5" t="s">
        <v>2</v>
      </c>
      <c r="H6" s="6"/>
      <c r="M6" s="573"/>
      <c r="N6" s="573"/>
      <c r="O6" s="573"/>
      <c r="P6" s="573"/>
      <c r="Q6" s="573"/>
      <c r="R6" s="573"/>
      <c r="S6" s="573"/>
      <c r="T6" s="573"/>
    </row>
    <row r="7" spans="2:20" ht="27.75" customHeight="1">
      <c r="C7" s="7" t="s">
        <v>4</v>
      </c>
      <c r="D7" s="7" t="s">
        <v>5</v>
      </c>
      <c r="E7" s="7" t="s">
        <v>6</v>
      </c>
      <c r="F7" s="7" t="s">
        <v>7</v>
      </c>
      <c r="G7" s="7" t="s">
        <v>9</v>
      </c>
      <c r="H7" s="7" t="s">
        <v>10</v>
      </c>
      <c r="I7" s="7" t="s">
        <v>11</v>
      </c>
      <c r="J7" s="129" t="s">
        <v>372</v>
      </c>
      <c r="K7" s="7" t="s">
        <v>12</v>
      </c>
      <c r="M7" s="457"/>
      <c r="N7" s="490" t="s">
        <v>13</v>
      </c>
      <c r="O7" s="491" t="s">
        <v>705</v>
      </c>
      <c r="P7" s="492" t="s">
        <v>706</v>
      </c>
      <c r="Q7" s="492" t="s">
        <v>707</v>
      </c>
      <c r="R7" s="492" t="s">
        <v>708</v>
      </c>
      <c r="S7" s="492" t="s">
        <v>709</v>
      </c>
      <c r="T7" s="492" t="s">
        <v>710</v>
      </c>
    </row>
    <row r="8" spans="2:20" ht="15" customHeight="1">
      <c r="C8" s="8">
        <f t="shared" ref="C8:C37" si="0">IF($E8="","",ROW()-7)</f>
        <v>1</v>
      </c>
      <c r="D8" s="9" t="s">
        <v>155</v>
      </c>
      <c r="E8" s="9" t="s">
        <v>234</v>
      </c>
      <c r="F8" s="10" t="str">
        <f>IF($E8="","",IFERROR(INDEX('CTX Price Book'!$D:$D,MATCH($E8,'CTX Price Book'!$C:$C,0)),"SKU not found"))</f>
        <v xml:space="preserve">240kW DCFC All In One Charger - 350A Cable / 1000VDC Dual CCS1 ; Can charge 2 cars simultaneously with 120kW each ; 4G Modem </v>
      </c>
      <c r="G8" s="11">
        <f>IF($E8="","",IFERROR(INDEX('CTX Price Book'!$F:$F,MATCH($E8,'CTX Price Book'!$C:$C,0)),""))</f>
        <v>80000</v>
      </c>
      <c r="H8" s="12"/>
      <c r="I8" s="13">
        <v>4</v>
      </c>
      <c r="J8" s="289">
        <f>IF(E8="","",I8*G8)</f>
        <v>320000</v>
      </c>
      <c r="K8" s="11">
        <f>IF(OR($G8="",$I8=""),"",J8-(H8*J8))</f>
        <v>320000</v>
      </c>
      <c r="M8" s="457" t="s">
        <v>14</v>
      </c>
      <c r="N8" s="493">
        <f>SUMIF($D$8:$D$37,"_L2",$I$8:$I$37)</f>
        <v>2</v>
      </c>
      <c r="O8" s="493">
        <f t="shared" ref="O8:T8" si="1">SUMIF($D$8:$D$37,"_kW"&amp;O10,$I$8:$I$37)</f>
        <v>0</v>
      </c>
      <c r="P8" s="493">
        <f t="shared" si="1"/>
        <v>0</v>
      </c>
      <c r="Q8" s="493">
        <f t="shared" si="1"/>
        <v>0</v>
      </c>
      <c r="R8" s="493">
        <f t="shared" si="1"/>
        <v>0</v>
      </c>
      <c r="S8" s="493">
        <f t="shared" si="1"/>
        <v>4</v>
      </c>
      <c r="T8" s="493">
        <f t="shared" si="1"/>
        <v>0</v>
      </c>
    </row>
    <row r="9" spans="2:20" ht="15" customHeight="1">
      <c r="C9" s="8">
        <f t="shared" si="0"/>
        <v>2</v>
      </c>
      <c r="D9" s="9" t="s">
        <v>135</v>
      </c>
      <c r="E9" s="9" t="s">
        <v>153</v>
      </c>
      <c r="F9" s="10" t="str">
        <f>IF($E9="","",IFERROR(INDEX('CTX Price Book'!$D:$D,MATCH($E9,'CTX Price Book'!$C:$C,0)),"SKU not found"))</f>
        <v>80A Dual Commercial L2 Charger (18' Cable with Modem)</v>
      </c>
      <c r="G9" s="11">
        <f>IF($E9="","",IFERROR(INDEX('CTX Price Book'!$F:$F,MATCH($E9,'CTX Price Book'!$C:$C,0)),""))</f>
        <v>2194.5</v>
      </c>
      <c r="H9" s="12"/>
      <c r="I9" s="13">
        <v>2</v>
      </c>
      <c r="J9" s="289">
        <f t="shared" ref="J9:J37" si="2">IF(E9="","",I9*G9)</f>
        <v>4389</v>
      </c>
      <c r="K9" s="11">
        <f t="shared" ref="K9:K37" si="3">IF(OR($G9="",$I9=""),"",J9-(H9*J9))</f>
        <v>4389</v>
      </c>
      <c r="M9" s="457" t="s">
        <v>15</v>
      </c>
      <c r="N9" s="494">
        <f>SUMPRODUCT(($D$8:$D$37="_L2")*(1+ISNUMBER(SEARCH("dual",$F$8:$F$37&amp;"")))*IF($I$8:$I$37="",0,$I$8:$I$37))</f>
        <v>4</v>
      </c>
      <c r="O9" s="494">
        <f t="shared" ref="O9:T9" si="4">O8</f>
        <v>0</v>
      </c>
      <c r="P9" s="495">
        <f t="shared" si="4"/>
        <v>0</v>
      </c>
      <c r="Q9" s="495">
        <f t="shared" si="4"/>
        <v>0</v>
      </c>
      <c r="R9" s="495">
        <f t="shared" si="4"/>
        <v>0</v>
      </c>
      <c r="S9" s="495">
        <f t="shared" si="4"/>
        <v>4</v>
      </c>
      <c r="T9" s="495">
        <f t="shared" si="4"/>
        <v>0</v>
      </c>
    </row>
    <row r="10" spans="2:20" ht="21" customHeight="1">
      <c r="C10" s="8">
        <f t="shared" si="0"/>
        <v>3</v>
      </c>
      <c r="D10" s="9" t="s">
        <v>167</v>
      </c>
      <c r="E10" s="9" t="s">
        <v>326</v>
      </c>
      <c r="F10" s="10" t="str">
        <f>IF($E10="","",IFERROR(INDEX('CTX Price Book'!$D:$D,MATCH($E10,'CTX Price Book'!$C:$C,0)),"SKU not found"))</f>
        <v>Dual Retractor (Post)</v>
      </c>
      <c r="G10" s="11">
        <f>IF($E10="","",IFERROR(INDEX('CTX Price Book'!$F:$F,MATCH($E10,'CTX Price Book'!$C:$C,0)),""))</f>
        <v>632.5</v>
      </c>
      <c r="H10" s="12"/>
      <c r="I10" s="13">
        <v>2</v>
      </c>
      <c r="J10" s="289">
        <f t="shared" si="2"/>
        <v>1265</v>
      </c>
      <c r="K10" s="11">
        <f t="shared" si="3"/>
        <v>1265</v>
      </c>
      <c r="M10" s="457" t="s">
        <v>16</v>
      </c>
      <c r="N10" s="494">
        <v>7.2</v>
      </c>
      <c r="O10" s="495">
        <v>60</v>
      </c>
      <c r="P10" s="495">
        <v>120</v>
      </c>
      <c r="Q10" s="495">
        <v>160</v>
      </c>
      <c r="R10" s="495">
        <v>180</v>
      </c>
      <c r="S10" s="495">
        <v>240</v>
      </c>
      <c r="T10" s="495">
        <v>360</v>
      </c>
    </row>
    <row r="11" spans="2:20" ht="15" customHeight="1">
      <c r="C11" s="8" t="str">
        <f t="shared" si="0"/>
        <v/>
      </c>
      <c r="D11" s="9"/>
      <c r="E11" s="9"/>
      <c r="F11" s="10" t="str">
        <f>IF($E11="","",IFERROR(INDEX('CTX Price Book'!$D:$D,MATCH($E11,'CTX Price Book'!$C:$C,0)),"SKU not found"))</f>
        <v/>
      </c>
      <c r="G11" s="11" t="str">
        <f>IF($E11="","",IFERROR(INDEX('CTX Price Book'!$F:$F,MATCH($E11,'CTX Price Book'!$C:$C,0)),""))</f>
        <v/>
      </c>
      <c r="H11" s="12"/>
      <c r="I11" s="13"/>
      <c r="J11" s="289" t="str">
        <f t="shared" si="2"/>
        <v/>
      </c>
      <c r="K11" s="11" t="str">
        <f t="shared" si="3"/>
        <v/>
      </c>
      <c r="M11" s="457" t="s">
        <v>17</v>
      </c>
      <c r="N11" s="494">
        <v>0.98</v>
      </c>
      <c r="O11" s="457">
        <v>0.98</v>
      </c>
      <c r="P11" s="493">
        <f>N11</f>
        <v>0.98</v>
      </c>
      <c r="Q11" s="493">
        <f>$N$11</f>
        <v>0.98</v>
      </c>
      <c r="R11" s="493">
        <f>$N$11</f>
        <v>0.98</v>
      </c>
      <c r="S11" s="493">
        <f>$N$11</f>
        <v>0.98</v>
      </c>
      <c r="T11" s="493">
        <f>$N$11</f>
        <v>0.98</v>
      </c>
    </row>
    <row r="12" spans="2:20" ht="15" customHeight="1">
      <c r="C12" s="8" t="str">
        <f t="shared" si="0"/>
        <v/>
      </c>
      <c r="D12" s="9"/>
      <c r="E12" s="9"/>
      <c r="F12" s="10" t="str">
        <f>IF($E12="","",IFERROR(INDEX('CTX Price Book'!$D:$D,MATCH($E12,'CTX Price Book'!$C:$C,0)),"SKU not found"))</f>
        <v/>
      </c>
      <c r="G12" s="11" t="str">
        <f>IF($E12="","",IFERROR(INDEX('CTX Price Book'!$F:$F,MATCH($E12,'CTX Price Book'!$C:$C,0)),""))</f>
        <v/>
      </c>
      <c r="H12" s="12"/>
      <c r="I12" s="13"/>
      <c r="J12" s="289" t="str">
        <f t="shared" si="2"/>
        <v/>
      </c>
      <c r="K12" s="11" t="str">
        <f t="shared" si="3"/>
        <v/>
      </c>
    </row>
    <row r="13" spans="2:20" ht="15" customHeight="1">
      <c r="C13" s="8" t="str">
        <f t="shared" si="0"/>
        <v/>
      </c>
      <c r="D13" s="9"/>
      <c r="E13" s="9"/>
      <c r="F13" s="10" t="str">
        <f>IF($E13="","",IFERROR(INDEX('CTX Price Book'!$D:$D,MATCH($E13,'CTX Price Book'!$C:$C,0)),"SKU not found"))</f>
        <v/>
      </c>
      <c r="G13" s="11" t="str">
        <f>IF($E13="","",IFERROR(INDEX('CTX Price Book'!$F:$F,MATCH($E13,'CTX Price Book'!$C:$C,0)),""))</f>
        <v/>
      </c>
      <c r="H13" s="12"/>
      <c r="I13" s="13"/>
      <c r="J13" s="289" t="str">
        <f t="shared" si="2"/>
        <v/>
      </c>
      <c r="K13" s="11" t="str">
        <f t="shared" si="3"/>
        <v/>
      </c>
      <c r="M13" s="14" t="s">
        <v>18</v>
      </c>
    </row>
    <row r="14" spans="2:20" ht="15" customHeight="1">
      <c r="C14" s="8" t="str">
        <f t="shared" si="0"/>
        <v/>
      </c>
      <c r="D14" s="9"/>
      <c r="E14" s="9"/>
      <c r="F14" s="10" t="str">
        <f>IF($E14="","",IFERROR(INDEX('CTX Price Book'!$D:$D,MATCH($E14,'CTX Price Book'!$C:$C,0)),"SKU not found"))</f>
        <v/>
      </c>
      <c r="G14" s="11" t="str">
        <f>IF($E14="","",IFERROR(INDEX('CTX Price Book'!$F:$F,MATCH($E14,'CTX Price Book'!$C:$C,0)),""))</f>
        <v/>
      </c>
      <c r="H14" s="12"/>
      <c r="I14" s="13"/>
      <c r="J14" s="289" t="str">
        <f t="shared" si="2"/>
        <v/>
      </c>
      <c r="K14" s="11" t="str">
        <f t="shared" si="3"/>
        <v/>
      </c>
      <c r="M14" s="14" t="s">
        <v>19</v>
      </c>
    </row>
    <row r="15" spans="2:20" ht="15" customHeight="1">
      <c r="C15" s="8" t="str">
        <f t="shared" si="0"/>
        <v/>
      </c>
      <c r="D15" s="9"/>
      <c r="E15" s="9"/>
      <c r="F15" s="10" t="str">
        <f>IF($E15="","",IFERROR(INDEX('CTX Price Book'!$D:$D,MATCH($E15,'CTX Price Book'!$C:$C,0)),"SKU not found"))</f>
        <v/>
      </c>
      <c r="G15" s="11" t="str">
        <f>IF($E15="","",IFERROR(INDEX('CTX Price Book'!$F:$F,MATCH($E15,'CTX Price Book'!$C:$C,0)),""))</f>
        <v/>
      </c>
      <c r="H15" s="12"/>
      <c r="I15" s="13"/>
      <c r="J15" s="289" t="str">
        <f t="shared" si="2"/>
        <v/>
      </c>
      <c r="K15" s="11" t="str">
        <f t="shared" si="3"/>
        <v/>
      </c>
    </row>
    <row r="16" spans="2:20" ht="15" customHeight="1">
      <c r="C16" s="8" t="str">
        <f t="shared" si="0"/>
        <v/>
      </c>
      <c r="D16" s="9"/>
      <c r="E16" s="9"/>
      <c r="F16" s="10" t="str">
        <f>IF($E16="","",IFERROR(INDEX('CTX Price Book'!$D:$D,MATCH($E16,'CTX Price Book'!$C:$C,0)),"SKU not found"))</f>
        <v/>
      </c>
      <c r="G16" s="11" t="str">
        <f>IF($E16="","",IFERROR(INDEX('CTX Price Book'!$F:$F,MATCH($E16,'CTX Price Book'!$C:$C,0)),""))</f>
        <v/>
      </c>
      <c r="H16" s="12"/>
      <c r="I16" s="13"/>
      <c r="J16" s="289" t="str">
        <f t="shared" si="2"/>
        <v/>
      </c>
      <c r="K16" s="11" t="str">
        <f t="shared" si="3"/>
        <v/>
      </c>
      <c r="M16" s="570" t="s">
        <v>744</v>
      </c>
      <c r="N16" s="570"/>
      <c r="O16" s="570"/>
    </row>
    <row r="17" spans="3:15" ht="15" customHeight="1">
      <c r="C17" s="8" t="str">
        <f t="shared" si="0"/>
        <v/>
      </c>
      <c r="D17" s="9"/>
      <c r="E17" s="9"/>
      <c r="F17" s="10" t="str">
        <f>IF($E17="","",IFERROR(INDEX('CTX Price Book'!$D:$D,MATCH($E17,'CTX Price Book'!$C:$C,0)),"SKU not found"))</f>
        <v/>
      </c>
      <c r="G17" s="11" t="str">
        <f>IF($E17="","",IFERROR(INDEX('CTX Price Book'!$F:$F,MATCH($E17,'CTX Price Book'!$C:$C,0)),""))</f>
        <v/>
      </c>
      <c r="H17" s="12"/>
      <c r="I17" s="13"/>
      <c r="J17" s="289" t="str">
        <f t="shared" si="2"/>
        <v/>
      </c>
      <c r="K17" s="11" t="str">
        <f t="shared" si="3"/>
        <v/>
      </c>
      <c r="M17" s="457" t="s">
        <v>741</v>
      </c>
      <c r="N17" s="574"/>
      <c r="O17" s="574"/>
    </row>
    <row r="18" spans="3:15" ht="15" customHeight="1">
      <c r="C18" s="8" t="str">
        <f t="shared" si="0"/>
        <v/>
      </c>
      <c r="D18" s="9"/>
      <c r="E18" s="9"/>
      <c r="F18" s="10" t="str">
        <f>IF($E18="","",IFERROR(INDEX('CTX Price Book'!$D:$D,MATCH($E18,'CTX Price Book'!$C:$C,0)),"SKU not found"))</f>
        <v/>
      </c>
      <c r="G18" s="11" t="str">
        <f>IF($E18="","",IFERROR(INDEX('CTX Price Book'!$F:$F,MATCH($E18,'CTX Price Book'!$C:$C,0)),""))</f>
        <v/>
      </c>
      <c r="H18" s="12"/>
      <c r="I18" s="13"/>
      <c r="J18" s="289" t="str">
        <f t="shared" si="2"/>
        <v/>
      </c>
      <c r="K18" s="11" t="str">
        <f t="shared" si="3"/>
        <v/>
      </c>
      <c r="M18" s="457" t="s">
        <v>743</v>
      </c>
      <c r="N18" s="574"/>
      <c r="O18" s="574"/>
    </row>
    <row r="19" spans="3:15" ht="15" customHeight="1">
      <c r="C19" s="8" t="str">
        <f t="shared" si="0"/>
        <v/>
      </c>
      <c r="D19" s="9"/>
      <c r="E19" s="9"/>
      <c r="F19" s="10" t="str">
        <f>IF($E19="","",IFERROR(INDEX('CTX Price Book'!$D:$D,MATCH($E19,'CTX Price Book'!$C:$C,0)),"SKU not found"))</f>
        <v/>
      </c>
      <c r="G19" s="11" t="str">
        <f>IF($E19="","",IFERROR(INDEX('CTX Price Book'!$F:$F,MATCH($E19,'CTX Price Book'!$C:$C,0)),""))</f>
        <v/>
      </c>
      <c r="H19" s="12"/>
      <c r="I19" s="13"/>
      <c r="J19" s="289" t="str">
        <f t="shared" si="2"/>
        <v/>
      </c>
      <c r="K19" s="11" t="str">
        <f t="shared" si="3"/>
        <v/>
      </c>
      <c r="M19" s="457" t="s">
        <v>401</v>
      </c>
      <c r="N19" s="577"/>
      <c r="O19" s="578"/>
    </row>
    <row r="20" spans="3:15" ht="15" customHeight="1">
      <c r="C20" s="8" t="str">
        <f t="shared" si="0"/>
        <v/>
      </c>
      <c r="D20" s="9"/>
      <c r="E20" s="9"/>
      <c r="F20" s="10" t="str">
        <f>IF($E20="","",IFERROR(INDEX('CTX Price Book'!$D:$D,MATCH($E20,'CTX Price Book'!$C:$C,0)),"SKU not found"))</f>
        <v/>
      </c>
      <c r="G20" s="11" t="str">
        <f>IF($E20="","",IFERROR(INDEX('CTX Price Book'!$F:$F,MATCH($E20,'CTX Price Book'!$C:$C,0)),""))</f>
        <v/>
      </c>
      <c r="H20" s="12"/>
      <c r="I20" s="13"/>
      <c r="J20" s="289" t="str">
        <f t="shared" si="2"/>
        <v/>
      </c>
      <c r="K20" s="11" t="str">
        <f t="shared" si="3"/>
        <v/>
      </c>
      <c r="M20" s="457" t="s">
        <v>44</v>
      </c>
      <c r="N20" s="577"/>
      <c r="O20" s="578"/>
    </row>
    <row r="21" spans="3:15" ht="15" customHeight="1">
      <c r="C21" s="8" t="str">
        <f t="shared" si="0"/>
        <v/>
      </c>
      <c r="D21" s="9"/>
      <c r="E21" s="9"/>
      <c r="F21" s="10" t="str">
        <f>IF($E21="","",IFERROR(INDEX('CTX Price Book'!$D:$D,MATCH($E21,'CTX Price Book'!$C:$C,0)),"SKU not found"))</f>
        <v/>
      </c>
      <c r="G21" s="11" t="str">
        <f>IF($E21="","",IFERROR(INDEX('CTX Price Book'!$F:$F,MATCH($E21,'CTX Price Book'!$C:$C,0)),""))</f>
        <v/>
      </c>
      <c r="H21" s="12"/>
      <c r="I21" s="13"/>
      <c r="J21" s="289" t="str">
        <f t="shared" si="2"/>
        <v/>
      </c>
      <c r="K21" s="11" t="str">
        <f t="shared" si="3"/>
        <v/>
      </c>
      <c r="M21" s="575" t="s">
        <v>758</v>
      </c>
      <c r="N21" s="574"/>
      <c r="O21" s="574"/>
    </row>
    <row r="22" spans="3:15">
      <c r="C22" s="8" t="str">
        <f t="shared" si="0"/>
        <v/>
      </c>
      <c r="D22" s="9"/>
      <c r="E22" s="9"/>
      <c r="F22" s="10" t="str">
        <f>IF($E22="","",IFERROR(INDEX('CTX Price Book'!$D:$D,MATCH($E22,'CTX Price Book'!$C:$C,0)),"SKU not found"))</f>
        <v/>
      </c>
      <c r="G22" s="11" t="str">
        <f>IF($E22="","",IFERROR(INDEX('CTX Price Book'!$F:$F,MATCH($E22,'CTX Price Book'!$C:$C,0)),""))</f>
        <v/>
      </c>
      <c r="H22" s="12"/>
      <c r="I22" s="13"/>
      <c r="J22" s="289" t="str">
        <f t="shared" si="2"/>
        <v/>
      </c>
      <c r="K22" s="11" t="str">
        <f t="shared" si="3"/>
        <v/>
      </c>
      <c r="M22" s="575"/>
      <c r="N22" s="574"/>
      <c r="O22" s="574"/>
    </row>
    <row r="23" spans="3:15">
      <c r="C23" s="8" t="str">
        <f t="shared" si="0"/>
        <v/>
      </c>
      <c r="D23" s="9"/>
      <c r="E23" s="9"/>
      <c r="F23" s="10" t="str">
        <f>IF($E23="","",IFERROR(INDEX('CTX Price Book'!$D:$D,MATCH($E23,'CTX Price Book'!$C:$C,0)),"SKU not found"))</f>
        <v/>
      </c>
      <c r="G23" s="11" t="str">
        <f>IF($E23="","",IFERROR(INDEX('CTX Price Book'!$F:$F,MATCH($E23,'CTX Price Book'!$C:$C,0)),""))</f>
        <v/>
      </c>
      <c r="H23" s="12"/>
      <c r="I23" s="13"/>
      <c r="J23" s="289" t="str">
        <f t="shared" si="2"/>
        <v/>
      </c>
      <c r="K23" s="11" t="str">
        <f t="shared" si="3"/>
        <v/>
      </c>
      <c r="M23" s="575"/>
      <c r="N23" s="574"/>
      <c r="O23" s="574"/>
    </row>
    <row r="24" spans="3:15">
      <c r="C24" s="8" t="str">
        <f t="shared" si="0"/>
        <v/>
      </c>
      <c r="D24" s="9"/>
      <c r="E24" s="9"/>
      <c r="F24" s="10" t="str">
        <f>IF($E24="","",IFERROR(INDEX('CTX Price Book'!$D:$D,MATCH($E24,'CTX Price Book'!$C:$C,0)),"SKU not found"))</f>
        <v/>
      </c>
      <c r="G24" s="11" t="str">
        <f>IF($E24="","",IFERROR(INDEX('CTX Price Book'!$F:$F,MATCH($E24,'CTX Price Book'!$C:$C,0)),""))</f>
        <v/>
      </c>
      <c r="H24" s="12"/>
      <c r="I24" s="13"/>
      <c r="J24" s="289" t="str">
        <f t="shared" si="2"/>
        <v/>
      </c>
      <c r="K24" s="11" t="str">
        <f t="shared" si="3"/>
        <v/>
      </c>
      <c r="M24" s="575"/>
      <c r="N24" s="574"/>
      <c r="O24" s="574"/>
    </row>
    <row r="25" spans="3:15">
      <c r="C25" s="8" t="str">
        <f t="shared" si="0"/>
        <v/>
      </c>
      <c r="D25" s="9"/>
      <c r="E25" s="9"/>
      <c r="F25" s="10" t="str">
        <f>IF($E25="","",IFERROR(INDEX('CTX Price Book'!$D:$D,MATCH($E25,'CTX Price Book'!$C:$C,0)),"SKU not found"))</f>
        <v/>
      </c>
      <c r="G25" s="11" t="str">
        <f>IF($E25="","",IFERROR(INDEX('CTX Price Book'!$F:$F,MATCH($E25,'CTX Price Book'!$C:$C,0)),""))</f>
        <v/>
      </c>
      <c r="H25" s="12"/>
      <c r="I25" s="13"/>
      <c r="J25" s="289" t="str">
        <f t="shared" si="2"/>
        <v/>
      </c>
      <c r="K25" s="11" t="str">
        <f t="shared" si="3"/>
        <v/>
      </c>
      <c r="M25" s="575"/>
      <c r="N25" s="574"/>
      <c r="O25" s="574"/>
    </row>
    <row r="26" spans="3:15">
      <c r="C26" s="8" t="str">
        <f t="shared" si="0"/>
        <v/>
      </c>
      <c r="D26" s="9"/>
      <c r="E26" s="9"/>
      <c r="F26" s="10" t="str">
        <f>IF($E26="","",IFERROR(INDEX('CTX Price Book'!$D:$D,MATCH($E26,'CTX Price Book'!$C:$C,0)),"SKU not found"))</f>
        <v/>
      </c>
      <c r="G26" s="11" t="str">
        <f>IF($E26="","",IFERROR(INDEX('CTX Price Book'!$F:$F,MATCH($E26,'CTX Price Book'!$C:$C,0)),""))</f>
        <v/>
      </c>
      <c r="H26" s="12"/>
      <c r="I26" s="13"/>
      <c r="J26" s="289" t="str">
        <f t="shared" si="2"/>
        <v/>
      </c>
      <c r="K26" s="11" t="str">
        <f t="shared" si="3"/>
        <v/>
      </c>
      <c r="M26" s="575"/>
      <c r="N26" s="574"/>
      <c r="O26" s="574"/>
    </row>
    <row r="27" spans="3:15" ht="30" customHeight="1">
      <c r="C27" s="8" t="str">
        <f t="shared" si="0"/>
        <v/>
      </c>
      <c r="D27" s="9"/>
      <c r="E27" s="9"/>
      <c r="F27" s="10" t="str">
        <f>IF($E27="","",IFERROR(INDEX('CTX Price Book'!$D:$D,MATCH($E27,'CTX Price Book'!$C:$C,0)),"SKU not found"))</f>
        <v/>
      </c>
      <c r="G27" s="11" t="str">
        <f>IF($E27="","",IFERROR(INDEX('CTX Price Book'!$F:$F,MATCH($E27,'CTX Price Book'!$C:$C,0)),""))</f>
        <v/>
      </c>
      <c r="H27" s="12"/>
      <c r="I27" s="13"/>
      <c r="J27" s="289" t="str">
        <f t="shared" si="2"/>
        <v/>
      </c>
      <c r="K27" s="11" t="str">
        <f t="shared" si="3"/>
        <v/>
      </c>
      <c r="M27" s="575" t="s">
        <v>757</v>
      </c>
      <c r="N27" s="576"/>
      <c r="O27" s="576"/>
    </row>
    <row r="28" spans="3:15">
      <c r="C28" s="8" t="str">
        <f t="shared" si="0"/>
        <v/>
      </c>
      <c r="D28" s="9"/>
      <c r="E28" s="9"/>
      <c r="F28" s="10" t="str">
        <f>IF($E28="","",IFERROR(INDEX('CTX Price Book'!$D:$D,MATCH($E28,'CTX Price Book'!$C:$C,0)),"SKU not found"))</f>
        <v/>
      </c>
      <c r="G28" s="11" t="str">
        <f>IF($E28="","",IFERROR(INDEX('CTX Price Book'!$F:$F,MATCH($E28,'CTX Price Book'!$C:$C,0)),""))</f>
        <v/>
      </c>
      <c r="H28" s="12"/>
      <c r="I28" s="13"/>
      <c r="J28" s="289" t="str">
        <f t="shared" si="2"/>
        <v/>
      </c>
      <c r="K28" s="11" t="str">
        <f t="shared" si="3"/>
        <v/>
      </c>
      <c r="M28" s="575"/>
      <c r="N28" s="576"/>
      <c r="O28" s="576"/>
    </row>
    <row r="29" spans="3:15">
      <c r="C29" s="8" t="str">
        <f t="shared" si="0"/>
        <v/>
      </c>
      <c r="D29" s="9"/>
      <c r="E29" s="9"/>
      <c r="F29" s="10" t="str">
        <f>IF($E29="","",IFERROR(INDEX('CTX Price Book'!$D:$D,MATCH($E29,'CTX Price Book'!$C:$C,0)),"SKU not found"))</f>
        <v/>
      </c>
      <c r="G29" s="11" t="str">
        <f>IF($E29="","",IFERROR(INDEX('CTX Price Book'!$F:$F,MATCH($E29,'CTX Price Book'!$C:$C,0)),""))</f>
        <v/>
      </c>
      <c r="H29" s="12"/>
      <c r="I29" s="13"/>
      <c r="J29" s="289" t="str">
        <f t="shared" si="2"/>
        <v/>
      </c>
      <c r="K29" s="11" t="str">
        <f t="shared" si="3"/>
        <v/>
      </c>
      <c r="M29" s="575"/>
      <c r="N29" s="576"/>
      <c r="O29" s="576"/>
    </row>
    <row r="30" spans="3:15">
      <c r="C30" s="8" t="str">
        <f t="shared" si="0"/>
        <v/>
      </c>
      <c r="D30" s="9"/>
      <c r="E30" s="9"/>
      <c r="F30" s="10" t="str">
        <f>IF($E30="","",IFERROR(INDEX('CTX Price Book'!$D:$D,MATCH($E30,'CTX Price Book'!$C:$C,0)),"SKU not found"))</f>
        <v/>
      </c>
      <c r="G30" s="11" t="str">
        <f>IF($E30="","",IFERROR(INDEX('CTX Price Book'!$F:$F,MATCH($E30,'CTX Price Book'!$C:$C,0)),""))</f>
        <v/>
      </c>
      <c r="H30" s="12"/>
      <c r="I30" s="13"/>
      <c r="J30" s="289" t="str">
        <f t="shared" si="2"/>
        <v/>
      </c>
      <c r="K30" s="11" t="str">
        <f t="shared" si="3"/>
        <v/>
      </c>
      <c r="M30" s="575"/>
      <c r="N30" s="576"/>
      <c r="O30" s="576"/>
    </row>
    <row r="31" spans="3:15">
      <c r="C31" s="8" t="str">
        <f t="shared" si="0"/>
        <v/>
      </c>
      <c r="D31" s="9"/>
      <c r="E31" s="9"/>
      <c r="F31" s="10" t="str">
        <f>IF($E31="","",IFERROR(INDEX('CTX Price Book'!$D:$D,MATCH($E31,'CTX Price Book'!$C:$C,0)),"SKU not found"))</f>
        <v/>
      </c>
      <c r="G31" s="11" t="str">
        <f>IF($E31="","",IFERROR(INDEX('CTX Price Book'!$F:$F,MATCH($E31,'CTX Price Book'!$C:$C,0)),""))</f>
        <v/>
      </c>
      <c r="H31" s="12"/>
      <c r="I31" s="13"/>
      <c r="J31" s="289" t="str">
        <f t="shared" si="2"/>
        <v/>
      </c>
      <c r="K31" s="11" t="str">
        <f t="shared" si="3"/>
        <v/>
      </c>
      <c r="M31" s="575"/>
      <c r="N31" s="576"/>
      <c r="O31" s="576"/>
    </row>
    <row r="32" spans="3:15">
      <c r="C32" s="8" t="str">
        <f t="shared" si="0"/>
        <v/>
      </c>
      <c r="D32" s="9"/>
      <c r="E32" s="9"/>
      <c r="F32" s="10" t="str">
        <f>IF($E32="","",IFERROR(INDEX('CTX Price Book'!$D:$D,MATCH($E32,'CTX Price Book'!$C:$C,0)),"SKU not found"))</f>
        <v/>
      </c>
      <c r="G32" s="11" t="str">
        <f>IF($E32="","",IFERROR(INDEX('CTX Price Book'!$F:$F,MATCH($E32,'CTX Price Book'!$C:$C,0)),""))</f>
        <v/>
      </c>
      <c r="H32" s="12"/>
      <c r="I32" s="13"/>
      <c r="J32" s="289" t="str">
        <f t="shared" si="2"/>
        <v/>
      </c>
      <c r="K32" s="11" t="str">
        <f t="shared" si="3"/>
        <v/>
      </c>
      <c r="M32" s="575"/>
      <c r="N32" s="576"/>
      <c r="O32" s="576"/>
    </row>
    <row r="33" spans="2:15">
      <c r="C33" s="8" t="str">
        <f t="shared" si="0"/>
        <v/>
      </c>
      <c r="D33" s="9"/>
      <c r="E33" s="9"/>
      <c r="F33" s="10" t="str">
        <f>IF($E33="","",IFERROR(INDEX('CTX Price Book'!$D:$D,MATCH($E33,'CTX Price Book'!$C:$C,0)),"SKU not found"))</f>
        <v/>
      </c>
      <c r="G33" s="11" t="str">
        <f>IF($E33="","",IFERROR(INDEX('CTX Price Book'!$F:$F,MATCH($E33,'CTX Price Book'!$C:$C,0)),""))</f>
        <v/>
      </c>
      <c r="H33" s="12"/>
      <c r="I33" s="13"/>
      <c r="J33" s="289" t="str">
        <f t="shared" si="2"/>
        <v/>
      </c>
      <c r="K33" s="11" t="str">
        <f t="shared" si="3"/>
        <v/>
      </c>
      <c r="M33" s="575"/>
      <c r="N33" s="576"/>
      <c r="O33" s="576"/>
    </row>
    <row r="34" spans="2:15" ht="15" customHeight="1">
      <c r="C34" s="8" t="str">
        <f t="shared" si="0"/>
        <v/>
      </c>
      <c r="D34" s="9"/>
      <c r="E34" s="9"/>
      <c r="F34" s="10" t="str">
        <f>IF($E34="","",IFERROR(INDEX('CTX Price Book'!$D:$D,MATCH($E34,'CTX Price Book'!$C:$C,0)),"SKU not found"))</f>
        <v/>
      </c>
      <c r="G34" s="11" t="str">
        <f>IF($E34="","",IFERROR(INDEX('CTX Price Book'!$F:$F,MATCH($E34,'CTX Price Book'!$C:$C,0)),""))</f>
        <v/>
      </c>
      <c r="H34" s="12"/>
      <c r="I34" s="13"/>
      <c r="J34" s="289" t="str">
        <f t="shared" si="2"/>
        <v/>
      </c>
      <c r="K34" s="11" t="str">
        <f t="shared" si="3"/>
        <v/>
      </c>
      <c r="M34" s="575"/>
      <c r="N34" s="576"/>
      <c r="O34" s="576"/>
    </row>
    <row r="35" spans="2:15" ht="15" customHeight="1">
      <c r="C35" s="8" t="str">
        <f t="shared" si="0"/>
        <v/>
      </c>
      <c r="D35" s="9"/>
      <c r="E35" s="9"/>
      <c r="F35" s="10" t="str">
        <f>IF($E35="","",IFERROR(INDEX('CTX Price Book'!$D:$D,MATCH($E35,'CTX Price Book'!$C:$C,0)),"SKU not found"))</f>
        <v/>
      </c>
      <c r="G35" s="11" t="str">
        <f>IF($E35="","",IFERROR(INDEX('CTX Price Book'!$F:$F,MATCH($E35,'CTX Price Book'!$C:$C,0)),""))</f>
        <v/>
      </c>
      <c r="H35" s="12"/>
      <c r="I35" s="13"/>
      <c r="J35" s="289" t="str">
        <f t="shared" si="2"/>
        <v/>
      </c>
      <c r="K35" s="11" t="str">
        <f t="shared" si="3"/>
        <v/>
      </c>
      <c r="M35" s="575"/>
      <c r="N35" s="576"/>
      <c r="O35" s="576"/>
    </row>
    <row r="36" spans="2:15" ht="15" customHeight="1">
      <c r="C36" s="8" t="str">
        <f t="shared" si="0"/>
        <v/>
      </c>
      <c r="D36" s="9"/>
      <c r="E36" s="9"/>
      <c r="F36" s="10" t="str">
        <f>IF($E36="","",IFERROR(INDEX('CTX Price Book'!$D:$D,MATCH($E36,'CTX Price Book'!$C:$C,0)),"SKU not found"))</f>
        <v/>
      </c>
      <c r="G36" s="11" t="str">
        <f>IF($E36="","",IFERROR(INDEX('CTX Price Book'!$F:$F,MATCH($E36,'CTX Price Book'!$C:$C,0)),""))</f>
        <v/>
      </c>
      <c r="H36" s="12"/>
      <c r="I36" s="13"/>
      <c r="J36" s="289" t="str">
        <f t="shared" si="2"/>
        <v/>
      </c>
      <c r="K36" s="11" t="str">
        <f t="shared" si="3"/>
        <v/>
      </c>
      <c r="M36" s="575"/>
      <c r="N36" s="576"/>
      <c r="O36" s="576"/>
    </row>
    <row r="37" spans="2:15" ht="15" customHeight="1">
      <c r="C37" s="8" t="str">
        <f t="shared" si="0"/>
        <v/>
      </c>
      <c r="D37" s="9"/>
      <c r="E37" s="9"/>
      <c r="F37" s="10" t="str">
        <f>IF($E37="","",IFERROR(INDEX('CTX Price Book'!$D:$D,MATCH($E37,'CTX Price Book'!$C:$C,0)),"SKU not found"))</f>
        <v/>
      </c>
      <c r="G37" s="11" t="str">
        <f>IF($E37="","",IFERROR(INDEX('CTX Price Book'!$F:$F,MATCH($E37,'CTX Price Book'!$C:$C,0)),""))</f>
        <v/>
      </c>
      <c r="H37" s="12"/>
      <c r="I37" s="13"/>
      <c r="J37" s="289" t="str">
        <f t="shared" si="2"/>
        <v/>
      </c>
      <c r="K37" s="11" t="str">
        <f t="shared" si="3"/>
        <v/>
      </c>
      <c r="M37" s="575"/>
      <c r="N37" s="576"/>
      <c r="O37" s="576"/>
    </row>
    <row r="38" spans="2:15" ht="15" customHeight="1">
      <c r="B38" s="4" t="s">
        <v>20</v>
      </c>
      <c r="C38" s="15"/>
      <c r="D38" s="15"/>
      <c r="E38" s="15"/>
      <c r="F38" s="15"/>
      <c r="G38" s="15"/>
      <c r="H38" s="15"/>
      <c r="I38" s="15"/>
      <c r="J38" s="16">
        <f>SUM(J8:J37)</f>
        <v>325654</v>
      </c>
      <c r="K38" s="16">
        <f>SUM(K8:K37)</f>
        <v>325654</v>
      </c>
    </row>
    <row r="40" spans="2:15" ht="15" customHeight="1">
      <c r="B40" s="4" t="s">
        <v>21</v>
      </c>
    </row>
    <row r="41" spans="2:15" ht="15" customHeight="1">
      <c r="B41" s="572" t="s">
        <v>746</v>
      </c>
      <c r="C41" s="572"/>
      <c r="D41" s="572"/>
      <c r="E41" s="572"/>
      <c r="F41" s="572"/>
      <c r="G41" s="572"/>
      <c r="H41" s="572"/>
      <c r="I41" s="572"/>
      <c r="J41" s="572"/>
      <c r="K41" s="572"/>
    </row>
    <row r="42" spans="2:15" ht="15" customHeight="1">
      <c r="B42" s="572"/>
      <c r="C42" s="572"/>
      <c r="D42" s="572"/>
      <c r="E42" s="572"/>
      <c r="F42" s="572"/>
      <c r="G42" s="572"/>
      <c r="H42" s="572"/>
      <c r="I42" s="572"/>
      <c r="J42" s="572"/>
      <c r="K42" s="572"/>
    </row>
    <row r="43" spans="2:15" ht="15" customHeight="1">
      <c r="B43" s="572"/>
      <c r="C43" s="572"/>
      <c r="D43" s="572"/>
      <c r="E43" s="572"/>
      <c r="F43" s="572"/>
      <c r="G43" s="572"/>
      <c r="H43" s="572"/>
      <c r="I43" s="572"/>
      <c r="J43" s="572"/>
      <c r="K43" s="572"/>
    </row>
    <row r="44" spans="2:15" ht="15" customHeight="1">
      <c r="B44" s="572"/>
      <c r="C44" s="572"/>
      <c r="D44" s="572"/>
      <c r="E44" s="572"/>
      <c r="F44" s="572"/>
      <c r="G44" s="572"/>
      <c r="H44" s="572"/>
      <c r="I44" s="572"/>
      <c r="J44" s="572"/>
      <c r="K44" s="572"/>
    </row>
  </sheetData>
  <mergeCells count="12">
    <mergeCell ref="M16:O16"/>
    <mergeCell ref="C2:K3"/>
    <mergeCell ref="B41:K44"/>
    <mergeCell ref="M5:T6"/>
    <mergeCell ref="N21:O26"/>
    <mergeCell ref="M21:M26"/>
    <mergeCell ref="N18:O18"/>
    <mergeCell ref="N17:O17"/>
    <mergeCell ref="M27:M37"/>
    <mergeCell ref="N27:O37"/>
    <mergeCell ref="N19:O19"/>
    <mergeCell ref="N20:O20"/>
  </mergeCells>
  <dataValidations count="4">
    <dataValidation type="list" allowBlank="1" showErrorMessage="1" errorTitle="Invalid category" error="Pick a category from the dropdown list." sqref="D8:D37" xr:uid="{00000000-0002-0000-0000-000000000000}">
      <formula1>_CTX_Category_List</formula1>
      <formula2>0</formula2>
    </dataValidation>
    <dataValidation type="list" allowBlank="1" showErrorMessage="1" errorTitle="Invalid SKU" error="Pick the Category first, then choose a SKU from its list." sqref="E8:E37" xr:uid="{00000000-0002-0000-0000-000001000000}">
      <formula1>INDIRECT(IF($D8="","_Pick_First",$D8))</formula1>
      <formula2>0</formula2>
    </dataValidation>
    <dataValidation type="decimal" allowBlank="1" showErrorMessage="1" errorTitle="Invalid discount" error="Enter a percent between 0% and 100% (e.g. 30%)." sqref="H8:H37" xr:uid="{00000000-0002-0000-0000-000002000000}">
      <formula1>0</formula1>
      <formula2>1</formula2>
    </dataValidation>
    <dataValidation type="whole" operator="greaterThanOrEqual" allowBlank="1" showErrorMessage="1" errorTitle="Invalid quantity" error="Enter a whole number quantity." sqref="I8:J37" xr:uid="{00000000-0002-0000-0000-000003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BBB59"/>
  </sheetPr>
  <dimension ref="B1:H45"/>
  <sheetViews>
    <sheetView showGridLines="0" zoomScale="70" zoomScaleNormal="70" workbookViewId="0">
      <selection activeCell="H38" sqref="H38"/>
    </sheetView>
  </sheetViews>
  <sheetFormatPr defaultColWidth="8.7109375" defaultRowHeight="15"/>
  <cols>
    <col min="1" max="1" width="2.7109375" customWidth="1"/>
    <col min="2" max="2" width="50" customWidth="1"/>
    <col min="3" max="3" width="9" customWidth="1"/>
    <col min="4" max="4" width="19.28515625" customWidth="1"/>
    <col min="5" max="5" width="20.5703125" customWidth="1"/>
    <col min="6" max="6" width="9.7109375" bestFit="1" customWidth="1"/>
    <col min="7" max="7" width="11.140625" customWidth="1"/>
    <col min="8" max="8" width="6" customWidth="1"/>
  </cols>
  <sheetData>
    <row r="1" spans="2:8" ht="15" customHeight="1">
      <c r="B1" s="582" t="s">
        <v>52</v>
      </c>
      <c r="C1" s="582"/>
      <c r="D1" s="582"/>
      <c r="E1" s="582"/>
      <c r="G1" s="14" t="s">
        <v>53</v>
      </c>
      <c r="H1" s="47">
        <v>1</v>
      </c>
    </row>
    <row r="2" spans="2:8" ht="15" customHeight="1">
      <c r="B2" s="3" t="s">
        <v>54</v>
      </c>
      <c r="C2" s="48" t="s">
        <v>55</v>
      </c>
      <c r="D2" s="48" t="s">
        <v>56</v>
      </c>
      <c r="E2" s="48" t="s">
        <v>57</v>
      </c>
    </row>
    <row r="3" spans="2:8" ht="15" customHeight="1">
      <c r="B3" s="49" t="str">
        <f>IF('INPUT SHEET'!E8="","",'INPUT SHEET'!F8)</f>
        <v xml:space="preserve">240kW DCFC All In One Charger - 350A Cable / 1000VDC Dual CCS1 ; Can charge 2 cars simultaneously with 120kW each ; 4G Modem </v>
      </c>
      <c r="C3" s="50">
        <f>IF('INPUT SHEET'!E8="","",'INPUT SHEET'!I8)</f>
        <v>4</v>
      </c>
      <c r="D3" s="51">
        <f>IF('INPUT SHEET'!E8="","",'INPUT SHEET'!K8*$H$1 /'INPUT SHEET'!I8*$H$1)</f>
        <v>80000</v>
      </c>
      <c r="E3" s="51">
        <f>IF(B3="","",C3*D3)</f>
        <v>320000</v>
      </c>
    </row>
    <row r="4" spans="2:8" ht="15" customHeight="1">
      <c r="B4" s="49" t="str">
        <f>IF('INPUT SHEET'!E9="","",'INPUT SHEET'!F9)</f>
        <v>80A Dual Commercial L2 Charger (18' Cable with Modem)</v>
      </c>
      <c r="C4" s="50">
        <f>IF('INPUT SHEET'!E9="","",'INPUT SHEET'!I9)</f>
        <v>2</v>
      </c>
      <c r="D4" s="51">
        <f>IF('INPUT SHEET'!E9="","",'INPUT SHEET'!K9*$H$1 /'INPUT SHEET'!I9*$H$1)</f>
        <v>2194.5</v>
      </c>
      <c r="E4" s="51">
        <f t="shared" ref="E4:E12" si="0">IF(B4="","",C4*D4)</f>
        <v>4389</v>
      </c>
    </row>
    <row r="5" spans="2:8" ht="15" customHeight="1">
      <c r="B5" s="49" t="str">
        <f>IF('INPUT SHEET'!E10="","",'INPUT SHEET'!F10)</f>
        <v>Dual Retractor (Post)</v>
      </c>
      <c r="C5" s="50">
        <f>IF('INPUT SHEET'!E10="","",'INPUT SHEET'!I10)</f>
        <v>2</v>
      </c>
      <c r="D5" s="51">
        <f>IF('INPUT SHEET'!E10="","",'INPUT SHEET'!K10*$H$1 /'INPUT SHEET'!I10*$H$1)</f>
        <v>632.5</v>
      </c>
      <c r="E5" s="51">
        <f t="shared" si="0"/>
        <v>1265</v>
      </c>
    </row>
    <row r="6" spans="2:8">
      <c r="B6" s="49" t="str">
        <f>IF('INPUT SHEET'!E11="","",'INPUT SHEET'!F11)</f>
        <v/>
      </c>
      <c r="C6" s="50" t="str">
        <f>IF('INPUT SHEET'!E11="","",'INPUT SHEET'!I11)</f>
        <v/>
      </c>
      <c r="D6" s="51" t="str">
        <f>IF('INPUT SHEET'!E11="","",'INPUT SHEET'!K11*$H$1 /'INPUT SHEET'!I11*$H$1)</f>
        <v/>
      </c>
      <c r="E6" s="51" t="str">
        <f t="shared" si="0"/>
        <v/>
      </c>
    </row>
    <row r="7" spans="2:8">
      <c r="B7" s="49" t="str">
        <f>IF('INPUT SHEET'!E12="","",'INPUT SHEET'!F12)</f>
        <v/>
      </c>
      <c r="C7" s="50" t="str">
        <f>IF('INPUT SHEET'!E12="","",'INPUT SHEET'!I12)</f>
        <v/>
      </c>
      <c r="D7" s="51" t="str">
        <f>IF('INPUT SHEET'!E12="","",'INPUT SHEET'!K12*$H$1 /'INPUT SHEET'!I12*$H$1)</f>
        <v/>
      </c>
      <c r="E7" s="51" t="str">
        <f t="shared" si="0"/>
        <v/>
      </c>
    </row>
    <row r="8" spans="2:8">
      <c r="B8" s="49" t="str">
        <f>IF('INPUT SHEET'!E13="","",'INPUT SHEET'!F13)</f>
        <v/>
      </c>
      <c r="C8" s="50" t="str">
        <f>IF('INPUT SHEET'!E13="","",'INPUT SHEET'!I13)</f>
        <v/>
      </c>
      <c r="D8" s="51" t="str">
        <f>IF('INPUT SHEET'!E13="","",'INPUT SHEET'!K13*$H$1 /'INPUT SHEET'!I13*$H$1)</f>
        <v/>
      </c>
      <c r="E8" s="51" t="str">
        <f t="shared" si="0"/>
        <v/>
      </c>
    </row>
    <row r="9" spans="2:8">
      <c r="B9" s="49" t="str">
        <f>IF('INPUT SHEET'!E14="","",'INPUT SHEET'!F14)</f>
        <v/>
      </c>
      <c r="C9" s="50" t="str">
        <f>IF('INPUT SHEET'!E14="","",'INPUT SHEET'!I14)</f>
        <v/>
      </c>
      <c r="D9" s="51" t="str">
        <f>IF('INPUT SHEET'!E14="","",'INPUT SHEET'!K14*$H$1 /'INPUT SHEET'!I14*$H$1)</f>
        <v/>
      </c>
      <c r="E9" s="51" t="str">
        <f t="shared" si="0"/>
        <v/>
      </c>
    </row>
    <row r="10" spans="2:8">
      <c r="B10" s="49" t="str">
        <f>IF('INPUT SHEET'!E15="","",'INPUT SHEET'!F15)</f>
        <v/>
      </c>
      <c r="C10" s="50" t="str">
        <f>IF('INPUT SHEET'!E15="","",'INPUT SHEET'!I15)</f>
        <v/>
      </c>
      <c r="D10" s="51" t="str">
        <f>IF('INPUT SHEET'!E15="","",'INPUT SHEET'!K15*$H$1 /'INPUT SHEET'!I15*$H$1)</f>
        <v/>
      </c>
      <c r="E10" s="51" t="str">
        <f t="shared" si="0"/>
        <v/>
      </c>
    </row>
    <row r="11" spans="2:8">
      <c r="B11" s="49" t="str">
        <f>IF('INPUT SHEET'!E16="","",'INPUT SHEET'!F16)</f>
        <v/>
      </c>
      <c r="C11" s="50" t="str">
        <f>IF('INPUT SHEET'!E16="","",'INPUT SHEET'!I16)</f>
        <v/>
      </c>
      <c r="D11" s="51" t="str">
        <f>IF('INPUT SHEET'!E16="","",'INPUT SHEET'!K16*$H$1 /'INPUT SHEET'!I16*$H$1)</f>
        <v/>
      </c>
      <c r="E11" s="51" t="str">
        <f t="shared" si="0"/>
        <v/>
      </c>
    </row>
    <row r="12" spans="2:8">
      <c r="B12" s="49" t="str">
        <f>IF('INPUT SHEET'!E17="","",'INPUT SHEET'!F17)</f>
        <v/>
      </c>
      <c r="C12" s="50" t="str">
        <f>IF('INPUT SHEET'!E17="","",'INPUT SHEET'!I17)</f>
        <v/>
      </c>
      <c r="D12" s="51" t="str">
        <f>IF('INPUT SHEET'!E17="","",'INPUT SHEET'!K17*$H$1 /'INPUT SHEET'!I17*$H$1)</f>
        <v/>
      </c>
      <c r="E12" s="51" t="str">
        <f t="shared" si="0"/>
        <v/>
      </c>
    </row>
    <row r="13" spans="2:8">
      <c r="B13" s="579" t="s">
        <v>58</v>
      </c>
      <c r="C13" s="579"/>
      <c r="D13" s="579"/>
      <c r="E13" s="52">
        <f>'Internal Summary'!D4</f>
        <v>325654</v>
      </c>
    </row>
    <row r="14" spans="2:8">
      <c r="B14" s="3" t="s">
        <v>34</v>
      </c>
      <c r="C14" s="48" t="s">
        <v>55</v>
      </c>
      <c r="D14" s="48" t="s">
        <v>56</v>
      </c>
      <c r="E14" s="48" t="s">
        <v>373</v>
      </c>
    </row>
    <row r="15" spans="2:8">
      <c r="B15" s="53" t="s">
        <v>35</v>
      </c>
      <c r="C15" s="50">
        <f>IF(N(D15)=0,0,1)</f>
        <v>1</v>
      </c>
      <c r="D15" s="51">
        <f>'Internal Summary'!D14</f>
        <v>39438.14</v>
      </c>
      <c r="E15" s="51">
        <f t="shared" ref="E15:E23" si="1">C15*D15</f>
        <v>39438.14</v>
      </c>
    </row>
    <row r="16" spans="2:8">
      <c r="B16" s="53" t="s">
        <v>36</v>
      </c>
      <c r="C16" s="50">
        <f t="shared" ref="C16:C23" si="2">IF(N(D16)=0,0,1)</f>
        <v>1</v>
      </c>
      <c r="D16" s="51">
        <f>'Internal Summary'!D15</f>
        <v>68970</v>
      </c>
      <c r="E16" s="51">
        <f t="shared" si="1"/>
        <v>68970</v>
      </c>
    </row>
    <row r="17" spans="2:6" ht="15" customHeight="1">
      <c r="B17" s="53" t="s">
        <v>37</v>
      </c>
      <c r="C17" s="50">
        <f t="shared" si="2"/>
        <v>1</v>
      </c>
      <c r="D17" s="51">
        <f>'Internal Summary'!D16</f>
        <v>13878.7</v>
      </c>
      <c r="E17" s="51">
        <f t="shared" si="1"/>
        <v>13878.7</v>
      </c>
    </row>
    <row r="18" spans="2:6" ht="15" customHeight="1">
      <c r="B18" s="53" t="s">
        <v>38</v>
      </c>
      <c r="C18" s="50">
        <f t="shared" si="2"/>
        <v>1</v>
      </c>
      <c r="D18" s="51">
        <f>'Internal Summary'!D17</f>
        <v>3115.02</v>
      </c>
      <c r="E18" s="51">
        <f t="shared" si="1"/>
        <v>3115.02</v>
      </c>
    </row>
    <row r="19" spans="2:6" ht="15" customHeight="1">
      <c r="B19" s="53" t="s">
        <v>59</v>
      </c>
      <c r="C19" s="50">
        <f t="shared" si="2"/>
        <v>1</v>
      </c>
      <c r="D19" s="51">
        <f>'Internal Summary'!D22</f>
        <v>2420</v>
      </c>
      <c r="E19" s="51">
        <f t="shared" si="1"/>
        <v>2420</v>
      </c>
    </row>
    <row r="20" spans="2:6" ht="15" customHeight="1">
      <c r="B20" s="53" t="s">
        <v>60</v>
      </c>
      <c r="C20" s="50">
        <f t="shared" si="2"/>
        <v>0</v>
      </c>
      <c r="D20" s="51">
        <f>'Internal Summary'!D8</f>
        <v>0</v>
      </c>
      <c r="E20" s="51">
        <f t="shared" si="1"/>
        <v>0</v>
      </c>
    </row>
    <row r="21" spans="2:6" ht="15" customHeight="1">
      <c r="B21" s="53" t="s">
        <v>45</v>
      </c>
      <c r="C21" s="50">
        <f t="shared" si="2"/>
        <v>1</v>
      </c>
      <c r="D21" s="51">
        <f>'Internal Summary'!D24</f>
        <v>14840.2</v>
      </c>
      <c r="E21" s="51">
        <f t="shared" si="1"/>
        <v>14840.2</v>
      </c>
    </row>
    <row r="22" spans="2:6" ht="15" customHeight="1">
      <c r="B22" s="53" t="s">
        <v>61</v>
      </c>
      <c r="C22" s="50">
        <f t="shared" si="2"/>
        <v>0</v>
      </c>
      <c r="D22" s="51">
        <f>'Internal Summary'!D26</f>
        <v>0</v>
      </c>
      <c r="E22" s="51">
        <f t="shared" si="1"/>
        <v>0</v>
      </c>
    </row>
    <row r="23" spans="2:6" ht="15" customHeight="1">
      <c r="B23" s="53" t="s">
        <v>62</v>
      </c>
      <c r="C23" s="50">
        <f t="shared" si="2"/>
        <v>1</v>
      </c>
      <c r="D23" s="51">
        <f>SUM('Internal Summary'!D18:D21,'Internal Summary'!D23,'Internal Summary'!D25:D27) -'Internal Summary'!D26</f>
        <v>48976.979999999996</v>
      </c>
      <c r="E23" s="51">
        <f t="shared" si="1"/>
        <v>48976.979999999996</v>
      </c>
      <c r="F23" s="30"/>
    </row>
    <row r="24" spans="2:6" ht="15" customHeight="1">
      <c r="B24" s="579" t="s">
        <v>63</v>
      </c>
      <c r="C24" s="579"/>
      <c r="D24" s="579"/>
      <c r="E24" s="52">
        <f>SUM(E15:E23)</f>
        <v>191639.03999999998</v>
      </c>
    </row>
    <row r="25" spans="2:6" ht="15" customHeight="1">
      <c r="B25" s="3" t="s">
        <v>64</v>
      </c>
      <c r="C25" s="48" t="s">
        <v>55</v>
      </c>
      <c r="D25" s="48" t="s">
        <v>56</v>
      </c>
      <c r="E25" s="48" t="s">
        <v>57</v>
      </c>
    </row>
    <row r="26" spans="2:6" ht="15" customHeight="1">
      <c r="B26" s="53" t="s">
        <v>65</v>
      </c>
      <c r="C26" s="50">
        <f>'INPUT SHEET'!N9</f>
        <v>4</v>
      </c>
      <c r="D26" s="51">
        <v>39.99</v>
      </c>
      <c r="E26" s="51">
        <f>C26*D26*12</f>
        <v>1919.52</v>
      </c>
    </row>
    <row r="27" spans="2:6" ht="15" customHeight="1">
      <c r="B27" s="53" t="s">
        <v>688</v>
      </c>
      <c r="C27" s="50">
        <f>'Internal Summary'!G4</f>
        <v>5</v>
      </c>
      <c r="E27" s="462">
        <f>C27*E26</f>
        <v>9597.6</v>
      </c>
    </row>
    <row r="28" spans="2:6" ht="15" customHeight="1">
      <c r="B28" s="461"/>
      <c r="C28" s="460"/>
      <c r="D28" s="466" t="s">
        <v>689</v>
      </c>
      <c r="E28" s="465">
        <f>'Internal Summary'!D6</f>
        <v>19195.2</v>
      </c>
    </row>
    <row r="29" spans="2:6" ht="15" customHeight="1">
      <c r="D29" s="463" t="s">
        <v>66</v>
      </c>
      <c r="E29" s="464">
        <f>'Internal Summary'!D6 +E24+E13</f>
        <v>536488.24</v>
      </c>
    </row>
    <row r="30" spans="2:6" ht="15" customHeight="1">
      <c r="D30" s="54" t="s">
        <v>67</v>
      </c>
      <c r="E30" s="56">
        <f>'Internal Summary'!D7</f>
        <v>23609.914999999997</v>
      </c>
    </row>
    <row r="31" spans="2:6" ht="15" customHeight="1">
      <c r="D31" s="54" t="s">
        <v>68</v>
      </c>
      <c r="E31" s="56">
        <f>0</f>
        <v>0</v>
      </c>
    </row>
    <row r="32" spans="2:6" ht="15" customHeight="1">
      <c r="D32" s="54" t="s">
        <v>57</v>
      </c>
      <c r="E32" s="55">
        <f>E29+E30</f>
        <v>560098.15500000003</v>
      </c>
    </row>
    <row r="34" spans="2:5" ht="15" customHeight="1">
      <c r="B34" s="582" t="s">
        <v>69</v>
      </c>
      <c r="C34" s="582"/>
      <c r="D34" s="582"/>
      <c r="E34" s="582"/>
    </row>
    <row r="35" spans="2:5" ht="15" customHeight="1">
      <c r="B35" s="53" t="s">
        <v>70</v>
      </c>
      <c r="C35" s="57">
        <f>'INPUT SHEET CPM'!P11</f>
        <v>30</v>
      </c>
      <c r="D35" s="51">
        <v>2772.5</v>
      </c>
      <c r="E35" s="51">
        <f>C35*D35</f>
        <v>83175</v>
      </c>
    </row>
    <row r="36" spans="2:5" ht="15" customHeight="1">
      <c r="B36" s="579" t="s">
        <v>71</v>
      </c>
      <c r="C36" s="579"/>
      <c r="D36" s="579"/>
      <c r="E36" s="52">
        <f>IF('Internal Summary'!D28&lt;&gt;"", 'Internal Summary'!D28, E35)</f>
        <v>404250</v>
      </c>
    </row>
    <row r="37" spans="2:5" ht="15" customHeight="1">
      <c r="B37" s="3" t="s">
        <v>72</v>
      </c>
      <c r="C37" s="48" t="s">
        <v>55</v>
      </c>
      <c r="D37" s="48" t="s">
        <v>56</v>
      </c>
      <c r="E37" s="48" t="s">
        <v>57</v>
      </c>
    </row>
    <row r="38" spans="2:5" ht="15" customHeight="1">
      <c r="B38" s="53" t="s">
        <v>73</v>
      </c>
      <c r="C38" s="50">
        <f>'Internal Summary'!G11</f>
        <v>2</v>
      </c>
      <c r="D38" s="51">
        <f>('CTX Price Book'!C135*'CTX Price Book'!E135)+('CTX Price Book'!C136*'CTX Price Book'!E136)+('CTX Price Book'!C137*'CTX Price Book'!E137)+('CTX Price Book'!C138*'CTX Price Book'!E138)+('CTX Price Book'!C139*'CTX Price Book'!E139)+('CTX Price Book'!C140*'CTX Price Book'!E140)+('CTX Price Book'!C141*'CTX Price Book'!E141)+('CTX Price Book'!C142*'CTX Price Book'!E142)+('CTX Price Book'!C144*'CTX Price Book'!E144)</f>
        <v>640.22</v>
      </c>
      <c r="E38" s="51">
        <f>C38*D38</f>
        <v>1280.44</v>
      </c>
    </row>
    <row r="39" spans="2:5" ht="15" customHeight="1">
      <c r="B39" s="53" t="s">
        <v>74</v>
      </c>
      <c r="C39" s="50">
        <f>'Internal Summary'!G12</f>
        <v>3</v>
      </c>
      <c r="D39" s="51">
        <f>('CTX Price Book'!C135*'CTX Price Book'!F135)+('CTX Price Book'!C136*'CTX Price Book'!F136)+('CTX Price Book'!C137*'CTX Price Book'!F137)+('CTX Price Book'!C138*'CTX Price Book'!F138)+('CTX Price Book'!C139*'CTX Price Book'!F139)+('CTX Price Book'!C140*'CTX Price Book'!F140)+('CTX Price Book'!C141*'CTX Price Book'!F141)+('CTX Price Book'!C142*'CTX Price Book'!F142)+('CTX Price Book'!C144*'CTX Price Book'!F144)</f>
        <v>1472.22</v>
      </c>
      <c r="E39" s="51">
        <f>C39*D39</f>
        <v>4416.66</v>
      </c>
    </row>
    <row r="40" spans="2:5" ht="15" customHeight="1">
      <c r="B40" s="561" t="s">
        <v>702</v>
      </c>
      <c r="C40" s="560">
        <f>'Internal Summary'!G13</f>
        <v>5</v>
      </c>
      <c r="E40" s="51">
        <f>'Internal Summary'!D5</f>
        <v>167775.86000000002</v>
      </c>
    </row>
    <row r="41" spans="2:5" ht="15" customHeight="1">
      <c r="B41" s="579" t="s">
        <v>57</v>
      </c>
      <c r="C41" s="579"/>
      <c r="D41" s="579"/>
      <c r="E41" s="481">
        <f>IF('Internal Summary'!D5&lt;&gt;"", 'Internal Summary'!D5+E36, E36+E40)</f>
        <v>572025.86</v>
      </c>
    </row>
    <row r="43" spans="2:5">
      <c r="B43" s="580" t="s">
        <v>75</v>
      </c>
      <c r="C43" s="580"/>
      <c r="D43" s="580"/>
      <c r="E43" s="55">
        <f>E32</f>
        <v>560098.15500000003</v>
      </c>
    </row>
    <row r="44" spans="2:5">
      <c r="B44" s="580" t="s">
        <v>76</v>
      </c>
      <c r="C44" s="580"/>
      <c r="D44" s="580"/>
      <c r="E44" s="55">
        <f>E41</f>
        <v>572025.86</v>
      </c>
    </row>
    <row r="45" spans="2:5">
      <c r="B45" s="581" t="s">
        <v>20</v>
      </c>
      <c r="C45" s="581"/>
      <c r="D45" s="581"/>
      <c r="E45" s="58">
        <f>E43+E44</f>
        <v>1132124.0150000001</v>
      </c>
    </row>
  </sheetData>
  <mergeCells count="9">
    <mergeCell ref="B41:D41"/>
    <mergeCell ref="B43:D43"/>
    <mergeCell ref="B44:D44"/>
    <mergeCell ref="B45:D45"/>
    <mergeCell ref="B1:E1"/>
    <mergeCell ref="B13:D13"/>
    <mergeCell ref="B24:D24"/>
    <mergeCell ref="B34:E34"/>
    <mergeCell ref="B36:D36"/>
  </mergeCells>
  <conditionalFormatting sqref="B3:B12">
    <cfRule type="expression" dxfId="3" priority="2">
      <formula>$B3&lt;&gt;""</formula>
    </cfRule>
  </conditionalFormatting>
  <dataValidations count="1">
    <dataValidation type="list" allowBlank="1" showInputMessage="1" showErrorMessage="1" errorTitle="Invalid contract length" error="Contract length must be 2, 3, 4 or 5 years. The parts-only warranty extension is only offered up to year 5 (see Svc Wrrty rate card)." promptTitle="Length of Contract" prompt="Select contract length in years (2-5). Years 1-2 include the parts-only warranty; later years add the warranty extension cost." sqref="C40" xr:uid="{097A554E-2A75-49A4-9A33-509FDBEE7886}">
      <formula1>"2,3,4,5"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F81BD"/>
  </sheetPr>
  <dimension ref="A1:N36"/>
  <sheetViews>
    <sheetView showGridLines="0" zoomScale="80" zoomScaleNormal="100" workbookViewId="0">
      <selection activeCell="B5" sqref="B5"/>
    </sheetView>
  </sheetViews>
  <sheetFormatPr defaultColWidth="8.7109375" defaultRowHeight="15"/>
  <cols>
    <col min="1" max="1" width="49.5703125" customWidth="1"/>
    <col min="2" max="2" width="16.28515625" customWidth="1"/>
    <col min="3" max="3" width="14" customWidth="1"/>
    <col min="4" max="4" width="15.140625" customWidth="1"/>
    <col min="6" max="6" width="43.42578125" customWidth="1"/>
    <col min="7" max="7" width="9.140625" customWidth="1"/>
    <col min="8" max="8" width="15.28515625" customWidth="1"/>
    <col min="9" max="9" width="16.140625" customWidth="1"/>
  </cols>
  <sheetData>
    <row r="1" spans="1:9" ht="15" customHeight="1" thickBot="1">
      <c r="B1" s="17"/>
      <c r="C1" s="18"/>
    </row>
    <row r="2" spans="1:9" ht="15" customHeight="1" thickBot="1">
      <c r="B2" s="19" t="s">
        <v>374</v>
      </c>
      <c r="C2" s="21" t="s">
        <v>22</v>
      </c>
      <c r="D2" s="20" t="s">
        <v>23</v>
      </c>
      <c r="F2" s="458" t="s">
        <v>64</v>
      </c>
      <c r="G2" s="458" t="s">
        <v>55</v>
      </c>
      <c r="H2" s="458" t="s">
        <v>56</v>
      </c>
      <c r="I2" s="458" t="s">
        <v>57</v>
      </c>
    </row>
    <row r="3" spans="1:9" ht="15" customHeight="1" thickBot="1">
      <c r="A3" s="22" t="s">
        <v>24</v>
      </c>
      <c r="B3" s="120">
        <f>SUM(B4:B7)</f>
        <v>536234.97499999998</v>
      </c>
      <c r="C3" s="126">
        <f>IF((B3)=0,0,1-D3/(B3))</f>
        <v>0</v>
      </c>
      <c r="D3" s="122">
        <f>SUM(D4:D7)</f>
        <v>536234.97499999998</v>
      </c>
      <c r="F3" s="457" t="s">
        <v>65</v>
      </c>
      <c r="G3" s="457">
        <f>SUM('INPUT SHEET'!N9:T9)</f>
        <v>8</v>
      </c>
      <c r="H3" s="457">
        <v>39.99</v>
      </c>
      <c r="I3" s="467">
        <f>H3*G3*12</f>
        <v>3839.04</v>
      </c>
    </row>
    <row r="4" spans="1:9" ht="15" customHeight="1">
      <c r="A4" s="130" t="s">
        <v>25</v>
      </c>
      <c r="B4" s="131">
        <f>'INPUT SHEET'!J38</f>
        <v>325654</v>
      </c>
      <c r="C4" s="135">
        <f>IF(B4=0,0,(100 -('INPUT SHEET'!K38/'INPUT SHEET'!J38 *100)))*0.01</f>
        <v>0</v>
      </c>
      <c r="D4" s="132">
        <f>(B4)-((B4)*C4)</f>
        <v>325654</v>
      </c>
      <c r="F4" s="457" t="s">
        <v>688</v>
      </c>
      <c r="G4" s="457">
        <v>5</v>
      </c>
      <c r="H4" s="457"/>
      <c r="I4" s="457"/>
    </row>
    <row r="5" spans="1:9" ht="15" customHeight="1">
      <c r="A5" s="482" t="s">
        <v>703</v>
      </c>
      <c r="B5" s="565">
        <f>I14</f>
        <v>167775.86000000002</v>
      </c>
      <c r="C5" s="28">
        <v>0</v>
      </c>
      <c r="D5" s="123">
        <f>(B5)-((B5)*C5)</f>
        <v>167775.86000000002</v>
      </c>
      <c r="H5" s="457" t="s">
        <v>66</v>
      </c>
      <c r="I5" s="459">
        <f>G4*I3</f>
        <v>19195.2</v>
      </c>
    </row>
    <row r="6" spans="1:9" ht="15" customHeight="1">
      <c r="A6" s="26" t="s">
        <v>26</v>
      </c>
      <c r="B6" s="468">
        <f>I5</f>
        <v>19195.2</v>
      </c>
      <c r="C6" s="28">
        <v>0</v>
      </c>
      <c r="D6" s="123">
        <f t="shared" ref="D6:D7" si="0">(B6)-((B6)*C6)</f>
        <v>19195.2</v>
      </c>
    </row>
    <row r="7" spans="1:9" ht="15" customHeight="1" thickBot="1">
      <c r="A7" s="31" t="s">
        <v>28</v>
      </c>
      <c r="B7" s="121">
        <f>B4*7.25%</f>
        <v>23609.914999999997</v>
      </c>
      <c r="C7" s="28">
        <v>0</v>
      </c>
      <c r="D7" s="125">
        <f t="shared" si="0"/>
        <v>23609.914999999997</v>
      </c>
    </row>
    <row r="8" spans="1:9" ht="15" customHeight="1" thickBot="1">
      <c r="A8" s="33" t="s">
        <v>29</v>
      </c>
      <c r="B8" s="23">
        <f>SUM(B9:B12)</f>
        <v>0</v>
      </c>
      <c r="C8" s="24">
        <f>IF((B8)=0,0,1-D8/(B8))</f>
        <v>0</v>
      </c>
      <c r="D8" s="25">
        <f>SUM(D9:D12)</f>
        <v>0</v>
      </c>
    </row>
    <row r="9" spans="1:9">
      <c r="A9" s="130" t="s">
        <v>30</v>
      </c>
      <c r="B9" s="134">
        <v>0</v>
      </c>
      <c r="C9" s="285">
        <v>0</v>
      </c>
      <c r="D9" s="132">
        <f t="shared" ref="D9:D27" si="1">(B9)-((B9)*C9)</f>
        <v>0</v>
      </c>
      <c r="G9" s="583" t="s">
        <v>752</v>
      </c>
      <c r="H9" s="583"/>
      <c r="I9" s="583"/>
    </row>
    <row r="10" spans="1:9">
      <c r="A10" s="26" t="s">
        <v>31</v>
      </c>
      <c r="B10" s="27">
        <v>0</v>
      </c>
      <c r="C10" s="286">
        <v>0</v>
      </c>
      <c r="D10" s="123">
        <f t="shared" si="1"/>
        <v>0</v>
      </c>
      <c r="G10" s="457" t="s">
        <v>55</v>
      </c>
      <c r="H10" s="457" t="s">
        <v>371</v>
      </c>
      <c r="I10" s="457"/>
    </row>
    <row r="11" spans="1:9">
      <c r="A11" s="26" t="s">
        <v>751</v>
      </c>
      <c r="B11" s="27">
        <v>0</v>
      </c>
      <c r="C11" s="286">
        <v>0</v>
      </c>
      <c r="D11" s="123">
        <f t="shared" si="1"/>
        <v>0</v>
      </c>
      <c r="F11" s="457" t="s">
        <v>73</v>
      </c>
      <c r="G11" s="562">
        <f>MIN(G13,2)</f>
        <v>2</v>
      </c>
      <c r="H11" s="563">
        <f>SUMPRODUCT('CTX Price Book'!$C$135:$C$144,'CTX Price Book'!$E$135:$E$144)</f>
        <v>26555.236000000001</v>
      </c>
      <c r="I11" s="563">
        <f>G11*H11</f>
        <v>53110.472000000002</v>
      </c>
    </row>
    <row r="12" spans="1:9" ht="15" customHeight="1" thickBot="1">
      <c r="A12" s="31" t="s">
        <v>33</v>
      </c>
      <c r="B12" s="32">
        <v>0</v>
      </c>
      <c r="C12" s="287">
        <v>0</v>
      </c>
      <c r="D12" s="125">
        <f t="shared" si="1"/>
        <v>0</v>
      </c>
      <c r="F12" s="457" t="s">
        <v>74</v>
      </c>
      <c r="G12" s="562">
        <f>MAX(0,G13-G11)</f>
        <v>3</v>
      </c>
      <c r="H12" s="563">
        <f>SUMPRODUCT('CTX Price Book'!$C$135:$C$144,'CTX Price Book'!$F$135:$F$144)</f>
        <v>38221.796000000002</v>
      </c>
      <c r="I12" s="563">
        <f>G12*H12</f>
        <v>114665.38800000001</v>
      </c>
    </row>
    <row r="13" spans="1:9" ht="15" customHeight="1" thickBot="1">
      <c r="A13" s="133" t="s">
        <v>34</v>
      </c>
      <c r="B13" s="288">
        <f>SUM(B14:B27)</f>
        <v>191639.04000000001</v>
      </c>
      <c r="C13" s="36">
        <f>IF((B13)=0,0,1-D13/(B13))</f>
        <v>0</v>
      </c>
      <c r="D13" s="124">
        <f>SUM(D14:D27)</f>
        <v>191639.04000000001</v>
      </c>
      <c r="F13" s="457" t="s">
        <v>754</v>
      </c>
      <c r="G13" s="564">
        <v>5</v>
      </c>
      <c r="H13" s="457"/>
      <c r="I13" s="457"/>
    </row>
    <row r="14" spans="1:9">
      <c r="A14" s="130" t="s">
        <v>35</v>
      </c>
      <c r="B14" s="27">
        <f>IF(ROUND('Costs Internal'!G15,2)=88919.7, 0, 'Costs Internal'!G3)</f>
        <v>39438.14</v>
      </c>
      <c r="C14" s="28">
        <v>0</v>
      </c>
      <c r="D14" s="136">
        <f t="shared" si="1"/>
        <v>39438.14</v>
      </c>
      <c r="F14" s="574" t="s">
        <v>57</v>
      </c>
      <c r="G14" s="574"/>
      <c r="H14" s="574"/>
      <c r="I14" s="566">
        <f>I12+I11</f>
        <v>167775.86000000002</v>
      </c>
    </row>
    <row r="15" spans="1:9" ht="15" customHeight="1">
      <c r="A15" s="26" t="s">
        <v>36</v>
      </c>
      <c r="B15" s="27">
        <f>IF(ROUND('Costs Internal'!G15,2)=88919.7, 0, 'Costs Internal'!G4)</f>
        <v>68970</v>
      </c>
      <c r="C15" s="28">
        <v>0</v>
      </c>
      <c r="D15" s="29">
        <f t="shared" si="1"/>
        <v>68970</v>
      </c>
    </row>
    <row r="16" spans="1:9" ht="15" customHeight="1">
      <c r="A16" s="26" t="s">
        <v>37</v>
      </c>
      <c r="B16" s="27">
        <f>IF(ROUND('Costs Internal'!G15,2)=88919.7, 0, 'Costs Internal'!G5)</f>
        <v>13878.7</v>
      </c>
      <c r="C16" s="28">
        <v>0</v>
      </c>
      <c r="D16" s="29">
        <f t="shared" si="1"/>
        <v>13878.7</v>
      </c>
    </row>
    <row r="17" spans="1:14" ht="15" customHeight="1">
      <c r="A17" s="26" t="s">
        <v>38</v>
      </c>
      <c r="B17" s="27">
        <f>IF(ROUND('Costs Internal'!G15,2)=88919.7, 0, 'Costs Internal'!G6)</f>
        <v>3115.02</v>
      </c>
      <c r="C17" s="28">
        <v>0</v>
      </c>
      <c r="D17" s="29">
        <f t="shared" si="1"/>
        <v>3115.02</v>
      </c>
    </row>
    <row r="18" spans="1:14" ht="15" customHeight="1">
      <c r="A18" s="26" t="s">
        <v>39</v>
      </c>
      <c r="B18" s="27">
        <f>IF(ROUND('Costs Internal'!G15,2)=88919.7, 0, 'Costs Internal'!G7)</f>
        <v>10340.42</v>
      </c>
      <c r="C18" s="28">
        <v>0</v>
      </c>
      <c r="D18" s="29">
        <f t="shared" si="1"/>
        <v>10340.42</v>
      </c>
    </row>
    <row r="19" spans="1:14" ht="15" customHeight="1">
      <c r="A19" s="26" t="s">
        <v>40</v>
      </c>
      <c r="B19" s="27">
        <f>IF(ROUND('Costs Internal'!G15,2)=88919.7, 0, 'Costs Internal'!G8)</f>
        <v>9584.4599999999991</v>
      </c>
      <c r="C19" s="28">
        <v>0</v>
      </c>
      <c r="D19" s="29">
        <f t="shared" si="1"/>
        <v>9584.4599999999991</v>
      </c>
    </row>
    <row r="20" spans="1:14" ht="15" customHeight="1">
      <c r="A20" s="26" t="s">
        <v>41</v>
      </c>
      <c r="B20" s="27">
        <f>IF(ROUND('Costs Internal'!G15,2)=88919.7, 0, 'Costs Internal'!G9)</f>
        <v>20933</v>
      </c>
      <c r="C20" s="28">
        <v>0</v>
      </c>
      <c r="D20" s="29">
        <f t="shared" si="1"/>
        <v>20933</v>
      </c>
    </row>
    <row r="21" spans="1:14" ht="15" customHeight="1">
      <c r="A21" s="26" t="s">
        <v>759</v>
      </c>
      <c r="B21" s="27">
        <f>IF(ROUND('Costs Internal'!G15,2)=88919.7, 0, 'Costs Internal'!G10)</f>
        <v>3630</v>
      </c>
      <c r="C21" s="28">
        <v>0</v>
      </c>
      <c r="D21" s="29">
        <f t="shared" si="1"/>
        <v>3630</v>
      </c>
    </row>
    <row r="22" spans="1:14" ht="15" customHeight="1">
      <c r="A22" s="26" t="s">
        <v>43</v>
      </c>
      <c r="B22" s="27">
        <f>IF(ROUND('Costs Internal'!G15,2)=88919.7, 0, 'Costs Internal'!G11)</f>
        <v>2420</v>
      </c>
      <c r="C22" s="28">
        <v>0</v>
      </c>
      <c r="D22" s="29">
        <f t="shared" si="1"/>
        <v>2420</v>
      </c>
    </row>
    <row r="23" spans="1:14" ht="15" customHeight="1">
      <c r="A23" s="26" t="s">
        <v>44</v>
      </c>
      <c r="B23" s="27">
        <f>IF(ROUND('Costs Internal'!G15,2)=88919.7, 0, 'Costs Internal'!G12)</f>
        <v>4489.1000000000004</v>
      </c>
      <c r="C23" s="28">
        <v>0</v>
      </c>
      <c r="D23" s="29">
        <f t="shared" si="1"/>
        <v>4489.1000000000004</v>
      </c>
    </row>
    <row r="24" spans="1:14" ht="15" customHeight="1">
      <c r="A24" s="26" t="s">
        <v>45</v>
      </c>
      <c r="B24" s="27">
        <f>IF(ROUND('Costs Internal'!G15,2)=88919.7, 0, 'Costs Internal'!G13)</f>
        <v>14840.2</v>
      </c>
      <c r="C24" s="28">
        <v>0</v>
      </c>
      <c r="D24" s="29">
        <f t="shared" si="1"/>
        <v>14840.2</v>
      </c>
      <c r="N24" t="s">
        <v>753</v>
      </c>
    </row>
    <row r="25" spans="1:14" ht="15" customHeight="1">
      <c r="A25" s="26" t="s">
        <v>46</v>
      </c>
      <c r="B25" s="27">
        <v>0</v>
      </c>
      <c r="C25" s="28">
        <v>0</v>
      </c>
      <c r="D25" s="29">
        <f t="shared" si="1"/>
        <v>0</v>
      </c>
    </row>
    <row r="26" spans="1:14" ht="15" customHeight="1">
      <c r="A26" s="26" t="s">
        <v>47</v>
      </c>
      <c r="B26" s="27">
        <v>0</v>
      </c>
      <c r="C26" s="28">
        <v>0</v>
      </c>
      <c r="D26" s="29">
        <f t="shared" si="1"/>
        <v>0</v>
      </c>
    </row>
    <row r="27" spans="1:14" ht="15" customHeight="1" thickBot="1">
      <c r="A27" s="31" t="s">
        <v>48</v>
      </c>
      <c r="B27" s="32">
        <v>0</v>
      </c>
      <c r="C27" s="28">
        <v>0</v>
      </c>
      <c r="D27" s="127">
        <f t="shared" si="1"/>
        <v>0</v>
      </c>
    </row>
    <row r="28" spans="1:14" ht="15" customHeight="1" thickBot="1">
      <c r="A28" s="34" t="s">
        <v>49</v>
      </c>
      <c r="B28" s="35">
        <f>IF(ROUND('Costs Internal'!G15,2)=88919.7, 0, 'Costs Internal'!G18)</f>
        <v>404250</v>
      </c>
      <c r="C28" s="36">
        <v>0</v>
      </c>
      <c r="D28" s="37">
        <f>(B28)-((B28)*C28)</f>
        <v>404250</v>
      </c>
    </row>
    <row r="29" spans="1:14" ht="15" customHeight="1">
      <c r="A29" s="38" t="s">
        <v>20</v>
      </c>
      <c r="B29" s="39"/>
      <c r="C29" s="40"/>
      <c r="D29" s="41">
        <f>(B28+B13+B8+B3)</f>
        <v>1132124.0150000001</v>
      </c>
      <c r="G29" s="42"/>
    </row>
    <row r="30" spans="1:14" ht="15" customHeight="1">
      <c r="A30" s="43" t="s">
        <v>50</v>
      </c>
      <c r="B30" s="44"/>
      <c r="C30" s="45"/>
      <c r="D30" s="46">
        <f>SUM(D3,D8,D13,D28)</f>
        <v>1132124.0150000001</v>
      </c>
    </row>
    <row r="31" spans="1:14" ht="15" customHeight="1"/>
    <row r="32" spans="1:14" ht="15" customHeight="1"/>
    <row r="33" spans="1:9" ht="15" customHeight="1">
      <c r="A33" s="572" t="s">
        <v>51</v>
      </c>
      <c r="B33" s="572"/>
      <c r="C33" s="572"/>
      <c r="D33" s="572"/>
      <c r="E33" s="572"/>
      <c r="F33" s="572"/>
      <c r="G33" s="572"/>
      <c r="H33" s="572"/>
      <c r="I33" s="572"/>
    </row>
    <row r="34" spans="1:9" ht="12.75" customHeight="1">
      <c r="A34" s="572"/>
      <c r="B34" s="572"/>
      <c r="C34" s="572"/>
      <c r="D34" s="572"/>
      <c r="E34" s="572"/>
      <c r="F34" s="572"/>
      <c r="G34" s="572"/>
      <c r="H34" s="572"/>
      <c r="I34" s="572"/>
    </row>
    <row r="35" spans="1:9" ht="5.25" hidden="1" customHeight="1">
      <c r="A35" s="572"/>
      <c r="B35" s="572"/>
      <c r="C35" s="572"/>
      <c r="D35" s="572"/>
      <c r="E35" s="572"/>
      <c r="F35" s="572"/>
      <c r="G35" s="572"/>
      <c r="H35" s="572"/>
      <c r="I35" s="572"/>
    </row>
    <row r="36" spans="1:9" hidden="1">
      <c r="A36" s="572"/>
      <c r="B36" s="572"/>
      <c r="C36" s="572"/>
      <c r="D36" s="572"/>
      <c r="E36" s="572"/>
      <c r="F36" s="572"/>
      <c r="G36" s="572"/>
      <c r="H36" s="572"/>
      <c r="I36" s="572"/>
    </row>
  </sheetData>
  <mergeCells count="3">
    <mergeCell ref="A33:I36"/>
    <mergeCell ref="G9:I9"/>
    <mergeCell ref="F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64A2"/>
  </sheetPr>
  <dimension ref="A1:P47"/>
  <sheetViews>
    <sheetView tabSelected="1" zoomScale="70" zoomScaleNormal="70" workbookViewId="0">
      <selection activeCell="J61" sqref="J61"/>
    </sheetView>
  </sheetViews>
  <sheetFormatPr defaultColWidth="8.7109375" defaultRowHeight="15" outlineLevelRow="1"/>
  <cols>
    <col min="1" max="1" width="34" customWidth="1"/>
    <col min="2" max="2" width="19.85546875" customWidth="1"/>
    <col min="4" max="4" width="32.140625" customWidth="1"/>
    <col min="5" max="5" width="16.42578125" customWidth="1"/>
    <col min="6" max="6" width="24.28515625" customWidth="1"/>
    <col min="7" max="7" width="17.5703125" customWidth="1"/>
    <col min="8" max="8" width="17.42578125" customWidth="1"/>
    <col min="9" max="9" width="23.42578125" customWidth="1"/>
    <col min="10" max="10" width="17.140625" customWidth="1"/>
    <col min="12" max="12" width="16.5703125" customWidth="1"/>
    <col min="13" max="13" width="36.140625" customWidth="1"/>
    <col min="14" max="14" width="41.5703125" customWidth="1"/>
    <col min="15" max="15" width="20.140625" customWidth="1"/>
    <col min="17" max="17" width="25.85546875" customWidth="1"/>
    <col min="18" max="18" width="26.28515625" customWidth="1"/>
    <col min="19" max="19" width="23.7109375" customWidth="1"/>
  </cols>
  <sheetData>
    <row r="1" spans="1:16">
      <c r="L1" t="str">
        <f>B10&amp;"-Year Cumulative Cashflow"</f>
        <v>5-Year Cumulative Cashflow</v>
      </c>
    </row>
    <row r="2" spans="1:16" ht="29.25" customHeight="1">
      <c r="A2" s="585" t="s">
        <v>77</v>
      </c>
      <c r="B2" s="585"/>
      <c r="C2" s="59"/>
      <c r="D2" s="584" t="s">
        <v>78</v>
      </c>
      <c r="E2" s="584"/>
      <c r="F2" s="584"/>
      <c r="G2" s="59"/>
      <c r="H2" s="584" t="s">
        <v>79</v>
      </c>
      <c r="I2" s="584"/>
      <c r="J2" s="584"/>
      <c r="K2" s="60"/>
      <c r="L2" s="60"/>
    </row>
    <row r="3" spans="1:16">
      <c r="A3" s="554" t="s">
        <v>80</v>
      </c>
      <c r="B3" s="555">
        <f>-B44</f>
        <v>-1132124.0150000001</v>
      </c>
      <c r="C3" s="59"/>
      <c r="D3" s="584"/>
      <c r="E3" s="584"/>
      <c r="F3" s="584"/>
      <c r="G3" s="59"/>
      <c r="H3" s="584"/>
      <c r="I3" s="584"/>
      <c r="J3" s="584"/>
      <c r="K3" s="60"/>
      <c r="L3" s="60"/>
    </row>
    <row r="4" spans="1:16" ht="34.5" customHeight="1">
      <c r="A4" s="556" t="s">
        <v>81</v>
      </c>
      <c r="B4" s="557">
        <f>($B$10*SUMPRODUCT(E44:J44,E45:J45))+(G47*'Updated Chargers Revenue Calcul'!B6*$B$10*12)</f>
        <v>345097.50912000006</v>
      </c>
      <c r="C4" s="59"/>
      <c r="D4" s="61" t="s">
        <v>82</v>
      </c>
      <c r="E4" s="568" t="s">
        <v>83</v>
      </c>
      <c r="F4" s="61" t="s">
        <v>84</v>
      </c>
      <c r="G4" s="59"/>
      <c r="H4" s="61" t="s">
        <v>82</v>
      </c>
      <c r="I4" s="61" t="s">
        <v>760</v>
      </c>
      <c r="J4" s="61" t="s">
        <v>84</v>
      </c>
      <c r="K4" s="60"/>
      <c r="L4" s="60"/>
    </row>
    <row r="5" spans="1:16" ht="15" customHeight="1">
      <c r="A5" s="556" t="s">
        <v>750</v>
      </c>
      <c r="B5" s="557">
        <v>0</v>
      </c>
      <c r="C5" s="59"/>
      <c r="D5" s="63">
        <v>0</v>
      </c>
      <c r="E5" s="64">
        <f>-B44</f>
        <v>-1132124.0150000001</v>
      </c>
      <c r="F5" s="64">
        <f>E5</f>
        <v>-1132124.0150000001</v>
      </c>
      <c r="G5" s="59"/>
      <c r="H5" s="63">
        <v>0</v>
      </c>
      <c r="I5" s="64">
        <f>-B44</f>
        <v>-1132124.0150000001</v>
      </c>
      <c r="J5" s="64">
        <f>I5</f>
        <v>-1132124.0150000001</v>
      </c>
      <c r="K5" s="60"/>
      <c r="L5" s="60"/>
    </row>
    <row r="6" spans="1:16" ht="15" customHeight="1">
      <c r="A6" s="556" t="s">
        <v>85</v>
      </c>
      <c r="B6" s="557">
        <f>SUM(I6:I15)</f>
        <v>671491.04793749994</v>
      </c>
      <c r="C6" s="59"/>
      <c r="D6" s="63">
        <f t="shared" ref="D6:D15" si="0">IF((ROW()-5)&lt;=$B$10,ROW()-5,"")</f>
        <v>1</v>
      </c>
      <c r="E6" s="65">
        <f>IF((ROW()-5)&lt;=$B$10, I6+B5+(B4/$B$10), "")</f>
        <v>173674.09382399998</v>
      </c>
      <c r="F6" s="64">
        <f t="shared" ref="F6:F15" si="1">IF((ROW()-5)&lt;=$B$10, F5+E6, "")</f>
        <v>-958449.92117600015</v>
      </c>
      <c r="G6" s="59"/>
      <c r="H6" s="63">
        <f t="shared" ref="H6:H15" si="2">IF((ROW()-5)&lt;=$B$10,ROW()-5,"")</f>
        <v>1</v>
      </c>
      <c r="I6" s="64">
        <f>'Updated Chargers Revenue Calcul'!J24</f>
        <v>104654.59199999999</v>
      </c>
      <c r="J6" s="64">
        <f t="shared" ref="J6:J15" si="3">IF((ROW()-5)&lt;=$B$10, J5+I6, "")</f>
        <v>-1027469.4230000002</v>
      </c>
      <c r="K6" s="60"/>
      <c r="L6" s="60"/>
    </row>
    <row r="7" spans="1:16" ht="15" customHeight="1">
      <c r="A7" s="558" t="s">
        <v>86</v>
      </c>
      <c r="B7" s="559">
        <f>B3+(B4+B6)</f>
        <v>-115535.45794250013</v>
      </c>
      <c r="C7" s="59"/>
      <c r="D7" s="63">
        <f t="shared" si="0"/>
        <v>2</v>
      </c>
      <c r="E7" s="64">
        <f>IF((ROW()-5)&lt;=$B$10, I7+(B4/$B$10), "")</f>
        <v>186755.917824</v>
      </c>
      <c r="F7" s="64">
        <f t="shared" si="1"/>
        <v>-771694.00335200015</v>
      </c>
      <c r="G7" s="59"/>
      <c r="H7" s="63">
        <f t="shared" si="2"/>
        <v>2</v>
      </c>
      <c r="I7" s="64">
        <f t="shared" ref="I7:I15" si="4">IF((ROW()-5)&lt;=$B$10, I6*1.125, "")</f>
        <v>117736.41599999998</v>
      </c>
      <c r="J7" s="64">
        <f t="shared" si="3"/>
        <v>-909733.00700000022</v>
      </c>
      <c r="K7" s="60"/>
      <c r="L7" s="60"/>
    </row>
    <row r="8" spans="1:16" ht="15" customHeight="1">
      <c r="A8" s="59"/>
      <c r="B8" s="59"/>
      <c r="C8" s="59"/>
      <c r="D8" s="63">
        <f t="shared" si="0"/>
        <v>3</v>
      </c>
      <c r="E8" s="64">
        <f>IF((ROW()-5)&lt;=$B$10, I8+(B4/$B$10), "")</f>
        <v>201472.969824</v>
      </c>
      <c r="F8" s="64">
        <f t="shared" si="1"/>
        <v>-570221.03352800012</v>
      </c>
      <c r="G8" s="59"/>
      <c r="H8" s="63">
        <f t="shared" si="2"/>
        <v>3</v>
      </c>
      <c r="I8" s="64">
        <f t="shared" si="4"/>
        <v>132453.46799999999</v>
      </c>
      <c r="J8" s="64">
        <f t="shared" si="3"/>
        <v>-777279.53900000022</v>
      </c>
      <c r="K8" s="60"/>
      <c r="L8" s="60"/>
    </row>
    <row r="9" spans="1:16" ht="15" customHeight="1">
      <c r="A9" s="537" t="s">
        <v>747</v>
      </c>
      <c r="B9" s="569" t="s">
        <v>749</v>
      </c>
      <c r="C9" s="59"/>
      <c r="D9" s="63">
        <f t="shared" si="0"/>
        <v>4</v>
      </c>
      <c r="E9" s="64">
        <f>IF((ROW()-5)&lt;=$B$10, I9+(B4/$B$10), "")</f>
        <v>218029.65332399998</v>
      </c>
      <c r="F9" s="64">
        <f t="shared" si="1"/>
        <v>-352191.38020400016</v>
      </c>
      <c r="G9" s="59"/>
      <c r="H9" s="63">
        <f t="shared" si="2"/>
        <v>4</v>
      </c>
      <c r="I9" s="64">
        <f t="shared" si="4"/>
        <v>149010.15149999998</v>
      </c>
      <c r="J9" s="64">
        <f t="shared" si="3"/>
        <v>-628269.38750000019</v>
      </c>
      <c r="K9" s="60"/>
      <c r="L9" s="60"/>
    </row>
    <row r="10" spans="1:16" ht="15" customHeight="1">
      <c r="A10" s="538" t="s">
        <v>748</v>
      </c>
      <c r="B10" s="539">
        <f>IF(B9="10 Year",10,5)</f>
        <v>5</v>
      </c>
      <c r="C10" s="59"/>
      <c r="D10" s="544">
        <f t="shared" si="0"/>
        <v>5</v>
      </c>
      <c r="E10" s="545">
        <f>IF((ROW()-5)&lt;=$B$10, I10+(B4/$B$10), "")</f>
        <v>236655.92226149997</v>
      </c>
      <c r="F10" s="545">
        <f t="shared" si="1"/>
        <v>-115535.45794250019</v>
      </c>
      <c r="G10" s="59"/>
      <c r="H10" s="544">
        <f t="shared" si="2"/>
        <v>5</v>
      </c>
      <c r="I10" s="545">
        <f t="shared" si="4"/>
        <v>167636.42043749997</v>
      </c>
      <c r="J10" s="545">
        <f t="shared" si="3"/>
        <v>-460632.96706250019</v>
      </c>
      <c r="K10" s="60"/>
      <c r="L10" s="60"/>
    </row>
    <row r="11" spans="1:16" ht="15" customHeight="1">
      <c r="C11" s="59"/>
      <c r="D11" s="546" t="str">
        <f t="shared" si="0"/>
        <v/>
      </c>
      <c r="E11" s="547" t="str">
        <f>IF((ROW()-5)&lt;=$B$10, I11+(B4/$B$10), "")</f>
        <v/>
      </c>
      <c r="F11" s="547" t="str">
        <f t="shared" si="1"/>
        <v/>
      </c>
      <c r="H11" s="546" t="str">
        <f t="shared" si="2"/>
        <v/>
      </c>
      <c r="I11" s="547" t="str">
        <f t="shared" si="4"/>
        <v/>
      </c>
      <c r="J11" s="547" t="str">
        <f t="shared" si="3"/>
        <v/>
      </c>
      <c r="K11" s="59"/>
      <c r="L11" s="59"/>
    </row>
    <row r="12" spans="1:16" ht="15" customHeight="1">
      <c r="A12" s="60"/>
      <c r="B12" s="60"/>
      <c r="C12" s="59"/>
      <c r="D12" s="62" t="str">
        <f t="shared" si="0"/>
        <v/>
      </c>
      <c r="E12" s="65" t="str">
        <f>IF((ROW()-5)&lt;=$B$10, I12+(B4/$B$10), "")</f>
        <v/>
      </c>
      <c r="F12" s="65" t="str">
        <f t="shared" si="1"/>
        <v/>
      </c>
      <c r="H12" s="62" t="str">
        <f t="shared" si="2"/>
        <v/>
      </c>
      <c r="I12" s="65" t="str">
        <f t="shared" si="4"/>
        <v/>
      </c>
      <c r="J12" s="65" t="str">
        <f t="shared" si="3"/>
        <v/>
      </c>
      <c r="K12" s="59"/>
      <c r="L12" s="59"/>
    </row>
    <row r="13" spans="1:16" ht="15" customHeight="1">
      <c r="A13" s="60"/>
      <c r="B13" s="60"/>
      <c r="C13" s="59"/>
      <c r="D13" s="62" t="str">
        <f t="shared" si="0"/>
        <v/>
      </c>
      <c r="E13" s="65" t="str">
        <f>IF((ROW()-5)&lt;=$B$10, I13+(B4/$B$10), "")</f>
        <v/>
      </c>
      <c r="F13" s="65" t="str">
        <f t="shared" si="1"/>
        <v/>
      </c>
      <c r="H13" s="62" t="str">
        <f t="shared" si="2"/>
        <v/>
      </c>
      <c r="I13" s="65" t="str">
        <f t="shared" si="4"/>
        <v/>
      </c>
      <c r="J13" s="65" t="str">
        <f t="shared" si="3"/>
        <v/>
      </c>
      <c r="K13" s="59"/>
      <c r="L13" s="59"/>
    </row>
    <row r="14" spans="1:16" ht="15" customHeight="1">
      <c r="A14" s="60"/>
      <c r="B14" s="60"/>
      <c r="C14" s="59"/>
      <c r="D14" s="62" t="str">
        <f t="shared" si="0"/>
        <v/>
      </c>
      <c r="E14" s="65" t="str">
        <f>IF((ROW()-5)&lt;=$B$10, I14+(B4/$B$10), "")</f>
        <v/>
      </c>
      <c r="F14" s="65" t="str">
        <f t="shared" si="1"/>
        <v/>
      </c>
      <c r="H14" s="62" t="str">
        <f t="shared" si="2"/>
        <v/>
      </c>
      <c r="I14" s="65" t="str">
        <f t="shared" si="4"/>
        <v/>
      </c>
      <c r="J14" s="65" t="str">
        <f t="shared" si="3"/>
        <v/>
      </c>
      <c r="K14" s="59"/>
      <c r="L14" s="59"/>
    </row>
    <row r="15" spans="1:16" ht="20.25" customHeight="1">
      <c r="A15" s="540"/>
      <c r="B15" s="548" t="s">
        <v>89</v>
      </c>
      <c r="C15" s="59"/>
      <c r="D15" s="62" t="str">
        <f t="shared" si="0"/>
        <v/>
      </c>
      <c r="E15" s="65" t="str">
        <f>IF((ROW()-5)&lt;=$B$10, I15+(B4/$B$10), "")</f>
        <v/>
      </c>
      <c r="F15" s="65" t="str">
        <f t="shared" si="1"/>
        <v/>
      </c>
      <c r="H15" s="62" t="str">
        <f t="shared" si="2"/>
        <v/>
      </c>
      <c r="I15" s="65" t="str">
        <f t="shared" si="4"/>
        <v/>
      </c>
      <c r="J15" s="65" t="str">
        <f t="shared" si="3"/>
        <v/>
      </c>
      <c r="K15" s="59"/>
      <c r="L15" s="59"/>
    </row>
    <row r="16" spans="1:16" ht="15" customHeight="1">
      <c r="A16" s="541" t="s">
        <v>92</v>
      </c>
      <c r="B16" s="549">
        <f>'Internal Summary'!D3</f>
        <v>536234.97499999998</v>
      </c>
      <c r="C16" s="59"/>
      <c r="K16" s="59"/>
      <c r="L16" s="59"/>
      <c r="M16" s="59"/>
      <c r="N16" s="59"/>
      <c r="O16" s="59"/>
      <c r="P16" s="59"/>
    </row>
    <row r="17" spans="1:16" ht="27.75" hidden="1" customHeight="1" outlineLevel="1">
      <c r="A17" s="542" t="s">
        <v>25</v>
      </c>
      <c r="B17" s="550">
        <f>'Internal Summary'!D4</f>
        <v>325654</v>
      </c>
      <c r="C17" s="59"/>
      <c r="D17" s="59"/>
      <c r="E17" s="59"/>
      <c r="F17" s="68"/>
      <c r="G17" s="59"/>
      <c r="H17" s="59"/>
      <c r="I17" s="59"/>
      <c r="J17" s="59"/>
      <c r="K17" s="59"/>
      <c r="L17" s="59"/>
      <c r="M17" s="59"/>
      <c r="N17" s="59"/>
      <c r="O17" s="59"/>
      <c r="P17" s="59"/>
    </row>
    <row r="18" spans="1:16" ht="15" hidden="1" customHeight="1" outlineLevel="1">
      <c r="A18" s="542" t="s">
        <v>94</v>
      </c>
      <c r="B18" s="550">
        <f>'Internal Summary'!D5</f>
        <v>167775.86000000002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</row>
    <row r="19" spans="1:16" ht="15" hidden="1" customHeight="1" outlineLevel="1">
      <c r="A19" s="542" t="s">
        <v>26</v>
      </c>
      <c r="B19" s="550">
        <f>'Internal Summary'!D6</f>
        <v>19195.2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</row>
    <row r="20" spans="1:16" ht="15" hidden="1" customHeight="1" outlineLevel="1">
      <c r="A20" s="542" t="s">
        <v>27</v>
      </c>
      <c r="B20" s="550">
        <f>'Internal Summary'!B5</f>
        <v>167775.86000000002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</row>
    <row r="21" spans="1:16" ht="15" hidden="1" customHeight="1" outlineLevel="1">
      <c r="A21" s="541" t="s">
        <v>28</v>
      </c>
      <c r="B21" s="549">
        <f>'Internal Summary'!D7</f>
        <v>23609.914999999997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</row>
    <row r="22" spans="1:16" ht="15" customHeight="1" collapsed="1">
      <c r="A22" s="542" t="s">
        <v>95</v>
      </c>
      <c r="B22" s="550">
        <f>'Internal Summary'!D8</f>
        <v>0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</row>
    <row r="23" spans="1:16" ht="15" hidden="1" customHeight="1" outlineLevel="1">
      <c r="A23" s="542" t="s">
        <v>30</v>
      </c>
      <c r="B23" s="550">
        <f>'Internal Summary'!D9</f>
        <v>0</v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</row>
    <row r="24" spans="1:16" ht="15" hidden="1" customHeight="1" outlineLevel="1">
      <c r="A24" s="542" t="s">
        <v>31</v>
      </c>
      <c r="B24" s="550">
        <f>'Internal Summary'!D10</f>
        <v>0</v>
      </c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</row>
    <row r="25" spans="1:16" ht="15" hidden="1" customHeight="1" outlineLevel="1">
      <c r="A25" s="542" t="s">
        <v>32</v>
      </c>
      <c r="B25" s="550">
        <f>'Internal Summary'!D11</f>
        <v>0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</row>
    <row r="26" spans="1:16" ht="27.75" hidden="1" customHeight="1" outlineLevel="1">
      <c r="A26" s="541" t="s">
        <v>33</v>
      </c>
      <c r="B26" s="549">
        <f>'Internal Summary'!D12</f>
        <v>0</v>
      </c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</row>
    <row r="27" spans="1:16" ht="15" customHeight="1" collapsed="1">
      <c r="A27" s="542" t="s">
        <v>34</v>
      </c>
      <c r="B27" s="550">
        <f>'Internal Summary'!D13</f>
        <v>191639.04000000001</v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</row>
    <row r="28" spans="1:16" ht="15" hidden="1" customHeight="1" outlineLevel="1">
      <c r="A28" s="542" t="s">
        <v>35</v>
      </c>
      <c r="B28" s="550">
        <f>'Internal Summary'!D14</f>
        <v>39438.14</v>
      </c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</row>
    <row r="29" spans="1:16" ht="27.75" hidden="1" customHeight="1" outlineLevel="1">
      <c r="A29" s="542" t="s">
        <v>36</v>
      </c>
      <c r="B29" s="550">
        <f>'Internal Summary'!D15</f>
        <v>68970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</row>
    <row r="30" spans="1:16" ht="15" hidden="1" customHeight="1" outlineLevel="1">
      <c r="A30" s="542" t="s">
        <v>37</v>
      </c>
      <c r="B30" s="550">
        <f>'Internal Summary'!D16</f>
        <v>13878.7</v>
      </c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</row>
    <row r="31" spans="1:16" ht="15" hidden="1" customHeight="1" outlineLevel="1">
      <c r="A31" s="542" t="s">
        <v>38</v>
      </c>
      <c r="B31" s="550">
        <f>'Internal Summary'!D17</f>
        <v>3115.02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</row>
    <row r="32" spans="1:16" ht="15" hidden="1" customHeight="1" outlineLevel="1">
      <c r="A32" s="542" t="s">
        <v>39</v>
      </c>
      <c r="B32" s="550">
        <f>'Internal Summary'!D18</f>
        <v>10340.42</v>
      </c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</row>
    <row r="33" spans="1:16" ht="15" hidden="1" customHeight="1" outlineLevel="1">
      <c r="A33" s="542" t="s">
        <v>40</v>
      </c>
      <c r="B33" s="550">
        <f>'Internal Summary'!D19</f>
        <v>9584.4599999999991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</row>
    <row r="34" spans="1:16" ht="15" hidden="1" customHeight="1" outlineLevel="1">
      <c r="A34" s="542" t="s">
        <v>96</v>
      </c>
      <c r="B34" s="550">
        <f>'Internal Summary'!D20</f>
        <v>20933</v>
      </c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</row>
    <row r="35" spans="1:16" ht="15" hidden="1" customHeight="1" outlineLevel="1">
      <c r="A35" s="542" t="s">
        <v>42</v>
      </c>
      <c r="B35" s="550">
        <f>'Internal Summary'!D21</f>
        <v>3630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</row>
    <row r="36" spans="1:16" ht="15" hidden="1" customHeight="1" outlineLevel="1">
      <c r="A36" s="542" t="s">
        <v>59</v>
      </c>
      <c r="B36" s="550">
        <f>'Internal Summary'!D22</f>
        <v>2420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</row>
    <row r="37" spans="1:16" ht="15" hidden="1" customHeight="1" outlineLevel="1">
      <c r="A37" s="542" t="s">
        <v>44</v>
      </c>
      <c r="B37" s="550">
        <f>'Internal Summary'!D23</f>
        <v>4489.1000000000004</v>
      </c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</row>
    <row r="38" spans="1:16" ht="15" hidden="1" customHeight="1" outlineLevel="1">
      <c r="A38" s="542" t="s">
        <v>45</v>
      </c>
      <c r="B38" s="550">
        <f>'Internal Summary'!D24</f>
        <v>14840.2</v>
      </c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</row>
    <row r="39" spans="1:16" ht="15" hidden="1" customHeight="1" outlineLevel="1">
      <c r="A39" s="541" t="s">
        <v>46</v>
      </c>
      <c r="B39" s="549">
        <f>'Internal Summary'!D25</f>
        <v>0</v>
      </c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</row>
    <row r="40" spans="1:16" ht="15" hidden="1" customHeight="1" outlineLevel="1">
      <c r="A40" s="543" t="s">
        <v>47</v>
      </c>
      <c r="B40" s="551">
        <f>'Internal Summary'!D26</f>
        <v>0</v>
      </c>
    </row>
    <row r="41" spans="1:16" ht="15" hidden="1" customHeight="1" outlineLevel="1">
      <c r="A41" s="540" t="s">
        <v>48</v>
      </c>
      <c r="B41" s="548">
        <f>'Internal Summary'!D27</f>
        <v>0</v>
      </c>
    </row>
    <row r="42" spans="1:16" ht="15" customHeight="1" collapsed="1">
      <c r="A42" s="541" t="s">
        <v>49</v>
      </c>
      <c r="B42" s="549">
        <f>'Internal Summary'!D28</f>
        <v>404250</v>
      </c>
      <c r="D42" s="66" t="s">
        <v>711</v>
      </c>
      <c r="E42" s="485">
        <v>71.666700000000006</v>
      </c>
      <c r="F42" s="59"/>
      <c r="G42" s="59"/>
      <c r="H42" s="59"/>
      <c r="I42" s="59"/>
      <c r="J42" s="59"/>
    </row>
    <row r="43" spans="1:16" ht="15" customHeight="1">
      <c r="A43" s="542" t="s">
        <v>20</v>
      </c>
      <c r="B43" s="550">
        <f>'Internal Summary'!D29</f>
        <v>1132124.0150000001</v>
      </c>
      <c r="D43" s="66" t="s">
        <v>712</v>
      </c>
      <c r="E43" s="487">
        <f>'INPUT SHEET'!O10</f>
        <v>60</v>
      </c>
      <c r="F43" s="487">
        <f>'INPUT SHEET'!P10</f>
        <v>120</v>
      </c>
      <c r="G43" s="487">
        <f>'INPUT SHEET'!Q10</f>
        <v>160</v>
      </c>
      <c r="H43" s="487">
        <f>'INPUT SHEET'!R10</f>
        <v>180</v>
      </c>
      <c r="I43" s="487">
        <f>'INPUT SHEET'!S10</f>
        <v>240</v>
      </c>
      <c r="J43" s="487">
        <f>'INPUT SHEET'!T10</f>
        <v>360</v>
      </c>
    </row>
    <row r="44" spans="1:16" ht="29.25" customHeight="1">
      <c r="A44" s="552" t="s">
        <v>97</v>
      </c>
      <c r="B44" s="553">
        <f>'Internal Summary'!D30</f>
        <v>1132124.0150000001</v>
      </c>
      <c r="C44" s="59"/>
      <c r="D44" s="488" t="s">
        <v>11</v>
      </c>
      <c r="E44" s="483">
        <f>'INPUT SHEET'!O8</f>
        <v>0</v>
      </c>
      <c r="F44" s="483">
        <f>'INPUT SHEET'!P8</f>
        <v>0</v>
      </c>
      <c r="G44" s="483">
        <f>'INPUT SHEET'!Q8</f>
        <v>0</v>
      </c>
      <c r="H44" s="483">
        <f>'INPUT SHEET'!R8</f>
        <v>0</v>
      </c>
      <c r="I44" s="483">
        <f>'INPUT SHEET'!S8</f>
        <v>4</v>
      </c>
      <c r="J44" s="483">
        <f>'INPUT SHEET'!T8</f>
        <v>0</v>
      </c>
      <c r="K44" s="59"/>
      <c r="L44" s="59"/>
      <c r="M44" s="59"/>
      <c r="N44" s="59"/>
      <c r="O44" s="59"/>
      <c r="P44" s="59"/>
    </row>
    <row r="45" spans="1:16" ht="15" customHeight="1">
      <c r="A45" s="59"/>
      <c r="B45" s="59"/>
      <c r="C45" s="59"/>
      <c r="D45" s="489" t="s">
        <v>704</v>
      </c>
      <c r="E45" s="484">
        <f t="shared" ref="E45:J45" si="5">E43*$E$42</f>
        <v>4300.0020000000004</v>
      </c>
      <c r="F45" s="484">
        <f t="shared" si="5"/>
        <v>8600.0040000000008</v>
      </c>
      <c r="G45" s="484">
        <f t="shared" si="5"/>
        <v>11466.672</v>
      </c>
      <c r="H45" s="484">
        <f t="shared" si="5"/>
        <v>12900.006000000001</v>
      </c>
      <c r="I45" s="484">
        <f t="shared" si="5"/>
        <v>17200.008000000002</v>
      </c>
      <c r="J45" s="484">
        <f t="shared" si="5"/>
        <v>25800.012000000002</v>
      </c>
      <c r="K45" s="59"/>
      <c r="L45" s="59"/>
      <c r="M45" s="59"/>
      <c r="N45" s="59"/>
      <c r="O45" s="59"/>
      <c r="P45" s="59"/>
    </row>
    <row r="46" spans="1:16">
      <c r="D46" s="66" t="s">
        <v>90</v>
      </c>
      <c r="E46" s="67" t="s">
        <v>91</v>
      </c>
      <c r="F46" s="67" t="s">
        <v>88</v>
      </c>
      <c r="G46" s="62"/>
      <c r="H46" s="59"/>
      <c r="I46" s="59"/>
      <c r="J46" s="59"/>
    </row>
    <row r="47" spans="1:16">
      <c r="D47" s="59" t="s">
        <v>93</v>
      </c>
      <c r="E47" s="62">
        <f>'Updated Chargers Revenue Calcul'!B16*30</f>
        <v>1016.0640000000002</v>
      </c>
      <c r="F47" s="69">
        <v>4.4999999999999997E-3</v>
      </c>
      <c r="G47" s="69">
        <f>E47*F47</f>
        <v>4.5722880000000004</v>
      </c>
      <c r="H47" s="59"/>
      <c r="I47" s="59"/>
      <c r="J47" s="59"/>
    </row>
  </sheetData>
  <mergeCells count="3">
    <mergeCell ref="D2:F3"/>
    <mergeCell ref="H2:J3"/>
    <mergeCell ref="A2:B2"/>
  </mergeCells>
  <conditionalFormatting sqref="D11:F15">
    <cfRule type="expression" dxfId="2" priority="1">
      <formula>$B$10=10</formula>
    </cfRule>
  </conditionalFormatting>
  <conditionalFormatting sqref="G11:G15">
    <cfRule type="expression" dxfId="1" priority="3">
      <formula>$B$10=10</formula>
    </cfRule>
  </conditionalFormatting>
  <conditionalFormatting sqref="H11:J15">
    <cfRule type="expression" dxfId="0" priority="2">
      <formula>$B$10=10</formula>
    </cfRule>
  </conditionalFormatting>
  <dataValidations count="1">
    <dataValidation type="list" sqref="B9" xr:uid="{AA70A51A-64EF-452D-96F6-15E7A6C0DB4F}">
      <formula1>"5 Year,10 Year"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6077-D8CC-4D59-833D-D0C0813DCF0F}">
  <sheetPr>
    <tabColor theme="9"/>
  </sheetPr>
  <dimension ref="A1:K1000"/>
  <sheetViews>
    <sheetView workbookViewId="0">
      <pane ySplit="17" topLeftCell="A18" activePane="bottomLeft" state="frozen"/>
      <selection pane="bottomLeft" activeCell="F24" sqref="F24"/>
    </sheetView>
  </sheetViews>
  <sheetFormatPr defaultColWidth="14.42578125" defaultRowHeight="15" customHeight="1"/>
  <cols>
    <col min="1" max="1" width="25.7109375" style="500" customWidth="1"/>
    <col min="2" max="2" width="15.7109375" style="500" customWidth="1"/>
    <col min="3" max="3" width="21.7109375" style="500" customWidth="1"/>
    <col min="4" max="4" width="14.7109375" style="500" customWidth="1"/>
    <col min="5" max="5" width="9.140625" style="500" customWidth="1"/>
    <col min="6" max="6" width="23.7109375" style="500" customWidth="1"/>
    <col min="7" max="7" width="21.7109375" style="500" customWidth="1"/>
    <col min="8" max="8" width="20.28515625" style="500" customWidth="1"/>
    <col min="9" max="9" width="21.7109375" style="500" customWidth="1"/>
    <col min="10" max="10" width="19.85546875" style="500" customWidth="1"/>
    <col min="11" max="11" width="9.140625" style="500" customWidth="1"/>
    <col min="12" max="16384" width="14.42578125" style="500"/>
  </cols>
  <sheetData>
    <row r="1" spans="1:11" ht="24" customHeight="1">
      <c r="A1" s="496" t="s">
        <v>713</v>
      </c>
      <c r="B1" s="497"/>
      <c r="C1" s="497"/>
      <c r="D1" s="497"/>
      <c r="E1" s="498"/>
      <c r="F1" s="498"/>
      <c r="G1" s="498"/>
      <c r="H1" s="498"/>
      <c r="I1" s="498"/>
      <c r="J1" s="498"/>
      <c r="K1" s="499"/>
    </row>
    <row r="2" spans="1:11" ht="3" customHeight="1">
      <c r="A2" s="501"/>
      <c r="B2" s="502"/>
      <c r="C2" s="502"/>
      <c r="D2" s="502"/>
      <c r="E2" s="502"/>
      <c r="F2" s="502"/>
      <c r="G2" s="502"/>
      <c r="H2" s="502"/>
      <c r="I2" s="502"/>
      <c r="J2" s="502"/>
      <c r="K2" s="499"/>
    </row>
    <row r="3" spans="1:11" ht="20.25" customHeight="1">
      <c r="A3" s="498"/>
      <c r="B3" s="503"/>
      <c r="C3" s="503"/>
      <c r="D3" s="503"/>
      <c r="E3" s="503"/>
      <c r="F3" s="503"/>
      <c r="G3" s="503"/>
      <c r="H3" s="503"/>
      <c r="I3" s="503"/>
      <c r="J3" s="503"/>
      <c r="K3" s="499"/>
    </row>
    <row r="4" spans="1:11" ht="14.25" customHeight="1">
      <c r="A4" s="498"/>
      <c r="B4" s="586" t="s">
        <v>714</v>
      </c>
      <c r="C4" s="587"/>
      <c r="D4" s="588"/>
      <c r="E4" s="498"/>
      <c r="F4" s="497"/>
      <c r="G4" s="497"/>
      <c r="H4" s="586" t="s">
        <v>715</v>
      </c>
      <c r="I4" s="587"/>
      <c r="J4" s="588"/>
      <c r="K4" s="499"/>
    </row>
    <row r="5" spans="1:11" ht="12.75" customHeight="1">
      <c r="A5" s="498"/>
      <c r="B5" s="504"/>
      <c r="C5" s="505" t="s">
        <v>716</v>
      </c>
      <c r="D5" s="506">
        <f>'Financial Worksheet'!B44</f>
        <v>1132124.0150000001</v>
      </c>
      <c r="E5" s="498"/>
      <c r="F5" s="497"/>
      <c r="G5" s="497"/>
      <c r="H5" s="504"/>
      <c r="I5" s="505" t="s">
        <v>717</v>
      </c>
      <c r="J5" s="507">
        <f>IF('DLL Schedule'!Values_Entered=1,-PMT('DLL Schedule'!Interest_Rate/'DLL Schedule'!Num_Pmt_Per_Year,'DLL Schedule'!Loan_Years*'DLL Schedule'!Num_Pmt_Per_Year,'DLL Schedule'!Loan_Amount),"")</f>
        <v>23167.283504162628</v>
      </c>
      <c r="K5" s="499"/>
    </row>
    <row r="6" spans="1:11" ht="12.75" customHeight="1">
      <c r="A6" s="498"/>
      <c r="B6" s="504"/>
      <c r="C6" s="505" t="s">
        <v>718</v>
      </c>
      <c r="D6" s="508">
        <v>8.3900000000000002E-2</v>
      </c>
      <c r="E6" s="498"/>
      <c r="F6" s="497"/>
      <c r="G6" s="497"/>
      <c r="H6" s="504"/>
      <c r="I6" s="505" t="s">
        <v>719</v>
      </c>
      <c r="J6" s="509">
        <f>IF('DLL Schedule'!Values_Entered=1,'DLL Schedule'!Loan_Years*'DLL Schedule'!Num_Pmt_Per_Year,"")</f>
        <v>60</v>
      </c>
      <c r="K6" s="499"/>
    </row>
    <row r="7" spans="1:11" ht="12.75" customHeight="1">
      <c r="A7" s="498"/>
      <c r="B7" s="504"/>
      <c r="C7" s="505" t="s">
        <v>720</v>
      </c>
      <c r="D7" s="510">
        <v>5</v>
      </c>
      <c r="E7" s="498"/>
      <c r="F7" s="497"/>
      <c r="G7" s="497"/>
      <c r="H7" s="504"/>
      <c r="I7" s="505" t="s">
        <v>721</v>
      </c>
      <c r="J7" s="509">
        <f>IF('DLL Schedule'!Values_Entered=1,MATCH(0.01,'DLL Schedule'!End_Bal,-1)+1,"")</f>
        <v>60</v>
      </c>
      <c r="K7" s="499"/>
    </row>
    <row r="8" spans="1:11" ht="12.75" customHeight="1">
      <c r="A8" s="498"/>
      <c r="B8" s="504"/>
      <c r="C8" s="505" t="s">
        <v>722</v>
      </c>
      <c r="D8" s="510">
        <v>12</v>
      </c>
      <c r="E8" s="498"/>
      <c r="F8" s="497"/>
      <c r="G8" s="497"/>
      <c r="H8" s="504"/>
      <c r="I8" s="505" t="s">
        <v>723</v>
      </c>
      <c r="J8" s="507">
        <f>IF('DLL Schedule'!Values_Entered=1,SUMIF('DLL Schedule'!Beg_Bal,"&gt;0",'DLL Schedule'!Extra_Pay),"")</f>
        <v>0</v>
      </c>
      <c r="K8" s="499"/>
    </row>
    <row r="9" spans="1:11" ht="12.75" customHeight="1">
      <c r="A9" s="498"/>
      <c r="B9" s="504"/>
      <c r="C9" s="505" t="s">
        <v>724</v>
      </c>
      <c r="D9" s="511">
        <v>46235</v>
      </c>
      <c r="E9" s="498"/>
      <c r="F9" s="497"/>
      <c r="G9" s="497"/>
      <c r="H9" s="512"/>
      <c r="I9" s="513" t="s">
        <v>725</v>
      </c>
      <c r="J9" s="507">
        <f>IF('DLL Schedule'!Values_Entered=1,SUMIF('DLL Schedule'!Beg_Bal,"&gt;0",'DLL Schedule'!Int),"")</f>
        <v>257912.99524975716</v>
      </c>
      <c r="K9" s="499"/>
    </row>
    <row r="10" spans="1:11" ht="12.75" customHeight="1">
      <c r="A10" s="498"/>
      <c r="B10" s="512"/>
      <c r="C10" s="513" t="s">
        <v>726</v>
      </c>
      <c r="D10" s="506">
        <v>0</v>
      </c>
      <c r="E10" s="498"/>
      <c r="F10" s="503"/>
      <c r="G10" s="503"/>
      <c r="H10" s="503"/>
      <c r="I10" s="503"/>
      <c r="J10" s="498"/>
      <c r="K10" s="499"/>
    </row>
    <row r="11" spans="1:11" ht="12.75" customHeight="1">
      <c r="A11" s="498"/>
      <c r="B11" s="503"/>
      <c r="C11" s="503"/>
      <c r="D11" s="503"/>
      <c r="E11" s="503"/>
      <c r="F11" s="503"/>
      <c r="G11" s="503"/>
      <c r="H11" s="503"/>
      <c r="I11" s="503"/>
      <c r="J11" s="503"/>
      <c r="K11" s="499"/>
    </row>
    <row r="12" spans="1:11" ht="12.75" customHeight="1">
      <c r="A12" s="498"/>
      <c r="B12" s="514" t="s">
        <v>727</v>
      </c>
      <c r="C12" s="589"/>
      <c r="D12" s="590"/>
      <c r="E12" s="503"/>
      <c r="F12" s="503"/>
      <c r="G12" s="503"/>
      <c r="H12" s="503"/>
      <c r="I12" s="503"/>
      <c r="J12" s="503"/>
      <c r="K12" s="499"/>
    </row>
    <row r="13" spans="1:11" ht="12.75" customHeight="1">
      <c r="A13" s="498"/>
      <c r="B13" s="514"/>
      <c r="C13" s="515"/>
      <c r="D13" s="515"/>
      <c r="E13" s="503"/>
      <c r="F13" s="503"/>
      <c r="G13" s="503"/>
      <c r="H13" s="503"/>
      <c r="I13" s="503"/>
      <c r="J13" s="503"/>
      <c r="K13" s="499"/>
    </row>
    <row r="14" spans="1:11" ht="34.5" customHeight="1">
      <c r="A14" s="501"/>
      <c r="B14" s="502"/>
      <c r="C14" s="502"/>
      <c r="D14" s="502"/>
      <c r="E14" s="502"/>
      <c r="F14" s="502"/>
      <c r="G14" s="502"/>
      <c r="H14" s="502"/>
      <c r="I14" s="502"/>
      <c r="J14" s="502"/>
      <c r="K14" s="499"/>
    </row>
    <row r="15" spans="1:11" ht="60.75" customHeight="1">
      <c r="A15" s="516"/>
      <c r="B15" s="517"/>
      <c r="C15" s="517"/>
      <c r="D15" s="517"/>
      <c r="E15" s="517"/>
      <c r="F15" s="517"/>
      <c r="G15" s="517"/>
      <c r="H15" s="517"/>
      <c r="I15" s="517"/>
      <c r="J15" s="517"/>
      <c r="K15" s="499"/>
    </row>
    <row r="16" spans="1:11" ht="25.5" customHeight="1">
      <c r="A16" s="518" t="s">
        <v>728</v>
      </c>
      <c r="B16" s="519" t="s">
        <v>729</v>
      </c>
      <c r="C16" s="519" t="s">
        <v>730</v>
      </c>
      <c r="D16" s="519" t="s">
        <v>731</v>
      </c>
      <c r="E16" s="519" t="s">
        <v>732</v>
      </c>
      <c r="F16" s="519" t="s">
        <v>733</v>
      </c>
      <c r="G16" s="519" t="s">
        <v>734</v>
      </c>
      <c r="H16" s="519" t="s">
        <v>735</v>
      </c>
      <c r="I16" s="519" t="s">
        <v>736</v>
      </c>
      <c r="J16" s="520" t="s">
        <v>737</v>
      </c>
      <c r="K16" s="499"/>
    </row>
    <row r="17" spans="1:11" ht="60.75" customHeight="1">
      <c r="A17" s="521"/>
      <c r="B17" s="522"/>
      <c r="C17" s="522"/>
      <c r="D17" s="522"/>
      <c r="E17" s="522"/>
      <c r="F17" s="522"/>
      <c r="G17" s="522"/>
      <c r="H17" s="522"/>
      <c r="I17" s="522"/>
      <c r="J17" s="522"/>
      <c r="K17" s="499"/>
    </row>
    <row r="18" spans="1:11" ht="12.75" customHeight="1">
      <c r="A18" s="523">
        <f>IF('DLL Schedule'!Values_Entered=1,1,"")</f>
        <v>1</v>
      </c>
      <c r="B18" s="524">
        <f>IF('DLL Schedule'!Pay_Num&lt;&gt;"",DATE(YEAR('DLL Schedule'!Loan_Start),MONTH('DLL Schedule'!Loan_Start)+('DLL Schedule'!Pay_Num)*12/'DLL Schedule'!Num_Pmt_Per_Year,DAY('DLL Schedule'!Loan_Start)),"")</f>
        <v>46266</v>
      </c>
      <c r="C18" s="525">
        <f>IF('DLL Schedule'!Values_Entered=1,'DLL Schedule'!Loan_Amount,"")</f>
        <v>1132124.0150000001</v>
      </c>
      <c r="D18" s="525">
        <f>IF('DLL Schedule'!Pay_Num&lt;&gt;"",'DLL Schedule'!Scheduled_Monthly_Payment,"")</f>
        <v>23167.283504162628</v>
      </c>
      <c r="E18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18" s="525">
        <f>IF('DLL Schedule'!Pay_Num&lt;&gt;"",IF('DLL Schedule'!Sched_Pay+'DLL Schedule'!Extra_Pay&lt;'DLL Schedule'!Beg_Bal,'DLL Schedule'!Sched_Pay+'DLL Schedule'!Extra_Pay,'DLL Schedule'!Beg_Bal),"")</f>
        <v>23167.283504162628</v>
      </c>
      <c r="G18" s="525">
        <f>IF('DLL Schedule'!Pay_Num&lt;&gt;"",'DLL Schedule'!Total_Pay-'DLL Schedule'!Int,"")</f>
        <v>15251.849765954294</v>
      </c>
      <c r="H18" s="525">
        <f>IF('DLL Schedule'!Pay_Num&lt;&gt;"",'DLL Schedule'!Beg_Bal*('DLL Schedule'!Interest_Rate/'DLL Schedule'!Num_Pmt_Per_Year),"")</f>
        <v>7915.433738208334</v>
      </c>
      <c r="I18" s="525">
        <f>IF('DLL Schedule'!Pay_Num&lt;&gt;"",IF('DLL Schedule'!Sched_Pay+'DLL Schedule'!Extra_Pay&lt;'DLL Schedule'!Beg_Bal,'DLL Schedule'!Beg_Bal-'DLL Schedule'!Princ,0),"")</f>
        <v>1116872.1652340458</v>
      </c>
      <c r="J18" s="525">
        <f>SUM($H$18:$H18)</f>
        <v>7915.433738208334</v>
      </c>
      <c r="K18" s="499"/>
    </row>
    <row r="19" spans="1:11" ht="12.75" customHeight="1">
      <c r="A19" s="523">
        <f>IF(AND('DLL Schedule'!Values_Entered=1,A18&lt;&gt;"",I18&gt;0),A18+1,"")</f>
        <v>2</v>
      </c>
      <c r="B19" s="524">
        <f>IF('DLL Schedule'!Pay_Num&lt;&gt;"",DATE(YEAR('DLL Schedule'!Loan_Start),MONTH('DLL Schedule'!Loan_Start)+('DLL Schedule'!Pay_Num)*12/'DLL Schedule'!Num_Pmt_Per_Year,DAY('DLL Schedule'!Loan_Start)),"")</f>
        <v>46296</v>
      </c>
      <c r="C19" s="525">
        <f>IF('DLL Schedule'!Pay_Num&lt;&gt;"",I18,"")</f>
        <v>1116872.1652340458</v>
      </c>
      <c r="D19" s="525">
        <f>IF('DLL Schedule'!Pay_Num&lt;&gt;"",'DLL Schedule'!Scheduled_Monthly_Payment,"")</f>
        <v>23167.283504162628</v>
      </c>
      <c r="E19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19" s="525">
        <f>IF('DLL Schedule'!Pay_Num&lt;&gt;"",IF('DLL Schedule'!Sched_Pay+'DLL Schedule'!Extra_Pay&lt;'DLL Schedule'!Beg_Bal,'DLL Schedule'!Sched_Pay+'DLL Schedule'!Extra_Pay,'DLL Schedule'!Beg_Bal),"")</f>
        <v>23167.283504162628</v>
      </c>
      <c r="G19" s="525">
        <f>IF('DLL Schedule'!Pay_Num&lt;&gt;"",'DLL Schedule'!Total_Pay-'DLL Schedule'!Int,"")</f>
        <v>15358.485615567923</v>
      </c>
      <c r="H19" s="525">
        <f>IF('DLL Schedule'!Pay_Num&lt;&gt;"",'DLL Schedule'!Beg_Bal*'DLL Schedule'!Interest_Rate/'DLL Schedule'!Num_Pmt_Per_Year,"")</f>
        <v>7808.7978885947041</v>
      </c>
      <c r="I19" s="525">
        <f>IF('DLL Schedule'!Pay_Num&lt;&gt;"",IF('DLL Schedule'!Sched_Pay+'DLL Schedule'!Extra_Pay&lt;'DLL Schedule'!Beg_Bal,'DLL Schedule'!Beg_Bal-'DLL Schedule'!Princ,0),"")</f>
        <v>1101513.6796184778</v>
      </c>
      <c r="J19" s="525">
        <f>SUM($H$18:$H19)</f>
        <v>15724.231626803037</v>
      </c>
      <c r="K19" s="499"/>
    </row>
    <row r="20" spans="1:11" ht="12.75" customHeight="1">
      <c r="A20" s="523">
        <f>IF(AND('DLL Schedule'!Values_Entered=1,A19&lt;&gt;"",I19&gt;0),A19+1,"")</f>
        <v>3</v>
      </c>
      <c r="B20" s="524">
        <f>IF('DLL Schedule'!Pay_Num&lt;&gt;"",DATE(YEAR('DLL Schedule'!Loan_Start),MONTH('DLL Schedule'!Loan_Start)+('DLL Schedule'!Pay_Num)*12/'DLL Schedule'!Num_Pmt_Per_Year,DAY('DLL Schedule'!Loan_Start)),"")</f>
        <v>46327</v>
      </c>
      <c r="C20" s="525">
        <f>IF('DLL Schedule'!Pay_Num&lt;&gt;"",I19,"")</f>
        <v>1101513.6796184778</v>
      </c>
      <c r="D20" s="525">
        <f>IF('DLL Schedule'!Pay_Num&lt;&gt;"",'DLL Schedule'!Scheduled_Monthly_Payment,"")</f>
        <v>23167.283504162628</v>
      </c>
      <c r="E20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0" s="525">
        <f>IF('DLL Schedule'!Pay_Num&lt;&gt;"",IF('DLL Schedule'!Sched_Pay+'DLL Schedule'!Extra_Pay&lt;'DLL Schedule'!Beg_Bal,'DLL Schedule'!Sched_Pay+'DLL Schedule'!Extra_Pay,'DLL Schedule'!Beg_Bal),"")</f>
        <v>23167.283504162628</v>
      </c>
      <c r="G20" s="525">
        <f>IF('DLL Schedule'!Pay_Num&lt;&gt;"",'DLL Schedule'!Total_Pay-'DLL Schedule'!Int,"")</f>
        <v>15465.86702749677</v>
      </c>
      <c r="H20" s="525">
        <f>IF('DLL Schedule'!Pay_Num&lt;&gt;"",'DLL Schedule'!Beg_Bal*'DLL Schedule'!Interest_Rate/'DLL Schedule'!Num_Pmt_Per_Year,"")</f>
        <v>7701.4164766658578</v>
      </c>
      <c r="I20" s="525">
        <f>IF('DLL Schedule'!Pay_Num&lt;&gt;"",IF('DLL Schedule'!Sched_Pay+'DLL Schedule'!Extra_Pay&lt;'DLL Schedule'!Beg_Bal,'DLL Schedule'!Beg_Bal-'DLL Schedule'!Princ,0),"")</f>
        <v>1086047.8125909811</v>
      </c>
      <c r="J20" s="525">
        <f>SUM($H$18:$H20)</f>
        <v>23425.648103468895</v>
      </c>
      <c r="K20" s="499"/>
    </row>
    <row r="21" spans="1:11" ht="12.75" customHeight="1">
      <c r="A21" s="523">
        <f>IF(AND('DLL Schedule'!Values_Entered=1,A20&lt;&gt;"",I20&gt;0),A20+1,"")</f>
        <v>4</v>
      </c>
      <c r="B21" s="524">
        <f>IF('DLL Schedule'!Pay_Num&lt;&gt;"",DATE(YEAR('DLL Schedule'!Loan_Start),MONTH('DLL Schedule'!Loan_Start)+('DLL Schedule'!Pay_Num)*12/'DLL Schedule'!Num_Pmt_Per_Year,DAY('DLL Schedule'!Loan_Start)),"")</f>
        <v>46357</v>
      </c>
      <c r="C21" s="525">
        <f>IF('DLL Schedule'!Pay_Num&lt;&gt;"",I20,"")</f>
        <v>1086047.8125909811</v>
      </c>
      <c r="D21" s="525">
        <f>IF('DLL Schedule'!Pay_Num&lt;&gt;"",'DLL Schedule'!Scheduled_Monthly_Payment,"")</f>
        <v>23167.283504162628</v>
      </c>
      <c r="E21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1" s="525">
        <f>IF('DLL Schedule'!Pay_Num&lt;&gt;"",IF('DLL Schedule'!Sched_Pay+'DLL Schedule'!Extra_Pay&lt;'DLL Schedule'!Beg_Bal,'DLL Schedule'!Sched_Pay+'DLL Schedule'!Extra_Pay,'DLL Schedule'!Beg_Bal),"")</f>
        <v>23167.283504162628</v>
      </c>
      <c r="G21" s="525">
        <f>IF('DLL Schedule'!Pay_Num&lt;&gt;"",'DLL Schedule'!Total_Pay-'DLL Schedule'!Int,"")</f>
        <v>15573.999214464016</v>
      </c>
      <c r="H21" s="525">
        <f>IF('DLL Schedule'!Pay_Num&lt;&gt;"",'DLL Schedule'!Beg_Bal*'DLL Schedule'!Interest_Rate/'DLL Schedule'!Num_Pmt_Per_Year,"")</f>
        <v>7593.2842896986103</v>
      </c>
      <c r="I21" s="525">
        <f>IF('DLL Schedule'!Pay_Num&lt;&gt;"",IF('DLL Schedule'!Sched_Pay+'DLL Schedule'!Extra_Pay&lt;'DLL Schedule'!Beg_Bal,'DLL Schedule'!Beg_Bal-'DLL Schedule'!Princ,0),"")</f>
        <v>1070473.813376517</v>
      </c>
      <c r="J21" s="525">
        <f>SUM($H$18:$H21)</f>
        <v>31018.932393167506</v>
      </c>
      <c r="K21" s="499"/>
    </row>
    <row r="22" spans="1:11" ht="12.75" customHeight="1">
      <c r="A22" s="523">
        <f>IF(AND('DLL Schedule'!Values_Entered=1,A21&lt;&gt;"",I21&gt;0),A21+1,"")</f>
        <v>5</v>
      </c>
      <c r="B22" s="524">
        <f>IF('DLL Schedule'!Pay_Num&lt;&gt;"",DATE(YEAR('DLL Schedule'!Loan_Start),MONTH('DLL Schedule'!Loan_Start)+('DLL Schedule'!Pay_Num)*12/'DLL Schedule'!Num_Pmt_Per_Year,DAY('DLL Schedule'!Loan_Start)),"")</f>
        <v>46388</v>
      </c>
      <c r="C22" s="525">
        <f>IF('DLL Schedule'!Pay_Num&lt;&gt;"",I21,"")</f>
        <v>1070473.813376517</v>
      </c>
      <c r="D22" s="525">
        <f>IF('DLL Schedule'!Pay_Num&lt;&gt;"",'DLL Schedule'!Scheduled_Monthly_Payment,"")</f>
        <v>23167.283504162628</v>
      </c>
      <c r="E22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2" s="525">
        <f>IF('DLL Schedule'!Pay_Num&lt;&gt;"",IF('DLL Schedule'!Sched_Pay+'DLL Schedule'!Extra_Pay&lt;'DLL Schedule'!Beg_Bal,'DLL Schedule'!Sched_Pay+'DLL Schedule'!Extra_Pay,'DLL Schedule'!Beg_Bal),"")</f>
        <v>23167.283504162628</v>
      </c>
      <c r="G22" s="525">
        <f>IF('DLL Schedule'!Pay_Num&lt;&gt;"",'DLL Schedule'!Total_Pay-'DLL Schedule'!Int,"")</f>
        <v>15682.887425638481</v>
      </c>
      <c r="H22" s="525">
        <f>IF('DLL Schedule'!Pay_Num&lt;&gt;"",'DLL Schedule'!Beg_Bal*'DLL Schedule'!Interest_Rate/'DLL Schedule'!Num_Pmt_Per_Year,"")</f>
        <v>7484.3960785241479</v>
      </c>
      <c r="I22" s="525">
        <f>IF('DLL Schedule'!Pay_Num&lt;&gt;"",IF('DLL Schedule'!Sched_Pay+'DLL Schedule'!Extra_Pay&lt;'DLL Schedule'!Beg_Bal,'DLL Schedule'!Beg_Bal-'DLL Schedule'!Princ,0),"")</f>
        <v>1054790.9259508785</v>
      </c>
      <c r="J22" s="525">
        <f>SUM($H$18:$H22)</f>
        <v>38503.328471691653</v>
      </c>
      <c r="K22" s="499"/>
    </row>
    <row r="23" spans="1:11" ht="12.75" customHeight="1">
      <c r="A23" s="523">
        <f>IF(AND('DLL Schedule'!Values_Entered=1,A22&lt;&gt;"",I22&gt;0),A22+1,"")</f>
        <v>6</v>
      </c>
      <c r="B23" s="524">
        <f>IF('DLL Schedule'!Pay_Num&lt;&gt;"",DATE(YEAR('DLL Schedule'!Loan_Start),MONTH('DLL Schedule'!Loan_Start)+('DLL Schedule'!Pay_Num)*12/'DLL Schedule'!Num_Pmt_Per_Year,DAY('DLL Schedule'!Loan_Start)),"")</f>
        <v>46419</v>
      </c>
      <c r="C23" s="525">
        <f>IF('DLL Schedule'!Pay_Num&lt;&gt;"",I22,"")</f>
        <v>1054790.9259508785</v>
      </c>
      <c r="D23" s="525">
        <f>IF('DLL Schedule'!Pay_Num&lt;&gt;"",'DLL Schedule'!Scheduled_Monthly_Payment,"")</f>
        <v>23167.283504162628</v>
      </c>
      <c r="E23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3" s="525">
        <f>IF('DLL Schedule'!Pay_Num&lt;&gt;"",IF('DLL Schedule'!Sched_Pay+'DLL Schedule'!Extra_Pay&lt;'DLL Schedule'!Beg_Bal,'DLL Schedule'!Sched_Pay+'DLL Schedule'!Extra_Pay,'DLL Schedule'!Beg_Bal),"")</f>
        <v>23167.283504162628</v>
      </c>
      <c r="G23" s="525">
        <f>IF('DLL Schedule'!Pay_Num&lt;&gt;"",'DLL Schedule'!Total_Pay-'DLL Schedule'!Int,"")</f>
        <v>15792.536946889402</v>
      </c>
      <c r="H23" s="525">
        <f>IF('DLL Schedule'!Pay_Num&lt;&gt;"",'DLL Schedule'!Beg_Bal*'DLL Schedule'!Interest_Rate/'DLL Schedule'!Num_Pmt_Per_Year,"")</f>
        <v>7374.7465572732262</v>
      </c>
      <c r="I23" s="525">
        <f>IF('DLL Schedule'!Pay_Num&lt;&gt;"",IF('DLL Schedule'!Sched_Pay+'DLL Schedule'!Extra_Pay&lt;'DLL Schedule'!Beg_Bal,'DLL Schedule'!Beg_Bal-'DLL Schedule'!Princ,0),"")</f>
        <v>1038998.3890039892</v>
      </c>
      <c r="J23" s="525">
        <f>SUM($H$18:$H23)</f>
        <v>45878.075028964879</v>
      </c>
      <c r="K23" s="499"/>
    </row>
    <row r="24" spans="1:11" ht="12.75" customHeight="1">
      <c r="A24" s="523">
        <f>IF(AND('DLL Schedule'!Values_Entered=1,A23&lt;&gt;"",I23&gt;0),A23+1,"")</f>
        <v>7</v>
      </c>
      <c r="B24" s="524">
        <f>IF('DLL Schedule'!Pay_Num&lt;&gt;"",DATE(YEAR('DLL Schedule'!Loan_Start),MONTH('DLL Schedule'!Loan_Start)+('DLL Schedule'!Pay_Num)*12/'DLL Schedule'!Num_Pmt_Per_Year,DAY('DLL Schedule'!Loan_Start)),"")</f>
        <v>46447</v>
      </c>
      <c r="C24" s="525">
        <f>IF('DLL Schedule'!Pay_Num&lt;&gt;"",I23,"")</f>
        <v>1038998.3890039892</v>
      </c>
      <c r="D24" s="525">
        <f>IF('DLL Schedule'!Pay_Num&lt;&gt;"",'DLL Schedule'!Scheduled_Monthly_Payment,"")</f>
        <v>23167.283504162628</v>
      </c>
      <c r="E24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4" s="525">
        <f>IF('DLL Schedule'!Pay_Num&lt;&gt;"",IF('DLL Schedule'!Sched_Pay+'DLL Schedule'!Extra_Pay&lt;'DLL Schedule'!Beg_Bal,'DLL Schedule'!Sched_Pay+'DLL Schedule'!Extra_Pay,'DLL Schedule'!Beg_Bal),"")</f>
        <v>23167.283504162628</v>
      </c>
      <c r="G24" s="525">
        <f>IF('DLL Schedule'!Pay_Num&lt;&gt;"",'DLL Schedule'!Total_Pay-'DLL Schedule'!Int,"")</f>
        <v>15902.953101043069</v>
      </c>
      <c r="H24" s="525">
        <f>IF('DLL Schedule'!Pay_Num&lt;&gt;"",'DLL Schedule'!Beg_Bal*'DLL Schedule'!Interest_Rate/'DLL Schedule'!Num_Pmt_Per_Year,"")</f>
        <v>7264.3304031195576</v>
      </c>
      <c r="I24" s="525">
        <f>IF('DLL Schedule'!Pay_Num&lt;&gt;"",IF('DLL Schedule'!Sched_Pay+'DLL Schedule'!Extra_Pay&lt;'DLL Schedule'!Beg_Bal,'DLL Schedule'!Beg_Bal-'DLL Schedule'!Princ,0),"")</f>
        <v>1023095.435902946</v>
      </c>
      <c r="J24" s="525">
        <f>SUM($H$18:$H24)</f>
        <v>53142.405432084437</v>
      </c>
      <c r="K24" s="499"/>
    </row>
    <row r="25" spans="1:11" ht="12.75" customHeight="1">
      <c r="A25" s="523">
        <f>IF(AND('DLL Schedule'!Values_Entered=1,A24&lt;&gt;"",I24&gt;0),A24+1,"")</f>
        <v>8</v>
      </c>
      <c r="B25" s="524">
        <f>IF('DLL Schedule'!Pay_Num&lt;&gt;"",DATE(YEAR('DLL Schedule'!Loan_Start),MONTH('DLL Schedule'!Loan_Start)+('DLL Schedule'!Pay_Num)*12/'DLL Schedule'!Num_Pmt_Per_Year,DAY('DLL Schedule'!Loan_Start)),"")</f>
        <v>46478</v>
      </c>
      <c r="C25" s="525">
        <f>IF('DLL Schedule'!Pay_Num&lt;&gt;"",I24,"")</f>
        <v>1023095.435902946</v>
      </c>
      <c r="D25" s="525">
        <f>IF('DLL Schedule'!Pay_Num&lt;&gt;"",'DLL Schedule'!Scheduled_Monthly_Payment,"")</f>
        <v>23167.283504162628</v>
      </c>
      <c r="E25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5" s="525">
        <f>IF('DLL Schedule'!Pay_Num&lt;&gt;"",IF('DLL Schedule'!Sched_Pay+'DLL Schedule'!Extra_Pay&lt;'DLL Schedule'!Beg_Bal,'DLL Schedule'!Sched_Pay+'DLL Schedule'!Extra_Pay,'DLL Schedule'!Beg_Bal),"")</f>
        <v>23167.283504162628</v>
      </c>
      <c r="G25" s="525">
        <f>IF('DLL Schedule'!Pay_Num&lt;&gt;"",'DLL Schedule'!Total_Pay-'DLL Schedule'!Int,"")</f>
        <v>16014.141248141197</v>
      </c>
      <c r="H25" s="525">
        <f>IF('DLL Schedule'!Pay_Num&lt;&gt;"",'DLL Schedule'!Beg_Bal*'DLL Schedule'!Interest_Rate/'DLL Schedule'!Num_Pmt_Per_Year,"")</f>
        <v>7153.1422560214314</v>
      </c>
      <c r="I25" s="525">
        <f>IF('DLL Schedule'!Pay_Num&lt;&gt;"",IF('DLL Schedule'!Sched_Pay+'DLL Schedule'!Extra_Pay&lt;'DLL Schedule'!Beg_Bal,'DLL Schedule'!Beg_Bal-'DLL Schedule'!Princ,0),"")</f>
        <v>1007081.2946548049</v>
      </c>
      <c r="J25" s="525">
        <f>SUM($H$18:$H25)</f>
        <v>60295.547688105871</v>
      </c>
      <c r="K25" s="499"/>
    </row>
    <row r="26" spans="1:11" ht="12.75" customHeight="1">
      <c r="A26" s="523">
        <f>IF(AND('DLL Schedule'!Values_Entered=1,A25&lt;&gt;"",I25&gt;0),A25+1,"")</f>
        <v>9</v>
      </c>
      <c r="B26" s="524">
        <f>IF('DLL Schedule'!Pay_Num&lt;&gt;"",DATE(YEAR('DLL Schedule'!Loan_Start),MONTH('DLL Schedule'!Loan_Start)+('DLL Schedule'!Pay_Num)*12/'DLL Schedule'!Num_Pmt_Per_Year,DAY('DLL Schedule'!Loan_Start)),"")</f>
        <v>46508</v>
      </c>
      <c r="C26" s="525">
        <f>IF('DLL Schedule'!Pay_Num&lt;&gt;"",I25,"")</f>
        <v>1007081.2946548049</v>
      </c>
      <c r="D26" s="525">
        <f>IF('DLL Schedule'!Pay_Num&lt;&gt;"",'DLL Schedule'!Scheduled_Monthly_Payment,"")</f>
        <v>23167.283504162628</v>
      </c>
      <c r="E26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6" s="525">
        <f>IF('DLL Schedule'!Pay_Num&lt;&gt;"",IF('DLL Schedule'!Sched_Pay+'DLL Schedule'!Extra_Pay&lt;'DLL Schedule'!Beg_Bal,'DLL Schedule'!Sched_Pay+'DLL Schedule'!Extra_Pay,'DLL Schedule'!Beg_Bal),"")</f>
        <v>23167.283504162628</v>
      </c>
      <c r="G26" s="525">
        <f>IF('DLL Schedule'!Pay_Num&lt;&gt;"",'DLL Schedule'!Total_Pay-'DLL Schedule'!Int,"")</f>
        <v>16126.106785701118</v>
      </c>
      <c r="H26" s="525">
        <f>IF('DLL Schedule'!Pay_Num&lt;&gt;"",'DLL Schedule'!Beg_Bal*'DLL Schedule'!Interest_Rate/'DLL Schedule'!Num_Pmt_Per_Year,"")</f>
        <v>7041.1767184615101</v>
      </c>
      <c r="I26" s="525">
        <f>IF('DLL Schedule'!Pay_Num&lt;&gt;"",IF('DLL Schedule'!Sched_Pay+'DLL Schedule'!Extra_Pay&lt;'DLL Schedule'!Beg_Bal,'DLL Schedule'!Beg_Bal-'DLL Schedule'!Princ,0),"")</f>
        <v>990955.18786910374</v>
      </c>
      <c r="J26" s="525">
        <f>SUM($H$18:$H26)</f>
        <v>67336.724406567388</v>
      </c>
      <c r="K26" s="499"/>
    </row>
    <row r="27" spans="1:11" ht="12.75" customHeight="1">
      <c r="A27" s="523">
        <f>IF(AND('DLL Schedule'!Values_Entered=1,A26&lt;&gt;"",I26&gt;0),A26+1,"")</f>
        <v>10</v>
      </c>
      <c r="B27" s="524">
        <f>IF('DLL Schedule'!Pay_Num&lt;&gt;"",DATE(YEAR('DLL Schedule'!Loan_Start),MONTH('DLL Schedule'!Loan_Start)+('DLL Schedule'!Pay_Num)*12/'DLL Schedule'!Num_Pmt_Per_Year,DAY('DLL Schedule'!Loan_Start)),"")</f>
        <v>46539</v>
      </c>
      <c r="C27" s="525">
        <f>IF('DLL Schedule'!Pay_Num&lt;&gt;"",I26,"")</f>
        <v>990955.18786910374</v>
      </c>
      <c r="D27" s="525">
        <f>IF('DLL Schedule'!Pay_Num&lt;&gt;"",'DLL Schedule'!Scheduled_Monthly_Payment,"")</f>
        <v>23167.283504162628</v>
      </c>
      <c r="E27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7" s="525">
        <f>IF('DLL Schedule'!Pay_Num&lt;&gt;"",IF('DLL Schedule'!Sched_Pay+'DLL Schedule'!Extra_Pay&lt;'DLL Schedule'!Beg_Bal,'DLL Schedule'!Sched_Pay+'DLL Schedule'!Extra_Pay,'DLL Schedule'!Beg_Bal),"")</f>
        <v>23167.283504162628</v>
      </c>
      <c r="G27" s="525">
        <f>IF('DLL Schedule'!Pay_Num&lt;&gt;"",'DLL Schedule'!Total_Pay-'DLL Schedule'!Int,"")</f>
        <v>16238.855148977811</v>
      </c>
      <c r="H27" s="525">
        <f>IF('DLL Schedule'!Pay_Num&lt;&gt;"",'DLL Schedule'!Beg_Bal*'DLL Schedule'!Interest_Rate/'DLL Schedule'!Num_Pmt_Per_Year,"")</f>
        <v>6928.4283551848166</v>
      </c>
      <c r="I27" s="525">
        <f>IF('DLL Schedule'!Pay_Num&lt;&gt;"",IF('DLL Schedule'!Sched_Pay+'DLL Schedule'!Extra_Pay&lt;'DLL Schedule'!Beg_Bal,'DLL Schedule'!Beg_Bal-'DLL Schedule'!Princ,0),"")</f>
        <v>974716.33272012591</v>
      </c>
      <c r="J27" s="525">
        <f>SUM($H$18:$H27)</f>
        <v>74265.152761752208</v>
      </c>
      <c r="K27" s="499"/>
    </row>
    <row r="28" spans="1:11" ht="12.75" customHeight="1">
      <c r="A28" s="523">
        <f>IF(AND('DLL Schedule'!Values_Entered=1,A27&lt;&gt;"",I27&gt;0),A27+1,"")</f>
        <v>11</v>
      </c>
      <c r="B28" s="524">
        <f>IF('DLL Schedule'!Pay_Num&lt;&gt;"",DATE(YEAR('DLL Schedule'!Loan_Start),MONTH('DLL Schedule'!Loan_Start)+('DLL Schedule'!Pay_Num)*12/'DLL Schedule'!Num_Pmt_Per_Year,DAY('DLL Schedule'!Loan_Start)),"")</f>
        <v>46569</v>
      </c>
      <c r="C28" s="525">
        <f>IF('DLL Schedule'!Pay_Num&lt;&gt;"",I27,"")</f>
        <v>974716.33272012591</v>
      </c>
      <c r="D28" s="525">
        <f>IF('DLL Schedule'!Pay_Num&lt;&gt;"",'DLL Schedule'!Scheduled_Monthly_Payment,"")</f>
        <v>23167.283504162628</v>
      </c>
      <c r="E28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8" s="525">
        <f>IF('DLL Schedule'!Pay_Num&lt;&gt;"",IF('DLL Schedule'!Sched_Pay+'DLL Schedule'!Extra_Pay&lt;'DLL Schedule'!Beg_Bal,'DLL Schedule'!Sched_Pay+'DLL Schedule'!Extra_Pay,'DLL Schedule'!Beg_Bal),"")</f>
        <v>23167.283504162628</v>
      </c>
      <c r="G28" s="525">
        <f>IF('DLL Schedule'!Pay_Num&lt;&gt;"",'DLL Schedule'!Total_Pay-'DLL Schedule'!Int,"")</f>
        <v>16352.391811227746</v>
      </c>
      <c r="H28" s="525">
        <f>IF('DLL Schedule'!Pay_Num&lt;&gt;"",'DLL Schedule'!Beg_Bal*'DLL Schedule'!Interest_Rate/'DLL Schedule'!Num_Pmt_Per_Year,"")</f>
        <v>6814.8916929348807</v>
      </c>
      <c r="I28" s="525">
        <f>IF('DLL Schedule'!Pay_Num&lt;&gt;"",IF('DLL Schedule'!Sched_Pay+'DLL Schedule'!Extra_Pay&lt;'DLL Schedule'!Beg_Bal,'DLL Schedule'!Beg_Bal-'DLL Schedule'!Princ,0),"")</f>
        <v>958363.94090889813</v>
      </c>
      <c r="J28" s="525">
        <f>SUM($H$18:$H28)</f>
        <v>81080.044454687086</v>
      </c>
      <c r="K28" s="499"/>
    </row>
    <row r="29" spans="1:11" ht="12.75" customHeight="1">
      <c r="A29" s="523">
        <f>IF(AND('DLL Schedule'!Values_Entered=1,A28&lt;&gt;"",I28&gt;0),A28+1,"")</f>
        <v>12</v>
      </c>
      <c r="B29" s="524">
        <f>IF('DLL Schedule'!Pay_Num&lt;&gt;"",DATE(YEAR('DLL Schedule'!Loan_Start),MONTH('DLL Schedule'!Loan_Start)+('DLL Schedule'!Pay_Num)*12/'DLL Schedule'!Num_Pmt_Per_Year,DAY('DLL Schedule'!Loan_Start)),"")</f>
        <v>46600</v>
      </c>
      <c r="C29" s="525">
        <f>IF('DLL Schedule'!Pay_Num&lt;&gt;"",I28,"")</f>
        <v>958363.94090889813</v>
      </c>
      <c r="D29" s="525">
        <f>IF('DLL Schedule'!Pay_Num&lt;&gt;"",'DLL Schedule'!Scheduled_Monthly_Payment,"")</f>
        <v>23167.283504162628</v>
      </c>
      <c r="E29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9" s="525">
        <f>IF('DLL Schedule'!Pay_Num&lt;&gt;"",IF('DLL Schedule'!Sched_Pay+'DLL Schedule'!Extra_Pay&lt;'DLL Schedule'!Beg_Bal,'DLL Schedule'!Sched_Pay+'DLL Schedule'!Extra_Pay,'DLL Schedule'!Beg_Bal),"")</f>
        <v>23167.283504162628</v>
      </c>
      <c r="G29" s="525">
        <f>IF('DLL Schedule'!Pay_Num&lt;&gt;"",'DLL Schedule'!Total_Pay-'DLL Schedule'!Int,"")</f>
        <v>16466.722283974581</v>
      </c>
      <c r="H29" s="525">
        <f>IF('DLL Schedule'!Pay_Num&lt;&gt;"",'DLL Schedule'!Beg_Bal*'DLL Schedule'!Interest_Rate/'DLL Schedule'!Num_Pmt_Per_Year,"")</f>
        <v>6700.5612201880467</v>
      </c>
      <c r="I29" s="525">
        <f>IF('DLL Schedule'!Pay_Num&lt;&gt;"",IF('DLL Schedule'!Sched_Pay+'DLL Schedule'!Extra_Pay&lt;'DLL Schedule'!Beg_Bal,'DLL Schedule'!Beg_Bal-'DLL Schedule'!Princ,0),"")</f>
        <v>941897.21862492361</v>
      </c>
      <c r="J29" s="525">
        <f>SUM($H$18:$H29)</f>
        <v>87780.605674875129</v>
      </c>
      <c r="K29" s="499"/>
    </row>
    <row r="30" spans="1:11" ht="12.75" customHeight="1">
      <c r="A30" s="523">
        <f>IF(AND('DLL Schedule'!Values_Entered=1,A29&lt;&gt;"",I29&gt;0),A29+1,"")</f>
        <v>13</v>
      </c>
      <c r="B30" s="524">
        <f>IF('DLL Schedule'!Pay_Num&lt;&gt;"",DATE(YEAR('DLL Schedule'!Loan_Start),MONTH('DLL Schedule'!Loan_Start)+('DLL Schedule'!Pay_Num)*12/'DLL Schedule'!Num_Pmt_Per_Year,DAY('DLL Schedule'!Loan_Start)),"")</f>
        <v>46631</v>
      </c>
      <c r="C30" s="525">
        <f>IF('DLL Schedule'!Pay_Num&lt;&gt;"",I29,"")</f>
        <v>941897.21862492361</v>
      </c>
      <c r="D30" s="525">
        <f>IF('DLL Schedule'!Pay_Num&lt;&gt;"",'DLL Schedule'!Scheduled_Monthly_Payment,"")</f>
        <v>23167.283504162628</v>
      </c>
      <c r="E30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0" s="525">
        <f>IF('DLL Schedule'!Pay_Num&lt;&gt;"",IF('DLL Schedule'!Sched_Pay+'DLL Schedule'!Extra_Pay&lt;'DLL Schedule'!Beg_Bal,'DLL Schedule'!Sched_Pay+'DLL Schedule'!Extra_Pay,'DLL Schedule'!Beg_Bal),"")</f>
        <v>23167.283504162628</v>
      </c>
      <c r="G30" s="525">
        <f>IF('DLL Schedule'!Pay_Num&lt;&gt;"",'DLL Schedule'!Total_Pay-'DLL Schedule'!Int,"")</f>
        <v>16581.852117276703</v>
      </c>
      <c r="H30" s="525">
        <f>IF('DLL Schedule'!Pay_Num&lt;&gt;"",'DLL Schedule'!Beg_Bal*'DLL Schedule'!Interest_Rate/'DLL Schedule'!Num_Pmt_Per_Year,"")</f>
        <v>6585.4313868859244</v>
      </c>
      <c r="I30" s="525">
        <f>IF('DLL Schedule'!Pay_Num&lt;&gt;"",IF('DLL Schedule'!Sched_Pay+'DLL Schedule'!Extra_Pay&lt;'DLL Schedule'!Beg_Bal,'DLL Schedule'!Beg_Bal-'DLL Schedule'!Princ,0),"")</f>
        <v>925315.36650764686</v>
      </c>
      <c r="J30" s="525">
        <f>SUM($H$18:$H30)</f>
        <v>94366.037061761046</v>
      </c>
      <c r="K30" s="499"/>
    </row>
    <row r="31" spans="1:11" ht="12.75" customHeight="1">
      <c r="A31" s="523">
        <f>IF(AND('DLL Schedule'!Values_Entered=1,A30&lt;&gt;"",I30&gt;0),A30+1,"")</f>
        <v>14</v>
      </c>
      <c r="B31" s="524">
        <f>IF('DLL Schedule'!Pay_Num&lt;&gt;"",DATE(YEAR('DLL Schedule'!Loan_Start),MONTH('DLL Schedule'!Loan_Start)+('DLL Schedule'!Pay_Num)*12/'DLL Schedule'!Num_Pmt_Per_Year,DAY('DLL Schedule'!Loan_Start)),"")</f>
        <v>46661</v>
      </c>
      <c r="C31" s="525">
        <f>IF('DLL Schedule'!Pay_Num&lt;&gt;"",I30,"")</f>
        <v>925315.36650764686</v>
      </c>
      <c r="D31" s="525">
        <f>IF('DLL Schedule'!Pay_Num&lt;&gt;"",'DLL Schedule'!Scheduled_Monthly_Payment,"")</f>
        <v>23167.283504162628</v>
      </c>
      <c r="E31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1" s="525">
        <f>IF('DLL Schedule'!Pay_Num&lt;&gt;"",IF('DLL Schedule'!Sched_Pay+'DLL Schedule'!Extra_Pay&lt;'DLL Schedule'!Beg_Bal,'DLL Schedule'!Sched_Pay+'DLL Schedule'!Extra_Pay,'DLL Schedule'!Beg_Bal),"")</f>
        <v>23167.283504162628</v>
      </c>
      <c r="G31" s="525">
        <f>IF('DLL Schedule'!Pay_Num&lt;&gt;"",'DLL Schedule'!Total_Pay-'DLL Schedule'!Int,"")</f>
        <v>16697.786899996663</v>
      </c>
      <c r="H31" s="525">
        <f>IF('DLL Schedule'!Pay_Num&lt;&gt;"",'DLL Schedule'!Beg_Bal*'DLL Schedule'!Interest_Rate/'DLL Schedule'!Num_Pmt_Per_Year,"")</f>
        <v>6469.4966041659645</v>
      </c>
      <c r="I31" s="525">
        <f>IF('DLL Schedule'!Pay_Num&lt;&gt;"",IF('DLL Schedule'!Sched_Pay+'DLL Schedule'!Extra_Pay&lt;'DLL Schedule'!Beg_Bal,'DLL Schedule'!Beg_Bal-'DLL Schedule'!Princ,0),"")</f>
        <v>908617.57960765017</v>
      </c>
      <c r="J31" s="525">
        <f>SUM($H$18:$H31)</f>
        <v>100835.53366592701</v>
      </c>
      <c r="K31" s="499"/>
    </row>
    <row r="32" spans="1:11" ht="12.75" customHeight="1">
      <c r="A32" s="523">
        <f>IF(AND('DLL Schedule'!Values_Entered=1,A31&lt;&gt;"",I31&gt;0),A31+1,"")</f>
        <v>15</v>
      </c>
      <c r="B32" s="524">
        <f>IF('DLL Schedule'!Pay_Num&lt;&gt;"",DATE(YEAR('DLL Schedule'!Loan_Start),MONTH('DLL Schedule'!Loan_Start)+('DLL Schedule'!Pay_Num)*12/'DLL Schedule'!Num_Pmt_Per_Year,DAY('DLL Schedule'!Loan_Start)),"")</f>
        <v>46692</v>
      </c>
      <c r="C32" s="525">
        <f>IF('DLL Schedule'!Pay_Num&lt;&gt;"",I31,"")</f>
        <v>908617.57960765017</v>
      </c>
      <c r="D32" s="525">
        <f>IF('DLL Schedule'!Pay_Num&lt;&gt;"",'DLL Schedule'!Scheduled_Monthly_Payment,"")</f>
        <v>23167.283504162628</v>
      </c>
      <c r="E32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2" s="525">
        <f>IF('DLL Schedule'!Pay_Num&lt;&gt;"",IF('DLL Schedule'!Sched_Pay+'DLL Schedule'!Extra_Pay&lt;'DLL Schedule'!Beg_Bal,'DLL Schedule'!Sched_Pay+'DLL Schedule'!Extra_Pay,'DLL Schedule'!Beg_Bal),"")</f>
        <v>23167.283504162628</v>
      </c>
      <c r="G32" s="525">
        <f>IF('DLL Schedule'!Pay_Num&lt;&gt;"",'DLL Schedule'!Total_Pay-'DLL Schedule'!Int,"")</f>
        <v>16814.532260072472</v>
      </c>
      <c r="H32" s="525">
        <f>IF('DLL Schedule'!Pay_Num&lt;&gt;"",'DLL Schedule'!Beg_Bal*'DLL Schedule'!Interest_Rate/'DLL Schedule'!Num_Pmt_Per_Year,"")</f>
        <v>6352.7512440901546</v>
      </c>
      <c r="I32" s="525">
        <f>IF('DLL Schedule'!Pay_Num&lt;&gt;"",IF('DLL Schedule'!Sched_Pay+'DLL Schedule'!Extra_Pay&lt;'DLL Schedule'!Beg_Bal,'DLL Schedule'!Beg_Bal-'DLL Schedule'!Princ,0),"")</f>
        <v>891803.04734757775</v>
      </c>
      <c r="J32" s="525">
        <f>SUM($H$18:$H32)</f>
        <v>107188.28491001716</v>
      </c>
      <c r="K32" s="499"/>
    </row>
    <row r="33" spans="1:11" ht="12.75" customHeight="1">
      <c r="A33" s="523">
        <f>IF(AND('DLL Schedule'!Values_Entered=1,A32&lt;&gt;"",I32&gt;0),A32+1,"")</f>
        <v>16</v>
      </c>
      <c r="B33" s="524">
        <f>IF('DLL Schedule'!Pay_Num&lt;&gt;"",DATE(YEAR('DLL Schedule'!Loan_Start),MONTH('DLL Schedule'!Loan_Start)+('DLL Schedule'!Pay_Num)*12/'DLL Schedule'!Num_Pmt_Per_Year,DAY('DLL Schedule'!Loan_Start)),"")</f>
        <v>46722</v>
      </c>
      <c r="C33" s="525">
        <f>IF('DLL Schedule'!Pay_Num&lt;&gt;"",I32,"")</f>
        <v>891803.04734757775</v>
      </c>
      <c r="D33" s="525">
        <f>IF('DLL Schedule'!Pay_Num&lt;&gt;"",'DLL Schedule'!Scheduled_Monthly_Payment,"")</f>
        <v>23167.283504162628</v>
      </c>
      <c r="E33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3" s="525">
        <f>IF('DLL Schedule'!Pay_Num&lt;&gt;"",IF('DLL Schedule'!Sched_Pay+'DLL Schedule'!Extra_Pay&lt;'DLL Schedule'!Beg_Bal,'DLL Schedule'!Sched_Pay+'DLL Schedule'!Extra_Pay,'DLL Schedule'!Beg_Bal),"")</f>
        <v>23167.283504162628</v>
      </c>
      <c r="G33" s="525">
        <f>IF('DLL Schedule'!Pay_Num&lt;&gt;"",'DLL Schedule'!Total_Pay-'DLL Schedule'!Int,"")</f>
        <v>16932.093864790811</v>
      </c>
      <c r="H33" s="525">
        <f>IF('DLL Schedule'!Pay_Num&lt;&gt;"",'DLL Schedule'!Beg_Bal*'DLL Schedule'!Interest_Rate/'DLL Schedule'!Num_Pmt_Per_Year,"")</f>
        <v>6235.1896393718152</v>
      </c>
      <c r="I33" s="525">
        <f>IF('DLL Schedule'!Pay_Num&lt;&gt;"",IF('DLL Schedule'!Sched_Pay+'DLL Schedule'!Extra_Pay&lt;'DLL Schedule'!Beg_Bal,'DLL Schedule'!Beg_Bal-'DLL Schedule'!Princ,0),"")</f>
        <v>874870.95348278689</v>
      </c>
      <c r="J33" s="525">
        <f>SUM($H$18:$H33)</f>
        <v>113423.47454938898</v>
      </c>
      <c r="K33" s="499"/>
    </row>
    <row r="34" spans="1:11" ht="12.75" customHeight="1">
      <c r="A34" s="523">
        <f>IF(AND('DLL Schedule'!Values_Entered=1,A33&lt;&gt;"",I33&gt;0),A33+1,"")</f>
        <v>17</v>
      </c>
      <c r="B34" s="524">
        <f>IF('DLL Schedule'!Pay_Num&lt;&gt;"",DATE(YEAR('DLL Schedule'!Loan_Start),MONTH('DLL Schedule'!Loan_Start)+('DLL Schedule'!Pay_Num)*12/'DLL Schedule'!Num_Pmt_Per_Year,DAY('DLL Schedule'!Loan_Start)),"")</f>
        <v>46753</v>
      </c>
      <c r="C34" s="525">
        <f>IF('DLL Schedule'!Pay_Num&lt;&gt;"",I33,"")</f>
        <v>874870.95348278689</v>
      </c>
      <c r="D34" s="525">
        <f>IF('DLL Schedule'!Pay_Num&lt;&gt;"",'DLL Schedule'!Scheduled_Monthly_Payment,"")</f>
        <v>23167.283504162628</v>
      </c>
      <c r="E34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4" s="525">
        <f>IF('DLL Schedule'!Pay_Num&lt;&gt;"",IF('DLL Schedule'!Sched_Pay+'DLL Schedule'!Extra_Pay&lt;'DLL Schedule'!Beg_Bal,'DLL Schedule'!Sched_Pay+'DLL Schedule'!Extra_Pay,'DLL Schedule'!Beg_Bal),"")</f>
        <v>23167.283504162628</v>
      </c>
      <c r="G34" s="525">
        <f>IF('DLL Schedule'!Pay_Num&lt;&gt;"",'DLL Schedule'!Total_Pay-'DLL Schedule'!Int,"")</f>
        <v>17050.477421062144</v>
      </c>
      <c r="H34" s="525">
        <f>IF('DLL Schedule'!Pay_Num&lt;&gt;"",'DLL Schedule'!Beg_Bal*'DLL Schedule'!Interest_Rate/'DLL Schedule'!Num_Pmt_Per_Year,"")</f>
        <v>6116.806083100485</v>
      </c>
      <c r="I34" s="525">
        <f>IF('DLL Schedule'!Pay_Num&lt;&gt;"",IF('DLL Schedule'!Sched_Pay+'DLL Schedule'!Extra_Pay&lt;'DLL Schedule'!Beg_Bal,'DLL Schedule'!Beg_Bal-'DLL Schedule'!Princ,0),"")</f>
        <v>857820.47606172471</v>
      </c>
      <c r="J34" s="525">
        <f>SUM($H$18:$H34)</f>
        <v>119540.28063248946</v>
      </c>
      <c r="K34" s="499"/>
    </row>
    <row r="35" spans="1:11" ht="12.75" customHeight="1">
      <c r="A35" s="523">
        <f>IF(AND('DLL Schedule'!Values_Entered=1,A34&lt;&gt;"",I34&gt;0),A34+1,"")</f>
        <v>18</v>
      </c>
      <c r="B35" s="524">
        <f>IF('DLL Schedule'!Pay_Num&lt;&gt;"",DATE(YEAR('DLL Schedule'!Loan_Start),MONTH('DLL Schedule'!Loan_Start)+('DLL Schedule'!Pay_Num)*12/'DLL Schedule'!Num_Pmt_Per_Year,DAY('DLL Schedule'!Loan_Start)),"")</f>
        <v>46784</v>
      </c>
      <c r="C35" s="525">
        <f>IF('DLL Schedule'!Pay_Num&lt;&gt;"",I34,"")</f>
        <v>857820.47606172471</v>
      </c>
      <c r="D35" s="525">
        <f>IF('DLL Schedule'!Pay_Num&lt;&gt;"",'DLL Schedule'!Scheduled_Monthly_Payment,"")</f>
        <v>23167.283504162628</v>
      </c>
      <c r="E35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5" s="525">
        <f>IF('DLL Schedule'!Pay_Num&lt;&gt;"",IF('DLL Schedule'!Sched_Pay+'DLL Schedule'!Extra_Pay&lt;'DLL Schedule'!Beg_Bal,'DLL Schedule'!Sched_Pay+'DLL Schedule'!Extra_Pay,'DLL Schedule'!Beg_Bal),"")</f>
        <v>23167.283504162628</v>
      </c>
      <c r="G35" s="525">
        <f>IF('DLL Schedule'!Pay_Num&lt;&gt;"",'DLL Schedule'!Total_Pay-'DLL Schedule'!Int,"")</f>
        <v>17169.688675697736</v>
      </c>
      <c r="H35" s="525">
        <f>IF('DLL Schedule'!Pay_Num&lt;&gt;"",'DLL Schedule'!Beg_Bal*'DLL Schedule'!Interest_Rate/'DLL Schedule'!Num_Pmt_Per_Year,"")</f>
        <v>5997.5948284648921</v>
      </c>
      <c r="I35" s="525">
        <f>IF('DLL Schedule'!Pay_Num&lt;&gt;"",IF('DLL Schedule'!Sched_Pay+'DLL Schedule'!Extra_Pay&lt;'DLL Schedule'!Beg_Bal,'DLL Schedule'!Beg_Bal-'DLL Schedule'!Princ,0),"")</f>
        <v>840650.78738602693</v>
      </c>
      <c r="J35" s="525">
        <f>SUM($H$18:$H35)</f>
        <v>125537.87546095435</v>
      </c>
      <c r="K35" s="499"/>
    </row>
    <row r="36" spans="1:11" ht="12.75" customHeight="1">
      <c r="A36" s="523">
        <f>IF(AND('DLL Schedule'!Values_Entered=1,A35&lt;&gt;"",I35&gt;0),A35+1,"")</f>
        <v>19</v>
      </c>
      <c r="B36" s="524">
        <f>IF('DLL Schedule'!Pay_Num&lt;&gt;"",DATE(YEAR('DLL Schedule'!Loan_Start),MONTH('DLL Schedule'!Loan_Start)+('DLL Schedule'!Pay_Num)*12/'DLL Schedule'!Num_Pmt_Per_Year,DAY('DLL Schedule'!Loan_Start)),"")</f>
        <v>46813</v>
      </c>
      <c r="C36" s="525">
        <f>IF('DLL Schedule'!Pay_Num&lt;&gt;"",I35,"")</f>
        <v>840650.78738602693</v>
      </c>
      <c r="D36" s="525">
        <f>IF('DLL Schedule'!Pay_Num&lt;&gt;"",'DLL Schedule'!Scheduled_Monthly_Payment,"")</f>
        <v>23167.283504162628</v>
      </c>
      <c r="E36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6" s="525">
        <f>IF('DLL Schedule'!Pay_Num&lt;&gt;"",IF('DLL Schedule'!Sched_Pay+'DLL Schedule'!Extra_Pay&lt;'DLL Schedule'!Beg_Bal,'DLL Schedule'!Sched_Pay+'DLL Schedule'!Extra_Pay,'DLL Schedule'!Beg_Bal),"")</f>
        <v>23167.283504162628</v>
      </c>
      <c r="G36" s="525">
        <f>IF('DLL Schedule'!Pay_Num&lt;&gt;"",'DLL Schedule'!Total_Pay-'DLL Schedule'!Int,"")</f>
        <v>17289.733415688657</v>
      </c>
      <c r="H36" s="525">
        <f>IF('DLL Schedule'!Pay_Num&lt;&gt;"",'DLL Schedule'!Beg_Bal*'DLL Schedule'!Interest_Rate/'DLL Schedule'!Num_Pmt_Per_Year,"")</f>
        <v>5877.5500884739713</v>
      </c>
      <c r="I36" s="525">
        <f>IF('DLL Schedule'!Pay_Num&lt;&gt;"",IF('DLL Schedule'!Sched_Pay+'DLL Schedule'!Extra_Pay&lt;'DLL Schedule'!Beg_Bal,'DLL Schedule'!Beg_Bal-'DLL Schedule'!Princ,0),"")</f>
        <v>823361.05397033831</v>
      </c>
      <c r="J36" s="525">
        <f>SUM($H$18:$H36)</f>
        <v>131415.42554942833</v>
      </c>
      <c r="K36" s="499"/>
    </row>
    <row r="37" spans="1:11" ht="12.75" customHeight="1">
      <c r="A37" s="523">
        <f>IF(AND('DLL Schedule'!Values_Entered=1,A36&lt;&gt;"",I36&gt;0),A36+1,"")</f>
        <v>20</v>
      </c>
      <c r="B37" s="524">
        <f>IF('DLL Schedule'!Pay_Num&lt;&gt;"",DATE(YEAR('DLL Schedule'!Loan_Start),MONTH('DLL Schedule'!Loan_Start)+('DLL Schedule'!Pay_Num)*12/'DLL Schedule'!Num_Pmt_Per_Year,DAY('DLL Schedule'!Loan_Start)),"")</f>
        <v>46844</v>
      </c>
      <c r="C37" s="525">
        <f>IF('DLL Schedule'!Pay_Num&lt;&gt;"",I36,"")</f>
        <v>823361.05397033831</v>
      </c>
      <c r="D37" s="525">
        <f>IF('DLL Schedule'!Pay_Num&lt;&gt;"",'DLL Schedule'!Scheduled_Monthly_Payment,"")</f>
        <v>23167.283504162628</v>
      </c>
      <c r="E37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7" s="525">
        <f>IF('DLL Schedule'!Pay_Num&lt;&gt;"",IF('DLL Schedule'!Sched_Pay+'DLL Schedule'!Extra_Pay&lt;'DLL Schedule'!Beg_Bal,'DLL Schedule'!Sched_Pay+'DLL Schedule'!Extra_Pay,'DLL Schedule'!Beg_Bal),"")</f>
        <v>23167.283504162628</v>
      </c>
      <c r="G37" s="525">
        <f>IF('DLL Schedule'!Pay_Num&lt;&gt;"",'DLL Schedule'!Total_Pay-'DLL Schedule'!Int,"")</f>
        <v>17410.617468486678</v>
      </c>
      <c r="H37" s="525">
        <f>IF('DLL Schedule'!Pay_Num&lt;&gt;"",'DLL Schedule'!Beg_Bal*'DLL Schedule'!Interest_Rate/'DLL Schedule'!Num_Pmt_Per_Year,"")</f>
        <v>5756.6660356759494</v>
      </c>
      <c r="I37" s="525">
        <f>IF('DLL Schedule'!Pay_Num&lt;&gt;"",IF('DLL Schedule'!Sched_Pay+'DLL Schedule'!Extra_Pay&lt;'DLL Schedule'!Beg_Bal,'DLL Schedule'!Beg_Bal-'DLL Schedule'!Princ,0),"")</f>
        <v>805950.43650185165</v>
      </c>
      <c r="J37" s="525">
        <f>SUM($H$18:$H37)</f>
        <v>137172.09158510427</v>
      </c>
      <c r="K37" s="499"/>
    </row>
    <row r="38" spans="1:11" ht="12.75" customHeight="1">
      <c r="A38" s="523">
        <f>IF(AND('DLL Schedule'!Values_Entered=1,A37&lt;&gt;"",I37&gt;0),A37+1,"")</f>
        <v>21</v>
      </c>
      <c r="B38" s="524">
        <f>IF('DLL Schedule'!Pay_Num&lt;&gt;"",DATE(YEAR('DLL Schedule'!Loan_Start),MONTH('DLL Schedule'!Loan_Start)+('DLL Schedule'!Pay_Num)*12/'DLL Schedule'!Num_Pmt_Per_Year,DAY('DLL Schedule'!Loan_Start)),"")</f>
        <v>46874</v>
      </c>
      <c r="C38" s="525">
        <f>IF('DLL Schedule'!Pay_Num&lt;&gt;"",I37,"")</f>
        <v>805950.43650185165</v>
      </c>
      <c r="D38" s="525">
        <f>IF('DLL Schedule'!Pay_Num&lt;&gt;"",'DLL Schedule'!Scheduled_Monthly_Payment,"")</f>
        <v>23167.283504162628</v>
      </c>
      <c r="E38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8" s="525">
        <f>IF('DLL Schedule'!Pay_Num&lt;&gt;"",IF('DLL Schedule'!Sched_Pay+'DLL Schedule'!Extra_Pay&lt;'DLL Schedule'!Beg_Bal,'DLL Schedule'!Sched_Pay+'DLL Schedule'!Extra_Pay,'DLL Schedule'!Beg_Bal),"")</f>
        <v>23167.283504162628</v>
      </c>
      <c r="G38" s="525">
        <f>IF('DLL Schedule'!Pay_Num&lt;&gt;"",'DLL Schedule'!Total_Pay-'DLL Schedule'!Int,"")</f>
        <v>17532.346702287181</v>
      </c>
      <c r="H38" s="525">
        <f>IF('DLL Schedule'!Pay_Num&lt;&gt;"",'DLL Schedule'!Beg_Bal*'DLL Schedule'!Interest_Rate/'DLL Schedule'!Num_Pmt_Per_Year,"")</f>
        <v>5634.9368018754467</v>
      </c>
      <c r="I38" s="525">
        <f>IF('DLL Schedule'!Pay_Num&lt;&gt;"",IF('DLL Schedule'!Sched_Pay+'DLL Schedule'!Extra_Pay&lt;'DLL Schedule'!Beg_Bal,'DLL Schedule'!Beg_Bal-'DLL Schedule'!Princ,0),"")</f>
        <v>788418.08979956445</v>
      </c>
      <c r="J38" s="525">
        <f>SUM($H$18:$H38)</f>
        <v>142807.02838697971</v>
      </c>
      <c r="K38" s="499"/>
    </row>
    <row r="39" spans="1:11" ht="12.75" customHeight="1">
      <c r="A39" s="523">
        <f>IF(AND('DLL Schedule'!Values_Entered=1,A38&lt;&gt;"",I38&gt;0),A38+1,"")</f>
        <v>22</v>
      </c>
      <c r="B39" s="524">
        <f>IF('DLL Schedule'!Pay_Num&lt;&gt;"",DATE(YEAR('DLL Schedule'!Loan_Start),MONTH('DLL Schedule'!Loan_Start)+('DLL Schedule'!Pay_Num)*12/'DLL Schedule'!Num_Pmt_Per_Year,DAY('DLL Schedule'!Loan_Start)),"")</f>
        <v>46905</v>
      </c>
      <c r="C39" s="525">
        <f>IF('DLL Schedule'!Pay_Num&lt;&gt;"",I38,"")</f>
        <v>788418.08979956445</v>
      </c>
      <c r="D39" s="525">
        <f>IF('DLL Schedule'!Pay_Num&lt;&gt;"",'DLL Schedule'!Scheduled_Monthly_Payment,"")</f>
        <v>23167.283504162628</v>
      </c>
      <c r="E39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9" s="525">
        <f>IF('DLL Schedule'!Pay_Num&lt;&gt;"",IF('DLL Schedule'!Sched_Pay+'DLL Schedule'!Extra_Pay&lt;'DLL Schedule'!Beg_Bal,'DLL Schedule'!Sched_Pay+'DLL Schedule'!Extra_Pay,'DLL Schedule'!Beg_Bal),"")</f>
        <v>23167.283504162628</v>
      </c>
      <c r="G39" s="525">
        <f>IF('DLL Schedule'!Pay_Num&lt;&gt;"",'DLL Schedule'!Total_Pay-'DLL Schedule'!Int,"")</f>
        <v>17654.927026314006</v>
      </c>
      <c r="H39" s="525">
        <f>IF('DLL Schedule'!Pay_Num&lt;&gt;"",'DLL Schedule'!Beg_Bal*'DLL Schedule'!Interest_Rate/'DLL Schedule'!Num_Pmt_Per_Year,"")</f>
        <v>5512.3564778486216</v>
      </c>
      <c r="I39" s="525">
        <f>IF('DLL Schedule'!Pay_Num&lt;&gt;"",IF('DLL Schedule'!Sched_Pay+'DLL Schedule'!Extra_Pay&lt;'DLL Schedule'!Beg_Bal,'DLL Schedule'!Beg_Bal-'DLL Schedule'!Princ,0),"")</f>
        <v>770763.16277325049</v>
      </c>
      <c r="J39" s="525">
        <f>SUM($H$18:$H39)</f>
        <v>148319.38486482835</v>
      </c>
      <c r="K39" s="499"/>
    </row>
    <row r="40" spans="1:11" ht="12.75" customHeight="1">
      <c r="A40" s="523">
        <f>IF(AND('DLL Schedule'!Values_Entered=1,A39&lt;&gt;"",I39&gt;0),A39+1,"")</f>
        <v>23</v>
      </c>
      <c r="B40" s="524">
        <f>IF('DLL Schedule'!Pay_Num&lt;&gt;"",DATE(YEAR('DLL Schedule'!Loan_Start),MONTH('DLL Schedule'!Loan_Start)+('DLL Schedule'!Pay_Num)*12/'DLL Schedule'!Num_Pmt_Per_Year,DAY('DLL Schedule'!Loan_Start)),"")</f>
        <v>46935</v>
      </c>
      <c r="C40" s="525">
        <f>IF('DLL Schedule'!Pay_Num&lt;&gt;"",I39,"")</f>
        <v>770763.16277325049</v>
      </c>
      <c r="D40" s="525">
        <f>IF('DLL Schedule'!Pay_Num&lt;&gt;"",'DLL Schedule'!Scheduled_Monthly_Payment,"")</f>
        <v>23167.283504162628</v>
      </c>
      <c r="E40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0" s="525">
        <f>IF('DLL Schedule'!Pay_Num&lt;&gt;"",IF('DLL Schedule'!Sched_Pay+'DLL Schedule'!Extra_Pay&lt;'DLL Schedule'!Beg_Bal,'DLL Schedule'!Sched_Pay+'DLL Schedule'!Extra_Pay,'DLL Schedule'!Beg_Bal),"")</f>
        <v>23167.283504162628</v>
      </c>
      <c r="G40" s="525">
        <f>IF('DLL Schedule'!Pay_Num&lt;&gt;"",'DLL Schedule'!Total_Pay-'DLL Schedule'!Int,"")</f>
        <v>17778.364391106319</v>
      </c>
      <c r="H40" s="525">
        <f>IF('DLL Schedule'!Pay_Num&lt;&gt;"",'DLL Schedule'!Beg_Bal*'DLL Schedule'!Interest_Rate/'DLL Schedule'!Num_Pmt_Per_Year,"")</f>
        <v>5388.9191130563095</v>
      </c>
      <c r="I40" s="525">
        <f>IF('DLL Schedule'!Pay_Num&lt;&gt;"",IF('DLL Schedule'!Sched_Pay+'DLL Schedule'!Extra_Pay&lt;'DLL Schedule'!Beg_Bal,'DLL Schedule'!Beg_Bal-'DLL Schedule'!Princ,0),"")</f>
        <v>752984.79838214419</v>
      </c>
      <c r="J40" s="525">
        <f>SUM($H$18:$H40)</f>
        <v>153708.30397788464</v>
      </c>
      <c r="K40" s="499"/>
    </row>
    <row r="41" spans="1:11" ht="12.75" customHeight="1">
      <c r="A41" s="523">
        <f>IF(AND('DLL Schedule'!Values_Entered=1,A40&lt;&gt;"",I40&gt;0),A40+1,"")</f>
        <v>24</v>
      </c>
      <c r="B41" s="524">
        <f>IF('DLL Schedule'!Pay_Num&lt;&gt;"",DATE(YEAR('DLL Schedule'!Loan_Start),MONTH('DLL Schedule'!Loan_Start)+('DLL Schedule'!Pay_Num)*12/'DLL Schedule'!Num_Pmt_Per_Year,DAY('DLL Schedule'!Loan_Start)),"")</f>
        <v>46966</v>
      </c>
      <c r="C41" s="525">
        <f>IF('DLL Schedule'!Pay_Num&lt;&gt;"",I40,"")</f>
        <v>752984.79838214419</v>
      </c>
      <c r="D41" s="525">
        <f>IF('DLL Schedule'!Pay_Num&lt;&gt;"",'DLL Schedule'!Scheduled_Monthly_Payment,"")</f>
        <v>23167.283504162628</v>
      </c>
      <c r="E41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1" s="525">
        <f>IF('DLL Schedule'!Pay_Num&lt;&gt;"",IF('DLL Schedule'!Sched_Pay+'DLL Schedule'!Extra_Pay&lt;'DLL Schedule'!Beg_Bal,'DLL Schedule'!Sched_Pay+'DLL Schedule'!Extra_Pay,'DLL Schedule'!Beg_Bal),"")</f>
        <v>23167.283504162628</v>
      </c>
      <c r="G41" s="525">
        <f>IF('DLL Schedule'!Pay_Num&lt;&gt;"",'DLL Schedule'!Total_Pay-'DLL Schedule'!Int,"")</f>
        <v>17902.664788807469</v>
      </c>
      <c r="H41" s="525">
        <f>IF('DLL Schedule'!Pay_Num&lt;&gt;"",'DLL Schedule'!Beg_Bal*'DLL Schedule'!Interest_Rate/'DLL Schedule'!Num_Pmt_Per_Year,"")</f>
        <v>5264.6187153551582</v>
      </c>
      <c r="I41" s="525">
        <f>IF('DLL Schedule'!Pay_Num&lt;&gt;"",IF('DLL Schedule'!Sched_Pay+'DLL Schedule'!Extra_Pay&lt;'DLL Schedule'!Beg_Bal,'DLL Schedule'!Beg_Bal-'DLL Schedule'!Princ,0),"")</f>
        <v>735082.13359333668</v>
      </c>
      <c r="J41" s="525">
        <f>SUM($H$18:$H41)</f>
        <v>158972.92269323982</v>
      </c>
      <c r="K41" s="499"/>
    </row>
    <row r="42" spans="1:11" ht="12.75" customHeight="1">
      <c r="A42" s="523">
        <f>IF(AND('DLL Schedule'!Values_Entered=1,A41&lt;&gt;"",I41&gt;0),A41+1,"")</f>
        <v>25</v>
      </c>
      <c r="B42" s="524">
        <f>IF('DLL Schedule'!Pay_Num&lt;&gt;"",DATE(YEAR('DLL Schedule'!Loan_Start),MONTH('DLL Schedule'!Loan_Start)+('DLL Schedule'!Pay_Num)*12/'DLL Schedule'!Num_Pmt_Per_Year,DAY('DLL Schedule'!Loan_Start)),"")</f>
        <v>46997</v>
      </c>
      <c r="C42" s="525">
        <f>IF('DLL Schedule'!Pay_Num&lt;&gt;"",I41,"")</f>
        <v>735082.13359333668</v>
      </c>
      <c r="D42" s="525">
        <f>IF('DLL Schedule'!Pay_Num&lt;&gt;"",'DLL Schedule'!Scheduled_Monthly_Payment,"")</f>
        <v>23167.283504162628</v>
      </c>
      <c r="E42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2" s="525">
        <f>IF('DLL Schedule'!Pay_Num&lt;&gt;"",IF('DLL Schedule'!Sched_Pay+'DLL Schedule'!Extra_Pay&lt;'DLL Schedule'!Beg_Bal,'DLL Schedule'!Sched_Pay+'DLL Schedule'!Extra_Pay,'DLL Schedule'!Beg_Bal),"")</f>
        <v>23167.283504162628</v>
      </c>
      <c r="G42" s="525">
        <f>IF('DLL Schedule'!Pay_Num&lt;&gt;"",'DLL Schedule'!Total_Pay-'DLL Schedule'!Int,"")</f>
        <v>18027.834253455883</v>
      </c>
      <c r="H42" s="525">
        <f>IF('DLL Schedule'!Pay_Num&lt;&gt;"",'DLL Schedule'!Beg_Bal*'DLL Schedule'!Interest_Rate/'DLL Schedule'!Num_Pmt_Per_Year,"")</f>
        <v>5139.4492507067453</v>
      </c>
      <c r="I42" s="525">
        <f>IF('DLL Schedule'!Pay_Num&lt;&gt;"",IF('DLL Schedule'!Sched_Pay+'DLL Schedule'!Extra_Pay&lt;'DLL Schedule'!Beg_Bal,'DLL Schedule'!Beg_Bal-'DLL Schedule'!Princ,0),"")</f>
        <v>717054.29933988082</v>
      </c>
      <c r="J42" s="525">
        <f>SUM($H$18:$H42)</f>
        <v>164112.37194394655</v>
      </c>
      <c r="K42" s="499"/>
    </row>
    <row r="43" spans="1:11" ht="12.75" customHeight="1">
      <c r="A43" s="523">
        <f>IF(AND('DLL Schedule'!Values_Entered=1,A42&lt;&gt;"",I42&gt;0),A42+1,"")</f>
        <v>26</v>
      </c>
      <c r="B43" s="524">
        <f>IF('DLL Schedule'!Pay_Num&lt;&gt;"",DATE(YEAR('DLL Schedule'!Loan_Start),MONTH('DLL Schedule'!Loan_Start)+('DLL Schedule'!Pay_Num)*12/'DLL Schedule'!Num_Pmt_Per_Year,DAY('DLL Schedule'!Loan_Start)),"")</f>
        <v>47027</v>
      </c>
      <c r="C43" s="525">
        <f>IF('DLL Schedule'!Pay_Num&lt;&gt;"",I42,"")</f>
        <v>717054.29933988082</v>
      </c>
      <c r="D43" s="525">
        <f>IF('DLL Schedule'!Pay_Num&lt;&gt;"",'DLL Schedule'!Scheduled_Monthly_Payment,"")</f>
        <v>23167.283504162628</v>
      </c>
      <c r="E43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3" s="525">
        <f>IF('DLL Schedule'!Pay_Num&lt;&gt;"",IF('DLL Schedule'!Sched_Pay+'DLL Schedule'!Extra_Pay&lt;'DLL Schedule'!Beg_Bal,'DLL Schedule'!Sched_Pay+'DLL Schedule'!Extra_Pay,'DLL Schedule'!Beg_Bal),"")</f>
        <v>23167.283504162628</v>
      </c>
      <c r="G43" s="525">
        <f>IF('DLL Schedule'!Pay_Num&lt;&gt;"",'DLL Schedule'!Total_Pay-'DLL Schedule'!Int,"")</f>
        <v>18153.878861277961</v>
      </c>
      <c r="H43" s="525">
        <f>IF('DLL Schedule'!Pay_Num&lt;&gt;"",'DLL Schedule'!Beg_Bal*'DLL Schedule'!Interest_Rate/'DLL Schedule'!Num_Pmt_Per_Year,"")</f>
        <v>5013.4046428846668</v>
      </c>
      <c r="I43" s="525">
        <f>IF('DLL Schedule'!Pay_Num&lt;&gt;"",IF('DLL Schedule'!Sched_Pay+'DLL Schedule'!Extra_Pay&lt;'DLL Schedule'!Beg_Bal,'DLL Schedule'!Beg_Bal-'DLL Schedule'!Princ,0),"")</f>
        <v>698900.42047860287</v>
      </c>
      <c r="J43" s="525">
        <f>SUM($H$18:$H43)</f>
        <v>169125.77658683123</v>
      </c>
      <c r="K43" s="499"/>
    </row>
    <row r="44" spans="1:11" ht="12.75" customHeight="1">
      <c r="A44" s="523">
        <f>IF(AND('DLL Schedule'!Values_Entered=1,A43&lt;&gt;"",I43&gt;0),A43+1,"")</f>
        <v>27</v>
      </c>
      <c r="B44" s="524">
        <f>IF('DLL Schedule'!Pay_Num&lt;&gt;"",DATE(YEAR('DLL Schedule'!Loan_Start),MONTH('DLL Schedule'!Loan_Start)+('DLL Schedule'!Pay_Num)*12/'DLL Schedule'!Num_Pmt_Per_Year,DAY('DLL Schedule'!Loan_Start)),"")</f>
        <v>47058</v>
      </c>
      <c r="C44" s="525">
        <f>IF('DLL Schedule'!Pay_Num&lt;&gt;"",I43,"")</f>
        <v>698900.42047860287</v>
      </c>
      <c r="D44" s="525">
        <f>IF('DLL Schedule'!Pay_Num&lt;&gt;"",'DLL Schedule'!Scheduled_Monthly_Payment,"")</f>
        <v>23167.283504162628</v>
      </c>
      <c r="E44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4" s="525">
        <f>IF('DLL Schedule'!Pay_Num&lt;&gt;"",IF('DLL Schedule'!Sched_Pay+'DLL Schedule'!Extra_Pay&lt;'DLL Schedule'!Beg_Bal,'DLL Schedule'!Sched_Pay+'DLL Schedule'!Extra_Pay,'DLL Schedule'!Beg_Bal),"")</f>
        <v>23167.283504162628</v>
      </c>
      <c r="G44" s="525">
        <f>IF('DLL Schedule'!Pay_Num&lt;&gt;"",'DLL Schedule'!Total_Pay-'DLL Schedule'!Int,"")</f>
        <v>18280.804730983062</v>
      </c>
      <c r="H44" s="525">
        <f>IF('DLL Schedule'!Pay_Num&lt;&gt;"",'DLL Schedule'!Beg_Bal*'DLL Schedule'!Interest_Rate/'DLL Schedule'!Num_Pmt_Per_Year,"")</f>
        <v>4886.478773179565</v>
      </c>
      <c r="I44" s="525">
        <f>IF('DLL Schedule'!Pay_Num&lt;&gt;"",IF('DLL Schedule'!Sched_Pay+'DLL Schedule'!Extra_Pay&lt;'DLL Schedule'!Beg_Bal,'DLL Schedule'!Beg_Bal-'DLL Schedule'!Princ,0),"")</f>
        <v>680619.61574761977</v>
      </c>
      <c r="J44" s="525">
        <f>SUM($H$18:$H44)</f>
        <v>174012.25536001078</v>
      </c>
      <c r="K44" s="499"/>
    </row>
    <row r="45" spans="1:11" ht="12.75" customHeight="1">
      <c r="A45" s="523">
        <f>IF(AND('DLL Schedule'!Values_Entered=1,A44&lt;&gt;"",I44&gt;0),A44+1,"")</f>
        <v>28</v>
      </c>
      <c r="B45" s="524">
        <f>IF('DLL Schedule'!Pay_Num&lt;&gt;"",DATE(YEAR('DLL Schedule'!Loan_Start),MONTH('DLL Schedule'!Loan_Start)+('DLL Schedule'!Pay_Num)*12/'DLL Schedule'!Num_Pmt_Per_Year,DAY('DLL Schedule'!Loan_Start)),"")</f>
        <v>47088</v>
      </c>
      <c r="C45" s="525">
        <f>IF('DLL Schedule'!Pay_Num&lt;&gt;"",I44,"")</f>
        <v>680619.61574761977</v>
      </c>
      <c r="D45" s="525">
        <f>IF('DLL Schedule'!Pay_Num&lt;&gt;"",'DLL Schedule'!Scheduled_Monthly_Payment,"")</f>
        <v>23167.283504162628</v>
      </c>
      <c r="E45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5" s="525">
        <f>IF('DLL Schedule'!Pay_Num&lt;&gt;"",IF('DLL Schedule'!Sched_Pay+'DLL Schedule'!Extra_Pay&lt;'DLL Schedule'!Beg_Bal,'DLL Schedule'!Sched_Pay+'DLL Schedule'!Extra_Pay,'DLL Schedule'!Beg_Bal),"")</f>
        <v>23167.283504162628</v>
      </c>
      <c r="G45" s="525">
        <f>IF('DLL Schedule'!Pay_Num&lt;&gt;"",'DLL Schedule'!Total_Pay-'DLL Schedule'!Int,"")</f>
        <v>18408.618024060517</v>
      </c>
      <c r="H45" s="525">
        <f>IF('DLL Schedule'!Pay_Num&lt;&gt;"",'DLL Schedule'!Beg_Bal*'DLL Schedule'!Interest_Rate/'DLL Schedule'!Num_Pmt_Per_Year,"")</f>
        <v>4758.6654801021086</v>
      </c>
      <c r="I45" s="525">
        <f>IF('DLL Schedule'!Pay_Num&lt;&gt;"",IF('DLL Schedule'!Sched_Pay+'DLL Schedule'!Extra_Pay&lt;'DLL Schedule'!Beg_Bal,'DLL Schedule'!Beg_Bal-'DLL Schedule'!Princ,0),"")</f>
        <v>662210.99772355927</v>
      </c>
      <c r="J45" s="525">
        <f>SUM($H$18:$H45)</f>
        <v>178770.9208401129</v>
      </c>
      <c r="K45" s="499"/>
    </row>
    <row r="46" spans="1:11" ht="12.75" customHeight="1">
      <c r="A46" s="523">
        <f>IF(AND('DLL Schedule'!Values_Entered=1,A45&lt;&gt;"",I45&gt;0),A45+1,"")</f>
        <v>29</v>
      </c>
      <c r="B46" s="524">
        <f>IF('DLL Schedule'!Pay_Num&lt;&gt;"",DATE(YEAR('DLL Schedule'!Loan_Start),MONTH('DLL Schedule'!Loan_Start)+('DLL Schedule'!Pay_Num)*12/'DLL Schedule'!Num_Pmt_Per_Year,DAY('DLL Schedule'!Loan_Start)),"")</f>
        <v>47119</v>
      </c>
      <c r="C46" s="525">
        <f>IF('DLL Schedule'!Pay_Num&lt;&gt;"",I45,"")</f>
        <v>662210.99772355927</v>
      </c>
      <c r="D46" s="525">
        <f>IF('DLL Schedule'!Pay_Num&lt;&gt;"",'DLL Schedule'!Scheduled_Monthly_Payment,"")</f>
        <v>23167.283504162628</v>
      </c>
      <c r="E46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6" s="525">
        <f>IF('DLL Schedule'!Pay_Num&lt;&gt;"",IF('DLL Schedule'!Sched_Pay+'DLL Schedule'!Extra_Pay&lt;'DLL Schedule'!Beg_Bal,'DLL Schedule'!Sched_Pay+'DLL Schedule'!Extra_Pay,'DLL Schedule'!Beg_Bal),"")</f>
        <v>23167.283504162628</v>
      </c>
      <c r="G46" s="525">
        <f>IF('DLL Schedule'!Pay_Num&lt;&gt;"",'DLL Schedule'!Total_Pay-'DLL Schedule'!Int,"")</f>
        <v>18537.324945078741</v>
      </c>
      <c r="H46" s="525">
        <f>IF('DLL Schedule'!Pay_Num&lt;&gt;"",'DLL Schedule'!Beg_Bal*'DLL Schedule'!Interest_Rate/'DLL Schedule'!Num_Pmt_Per_Year,"")</f>
        <v>4629.9585590838851</v>
      </c>
      <c r="I46" s="525">
        <f>IF('DLL Schedule'!Pay_Num&lt;&gt;"",IF('DLL Schedule'!Sched_Pay+'DLL Schedule'!Extra_Pay&lt;'DLL Schedule'!Beg_Bal,'DLL Schedule'!Beg_Bal-'DLL Schedule'!Princ,0),"")</f>
        <v>643673.67277848057</v>
      </c>
      <c r="J46" s="525">
        <f>SUM($H$18:$H46)</f>
        <v>183400.8793991968</v>
      </c>
      <c r="K46" s="499"/>
    </row>
    <row r="47" spans="1:11" ht="12.75" customHeight="1">
      <c r="A47" s="523">
        <f>IF(AND('DLL Schedule'!Values_Entered=1,A46&lt;&gt;"",I46&gt;0),A46+1,"")</f>
        <v>30</v>
      </c>
      <c r="B47" s="524">
        <f>IF('DLL Schedule'!Pay_Num&lt;&gt;"",DATE(YEAR('DLL Schedule'!Loan_Start),MONTH('DLL Schedule'!Loan_Start)+('DLL Schedule'!Pay_Num)*12/'DLL Schedule'!Num_Pmt_Per_Year,DAY('DLL Schedule'!Loan_Start)),"")</f>
        <v>47150</v>
      </c>
      <c r="C47" s="525">
        <f>IF('DLL Schedule'!Pay_Num&lt;&gt;"",I46,"")</f>
        <v>643673.67277848057</v>
      </c>
      <c r="D47" s="525">
        <f>IF('DLL Schedule'!Pay_Num&lt;&gt;"",'DLL Schedule'!Scheduled_Monthly_Payment,"")</f>
        <v>23167.283504162628</v>
      </c>
      <c r="E47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7" s="525">
        <f>IF('DLL Schedule'!Pay_Num&lt;&gt;"",IF('DLL Schedule'!Sched_Pay+'DLL Schedule'!Extra_Pay&lt;'DLL Schedule'!Beg_Bal,'DLL Schedule'!Sched_Pay+'DLL Schedule'!Extra_Pay,'DLL Schedule'!Beg_Bal),"")</f>
        <v>23167.283504162628</v>
      </c>
      <c r="G47" s="525">
        <f>IF('DLL Schedule'!Pay_Num&lt;&gt;"",'DLL Schedule'!Total_Pay-'DLL Schedule'!Int,"")</f>
        <v>18666.931741986416</v>
      </c>
      <c r="H47" s="525">
        <f>IF('DLL Schedule'!Pay_Num&lt;&gt;"",'DLL Schedule'!Beg_Bal*'DLL Schedule'!Interest_Rate/'DLL Schedule'!Num_Pmt_Per_Year,"")</f>
        <v>4500.3517621762103</v>
      </c>
      <c r="I47" s="525">
        <f>IF('DLL Schedule'!Pay_Num&lt;&gt;"",IF('DLL Schedule'!Sched_Pay+'DLL Schedule'!Extra_Pay&lt;'DLL Schedule'!Beg_Bal,'DLL Schedule'!Beg_Bal-'DLL Schedule'!Princ,0),"")</f>
        <v>625006.74103649415</v>
      </c>
      <c r="J47" s="525">
        <f>SUM($H$18:$H47)</f>
        <v>187901.231161373</v>
      </c>
      <c r="K47" s="499"/>
    </row>
    <row r="48" spans="1:11" ht="12.75" customHeight="1">
      <c r="A48" s="523">
        <f>IF(AND('DLL Schedule'!Values_Entered=1,A47&lt;&gt;"",I47&gt;0),A47+1,"")</f>
        <v>31</v>
      </c>
      <c r="B48" s="524">
        <f>IF('DLL Schedule'!Pay_Num&lt;&gt;"",DATE(YEAR('DLL Schedule'!Loan_Start),MONTH('DLL Schedule'!Loan_Start)+('DLL Schedule'!Pay_Num)*12/'DLL Schedule'!Num_Pmt_Per_Year,DAY('DLL Schedule'!Loan_Start)),"")</f>
        <v>47178</v>
      </c>
      <c r="C48" s="525">
        <f>IF('DLL Schedule'!Pay_Num&lt;&gt;"",I47,"")</f>
        <v>625006.74103649415</v>
      </c>
      <c r="D48" s="525">
        <f>IF('DLL Schedule'!Pay_Num&lt;&gt;"",'DLL Schedule'!Scheduled_Monthly_Payment,"")</f>
        <v>23167.283504162628</v>
      </c>
      <c r="E48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8" s="525">
        <f>IF('DLL Schedule'!Pay_Num&lt;&gt;"",IF('DLL Schedule'!Sched_Pay+'DLL Schedule'!Extra_Pay&lt;'DLL Schedule'!Beg_Bal,'DLL Schedule'!Sched_Pay+'DLL Schedule'!Extra_Pay,'DLL Schedule'!Beg_Bal),"")</f>
        <v>23167.283504162628</v>
      </c>
      <c r="G48" s="525">
        <f>IF('DLL Schedule'!Pay_Num&lt;&gt;"",'DLL Schedule'!Total_Pay-'DLL Schedule'!Int,"")</f>
        <v>18797.444706415805</v>
      </c>
      <c r="H48" s="525">
        <f>IF('DLL Schedule'!Pay_Num&lt;&gt;"",'DLL Schedule'!Beg_Bal*'DLL Schedule'!Interest_Rate/'DLL Schedule'!Num_Pmt_Per_Year,"")</f>
        <v>4369.8387977468219</v>
      </c>
      <c r="I48" s="525">
        <f>IF('DLL Schedule'!Pay_Num&lt;&gt;"",IF('DLL Schedule'!Sched_Pay+'DLL Schedule'!Extra_Pay&lt;'DLL Schedule'!Beg_Bal,'DLL Schedule'!Beg_Bal-'DLL Schedule'!Princ,0),"")</f>
        <v>606209.29633007839</v>
      </c>
      <c r="J48" s="525">
        <f>SUM($H$18:$H48)</f>
        <v>192271.06995911981</v>
      </c>
      <c r="K48" s="499"/>
    </row>
    <row r="49" spans="1:11" ht="12.75" customHeight="1">
      <c r="A49" s="523">
        <f>IF(AND('DLL Schedule'!Values_Entered=1,A48&lt;&gt;"",I48&gt;0),A48+1,"")</f>
        <v>32</v>
      </c>
      <c r="B49" s="524">
        <f>IF('DLL Schedule'!Pay_Num&lt;&gt;"",DATE(YEAR('DLL Schedule'!Loan_Start),MONTH('DLL Schedule'!Loan_Start)+('DLL Schedule'!Pay_Num)*12/'DLL Schedule'!Num_Pmt_Per_Year,DAY('DLL Schedule'!Loan_Start)),"")</f>
        <v>47209</v>
      </c>
      <c r="C49" s="525">
        <f>IF('DLL Schedule'!Pay_Num&lt;&gt;"",I48,"")</f>
        <v>606209.29633007839</v>
      </c>
      <c r="D49" s="525">
        <f>IF('DLL Schedule'!Pay_Num&lt;&gt;"",'DLL Schedule'!Scheduled_Monthly_Payment,"")</f>
        <v>23167.283504162628</v>
      </c>
      <c r="E49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9" s="525">
        <f>IF('DLL Schedule'!Pay_Num&lt;&gt;"",IF('DLL Schedule'!Sched_Pay+'DLL Schedule'!Extra_Pay&lt;'DLL Schedule'!Beg_Bal,'DLL Schedule'!Sched_Pay+'DLL Schedule'!Extra_Pay,'DLL Schedule'!Beg_Bal),"")</f>
        <v>23167.283504162628</v>
      </c>
      <c r="G49" s="525">
        <f>IF('DLL Schedule'!Pay_Num&lt;&gt;"",'DLL Schedule'!Total_Pay-'DLL Schedule'!Int,"")</f>
        <v>18928.870173988162</v>
      </c>
      <c r="H49" s="525">
        <f>IF('DLL Schedule'!Pay_Num&lt;&gt;"",'DLL Schedule'!Beg_Bal*'DLL Schedule'!Interest_Rate/'DLL Schedule'!Num_Pmt_Per_Year,"")</f>
        <v>4238.413330174465</v>
      </c>
      <c r="I49" s="525">
        <f>IF('DLL Schedule'!Pay_Num&lt;&gt;"",IF('DLL Schedule'!Sched_Pay+'DLL Schedule'!Extra_Pay&lt;'DLL Schedule'!Beg_Bal,'DLL Schedule'!Beg_Bal-'DLL Schedule'!Princ,0),"")</f>
        <v>587280.42615609022</v>
      </c>
      <c r="J49" s="525">
        <f>SUM($H$18:$H49)</f>
        <v>196509.48328929426</v>
      </c>
      <c r="K49" s="499"/>
    </row>
    <row r="50" spans="1:11" ht="12.75" customHeight="1">
      <c r="A50" s="523">
        <f>IF(AND('DLL Schedule'!Values_Entered=1,A49&lt;&gt;"",I49&gt;0),A49+1,"")</f>
        <v>33</v>
      </c>
      <c r="B50" s="524">
        <f>IF('DLL Schedule'!Pay_Num&lt;&gt;"",DATE(YEAR('DLL Schedule'!Loan_Start),MONTH('DLL Schedule'!Loan_Start)+('DLL Schedule'!Pay_Num)*12/'DLL Schedule'!Num_Pmt_Per_Year,DAY('DLL Schedule'!Loan_Start)),"")</f>
        <v>47239</v>
      </c>
      <c r="C50" s="525">
        <f>IF('DLL Schedule'!Pay_Num&lt;&gt;"",I49,"")</f>
        <v>587280.42615609022</v>
      </c>
      <c r="D50" s="525">
        <f>IF('DLL Schedule'!Pay_Num&lt;&gt;"",'DLL Schedule'!Scheduled_Monthly_Payment,"")</f>
        <v>23167.283504162628</v>
      </c>
      <c r="E50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0" s="525">
        <f>IF('DLL Schedule'!Pay_Num&lt;&gt;"",IF('DLL Schedule'!Sched_Pay+'DLL Schedule'!Extra_Pay&lt;'DLL Schedule'!Beg_Bal,'DLL Schedule'!Sched_Pay+'DLL Schedule'!Extra_Pay,'DLL Schedule'!Beg_Bal),"")</f>
        <v>23167.283504162628</v>
      </c>
      <c r="G50" s="525">
        <f>IF('DLL Schedule'!Pay_Num&lt;&gt;"",'DLL Schedule'!Total_Pay-'DLL Schedule'!Int,"")</f>
        <v>19061.214524621297</v>
      </c>
      <c r="H50" s="525">
        <f>IF('DLL Schedule'!Pay_Num&lt;&gt;"",'DLL Schedule'!Beg_Bal*'DLL Schedule'!Interest_Rate/'DLL Schedule'!Num_Pmt_Per_Year,"")</f>
        <v>4106.0689795413309</v>
      </c>
      <c r="I50" s="525">
        <f>IF('DLL Schedule'!Pay_Num&lt;&gt;"",IF('DLL Schedule'!Sched_Pay+'DLL Schedule'!Extra_Pay&lt;'DLL Schedule'!Beg_Bal,'DLL Schedule'!Beg_Bal-'DLL Schedule'!Princ,0),"")</f>
        <v>568219.21163146896</v>
      </c>
      <c r="J50" s="525">
        <f>SUM($H$18:$H50)</f>
        <v>200615.5522688356</v>
      </c>
      <c r="K50" s="499"/>
    </row>
    <row r="51" spans="1:11" ht="12.75" customHeight="1">
      <c r="A51" s="523">
        <f>IF(AND('DLL Schedule'!Values_Entered=1,A50&lt;&gt;"",I50&gt;0),A50+1,"")</f>
        <v>34</v>
      </c>
      <c r="B51" s="524">
        <f>IF('DLL Schedule'!Pay_Num&lt;&gt;"",DATE(YEAR('DLL Schedule'!Loan_Start),MONTH('DLL Schedule'!Loan_Start)+('DLL Schedule'!Pay_Num)*12/'DLL Schedule'!Num_Pmt_Per_Year,DAY('DLL Schedule'!Loan_Start)),"")</f>
        <v>47270</v>
      </c>
      <c r="C51" s="525">
        <f>IF('DLL Schedule'!Pay_Num&lt;&gt;"",I50,"")</f>
        <v>568219.21163146896</v>
      </c>
      <c r="D51" s="525">
        <f>IF('DLL Schedule'!Pay_Num&lt;&gt;"",'DLL Schedule'!Scheduled_Monthly_Payment,"")</f>
        <v>23167.283504162628</v>
      </c>
      <c r="E51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1" s="525">
        <f>IF('DLL Schedule'!Pay_Num&lt;&gt;"",IF('DLL Schedule'!Sched_Pay+'DLL Schedule'!Extra_Pay&lt;'DLL Schedule'!Beg_Bal,'DLL Schedule'!Sched_Pay+'DLL Schedule'!Extra_Pay,'DLL Schedule'!Beg_Bal),"")</f>
        <v>23167.283504162628</v>
      </c>
      <c r="G51" s="525">
        <f>IF('DLL Schedule'!Pay_Num&lt;&gt;"",'DLL Schedule'!Total_Pay-'DLL Schedule'!Int,"")</f>
        <v>19194.484182839275</v>
      </c>
      <c r="H51" s="525">
        <f>IF('DLL Schedule'!Pay_Num&lt;&gt;"",'DLL Schedule'!Beg_Bal*'DLL Schedule'!Interest_Rate/'DLL Schedule'!Num_Pmt_Per_Year,"")</f>
        <v>3972.7993213233535</v>
      </c>
      <c r="I51" s="525">
        <f>IF('DLL Schedule'!Pay_Num&lt;&gt;"",IF('DLL Schedule'!Sched_Pay+'DLL Schedule'!Extra_Pay&lt;'DLL Schedule'!Beg_Bal,'DLL Schedule'!Beg_Bal-'DLL Schedule'!Princ,0),"")</f>
        <v>549024.72744862968</v>
      </c>
      <c r="J51" s="525">
        <f>SUM($H$18:$H51)</f>
        <v>204588.35159015894</v>
      </c>
      <c r="K51" s="499"/>
    </row>
    <row r="52" spans="1:11" ht="12.75" customHeight="1">
      <c r="A52" s="523">
        <f>IF(AND('DLL Schedule'!Values_Entered=1,A51&lt;&gt;"",I51&gt;0),A51+1,"")</f>
        <v>35</v>
      </c>
      <c r="B52" s="524">
        <f>IF('DLL Schedule'!Pay_Num&lt;&gt;"",DATE(YEAR('DLL Schedule'!Loan_Start),MONTH('DLL Schedule'!Loan_Start)+('DLL Schedule'!Pay_Num)*12/'DLL Schedule'!Num_Pmt_Per_Year,DAY('DLL Schedule'!Loan_Start)),"")</f>
        <v>47300</v>
      </c>
      <c r="C52" s="525">
        <f>IF('DLL Schedule'!Pay_Num&lt;&gt;"",I51,"")</f>
        <v>549024.72744862968</v>
      </c>
      <c r="D52" s="525">
        <f>IF('DLL Schedule'!Pay_Num&lt;&gt;"",'DLL Schedule'!Scheduled_Monthly_Payment,"")</f>
        <v>23167.283504162628</v>
      </c>
      <c r="E52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2" s="525">
        <f>IF('DLL Schedule'!Pay_Num&lt;&gt;"",IF('DLL Schedule'!Sched_Pay+'DLL Schedule'!Extra_Pay&lt;'DLL Schedule'!Beg_Bal,'DLL Schedule'!Sched_Pay+'DLL Schedule'!Extra_Pay,'DLL Schedule'!Beg_Bal),"")</f>
        <v>23167.283504162628</v>
      </c>
      <c r="G52" s="525">
        <f>IF('DLL Schedule'!Pay_Num&lt;&gt;"",'DLL Schedule'!Total_Pay-'DLL Schedule'!Int,"")</f>
        <v>19328.685618084291</v>
      </c>
      <c r="H52" s="525">
        <f>IF('DLL Schedule'!Pay_Num&lt;&gt;"",'DLL Schedule'!Beg_Bal*'DLL Schedule'!Interest_Rate/'DLL Schedule'!Num_Pmt_Per_Year,"")</f>
        <v>3838.5978860783362</v>
      </c>
      <c r="I52" s="525">
        <f>IF('DLL Schedule'!Pay_Num&lt;&gt;"",IF('DLL Schedule'!Sched_Pay+'DLL Schedule'!Extra_Pay&lt;'DLL Schedule'!Beg_Bal,'DLL Schedule'!Beg_Bal-'DLL Schedule'!Princ,0),"")</f>
        <v>529696.04183054541</v>
      </c>
      <c r="J52" s="525">
        <f>SUM($H$18:$H52)</f>
        <v>208426.94947623729</v>
      </c>
      <c r="K52" s="499"/>
    </row>
    <row r="53" spans="1:11" ht="12.75" customHeight="1">
      <c r="A53" s="523">
        <f>IF(AND('DLL Schedule'!Values_Entered=1,A52&lt;&gt;"",I52&gt;0),A52+1,"")</f>
        <v>36</v>
      </c>
      <c r="B53" s="524">
        <f>IF('DLL Schedule'!Pay_Num&lt;&gt;"",DATE(YEAR('DLL Schedule'!Loan_Start),MONTH('DLL Schedule'!Loan_Start)+('DLL Schedule'!Pay_Num)*12/'DLL Schedule'!Num_Pmt_Per_Year,DAY('DLL Schedule'!Loan_Start)),"")</f>
        <v>47331</v>
      </c>
      <c r="C53" s="525">
        <f>IF('DLL Schedule'!Pay_Num&lt;&gt;"",I52,"")</f>
        <v>529696.04183054541</v>
      </c>
      <c r="D53" s="525">
        <f>IF('DLL Schedule'!Pay_Num&lt;&gt;"",'DLL Schedule'!Scheduled_Monthly_Payment,"")</f>
        <v>23167.283504162628</v>
      </c>
      <c r="E53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3" s="525">
        <f>IF('DLL Schedule'!Pay_Num&lt;&gt;"",IF('DLL Schedule'!Sched_Pay+'DLL Schedule'!Extra_Pay&lt;'DLL Schedule'!Beg_Bal,'DLL Schedule'!Sched_Pay+'DLL Schedule'!Extra_Pay,'DLL Schedule'!Beg_Bal),"")</f>
        <v>23167.283504162628</v>
      </c>
      <c r="G53" s="525">
        <f>IF('DLL Schedule'!Pay_Num&lt;&gt;"",'DLL Schedule'!Total_Pay-'DLL Schedule'!Int,"")</f>
        <v>19463.825345030731</v>
      </c>
      <c r="H53" s="525">
        <f>IF('DLL Schedule'!Pay_Num&lt;&gt;"",'DLL Schedule'!Beg_Bal*'DLL Schedule'!Interest_Rate/'DLL Schedule'!Num_Pmt_Per_Year,"")</f>
        <v>3703.4581591318965</v>
      </c>
      <c r="I53" s="525">
        <f>IF('DLL Schedule'!Pay_Num&lt;&gt;"",IF('DLL Schedule'!Sched_Pay+'DLL Schedule'!Extra_Pay&lt;'DLL Schedule'!Beg_Bal,'DLL Schedule'!Beg_Bal-'DLL Schedule'!Princ,0),"")</f>
        <v>510232.21648551465</v>
      </c>
      <c r="J53" s="525">
        <f>SUM($H$18:$H53)</f>
        <v>212130.40763536919</v>
      </c>
      <c r="K53" s="499"/>
    </row>
    <row r="54" spans="1:11" ht="12.75" customHeight="1">
      <c r="A54" s="523">
        <f>IF(AND('DLL Schedule'!Values_Entered=1,A53&lt;&gt;"",I53&gt;0),A53+1,"")</f>
        <v>37</v>
      </c>
      <c r="B54" s="524">
        <f>IF('DLL Schedule'!Pay_Num&lt;&gt;"",DATE(YEAR('DLL Schedule'!Loan_Start),MONTH('DLL Schedule'!Loan_Start)+('DLL Schedule'!Pay_Num)*12/'DLL Schedule'!Num_Pmt_Per_Year,DAY('DLL Schedule'!Loan_Start)),"")</f>
        <v>47362</v>
      </c>
      <c r="C54" s="525">
        <f>IF('DLL Schedule'!Pay_Num&lt;&gt;"",I53,"")</f>
        <v>510232.21648551465</v>
      </c>
      <c r="D54" s="525">
        <f>IF('DLL Schedule'!Pay_Num&lt;&gt;"",'DLL Schedule'!Scheduled_Monthly_Payment,"")</f>
        <v>23167.283504162628</v>
      </c>
      <c r="E54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4" s="525">
        <f>IF('DLL Schedule'!Pay_Num&lt;&gt;"",IF('DLL Schedule'!Sched_Pay+'DLL Schedule'!Extra_Pay&lt;'DLL Schedule'!Beg_Bal,'DLL Schedule'!Sched_Pay+'DLL Schedule'!Extra_Pay,'DLL Schedule'!Beg_Bal),"")</f>
        <v>23167.283504162628</v>
      </c>
      <c r="G54" s="525">
        <f>IF('DLL Schedule'!Pay_Num&lt;&gt;"",'DLL Schedule'!Total_Pay-'DLL Schedule'!Int,"")</f>
        <v>19599.909923901403</v>
      </c>
      <c r="H54" s="525">
        <f>IF('DLL Schedule'!Pay_Num&lt;&gt;"",'DLL Schedule'!Beg_Bal*'DLL Schedule'!Interest_Rate/'DLL Schedule'!Num_Pmt_Per_Year,"")</f>
        <v>3567.3735802612232</v>
      </c>
      <c r="I54" s="525">
        <f>IF('DLL Schedule'!Pay_Num&lt;&gt;"",IF('DLL Schedule'!Sched_Pay+'DLL Schedule'!Extra_Pay&lt;'DLL Schedule'!Beg_Bal,'DLL Schedule'!Beg_Bal-'DLL Schedule'!Princ,0),"")</f>
        <v>490632.30656161322</v>
      </c>
      <c r="J54" s="525">
        <f>SUM($H$18:$H54)</f>
        <v>215697.78121563041</v>
      </c>
      <c r="K54" s="499"/>
    </row>
    <row r="55" spans="1:11" ht="12.75" customHeight="1">
      <c r="A55" s="523">
        <f>IF(AND('DLL Schedule'!Values_Entered=1,A54&lt;&gt;"",I54&gt;0),A54+1,"")</f>
        <v>38</v>
      </c>
      <c r="B55" s="524">
        <f>IF('DLL Schedule'!Pay_Num&lt;&gt;"",DATE(YEAR('DLL Schedule'!Loan_Start),MONTH('DLL Schedule'!Loan_Start)+('DLL Schedule'!Pay_Num)*12/'DLL Schedule'!Num_Pmt_Per_Year,DAY('DLL Schedule'!Loan_Start)),"")</f>
        <v>47392</v>
      </c>
      <c r="C55" s="525">
        <f>IF('DLL Schedule'!Pay_Num&lt;&gt;"",I54,"")</f>
        <v>490632.30656161322</v>
      </c>
      <c r="D55" s="525">
        <f>IF('DLL Schedule'!Pay_Num&lt;&gt;"",'DLL Schedule'!Scheduled_Monthly_Payment,"")</f>
        <v>23167.283504162628</v>
      </c>
      <c r="E55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5" s="525">
        <f>IF('DLL Schedule'!Pay_Num&lt;&gt;"",IF('DLL Schedule'!Sched_Pay+'DLL Schedule'!Extra_Pay&lt;'DLL Schedule'!Beg_Bal,'DLL Schedule'!Sched_Pay+'DLL Schedule'!Extra_Pay,'DLL Schedule'!Beg_Bal),"")</f>
        <v>23167.283504162628</v>
      </c>
      <c r="G55" s="525">
        <f>IF('DLL Schedule'!Pay_Num&lt;&gt;"",'DLL Schedule'!Total_Pay-'DLL Schedule'!Int,"")</f>
        <v>19736.945960786015</v>
      </c>
      <c r="H55" s="525">
        <f>IF('DLL Schedule'!Pay_Num&lt;&gt;"",'DLL Schedule'!Beg_Bal*'DLL Schedule'!Interest_Rate/'DLL Schedule'!Num_Pmt_Per_Year,"")</f>
        <v>3430.3375433766123</v>
      </c>
      <c r="I55" s="525">
        <f>IF('DLL Schedule'!Pay_Num&lt;&gt;"",IF('DLL Schedule'!Sched_Pay+'DLL Schedule'!Extra_Pay&lt;'DLL Schedule'!Beg_Bal,'DLL Schedule'!Beg_Bal-'DLL Schedule'!Princ,0),"")</f>
        <v>470895.3606008272</v>
      </c>
      <c r="J55" s="525">
        <f>SUM($H$18:$H55)</f>
        <v>219128.11875900702</v>
      </c>
      <c r="K55" s="499"/>
    </row>
    <row r="56" spans="1:11" ht="12.75" customHeight="1">
      <c r="A56" s="523">
        <f>IF(AND('DLL Schedule'!Values_Entered=1,A55&lt;&gt;"",I55&gt;0),A55+1,"")</f>
        <v>39</v>
      </c>
      <c r="B56" s="524">
        <f>IF('DLL Schedule'!Pay_Num&lt;&gt;"",DATE(YEAR('DLL Schedule'!Loan_Start),MONTH('DLL Schedule'!Loan_Start)+('DLL Schedule'!Pay_Num)*12/'DLL Schedule'!Num_Pmt_Per_Year,DAY('DLL Schedule'!Loan_Start)),"")</f>
        <v>47423</v>
      </c>
      <c r="C56" s="525">
        <f>IF('DLL Schedule'!Pay_Num&lt;&gt;"",I55,"")</f>
        <v>470895.3606008272</v>
      </c>
      <c r="D56" s="525">
        <f>IF('DLL Schedule'!Pay_Num&lt;&gt;"",'DLL Schedule'!Scheduled_Monthly_Payment,"")</f>
        <v>23167.283504162628</v>
      </c>
      <c r="E56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6" s="525">
        <f>IF('DLL Schedule'!Pay_Num&lt;&gt;"",IF('DLL Schedule'!Sched_Pay+'DLL Schedule'!Extra_Pay&lt;'DLL Schedule'!Beg_Bal,'DLL Schedule'!Sched_Pay+'DLL Schedule'!Extra_Pay,'DLL Schedule'!Beg_Bal),"")</f>
        <v>23167.283504162628</v>
      </c>
      <c r="G56" s="525">
        <f>IF('DLL Schedule'!Pay_Num&lt;&gt;"",'DLL Schedule'!Total_Pay-'DLL Schedule'!Int,"")</f>
        <v>19874.940107961844</v>
      </c>
      <c r="H56" s="525">
        <f>IF('DLL Schedule'!Pay_Num&lt;&gt;"",'DLL Schedule'!Beg_Bal*'DLL Schedule'!Interest_Rate/'DLL Schedule'!Num_Pmt_Per_Year,"")</f>
        <v>3292.3433962007839</v>
      </c>
      <c r="I56" s="525">
        <f>IF('DLL Schedule'!Pay_Num&lt;&gt;"",IF('DLL Schedule'!Sched_Pay+'DLL Schedule'!Extra_Pay&lt;'DLL Schedule'!Beg_Bal,'DLL Schedule'!Beg_Bal-'DLL Schedule'!Princ,0),"")</f>
        <v>451020.42049286538</v>
      </c>
      <c r="J56" s="525">
        <f>SUM($H$18:$H56)</f>
        <v>222420.46215520782</v>
      </c>
      <c r="K56" s="499"/>
    </row>
    <row r="57" spans="1:11" ht="12.75" customHeight="1">
      <c r="A57" s="523">
        <f>IF(AND('DLL Schedule'!Values_Entered=1,A56&lt;&gt;"",I56&gt;0),A56+1,"")</f>
        <v>40</v>
      </c>
      <c r="B57" s="524">
        <f>IF('DLL Schedule'!Pay_Num&lt;&gt;"",DATE(YEAR('DLL Schedule'!Loan_Start),MONTH('DLL Schedule'!Loan_Start)+('DLL Schedule'!Pay_Num)*12/'DLL Schedule'!Num_Pmt_Per_Year,DAY('DLL Schedule'!Loan_Start)),"")</f>
        <v>47453</v>
      </c>
      <c r="C57" s="525">
        <f>IF('DLL Schedule'!Pay_Num&lt;&gt;"",I56,"")</f>
        <v>451020.42049286538</v>
      </c>
      <c r="D57" s="525">
        <f>IF('DLL Schedule'!Pay_Num&lt;&gt;"",'DLL Schedule'!Scheduled_Monthly_Payment,"")</f>
        <v>23167.283504162628</v>
      </c>
      <c r="E57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7" s="525">
        <f>IF('DLL Schedule'!Pay_Num&lt;&gt;"",IF('DLL Schedule'!Sched_Pay+'DLL Schedule'!Extra_Pay&lt;'DLL Schedule'!Beg_Bal,'DLL Schedule'!Sched_Pay+'DLL Schedule'!Extra_Pay,'DLL Schedule'!Beg_Bal),"")</f>
        <v>23167.283504162628</v>
      </c>
      <c r="G57" s="525">
        <f>IF('DLL Schedule'!Pay_Num&lt;&gt;"",'DLL Schedule'!Total_Pay-'DLL Schedule'!Int,"")</f>
        <v>20013.899064216675</v>
      </c>
      <c r="H57" s="525">
        <f>IF('DLL Schedule'!Pay_Num&lt;&gt;"",'DLL Schedule'!Beg_Bal*'DLL Schedule'!Interest_Rate/'DLL Schedule'!Num_Pmt_Per_Year,"")</f>
        <v>3153.3844399459504</v>
      </c>
      <c r="I57" s="525">
        <f>IF('DLL Schedule'!Pay_Num&lt;&gt;"",IF('DLL Schedule'!Sched_Pay+'DLL Schedule'!Extra_Pay&lt;'DLL Schedule'!Beg_Bal,'DLL Schedule'!Beg_Bal-'DLL Schedule'!Princ,0),"")</f>
        <v>431006.52142864873</v>
      </c>
      <c r="J57" s="525">
        <f>SUM($H$18:$H57)</f>
        <v>225573.84659515377</v>
      </c>
      <c r="K57" s="499"/>
    </row>
    <row r="58" spans="1:11" ht="12.75" customHeight="1">
      <c r="A58" s="523">
        <f>IF(AND('DLL Schedule'!Values_Entered=1,A57&lt;&gt;"",I57&gt;0),A57+1,"")</f>
        <v>41</v>
      </c>
      <c r="B58" s="524">
        <f>IF('DLL Schedule'!Pay_Num&lt;&gt;"",DATE(YEAR('DLL Schedule'!Loan_Start),MONTH('DLL Schedule'!Loan_Start)+('DLL Schedule'!Pay_Num)*12/'DLL Schedule'!Num_Pmt_Per_Year,DAY('DLL Schedule'!Loan_Start)),"")</f>
        <v>47484</v>
      </c>
      <c r="C58" s="525">
        <f>IF('DLL Schedule'!Pay_Num&lt;&gt;"",I57,"")</f>
        <v>431006.52142864873</v>
      </c>
      <c r="D58" s="525">
        <f>IF('DLL Schedule'!Pay_Num&lt;&gt;"",'DLL Schedule'!Scheduled_Monthly_Payment,"")</f>
        <v>23167.283504162628</v>
      </c>
      <c r="E58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8" s="525">
        <f>IF('DLL Schedule'!Pay_Num&lt;&gt;"",IF('DLL Schedule'!Sched_Pay+'DLL Schedule'!Extra_Pay&lt;'DLL Schedule'!Beg_Bal,'DLL Schedule'!Sched_Pay+'DLL Schedule'!Extra_Pay,'DLL Schedule'!Beg_Bal),"")</f>
        <v>23167.283504162628</v>
      </c>
      <c r="G58" s="525">
        <f>IF('DLL Schedule'!Pay_Num&lt;&gt;"",'DLL Schedule'!Total_Pay-'DLL Schedule'!Int,"")</f>
        <v>20153.829575173993</v>
      </c>
      <c r="H58" s="525">
        <f>IF('DLL Schedule'!Pay_Num&lt;&gt;"",'DLL Schedule'!Beg_Bal*'DLL Schedule'!Interest_Rate/'DLL Schedule'!Num_Pmt_Per_Year,"")</f>
        <v>3013.4539289886357</v>
      </c>
      <c r="I58" s="525">
        <f>IF('DLL Schedule'!Pay_Num&lt;&gt;"",IF('DLL Schedule'!Sched_Pay+'DLL Schedule'!Extra_Pay&lt;'DLL Schedule'!Beg_Bal,'DLL Schedule'!Beg_Bal-'DLL Schedule'!Princ,0),"")</f>
        <v>410852.69185347471</v>
      </c>
      <c r="J58" s="525">
        <f>SUM($H$18:$H58)</f>
        <v>228587.3005241424</v>
      </c>
      <c r="K58" s="499"/>
    </row>
    <row r="59" spans="1:11" ht="12.75" customHeight="1">
      <c r="A59" s="523">
        <f>IF(AND('DLL Schedule'!Values_Entered=1,A58&lt;&gt;"",I58&gt;0),A58+1,"")</f>
        <v>42</v>
      </c>
      <c r="B59" s="524">
        <f>IF('DLL Schedule'!Pay_Num&lt;&gt;"",DATE(YEAR('DLL Schedule'!Loan_Start),MONTH('DLL Schedule'!Loan_Start)+('DLL Schedule'!Pay_Num)*12/'DLL Schedule'!Num_Pmt_Per_Year,DAY('DLL Schedule'!Loan_Start)),"")</f>
        <v>47515</v>
      </c>
      <c r="C59" s="525">
        <f>IF('DLL Schedule'!Pay_Num&lt;&gt;"",I58,"")</f>
        <v>410852.69185347471</v>
      </c>
      <c r="D59" s="525">
        <f>IF('DLL Schedule'!Pay_Num&lt;&gt;"",'DLL Schedule'!Scheduled_Monthly_Payment,"")</f>
        <v>23167.283504162628</v>
      </c>
      <c r="E59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9" s="525">
        <f>IF('DLL Schedule'!Pay_Num&lt;&gt;"",IF('DLL Schedule'!Sched_Pay+'DLL Schedule'!Extra_Pay&lt;'DLL Schedule'!Beg_Bal,'DLL Schedule'!Sched_Pay+'DLL Schedule'!Extra_Pay,'DLL Schedule'!Beg_Bal),"")</f>
        <v>23167.283504162628</v>
      </c>
      <c r="G59" s="525">
        <f>IF('DLL Schedule'!Pay_Num&lt;&gt;"",'DLL Schedule'!Total_Pay-'DLL Schedule'!Int,"")</f>
        <v>20294.738433620416</v>
      </c>
      <c r="H59" s="525">
        <f>IF('DLL Schedule'!Pay_Num&lt;&gt;"",'DLL Schedule'!Beg_Bal*'DLL Schedule'!Interest_Rate/'DLL Schedule'!Num_Pmt_Per_Year,"")</f>
        <v>2872.5450705422104</v>
      </c>
      <c r="I59" s="525">
        <f>IF('DLL Schedule'!Pay_Num&lt;&gt;"",IF('DLL Schedule'!Sched_Pay+'DLL Schedule'!Extra_Pay&lt;'DLL Schedule'!Beg_Bal,'DLL Schedule'!Beg_Bal-'DLL Schedule'!Princ,0),"")</f>
        <v>390557.95341985428</v>
      </c>
      <c r="J59" s="525">
        <f>SUM($H$18:$H59)</f>
        <v>231459.84559468459</v>
      </c>
      <c r="K59" s="499"/>
    </row>
    <row r="60" spans="1:11" ht="12.75" customHeight="1">
      <c r="A60" s="523">
        <f>IF(AND('DLL Schedule'!Values_Entered=1,A59&lt;&gt;"",I59&gt;0),A59+1,"")</f>
        <v>43</v>
      </c>
      <c r="B60" s="524">
        <f>IF('DLL Schedule'!Pay_Num&lt;&gt;"",DATE(YEAR('DLL Schedule'!Loan_Start),MONTH('DLL Schedule'!Loan_Start)+('DLL Schedule'!Pay_Num)*12/'DLL Schedule'!Num_Pmt_Per_Year,DAY('DLL Schedule'!Loan_Start)),"")</f>
        <v>47543</v>
      </c>
      <c r="C60" s="525">
        <f>IF('DLL Schedule'!Pay_Num&lt;&gt;"",I59,"")</f>
        <v>390557.95341985428</v>
      </c>
      <c r="D60" s="525">
        <f>IF('DLL Schedule'!Pay_Num&lt;&gt;"",'DLL Schedule'!Scheduled_Monthly_Payment,"")</f>
        <v>23167.283504162628</v>
      </c>
      <c r="E60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0" s="525">
        <f>IF('DLL Schedule'!Pay_Num&lt;&gt;"",IF('DLL Schedule'!Sched_Pay+'DLL Schedule'!Extra_Pay&lt;'DLL Schedule'!Beg_Bal,'DLL Schedule'!Sched_Pay+'DLL Schedule'!Extra_Pay,'DLL Schedule'!Beg_Bal),"")</f>
        <v>23167.283504162628</v>
      </c>
      <c r="G60" s="525">
        <f>IF('DLL Schedule'!Pay_Num&lt;&gt;"",'DLL Schedule'!Total_Pay-'DLL Schedule'!Int,"")</f>
        <v>20436.63247983548</v>
      </c>
      <c r="H60" s="525">
        <f>IF('DLL Schedule'!Pay_Num&lt;&gt;"",'DLL Schedule'!Beg_Bal*'DLL Schedule'!Interest_Rate/'DLL Schedule'!Num_Pmt_Per_Year,"")</f>
        <v>2730.6510243271482</v>
      </c>
      <c r="I60" s="525">
        <f>IF('DLL Schedule'!Pay_Num&lt;&gt;"",IF('DLL Schedule'!Sched_Pay+'DLL Schedule'!Extra_Pay&lt;'DLL Schedule'!Beg_Bal,'DLL Schedule'!Beg_Bal-'DLL Schedule'!Princ,0),"")</f>
        <v>370121.32094001881</v>
      </c>
      <c r="J60" s="525">
        <f>SUM($H$18:$H60)</f>
        <v>234190.49661901174</v>
      </c>
      <c r="K60" s="499"/>
    </row>
    <row r="61" spans="1:11" ht="12.75" customHeight="1">
      <c r="A61" s="523">
        <f>IF(AND('DLL Schedule'!Values_Entered=1,A60&lt;&gt;"",I60&gt;0),A60+1,"")</f>
        <v>44</v>
      </c>
      <c r="B61" s="524">
        <f>IF('DLL Schedule'!Pay_Num&lt;&gt;"",DATE(YEAR('DLL Schedule'!Loan_Start),MONTH('DLL Schedule'!Loan_Start)+('DLL Schedule'!Pay_Num)*12/'DLL Schedule'!Num_Pmt_Per_Year,DAY('DLL Schedule'!Loan_Start)),"")</f>
        <v>47574</v>
      </c>
      <c r="C61" s="525">
        <f>IF('DLL Schedule'!Pay_Num&lt;&gt;"",I60,"")</f>
        <v>370121.32094001881</v>
      </c>
      <c r="D61" s="525">
        <f>IF('DLL Schedule'!Pay_Num&lt;&gt;"",'DLL Schedule'!Scheduled_Monthly_Payment,"")</f>
        <v>23167.283504162628</v>
      </c>
      <c r="E61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1" s="525">
        <f>IF('DLL Schedule'!Pay_Num&lt;&gt;"",IF('DLL Schedule'!Sched_Pay+'DLL Schedule'!Extra_Pay&lt;'DLL Schedule'!Beg_Bal,'DLL Schedule'!Sched_Pay+'DLL Schedule'!Extra_Pay,'DLL Schedule'!Beg_Bal),"")</f>
        <v>23167.283504162628</v>
      </c>
      <c r="G61" s="525">
        <f>IF('DLL Schedule'!Pay_Num&lt;&gt;"",'DLL Schedule'!Total_Pay-'DLL Schedule'!Int,"")</f>
        <v>20579.518601923664</v>
      </c>
      <c r="H61" s="525">
        <f>IF('DLL Schedule'!Pay_Num&lt;&gt;"",'DLL Schedule'!Beg_Bal*'DLL Schedule'!Interest_Rate/'DLL Schedule'!Num_Pmt_Per_Year,"")</f>
        <v>2587.7649022389646</v>
      </c>
      <c r="I61" s="525">
        <f>IF('DLL Schedule'!Pay_Num&lt;&gt;"",IF('DLL Schedule'!Sched_Pay+'DLL Schedule'!Extra_Pay&lt;'DLL Schedule'!Beg_Bal,'DLL Schedule'!Beg_Bal-'DLL Schedule'!Princ,0),"")</f>
        <v>349541.80233809515</v>
      </c>
      <c r="J61" s="525">
        <f>SUM($H$18:$H61)</f>
        <v>236778.26152125071</v>
      </c>
      <c r="K61" s="499"/>
    </row>
    <row r="62" spans="1:11" ht="12.75" customHeight="1">
      <c r="A62" s="523">
        <f>IF(AND('DLL Schedule'!Values_Entered=1,A61&lt;&gt;"",I61&gt;0),A61+1,"")</f>
        <v>45</v>
      </c>
      <c r="B62" s="524">
        <f>IF('DLL Schedule'!Pay_Num&lt;&gt;"",DATE(YEAR('DLL Schedule'!Loan_Start),MONTH('DLL Schedule'!Loan_Start)+('DLL Schedule'!Pay_Num)*12/'DLL Schedule'!Num_Pmt_Per_Year,DAY('DLL Schedule'!Loan_Start)),"")</f>
        <v>47604</v>
      </c>
      <c r="C62" s="525">
        <f>IF('DLL Schedule'!Pay_Num&lt;&gt;"",I61,"")</f>
        <v>349541.80233809515</v>
      </c>
      <c r="D62" s="525">
        <f>IF('DLL Schedule'!Pay_Num&lt;&gt;"",'DLL Schedule'!Scheduled_Monthly_Payment,"")</f>
        <v>23167.283504162628</v>
      </c>
      <c r="E62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2" s="525">
        <f>IF('DLL Schedule'!Pay_Num&lt;&gt;"",IF('DLL Schedule'!Sched_Pay+'DLL Schedule'!Extra_Pay&lt;'DLL Schedule'!Beg_Bal,'DLL Schedule'!Sched_Pay+'DLL Schedule'!Extra_Pay,'DLL Schedule'!Beg_Bal),"")</f>
        <v>23167.283504162628</v>
      </c>
      <c r="G62" s="525">
        <f>IF('DLL Schedule'!Pay_Num&lt;&gt;"",'DLL Schedule'!Total_Pay-'DLL Schedule'!Int,"")</f>
        <v>20723.403736148779</v>
      </c>
      <c r="H62" s="525">
        <f>IF('DLL Schedule'!Pay_Num&lt;&gt;"",'DLL Schedule'!Beg_Bal*'DLL Schedule'!Interest_Rate/'DLL Schedule'!Num_Pmt_Per_Year,"")</f>
        <v>2443.8797680138487</v>
      </c>
      <c r="I62" s="525">
        <f>IF('DLL Schedule'!Pay_Num&lt;&gt;"",IF('DLL Schedule'!Sched_Pay+'DLL Schedule'!Extra_Pay&lt;'DLL Schedule'!Beg_Bal,'DLL Schedule'!Beg_Bal-'DLL Schedule'!Princ,0),"")</f>
        <v>328818.39860194636</v>
      </c>
      <c r="J62" s="525">
        <f>SUM($H$18:$H62)</f>
        <v>239222.14128926455</v>
      </c>
      <c r="K62" s="499"/>
    </row>
    <row r="63" spans="1:11" ht="12.75" customHeight="1">
      <c r="A63" s="523">
        <f>IF(AND('DLL Schedule'!Values_Entered=1,A62&lt;&gt;"",I62&gt;0),A62+1,"")</f>
        <v>46</v>
      </c>
      <c r="B63" s="524">
        <f>IF('DLL Schedule'!Pay_Num&lt;&gt;"",DATE(YEAR('DLL Schedule'!Loan_Start),MONTH('DLL Schedule'!Loan_Start)+('DLL Schedule'!Pay_Num)*12/'DLL Schedule'!Num_Pmt_Per_Year,DAY('DLL Schedule'!Loan_Start)),"")</f>
        <v>47635</v>
      </c>
      <c r="C63" s="525">
        <f>IF('DLL Schedule'!Pay_Num&lt;&gt;"",I62,"")</f>
        <v>328818.39860194636</v>
      </c>
      <c r="D63" s="525">
        <f>IF('DLL Schedule'!Pay_Num&lt;&gt;"",'DLL Schedule'!Scheduled_Monthly_Payment,"")</f>
        <v>23167.283504162628</v>
      </c>
      <c r="E63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3" s="525">
        <f>IF('DLL Schedule'!Pay_Num&lt;&gt;"",IF('DLL Schedule'!Sched_Pay+'DLL Schedule'!Extra_Pay&lt;'DLL Schedule'!Beg_Bal,'DLL Schedule'!Sched_Pay+'DLL Schedule'!Extra_Pay,'DLL Schedule'!Beg_Bal),"")</f>
        <v>23167.283504162628</v>
      </c>
      <c r="G63" s="525">
        <f>IF('DLL Schedule'!Pay_Num&lt;&gt;"",'DLL Schedule'!Total_Pay-'DLL Schedule'!Int,"")</f>
        <v>20868.294867270684</v>
      </c>
      <c r="H63" s="525">
        <f>IF('DLL Schedule'!Pay_Num&lt;&gt;"",'DLL Schedule'!Beg_Bal*'DLL Schedule'!Interest_Rate/'DLL Schedule'!Num_Pmt_Per_Year,"")</f>
        <v>2298.988636891942</v>
      </c>
      <c r="I63" s="525">
        <f>IF('DLL Schedule'!Pay_Num&lt;&gt;"",IF('DLL Schedule'!Sched_Pay+'DLL Schedule'!Extra_Pay&lt;'DLL Schedule'!Beg_Bal,'DLL Schedule'!Beg_Bal-'DLL Schedule'!Princ,0),"")</f>
        <v>307950.10373467568</v>
      </c>
      <c r="J63" s="525">
        <f>SUM($H$18:$H63)</f>
        <v>241521.12992615649</v>
      </c>
      <c r="K63" s="499"/>
    </row>
    <row r="64" spans="1:11" ht="12.75" customHeight="1">
      <c r="A64" s="523">
        <f>IF(AND('DLL Schedule'!Values_Entered=1,A63&lt;&gt;"",I63&gt;0),A63+1,"")</f>
        <v>47</v>
      </c>
      <c r="B64" s="524">
        <f>IF('DLL Schedule'!Pay_Num&lt;&gt;"",DATE(YEAR('DLL Schedule'!Loan_Start),MONTH('DLL Schedule'!Loan_Start)+('DLL Schedule'!Pay_Num)*12/'DLL Schedule'!Num_Pmt_Per_Year,DAY('DLL Schedule'!Loan_Start)),"")</f>
        <v>47665</v>
      </c>
      <c r="C64" s="525">
        <f>IF('DLL Schedule'!Pay_Num&lt;&gt;"",I63,"")</f>
        <v>307950.10373467568</v>
      </c>
      <c r="D64" s="525">
        <f>IF('DLL Schedule'!Pay_Num&lt;&gt;"",'DLL Schedule'!Scheduled_Monthly_Payment,"")</f>
        <v>23167.283504162628</v>
      </c>
      <c r="E64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4" s="525">
        <f>IF('DLL Schedule'!Pay_Num&lt;&gt;"",IF('DLL Schedule'!Sched_Pay+'DLL Schedule'!Extra_Pay&lt;'DLL Schedule'!Beg_Bal,'DLL Schedule'!Sched_Pay+'DLL Schedule'!Extra_Pay,'DLL Schedule'!Beg_Bal),"")</f>
        <v>23167.283504162628</v>
      </c>
      <c r="G64" s="525">
        <f>IF('DLL Schedule'!Pay_Num&lt;&gt;"",'DLL Schedule'!Total_Pay-'DLL Schedule'!Int,"")</f>
        <v>21014.199028884352</v>
      </c>
      <c r="H64" s="525">
        <f>IF('DLL Schedule'!Pay_Num&lt;&gt;"",'DLL Schedule'!Beg_Bal*'DLL Schedule'!Interest_Rate/'DLL Schedule'!Num_Pmt_Per_Year,"")</f>
        <v>2153.0844752782741</v>
      </c>
      <c r="I64" s="525">
        <f>IF('DLL Schedule'!Pay_Num&lt;&gt;"",IF('DLL Schedule'!Sched_Pay+'DLL Schedule'!Extra_Pay&lt;'DLL Schedule'!Beg_Bal,'DLL Schedule'!Beg_Bal-'DLL Schedule'!Princ,0),"")</f>
        <v>286935.90470579133</v>
      </c>
      <c r="J64" s="525">
        <f>SUM($H$18:$H64)</f>
        <v>243674.21440143476</v>
      </c>
      <c r="K64" s="499"/>
    </row>
    <row r="65" spans="1:11" ht="12.75" customHeight="1">
      <c r="A65" s="523">
        <f>IF(AND('DLL Schedule'!Values_Entered=1,A64&lt;&gt;"",I64&gt;0),A64+1,"")</f>
        <v>48</v>
      </c>
      <c r="B65" s="524">
        <f>IF('DLL Schedule'!Pay_Num&lt;&gt;"",DATE(YEAR('DLL Schedule'!Loan_Start),MONTH('DLL Schedule'!Loan_Start)+('DLL Schedule'!Pay_Num)*12/'DLL Schedule'!Num_Pmt_Per_Year,DAY('DLL Schedule'!Loan_Start)),"")</f>
        <v>47696</v>
      </c>
      <c r="C65" s="525">
        <f>IF('DLL Schedule'!Pay_Num&lt;&gt;"",I64,"")</f>
        <v>286935.90470579133</v>
      </c>
      <c r="D65" s="525">
        <f>IF('DLL Schedule'!Pay_Num&lt;&gt;"",'DLL Schedule'!Scheduled_Monthly_Payment,"")</f>
        <v>23167.283504162628</v>
      </c>
      <c r="E65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5" s="525">
        <f>IF('DLL Schedule'!Pay_Num&lt;&gt;"",IF('DLL Schedule'!Sched_Pay+'DLL Schedule'!Extra_Pay&lt;'DLL Schedule'!Beg_Bal,'DLL Schedule'!Sched_Pay+'DLL Schedule'!Extra_Pay,'DLL Schedule'!Beg_Bal),"")</f>
        <v>23167.283504162628</v>
      </c>
      <c r="G65" s="525">
        <f>IF('DLL Schedule'!Pay_Num&lt;&gt;"",'DLL Schedule'!Total_Pay-'DLL Schedule'!Int,"")</f>
        <v>21161.123303761302</v>
      </c>
      <c r="H65" s="525">
        <f>IF('DLL Schedule'!Pay_Num&lt;&gt;"",'DLL Schedule'!Beg_Bal*'DLL Schedule'!Interest_Rate/'DLL Schedule'!Num_Pmt_Per_Year,"")</f>
        <v>2006.1602004013246</v>
      </c>
      <c r="I65" s="525">
        <f>IF('DLL Schedule'!Pay_Num&lt;&gt;"",IF('DLL Schedule'!Sched_Pay+'DLL Schedule'!Extra_Pay&lt;'DLL Schedule'!Beg_Bal,'DLL Schedule'!Beg_Bal-'DLL Schedule'!Princ,0),"")</f>
        <v>265774.78140203003</v>
      </c>
      <c r="J65" s="525">
        <f>SUM($H$18:$H65)</f>
        <v>245680.37460183608</v>
      </c>
      <c r="K65" s="499"/>
    </row>
    <row r="66" spans="1:11" ht="12.75" customHeight="1">
      <c r="A66" s="523">
        <f>IF(AND('DLL Schedule'!Values_Entered=1,A65&lt;&gt;"",I65&gt;0),A65+1,"")</f>
        <v>49</v>
      </c>
      <c r="B66" s="524">
        <f>IF('DLL Schedule'!Pay_Num&lt;&gt;"",DATE(YEAR('DLL Schedule'!Loan_Start),MONTH('DLL Schedule'!Loan_Start)+('DLL Schedule'!Pay_Num)*12/'DLL Schedule'!Num_Pmt_Per_Year,DAY('DLL Schedule'!Loan_Start)),"")</f>
        <v>47727</v>
      </c>
      <c r="C66" s="525">
        <f>IF('DLL Schedule'!Pay_Num&lt;&gt;"",I65,"")</f>
        <v>265774.78140203003</v>
      </c>
      <c r="D66" s="525">
        <f>IF('DLL Schedule'!Pay_Num&lt;&gt;"",'DLL Schedule'!Scheduled_Monthly_Payment,"")</f>
        <v>23167.283504162628</v>
      </c>
      <c r="E66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6" s="525">
        <f>IF('DLL Schedule'!Pay_Num&lt;&gt;"",IF('DLL Schedule'!Sched_Pay+'DLL Schedule'!Extra_Pay&lt;'DLL Schedule'!Beg_Bal,'DLL Schedule'!Sched_Pay+'DLL Schedule'!Extra_Pay,'DLL Schedule'!Beg_Bal),"")</f>
        <v>23167.283504162628</v>
      </c>
      <c r="G66" s="525">
        <f>IF('DLL Schedule'!Pay_Num&lt;&gt;"",'DLL Schedule'!Total_Pay-'DLL Schedule'!Int,"")</f>
        <v>21309.074824193434</v>
      </c>
      <c r="H66" s="525">
        <f>IF('DLL Schedule'!Pay_Num&lt;&gt;"",'DLL Schedule'!Beg_Bal*'DLL Schedule'!Interest_Rate/'DLL Schedule'!Num_Pmt_Per_Year,"")</f>
        <v>1858.2086799691933</v>
      </c>
      <c r="I66" s="525">
        <f>IF('DLL Schedule'!Pay_Num&lt;&gt;"",IF('DLL Schedule'!Sched_Pay+'DLL Schedule'!Extra_Pay&lt;'DLL Schedule'!Beg_Bal,'DLL Schedule'!Beg_Bal-'DLL Schedule'!Princ,0),"")</f>
        <v>244465.70657783659</v>
      </c>
      <c r="J66" s="525">
        <f>SUM($H$18:$H66)</f>
        <v>247538.58328180527</v>
      </c>
      <c r="K66" s="499"/>
    </row>
    <row r="67" spans="1:11" ht="12.75" customHeight="1">
      <c r="A67" s="523">
        <f>IF(AND('DLL Schedule'!Values_Entered=1,A66&lt;&gt;"",I66&gt;0),A66+1,"")</f>
        <v>50</v>
      </c>
      <c r="B67" s="524">
        <f>IF('DLL Schedule'!Pay_Num&lt;&gt;"",DATE(YEAR('DLL Schedule'!Loan_Start),MONTH('DLL Schedule'!Loan_Start)+('DLL Schedule'!Pay_Num)*12/'DLL Schedule'!Num_Pmt_Per_Year,DAY('DLL Schedule'!Loan_Start)),"")</f>
        <v>47757</v>
      </c>
      <c r="C67" s="525">
        <f>IF('DLL Schedule'!Pay_Num&lt;&gt;"",I66,"")</f>
        <v>244465.70657783659</v>
      </c>
      <c r="D67" s="525">
        <f>IF('DLL Schedule'!Pay_Num&lt;&gt;"",'DLL Schedule'!Scheduled_Monthly_Payment,"")</f>
        <v>23167.283504162628</v>
      </c>
      <c r="E67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7" s="525">
        <f>IF('DLL Schedule'!Pay_Num&lt;&gt;"",IF('DLL Schedule'!Sched_Pay+'DLL Schedule'!Extra_Pay&lt;'DLL Schedule'!Beg_Bal,'DLL Schedule'!Sched_Pay+'DLL Schedule'!Extra_Pay,'DLL Schedule'!Beg_Bal),"")</f>
        <v>23167.283504162628</v>
      </c>
      <c r="G67" s="525">
        <f>IF('DLL Schedule'!Pay_Num&lt;&gt;"",'DLL Schedule'!Total_Pay-'DLL Schedule'!Int,"")</f>
        <v>21458.060772339253</v>
      </c>
      <c r="H67" s="525">
        <f>IF('DLL Schedule'!Pay_Num&lt;&gt;"",'DLL Schedule'!Beg_Bal*'DLL Schedule'!Interest_Rate/'DLL Schedule'!Num_Pmt_Per_Year,"")</f>
        <v>1709.2227318233743</v>
      </c>
      <c r="I67" s="525">
        <f>IF('DLL Schedule'!Pay_Num&lt;&gt;"",IF('DLL Schedule'!Sched_Pay+'DLL Schedule'!Extra_Pay&lt;'DLL Schedule'!Beg_Bal,'DLL Schedule'!Beg_Bal-'DLL Schedule'!Princ,0),"")</f>
        <v>223007.64580549733</v>
      </c>
      <c r="J67" s="525">
        <f>SUM($H$18:$H67)</f>
        <v>249247.80601362864</v>
      </c>
      <c r="K67" s="499"/>
    </row>
    <row r="68" spans="1:11" ht="12.75" customHeight="1">
      <c r="A68" s="523">
        <f>IF(AND('DLL Schedule'!Values_Entered=1,A67&lt;&gt;"",I67&gt;0),A67+1,"")</f>
        <v>51</v>
      </c>
      <c r="B68" s="524">
        <f>IF('DLL Schedule'!Pay_Num&lt;&gt;"",DATE(YEAR('DLL Schedule'!Loan_Start),MONTH('DLL Schedule'!Loan_Start)+('DLL Schedule'!Pay_Num)*12/'DLL Schedule'!Num_Pmt_Per_Year,DAY('DLL Schedule'!Loan_Start)),"")</f>
        <v>47788</v>
      </c>
      <c r="C68" s="525">
        <f>IF('DLL Schedule'!Pay_Num&lt;&gt;"",I67,"")</f>
        <v>223007.64580549733</v>
      </c>
      <c r="D68" s="525">
        <f>IF('DLL Schedule'!Pay_Num&lt;&gt;"",'DLL Schedule'!Scheduled_Monthly_Payment,"")</f>
        <v>23167.283504162628</v>
      </c>
      <c r="E68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8" s="525">
        <f>IF('DLL Schedule'!Pay_Num&lt;&gt;"",IF('DLL Schedule'!Sched_Pay+'DLL Schedule'!Extra_Pay&lt;'DLL Schedule'!Beg_Bal,'DLL Schedule'!Sched_Pay+'DLL Schedule'!Extra_Pay,'DLL Schedule'!Beg_Bal),"")</f>
        <v>23167.283504162628</v>
      </c>
      <c r="G68" s="525">
        <f>IF('DLL Schedule'!Pay_Num&lt;&gt;"",'DLL Schedule'!Total_Pay-'DLL Schedule'!Int,"")</f>
        <v>21608.088380572524</v>
      </c>
      <c r="H68" s="525">
        <f>IF('DLL Schedule'!Pay_Num&lt;&gt;"",'DLL Schedule'!Beg_Bal*'DLL Schedule'!Interest_Rate/'DLL Schedule'!Num_Pmt_Per_Year,"")</f>
        <v>1559.1951235901022</v>
      </c>
      <c r="I68" s="525">
        <f>IF('DLL Schedule'!Pay_Num&lt;&gt;"",IF('DLL Schedule'!Sched_Pay+'DLL Schedule'!Extra_Pay&lt;'DLL Schedule'!Beg_Bal,'DLL Schedule'!Beg_Bal-'DLL Schedule'!Princ,0),"")</f>
        <v>201399.5574249248</v>
      </c>
      <c r="J68" s="525">
        <f>SUM($H$18:$H68)</f>
        <v>250807.00113721873</v>
      </c>
      <c r="K68" s="499"/>
    </row>
    <row r="69" spans="1:11" ht="12.75" customHeight="1">
      <c r="A69" s="523">
        <f>IF(AND('DLL Schedule'!Values_Entered=1,A68&lt;&gt;"",I68&gt;0),A68+1,"")</f>
        <v>52</v>
      </c>
      <c r="B69" s="524">
        <f>IF('DLL Schedule'!Pay_Num&lt;&gt;"",DATE(YEAR('DLL Schedule'!Loan_Start),MONTH('DLL Schedule'!Loan_Start)+('DLL Schedule'!Pay_Num)*12/'DLL Schedule'!Num_Pmt_Per_Year,DAY('DLL Schedule'!Loan_Start)),"")</f>
        <v>47818</v>
      </c>
      <c r="C69" s="525">
        <f>IF('DLL Schedule'!Pay_Num&lt;&gt;"",I68,"")</f>
        <v>201399.5574249248</v>
      </c>
      <c r="D69" s="525">
        <f>IF('DLL Schedule'!Pay_Num&lt;&gt;"",'DLL Schedule'!Scheduled_Monthly_Payment,"")</f>
        <v>23167.283504162628</v>
      </c>
      <c r="E69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9" s="525">
        <f>IF('DLL Schedule'!Pay_Num&lt;&gt;"",IF('DLL Schedule'!Sched_Pay+'DLL Schedule'!Extra_Pay&lt;'DLL Schedule'!Beg_Bal,'DLL Schedule'!Sched_Pay+'DLL Schedule'!Extra_Pay,'DLL Schedule'!Beg_Bal),"")</f>
        <v>23167.283504162628</v>
      </c>
      <c r="G69" s="525">
        <f>IF('DLL Schedule'!Pay_Num&lt;&gt;"",'DLL Schedule'!Total_Pay-'DLL Schedule'!Int,"")</f>
        <v>21759.164931833362</v>
      </c>
      <c r="H69" s="525">
        <f>IF('DLL Schedule'!Pay_Num&lt;&gt;"",'DLL Schedule'!Beg_Bal*'DLL Schedule'!Interest_Rate/'DLL Schedule'!Num_Pmt_Per_Year,"")</f>
        <v>1408.1185723292658</v>
      </c>
      <c r="I69" s="525">
        <f>IF('DLL Schedule'!Pay_Num&lt;&gt;"",IF('DLL Schedule'!Sched_Pay+'DLL Schedule'!Extra_Pay&lt;'DLL Schedule'!Beg_Bal,'DLL Schedule'!Beg_Bal-'DLL Schedule'!Princ,0),"")</f>
        <v>179640.39249309144</v>
      </c>
      <c r="J69" s="525">
        <f>SUM($H$18:$H69)</f>
        <v>252215.11970954799</v>
      </c>
      <c r="K69" s="499"/>
    </row>
    <row r="70" spans="1:11" ht="12.75" customHeight="1">
      <c r="A70" s="523">
        <f>IF(AND('DLL Schedule'!Values_Entered=1,A69&lt;&gt;"",I69&gt;0),A69+1,"")</f>
        <v>53</v>
      </c>
      <c r="B70" s="524">
        <f>IF('DLL Schedule'!Pay_Num&lt;&gt;"",DATE(YEAR('DLL Schedule'!Loan_Start),MONTH('DLL Schedule'!Loan_Start)+('DLL Schedule'!Pay_Num)*12/'DLL Schedule'!Num_Pmt_Per_Year,DAY('DLL Schedule'!Loan_Start)),"")</f>
        <v>47849</v>
      </c>
      <c r="C70" s="525">
        <f>IF('DLL Schedule'!Pay_Num&lt;&gt;"",I69,"")</f>
        <v>179640.39249309144</v>
      </c>
      <c r="D70" s="525">
        <f>IF('DLL Schedule'!Pay_Num&lt;&gt;"",'DLL Schedule'!Scheduled_Monthly_Payment,"")</f>
        <v>23167.283504162628</v>
      </c>
      <c r="E70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0" s="525">
        <f>IF('DLL Schedule'!Pay_Num&lt;&gt;"",IF('DLL Schedule'!Sched_Pay+'DLL Schedule'!Extra_Pay&lt;'DLL Schedule'!Beg_Bal,'DLL Schedule'!Sched_Pay+'DLL Schedule'!Extra_Pay,'DLL Schedule'!Beg_Bal),"")</f>
        <v>23167.283504162628</v>
      </c>
      <c r="G70" s="525">
        <f>IF('DLL Schedule'!Pay_Num&lt;&gt;"",'DLL Schedule'!Total_Pay-'DLL Schedule'!Int,"")</f>
        <v>21911.297759981764</v>
      </c>
      <c r="H70" s="525">
        <f>IF('DLL Schedule'!Pay_Num&lt;&gt;"",'DLL Schedule'!Beg_Bal*'DLL Schedule'!Interest_Rate/'DLL Schedule'!Num_Pmt_Per_Year,"")</f>
        <v>1255.9857441808642</v>
      </c>
      <c r="I70" s="525">
        <f>IF('DLL Schedule'!Pay_Num&lt;&gt;"",IF('DLL Schedule'!Sched_Pay+'DLL Schedule'!Extra_Pay&lt;'DLL Schedule'!Beg_Bal,'DLL Schedule'!Beg_Bal-'DLL Schedule'!Princ,0),"")</f>
        <v>157729.09473310967</v>
      </c>
      <c r="J70" s="525">
        <f>SUM($H$18:$H70)</f>
        <v>253471.10545372884</v>
      </c>
      <c r="K70" s="499"/>
    </row>
    <row r="71" spans="1:11" ht="12.75" customHeight="1">
      <c r="A71" s="523">
        <f>IF(AND('DLL Schedule'!Values_Entered=1,A70&lt;&gt;"",I70&gt;0),A70+1,"")</f>
        <v>54</v>
      </c>
      <c r="B71" s="524">
        <f>IF('DLL Schedule'!Pay_Num&lt;&gt;"",DATE(YEAR('DLL Schedule'!Loan_Start),MONTH('DLL Schedule'!Loan_Start)+('DLL Schedule'!Pay_Num)*12/'DLL Schedule'!Num_Pmt_Per_Year,DAY('DLL Schedule'!Loan_Start)),"")</f>
        <v>47880</v>
      </c>
      <c r="C71" s="525">
        <f>IF('DLL Schedule'!Pay_Num&lt;&gt;"",I70,"")</f>
        <v>157729.09473310967</v>
      </c>
      <c r="D71" s="525">
        <f>IF('DLL Schedule'!Pay_Num&lt;&gt;"",'DLL Schedule'!Scheduled_Monthly_Payment,"")</f>
        <v>23167.283504162628</v>
      </c>
      <c r="E71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1" s="525">
        <f>IF('DLL Schedule'!Pay_Num&lt;&gt;"",IF('DLL Schedule'!Sched_Pay+'DLL Schedule'!Extra_Pay&lt;'DLL Schedule'!Beg_Bal,'DLL Schedule'!Sched_Pay+'DLL Schedule'!Extra_Pay,'DLL Schedule'!Beg_Bal),"")</f>
        <v>23167.283504162628</v>
      </c>
      <c r="G71" s="525">
        <f>IF('DLL Schedule'!Pay_Num&lt;&gt;"",'DLL Schedule'!Total_Pay-'DLL Schedule'!Int,"")</f>
        <v>22064.494250153635</v>
      </c>
      <c r="H71" s="525">
        <f>IF('DLL Schedule'!Pay_Num&lt;&gt;"",'DLL Schedule'!Beg_Bal*'DLL Schedule'!Interest_Rate/'DLL Schedule'!Num_Pmt_Per_Year,"")</f>
        <v>1102.7892540089917</v>
      </c>
      <c r="I71" s="525">
        <f>IF('DLL Schedule'!Pay_Num&lt;&gt;"",IF('DLL Schedule'!Sched_Pay+'DLL Schedule'!Extra_Pay&lt;'DLL Schedule'!Beg_Bal,'DLL Schedule'!Beg_Bal-'DLL Schedule'!Princ,0),"")</f>
        <v>135664.60048295604</v>
      </c>
      <c r="J71" s="525">
        <f>SUM($H$18:$H71)</f>
        <v>254573.89470773784</v>
      </c>
      <c r="K71" s="499"/>
    </row>
    <row r="72" spans="1:11" ht="12.75" customHeight="1">
      <c r="A72" s="523">
        <f>IF(AND('DLL Schedule'!Values_Entered=1,A71&lt;&gt;"",I71&gt;0),A71+1,"")</f>
        <v>55</v>
      </c>
      <c r="B72" s="524">
        <f>IF('DLL Schedule'!Pay_Num&lt;&gt;"",DATE(YEAR('DLL Schedule'!Loan_Start),MONTH('DLL Schedule'!Loan_Start)+('DLL Schedule'!Pay_Num)*12/'DLL Schedule'!Num_Pmt_Per_Year,DAY('DLL Schedule'!Loan_Start)),"")</f>
        <v>47908</v>
      </c>
      <c r="C72" s="525">
        <f>IF('DLL Schedule'!Pay_Num&lt;&gt;"",I71,"")</f>
        <v>135664.60048295604</v>
      </c>
      <c r="D72" s="525">
        <f>IF('DLL Schedule'!Pay_Num&lt;&gt;"",'DLL Schedule'!Scheduled_Monthly_Payment,"")</f>
        <v>23167.283504162628</v>
      </c>
      <c r="E72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2" s="525">
        <f>IF('DLL Schedule'!Pay_Num&lt;&gt;"",IF('DLL Schedule'!Sched_Pay+'DLL Schedule'!Extra_Pay&lt;'DLL Schedule'!Beg_Bal,'DLL Schedule'!Sched_Pay+'DLL Schedule'!Extra_Pay,'DLL Schedule'!Beg_Bal),"")</f>
        <v>23167.283504162628</v>
      </c>
      <c r="G72" s="525">
        <f>IF('DLL Schedule'!Pay_Num&lt;&gt;"",'DLL Schedule'!Total_Pay-'DLL Schedule'!Int,"")</f>
        <v>22218.761839119292</v>
      </c>
      <c r="H72" s="525">
        <f>IF('DLL Schedule'!Pay_Num&lt;&gt;"",'DLL Schedule'!Beg_Bal*'DLL Schedule'!Interest_Rate/'DLL Schedule'!Num_Pmt_Per_Year,"")</f>
        <v>948.52166504333434</v>
      </c>
      <c r="I72" s="525">
        <f>IF('DLL Schedule'!Pay_Num&lt;&gt;"",IF('DLL Schedule'!Sched_Pay+'DLL Schedule'!Extra_Pay&lt;'DLL Schedule'!Beg_Bal,'DLL Schedule'!Beg_Bal-'DLL Schedule'!Princ,0),"")</f>
        <v>113445.83864383675</v>
      </c>
      <c r="J72" s="525">
        <f>SUM($H$18:$H72)</f>
        <v>255522.41637278118</v>
      </c>
      <c r="K72" s="499"/>
    </row>
    <row r="73" spans="1:11" ht="12.75" customHeight="1">
      <c r="A73" s="523">
        <f>IF(AND('DLL Schedule'!Values_Entered=1,A72&lt;&gt;"",I72&gt;0),A72+1,"")</f>
        <v>56</v>
      </c>
      <c r="B73" s="524">
        <f>IF('DLL Schedule'!Pay_Num&lt;&gt;"",DATE(YEAR('DLL Schedule'!Loan_Start),MONTH('DLL Schedule'!Loan_Start)+('DLL Schedule'!Pay_Num)*12/'DLL Schedule'!Num_Pmt_Per_Year,DAY('DLL Schedule'!Loan_Start)),"")</f>
        <v>47939</v>
      </c>
      <c r="C73" s="525">
        <f>IF('DLL Schedule'!Pay_Num&lt;&gt;"",I72,"")</f>
        <v>113445.83864383675</v>
      </c>
      <c r="D73" s="525">
        <f>IF('DLL Schedule'!Pay_Num&lt;&gt;"",'DLL Schedule'!Scheduled_Monthly_Payment,"")</f>
        <v>23167.283504162628</v>
      </c>
      <c r="E73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3" s="525">
        <f>IF('DLL Schedule'!Pay_Num&lt;&gt;"",IF('DLL Schedule'!Sched_Pay+'DLL Schedule'!Extra_Pay&lt;'DLL Schedule'!Beg_Bal,'DLL Schedule'!Sched_Pay+'DLL Schedule'!Extra_Pay,'DLL Schedule'!Beg_Bal),"")</f>
        <v>23167.283504162628</v>
      </c>
      <c r="G73" s="525">
        <f>IF('DLL Schedule'!Pay_Num&lt;&gt;"",'DLL Schedule'!Total_Pay-'DLL Schedule'!Int,"")</f>
        <v>22374.10801564447</v>
      </c>
      <c r="H73" s="525">
        <f>IF('DLL Schedule'!Pay_Num&lt;&gt;"",'DLL Schedule'!Beg_Bal*'DLL Schedule'!Interest_Rate/'DLL Schedule'!Num_Pmt_Per_Year,"")</f>
        <v>793.17548851815855</v>
      </c>
      <c r="I73" s="525">
        <f>IF('DLL Schedule'!Pay_Num&lt;&gt;"",IF('DLL Schedule'!Sched_Pay+'DLL Schedule'!Extra_Pay&lt;'DLL Schedule'!Beg_Bal,'DLL Schedule'!Beg_Bal-'DLL Schedule'!Princ,0),"")</f>
        <v>91071.730628192279</v>
      </c>
      <c r="J73" s="525">
        <f>SUM($H$18:$H73)</f>
        <v>256315.59186129936</v>
      </c>
      <c r="K73" s="499"/>
    </row>
    <row r="74" spans="1:11" ht="12.75" customHeight="1">
      <c r="A74" s="523">
        <f>IF(AND('DLL Schedule'!Values_Entered=1,A73&lt;&gt;"",I73&gt;0),A73+1,"")</f>
        <v>57</v>
      </c>
      <c r="B74" s="524">
        <f>IF('DLL Schedule'!Pay_Num&lt;&gt;"",DATE(YEAR('DLL Schedule'!Loan_Start),MONTH('DLL Schedule'!Loan_Start)+('DLL Schedule'!Pay_Num)*12/'DLL Schedule'!Num_Pmt_Per_Year,DAY('DLL Schedule'!Loan_Start)),"")</f>
        <v>47969</v>
      </c>
      <c r="C74" s="525">
        <f>IF('DLL Schedule'!Pay_Num&lt;&gt;"",I73,"")</f>
        <v>91071.730628192279</v>
      </c>
      <c r="D74" s="525">
        <f>IF('DLL Schedule'!Pay_Num&lt;&gt;"",'DLL Schedule'!Scheduled_Monthly_Payment,"")</f>
        <v>23167.283504162628</v>
      </c>
      <c r="E74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4" s="525">
        <f>IF('DLL Schedule'!Pay_Num&lt;&gt;"",IF('DLL Schedule'!Sched_Pay+'DLL Schedule'!Extra_Pay&lt;'DLL Schedule'!Beg_Bal,'DLL Schedule'!Sched_Pay+'DLL Schedule'!Extra_Pay,'DLL Schedule'!Beg_Bal),"")</f>
        <v>23167.283504162628</v>
      </c>
      <c r="G74" s="525">
        <f>IF('DLL Schedule'!Pay_Num&lt;&gt;"",'DLL Schedule'!Total_Pay-'DLL Schedule'!Int,"")</f>
        <v>22530.540320853848</v>
      </c>
      <c r="H74" s="525">
        <f>IF('DLL Schedule'!Pay_Num&lt;&gt;"",'DLL Schedule'!Beg_Bal*'DLL Schedule'!Interest_Rate/'DLL Schedule'!Num_Pmt_Per_Year,"")</f>
        <v>636.7431833087777</v>
      </c>
      <c r="I74" s="525">
        <f>IF('DLL Schedule'!Pay_Num&lt;&gt;"",IF('DLL Schedule'!Sched_Pay+'DLL Schedule'!Extra_Pay&lt;'DLL Schedule'!Beg_Bal,'DLL Schedule'!Beg_Bal-'DLL Schedule'!Princ,0),"")</f>
        <v>68541.190307338431</v>
      </c>
      <c r="J74" s="525">
        <f>SUM($H$18:$H74)</f>
        <v>256952.33504460813</v>
      </c>
      <c r="K74" s="499"/>
    </row>
    <row r="75" spans="1:11" ht="12.75" customHeight="1">
      <c r="A75" s="523">
        <f>IF(AND('DLL Schedule'!Values_Entered=1,A74&lt;&gt;"",I74&gt;0),A74+1,"")</f>
        <v>58</v>
      </c>
      <c r="B75" s="524">
        <f>IF('DLL Schedule'!Pay_Num&lt;&gt;"",DATE(YEAR('DLL Schedule'!Loan_Start),MONTH('DLL Schedule'!Loan_Start)+('DLL Schedule'!Pay_Num)*12/'DLL Schedule'!Num_Pmt_Per_Year,DAY('DLL Schedule'!Loan_Start)),"")</f>
        <v>48000</v>
      </c>
      <c r="C75" s="525">
        <f>IF('DLL Schedule'!Pay_Num&lt;&gt;"",I74,"")</f>
        <v>68541.190307338431</v>
      </c>
      <c r="D75" s="525">
        <f>IF('DLL Schedule'!Pay_Num&lt;&gt;"",'DLL Schedule'!Scheduled_Monthly_Payment,"")</f>
        <v>23167.283504162628</v>
      </c>
      <c r="E75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5" s="525">
        <f>IF('DLL Schedule'!Pay_Num&lt;&gt;"",IF('DLL Schedule'!Sched_Pay+'DLL Schedule'!Extra_Pay&lt;'DLL Schedule'!Beg_Bal,'DLL Schedule'!Sched_Pay+'DLL Schedule'!Extra_Pay,'DLL Schedule'!Beg_Bal),"")</f>
        <v>23167.283504162628</v>
      </c>
      <c r="G75" s="525">
        <f>IF('DLL Schedule'!Pay_Num&lt;&gt;"",'DLL Schedule'!Total_Pay-'DLL Schedule'!Int,"")</f>
        <v>22688.066348597153</v>
      </c>
      <c r="H75" s="525">
        <f>IF('DLL Schedule'!Pay_Num&lt;&gt;"",'DLL Schedule'!Beg_Bal*'DLL Schedule'!Interest_Rate/'DLL Schedule'!Num_Pmt_Per_Year,"")</f>
        <v>479.21715556547451</v>
      </c>
      <c r="I75" s="525">
        <f>IF('DLL Schedule'!Pay_Num&lt;&gt;"",IF('DLL Schedule'!Sched_Pay+'DLL Schedule'!Extra_Pay&lt;'DLL Schedule'!Beg_Bal,'DLL Schedule'!Beg_Bal-'DLL Schedule'!Princ,0),"")</f>
        <v>45853.123958741278</v>
      </c>
      <c r="J75" s="525">
        <f>SUM($H$18:$H75)</f>
        <v>257431.55220017361</v>
      </c>
      <c r="K75" s="499"/>
    </row>
    <row r="76" spans="1:11" ht="12.75" customHeight="1">
      <c r="A76" s="523">
        <f>IF(AND('DLL Schedule'!Values_Entered=1,A75&lt;&gt;"",I75&gt;0),A75+1,"")</f>
        <v>59</v>
      </c>
      <c r="B76" s="524">
        <f>IF('DLL Schedule'!Pay_Num&lt;&gt;"",DATE(YEAR('DLL Schedule'!Loan_Start),MONTH('DLL Schedule'!Loan_Start)+('DLL Schedule'!Pay_Num)*12/'DLL Schedule'!Num_Pmt_Per_Year,DAY('DLL Schedule'!Loan_Start)),"")</f>
        <v>48030</v>
      </c>
      <c r="C76" s="525">
        <f>IF('DLL Schedule'!Pay_Num&lt;&gt;"",I75,"")</f>
        <v>45853.123958741278</v>
      </c>
      <c r="D76" s="525">
        <f>IF('DLL Schedule'!Pay_Num&lt;&gt;"",'DLL Schedule'!Scheduled_Monthly_Payment,"")</f>
        <v>23167.283504162628</v>
      </c>
      <c r="E76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6" s="525">
        <f>IF('DLL Schedule'!Pay_Num&lt;&gt;"",IF('DLL Schedule'!Sched_Pay+'DLL Schedule'!Extra_Pay&lt;'DLL Schedule'!Beg_Bal,'DLL Schedule'!Sched_Pay+'DLL Schedule'!Extra_Pay,'DLL Schedule'!Beg_Bal),"")</f>
        <v>23167.283504162628</v>
      </c>
      <c r="G76" s="525">
        <f>IF('DLL Schedule'!Pay_Num&lt;&gt;"",'DLL Schedule'!Total_Pay-'DLL Schedule'!Int,"")</f>
        <v>22846.69374581776</v>
      </c>
      <c r="H76" s="525">
        <f>IF('DLL Schedule'!Pay_Num&lt;&gt;"",'DLL Schedule'!Beg_Bal*'DLL Schedule'!Interest_Rate/'DLL Schedule'!Num_Pmt_Per_Year,"")</f>
        <v>320.58975834486608</v>
      </c>
      <c r="I76" s="525">
        <f>IF('DLL Schedule'!Pay_Num&lt;&gt;"",IF('DLL Schedule'!Sched_Pay+'DLL Schedule'!Extra_Pay&lt;'DLL Schedule'!Beg_Bal,'DLL Schedule'!Beg_Bal-'DLL Schedule'!Princ,0),"")</f>
        <v>23006.430212923518</v>
      </c>
      <c r="J76" s="525">
        <f>SUM($H$18:$H76)</f>
        <v>257752.14195851848</v>
      </c>
      <c r="K76" s="499"/>
    </row>
    <row r="77" spans="1:11" ht="12.75" customHeight="1">
      <c r="A77" s="523">
        <f>IF(AND('DLL Schedule'!Values_Entered=1,A76&lt;&gt;"",I76&gt;0),A76+1,"")</f>
        <v>60</v>
      </c>
      <c r="B77" s="524">
        <f>IF('DLL Schedule'!Pay_Num&lt;&gt;"",DATE(YEAR('DLL Schedule'!Loan_Start),MONTH('DLL Schedule'!Loan_Start)+('DLL Schedule'!Pay_Num)*12/'DLL Schedule'!Num_Pmt_Per_Year,DAY('DLL Schedule'!Loan_Start)),"")</f>
        <v>48061</v>
      </c>
      <c r="C77" s="525">
        <f>IF('DLL Schedule'!Pay_Num&lt;&gt;"",I76,"")</f>
        <v>23006.430212923518</v>
      </c>
      <c r="D77" s="525">
        <f>IF('DLL Schedule'!Pay_Num&lt;&gt;"",'DLL Schedule'!Scheduled_Monthly_Payment,"")</f>
        <v>23167.283504162628</v>
      </c>
      <c r="E77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7" s="525">
        <f>IF('DLL Schedule'!Pay_Num&lt;&gt;"",IF('DLL Schedule'!Sched_Pay+'DLL Schedule'!Extra_Pay&lt;'DLL Schedule'!Beg_Bal,'DLL Schedule'!Sched_Pay+'DLL Schedule'!Extra_Pay,'DLL Schedule'!Beg_Bal),"")</f>
        <v>23006.430212923518</v>
      </c>
      <c r="G77" s="525">
        <f>IF('DLL Schedule'!Pay_Num&lt;&gt;"",'DLL Schedule'!Total_Pay-'DLL Schedule'!Int,"")</f>
        <v>22845.576921684828</v>
      </c>
      <c r="H77" s="525">
        <f>IF('DLL Schedule'!Pay_Num&lt;&gt;"",'DLL Schedule'!Beg_Bal*'DLL Schedule'!Interest_Rate/'DLL Schedule'!Num_Pmt_Per_Year,"")</f>
        <v>160.85329123869028</v>
      </c>
      <c r="I77" s="525">
        <f>IF('DLL Schedule'!Pay_Num&lt;&gt;"",IF('DLL Schedule'!Sched_Pay+'DLL Schedule'!Extra_Pay&lt;'DLL Schedule'!Beg_Bal,'DLL Schedule'!Beg_Bal-'DLL Schedule'!Princ,0),"")</f>
        <v>0</v>
      </c>
      <c r="J77" s="525">
        <f>SUM($H$18:$H77)</f>
        <v>257912.99524975716</v>
      </c>
      <c r="K77" s="499"/>
    </row>
    <row r="78" spans="1:11" ht="12.75" customHeight="1">
      <c r="A78" s="523" t="str">
        <f>IF(AND('DLL Schedule'!Values_Entered=1,A77&lt;&gt;"",I77&gt;0),A77+1,"")</f>
        <v/>
      </c>
      <c r="B78" s="524" t="str">
        <f>IF('DLL Schedule'!Pay_Num&lt;&gt;"",DATE(YEAR('DLL Schedule'!Loan_Start),MONTH('DLL Schedule'!Loan_Start)+('DLL Schedule'!Pay_Num)*12/'DLL Schedule'!Num_Pmt_Per_Year,DAY('DLL Schedule'!Loan_Start)),"")</f>
        <v/>
      </c>
      <c r="C78" s="525" t="str">
        <f>IF('DLL Schedule'!Pay_Num&lt;&gt;"",I77,"")</f>
        <v/>
      </c>
      <c r="D78" s="525" t="str">
        <f>IF('DLL Schedule'!Pay_Num&lt;&gt;"",'DLL Schedule'!Scheduled_Monthly_Payment,"")</f>
        <v/>
      </c>
      <c r="E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8" s="525" t="str">
        <f>IF('DLL Schedule'!Pay_Num&lt;&gt;"",IF('DLL Schedule'!Sched_Pay+'DLL Schedule'!Extra_Pay&lt;'DLL Schedule'!Beg_Bal,'DLL Schedule'!Sched_Pay+'DLL Schedule'!Extra_Pay,'DLL Schedule'!Beg_Bal),"")</f>
        <v/>
      </c>
      <c r="G78" s="525" t="str">
        <f>IF('DLL Schedule'!Pay_Num&lt;&gt;"",'DLL Schedule'!Total_Pay-'DLL Schedule'!Int,"")</f>
        <v/>
      </c>
      <c r="H78" s="525" t="str">
        <f>IF('DLL Schedule'!Pay_Num&lt;&gt;"",'DLL Schedule'!Beg_Bal*'DLL Schedule'!Interest_Rate/'DLL Schedule'!Num_Pmt_Per_Year,"")</f>
        <v/>
      </c>
      <c r="I78" s="525" t="str">
        <f>IF('DLL Schedule'!Pay_Num&lt;&gt;"",IF('DLL Schedule'!Sched_Pay+'DLL Schedule'!Extra_Pay&lt;'DLL Schedule'!Beg_Bal,'DLL Schedule'!Beg_Bal-'DLL Schedule'!Princ,0),"")</f>
        <v/>
      </c>
      <c r="J78" s="525">
        <f>SUM($H$18:$H78)</f>
        <v>257912.99524975716</v>
      </c>
      <c r="K78" s="499"/>
    </row>
    <row r="79" spans="1:11" ht="12.75" customHeight="1">
      <c r="A79" s="523" t="str">
        <f>IF(AND('DLL Schedule'!Values_Entered=1,A78&lt;&gt;"",I78&gt;0),A78+1,"")</f>
        <v/>
      </c>
      <c r="B79" s="524" t="str">
        <f>IF('DLL Schedule'!Pay_Num&lt;&gt;"",DATE(YEAR('DLL Schedule'!Loan_Start),MONTH('DLL Schedule'!Loan_Start)+('DLL Schedule'!Pay_Num)*12/'DLL Schedule'!Num_Pmt_Per_Year,DAY('DLL Schedule'!Loan_Start)),"")</f>
        <v/>
      </c>
      <c r="C79" s="525" t="str">
        <f>IF('DLL Schedule'!Pay_Num&lt;&gt;"",I78,"")</f>
        <v/>
      </c>
      <c r="D79" s="525" t="str">
        <f>IF('DLL Schedule'!Pay_Num&lt;&gt;"",'DLL Schedule'!Scheduled_Monthly_Payment,"")</f>
        <v/>
      </c>
      <c r="E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9" s="525" t="str">
        <f>IF('DLL Schedule'!Pay_Num&lt;&gt;"",IF('DLL Schedule'!Sched_Pay+'DLL Schedule'!Extra_Pay&lt;'DLL Schedule'!Beg_Bal,'DLL Schedule'!Sched_Pay+'DLL Schedule'!Extra_Pay,'DLL Schedule'!Beg_Bal),"")</f>
        <v/>
      </c>
      <c r="G79" s="525" t="str">
        <f>IF('DLL Schedule'!Pay_Num&lt;&gt;"",'DLL Schedule'!Total_Pay-'DLL Schedule'!Int,"")</f>
        <v/>
      </c>
      <c r="H79" s="525" t="str">
        <f>IF('DLL Schedule'!Pay_Num&lt;&gt;"",'DLL Schedule'!Beg_Bal*'DLL Schedule'!Interest_Rate/'DLL Schedule'!Num_Pmt_Per_Year,"")</f>
        <v/>
      </c>
      <c r="I79" s="525" t="str">
        <f>IF('DLL Schedule'!Pay_Num&lt;&gt;"",IF('DLL Schedule'!Sched_Pay+'DLL Schedule'!Extra_Pay&lt;'DLL Schedule'!Beg_Bal,'DLL Schedule'!Beg_Bal-'DLL Schedule'!Princ,0),"")</f>
        <v/>
      </c>
      <c r="J79" s="525">
        <f>SUM($H$18:$H79)</f>
        <v>257912.99524975716</v>
      </c>
      <c r="K79" s="499"/>
    </row>
    <row r="80" spans="1:11" ht="12.75" customHeight="1">
      <c r="A80" s="523" t="str">
        <f>IF(AND('DLL Schedule'!Values_Entered=1,A79&lt;&gt;"",I79&gt;0),A79+1,"")</f>
        <v/>
      </c>
      <c r="B80" s="524" t="str">
        <f>IF('DLL Schedule'!Pay_Num&lt;&gt;"",DATE(YEAR('DLL Schedule'!Loan_Start),MONTH('DLL Schedule'!Loan_Start)+('DLL Schedule'!Pay_Num)*12/'DLL Schedule'!Num_Pmt_Per_Year,DAY('DLL Schedule'!Loan_Start)),"")</f>
        <v/>
      </c>
      <c r="C80" s="525" t="str">
        <f>IF('DLL Schedule'!Pay_Num&lt;&gt;"",I79,"")</f>
        <v/>
      </c>
      <c r="D80" s="525" t="str">
        <f>IF('DLL Schedule'!Pay_Num&lt;&gt;"",'DLL Schedule'!Scheduled_Monthly_Payment,"")</f>
        <v/>
      </c>
      <c r="E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0" s="525" t="str">
        <f>IF('DLL Schedule'!Pay_Num&lt;&gt;"",IF('DLL Schedule'!Sched_Pay+'DLL Schedule'!Extra_Pay&lt;'DLL Schedule'!Beg_Bal,'DLL Schedule'!Sched_Pay+'DLL Schedule'!Extra_Pay,'DLL Schedule'!Beg_Bal),"")</f>
        <v/>
      </c>
      <c r="G80" s="525" t="str">
        <f>IF('DLL Schedule'!Pay_Num&lt;&gt;"",'DLL Schedule'!Total_Pay-'DLL Schedule'!Int,"")</f>
        <v/>
      </c>
      <c r="H80" s="525" t="str">
        <f>IF('DLL Schedule'!Pay_Num&lt;&gt;"",'DLL Schedule'!Beg_Bal*'DLL Schedule'!Interest_Rate/'DLL Schedule'!Num_Pmt_Per_Year,"")</f>
        <v/>
      </c>
      <c r="I80" s="525" t="str">
        <f>IF('DLL Schedule'!Pay_Num&lt;&gt;"",IF('DLL Schedule'!Sched_Pay+'DLL Schedule'!Extra_Pay&lt;'DLL Schedule'!Beg_Bal,'DLL Schedule'!Beg_Bal-'DLL Schedule'!Princ,0),"")</f>
        <v/>
      </c>
      <c r="J80" s="525">
        <f>SUM($H$18:$H80)</f>
        <v>257912.99524975716</v>
      </c>
      <c r="K80" s="499"/>
    </row>
    <row r="81" spans="1:11" ht="12.75" customHeight="1">
      <c r="A81" s="523" t="str">
        <f>IF(AND('DLL Schedule'!Values_Entered=1,A80&lt;&gt;"",I80&gt;0),A80+1,"")</f>
        <v/>
      </c>
      <c r="B81" s="524" t="str">
        <f>IF('DLL Schedule'!Pay_Num&lt;&gt;"",DATE(YEAR('DLL Schedule'!Loan_Start),MONTH('DLL Schedule'!Loan_Start)+('DLL Schedule'!Pay_Num)*12/'DLL Schedule'!Num_Pmt_Per_Year,DAY('DLL Schedule'!Loan_Start)),"")</f>
        <v/>
      </c>
      <c r="C81" s="525" t="str">
        <f>IF('DLL Schedule'!Pay_Num&lt;&gt;"",I80,"")</f>
        <v/>
      </c>
      <c r="D81" s="525" t="str">
        <f>IF('DLL Schedule'!Pay_Num&lt;&gt;"",'DLL Schedule'!Scheduled_Monthly_Payment,"")</f>
        <v/>
      </c>
      <c r="E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1" s="525" t="str">
        <f>IF('DLL Schedule'!Pay_Num&lt;&gt;"",IF('DLL Schedule'!Sched_Pay+'DLL Schedule'!Extra_Pay&lt;'DLL Schedule'!Beg_Bal,'DLL Schedule'!Sched_Pay+'DLL Schedule'!Extra_Pay,'DLL Schedule'!Beg_Bal),"")</f>
        <v/>
      </c>
      <c r="G81" s="525" t="str">
        <f>IF('DLL Schedule'!Pay_Num&lt;&gt;"",'DLL Schedule'!Total_Pay-'DLL Schedule'!Int,"")</f>
        <v/>
      </c>
      <c r="H81" s="525" t="str">
        <f>IF('DLL Schedule'!Pay_Num&lt;&gt;"",'DLL Schedule'!Beg_Bal*'DLL Schedule'!Interest_Rate/'DLL Schedule'!Num_Pmt_Per_Year,"")</f>
        <v/>
      </c>
      <c r="I81" s="525" t="str">
        <f>IF('DLL Schedule'!Pay_Num&lt;&gt;"",IF('DLL Schedule'!Sched_Pay+'DLL Schedule'!Extra_Pay&lt;'DLL Schedule'!Beg_Bal,'DLL Schedule'!Beg_Bal-'DLL Schedule'!Princ,0),"")</f>
        <v/>
      </c>
      <c r="J81" s="525">
        <f>SUM($H$18:$H81)</f>
        <v>257912.99524975716</v>
      </c>
      <c r="K81" s="499"/>
    </row>
    <row r="82" spans="1:11" ht="12.75" customHeight="1">
      <c r="A82" s="523" t="str">
        <f>IF(AND('DLL Schedule'!Values_Entered=1,A81&lt;&gt;"",I81&gt;0),A81+1,"")</f>
        <v/>
      </c>
      <c r="B82" s="524" t="str">
        <f>IF('DLL Schedule'!Pay_Num&lt;&gt;"",DATE(YEAR('DLL Schedule'!Loan_Start),MONTH('DLL Schedule'!Loan_Start)+('DLL Schedule'!Pay_Num)*12/'DLL Schedule'!Num_Pmt_Per_Year,DAY('DLL Schedule'!Loan_Start)),"")</f>
        <v/>
      </c>
      <c r="C82" s="525" t="str">
        <f>IF('DLL Schedule'!Pay_Num&lt;&gt;"",I81,"")</f>
        <v/>
      </c>
      <c r="D82" s="525" t="str">
        <f>IF('DLL Schedule'!Pay_Num&lt;&gt;"",'DLL Schedule'!Scheduled_Monthly_Payment,"")</f>
        <v/>
      </c>
      <c r="E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2" s="525" t="str">
        <f>IF('DLL Schedule'!Pay_Num&lt;&gt;"",IF('DLL Schedule'!Sched_Pay+'DLL Schedule'!Extra_Pay&lt;'DLL Schedule'!Beg_Bal,'DLL Schedule'!Sched_Pay+'DLL Schedule'!Extra_Pay,'DLL Schedule'!Beg_Bal),"")</f>
        <v/>
      </c>
      <c r="G82" s="525" t="str">
        <f>IF('DLL Schedule'!Pay_Num&lt;&gt;"",'DLL Schedule'!Total_Pay-'DLL Schedule'!Int,"")</f>
        <v/>
      </c>
      <c r="H82" s="525" t="str">
        <f>IF('DLL Schedule'!Pay_Num&lt;&gt;"",'DLL Schedule'!Beg_Bal*'DLL Schedule'!Interest_Rate/'DLL Schedule'!Num_Pmt_Per_Year,"")</f>
        <v/>
      </c>
      <c r="I82" s="525" t="str">
        <f>IF('DLL Schedule'!Pay_Num&lt;&gt;"",IF('DLL Schedule'!Sched_Pay+'DLL Schedule'!Extra_Pay&lt;'DLL Schedule'!Beg_Bal,'DLL Schedule'!Beg_Bal-'DLL Schedule'!Princ,0),"")</f>
        <v/>
      </c>
      <c r="J82" s="525">
        <f>SUM($H$18:$H82)</f>
        <v>257912.99524975716</v>
      </c>
      <c r="K82" s="499"/>
    </row>
    <row r="83" spans="1:11" ht="12.75" customHeight="1">
      <c r="A83" s="523" t="str">
        <f>IF(AND('DLL Schedule'!Values_Entered=1,A82&lt;&gt;"",I82&gt;0),A82+1,"")</f>
        <v/>
      </c>
      <c r="B83" s="524" t="str">
        <f>IF('DLL Schedule'!Pay_Num&lt;&gt;"",DATE(YEAR('DLL Schedule'!Loan_Start),MONTH('DLL Schedule'!Loan_Start)+('DLL Schedule'!Pay_Num)*12/'DLL Schedule'!Num_Pmt_Per_Year,DAY('DLL Schedule'!Loan_Start)),"")</f>
        <v/>
      </c>
      <c r="C83" s="525" t="str">
        <f>IF('DLL Schedule'!Pay_Num&lt;&gt;"",I82,"")</f>
        <v/>
      </c>
      <c r="D83" s="525" t="str">
        <f>IF('DLL Schedule'!Pay_Num&lt;&gt;"",'DLL Schedule'!Scheduled_Monthly_Payment,"")</f>
        <v/>
      </c>
      <c r="E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3" s="525" t="str">
        <f>IF('DLL Schedule'!Pay_Num&lt;&gt;"",IF('DLL Schedule'!Sched_Pay+'DLL Schedule'!Extra_Pay&lt;'DLL Schedule'!Beg_Bal,'DLL Schedule'!Sched_Pay+'DLL Schedule'!Extra_Pay,'DLL Schedule'!Beg_Bal),"")</f>
        <v/>
      </c>
      <c r="G83" s="525" t="str">
        <f>IF('DLL Schedule'!Pay_Num&lt;&gt;"",'DLL Schedule'!Total_Pay-'DLL Schedule'!Int,"")</f>
        <v/>
      </c>
      <c r="H83" s="525" t="str">
        <f>IF('DLL Schedule'!Pay_Num&lt;&gt;"",'DLL Schedule'!Beg_Bal*'DLL Schedule'!Interest_Rate/'DLL Schedule'!Num_Pmt_Per_Year,"")</f>
        <v/>
      </c>
      <c r="I83" s="525" t="str">
        <f>IF('DLL Schedule'!Pay_Num&lt;&gt;"",IF('DLL Schedule'!Sched_Pay+'DLL Schedule'!Extra_Pay&lt;'DLL Schedule'!Beg_Bal,'DLL Schedule'!Beg_Bal-'DLL Schedule'!Princ,0),"")</f>
        <v/>
      </c>
      <c r="J83" s="525">
        <f>SUM($H$18:$H83)</f>
        <v>257912.99524975716</v>
      </c>
      <c r="K83" s="499"/>
    </row>
    <row r="84" spans="1:11" ht="12.75" customHeight="1">
      <c r="A84" s="523" t="str">
        <f>IF(AND('DLL Schedule'!Values_Entered=1,A83&lt;&gt;"",I83&gt;0),A83+1,"")</f>
        <v/>
      </c>
      <c r="B84" s="524" t="str">
        <f>IF('DLL Schedule'!Pay_Num&lt;&gt;"",DATE(YEAR('DLL Schedule'!Loan_Start),MONTH('DLL Schedule'!Loan_Start)+('DLL Schedule'!Pay_Num)*12/'DLL Schedule'!Num_Pmt_Per_Year,DAY('DLL Schedule'!Loan_Start)),"")</f>
        <v/>
      </c>
      <c r="C84" s="525" t="str">
        <f>IF('DLL Schedule'!Pay_Num&lt;&gt;"",I83,"")</f>
        <v/>
      </c>
      <c r="D84" s="525" t="str">
        <f>IF('DLL Schedule'!Pay_Num&lt;&gt;"",'DLL Schedule'!Scheduled_Monthly_Payment,"")</f>
        <v/>
      </c>
      <c r="E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4" s="525" t="str">
        <f>IF('DLL Schedule'!Pay_Num&lt;&gt;"",IF('DLL Schedule'!Sched_Pay+'DLL Schedule'!Extra_Pay&lt;'DLL Schedule'!Beg_Bal,'DLL Schedule'!Sched_Pay+'DLL Schedule'!Extra_Pay,'DLL Schedule'!Beg_Bal),"")</f>
        <v/>
      </c>
      <c r="G84" s="525" t="str">
        <f>IF('DLL Schedule'!Pay_Num&lt;&gt;"",'DLL Schedule'!Total_Pay-'DLL Schedule'!Int,"")</f>
        <v/>
      </c>
      <c r="H84" s="525" t="str">
        <f>IF('DLL Schedule'!Pay_Num&lt;&gt;"",'DLL Schedule'!Beg_Bal*'DLL Schedule'!Interest_Rate/'DLL Schedule'!Num_Pmt_Per_Year,"")</f>
        <v/>
      </c>
      <c r="I84" s="525" t="str">
        <f>IF('DLL Schedule'!Pay_Num&lt;&gt;"",IF('DLL Schedule'!Sched_Pay+'DLL Schedule'!Extra_Pay&lt;'DLL Schedule'!Beg_Bal,'DLL Schedule'!Beg_Bal-'DLL Schedule'!Princ,0),"")</f>
        <v/>
      </c>
      <c r="J84" s="525">
        <f>SUM($H$18:$H84)</f>
        <v>257912.99524975716</v>
      </c>
      <c r="K84" s="499"/>
    </row>
    <row r="85" spans="1:11" ht="12.75" customHeight="1">
      <c r="A85" s="523" t="str">
        <f>IF(AND('DLL Schedule'!Values_Entered=1,A84&lt;&gt;"",I84&gt;0),A84+1,"")</f>
        <v/>
      </c>
      <c r="B85" s="524" t="str">
        <f>IF('DLL Schedule'!Pay_Num&lt;&gt;"",DATE(YEAR('DLL Schedule'!Loan_Start),MONTH('DLL Schedule'!Loan_Start)+('DLL Schedule'!Pay_Num)*12/'DLL Schedule'!Num_Pmt_Per_Year,DAY('DLL Schedule'!Loan_Start)),"")</f>
        <v/>
      </c>
      <c r="C85" s="525" t="str">
        <f>IF('DLL Schedule'!Pay_Num&lt;&gt;"",I84,"")</f>
        <v/>
      </c>
      <c r="D85" s="525" t="str">
        <f>IF('DLL Schedule'!Pay_Num&lt;&gt;"",'DLL Schedule'!Scheduled_Monthly_Payment,"")</f>
        <v/>
      </c>
      <c r="E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5" s="525" t="str">
        <f>IF('DLL Schedule'!Pay_Num&lt;&gt;"",IF('DLL Schedule'!Sched_Pay+'DLL Schedule'!Extra_Pay&lt;'DLL Schedule'!Beg_Bal,'DLL Schedule'!Sched_Pay+'DLL Schedule'!Extra_Pay,'DLL Schedule'!Beg_Bal),"")</f>
        <v/>
      </c>
      <c r="G85" s="525" t="str">
        <f>IF('DLL Schedule'!Pay_Num&lt;&gt;"",'DLL Schedule'!Total_Pay-'DLL Schedule'!Int,"")</f>
        <v/>
      </c>
      <c r="H85" s="525" t="str">
        <f>IF('DLL Schedule'!Pay_Num&lt;&gt;"",'DLL Schedule'!Beg_Bal*'DLL Schedule'!Interest_Rate/'DLL Schedule'!Num_Pmt_Per_Year,"")</f>
        <v/>
      </c>
      <c r="I85" s="525" t="str">
        <f>IF('DLL Schedule'!Pay_Num&lt;&gt;"",IF('DLL Schedule'!Sched_Pay+'DLL Schedule'!Extra_Pay&lt;'DLL Schedule'!Beg_Bal,'DLL Schedule'!Beg_Bal-'DLL Schedule'!Princ,0),"")</f>
        <v/>
      </c>
      <c r="J85" s="525">
        <f>SUM($H$18:$H85)</f>
        <v>257912.99524975716</v>
      </c>
      <c r="K85" s="499"/>
    </row>
    <row r="86" spans="1:11" ht="12.75" customHeight="1">
      <c r="A86" s="523" t="str">
        <f>IF(AND('DLL Schedule'!Values_Entered=1,A85&lt;&gt;"",I85&gt;0),A85+1,"")</f>
        <v/>
      </c>
      <c r="B86" s="524" t="str">
        <f>IF('DLL Schedule'!Pay_Num&lt;&gt;"",DATE(YEAR('DLL Schedule'!Loan_Start),MONTH('DLL Schedule'!Loan_Start)+('DLL Schedule'!Pay_Num)*12/'DLL Schedule'!Num_Pmt_Per_Year,DAY('DLL Schedule'!Loan_Start)),"")</f>
        <v/>
      </c>
      <c r="C86" s="525" t="str">
        <f>IF('DLL Schedule'!Pay_Num&lt;&gt;"",I85,"")</f>
        <v/>
      </c>
      <c r="D86" s="525" t="str">
        <f>IF('DLL Schedule'!Pay_Num&lt;&gt;"",'DLL Schedule'!Scheduled_Monthly_Payment,"")</f>
        <v/>
      </c>
      <c r="E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6" s="525" t="str">
        <f>IF('DLL Schedule'!Pay_Num&lt;&gt;"",IF('DLL Schedule'!Sched_Pay+'DLL Schedule'!Extra_Pay&lt;'DLL Schedule'!Beg_Bal,'DLL Schedule'!Sched_Pay+'DLL Schedule'!Extra_Pay,'DLL Schedule'!Beg_Bal),"")</f>
        <v/>
      </c>
      <c r="G86" s="525" t="str">
        <f>IF('DLL Schedule'!Pay_Num&lt;&gt;"",'DLL Schedule'!Total_Pay-'DLL Schedule'!Int,"")</f>
        <v/>
      </c>
      <c r="H86" s="525" t="str">
        <f>IF('DLL Schedule'!Pay_Num&lt;&gt;"",'DLL Schedule'!Beg_Bal*'DLL Schedule'!Interest_Rate/'DLL Schedule'!Num_Pmt_Per_Year,"")</f>
        <v/>
      </c>
      <c r="I86" s="525" t="str">
        <f>IF('DLL Schedule'!Pay_Num&lt;&gt;"",IF('DLL Schedule'!Sched_Pay+'DLL Schedule'!Extra_Pay&lt;'DLL Schedule'!Beg_Bal,'DLL Schedule'!Beg_Bal-'DLL Schedule'!Princ,0),"")</f>
        <v/>
      </c>
      <c r="J86" s="525">
        <f>SUM($H$18:$H86)</f>
        <v>257912.99524975716</v>
      </c>
      <c r="K86" s="499"/>
    </row>
    <row r="87" spans="1:11" ht="12.75" customHeight="1">
      <c r="A87" s="523" t="str">
        <f>IF(AND('DLL Schedule'!Values_Entered=1,A86&lt;&gt;"",I86&gt;0),A86+1,"")</f>
        <v/>
      </c>
      <c r="B87" s="524" t="str">
        <f>IF('DLL Schedule'!Pay_Num&lt;&gt;"",DATE(YEAR('DLL Schedule'!Loan_Start),MONTH('DLL Schedule'!Loan_Start)+('DLL Schedule'!Pay_Num)*12/'DLL Schedule'!Num_Pmt_Per_Year,DAY('DLL Schedule'!Loan_Start)),"")</f>
        <v/>
      </c>
      <c r="C87" s="525" t="str">
        <f>IF('DLL Schedule'!Pay_Num&lt;&gt;"",I86,"")</f>
        <v/>
      </c>
      <c r="D87" s="525" t="str">
        <f>IF('DLL Schedule'!Pay_Num&lt;&gt;"",'DLL Schedule'!Scheduled_Monthly_Payment,"")</f>
        <v/>
      </c>
      <c r="E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7" s="525" t="str">
        <f>IF('DLL Schedule'!Pay_Num&lt;&gt;"",IF('DLL Schedule'!Sched_Pay+'DLL Schedule'!Extra_Pay&lt;'DLL Schedule'!Beg_Bal,'DLL Schedule'!Sched_Pay+'DLL Schedule'!Extra_Pay,'DLL Schedule'!Beg_Bal),"")</f>
        <v/>
      </c>
      <c r="G87" s="525" t="str">
        <f>IF('DLL Schedule'!Pay_Num&lt;&gt;"",'DLL Schedule'!Total_Pay-'DLL Schedule'!Int,"")</f>
        <v/>
      </c>
      <c r="H87" s="525" t="str">
        <f>IF('DLL Schedule'!Pay_Num&lt;&gt;"",'DLL Schedule'!Beg_Bal*'DLL Schedule'!Interest_Rate/'DLL Schedule'!Num_Pmt_Per_Year,"")</f>
        <v/>
      </c>
      <c r="I87" s="525" t="str">
        <f>IF('DLL Schedule'!Pay_Num&lt;&gt;"",IF('DLL Schedule'!Sched_Pay+'DLL Schedule'!Extra_Pay&lt;'DLL Schedule'!Beg_Bal,'DLL Schedule'!Beg_Bal-'DLL Schedule'!Princ,0),"")</f>
        <v/>
      </c>
      <c r="J87" s="525">
        <f>SUM($H$18:$H87)</f>
        <v>257912.99524975716</v>
      </c>
      <c r="K87" s="499"/>
    </row>
    <row r="88" spans="1:11" ht="12.75" customHeight="1">
      <c r="A88" s="523" t="str">
        <f>IF(AND('DLL Schedule'!Values_Entered=1,A87&lt;&gt;"",I87&gt;0),A87+1,"")</f>
        <v/>
      </c>
      <c r="B88" s="524" t="str">
        <f>IF('DLL Schedule'!Pay_Num&lt;&gt;"",DATE(YEAR('DLL Schedule'!Loan_Start),MONTH('DLL Schedule'!Loan_Start)+('DLL Schedule'!Pay_Num)*12/'DLL Schedule'!Num_Pmt_Per_Year,DAY('DLL Schedule'!Loan_Start)),"")</f>
        <v/>
      </c>
      <c r="C88" s="525" t="str">
        <f>IF('DLL Schedule'!Pay_Num&lt;&gt;"",I87,"")</f>
        <v/>
      </c>
      <c r="D88" s="525" t="str">
        <f>IF('DLL Schedule'!Pay_Num&lt;&gt;"",'DLL Schedule'!Scheduled_Monthly_Payment,"")</f>
        <v/>
      </c>
      <c r="E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8" s="525" t="str">
        <f>IF('DLL Schedule'!Pay_Num&lt;&gt;"",IF('DLL Schedule'!Sched_Pay+'DLL Schedule'!Extra_Pay&lt;'DLL Schedule'!Beg_Bal,'DLL Schedule'!Sched_Pay+'DLL Schedule'!Extra_Pay,'DLL Schedule'!Beg_Bal),"")</f>
        <v/>
      </c>
      <c r="G88" s="525" t="str">
        <f>IF('DLL Schedule'!Pay_Num&lt;&gt;"",'DLL Schedule'!Total_Pay-'DLL Schedule'!Int,"")</f>
        <v/>
      </c>
      <c r="H88" s="525" t="str">
        <f>IF('DLL Schedule'!Pay_Num&lt;&gt;"",'DLL Schedule'!Beg_Bal*'DLL Schedule'!Interest_Rate/'DLL Schedule'!Num_Pmt_Per_Year,"")</f>
        <v/>
      </c>
      <c r="I88" s="525" t="str">
        <f>IF('DLL Schedule'!Pay_Num&lt;&gt;"",IF('DLL Schedule'!Sched_Pay+'DLL Schedule'!Extra_Pay&lt;'DLL Schedule'!Beg_Bal,'DLL Schedule'!Beg_Bal-'DLL Schedule'!Princ,0),"")</f>
        <v/>
      </c>
      <c r="J88" s="525">
        <f>SUM($H$18:$H88)</f>
        <v>257912.99524975716</v>
      </c>
      <c r="K88" s="499"/>
    </row>
    <row r="89" spans="1:11" ht="12.75" customHeight="1">
      <c r="A89" s="523" t="str">
        <f>IF(AND('DLL Schedule'!Values_Entered=1,A88&lt;&gt;"",I88&gt;0),A88+1,"")</f>
        <v/>
      </c>
      <c r="B89" s="524" t="str">
        <f>IF('DLL Schedule'!Pay_Num&lt;&gt;"",DATE(YEAR('DLL Schedule'!Loan_Start),MONTH('DLL Schedule'!Loan_Start)+('DLL Schedule'!Pay_Num)*12/'DLL Schedule'!Num_Pmt_Per_Year,DAY('DLL Schedule'!Loan_Start)),"")</f>
        <v/>
      </c>
      <c r="C89" s="525" t="str">
        <f>IF('DLL Schedule'!Pay_Num&lt;&gt;"",I88,"")</f>
        <v/>
      </c>
      <c r="D89" s="525" t="str">
        <f>IF('DLL Schedule'!Pay_Num&lt;&gt;"",'DLL Schedule'!Scheduled_Monthly_Payment,"")</f>
        <v/>
      </c>
      <c r="E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9" s="525" t="str">
        <f>IF('DLL Schedule'!Pay_Num&lt;&gt;"",IF('DLL Schedule'!Sched_Pay+'DLL Schedule'!Extra_Pay&lt;'DLL Schedule'!Beg_Bal,'DLL Schedule'!Sched_Pay+'DLL Schedule'!Extra_Pay,'DLL Schedule'!Beg_Bal),"")</f>
        <v/>
      </c>
      <c r="G89" s="525" t="str">
        <f>IF('DLL Schedule'!Pay_Num&lt;&gt;"",'DLL Schedule'!Total_Pay-'DLL Schedule'!Int,"")</f>
        <v/>
      </c>
      <c r="H89" s="525" t="str">
        <f>IF('DLL Schedule'!Pay_Num&lt;&gt;"",'DLL Schedule'!Beg_Bal*'DLL Schedule'!Interest_Rate/'DLL Schedule'!Num_Pmt_Per_Year,"")</f>
        <v/>
      </c>
      <c r="I89" s="525" t="str">
        <f>IF('DLL Schedule'!Pay_Num&lt;&gt;"",IF('DLL Schedule'!Sched_Pay+'DLL Schedule'!Extra_Pay&lt;'DLL Schedule'!Beg_Bal,'DLL Schedule'!Beg_Bal-'DLL Schedule'!Princ,0),"")</f>
        <v/>
      </c>
      <c r="J89" s="525">
        <f>SUM($H$18:$H89)</f>
        <v>257912.99524975716</v>
      </c>
      <c r="K89" s="499"/>
    </row>
    <row r="90" spans="1:11" ht="12.75" customHeight="1">
      <c r="A90" s="523" t="str">
        <f>IF(AND('DLL Schedule'!Values_Entered=1,A89&lt;&gt;"",I89&gt;0),A89+1,"")</f>
        <v/>
      </c>
      <c r="B90" s="524" t="str">
        <f>IF('DLL Schedule'!Pay_Num&lt;&gt;"",DATE(YEAR('DLL Schedule'!Loan_Start),MONTH('DLL Schedule'!Loan_Start)+('DLL Schedule'!Pay_Num)*12/'DLL Schedule'!Num_Pmt_Per_Year,DAY('DLL Schedule'!Loan_Start)),"")</f>
        <v/>
      </c>
      <c r="C90" s="525" t="str">
        <f>IF('DLL Schedule'!Pay_Num&lt;&gt;"",I89,"")</f>
        <v/>
      </c>
      <c r="D90" s="525" t="str">
        <f>IF('DLL Schedule'!Pay_Num&lt;&gt;"",'DLL Schedule'!Scheduled_Monthly_Payment,"")</f>
        <v/>
      </c>
      <c r="E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0" s="525" t="str">
        <f>IF('DLL Schedule'!Pay_Num&lt;&gt;"",IF('DLL Schedule'!Sched_Pay+'DLL Schedule'!Extra_Pay&lt;'DLL Schedule'!Beg_Bal,'DLL Schedule'!Sched_Pay+'DLL Schedule'!Extra_Pay,'DLL Schedule'!Beg_Bal),"")</f>
        <v/>
      </c>
      <c r="G90" s="525" t="str">
        <f>IF('DLL Schedule'!Pay_Num&lt;&gt;"",'DLL Schedule'!Total_Pay-'DLL Schedule'!Int,"")</f>
        <v/>
      </c>
      <c r="H90" s="525" t="str">
        <f>IF('DLL Schedule'!Pay_Num&lt;&gt;"",'DLL Schedule'!Beg_Bal*'DLL Schedule'!Interest_Rate/'DLL Schedule'!Num_Pmt_Per_Year,"")</f>
        <v/>
      </c>
      <c r="I90" s="525" t="str">
        <f>IF('DLL Schedule'!Pay_Num&lt;&gt;"",IF('DLL Schedule'!Sched_Pay+'DLL Schedule'!Extra_Pay&lt;'DLL Schedule'!Beg_Bal,'DLL Schedule'!Beg_Bal-'DLL Schedule'!Princ,0),"")</f>
        <v/>
      </c>
      <c r="J90" s="525">
        <f>SUM($H$18:$H90)</f>
        <v>257912.99524975716</v>
      </c>
      <c r="K90" s="499"/>
    </row>
    <row r="91" spans="1:11" ht="12.75" customHeight="1">
      <c r="A91" s="523" t="str">
        <f>IF(AND('DLL Schedule'!Values_Entered=1,A90&lt;&gt;"",I90&gt;0),A90+1,"")</f>
        <v/>
      </c>
      <c r="B91" s="524" t="str">
        <f>IF('DLL Schedule'!Pay_Num&lt;&gt;"",DATE(YEAR('DLL Schedule'!Loan_Start),MONTH('DLL Schedule'!Loan_Start)+('DLL Schedule'!Pay_Num)*12/'DLL Schedule'!Num_Pmt_Per_Year,DAY('DLL Schedule'!Loan_Start)),"")</f>
        <v/>
      </c>
      <c r="C91" s="525" t="str">
        <f>IF('DLL Schedule'!Pay_Num&lt;&gt;"",I90,"")</f>
        <v/>
      </c>
      <c r="D91" s="525" t="str">
        <f>IF('DLL Schedule'!Pay_Num&lt;&gt;"",'DLL Schedule'!Scheduled_Monthly_Payment,"")</f>
        <v/>
      </c>
      <c r="E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1" s="525" t="str">
        <f>IF('DLL Schedule'!Pay_Num&lt;&gt;"",IF('DLL Schedule'!Sched_Pay+'DLL Schedule'!Extra_Pay&lt;'DLL Schedule'!Beg_Bal,'DLL Schedule'!Sched_Pay+'DLL Schedule'!Extra_Pay,'DLL Schedule'!Beg_Bal),"")</f>
        <v/>
      </c>
      <c r="G91" s="525" t="str">
        <f>IF('DLL Schedule'!Pay_Num&lt;&gt;"",'DLL Schedule'!Total_Pay-'DLL Schedule'!Int,"")</f>
        <v/>
      </c>
      <c r="H91" s="525" t="str">
        <f>IF('DLL Schedule'!Pay_Num&lt;&gt;"",'DLL Schedule'!Beg_Bal*'DLL Schedule'!Interest_Rate/'DLL Schedule'!Num_Pmt_Per_Year,"")</f>
        <v/>
      </c>
      <c r="I91" s="525" t="str">
        <f>IF('DLL Schedule'!Pay_Num&lt;&gt;"",IF('DLL Schedule'!Sched_Pay+'DLL Schedule'!Extra_Pay&lt;'DLL Schedule'!Beg_Bal,'DLL Schedule'!Beg_Bal-'DLL Schedule'!Princ,0),"")</f>
        <v/>
      </c>
      <c r="J91" s="525">
        <f>SUM($H$18:$H91)</f>
        <v>257912.99524975716</v>
      </c>
      <c r="K91" s="499"/>
    </row>
    <row r="92" spans="1:11" ht="12.75" customHeight="1">
      <c r="A92" s="523" t="str">
        <f>IF(AND('DLL Schedule'!Values_Entered=1,A91&lt;&gt;"",I91&gt;0),A91+1,"")</f>
        <v/>
      </c>
      <c r="B92" s="524" t="str">
        <f>IF('DLL Schedule'!Pay_Num&lt;&gt;"",DATE(YEAR('DLL Schedule'!Loan_Start),MONTH('DLL Schedule'!Loan_Start)+('DLL Schedule'!Pay_Num)*12/'DLL Schedule'!Num_Pmt_Per_Year,DAY('DLL Schedule'!Loan_Start)),"")</f>
        <v/>
      </c>
      <c r="C92" s="525" t="str">
        <f>IF('DLL Schedule'!Pay_Num&lt;&gt;"",I91,"")</f>
        <v/>
      </c>
      <c r="D92" s="525" t="str">
        <f>IF('DLL Schedule'!Pay_Num&lt;&gt;"",'DLL Schedule'!Scheduled_Monthly_Payment,"")</f>
        <v/>
      </c>
      <c r="E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2" s="525" t="str">
        <f>IF('DLL Schedule'!Pay_Num&lt;&gt;"",IF('DLL Schedule'!Sched_Pay+'DLL Schedule'!Extra_Pay&lt;'DLL Schedule'!Beg_Bal,'DLL Schedule'!Sched_Pay+'DLL Schedule'!Extra_Pay,'DLL Schedule'!Beg_Bal),"")</f>
        <v/>
      </c>
      <c r="G92" s="525" t="str">
        <f>IF('DLL Schedule'!Pay_Num&lt;&gt;"",'DLL Schedule'!Total_Pay-'DLL Schedule'!Int,"")</f>
        <v/>
      </c>
      <c r="H92" s="525" t="str">
        <f>IF('DLL Schedule'!Pay_Num&lt;&gt;"",'DLL Schedule'!Beg_Bal*'DLL Schedule'!Interest_Rate/'DLL Schedule'!Num_Pmt_Per_Year,"")</f>
        <v/>
      </c>
      <c r="I92" s="525" t="str">
        <f>IF('DLL Schedule'!Pay_Num&lt;&gt;"",IF('DLL Schedule'!Sched_Pay+'DLL Schedule'!Extra_Pay&lt;'DLL Schedule'!Beg_Bal,'DLL Schedule'!Beg_Bal-'DLL Schedule'!Princ,0),"")</f>
        <v/>
      </c>
      <c r="J92" s="525">
        <f>SUM($H$18:$H92)</f>
        <v>257912.99524975716</v>
      </c>
      <c r="K92" s="499"/>
    </row>
    <row r="93" spans="1:11" ht="12.75" customHeight="1">
      <c r="A93" s="523" t="str">
        <f>IF(AND('DLL Schedule'!Values_Entered=1,A92&lt;&gt;"",I92&gt;0),A92+1,"")</f>
        <v/>
      </c>
      <c r="B93" s="524" t="str">
        <f>IF('DLL Schedule'!Pay_Num&lt;&gt;"",DATE(YEAR('DLL Schedule'!Loan_Start),MONTH('DLL Schedule'!Loan_Start)+('DLL Schedule'!Pay_Num)*12/'DLL Schedule'!Num_Pmt_Per_Year,DAY('DLL Schedule'!Loan_Start)),"")</f>
        <v/>
      </c>
      <c r="C93" s="525" t="str">
        <f>IF('DLL Schedule'!Pay_Num&lt;&gt;"",I92,"")</f>
        <v/>
      </c>
      <c r="D93" s="525" t="str">
        <f>IF('DLL Schedule'!Pay_Num&lt;&gt;"",'DLL Schedule'!Scheduled_Monthly_Payment,"")</f>
        <v/>
      </c>
      <c r="E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3" s="525" t="str">
        <f>IF('DLL Schedule'!Pay_Num&lt;&gt;"",IF('DLL Schedule'!Sched_Pay+'DLL Schedule'!Extra_Pay&lt;'DLL Schedule'!Beg_Bal,'DLL Schedule'!Sched_Pay+'DLL Schedule'!Extra_Pay,'DLL Schedule'!Beg_Bal),"")</f>
        <v/>
      </c>
      <c r="G93" s="525" t="str">
        <f>IF('DLL Schedule'!Pay_Num&lt;&gt;"",'DLL Schedule'!Total_Pay-'DLL Schedule'!Int,"")</f>
        <v/>
      </c>
      <c r="H93" s="525" t="str">
        <f>IF('DLL Schedule'!Pay_Num&lt;&gt;"",'DLL Schedule'!Beg_Bal*'DLL Schedule'!Interest_Rate/'DLL Schedule'!Num_Pmt_Per_Year,"")</f>
        <v/>
      </c>
      <c r="I93" s="525" t="str">
        <f>IF('DLL Schedule'!Pay_Num&lt;&gt;"",IF('DLL Schedule'!Sched_Pay+'DLL Schedule'!Extra_Pay&lt;'DLL Schedule'!Beg_Bal,'DLL Schedule'!Beg_Bal-'DLL Schedule'!Princ,0),"")</f>
        <v/>
      </c>
      <c r="J93" s="525">
        <f>SUM($H$18:$H93)</f>
        <v>257912.99524975716</v>
      </c>
      <c r="K93" s="499"/>
    </row>
    <row r="94" spans="1:11" ht="12.75" customHeight="1">
      <c r="A94" s="523" t="str">
        <f>IF(AND('DLL Schedule'!Values_Entered=1,A93&lt;&gt;"",I93&gt;0),A93+1,"")</f>
        <v/>
      </c>
      <c r="B94" s="524" t="str">
        <f>IF('DLL Schedule'!Pay_Num&lt;&gt;"",DATE(YEAR('DLL Schedule'!Loan_Start),MONTH('DLL Schedule'!Loan_Start)+('DLL Schedule'!Pay_Num)*12/'DLL Schedule'!Num_Pmt_Per_Year,DAY('DLL Schedule'!Loan_Start)),"")</f>
        <v/>
      </c>
      <c r="C94" s="525" t="str">
        <f>IF('DLL Schedule'!Pay_Num&lt;&gt;"",I93,"")</f>
        <v/>
      </c>
      <c r="D94" s="525" t="str">
        <f>IF('DLL Schedule'!Pay_Num&lt;&gt;"",'DLL Schedule'!Scheduled_Monthly_Payment,"")</f>
        <v/>
      </c>
      <c r="E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4" s="525" t="str">
        <f>IF('DLL Schedule'!Pay_Num&lt;&gt;"",IF('DLL Schedule'!Sched_Pay+'DLL Schedule'!Extra_Pay&lt;'DLL Schedule'!Beg_Bal,'DLL Schedule'!Sched_Pay+'DLL Schedule'!Extra_Pay,'DLL Schedule'!Beg_Bal),"")</f>
        <v/>
      </c>
      <c r="G94" s="525" t="str">
        <f>IF('DLL Schedule'!Pay_Num&lt;&gt;"",'DLL Schedule'!Total_Pay-'DLL Schedule'!Int,"")</f>
        <v/>
      </c>
      <c r="H94" s="525" t="str">
        <f>IF('DLL Schedule'!Pay_Num&lt;&gt;"",'DLL Schedule'!Beg_Bal*'DLL Schedule'!Interest_Rate/'DLL Schedule'!Num_Pmt_Per_Year,"")</f>
        <v/>
      </c>
      <c r="I94" s="525" t="str">
        <f>IF('DLL Schedule'!Pay_Num&lt;&gt;"",IF('DLL Schedule'!Sched_Pay+'DLL Schedule'!Extra_Pay&lt;'DLL Schedule'!Beg_Bal,'DLL Schedule'!Beg_Bal-'DLL Schedule'!Princ,0),"")</f>
        <v/>
      </c>
      <c r="J94" s="525">
        <f>SUM($H$18:$H94)</f>
        <v>257912.99524975716</v>
      </c>
      <c r="K94" s="499"/>
    </row>
    <row r="95" spans="1:11" ht="12.75" customHeight="1">
      <c r="A95" s="523" t="str">
        <f>IF(AND('DLL Schedule'!Values_Entered=1,A94&lt;&gt;"",I94&gt;0),A94+1,"")</f>
        <v/>
      </c>
      <c r="B95" s="524" t="str">
        <f>IF('DLL Schedule'!Pay_Num&lt;&gt;"",DATE(YEAR('DLL Schedule'!Loan_Start),MONTH('DLL Schedule'!Loan_Start)+('DLL Schedule'!Pay_Num)*12/'DLL Schedule'!Num_Pmt_Per_Year,DAY('DLL Schedule'!Loan_Start)),"")</f>
        <v/>
      </c>
      <c r="C95" s="525" t="str">
        <f>IF('DLL Schedule'!Pay_Num&lt;&gt;"",I94,"")</f>
        <v/>
      </c>
      <c r="D95" s="525" t="str">
        <f>IF('DLL Schedule'!Pay_Num&lt;&gt;"",'DLL Schedule'!Scheduled_Monthly_Payment,"")</f>
        <v/>
      </c>
      <c r="E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5" s="525" t="str">
        <f>IF('DLL Schedule'!Pay_Num&lt;&gt;"",IF('DLL Schedule'!Sched_Pay+'DLL Schedule'!Extra_Pay&lt;'DLL Schedule'!Beg_Bal,'DLL Schedule'!Sched_Pay+'DLL Schedule'!Extra_Pay,'DLL Schedule'!Beg_Bal),"")</f>
        <v/>
      </c>
      <c r="G95" s="525" t="str">
        <f>IF('DLL Schedule'!Pay_Num&lt;&gt;"",'DLL Schedule'!Total_Pay-'DLL Schedule'!Int,"")</f>
        <v/>
      </c>
      <c r="H95" s="525" t="str">
        <f>IF('DLL Schedule'!Pay_Num&lt;&gt;"",'DLL Schedule'!Beg_Bal*'DLL Schedule'!Interest_Rate/'DLL Schedule'!Num_Pmt_Per_Year,"")</f>
        <v/>
      </c>
      <c r="I95" s="525" t="str">
        <f>IF('DLL Schedule'!Pay_Num&lt;&gt;"",IF('DLL Schedule'!Sched_Pay+'DLL Schedule'!Extra_Pay&lt;'DLL Schedule'!Beg_Bal,'DLL Schedule'!Beg_Bal-'DLL Schedule'!Princ,0),"")</f>
        <v/>
      </c>
      <c r="J95" s="525">
        <f>SUM($H$18:$H95)</f>
        <v>257912.99524975716</v>
      </c>
      <c r="K95" s="499"/>
    </row>
    <row r="96" spans="1:11" ht="12.75" customHeight="1">
      <c r="A96" s="523" t="str">
        <f>IF(AND('DLL Schedule'!Values_Entered=1,A95&lt;&gt;"",I95&gt;0),A95+1,"")</f>
        <v/>
      </c>
      <c r="B96" s="524" t="str">
        <f>IF('DLL Schedule'!Pay_Num&lt;&gt;"",DATE(YEAR('DLL Schedule'!Loan_Start),MONTH('DLL Schedule'!Loan_Start)+('DLL Schedule'!Pay_Num)*12/'DLL Schedule'!Num_Pmt_Per_Year,DAY('DLL Schedule'!Loan_Start)),"")</f>
        <v/>
      </c>
      <c r="C96" s="525" t="str">
        <f>IF('DLL Schedule'!Pay_Num&lt;&gt;"",I95,"")</f>
        <v/>
      </c>
      <c r="D96" s="525" t="str">
        <f>IF('DLL Schedule'!Pay_Num&lt;&gt;"",'DLL Schedule'!Scheduled_Monthly_Payment,"")</f>
        <v/>
      </c>
      <c r="E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6" s="525" t="str">
        <f>IF('DLL Schedule'!Pay_Num&lt;&gt;"",IF('DLL Schedule'!Sched_Pay+'DLL Schedule'!Extra_Pay&lt;'DLL Schedule'!Beg_Bal,'DLL Schedule'!Sched_Pay+'DLL Schedule'!Extra_Pay,'DLL Schedule'!Beg_Bal),"")</f>
        <v/>
      </c>
      <c r="G96" s="525" t="str">
        <f>IF('DLL Schedule'!Pay_Num&lt;&gt;"",'DLL Schedule'!Total_Pay-'DLL Schedule'!Int,"")</f>
        <v/>
      </c>
      <c r="H96" s="525" t="str">
        <f>IF('DLL Schedule'!Pay_Num&lt;&gt;"",'DLL Schedule'!Beg_Bal*'DLL Schedule'!Interest_Rate/'DLL Schedule'!Num_Pmt_Per_Year,"")</f>
        <v/>
      </c>
      <c r="I96" s="525" t="str">
        <f>IF('DLL Schedule'!Pay_Num&lt;&gt;"",IF('DLL Schedule'!Sched_Pay+'DLL Schedule'!Extra_Pay&lt;'DLL Schedule'!Beg_Bal,'DLL Schedule'!Beg_Bal-'DLL Schedule'!Princ,0),"")</f>
        <v/>
      </c>
      <c r="J96" s="525">
        <f>SUM($H$18:$H96)</f>
        <v>257912.99524975716</v>
      </c>
      <c r="K96" s="499"/>
    </row>
    <row r="97" spans="1:11" ht="12.75" customHeight="1">
      <c r="A97" s="523" t="str">
        <f>IF(AND('DLL Schedule'!Values_Entered=1,A96&lt;&gt;"",I96&gt;0),A96+1,"")</f>
        <v/>
      </c>
      <c r="B97" s="524" t="str">
        <f>IF('DLL Schedule'!Pay_Num&lt;&gt;"",DATE(YEAR('DLL Schedule'!Loan_Start),MONTH('DLL Schedule'!Loan_Start)+('DLL Schedule'!Pay_Num)*12/'DLL Schedule'!Num_Pmt_Per_Year,DAY('DLL Schedule'!Loan_Start)),"")</f>
        <v/>
      </c>
      <c r="C97" s="525" t="str">
        <f>IF('DLL Schedule'!Pay_Num&lt;&gt;"",I96,"")</f>
        <v/>
      </c>
      <c r="D97" s="525" t="str">
        <f>IF('DLL Schedule'!Pay_Num&lt;&gt;"",'DLL Schedule'!Scheduled_Monthly_Payment,"")</f>
        <v/>
      </c>
      <c r="E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7" s="525" t="str">
        <f>IF('DLL Schedule'!Pay_Num&lt;&gt;"",IF('DLL Schedule'!Sched_Pay+'DLL Schedule'!Extra_Pay&lt;'DLL Schedule'!Beg_Bal,'DLL Schedule'!Sched_Pay+'DLL Schedule'!Extra_Pay,'DLL Schedule'!Beg_Bal),"")</f>
        <v/>
      </c>
      <c r="G97" s="525" t="str">
        <f>IF('DLL Schedule'!Pay_Num&lt;&gt;"",'DLL Schedule'!Total_Pay-'DLL Schedule'!Int,"")</f>
        <v/>
      </c>
      <c r="H97" s="525" t="str">
        <f>IF('DLL Schedule'!Pay_Num&lt;&gt;"",'DLL Schedule'!Beg_Bal*'DLL Schedule'!Interest_Rate/'DLL Schedule'!Num_Pmt_Per_Year,"")</f>
        <v/>
      </c>
      <c r="I97" s="525" t="str">
        <f>IF('DLL Schedule'!Pay_Num&lt;&gt;"",IF('DLL Schedule'!Sched_Pay+'DLL Schedule'!Extra_Pay&lt;'DLL Schedule'!Beg_Bal,'DLL Schedule'!Beg_Bal-'DLL Schedule'!Princ,0),"")</f>
        <v/>
      </c>
      <c r="J97" s="525">
        <f>SUM($H$18:$H97)</f>
        <v>257912.99524975716</v>
      </c>
      <c r="K97" s="499"/>
    </row>
    <row r="98" spans="1:11" ht="12.75" customHeight="1">
      <c r="A98" s="523" t="str">
        <f>IF(AND('DLL Schedule'!Values_Entered=1,A97&lt;&gt;"",I97&gt;0),A97+1,"")</f>
        <v/>
      </c>
      <c r="B98" s="524" t="str">
        <f>IF('DLL Schedule'!Pay_Num&lt;&gt;"",DATE(YEAR('DLL Schedule'!Loan_Start),MONTH('DLL Schedule'!Loan_Start)+('DLL Schedule'!Pay_Num)*12/'DLL Schedule'!Num_Pmt_Per_Year,DAY('DLL Schedule'!Loan_Start)),"")</f>
        <v/>
      </c>
      <c r="C98" s="525" t="str">
        <f>IF('DLL Schedule'!Pay_Num&lt;&gt;"",I97,"")</f>
        <v/>
      </c>
      <c r="D98" s="525" t="str">
        <f>IF('DLL Schedule'!Pay_Num&lt;&gt;"",'DLL Schedule'!Scheduled_Monthly_Payment,"")</f>
        <v/>
      </c>
      <c r="E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8" s="525" t="str">
        <f>IF('DLL Schedule'!Pay_Num&lt;&gt;"",IF('DLL Schedule'!Sched_Pay+'DLL Schedule'!Extra_Pay&lt;'DLL Schedule'!Beg_Bal,'DLL Schedule'!Sched_Pay+'DLL Schedule'!Extra_Pay,'DLL Schedule'!Beg_Bal),"")</f>
        <v/>
      </c>
      <c r="G98" s="525" t="str">
        <f>IF('DLL Schedule'!Pay_Num&lt;&gt;"",'DLL Schedule'!Total_Pay-'DLL Schedule'!Int,"")</f>
        <v/>
      </c>
      <c r="H98" s="525" t="str">
        <f>IF('DLL Schedule'!Pay_Num&lt;&gt;"",'DLL Schedule'!Beg_Bal*'DLL Schedule'!Interest_Rate/'DLL Schedule'!Num_Pmt_Per_Year,"")</f>
        <v/>
      </c>
      <c r="I98" s="525" t="str">
        <f>IF('DLL Schedule'!Pay_Num&lt;&gt;"",IF('DLL Schedule'!Sched_Pay+'DLL Schedule'!Extra_Pay&lt;'DLL Schedule'!Beg_Bal,'DLL Schedule'!Beg_Bal-'DLL Schedule'!Princ,0),"")</f>
        <v/>
      </c>
      <c r="J98" s="525">
        <f>SUM($H$18:$H98)</f>
        <v>257912.99524975716</v>
      </c>
      <c r="K98" s="499"/>
    </row>
    <row r="99" spans="1:11" ht="12.75" customHeight="1">
      <c r="A99" s="523" t="str">
        <f>IF(AND('DLL Schedule'!Values_Entered=1,A98&lt;&gt;"",I98&gt;0),A98+1,"")</f>
        <v/>
      </c>
      <c r="B99" s="524" t="str">
        <f>IF('DLL Schedule'!Pay_Num&lt;&gt;"",DATE(YEAR('DLL Schedule'!Loan_Start),MONTH('DLL Schedule'!Loan_Start)+('DLL Schedule'!Pay_Num)*12/'DLL Schedule'!Num_Pmt_Per_Year,DAY('DLL Schedule'!Loan_Start)),"")</f>
        <v/>
      </c>
      <c r="C99" s="525" t="str">
        <f>IF('DLL Schedule'!Pay_Num&lt;&gt;"",I98,"")</f>
        <v/>
      </c>
      <c r="D99" s="525" t="str">
        <f>IF('DLL Schedule'!Pay_Num&lt;&gt;"",'DLL Schedule'!Scheduled_Monthly_Payment,"")</f>
        <v/>
      </c>
      <c r="E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9" s="525" t="str">
        <f>IF('DLL Schedule'!Pay_Num&lt;&gt;"",IF('DLL Schedule'!Sched_Pay+'DLL Schedule'!Extra_Pay&lt;'DLL Schedule'!Beg_Bal,'DLL Schedule'!Sched_Pay+'DLL Schedule'!Extra_Pay,'DLL Schedule'!Beg_Bal),"")</f>
        <v/>
      </c>
      <c r="G99" s="525" t="str">
        <f>IF('DLL Schedule'!Pay_Num&lt;&gt;"",'DLL Schedule'!Total_Pay-'DLL Schedule'!Int,"")</f>
        <v/>
      </c>
      <c r="H99" s="525" t="str">
        <f>IF('DLL Schedule'!Pay_Num&lt;&gt;"",'DLL Schedule'!Beg_Bal*'DLL Schedule'!Interest_Rate/'DLL Schedule'!Num_Pmt_Per_Year,"")</f>
        <v/>
      </c>
      <c r="I99" s="525" t="str">
        <f>IF('DLL Schedule'!Pay_Num&lt;&gt;"",IF('DLL Schedule'!Sched_Pay+'DLL Schedule'!Extra_Pay&lt;'DLL Schedule'!Beg_Bal,'DLL Schedule'!Beg_Bal-'DLL Schedule'!Princ,0),"")</f>
        <v/>
      </c>
      <c r="J99" s="525">
        <f>SUM($H$18:$H99)</f>
        <v>257912.99524975716</v>
      </c>
      <c r="K99" s="499"/>
    </row>
    <row r="100" spans="1:11" ht="12.75" customHeight="1">
      <c r="A100" s="523" t="str">
        <f>IF(AND('DLL Schedule'!Values_Entered=1,A99&lt;&gt;"",I99&gt;0),A99+1,"")</f>
        <v/>
      </c>
      <c r="B100" s="524" t="str">
        <f>IF('DLL Schedule'!Pay_Num&lt;&gt;"",DATE(YEAR('DLL Schedule'!Loan_Start),MONTH('DLL Schedule'!Loan_Start)+('DLL Schedule'!Pay_Num)*12/'DLL Schedule'!Num_Pmt_Per_Year,DAY('DLL Schedule'!Loan_Start)),"")</f>
        <v/>
      </c>
      <c r="C100" s="525" t="str">
        <f>IF('DLL Schedule'!Pay_Num&lt;&gt;"",I99,"")</f>
        <v/>
      </c>
      <c r="D100" s="525" t="str">
        <f>IF('DLL Schedule'!Pay_Num&lt;&gt;"",'DLL Schedule'!Scheduled_Monthly_Payment,"")</f>
        <v/>
      </c>
      <c r="E1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0" s="525" t="str">
        <f>IF('DLL Schedule'!Pay_Num&lt;&gt;"",IF('DLL Schedule'!Sched_Pay+'DLL Schedule'!Extra_Pay&lt;'DLL Schedule'!Beg_Bal,'DLL Schedule'!Sched_Pay+'DLL Schedule'!Extra_Pay,'DLL Schedule'!Beg_Bal),"")</f>
        <v/>
      </c>
      <c r="G100" s="525" t="str">
        <f>IF('DLL Schedule'!Pay_Num&lt;&gt;"",'DLL Schedule'!Total_Pay-'DLL Schedule'!Int,"")</f>
        <v/>
      </c>
      <c r="H100" s="525" t="str">
        <f>IF('DLL Schedule'!Pay_Num&lt;&gt;"",'DLL Schedule'!Beg_Bal*'DLL Schedule'!Interest_Rate/'DLL Schedule'!Num_Pmt_Per_Year,"")</f>
        <v/>
      </c>
      <c r="I100" s="525" t="str">
        <f>IF('DLL Schedule'!Pay_Num&lt;&gt;"",IF('DLL Schedule'!Sched_Pay+'DLL Schedule'!Extra_Pay&lt;'DLL Schedule'!Beg_Bal,'DLL Schedule'!Beg_Bal-'DLL Schedule'!Princ,0),"")</f>
        <v/>
      </c>
      <c r="J100" s="525">
        <f>SUM($H$18:$H100)</f>
        <v>257912.99524975716</v>
      </c>
      <c r="K100" s="499"/>
    </row>
    <row r="101" spans="1:11" ht="12.75" customHeight="1">
      <c r="A101" s="523" t="str">
        <f>IF(AND('DLL Schedule'!Values_Entered=1,A100&lt;&gt;"",I100&gt;0),A100+1,"")</f>
        <v/>
      </c>
      <c r="B101" s="524" t="str">
        <f>IF('DLL Schedule'!Pay_Num&lt;&gt;"",DATE(YEAR('DLL Schedule'!Loan_Start),MONTH('DLL Schedule'!Loan_Start)+('DLL Schedule'!Pay_Num)*12/'DLL Schedule'!Num_Pmt_Per_Year,DAY('DLL Schedule'!Loan_Start)),"")</f>
        <v/>
      </c>
      <c r="C101" s="525" t="str">
        <f>IF('DLL Schedule'!Pay_Num&lt;&gt;"",I100,"")</f>
        <v/>
      </c>
      <c r="D101" s="525" t="str">
        <f>IF('DLL Schedule'!Pay_Num&lt;&gt;"",'DLL Schedule'!Scheduled_Monthly_Payment,"")</f>
        <v/>
      </c>
      <c r="E1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1" s="525" t="str">
        <f>IF('DLL Schedule'!Pay_Num&lt;&gt;"",IF('DLL Schedule'!Sched_Pay+'DLL Schedule'!Extra_Pay&lt;'DLL Schedule'!Beg_Bal,'DLL Schedule'!Sched_Pay+'DLL Schedule'!Extra_Pay,'DLL Schedule'!Beg_Bal),"")</f>
        <v/>
      </c>
      <c r="G101" s="525" t="str">
        <f>IF('DLL Schedule'!Pay_Num&lt;&gt;"",'DLL Schedule'!Total_Pay-'DLL Schedule'!Int,"")</f>
        <v/>
      </c>
      <c r="H101" s="525" t="str">
        <f>IF('DLL Schedule'!Pay_Num&lt;&gt;"",'DLL Schedule'!Beg_Bal*'DLL Schedule'!Interest_Rate/'DLL Schedule'!Num_Pmt_Per_Year,"")</f>
        <v/>
      </c>
      <c r="I101" s="525" t="str">
        <f>IF('DLL Schedule'!Pay_Num&lt;&gt;"",IF('DLL Schedule'!Sched_Pay+'DLL Schedule'!Extra_Pay&lt;'DLL Schedule'!Beg_Bal,'DLL Schedule'!Beg_Bal-'DLL Schedule'!Princ,0),"")</f>
        <v/>
      </c>
      <c r="J101" s="525">
        <f>SUM($H$18:$H101)</f>
        <v>257912.99524975716</v>
      </c>
      <c r="K101" s="499"/>
    </row>
    <row r="102" spans="1:11" ht="12.75" customHeight="1">
      <c r="A102" s="523" t="str">
        <f>IF(AND('DLL Schedule'!Values_Entered=1,A101&lt;&gt;"",I101&gt;0),A101+1,"")</f>
        <v/>
      </c>
      <c r="B102" s="524" t="str">
        <f>IF('DLL Schedule'!Pay_Num&lt;&gt;"",DATE(YEAR('DLL Schedule'!Loan_Start),MONTH('DLL Schedule'!Loan_Start)+('DLL Schedule'!Pay_Num)*12/'DLL Schedule'!Num_Pmt_Per_Year,DAY('DLL Schedule'!Loan_Start)),"")</f>
        <v/>
      </c>
      <c r="C102" s="525" t="str">
        <f>IF('DLL Schedule'!Pay_Num&lt;&gt;"",I101,"")</f>
        <v/>
      </c>
      <c r="D102" s="525" t="str">
        <f>IF('DLL Schedule'!Pay_Num&lt;&gt;"",'DLL Schedule'!Scheduled_Monthly_Payment,"")</f>
        <v/>
      </c>
      <c r="E1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2" s="525" t="str">
        <f>IF('DLL Schedule'!Pay_Num&lt;&gt;"",IF('DLL Schedule'!Sched_Pay+'DLL Schedule'!Extra_Pay&lt;'DLL Schedule'!Beg_Bal,'DLL Schedule'!Sched_Pay+'DLL Schedule'!Extra_Pay,'DLL Schedule'!Beg_Bal),"")</f>
        <v/>
      </c>
      <c r="G102" s="525" t="str">
        <f>IF('DLL Schedule'!Pay_Num&lt;&gt;"",'DLL Schedule'!Total_Pay-'DLL Schedule'!Int,"")</f>
        <v/>
      </c>
      <c r="H102" s="525" t="str">
        <f>IF('DLL Schedule'!Pay_Num&lt;&gt;"",'DLL Schedule'!Beg_Bal*'DLL Schedule'!Interest_Rate/'DLL Schedule'!Num_Pmt_Per_Year,"")</f>
        <v/>
      </c>
      <c r="I102" s="525" t="str">
        <f>IF('DLL Schedule'!Pay_Num&lt;&gt;"",IF('DLL Schedule'!Sched_Pay+'DLL Schedule'!Extra_Pay&lt;'DLL Schedule'!Beg_Bal,'DLL Schedule'!Beg_Bal-'DLL Schedule'!Princ,0),"")</f>
        <v/>
      </c>
      <c r="J102" s="525">
        <f>SUM($H$18:$H102)</f>
        <v>257912.99524975716</v>
      </c>
      <c r="K102" s="499"/>
    </row>
    <row r="103" spans="1:11" ht="12.75" customHeight="1">
      <c r="A103" s="523" t="str">
        <f>IF(AND('DLL Schedule'!Values_Entered=1,A102&lt;&gt;"",I102&gt;0),A102+1,"")</f>
        <v/>
      </c>
      <c r="B103" s="524" t="str">
        <f>IF('DLL Schedule'!Pay_Num&lt;&gt;"",DATE(YEAR('DLL Schedule'!Loan_Start),MONTH('DLL Schedule'!Loan_Start)+('DLL Schedule'!Pay_Num)*12/'DLL Schedule'!Num_Pmt_Per_Year,DAY('DLL Schedule'!Loan_Start)),"")</f>
        <v/>
      </c>
      <c r="C103" s="525" t="str">
        <f>IF('DLL Schedule'!Pay_Num&lt;&gt;"",I102,"")</f>
        <v/>
      </c>
      <c r="D103" s="525" t="str">
        <f>IF('DLL Schedule'!Pay_Num&lt;&gt;"",'DLL Schedule'!Scheduled_Monthly_Payment,"")</f>
        <v/>
      </c>
      <c r="E1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3" s="525" t="str">
        <f>IF('DLL Schedule'!Pay_Num&lt;&gt;"",IF('DLL Schedule'!Sched_Pay+'DLL Schedule'!Extra_Pay&lt;'DLL Schedule'!Beg_Bal,'DLL Schedule'!Sched_Pay+'DLL Schedule'!Extra_Pay,'DLL Schedule'!Beg_Bal),"")</f>
        <v/>
      </c>
      <c r="G103" s="525" t="str">
        <f>IF('DLL Schedule'!Pay_Num&lt;&gt;"",'DLL Schedule'!Total_Pay-'DLL Schedule'!Int,"")</f>
        <v/>
      </c>
      <c r="H103" s="525" t="str">
        <f>IF('DLL Schedule'!Pay_Num&lt;&gt;"",'DLL Schedule'!Beg_Bal*'DLL Schedule'!Interest_Rate/'DLL Schedule'!Num_Pmt_Per_Year,"")</f>
        <v/>
      </c>
      <c r="I103" s="525" t="str">
        <f>IF('DLL Schedule'!Pay_Num&lt;&gt;"",IF('DLL Schedule'!Sched_Pay+'DLL Schedule'!Extra_Pay&lt;'DLL Schedule'!Beg_Bal,'DLL Schedule'!Beg_Bal-'DLL Schedule'!Princ,0),"")</f>
        <v/>
      </c>
      <c r="J103" s="525">
        <f>SUM($H$18:$H103)</f>
        <v>257912.99524975716</v>
      </c>
      <c r="K103" s="499"/>
    </row>
    <row r="104" spans="1:11" ht="12.75" customHeight="1">
      <c r="A104" s="523" t="str">
        <f>IF(AND('DLL Schedule'!Values_Entered=1,A103&lt;&gt;"",I103&gt;0),A103+1,"")</f>
        <v/>
      </c>
      <c r="B104" s="524" t="str">
        <f>IF('DLL Schedule'!Pay_Num&lt;&gt;"",DATE(YEAR('DLL Schedule'!Loan_Start),MONTH('DLL Schedule'!Loan_Start)+('DLL Schedule'!Pay_Num)*12/'DLL Schedule'!Num_Pmt_Per_Year,DAY('DLL Schedule'!Loan_Start)),"")</f>
        <v/>
      </c>
      <c r="C104" s="525" t="str">
        <f>IF('DLL Schedule'!Pay_Num&lt;&gt;"",I103,"")</f>
        <v/>
      </c>
      <c r="D104" s="525" t="str">
        <f>IF('DLL Schedule'!Pay_Num&lt;&gt;"",'DLL Schedule'!Scheduled_Monthly_Payment,"")</f>
        <v/>
      </c>
      <c r="E1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4" s="525" t="str">
        <f>IF('DLL Schedule'!Pay_Num&lt;&gt;"",IF('DLL Schedule'!Sched_Pay+'DLL Schedule'!Extra_Pay&lt;'DLL Schedule'!Beg_Bal,'DLL Schedule'!Sched_Pay+'DLL Schedule'!Extra_Pay,'DLL Schedule'!Beg_Bal),"")</f>
        <v/>
      </c>
      <c r="G104" s="525" t="str">
        <f>IF('DLL Schedule'!Pay_Num&lt;&gt;"",'DLL Schedule'!Total_Pay-'DLL Schedule'!Int,"")</f>
        <v/>
      </c>
      <c r="H104" s="525" t="str">
        <f>IF('DLL Schedule'!Pay_Num&lt;&gt;"",'DLL Schedule'!Beg_Bal*'DLL Schedule'!Interest_Rate/'DLL Schedule'!Num_Pmt_Per_Year,"")</f>
        <v/>
      </c>
      <c r="I104" s="525" t="str">
        <f>IF('DLL Schedule'!Pay_Num&lt;&gt;"",IF('DLL Schedule'!Sched_Pay+'DLL Schedule'!Extra_Pay&lt;'DLL Schedule'!Beg_Bal,'DLL Schedule'!Beg_Bal-'DLL Schedule'!Princ,0),"")</f>
        <v/>
      </c>
      <c r="J104" s="525">
        <f>SUM($H$18:$H104)</f>
        <v>257912.99524975716</v>
      </c>
      <c r="K104" s="499"/>
    </row>
    <row r="105" spans="1:11" ht="12.75" customHeight="1">
      <c r="A105" s="523" t="str">
        <f>IF(AND('DLL Schedule'!Values_Entered=1,A104&lt;&gt;"",I104&gt;0),A104+1,"")</f>
        <v/>
      </c>
      <c r="B105" s="524" t="str">
        <f>IF('DLL Schedule'!Pay_Num&lt;&gt;"",DATE(YEAR('DLL Schedule'!Loan_Start),MONTH('DLL Schedule'!Loan_Start)+('DLL Schedule'!Pay_Num)*12/'DLL Schedule'!Num_Pmt_Per_Year,DAY('DLL Schedule'!Loan_Start)),"")</f>
        <v/>
      </c>
      <c r="C105" s="525" t="str">
        <f>IF('DLL Schedule'!Pay_Num&lt;&gt;"",I104,"")</f>
        <v/>
      </c>
      <c r="D105" s="525" t="str">
        <f>IF('DLL Schedule'!Pay_Num&lt;&gt;"",'DLL Schedule'!Scheduled_Monthly_Payment,"")</f>
        <v/>
      </c>
      <c r="E1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5" s="525" t="str">
        <f>IF('DLL Schedule'!Pay_Num&lt;&gt;"",IF('DLL Schedule'!Sched_Pay+'DLL Schedule'!Extra_Pay&lt;'DLL Schedule'!Beg_Bal,'DLL Schedule'!Sched_Pay+'DLL Schedule'!Extra_Pay,'DLL Schedule'!Beg_Bal),"")</f>
        <v/>
      </c>
      <c r="G105" s="525" t="str">
        <f>IF('DLL Schedule'!Pay_Num&lt;&gt;"",'DLL Schedule'!Total_Pay-'DLL Schedule'!Int,"")</f>
        <v/>
      </c>
      <c r="H105" s="525" t="str">
        <f>IF('DLL Schedule'!Pay_Num&lt;&gt;"",'DLL Schedule'!Beg_Bal*'DLL Schedule'!Interest_Rate/'DLL Schedule'!Num_Pmt_Per_Year,"")</f>
        <v/>
      </c>
      <c r="I105" s="525" t="str">
        <f>IF('DLL Schedule'!Pay_Num&lt;&gt;"",IF('DLL Schedule'!Sched_Pay+'DLL Schedule'!Extra_Pay&lt;'DLL Schedule'!Beg_Bal,'DLL Schedule'!Beg_Bal-'DLL Schedule'!Princ,0),"")</f>
        <v/>
      </c>
      <c r="J105" s="525">
        <f>SUM($H$18:$H105)</f>
        <v>257912.99524975716</v>
      </c>
      <c r="K105" s="499"/>
    </row>
    <row r="106" spans="1:11" ht="12.75" customHeight="1">
      <c r="A106" s="523" t="str">
        <f>IF(AND('DLL Schedule'!Values_Entered=1,A105&lt;&gt;"",I105&gt;0),A105+1,"")</f>
        <v/>
      </c>
      <c r="B106" s="524" t="str">
        <f>IF('DLL Schedule'!Pay_Num&lt;&gt;"",DATE(YEAR('DLL Schedule'!Loan_Start),MONTH('DLL Schedule'!Loan_Start)+('DLL Schedule'!Pay_Num)*12/'DLL Schedule'!Num_Pmt_Per_Year,DAY('DLL Schedule'!Loan_Start)),"")</f>
        <v/>
      </c>
      <c r="C106" s="525" t="str">
        <f>IF('DLL Schedule'!Pay_Num&lt;&gt;"",I105,"")</f>
        <v/>
      </c>
      <c r="D106" s="525" t="str">
        <f>IF('DLL Schedule'!Pay_Num&lt;&gt;"",'DLL Schedule'!Scheduled_Monthly_Payment,"")</f>
        <v/>
      </c>
      <c r="E1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6" s="525" t="str">
        <f>IF('DLL Schedule'!Pay_Num&lt;&gt;"",IF('DLL Schedule'!Sched_Pay+'DLL Schedule'!Extra_Pay&lt;'DLL Schedule'!Beg_Bal,'DLL Schedule'!Sched_Pay+'DLL Schedule'!Extra_Pay,'DLL Schedule'!Beg_Bal),"")</f>
        <v/>
      </c>
      <c r="G106" s="525" t="str">
        <f>IF('DLL Schedule'!Pay_Num&lt;&gt;"",'DLL Schedule'!Total_Pay-'DLL Schedule'!Int,"")</f>
        <v/>
      </c>
      <c r="H106" s="525" t="str">
        <f>IF('DLL Schedule'!Pay_Num&lt;&gt;"",'DLL Schedule'!Beg_Bal*'DLL Schedule'!Interest_Rate/'DLL Schedule'!Num_Pmt_Per_Year,"")</f>
        <v/>
      </c>
      <c r="I106" s="525" t="str">
        <f>IF('DLL Schedule'!Pay_Num&lt;&gt;"",IF('DLL Schedule'!Sched_Pay+'DLL Schedule'!Extra_Pay&lt;'DLL Schedule'!Beg_Bal,'DLL Schedule'!Beg_Bal-'DLL Schedule'!Princ,0),"")</f>
        <v/>
      </c>
      <c r="J106" s="525">
        <f>SUM($H$18:$H106)</f>
        <v>257912.99524975716</v>
      </c>
      <c r="K106" s="499"/>
    </row>
    <row r="107" spans="1:11" ht="12.75" customHeight="1">
      <c r="A107" s="523" t="str">
        <f>IF(AND('DLL Schedule'!Values_Entered=1,A106&lt;&gt;"",I106&gt;0),A106+1,"")</f>
        <v/>
      </c>
      <c r="B107" s="524" t="str">
        <f>IF('DLL Schedule'!Pay_Num&lt;&gt;"",DATE(YEAR('DLL Schedule'!Loan_Start),MONTH('DLL Schedule'!Loan_Start)+('DLL Schedule'!Pay_Num)*12/'DLL Schedule'!Num_Pmt_Per_Year,DAY('DLL Schedule'!Loan_Start)),"")</f>
        <v/>
      </c>
      <c r="C107" s="525" t="str">
        <f>IF('DLL Schedule'!Pay_Num&lt;&gt;"",I106,"")</f>
        <v/>
      </c>
      <c r="D107" s="525" t="str">
        <f>IF('DLL Schedule'!Pay_Num&lt;&gt;"",'DLL Schedule'!Scheduled_Monthly_Payment,"")</f>
        <v/>
      </c>
      <c r="E1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7" s="525" t="str">
        <f>IF('DLL Schedule'!Pay_Num&lt;&gt;"",IF('DLL Schedule'!Sched_Pay+'DLL Schedule'!Extra_Pay&lt;'DLL Schedule'!Beg_Bal,'DLL Schedule'!Sched_Pay+'DLL Schedule'!Extra_Pay,'DLL Schedule'!Beg_Bal),"")</f>
        <v/>
      </c>
      <c r="G107" s="525" t="str">
        <f>IF('DLL Schedule'!Pay_Num&lt;&gt;"",'DLL Schedule'!Total_Pay-'DLL Schedule'!Int,"")</f>
        <v/>
      </c>
      <c r="H107" s="525" t="str">
        <f>IF('DLL Schedule'!Pay_Num&lt;&gt;"",'DLL Schedule'!Beg_Bal*'DLL Schedule'!Interest_Rate/'DLL Schedule'!Num_Pmt_Per_Year,"")</f>
        <v/>
      </c>
      <c r="I107" s="525" t="str">
        <f>IF('DLL Schedule'!Pay_Num&lt;&gt;"",IF('DLL Schedule'!Sched_Pay+'DLL Schedule'!Extra_Pay&lt;'DLL Schedule'!Beg_Bal,'DLL Schedule'!Beg_Bal-'DLL Schedule'!Princ,0),"")</f>
        <v/>
      </c>
      <c r="J107" s="525">
        <f>SUM($H$18:$H107)</f>
        <v>257912.99524975716</v>
      </c>
      <c r="K107" s="499"/>
    </row>
    <row r="108" spans="1:11" ht="12.75" customHeight="1">
      <c r="A108" s="523" t="str">
        <f>IF(AND('DLL Schedule'!Values_Entered=1,A107&lt;&gt;"",I107&gt;0),A107+1,"")</f>
        <v/>
      </c>
      <c r="B108" s="524" t="str">
        <f>IF('DLL Schedule'!Pay_Num&lt;&gt;"",DATE(YEAR('DLL Schedule'!Loan_Start),MONTH('DLL Schedule'!Loan_Start)+('DLL Schedule'!Pay_Num)*12/'DLL Schedule'!Num_Pmt_Per_Year,DAY('DLL Schedule'!Loan_Start)),"")</f>
        <v/>
      </c>
      <c r="C108" s="525" t="str">
        <f>IF('DLL Schedule'!Pay_Num&lt;&gt;"",I107,"")</f>
        <v/>
      </c>
      <c r="D108" s="525" t="str">
        <f>IF('DLL Schedule'!Pay_Num&lt;&gt;"",'DLL Schedule'!Scheduled_Monthly_Payment,"")</f>
        <v/>
      </c>
      <c r="E1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8" s="525" t="str">
        <f>IF('DLL Schedule'!Pay_Num&lt;&gt;"",IF('DLL Schedule'!Sched_Pay+'DLL Schedule'!Extra_Pay&lt;'DLL Schedule'!Beg_Bal,'DLL Schedule'!Sched_Pay+'DLL Schedule'!Extra_Pay,'DLL Schedule'!Beg_Bal),"")</f>
        <v/>
      </c>
      <c r="G108" s="525" t="str">
        <f>IF('DLL Schedule'!Pay_Num&lt;&gt;"",'DLL Schedule'!Total_Pay-'DLL Schedule'!Int,"")</f>
        <v/>
      </c>
      <c r="H108" s="525" t="str">
        <f>IF('DLL Schedule'!Pay_Num&lt;&gt;"",'DLL Schedule'!Beg_Bal*'DLL Schedule'!Interest_Rate/'DLL Schedule'!Num_Pmt_Per_Year,"")</f>
        <v/>
      </c>
      <c r="I108" s="525" t="str">
        <f>IF('DLL Schedule'!Pay_Num&lt;&gt;"",IF('DLL Schedule'!Sched_Pay+'DLL Schedule'!Extra_Pay&lt;'DLL Schedule'!Beg_Bal,'DLL Schedule'!Beg_Bal-'DLL Schedule'!Princ,0),"")</f>
        <v/>
      </c>
      <c r="J108" s="525">
        <f>SUM($H$18:$H108)</f>
        <v>257912.99524975716</v>
      </c>
      <c r="K108" s="499"/>
    </row>
    <row r="109" spans="1:11" ht="12.75" customHeight="1">
      <c r="A109" s="523" t="str">
        <f>IF(AND('DLL Schedule'!Values_Entered=1,A108&lt;&gt;"",I108&gt;0),A108+1,"")</f>
        <v/>
      </c>
      <c r="B109" s="524" t="str">
        <f>IF('DLL Schedule'!Pay_Num&lt;&gt;"",DATE(YEAR('DLL Schedule'!Loan_Start),MONTH('DLL Schedule'!Loan_Start)+('DLL Schedule'!Pay_Num)*12/'DLL Schedule'!Num_Pmt_Per_Year,DAY('DLL Schedule'!Loan_Start)),"")</f>
        <v/>
      </c>
      <c r="C109" s="525" t="str">
        <f>IF('DLL Schedule'!Pay_Num&lt;&gt;"",I108,"")</f>
        <v/>
      </c>
      <c r="D109" s="525" t="str">
        <f>IF('DLL Schedule'!Pay_Num&lt;&gt;"",'DLL Schedule'!Scheduled_Monthly_Payment,"")</f>
        <v/>
      </c>
      <c r="E1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9" s="525" t="str">
        <f>IF('DLL Schedule'!Pay_Num&lt;&gt;"",IF('DLL Schedule'!Sched_Pay+'DLL Schedule'!Extra_Pay&lt;'DLL Schedule'!Beg_Bal,'DLL Schedule'!Sched_Pay+'DLL Schedule'!Extra_Pay,'DLL Schedule'!Beg_Bal),"")</f>
        <v/>
      </c>
      <c r="G109" s="525" t="str">
        <f>IF('DLL Schedule'!Pay_Num&lt;&gt;"",'DLL Schedule'!Total_Pay-'DLL Schedule'!Int,"")</f>
        <v/>
      </c>
      <c r="H109" s="525" t="str">
        <f>IF('DLL Schedule'!Pay_Num&lt;&gt;"",'DLL Schedule'!Beg_Bal*'DLL Schedule'!Interest_Rate/'DLL Schedule'!Num_Pmt_Per_Year,"")</f>
        <v/>
      </c>
      <c r="I109" s="525" t="str">
        <f>IF('DLL Schedule'!Pay_Num&lt;&gt;"",IF('DLL Schedule'!Sched_Pay+'DLL Schedule'!Extra_Pay&lt;'DLL Schedule'!Beg_Bal,'DLL Schedule'!Beg_Bal-'DLL Schedule'!Princ,0),"")</f>
        <v/>
      </c>
      <c r="J109" s="525">
        <f>SUM($H$18:$H109)</f>
        <v>257912.99524975716</v>
      </c>
      <c r="K109" s="499"/>
    </row>
    <row r="110" spans="1:11" ht="12.75" customHeight="1">
      <c r="A110" s="523" t="str">
        <f>IF(AND('DLL Schedule'!Values_Entered=1,A109&lt;&gt;"",I109&gt;0),A109+1,"")</f>
        <v/>
      </c>
      <c r="B110" s="524" t="str">
        <f>IF('DLL Schedule'!Pay_Num&lt;&gt;"",DATE(YEAR('DLL Schedule'!Loan_Start),MONTH('DLL Schedule'!Loan_Start)+('DLL Schedule'!Pay_Num)*12/'DLL Schedule'!Num_Pmt_Per_Year,DAY('DLL Schedule'!Loan_Start)),"")</f>
        <v/>
      </c>
      <c r="C110" s="525" t="str">
        <f>IF('DLL Schedule'!Pay_Num&lt;&gt;"",I109,"")</f>
        <v/>
      </c>
      <c r="D110" s="525" t="str">
        <f>IF('DLL Schedule'!Pay_Num&lt;&gt;"",'DLL Schedule'!Scheduled_Monthly_Payment,"")</f>
        <v/>
      </c>
      <c r="E1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0" s="525" t="str">
        <f>IF('DLL Schedule'!Pay_Num&lt;&gt;"",IF('DLL Schedule'!Sched_Pay+'DLL Schedule'!Extra_Pay&lt;'DLL Schedule'!Beg_Bal,'DLL Schedule'!Sched_Pay+'DLL Schedule'!Extra_Pay,'DLL Schedule'!Beg_Bal),"")</f>
        <v/>
      </c>
      <c r="G110" s="525" t="str">
        <f>IF('DLL Schedule'!Pay_Num&lt;&gt;"",'DLL Schedule'!Total_Pay-'DLL Schedule'!Int,"")</f>
        <v/>
      </c>
      <c r="H110" s="525" t="str">
        <f>IF('DLL Schedule'!Pay_Num&lt;&gt;"",'DLL Schedule'!Beg_Bal*'DLL Schedule'!Interest_Rate/'DLL Schedule'!Num_Pmt_Per_Year,"")</f>
        <v/>
      </c>
      <c r="I110" s="525" t="str">
        <f>IF('DLL Schedule'!Pay_Num&lt;&gt;"",IF('DLL Schedule'!Sched_Pay+'DLL Schedule'!Extra_Pay&lt;'DLL Schedule'!Beg_Bal,'DLL Schedule'!Beg_Bal-'DLL Schedule'!Princ,0),"")</f>
        <v/>
      </c>
      <c r="J110" s="525">
        <f>SUM($H$18:$H110)</f>
        <v>257912.99524975716</v>
      </c>
      <c r="K110" s="499"/>
    </row>
    <row r="111" spans="1:11" ht="12.75" customHeight="1">
      <c r="A111" s="523" t="str">
        <f>IF(AND('DLL Schedule'!Values_Entered=1,A110&lt;&gt;"",I110&gt;0),A110+1,"")</f>
        <v/>
      </c>
      <c r="B111" s="524" t="str">
        <f>IF('DLL Schedule'!Pay_Num&lt;&gt;"",DATE(YEAR('DLL Schedule'!Loan_Start),MONTH('DLL Schedule'!Loan_Start)+('DLL Schedule'!Pay_Num)*12/'DLL Schedule'!Num_Pmt_Per_Year,DAY('DLL Schedule'!Loan_Start)),"")</f>
        <v/>
      </c>
      <c r="C111" s="525" t="str">
        <f>IF('DLL Schedule'!Pay_Num&lt;&gt;"",I110,"")</f>
        <v/>
      </c>
      <c r="D111" s="525" t="str">
        <f>IF('DLL Schedule'!Pay_Num&lt;&gt;"",'DLL Schedule'!Scheduled_Monthly_Payment,"")</f>
        <v/>
      </c>
      <c r="E1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1" s="525" t="str">
        <f>IF('DLL Schedule'!Pay_Num&lt;&gt;"",IF('DLL Schedule'!Sched_Pay+'DLL Schedule'!Extra_Pay&lt;'DLL Schedule'!Beg_Bal,'DLL Schedule'!Sched_Pay+'DLL Schedule'!Extra_Pay,'DLL Schedule'!Beg_Bal),"")</f>
        <v/>
      </c>
      <c r="G111" s="525" t="str">
        <f>IF('DLL Schedule'!Pay_Num&lt;&gt;"",'DLL Schedule'!Total_Pay-'DLL Schedule'!Int,"")</f>
        <v/>
      </c>
      <c r="H111" s="525" t="str">
        <f>IF('DLL Schedule'!Pay_Num&lt;&gt;"",'DLL Schedule'!Beg_Bal*'DLL Schedule'!Interest_Rate/'DLL Schedule'!Num_Pmt_Per_Year,"")</f>
        <v/>
      </c>
      <c r="I111" s="525" t="str">
        <f>IF('DLL Schedule'!Pay_Num&lt;&gt;"",IF('DLL Schedule'!Sched_Pay+'DLL Schedule'!Extra_Pay&lt;'DLL Schedule'!Beg_Bal,'DLL Schedule'!Beg_Bal-'DLL Schedule'!Princ,0),"")</f>
        <v/>
      </c>
      <c r="J111" s="525">
        <f>SUM($H$18:$H111)</f>
        <v>257912.99524975716</v>
      </c>
      <c r="K111" s="499"/>
    </row>
    <row r="112" spans="1:11" ht="12.75" customHeight="1">
      <c r="A112" s="523" t="str">
        <f>IF(AND('DLL Schedule'!Values_Entered=1,A111&lt;&gt;"",I111&gt;0),A111+1,"")</f>
        <v/>
      </c>
      <c r="B112" s="524" t="str">
        <f>IF('DLL Schedule'!Pay_Num&lt;&gt;"",DATE(YEAR('DLL Schedule'!Loan_Start),MONTH('DLL Schedule'!Loan_Start)+('DLL Schedule'!Pay_Num)*12/'DLL Schedule'!Num_Pmt_Per_Year,DAY('DLL Schedule'!Loan_Start)),"")</f>
        <v/>
      </c>
      <c r="C112" s="525" t="str">
        <f>IF('DLL Schedule'!Pay_Num&lt;&gt;"",I111,"")</f>
        <v/>
      </c>
      <c r="D112" s="525" t="str">
        <f>IF('DLL Schedule'!Pay_Num&lt;&gt;"",'DLL Schedule'!Scheduled_Monthly_Payment,"")</f>
        <v/>
      </c>
      <c r="E1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2" s="525" t="str">
        <f>IF('DLL Schedule'!Pay_Num&lt;&gt;"",IF('DLL Schedule'!Sched_Pay+'DLL Schedule'!Extra_Pay&lt;'DLL Schedule'!Beg_Bal,'DLL Schedule'!Sched_Pay+'DLL Schedule'!Extra_Pay,'DLL Schedule'!Beg_Bal),"")</f>
        <v/>
      </c>
      <c r="G112" s="525" t="str">
        <f>IF('DLL Schedule'!Pay_Num&lt;&gt;"",'DLL Schedule'!Total_Pay-'DLL Schedule'!Int,"")</f>
        <v/>
      </c>
      <c r="H112" s="525" t="str">
        <f>IF('DLL Schedule'!Pay_Num&lt;&gt;"",'DLL Schedule'!Beg_Bal*'DLL Schedule'!Interest_Rate/'DLL Schedule'!Num_Pmt_Per_Year,"")</f>
        <v/>
      </c>
      <c r="I112" s="525" t="str">
        <f>IF('DLL Schedule'!Pay_Num&lt;&gt;"",IF('DLL Schedule'!Sched_Pay+'DLL Schedule'!Extra_Pay&lt;'DLL Schedule'!Beg_Bal,'DLL Schedule'!Beg_Bal-'DLL Schedule'!Princ,0),"")</f>
        <v/>
      </c>
      <c r="J112" s="525">
        <f>SUM($H$18:$H112)</f>
        <v>257912.99524975716</v>
      </c>
      <c r="K112" s="499"/>
    </row>
    <row r="113" spans="1:11" ht="12.75" customHeight="1">
      <c r="A113" s="523" t="str">
        <f>IF(AND('DLL Schedule'!Values_Entered=1,A112&lt;&gt;"",I112&gt;0),A112+1,"")</f>
        <v/>
      </c>
      <c r="B113" s="524" t="str">
        <f>IF('DLL Schedule'!Pay_Num&lt;&gt;"",DATE(YEAR('DLL Schedule'!Loan_Start),MONTH('DLL Schedule'!Loan_Start)+('DLL Schedule'!Pay_Num)*12/'DLL Schedule'!Num_Pmt_Per_Year,DAY('DLL Schedule'!Loan_Start)),"")</f>
        <v/>
      </c>
      <c r="C113" s="525" t="str">
        <f>IF('DLL Schedule'!Pay_Num&lt;&gt;"",I112,"")</f>
        <v/>
      </c>
      <c r="D113" s="525" t="str">
        <f>IF('DLL Schedule'!Pay_Num&lt;&gt;"",'DLL Schedule'!Scheduled_Monthly_Payment,"")</f>
        <v/>
      </c>
      <c r="E1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3" s="525" t="str">
        <f>IF('DLL Schedule'!Pay_Num&lt;&gt;"",IF('DLL Schedule'!Sched_Pay+'DLL Schedule'!Extra_Pay&lt;'DLL Schedule'!Beg_Bal,'DLL Schedule'!Sched_Pay+'DLL Schedule'!Extra_Pay,'DLL Schedule'!Beg_Bal),"")</f>
        <v/>
      </c>
      <c r="G113" s="525" t="str">
        <f>IF('DLL Schedule'!Pay_Num&lt;&gt;"",'DLL Schedule'!Total_Pay-'DLL Schedule'!Int,"")</f>
        <v/>
      </c>
      <c r="H113" s="525" t="str">
        <f>IF('DLL Schedule'!Pay_Num&lt;&gt;"",'DLL Schedule'!Beg_Bal*'DLL Schedule'!Interest_Rate/'DLL Schedule'!Num_Pmt_Per_Year,"")</f>
        <v/>
      </c>
      <c r="I113" s="525" t="str">
        <f>IF('DLL Schedule'!Pay_Num&lt;&gt;"",IF('DLL Schedule'!Sched_Pay+'DLL Schedule'!Extra_Pay&lt;'DLL Schedule'!Beg_Bal,'DLL Schedule'!Beg_Bal-'DLL Schedule'!Princ,0),"")</f>
        <v/>
      </c>
      <c r="J113" s="525">
        <f>SUM($H$18:$H113)</f>
        <v>257912.99524975716</v>
      </c>
      <c r="K113" s="499"/>
    </row>
    <row r="114" spans="1:11" ht="12.75" customHeight="1">
      <c r="A114" s="523" t="str">
        <f>IF(AND('DLL Schedule'!Values_Entered=1,A113&lt;&gt;"",I113&gt;0),A113+1,"")</f>
        <v/>
      </c>
      <c r="B114" s="524" t="str">
        <f>IF('DLL Schedule'!Pay_Num&lt;&gt;"",DATE(YEAR('DLL Schedule'!Loan_Start),MONTH('DLL Schedule'!Loan_Start)+('DLL Schedule'!Pay_Num)*12/'DLL Schedule'!Num_Pmt_Per_Year,DAY('DLL Schedule'!Loan_Start)),"")</f>
        <v/>
      </c>
      <c r="C114" s="525" t="str">
        <f>IF('DLL Schedule'!Pay_Num&lt;&gt;"",I113,"")</f>
        <v/>
      </c>
      <c r="D114" s="525" t="str">
        <f>IF('DLL Schedule'!Pay_Num&lt;&gt;"",'DLL Schedule'!Scheduled_Monthly_Payment,"")</f>
        <v/>
      </c>
      <c r="E1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4" s="525" t="str">
        <f>IF('DLL Schedule'!Pay_Num&lt;&gt;"",IF('DLL Schedule'!Sched_Pay+'DLL Schedule'!Extra_Pay&lt;'DLL Schedule'!Beg_Bal,'DLL Schedule'!Sched_Pay+'DLL Schedule'!Extra_Pay,'DLL Schedule'!Beg_Bal),"")</f>
        <v/>
      </c>
      <c r="G114" s="525" t="str">
        <f>IF('DLL Schedule'!Pay_Num&lt;&gt;"",'DLL Schedule'!Total_Pay-'DLL Schedule'!Int,"")</f>
        <v/>
      </c>
      <c r="H114" s="525" t="str">
        <f>IF('DLL Schedule'!Pay_Num&lt;&gt;"",'DLL Schedule'!Beg_Bal*'DLL Schedule'!Interest_Rate/'DLL Schedule'!Num_Pmt_Per_Year,"")</f>
        <v/>
      </c>
      <c r="I114" s="525" t="str">
        <f>IF('DLL Schedule'!Pay_Num&lt;&gt;"",IF('DLL Schedule'!Sched_Pay+'DLL Schedule'!Extra_Pay&lt;'DLL Schedule'!Beg_Bal,'DLL Schedule'!Beg_Bal-'DLL Schedule'!Princ,0),"")</f>
        <v/>
      </c>
      <c r="J114" s="525">
        <f>SUM($H$18:$H114)</f>
        <v>257912.99524975716</v>
      </c>
      <c r="K114" s="499"/>
    </row>
    <row r="115" spans="1:11" ht="12.75" customHeight="1">
      <c r="A115" s="523" t="str">
        <f>IF(AND('DLL Schedule'!Values_Entered=1,A114&lt;&gt;"",I114&gt;0),A114+1,"")</f>
        <v/>
      </c>
      <c r="B115" s="524" t="str">
        <f>IF('DLL Schedule'!Pay_Num&lt;&gt;"",DATE(YEAR('DLL Schedule'!Loan_Start),MONTH('DLL Schedule'!Loan_Start)+('DLL Schedule'!Pay_Num)*12/'DLL Schedule'!Num_Pmt_Per_Year,DAY('DLL Schedule'!Loan_Start)),"")</f>
        <v/>
      </c>
      <c r="C115" s="525" t="str">
        <f>IF('DLL Schedule'!Pay_Num&lt;&gt;"",I114,"")</f>
        <v/>
      </c>
      <c r="D115" s="525" t="str">
        <f>IF('DLL Schedule'!Pay_Num&lt;&gt;"",'DLL Schedule'!Scheduled_Monthly_Payment,"")</f>
        <v/>
      </c>
      <c r="E1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5" s="525" t="str">
        <f>IF('DLL Schedule'!Pay_Num&lt;&gt;"",IF('DLL Schedule'!Sched_Pay+'DLL Schedule'!Extra_Pay&lt;'DLL Schedule'!Beg_Bal,'DLL Schedule'!Sched_Pay+'DLL Schedule'!Extra_Pay,'DLL Schedule'!Beg_Bal),"")</f>
        <v/>
      </c>
      <c r="G115" s="525" t="str">
        <f>IF('DLL Schedule'!Pay_Num&lt;&gt;"",'DLL Schedule'!Total_Pay-'DLL Schedule'!Int,"")</f>
        <v/>
      </c>
      <c r="H115" s="525" t="str">
        <f>IF('DLL Schedule'!Pay_Num&lt;&gt;"",'DLL Schedule'!Beg_Bal*'DLL Schedule'!Interest_Rate/'DLL Schedule'!Num_Pmt_Per_Year,"")</f>
        <v/>
      </c>
      <c r="I115" s="525" t="str">
        <f>IF('DLL Schedule'!Pay_Num&lt;&gt;"",IF('DLL Schedule'!Sched_Pay+'DLL Schedule'!Extra_Pay&lt;'DLL Schedule'!Beg_Bal,'DLL Schedule'!Beg_Bal-'DLL Schedule'!Princ,0),"")</f>
        <v/>
      </c>
      <c r="J115" s="525">
        <f>SUM($H$18:$H115)</f>
        <v>257912.99524975716</v>
      </c>
      <c r="K115" s="499"/>
    </row>
    <row r="116" spans="1:11" ht="12.75" customHeight="1">
      <c r="A116" s="523" t="str">
        <f>IF(AND('DLL Schedule'!Values_Entered=1,A115&lt;&gt;"",I115&gt;0),A115+1,"")</f>
        <v/>
      </c>
      <c r="B116" s="524" t="str">
        <f>IF('DLL Schedule'!Pay_Num&lt;&gt;"",DATE(YEAR('DLL Schedule'!Loan_Start),MONTH('DLL Schedule'!Loan_Start)+('DLL Schedule'!Pay_Num)*12/'DLL Schedule'!Num_Pmt_Per_Year,DAY('DLL Schedule'!Loan_Start)),"")</f>
        <v/>
      </c>
      <c r="C116" s="525" t="str">
        <f>IF('DLL Schedule'!Pay_Num&lt;&gt;"",I115,"")</f>
        <v/>
      </c>
      <c r="D116" s="525" t="str">
        <f>IF('DLL Schedule'!Pay_Num&lt;&gt;"",'DLL Schedule'!Scheduled_Monthly_Payment,"")</f>
        <v/>
      </c>
      <c r="E1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6" s="525" t="str">
        <f>IF('DLL Schedule'!Pay_Num&lt;&gt;"",IF('DLL Schedule'!Sched_Pay+'DLL Schedule'!Extra_Pay&lt;'DLL Schedule'!Beg_Bal,'DLL Schedule'!Sched_Pay+'DLL Schedule'!Extra_Pay,'DLL Schedule'!Beg_Bal),"")</f>
        <v/>
      </c>
      <c r="G116" s="525" t="str">
        <f>IF('DLL Schedule'!Pay_Num&lt;&gt;"",'DLL Schedule'!Total_Pay-'DLL Schedule'!Int,"")</f>
        <v/>
      </c>
      <c r="H116" s="525" t="str">
        <f>IF('DLL Schedule'!Pay_Num&lt;&gt;"",'DLL Schedule'!Beg_Bal*'DLL Schedule'!Interest_Rate/'DLL Schedule'!Num_Pmt_Per_Year,"")</f>
        <v/>
      </c>
      <c r="I116" s="525" t="str">
        <f>IF('DLL Schedule'!Pay_Num&lt;&gt;"",IF('DLL Schedule'!Sched_Pay+'DLL Schedule'!Extra_Pay&lt;'DLL Schedule'!Beg_Bal,'DLL Schedule'!Beg_Bal-'DLL Schedule'!Princ,0),"")</f>
        <v/>
      </c>
      <c r="J116" s="525">
        <f>SUM($H$18:$H116)</f>
        <v>257912.99524975716</v>
      </c>
      <c r="K116" s="499"/>
    </row>
    <row r="117" spans="1:11" ht="12.75" customHeight="1">
      <c r="A117" s="523" t="str">
        <f>IF(AND('DLL Schedule'!Values_Entered=1,A116&lt;&gt;"",I116&gt;0),A116+1,"")</f>
        <v/>
      </c>
      <c r="B117" s="524" t="str">
        <f>IF('DLL Schedule'!Pay_Num&lt;&gt;"",DATE(YEAR('DLL Schedule'!Loan_Start),MONTH('DLL Schedule'!Loan_Start)+('DLL Schedule'!Pay_Num)*12/'DLL Schedule'!Num_Pmt_Per_Year,DAY('DLL Schedule'!Loan_Start)),"")</f>
        <v/>
      </c>
      <c r="C117" s="525" t="str">
        <f>IF('DLL Schedule'!Pay_Num&lt;&gt;"",I116,"")</f>
        <v/>
      </c>
      <c r="D117" s="525" t="str">
        <f>IF('DLL Schedule'!Pay_Num&lt;&gt;"",'DLL Schedule'!Scheduled_Monthly_Payment,"")</f>
        <v/>
      </c>
      <c r="E1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7" s="525" t="str">
        <f>IF('DLL Schedule'!Pay_Num&lt;&gt;"",IF('DLL Schedule'!Sched_Pay+'DLL Schedule'!Extra_Pay&lt;'DLL Schedule'!Beg_Bal,'DLL Schedule'!Sched_Pay+'DLL Schedule'!Extra_Pay,'DLL Schedule'!Beg_Bal),"")</f>
        <v/>
      </c>
      <c r="G117" s="525" t="str">
        <f>IF('DLL Schedule'!Pay_Num&lt;&gt;"",'DLL Schedule'!Total_Pay-'DLL Schedule'!Int,"")</f>
        <v/>
      </c>
      <c r="H117" s="525" t="str">
        <f>IF('DLL Schedule'!Pay_Num&lt;&gt;"",'DLL Schedule'!Beg_Bal*'DLL Schedule'!Interest_Rate/'DLL Schedule'!Num_Pmt_Per_Year,"")</f>
        <v/>
      </c>
      <c r="I117" s="525" t="str">
        <f>IF('DLL Schedule'!Pay_Num&lt;&gt;"",IF('DLL Schedule'!Sched_Pay+'DLL Schedule'!Extra_Pay&lt;'DLL Schedule'!Beg_Bal,'DLL Schedule'!Beg_Bal-'DLL Schedule'!Princ,0),"")</f>
        <v/>
      </c>
      <c r="J117" s="525">
        <f>SUM($H$18:$H117)</f>
        <v>257912.99524975716</v>
      </c>
      <c r="K117" s="499"/>
    </row>
    <row r="118" spans="1:11" ht="12.75" customHeight="1">
      <c r="A118" s="523" t="str">
        <f>IF(AND('DLL Schedule'!Values_Entered=1,A117&lt;&gt;"",I117&gt;0),A117+1,"")</f>
        <v/>
      </c>
      <c r="B118" s="524" t="str">
        <f>IF('DLL Schedule'!Pay_Num&lt;&gt;"",DATE(YEAR('DLL Schedule'!Loan_Start),MONTH('DLL Schedule'!Loan_Start)+('DLL Schedule'!Pay_Num)*12/'DLL Schedule'!Num_Pmt_Per_Year,DAY('DLL Schedule'!Loan_Start)),"")</f>
        <v/>
      </c>
      <c r="C118" s="525" t="str">
        <f>IF('DLL Schedule'!Pay_Num&lt;&gt;"",I117,"")</f>
        <v/>
      </c>
      <c r="D118" s="525" t="str">
        <f>IF('DLL Schedule'!Pay_Num&lt;&gt;"",'DLL Schedule'!Scheduled_Monthly_Payment,"")</f>
        <v/>
      </c>
      <c r="E1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8" s="525" t="str">
        <f>IF('DLL Schedule'!Pay_Num&lt;&gt;"",IF('DLL Schedule'!Sched_Pay+'DLL Schedule'!Extra_Pay&lt;'DLL Schedule'!Beg_Bal,'DLL Schedule'!Sched_Pay+'DLL Schedule'!Extra_Pay,'DLL Schedule'!Beg_Bal),"")</f>
        <v/>
      </c>
      <c r="G118" s="525" t="str">
        <f>IF('DLL Schedule'!Pay_Num&lt;&gt;"",'DLL Schedule'!Total_Pay-'DLL Schedule'!Int,"")</f>
        <v/>
      </c>
      <c r="H118" s="525" t="str">
        <f>IF('DLL Schedule'!Pay_Num&lt;&gt;"",'DLL Schedule'!Beg_Bal*'DLL Schedule'!Interest_Rate/'DLL Schedule'!Num_Pmt_Per_Year,"")</f>
        <v/>
      </c>
      <c r="I118" s="525" t="str">
        <f>IF('DLL Schedule'!Pay_Num&lt;&gt;"",IF('DLL Schedule'!Sched_Pay+'DLL Schedule'!Extra_Pay&lt;'DLL Schedule'!Beg_Bal,'DLL Schedule'!Beg_Bal-'DLL Schedule'!Princ,0),"")</f>
        <v/>
      </c>
      <c r="J118" s="525">
        <f>SUM($H$18:$H118)</f>
        <v>257912.99524975716</v>
      </c>
      <c r="K118" s="499"/>
    </row>
    <row r="119" spans="1:11" ht="12.75" customHeight="1">
      <c r="A119" s="523" t="str">
        <f>IF(AND('DLL Schedule'!Values_Entered=1,A118&lt;&gt;"",I118&gt;0),A118+1,"")</f>
        <v/>
      </c>
      <c r="B119" s="524" t="str">
        <f>IF('DLL Schedule'!Pay_Num&lt;&gt;"",DATE(YEAR('DLL Schedule'!Loan_Start),MONTH('DLL Schedule'!Loan_Start)+('DLL Schedule'!Pay_Num)*12/'DLL Schedule'!Num_Pmt_Per_Year,DAY('DLL Schedule'!Loan_Start)),"")</f>
        <v/>
      </c>
      <c r="C119" s="525" t="str">
        <f>IF('DLL Schedule'!Pay_Num&lt;&gt;"",I118,"")</f>
        <v/>
      </c>
      <c r="D119" s="525" t="str">
        <f>IF('DLL Schedule'!Pay_Num&lt;&gt;"",'DLL Schedule'!Scheduled_Monthly_Payment,"")</f>
        <v/>
      </c>
      <c r="E1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9" s="525" t="str">
        <f>IF('DLL Schedule'!Pay_Num&lt;&gt;"",IF('DLL Schedule'!Sched_Pay+'DLL Schedule'!Extra_Pay&lt;'DLL Schedule'!Beg_Bal,'DLL Schedule'!Sched_Pay+'DLL Schedule'!Extra_Pay,'DLL Schedule'!Beg_Bal),"")</f>
        <v/>
      </c>
      <c r="G119" s="525" t="str">
        <f>IF('DLL Schedule'!Pay_Num&lt;&gt;"",'DLL Schedule'!Total_Pay-'DLL Schedule'!Int,"")</f>
        <v/>
      </c>
      <c r="H119" s="525" t="str">
        <f>IF('DLL Schedule'!Pay_Num&lt;&gt;"",'DLL Schedule'!Beg_Bal*'DLL Schedule'!Interest_Rate/'DLL Schedule'!Num_Pmt_Per_Year,"")</f>
        <v/>
      </c>
      <c r="I119" s="525" t="str">
        <f>IF('DLL Schedule'!Pay_Num&lt;&gt;"",IF('DLL Schedule'!Sched_Pay+'DLL Schedule'!Extra_Pay&lt;'DLL Schedule'!Beg_Bal,'DLL Schedule'!Beg_Bal-'DLL Schedule'!Princ,0),"")</f>
        <v/>
      </c>
      <c r="J119" s="525">
        <f>SUM($H$18:$H119)</f>
        <v>257912.99524975716</v>
      </c>
      <c r="K119" s="499"/>
    </row>
    <row r="120" spans="1:11" ht="12.75" customHeight="1">
      <c r="A120" s="523" t="str">
        <f>IF(AND('DLL Schedule'!Values_Entered=1,A119&lt;&gt;"",I119&gt;0),A119+1,"")</f>
        <v/>
      </c>
      <c r="B120" s="524" t="str">
        <f>IF('DLL Schedule'!Pay_Num&lt;&gt;"",DATE(YEAR('DLL Schedule'!Loan_Start),MONTH('DLL Schedule'!Loan_Start)+('DLL Schedule'!Pay_Num)*12/'DLL Schedule'!Num_Pmt_Per_Year,DAY('DLL Schedule'!Loan_Start)),"")</f>
        <v/>
      </c>
      <c r="C120" s="525" t="str">
        <f>IF('DLL Schedule'!Pay_Num&lt;&gt;"",I119,"")</f>
        <v/>
      </c>
      <c r="D120" s="525" t="str">
        <f>IF('DLL Schedule'!Pay_Num&lt;&gt;"",'DLL Schedule'!Scheduled_Monthly_Payment,"")</f>
        <v/>
      </c>
      <c r="E1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0" s="525" t="str">
        <f>IF('DLL Schedule'!Pay_Num&lt;&gt;"",IF('DLL Schedule'!Sched_Pay+'DLL Schedule'!Extra_Pay&lt;'DLL Schedule'!Beg_Bal,'DLL Schedule'!Sched_Pay+'DLL Schedule'!Extra_Pay,'DLL Schedule'!Beg_Bal),"")</f>
        <v/>
      </c>
      <c r="G120" s="525" t="str">
        <f>IF('DLL Schedule'!Pay_Num&lt;&gt;"",'DLL Schedule'!Total_Pay-'DLL Schedule'!Int,"")</f>
        <v/>
      </c>
      <c r="H120" s="525" t="str">
        <f>IF('DLL Schedule'!Pay_Num&lt;&gt;"",'DLL Schedule'!Beg_Bal*'DLL Schedule'!Interest_Rate/'DLL Schedule'!Num_Pmt_Per_Year,"")</f>
        <v/>
      </c>
      <c r="I120" s="525" t="str">
        <f>IF('DLL Schedule'!Pay_Num&lt;&gt;"",IF('DLL Schedule'!Sched_Pay+'DLL Schedule'!Extra_Pay&lt;'DLL Schedule'!Beg_Bal,'DLL Schedule'!Beg_Bal-'DLL Schedule'!Princ,0),"")</f>
        <v/>
      </c>
      <c r="J120" s="525">
        <f>SUM($H$18:$H120)</f>
        <v>257912.99524975716</v>
      </c>
      <c r="K120" s="499"/>
    </row>
    <row r="121" spans="1:11" ht="12.75" customHeight="1">
      <c r="A121" s="523" t="str">
        <f>IF(AND('DLL Schedule'!Values_Entered=1,A120&lt;&gt;"",I120&gt;0),A120+1,"")</f>
        <v/>
      </c>
      <c r="B121" s="524" t="str">
        <f>IF('DLL Schedule'!Pay_Num&lt;&gt;"",DATE(YEAR('DLL Schedule'!Loan_Start),MONTH('DLL Schedule'!Loan_Start)+('DLL Schedule'!Pay_Num)*12/'DLL Schedule'!Num_Pmt_Per_Year,DAY('DLL Schedule'!Loan_Start)),"")</f>
        <v/>
      </c>
      <c r="C121" s="525" t="str">
        <f>IF('DLL Schedule'!Pay_Num&lt;&gt;"",I120,"")</f>
        <v/>
      </c>
      <c r="D121" s="525" t="str">
        <f>IF('DLL Schedule'!Pay_Num&lt;&gt;"",'DLL Schedule'!Scheduled_Monthly_Payment,"")</f>
        <v/>
      </c>
      <c r="E1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1" s="525" t="str">
        <f>IF('DLL Schedule'!Pay_Num&lt;&gt;"",IF('DLL Schedule'!Sched_Pay+'DLL Schedule'!Extra_Pay&lt;'DLL Schedule'!Beg_Bal,'DLL Schedule'!Sched_Pay+'DLL Schedule'!Extra_Pay,'DLL Schedule'!Beg_Bal),"")</f>
        <v/>
      </c>
      <c r="G121" s="525" t="str">
        <f>IF('DLL Schedule'!Pay_Num&lt;&gt;"",'DLL Schedule'!Total_Pay-'DLL Schedule'!Int,"")</f>
        <v/>
      </c>
      <c r="H121" s="525" t="str">
        <f>IF('DLL Schedule'!Pay_Num&lt;&gt;"",'DLL Schedule'!Beg_Bal*'DLL Schedule'!Interest_Rate/'DLL Schedule'!Num_Pmt_Per_Year,"")</f>
        <v/>
      </c>
      <c r="I121" s="525" t="str">
        <f>IF('DLL Schedule'!Pay_Num&lt;&gt;"",IF('DLL Schedule'!Sched_Pay+'DLL Schedule'!Extra_Pay&lt;'DLL Schedule'!Beg_Bal,'DLL Schedule'!Beg_Bal-'DLL Schedule'!Princ,0),"")</f>
        <v/>
      </c>
      <c r="J121" s="525">
        <f>SUM($H$18:$H121)</f>
        <v>257912.99524975716</v>
      </c>
      <c r="K121" s="499"/>
    </row>
    <row r="122" spans="1:11" ht="12.75" customHeight="1">
      <c r="A122" s="523" t="str">
        <f>IF(AND('DLL Schedule'!Values_Entered=1,A121&lt;&gt;"",I121&gt;0),A121+1,"")</f>
        <v/>
      </c>
      <c r="B122" s="524" t="str">
        <f>IF('DLL Schedule'!Pay_Num&lt;&gt;"",DATE(YEAR('DLL Schedule'!Loan_Start),MONTH('DLL Schedule'!Loan_Start)+('DLL Schedule'!Pay_Num)*12/'DLL Schedule'!Num_Pmt_Per_Year,DAY('DLL Schedule'!Loan_Start)),"")</f>
        <v/>
      </c>
      <c r="C122" s="525" t="str">
        <f>IF('DLL Schedule'!Pay_Num&lt;&gt;"",I121,"")</f>
        <v/>
      </c>
      <c r="D122" s="525" t="str">
        <f>IF('DLL Schedule'!Pay_Num&lt;&gt;"",'DLL Schedule'!Scheduled_Monthly_Payment,"")</f>
        <v/>
      </c>
      <c r="E1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2" s="525" t="str">
        <f>IF('DLL Schedule'!Pay_Num&lt;&gt;"",IF('DLL Schedule'!Sched_Pay+'DLL Schedule'!Extra_Pay&lt;'DLL Schedule'!Beg_Bal,'DLL Schedule'!Sched_Pay+'DLL Schedule'!Extra_Pay,'DLL Schedule'!Beg_Bal),"")</f>
        <v/>
      </c>
      <c r="G122" s="525" t="str">
        <f>IF('DLL Schedule'!Pay_Num&lt;&gt;"",'DLL Schedule'!Total_Pay-'DLL Schedule'!Int,"")</f>
        <v/>
      </c>
      <c r="H122" s="525" t="str">
        <f>IF('DLL Schedule'!Pay_Num&lt;&gt;"",'DLL Schedule'!Beg_Bal*'DLL Schedule'!Interest_Rate/'DLL Schedule'!Num_Pmt_Per_Year,"")</f>
        <v/>
      </c>
      <c r="I122" s="525" t="str">
        <f>IF('DLL Schedule'!Pay_Num&lt;&gt;"",IF('DLL Schedule'!Sched_Pay+'DLL Schedule'!Extra_Pay&lt;'DLL Schedule'!Beg_Bal,'DLL Schedule'!Beg_Bal-'DLL Schedule'!Princ,0),"")</f>
        <v/>
      </c>
      <c r="J122" s="525">
        <f>SUM($H$18:$H122)</f>
        <v>257912.99524975716</v>
      </c>
      <c r="K122" s="499"/>
    </row>
    <row r="123" spans="1:11" ht="12.75" customHeight="1">
      <c r="A123" s="523" t="str">
        <f>IF(AND('DLL Schedule'!Values_Entered=1,A122&lt;&gt;"",I122&gt;0),A122+1,"")</f>
        <v/>
      </c>
      <c r="B123" s="524" t="str">
        <f>IF('DLL Schedule'!Pay_Num&lt;&gt;"",DATE(YEAR('DLL Schedule'!Loan_Start),MONTH('DLL Schedule'!Loan_Start)+('DLL Schedule'!Pay_Num)*12/'DLL Schedule'!Num_Pmt_Per_Year,DAY('DLL Schedule'!Loan_Start)),"")</f>
        <v/>
      </c>
      <c r="C123" s="525" t="str">
        <f>IF('DLL Schedule'!Pay_Num&lt;&gt;"",I122,"")</f>
        <v/>
      </c>
      <c r="D123" s="525" t="str">
        <f>IF('DLL Schedule'!Pay_Num&lt;&gt;"",'DLL Schedule'!Scheduled_Monthly_Payment,"")</f>
        <v/>
      </c>
      <c r="E1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3" s="525" t="str">
        <f>IF('DLL Schedule'!Pay_Num&lt;&gt;"",IF('DLL Schedule'!Sched_Pay+'DLL Schedule'!Extra_Pay&lt;'DLL Schedule'!Beg_Bal,'DLL Schedule'!Sched_Pay+'DLL Schedule'!Extra_Pay,'DLL Schedule'!Beg_Bal),"")</f>
        <v/>
      </c>
      <c r="G123" s="525" t="str">
        <f>IF('DLL Schedule'!Pay_Num&lt;&gt;"",'DLL Schedule'!Total_Pay-'DLL Schedule'!Int,"")</f>
        <v/>
      </c>
      <c r="H123" s="525" t="str">
        <f>IF('DLL Schedule'!Pay_Num&lt;&gt;"",'DLL Schedule'!Beg_Bal*'DLL Schedule'!Interest_Rate/'DLL Schedule'!Num_Pmt_Per_Year,"")</f>
        <v/>
      </c>
      <c r="I123" s="525" t="str">
        <f>IF('DLL Schedule'!Pay_Num&lt;&gt;"",IF('DLL Schedule'!Sched_Pay+'DLL Schedule'!Extra_Pay&lt;'DLL Schedule'!Beg_Bal,'DLL Schedule'!Beg_Bal-'DLL Schedule'!Princ,0),"")</f>
        <v/>
      </c>
      <c r="J123" s="525">
        <f>SUM($H$18:$H123)</f>
        <v>257912.99524975716</v>
      </c>
      <c r="K123" s="499"/>
    </row>
    <row r="124" spans="1:11" ht="12.75" customHeight="1">
      <c r="A124" s="523" t="str">
        <f>IF(AND('DLL Schedule'!Values_Entered=1,A123&lt;&gt;"",I123&gt;0),A123+1,"")</f>
        <v/>
      </c>
      <c r="B124" s="524" t="str">
        <f>IF('DLL Schedule'!Pay_Num&lt;&gt;"",DATE(YEAR('DLL Schedule'!Loan_Start),MONTH('DLL Schedule'!Loan_Start)+('DLL Schedule'!Pay_Num)*12/'DLL Schedule'!Num_Pmt_Per_Year,DAY('DLL Schedule'!Loan_Start)),"")</f>
        <v/>
      </c>
      <c r="C124" s="525" t="str">
        <f>IF('DLL Schedule'!Pay_Num&lt;&gt;"",I123,"")</f>
        <v/>
      </c>
      <c r="D124" s="525" t="str">
        <f>IF('DLL Schedule'!Pay_Num&lt;&gt;"",'DLL Schedule'!Scheduled_Monthly_Payment,"")</f>
        <v/>
      </c>
      <c r="E1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4" s="525" t="str">
        <f>IF('DLL Schedule'!Pay_Num&lt;&gt;"",IF('DLL Schedule'!Sched_Pay+'DLL Schedule'!Extra_Pay&lt;'DLL Schedule'!Beg_Bal,'DLL Schedule'!Sched_Pay+'DLL Schedule'!Extra_Pay,'DLL Schedule'!Beg_Bal),"")</f>
        <v/>
      </c>
      <c r="G124" s="525" t="str">
        <f>IF('DLL Schedule'!Pay_Num&lt;&gt;"",'DLL Schedule'!Total_Pay-'DLL Schedule'!Int,"")</f>
        <v/>
      </c>
      <c r="H124" s="525" t="str">
        <f>IF('DLL Schedule'!Pay_Num&lt;&gt;"",'DLL Schedule'!Beg_Bal*'DLL Schedule'!Interest_Rate/'DLL Schedule'!Num_Pmt_Per_Year,"")</f>
        <v/>
      </c>
      <c r="I124" s="525" t="str">
        <f>IF('DLL Schedule'!Pay_Num&lt;&gt;"",IF('DLL Schedule'!Sched_Pay+'DLL Schedule'!Extra_Pay&lt;'DLL Schedule'!Beg_Bal,'DLL Schedule'!Beg_Bal-'DLL Schedule'!Princ,0),"")</f>
        <v/>
      </c>
      <c r="J124" s="525">
        <f>SUM($H$18:$H124)</f>
        <v>257912.99524975716</v>
      </c>
      <c r="K124" s="499"/>
    </row>
    <row r="125" spans="1:11" ht="12.75" customHeight="1">
      <c r="A125" s="523" t="str">
        <f>IF(AND('DLL Schedule'!Values_Entered=1,A124&lt;&gt;"",I124&gt;0),A124+1,"")</f>
        <v/>
      </c>
      <c r="B125" s="524" t="str">
        <f>IF('DLL Schedule'!Pay_Num&lt;&gt;"",DATE(YEAR('DLL Schedule'!Loan_Start),MONTH('DLL Schedule'!Loan_Start)+('DLL Schedule'!Pay_Num)*12/'DLL Schedule'!Num_Pmt_Per_Year,DAY('DLL Schedule'!Loan_Start)),"")</f>
        <v/>
      </c>
      <c r="C125" s="525" t="str">
        <f>IF('DLL Schedule'!Pay_Num&lt;&gt;"",I124,"")</f>
        <v/>
      </c>
      <c r="D125" s="525" t="str">
        <f>IF('DLL Schedule'!Pay_Num&lt;&gt;"",'DLL Schedule'!Scheduled_Monthly_Payment,"")</f>
        <v/>
      </c>
      <c r="E1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5" s="525" t="str">
        <f>IF('DLL Schedule'!Pay_Num&lt;&gt;"",IF('DLL Schedule'!Sched_Pay+'DLL Schedule'!Extra_Pay&lt;'DLL Schedule'!Beg_Bal,'DLL Schedule'!Sched_Pay+'DLL Schedule'!Extra_Pay,'DLL Schedule'!Beg_Bal),"")</f>
        <v/>
      </c>
      <c r="G125" s="525" t="str">
        <f>IF('DLL Schedule'!Pay_Num&lt;&gt;"",'DLL Schedule'!Total_Pay-'DLL Schedule'!Int,"")</f>
        <v/>
      </c>
      <c r="H125" s="525" t="str">
        <f>IF('DLL Schedule'!Pay_Num&lt;&gt;"",'DLL Schedule'!Beg_Bal*'DLL Schedule'!Interest_Rate/'DLL Schedule'!Num_Pmt_Per_Year,"")</f>
        <v/>
      </c>
      <c r="I125" s="525" t="str">
        <f>IF('DLL Schedule'!Pay_Num&lt;&gt;"",IF('DLL Schedule'!Sched_Pay+'DLL Schedule'!Extra_Pay&lt;'DLL Schedule'!Beg_Bal,'DLL Schedule'!Beg_Bal-'DLL Schedule'!Princ,0),"")</f>
        <v/>
      </c>
      <c r="J125" s="525">
        <f>SUM($H$18:$H125)</f>
        <v>257912.99524975716</v>
      </c>
      <c r="K125" s="499"/>
    </row>
    <row r="126" spans="1:11" ht="12.75" customHeight="1">
      <c r="A126" s="523" t="str">
        <f>IF(AND('DLL Schedule'!Values_Entered=1,A125&lt;&gt;"",I125&gt;0),A125+1,"")</f>
        <v/>
      </c>
      <c r="B126" s="524" t="str">
        <f>IF('DLL Schedule'!Pay_Num&lt;&gt;"",DATE(YEAR('DLL Schedule'!Loan_Start),MONTH('DLL Schedule'!Loan_Start)+('DLL Schedule'!Pay_Num)*12/'DLL Schedule'!Num_Pmt_Per_Year,DAY('DLL Schedule'!Loan_Start)),"")</f>
        <v/>
      </c>
      <c r="C126" s="525" t="str">
        <f>IF('DLL Schedule'!Pay_Num&lt;&gt;"",I125,"")</f>
        <v/>
      </c>
      <c r="D126" s="525" t="str">
        <f>IF('DLL Schedule'!Pay_Num&lt;&gt;"",'DLL Schedule'!Scheduled_Monthly_Payment,"")</f>
        <v/>
      </c>
      <c r="E1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6" s="525" t="str">
        <f>IF('DLL Schedule'!Pay_Num&lt;&gt;"",IF('DLL Schedule'!Sched_Pay+'DLL Schedule'!Extra_Pay&lt;'DLL Schedule'!Beg_Bal,'DLL Schedule'!Sched_Pay+'DLL Schedule'!Extra_Pay,'DLL Schedule'!Beg_Bal),"")</f>
        <v/>
      </c>
      <c r="G126" s="525" t="str">
        <f>IF('DLL Schedule'!Pay_Num&lt;&gt;"",'DLL Schedule'!Total_Pay-'DLL Schedule'!Int,"")</f>
        <v/>
      </c>
      <c r="H126" s="525" t="str">
        <f>IF('DLL Schedule'!Pay_Num&lt;&gt;"",'DLL Schedule'!Beg_Bal*'DLL Schedule'!Interest_Rate/'DLL Schedule'!Num_Pmt_Per_Year,"")</f>
        <v/>
      </c>
      <c r="I126" s="525" t="str">
        <f>IF('DLL Schedule'!Pay_Num&lt;&gt;"",IF('DLL Schedule'!Sched_Pay+'DLL Schedule'!Extra_Pay&lt;'DLL Schedule'!Beg_Bal,'DLL Schedule'!Beg_Bal-'DLL Schedule'!Princ,0),"")</f>
        <v/>
      </c>
      <c r="J126" s="525">
        <f>SUM($H$18:$H126)</f>
        <v>257912.99524975716</v>
      </c>
      <c r="K126" s="499"/>
    </row>
    <row r="127" spans="1:11" ht="12.75" customHeight="1">
      <c r="A127" s="523" t="str">
        <f>IF(AND('DLL Schedule'!Values_Entered=1,A126&lt;&gt;"",I126&gt;0),A126+1,"")</f>
        <v/>
      </c>
      <c r="B127" s="524" t="str">
        <f>IF('DLL Schedule'!Pay_Num&lt;&gt;"",DATE(YEAR('DLL Schedule'!Loan_Start),MONTH('DLL Schedule'!Loan_Start)+('DLL Schedule'!Pay_Num)*12/'DLL Schedule'!Num_Pmt_Per_Year,DAY('DLL Schedule'!Loan_Start)),"")</f>
        <v/>
      </c>
      <c r="C127" s="525" t="str">
        <f>IF('DLL Schedule'!Pay_Num&lt;&gt;"",I126,"")</f>
        <v/>
      </c>
      <c r="D127" s="525" t="str">
        <f>IF('DLL Schedule'!Pay_Num&lt;&gt;"",'DLL Schedule'!Scheduled_Monthly_Payment,"")</f>
        <v/>
      </c>
      <c r="E1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7" s="525" t="str">
        <f>IF('DLL Schedule'!Pay_Num&lt;&gt;"",IF('DLL Schedule'!Sched_Pay+'DLL Schedule'!Extra_Pay&lt;'DLL Schedule'!Beg_Bal,'DLL Schedule'!Sched_Pay+'DLL Schedule'!Extra_Pay,'DLL Schedule'!Beg_Bal),"")</f>
        <v/>
      </c>
      <c r="G127" s="525" t="str">
        <f>IF('DLL Schedule'!Pay_Num&lt;&gt;"",'DLL Schedule'!Total_Pay-'DLL Schedule'!Int,"")</f>
        <v/>
      </c>
      <c r="H127" s="525" t="str">
        <f>IF('DLL Schedule'!Pay_Num&lt;&gt;"",'DLL Schedule'!Beg_Bal*'DLL Schedule'!Interest_Rate/'DLL Schedule'!Num_Pmt_Per_Year,"")</f>
        <v/>
      </c>
      <c r="I127" s="525" t="str">
        <f>IF('DLL Schedule'!Pay_Num&lt;&gt;"",IF('DLL Schedule'!Sched_Pay+'DLL Schedule'!Extra_Pay&lt;'DLL Schedule'!Beg_Bal,'DLL Schedule'!Beg_Bal-'DLL Schedule'!Princ,0),"")</f>
        <v/>
      </c>
      <c r="J127" s="525">
        <f>SUM($H$18:$H127)</f>
        <v>257912.99524975716</v>
      </c>
      <c r="K127" s="499"/>
    </row>
    <row r="128" spans="1:11" ht="12.75" customHeight="1">
      <c r="A128" s="523" t="str">
        <f>IF(AND('DLL Schedule'!Values_Entered=1,A127&lt;&gt;"",I127&gt;0),A127+1,"")</f>
        <v/>
      </c>
      <c r="B128" s="524" t="str">
        <f>IF('DLL Schedule'!Pay_Num&lt;&gt;"",DATE(YEAR('DLL Schedule'!Loan_Start),MONTH('DLL Schedule'!Loan_Start)+('DLL Schedule'!Pay_Num)*12/'DLL Schedule'!Num_Pmt_Per_Year,DAY('DLL Schedule'!Loan_Start)),"")</f>
        <v/>
      </c>
      <c r="C128" s="525" t="str">
        <f>IF('DLL Schedule'!Pay_Num&lt;&gt;"",I127,"")</f>
        <v/>
      </c>
      <c r="D128" s="525" t="str">
        <f>IF('DLL Schedule'!Pay_Num&lt;&gt;"",'DLL Schedule'!Scheduled_Monthly_Payment,"")</f>
        <v/>
      </c>
      <c r="E1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8" s="525" t="str">
        <f>IF('DLL Schedule'!Pay_Num&lt;&gt;"",IF('DLL Schedule'!Sched_Pay+'DLL Schedule'!Extra_Pay&lt;'DLL Schedule'!Beg_Bal,'DLL Schedule'!Sched_Pay+'DLL Schedule'!Extra_Pay,'DLL Schedule'!Beg_Bal),"")</f>
        <v/>
      </c>
      <c r="G128" s="525" t="str">
        <f>IF('DLL Schedule'!Pay_Num&lt;&gt;"",'DLL Schedule'!Total_Pay-'DLL Schedule'!Int,"")</f>
        <v/>
      </c>
      <c r="H128" s="525" t="str">
        <f>IF('DLL Schedule'!Pay_Num&lt;&gt;"",'DLL Schedule'!Beg_Bal*'DLL Schedule'!Interest_Rate/'DLL Schedule'!Num_Pmt_Per_Year,"")</f>
        <v/>
      </c>
      <c r="I128" s="525" t="str">
        <f>IF('DLL Schedule'!Pay_Num&lt;&gt;"",IF('DLL Schedule'!Sched_Pay+'DLL Schedule'!Extra_Pay&lt;'DLL Schedule'!Beg_Bal,'DLL Schedule'!Beg_Bal-'DLL Schedule'!Princ,0),"")</f>
        <v/>
      </c>
      <c r="J128" s="525">
        <f>SUM($H$18:$H128)</f>
        <v>257912.99524975716</v>
      </c>
      <c r="K128" s="499"/>
    </row>
    <row r="129" spans="1:11" ht="12.75" customHeight="1">
      <c r="A129" s="523" t="str">
        <f>IF(AND('DLL Schedule'!Values_Entered=1,A128&lt;&gt;"",I128&gt;0),A128+1,"")</f>
        <v/>
      </c>
      <c r="B129" s="524" t="str">
        <f>IF('DLL Schedule'!Pay_Num&lt;&gt;"",DATE(YEAR('DLL Schedule'!Loan_Start),MONTH('DLL Schedule'!Loan_Start)+('DLL Schedule'!Pay_Num)*12/'DLL Schedule'!Num_Pmt_Per_Year,DAY('DLL Schedule'!Loan_Start)),"")</f>
        <v/>
      </c>
      <c r="C129" s="525" t="str">
        <f>IF('DLL Schedule'!Pay_Num&lt;&gt;"",I128,"")</f>
        <v/>
      </c>
      <c r="D129" s="525" t="str">
        <f>IF('DLL Schedule'!Pay_Num&lt;&gt;"",'DLL Schedule'!Scheduled_Monthly_Payment,"")</f>
        <v/>
      </c>
      <c r="E1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9" s="525" t="str">
        <f>IF('DLL Schedule'!Pay_Num&lt;&gt;"",IF('DLL Schedule'!Sched_Pay+'DLL Schedule'!Extra_Pay&lt;'DLL Schedule'!Beg_Bal,'DLL Schedule'!Sched_Pay+'DLL Schedule'!Extra_Pay,'DLL Schedule'!Beg_Bal),"")</f>
        <v/>
      </c>
      <c r="G129" s="525" t="str">
        <f>IF('DLL Schedule'!Pay_Num&lt;&gt;"",'DLL Schedule'!Total_Pay-'DLL Schedule'!Int,"")</f>
        <v/>
      </c>
      <c r="H129" s="525" t="str">
        <f>IF('DLL Schedule'!Pay_Num&lt;&gt;"",'DLL Schedule'!Beg_Bal*'DLL Schedule'!Interest_Rate/'DLL Schedule'!Num_Pmt_Per_Year,"")</f>
        <v/>
      </c>
      <c r="I129" s="525" t="str">
        <f>IF('DLL Schedule'!Pay_Num&lt;&gt;"",IF('DLL Schedule'!Sched_Pay+'DLL Schedule'!Extra_Pay&lt;'DLL Schedule'!Beg_Bal,'DLL Schedule'!Beg_Bal-'DLL Schedule'!Princ,0),"")</f>
        <v/>
      </c>
      <c r="J129" s="525">
        <f>SUM($H$18:$H129)</f>
        <v>257912.99524975716</v>
      </c>
      <c r="K129" s="499"/>
    </row>
    <row r="130" spans="1:11" ht="12.75" customHeight="1">
      <c r="A130" s="523" t="str">
        <f>IF(AND('DLL Schedule'!Values_Entered=1,A129&lt;&gt;"",I129&gt;0),A129+1,"")</f>
        <v/>
      </c>
      <c r="B130" s="524" t="str">
        <f>IF('DLL Schedule'!Pay_Num&lt;&gt;"",DATE(YEAR('DLL Schedule'!Loan_Start),MONTH('DLL Schedule'!Loan_Start)+('DLL Schedule'!Pay_Num)*12/'DLL Schedule'!Num_Pmt_Per_Year,DAY('DLL Schedule'!Loan_Start)),"")</f>
        <v/>
      </c>
      <c r="C130" s="525" t="str">
        <f>IF('DLL Schedule'!Pay_Num&lt;&gt;"",I129,"")</f>
        <v/>
      </c>
      <c r="D130" s="525" t="str">
        <f>IF('DLL Schedule'!Pay_Num&lt;&gt;"",'DLL Schedule'!Scheduled_Monthly_Payment,"")</f>
        <v/>
      </c>
      <c r="E1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0" s="525" t="str">
        <f>IF('DLL Schedule'!Pay_Num&lt;&gt;"",IF('DLL Schedule'!Sched_Pay+'DLL Schedule'!Extra_Pay&lt;'DLL Schedule'!Beg_Bal,'DLL Schedule'!Sched_Pay+'DLL Schedule'!Extra_Pay,'DLL Schedule'!Beg_Bal),"")</f>
        <v/>
      </c>
      <c r="G130" s="525" t="str">
        <f>IF('DLL Schedule'!Pay_Num&lt;&gt;"",'DLL Schedule'!Total_Pay-'DLL Schedule'!Int,"")</f>
        <v/>
      </c>
      <c r="H130" s="525" t="str">
        <f>IF('DLL Schedule'!Pay_Num&lt;&gt;"",'DLL Schedule'!Beg_Bal*'DLL Schedule'!Interest_Rate/'DLL Schedule'!Num_Pmt_Per_Year,"")</f>
        <v/>
      </c>
      <c r="I130" s="525" t="str">
        <f>IF('DLL Schedule'!Pay_Num&lt;&gt;"",IF('DLL Schedule'!Sched_Pay+'DLL Schedule'!Extra_Pay&lt;'DLL Schedule'!Beg_Bal,'DLL Schedule'!Beg_Bal-'DLL Schedule'!Princ,0),"")</f>
        <v/>
      </c>
      <c r="J130" s="525">
        <f>SUM($H$18:$H130)</f>
        <v>257912.99524975716</v>
      </c>
      <c r="K130" s="499"/>
    </row>
    <row r="131" spans="1:11" ht="12.75" customHeight="1">
      <c r="A131" s="523" t="str">
        <f>IF(AND('DLL Schedule'!Values_Entered=1,A130&lt;&gt;"",I130&gt;0),A130+1,"")</f>
        <v/>
      </c>
      <c r="B131" s="524" t="str">
        <f>IF('DLL Schedule'!Pay_Num&lt;&gt;"",DATE(YEAR('DLL Schedule'!Loan_Start),MONTH('DLL Schedule'!Loan_Start)+('DLL Schedule'!Pay_Num)*12/'DLL Schedule'!Num_Pmt_Per_Year,DAY('DLL Schedule'!Loan_Start)),"")</f>
        <v/>
      </c>
      <c r="C131" s="525" t="str">
        <f>IF('DLL Schedule'!Pay_Num&lt;&gt;"",I130,"")</f>
        <v/>
      </c>
      <c r="D131" s="525" t="str">
        <f>IF('DLL Schedule'!Pay_Num&lt;&gt;"",'DLL Schedule'!Scheduled_Monthly_Payment,"")</f>
        <v/>
      </c>
      <c r="E1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1" s="525" t="str">
        <f>IF('DLL Schedule'!Pay_Num&lt;&gt;"",IF('DLL Schedule'!Sched_Pay+'DLL Schedule'!Extra_Pay&lt;'DLL Schedule'!Beg_Bal,'DLL Schedule'!Sched_Pay+'DLL Schedule'!Extra_Pay,'DLL Schedule'!Beg_Bal),"")</f>
        <v/>
      </c>
      <c r="G131" s="525" t="str">
        <f>IF('DLL Schedule'!Pay_Num&lt;&gt;"",'DLL Schedule'!Total_Pay-'DLL Schedule'!Int,"")</f>
        <v/>
      </c>
      <c r="H131" s="525" t="str">
        <f>IF('DLL Schedule'!Pay_Num&lt;&gt;"",'DLL Schedule'!Beg_Bal*'DLL Schedule'!Interest_Rate/'DLL Schedule'!Num_Pmt_Per_Year,"")</f>
        <v/>
      </c>
      <c r="I131" s="525" t="str">
        <f>IF('DLL Schedule'!Pay_Num&lt;&gt;"",IF('DLL Schedule'!Sched_Pay+'DLL Schedule'!Extra_Pay&lt;'DLL Schedule'!Beg_Bal,'DLL Schedule'!Beg_Bal-'DLL Schedule'!Princ,0),"")</f>
        <v/>
      </c>
      <c r="J131" s="525">
        <f>SUM($H$18:$H131)</f>
        <v>257912.99524975716</v>
      </c>
      <c r="K131" s="499"/>
    </row>
    <row r="132" spans="1:11" ht="12.75" customHeight="1">
      <c r="A132" s="523" t="str">
        <f>IF(AND('DLL Schedule'!Values_Entered=1,A131&lt;&gt;"",I131&gt;0),A131+1,"")</f>
        <v/>
      </c>
      <c r="B132" s="524" t="str">
        <f>IF('DLL Schedule'!Pay_Num&lt;&gt;"",DATE(YEAR('DLL Schedule'!Loan_Start),MONTH('DLL Schedule'!Loan_Start)+('DLL Schedule'!Pay_Num)*12/'DLL Schedule'!Num_Pmt_Per_Year,DAY('DLL Schedule'!Loan_Start)),"")</f>
        <v/>
      </c>
      <c r="C132" s="525" t="str">
        <f>IF('DLL Schedule'!Pay_Num&lt;&gt;"",I131,"")</f>
        <v/>
      </c>
      <c r="D132" s="525" t="str">
        <f>IF('DLL Schedule'!Pay_Num&lt;&gt;"",'DLL Schedule'!Scheduled_Monthly_Payment,"")</f>
        <v/>
      </c>
      <c r="E1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2" s="525" t="str">
        <f>IF('DLL Schedule'!Pay_Num&lt;&gt;"",IF('DLL Schedule'!Sched_Pay+'DLL Schedule'!Extra_Pay&lt;'DLL Schedule'!Beg_Bal,'DLL Schedule'!Sched_Pay+'DLL Schedule'!Extra_Pay,'DLL Schedule'!Beg_Bal),"")</f>
        <v/>
      </c>
      <c r="G132" s="525" t="str">
        <f>IF('DLL Schedule'!Pay_Num&lt;&gt;"",'DLL Schedule'!Total_Pay-'DLL Schedule'!Int,"")</f>
        <v/>
      </c>
      <c r="H132" s="525" t="str">
        <f>IF('DLL Schedule'!Pay_Num&lt;&gt;"",'DLL Schedule'!Beg_Bal*'DLL Schedule'!Interest_Rate/'DLL Schedule'!Num_Pmt_Per_Year,"")</f>
        <v/>
      </c>
      <c r="I132" s="525" t="str">
        <f>IF('DLL Schedule'!Pay_Num&lt;&gt;"",IF('DLL Schedule'!Sched_Pay+'DLL Schedule'!Extra_Pay&lt;'DLL Schedule'!Beg_Bal,'DLL Schedule'!Beg_Bal-'DLL Schedule'!Princ,0),"")</f>
        <v/>
      </c>
      <c r="J132" s="525">
        <f>SUM($H$18:$H132)</f>
        <v>257912.99524975716</v>
      </c>
      <c r="K132" s="499"/>
    </row>
    <row r="133" spans="1:11" ht="12.75" customHeight="1">
      <c r="A133" s="523" t="str">
        <f>IF(AND('DLL Schedule'!Values_Entered=1,A132&lt;&gt;"",I132&gt;0),A132+1,"")</f>
        <v/>
      </c>
      <c r="B133" s="524" t="str">
        <f>IF('DLL Schedule'!Pay_Num&lt;&gt;"",DATE(YEAR('DLL Schedule'!Loan_Start),MONTH('DLL Schedule'!Loan_Start)+('DLL Schedule'!Pay_Num)*12/'DLL Schedule'!Num_Pmt_Per_Year,DAY('DLL Schedule'!Loan_Start)),"")</f>
        <v/>
      </c>
      <c r="C133" s="525" t="str">
        <f>IF('DLL Schedule'!Pay_Num&lt;&gt;"",I132,"")</f>
        <v/>
      </c>
      <c r="D133" s="525" t="str">
        <f>IF('DLL Schedule'!Pay_Num&lt;&gt;"",'DLL Schedule'!Scheduled_Monthly_Payment,"")</f>
        <v/>
      </c>
      <c r="E1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3" s="525" t="str">
        <f>IF('DLL Schedule'!Pay_Num&lt;&gt;"",IF('DLL Schedule'!Sched_Pay+'DLL Schedule'!Extra_Pay&lt;'DLL Schedule'!Beg_Bal,'DLL Schedule'!Sched_Pay+'DLL Schedule'!Extra_Pay,'DLL Schedule'!Beg_Bal),"")</f>
        <v/>
      </c>
      <c r="G133" s="525" t="str">
        <f>IF('DLL Schedule'!Pay_Num&lt;&gt;"",'DLL Schedule'!Total_Pay-'DLL Schedule'!Int,"")</f>
        <v/>
      </c>
      <c r="H133" s="525" t="str">
        <f>IF('DLL Schedule'!Pay_Num&lt;&gt;"",'DLL Schedule'!Beg_Bal*'DLL Schedule'!Interest_Rate/'DLL Schedule'!Num_Pmt_Per_Year,"")</f>
        <v/>
      </c>
      <c r="I133" s="525" t="str">
        <f>IF('DLL Schedule'!Pay_Num&lt;&gt;"",IF('DLL Schedule'!Sched_Pay+'DLL Schedule'!Extra_Pay&lt;'DLL Schedule'!Beg_Bal,'DLL Schedule'!Beg_Bal-'DLL Schedule'!Princ,0),"")</f>
        <v/>
      </c>
      <c r="J133" s="525">
        <f>SUM($H$18:$H133)</f>
        <v>257912.99524975716</v>
      </c>
      <c r="K133" s="499"/>
    </row>
    <row r="134" spans="1:11" ht="12.75" customHeight="1">
      <c r="A134" s="523" t="str">
        <f>IF(AND('DLL Schedule'!Values_Entered=1,A133&lt;&gt;"",I133&gt;0),A133+1,"")</f>
        <v/>
      </c>
      <c r="B134" s="524" t="str">
        <f>IF('DLL Schedule'!Pay_Num&lt;&gt;"",DATE(YEAR('DLL Schedule'!Loan_Start),MONTH('DLL Schedule'!Loan_Start)+('DLL Schedule'!Pay_Num)*12/'DLL Schedule'!Num_Pmt_Per_Year,DAY('DLL Schedule'!Loan_Start)),"")</f>
        <v/>
      </c>
      <c r="C134" s="525" t="str">
        <f>IF('DLL Schedule'!Pay_Num&lt;&gt;"",I133,"")</f>
        <v/>
      </c>
      <c r="D134" s="525" t="str">
        <f>IF('DLL Schedule'!Pay_Num&lt;&gt;"",'DLL Schedule'!Scheduled_Monthly_Payment,"")</f>
        <v/>
      </c>
      <c r="E1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4" s="525" t="str">
        <f>IF('DLL Schedule'!Pay_Num&lt;&gt;"",IF('DLL Schedule'!Sched_Pay+'DLL Schedule'!Extra_Pay&lt;'DLL Schedule'!Beg_Bal,'DLL Schedule'!Sched_Pay+'DLL Schedule'!Extra_Pay,'DLL Schedule'!Beg_Bal),"")</f>
        <v/>
      </c>
      <c r="G134" s="525" t="str">
        <f>IF('DLL Schedule'!Pay_Num&lt;&gt;"",'DLL Schedule'!Total_Pay-'DLL Schedule'!Int,"")</f>
        <v/>
      </c>
      <c r="H134" s="525" t="str">
        <f>IF('DLL Schedule'!Pay_Num&lt;&gt;"",'DLL Schedule'!Beg_Bal*'DLL Schedule'!Interest_Rate/'DLL Schedule'!Num_Pmt_Per_Year,"")</f>
        <v/>
      </c>
      <c r="I134" s="525" t="str">
        <f>IF('DLL Schedule'!Pay_Num&lt;&gt;"",IF('DLL Schedule'!Sched_Pay+'DLL Schedule'!Extra_Pay&lt;'DLL Schedule'!Beg_Bal,'DLL Schedule'!Beg_Bal-'DLL Schedule'!Princ,0),"")</f>
        <v/>
      </c>
      <c r="J134" s="525">
        <f>SUM($H$18:$H134)</f>
        <v>257912.99524975716</v>
      </c>
      <c r="K134" s="499"/>
    </row>
    <row r="135" spans="1:11" ht="12.75" customHeight="1">
      <c r="A135" s="523" t="str">
        <f>IF(AND('DLL Schedule'!Values_Entered=1,A134&lt;&gt;"",I134&gt;0),A134+1,"")</f>
        <v/>
      </c>
      <c r="B135" s="524" t="str">
        <f>IF('DLL Schedule'!Pay_Num&lt;&gt;"",DATE(YEAR('DLL Schedule'!Loan_Start),MONTH('DLL Schedule'!Loan_Start)+('DLL Schedule'!Pay_Num)*12/'DLL Schedule'!Num_Pmt_Per_Year,DAY('DLL Schedule'!Loan_Start)),"")</f>
        <v/>
      </c>
      <c r="C135" s="525" t="str">
        <f>IF('DLL Schedule'!Pay_Num&lt;&gt;"",I134,"")</f>
        <v/>
      </c>
      <c r="D135" s="525" t="str">
        <f>IF('DLL Schedule'!Pay_Num&lt;&gt;"",'DLL Schedule'!Scheduled_Monthly_Payment,"")</f>
        <v/>
      </c>
      <c r="E1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5" s="525" t="str">
        <f>IF('DLL Schedule'!Pay_Num&lt;&gt;"",IF('DLL Schedule'!Sched_Pay+'DLL Schedule'!Extra_Pay&lt;'DLL Schedule'!Beg_Bal,'DLL Schedule'!Sched_Pay+'DLL Schedule'!Extra_Pay,'DLL Schedule'!Beg_Bal),"")</f>
        <v/>
      </c>
      <c r="G135" s="525" t="str">
        <f>IF('DLL Schedule'!Pay_Num&lt;&gt;"",'DLL Schedule'!Total_Pay-'DLL Schedule'!Int,"")</f>
        <v/>
      </c>
      <c r="H135" s="525" t="str">
        <f>IF('DLL Schedule'!Pay_Num&lt;&gt;"",'DLL Schedule'!Beg_Bal*'DLL Schedule'!Interest_Rate/'DLL Schedule'!Num_Pmt_Per_Year,"")</f>
        <v/>
      </c>
      <c r="I135" s="525" t="str">
        <f>IF('DLL Schedule'!Pay_Num&lt;&gt;"",IF('DLL Schedule'!Sched_Pay+'DLL Schedule'!Extra_Pay&lt;'DLL Schedule'!Beg_Bal,'DLL Schedule'!Beg_Bal-'DLL Schedule'!Princ,0),"")</f>
        <v/>
      </c>
      <c r="J135" s="525">
        <f>SUM($H$18:$H135)</f>
        <v>257912.99524975716</v>
      </c>
      <c r="K135" s="499"/>
    </row>
    <row r="136" spans="1:11" ht="12.75" customHeight="1">
      <c r="A136" s="523" t="str">
        <f>IF(AND('DLL Schedule'!Values_Entered=1,A135&lt;&gt;"",I135&gt;0),A135+1,"")</f>
        <v/>
      </c>
      <c r="B136" s="524" t="str">
        <f>IF('DLL Schedule'!Pay_Num&lt;&gt;"",DATE(YEAR('DLL Schedule'!Loan_Start),MONTH('DLL Schedule'!Loan_Start)+('DLL Schedule'!Pay_Num)*12/'DLL Schedule'!Num_Pmt_Per_Year,DAY('DLL Schedule'!Loan_Start)),"")</f>
        <v/>
      </c>
      <c r="C136" s="525" t="str">
        <f>IF('DLL Schedule'!Pay_Num&lt;&gt;"",I135,"")</f>
        <v/>
      </c>
      <c r="D136" s="525" t="str">
        <f>IF('DLL Schedule'!Pay_Num&lt;&gt;"",'DLL Schedule'!Scheduled_Monthly_Payment,"")</f>
        <v/>
      </c>
      <c r="E1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6" s="525" t="str">
        <f>IF('DLL Schedule'!Pay_Num&lt;&gt;"",IF('DLL Schedule'!Sched_Pay+'DLL Schedule'!Extra_Pay&lt;'DLL Schedule'!Beg_Bal,'DLL Schedule'!Sched_Pay+'DLL Schedule'!Extra_Pay,'DLL Schedule'!Beg_Bal),"")</f>
        <v/>
      </c>
      <c r="G136" s="525" t="str">
        <f>IF('DLL Schedule'!Pay_Num&lt;&gt;"",'DLL Schedule'!Total_Pay-'DLL Schedule'!Int,"")</f>
        <v/>
      </c>
      <c r="H136" s="525" t="str">
        <f>IF('DLL Schedule'!Pay_Num&lt;&gt;"",'DLL Schedule'!Beg_Bal*'DLL Schedule'!Interest_Rate/'DLL Schedule'!Num_Pmt_Per_Year,"")</f>
        <v/>
      </c>
      <c r="I136" s="525" t="str">
        <f>IF('DLL Schedule'!Pay_Num&lt;&gt;"",IF('DLL Schedule'!Sched_Pay+'DLL Schedule'!Extra_Pay&lt;'DLL Schedule'!Beg_Bal,'DLL Schedule'!Beg_Bal-'DLL Schedule'!Princ,0),"")</f>
        <v/>
      </c>
      <c r="J136" s="525">
        <f>SUM($H$18:$H136)</f>
        <v>257912.99524975716</v>
      </c>
      <c r="K136" s="499"/>
    </row>
    <row r="137" spans="1:11" ht="12.75" customHeight="1">
      <c r="A137" s="523" t="str">
        <f>IF(AND('DLL Schedule'!Values_Entered=1,A136&lt;&gt;"",I136&gt;0),A136+1,"")</f>
        <v/>
      </c>
      <c r="B137" s="524" t="str">
        <f>IF('DLL Schedule'!Pay_Num&lt;&gt;"",DATE(YEAR('DLL Schedule'!Loan_Start),MONTH('DLL Schedule'!Loan_Start)+('DLL Schedule'!Pay_Num)*12/'DLL Schedule'!Num_Pmt_Per_Year,DAY('DLL Schedule'!Loan_Start)),"")</f>
        <v/>
      </c>
      <c r="C137" s="525" t="str">
        <f>IF('DLL Schedule'!Pay_Num&lt;&gt;"",I136,"")</f>
        <v/>
      </c>
      <c r="D137" s="525" t="str">
        <f>IF('DLL Schedule'!Pay_Num&lt;&gt;"",'DLL Schedule'!Scheduled_Monthly_Payment,"")</f>
        <v/>
      </c>
      <c r="E1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7" s="525" t="str">
        <f>IF('DLL Schedule'!Pay_Num&lt;&gt;"",IF('DLL Schedule'!Sched_Pay+'DLL Schedule'!Extra_Pay&lt;'DLL Schedule'!Beg_Bal,'DLL Schedule'!Sched_Pay+'DLL Schedule'!Extra_Pay,'DLL Schedule'!Beg_Bal),"")</f>
        <v/>
      </c>
      <c r="G137" s="525" t="str">
        <f>IF('DLL Schedule'!Pay_Num&lt;&gt;"",'DLL Schedule'!Total_Pay-'DLL Schedule'!Int,"")</f>
        <v/>
      </c>
      <c r="H137" s="525" t="str">
        <f>IF('DLL Schedule'!Pay_Num&lt;&gt;"",'DLL Schedule'!Beg_Bal*'DLL Schedule'!Interest_Rate/'DLL Schedule'!Num_Pmt_Per_Year,"")</f>
        <v/>
      </c>
      <c r="I137" s="525" t="str">
        <f>IF('DLL Schedule'!Pay_Num&lt;&gt;"",IF('DLL Schedule'!Sched_Pay+'DLL Schedule'!Extra_Pay&lt;'DLL Schedule'!Beg_Bal,'DLL Schedule'!Beg_Bal-'DLL Schedule'!Princ,0),"")</f>
        <v/>
      </c>
      <c r="J137" s="525">
        <f>SUM($H$18:$H137)</f>
        <v>257912.99524975716</v>
      </c>
      <c r="K137" s="499"/>
    </row>
    <row r="138" spans="1:11" ht="12.75" customHeight="1">
      <c r="A138" s="523" t="str">
        <f>IF(AND('DLL Schedule'!Values_Entered=1,A137&lt;&gt;"",I137&gt;0),A137+1,"")</f>
        <v/>
      </c>
      <c r="B138" s="524" t="str">
        <f>IF('DLL Schedule'!Pay_Num&lt;&gt;"",DATE(YEAR('DLL Schedule'!Loan_Start),MONTH('DLL Schedule'!Loan_Start)+('DLL Schedule'!Pay_Num)*12/'DLL Schedule'!Num_Pmt_Per_Year,DAY('DLL Schedule'!Loan_Start)),"")</f>
        <v/>
      </c>
      <c r="C138" s="525" t="str">
        <f>IF('DLL Schedule'!Pay_Num&lt;&gt;"",I137,"")</f>
        <v/>
      </c>
      <c r="D138" s="525" t="str">
        <f>IF('DLL Schedule'!Pay_Num&lt;&gt;"",'DLL Schedule'!Scheduled_Monthly_Payment,"")</f>
        <v/>
      </c>
      <c r="E1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8" s="525" t="str">
        <f>IF('DLL Schedule'!Pay_Num&lt;&gt;"",IF('DLL Schedule'!Sched_Pay+'DLL Schedule'!Extra_Pay&lt;'DLL Schedule'!Beg_Bal,'DLL Schedule'!Sched_Pay+'DLL Schedule'!Extra_Pay,'DLL Schedule'!Beg_Bal),"")</f>
        <v/>
      </c>
      <c r="G138" s="525" t="str">
        <f>IF('DLL Schedule'!Pay_Num&lt;&gt;"",'DLL Schedule'!Total_Pay-'DLL Schedule'!Int,"")</f>
        <v/>
      </c>
      <c r="H138" s="525" t="str">
        <f>IF('DLL Schedule'!Pay_Num&lt;&gt;"",'DLL Schedule'!Beg_Bal*'DLL Schedule'!Interest_Rate/'DLL Schedule'!Num_Pmt_Per_Year,"")</f>
        <v/>
      </c>
      <c r="I138" s="525" t="str">
        <f>IF('DLL Schedule'!Pay_Num&lt;&gt;"",IF('DLL Schedule'!Sched_Pay+'DLL Schedule'!Extra_Pay&lt;'DLL Schedule'!Beg_Bal,'DLL Schedule'!Beg_Bal-'DLL Schedule'!Princ,0),"")</f>
        <v/>
      </c>
      <c r="J138" s="525">
        <f>SUM($H$18:$H138)</f>
        <v>257912.99524975716</v>
      </c>
      <c r="K138" s="499"/>
    </row>
    <row r="139" spans="1:11" ht="12.75" customHeight="1">
      <c r="A139" s="523" t="str">
        <f>IF(AND('DLL Schedule'!Values_Entered=1,A138&lt;&gt;"",I138&gt;0),A138+1,"")</f>
        <v/>
      </c>
      <c r="B139" s="524" t="str">
        <f>IF('DLL Schedule'!Pay_Num&lt;&gt;"",DATE(YEAR('DLL Schedule'!Loan_Start),MONTH('DLL Schedule'!Loan_Start)+('DLL Schedule'!Pay_Num)*12/'DLL Schedule'!Num_Pmt_Per_Year,DAY('DLL Schedule'!Loan_Start)),"")</f>
        <v/>
      </c>
      <c r="C139" s="525" t="str">
        <f>IF('DLL Schedule'!Pay_Num&lt;&gt;"",I138,"")</f>
        <v/>
      </c>
      <c r="D139" s="525" t="str">
        <f>IF('DLL Schedule'!Pay_Num&lt;&gt;"",'DLL Schedule'!Scheduled_Monthly_Payment,"")</f>
        <v/>
      </c>
      <c r="E1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9" s="525" t="str">
        <f>IF('DLL Schedule'!Pay_Num&lt;&gt;"",IF('DLL Schedule'!Sched_Pay+'DLL Schedule'!Extra_Pay&lt;'DLL Schedule'!Beg_Bal,'DLL Schedule'!Sched_Pay+'DLL Schedule'!Extra_Pay,'DLL Schedule'!Beg_Bal),"")</f>
        <v/>
      </c>
      <c r="G139" s="525" t="str">
        <f>IF('DLL Schedule'!Pay_Num&lt;&gt;"",'DLL Schedule'!Total_Pay-'DLL Schedule'!Int,"")</f>
        <v/>
      </c>
      <c r="H139" s="525" t="str">
        <f>IF('DLL Schedule'!Pay_Num&lt;&gt;"",'DLL Schedule'!Beg_Bal*'DLL Schedule'!Interest_Rate/'DLL Schedule'!Num_Pmt_Per_Year,"")</f>
        <v/>
      </c>
      <c r="I139" s="525" t="str">
        <f>IF('DLL Schedule'!Pay_Num&lt;&gt;"",IF('DLL Schedule'!Sched_Pay+'DLL Schedule'!Extra_Pay&lt;'DLL Schedule'!Beg_Bal,'DLL Schedule'!Beg_Bal-'DLL Schedule'!Princ,0),"")</f>
        <v/>
      </c>
      <c r="J139" s="525">
        <f>SUM($H$18:$H139)</f>
        <v>257912.99524975716</v>
      </c>
      <c r="K139" s="499"/>
    </row>
    <row r="140" spans="1:11" ht="12.75" customHeight="1">
      <c r="A140" s="523" t="str">
        <f>IF(AND('DLL Schedule'!Values_Entered=1,A139&lt;&gt;"",I139&gt;0),A139+1,"")</f>
        <v/>
      </c>
      <c r="B140" s="524" t="str">
        <f>IF('DLL Schedule'!Pay_Num&lt;&gt;"",DATE(YEAR('DLL Schedule'!Loan_Start),MONTH('DLL Schedule'!Loan_Start)+('DLL Schedule'!Pay_Num)*12/'DLL Schedule'!Num_Pmt_Per_Year,DAY('DLL Schedule'!Loan_Start)),"")</f>
        <v/>
      </c>
      <c r="C140" s="525" t="str">
        <f>IF('DLL Schedule'!Pay_Num&lt;&gt;"",I139,"")</f>
        <v/>
      </c>
      <c r="D140" s="525" t="str">
        <f>IF('DLL Schedule'!Pay_Num&lt;&gt;"",'DLL Schedule'!Scheduled_Monthly_Payment,"")</f>
        <v/>
      </c>
      <c r="E1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0" s="525" t="str">
        <f>IF('DLL Schedule'!Pay_Num&lt;&gt;"",IF('DLL Schedule'!Sched_Pay+'DLL Schedule'!Extra_Pay&lt;'DLL Schedule'!Beg_Bal,'DLL Schedule'!Sched_Pay+'DLL Schedule'!Extra_Pay,'DLL Schedule'!Beg_Bal),"")</f>
        <v/>
      </c>
      <c r="G140" s="525" t="str">
        <f>IF('DLL Schedule'!Pay_Num&lt;&gt;"",'DLL Schedule'!Total_Pay-'DLL Schedule'!Int,"")</f>
        <v/>
      </c>
      <c r="H140" s="525" t="str">
        <f>IF('DLL Schedule'!Pay_Num&lt;&gt;"",'DLL Schedule'!Beg_Bal*'DLL Schedule'!Interest_Rate/'DLL Schedule'!Num_Pmt_Per_Year,"")</f>
        <v/>
      </c>
      <c r="I140" s="525" t="str">
        <f>IF('DLL Schedule'!Pay_Num&lt;&gt;"",IF('DLL Schedule'!Sched_Pay+'DLL Schedule'!Extra_Pay&lt;'DLL Schedule'!Beg_Bal,'DLL Schedule'!Beg_Bal-'DLL Schedule'!Princ,0),"")</f>
        <v/>
      </c>
      <c r="J140" s="525">
        <f>SUM($H$18:$H140)</f>
        <v>257912.99524975716</v>
      </c>
      <c r="K140" s="499"/>
    </row>
    <row r="141" spans="1:11" ht="12.75" customHeight="1">
      <c r="A141" s="523" t="str">
        <f>IF(AND('DLL Schedule'!Values_Entered=1,A140&lt;&gt;"",I140&gt;0),A140+1,"")</f>
        <v/>
      </c>
      <c r="B141" s="524" t="str">
        <f>IF('DLL Schedule'!Pay_Num&lt;&gt;"",DATE(YEAR('DLL Schedule'!Loan_Start),MONTH('DLL Schedule'!Loan_Start)+('DLL Schedule'!Pay_Num)*12/'DLL Schedule'!Num_Pmt_Per_Year,DAY('DLL Schedule'!Loan_Start)),"")</f>
        <v/>
      </c>
      <c r="C141" s="525" t="str">
        <f>IF('DLL Schedule'!Pay_Num&lt;&gt;"",I140,"")</f>
        <v/>
      </c>
      <c r="D141" s="525" t="str">
        <f>IF('DLL Schedule'!Pay_Num&lt;&gt;"",'DLL Schedule'!Scheduled_Monthly_Payment,"")</f>
        <v/>
      </c>
      <c r="E1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1" s="525" t="str">
        <f>IF('DLL Schedule'!Pay_Num&lt;&gt;"",IF('DLL Schedule'!Sched_Pay+'DLL Schedule'!Extra_Pay&lt;'DLL Schedule'!Beg_Bal,'DLL Schedule'!Sched_Pay+'DLL Schedule'!Extra_Pay,'DLL Schedule'!Beg_Bal),"")</f>
        <v/>
      </c>
      <c r="G141" s="525" t="str">
        <f>IF('DLL Schedule'!Pay_Num&lt;&gt;"",'DLL Schedule'!Total_Pay-'DLL Schedule'!Int,"")</f>
        <v/>
      </c>
      <c r="H141" s="525" t="str">
        <f>IF('DLL Schedule'!Pay_Num&lt;&gt;"",'DLL Schedule'!Beg_Bal*'DLL Schedule'!Interest_Rate/'DLL Schedule'!Num_Pmt_Per_Year,"")</f>
        <v/>
      </c>
      <c r="I141" s="525" t="str">
        <f>IF('DLL Schedule'!Pay_Num&lt;&gt;"",IF('DLL Schedule'!Sched_Pay+'DLL Schedule'!Extra_Pay&lt;'DLL Schedule'!Beg_Bal,'DLL Schedule'!Beg_Bal-'DLL Schedule'!Princ,0),"")</f>
        <v/>
      </c>
      <c r="J141" s="525">
        <f>SUM($H$18:$H141)</f>
        <v>257912.99524975716</v>
      </c>
      <c r="K141" s="499"/>
    </row>
    <row r="142" spans="1:11" ht="12.75" customHeight="1">
      <c r="A142" s="523" t="str">
        <f>IF(AND('DLL Schedule'!Values_Entered=1,A141&lt;&gt;"",I141&gt;0),A141+1,"")</f>
        <v/>
      </c>
      <c r="B142" s="524" t="str">
        <f>IF('DLL Schedule'!Pay_Num&lt;&gt;"",DATE(YEAR('DLL Schedule'!Loan_Start),MONTH('DLL Schedule'!Loan_Start)+('DLL Schedule'!Pay_Num)*12/'DLL Schedule'!Num_Pmt_Per_Year,DAY('DLL Schedule'!Loan_Start)),"")</f>
        <v/>
      </c>
      <c r="C142" s="525" t="str">
        <f>IF('DLL Schedule'!Pay_Num&lt;&gt;"",I141,"")</f>
        <v/>
      </c>
      <c r="D142" s="525" t="str">
        <f>IF('DLL Schedule'!Pay_Num&lt;&gt;"",'DLL Schedule'!Scheduled_Monthly_Payment,"")</f>
        <v/>
      </c>
      <c r="E1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2" s="525" t="str">
        <f>IF('DLL Schedule'!Pay_Num&lt;&gt;"",IF('DLL Schedule'!Sched_Pay+'DLL Schedule'!Extra_Pay&lt;'DLL Schedule'!Beg_Bal,'DLL Schedule'!Sched_Pay+'DLL Schedule'!Extra_Pay,'DLL Schedule'!Beg_Bal),"")</f>
        <v/>
      </c>
      <c r="G142" s="525" t="str">
        <f>IF('DLL Schedule'!Pay_Num&lt;&gt;"",'DLL Schedule'!Total_Pay-'DLL Schedule'!Int,"")</f>
        <v/>
      </c>
      <c r="H142" s="525" t="str">
        <f>IF('DLL Schedule'!Pay_Num&lt;&gt;"",'DLL Schedule'!Beg_Bal*'DLL Schedule'!Interest_Rate/'DLL Schedule'!Num_Pmt_Per_Year,"")</f>
        <v/>
      </c>
      <c r="I142" s="525" t="str">
        <f>IF('DLL Schedule'!Pay_Num&lt;&gt;"",IF('DLL Schedule'!Sched_Pay+'DLL Schedule'!Extra_Pay&lt;'DLL Schedule'!Beg_Bal,'DLL Schedule'!Beg_Bal-'DLL Schedule'!Princ,0),"")</f>
        <v/>
      </c>
      <c r="J142" s="525">
        <f>SUM($H$18:$H142)</f>
        <v>257912.99524975716</v>
      </c>
      <c r="K142" s="499"/>
    </row>
    <row r="143" spans="1:11" ht="12.75" customHeight="1">
      <c r="A143" s="523" t="str">
        <f>IF(AND('DLL Schedule'!Values_Entered=1,A142&lt;&gt;"",I142&gt;0),A142+1,"")</f>
        <v/>
      </c>
      <c r="B143" s="524" t="str">
        <f>IF('DLL Schedule'!Pay_Num&lt;&gt;"",DATE(YEAR('DLL Schedule'!Loan_Start),MONTH('DLL Schedule'!Loan_Start)+('DLL Schedule'!Pay_Num)*12/'DLL Schedule'!Num_Pmt_Per_Year,DAY('DLL Schedule'!Loan_Start)),"")</f>
        <v/>
      </c>
      <c r="C143" s="525" t="str">
        <f>IF('DLL Schedule'!Pay_Num&lt;&gt;"",I142,"")</f>
        <v/>
      </c>
      <c r="D143" s="525" t="str">
        <f>IF('DLL Schedule'!Pay_Num&lt;&gt;"",'DLL Schedule'!Scheduled_Monthly_Payment,"")</f>
        <v/>
      </c>
      <c r="E1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3" s="525" t="str">
        <f>IF('DLL Schedule'!Pay_Num&lt;&gt;"",IF('DLL Schedule'!Sched_Pay+'DLL Schedule'!Extra_Pay&lt;'DLL Schedule'!Beg_Bal,'DLL Schedule'!Sched_Pay+'DLL Schedule'!Extra_Pay,'DLL Schedule'!Beg_Bal),"")</f>
        <v/>
      </c>
      <c r="G143" s="525" t="str">
        <f>IF('DLL Schedule'!Pay_Num&lt;&gt;"",'DLL Schedule'!Total_Pay-'DLL Schedule'!Int,"")</f>
        <v/>
      </c>
      <c r="H143" s="525" t="str">
        <f>IF('DLL Schedule'!Pay_Num&lt;&gt;"",'DLL Schedule'!Beg_Bal*'DLL Schedule'!Interest_Rate/'DLL Schedule'!Num_Pmt_Per_Year,"")</f>
        <v/>
      </c>
      <c r="I143" s="525" t="str">
        <f>IF('DLL Schedule'!Pay_Num&lt;&gt;"",IF('DLL Schedule'!Sched_Pay+'DLL Schedule'!Extra_Pay&lt;'DLL Schedule'!Beg_Bal,'DLL Schedule'!Beg_Bal-'DLL Schedule'!Princ,0),"")</f>
        <v/>
      </c>
      <c r="J143" s="525">
        <f>SUM($H$18:$H143)</f>
        <v>257912.99524975716</v>
      </c>
      <c r="K143" s="499"/>
    </row>
    <row r="144" spans="1:11" ht="12.75" customHeight="1">
      <c r="A144" s="523" t="str">
        <f>IF(AND('DLL Schedule'!Values_Entered=1,A143&lt;&gt;"",I143&gt;0),A143+1,"")</f>
        <v/>
      </c>
      <c r="B144" s="524" t="str">
        <f>IF('DLL Schedule'!Pay_Num&lt;&gt;"",DATE(YEAR('DLL Schedule'!Loan_Start),MONTH('DLL Schedule'!Loan_Start)+('DLL Schedule'!Pay_Num)*12/'DLL Schedule'!Num_Pmt_Per_Year,DAY('DLL Schedule'!Loan_Start)),"")</f>
        <v/>
      </c>
      <c r="C144" s="525" t="str">
        <f>IF('DLL Schedule'!Pay_Num&lt;&gt;"",I143,"")</f>
        <v/>
      </c>
      <c r="D144" s="525" t="str">
        <f>IF('DLL Schedule'!Pay_Num&lt;&gt;"",'DLL Schedule'!Scheduled_Monthly_Payment,"")</f>
        <v/>
      </c>
      <c r="E1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4" s="525" t="str">
        <f>IF('DLL Schedule'!Pay_Num&lt;&gt;"",IF('DLL Schedule'!Sched_Pay+'DLL Schedule'!Extra_Pay&lt;'DLL Schedule'!Beg_Bal,'DLL Schedule'!Sched_Pay+'DLL Schedule'!Extra_Pay,'DLL Schedule'!Beg_Bal),"")</f>
        <v/>
      </c>
      <c r="G144" s="525" t="str">
        <f>IF('DLL Schedule'!Pay_Num&lt;&gt;"",'DLL Schedule'!Total_Pay-'DLL Schedule'!Int,"")</f>
        <v/>
      </c>
      <c r="H144" s="525" t="str">
        <f>IF('DLL Schedule'!Pay_Num&lt;&gt;"",'DLL Schedule'!Beg_Bal*'DLL Schedule'!Interest_Rate/'DLL Schedule'!Num_Pmt_Per_Year,"")</f>
        <v/>
      </c>
      <c r="I144" s="525" t="str">
        <f>IF('DLL Schedule'!Pay_Num&lt;&gt;"",IF('DLL Schedule'!Sched_Pay+'DLL Schedule'!Extra_Pay&lt;'DLL Schedule'!Beg_Bal,'DLL Schedule'!Beg_Bal-'DLL Schedule'!Princ,0),"")</f>
        <v/>
      </c>
      <c r="J144" s="525">
        <f>SUM($H$18:$H144)</f>
        <v>257912.99524975716</v>
      </c>
      <c r="K144" s="499"/>
    </row>
    <row r="145" spans="1:11" ht="12.75" customHeight="1">
      <c r="A145" s="523" t="str">
        <f>IF(AND('DLL Schedule'!Values_Entered=1,A144&lt;&gt;"",I144&gt;0),A144+1,"")</f>
        <v/>
      </c>
      <c r="B145" s="524" t="str">
        <f>IF('DLL Schedule'!Pay_Num&lt;&gt;"",DATE(YEAR('DLL Schedule'!Loan_Start),MONTH('DLL Schedule'!Loan_Start)+('DLL Schedule'!Pay_Num)*12/'DLL Schedule'!Num_Pmt_Per_Year,DAY('DLL Schedule'!Loan_Start)),"")</f>
        <v/>
      </c>
      <c r="C145" s="525" t="str">
        <f>IF('DLL Schedule'!Pay_Num&lt;&gt;"",I144,"")</f>
        <v/>
      </c>
      <c r="D145" s="525" t="str">
        <f>IF('DLL Schedule'!Pay_Num&lt;&gt;"",'DLL Schedule'!Scheduled_Monthly_Payment,"")</f>
        <v/>
      </c>
      <c r="E1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5" s="525" t="str">
        <f>IF('DLL Schedule'!Pay_Num&lt;&gt;"",IF('DLL Schedule'!Sched_Pay+'DLL Schedule'!Extra_Pay&lt;'DLL Schedule'!Beg_Bal,'DLL Schedule'!Sched_Pay+'DLL Schedule'!Extra_Pay,'DLL Schedule'!Beg_Bal),"")</f>
        <v/>
      </c>
      <c r="G145" s="525" t="str">
        <f>IF('DLL Schedule'!Pay_Num&lt;&gt;"",'DLL Schedule'!Total_Pay-'DLL Schedule'!Int,"")</f>
        <v/>
      </c>
      <c r="H145" s="525" t="str">
        <f>IF('DLL Schedule'!Pay_Num&lt;&gt;"",'DLL Schedule'!Beg_Bal*'DLL Schedule'!Interest_Rate/'DLL Schedule'!Num_Pmt_Per_Year,"")</f>
        <v/>
      </c>
      <c r="I145" s="525" t="str">
        <f>IF('DLL Schedule'!Pay_Num&lt;&gt;"",IF('DLL Schedule'!Sched_Pay+'DLL Schedule'!Extra_Pay&lt;'DLL Schedule'!Beg_Bal,'DLL Schedule'!Beg_Bal-'DLL Schedule'!Princ,0),"")</f>
        <v/>
      </c>
      <c r="J145" s="525">
        <f>SUM($H$18:$H145)</f>
        <v>257912.99524975716</v>
      </c>
      <c r="K145" s="499"/>
    </row>
    <row r="146" spans="1:11" ht="12.75" customHeight="1">
      <c r="A146" s="523" t="str">
        <f>IF(AND('DLL Schedule'!Values_Entered=1,A145&lt;&gt;"",I145&gt;0),A145+1,"")</f>
        <v/>
      </c>
      <c r="B146" s="524" t="str">
        <f>IF('DLL Schedule'!Pay_Num&lt;&gt;"",DATE(YEAR('DLL Schedule'!Loan_Start),MONTH('DLL Schedule'!Loan_Start)+('DLL Schedule'!Pay_Num)*12/'DLL Schedule'!Num_Pmt_Per_Year,DAY('DLL Schedule'!Loan_Start)),"")</f>
        <v/>
      </c>
      <c r="C146" s="525" t="str">
        <f>IF('DLL Schedule'!Pay_Num&lt;&gt;"",I145,"")</f>
        <v/>
      </c>
      <c r="D146" s="525" t="str">
        <f>IF('DLL Schedule'!Pay_Num&lt;&gt;"",'DLL Schedule'!Scheduled_Monthly_Payment,"")</f>
        <v/>
      </c>
      <c r="E1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6" s="525" t="str">
        <f>IF('DLL Schedule'!Pay_Num&lt;&gt;"",IF('DLL Schedule'!Sched_Pay+'DLL Schedule'!Extra_Pay&lt;'DLL Schedule'!Beg_Bal,'DLL Schedule'!Sched_Pay+'DLL Schedule'!Extra_Pay,'DLL Schedule'!Beg_Bal),"")</f>
        <v/>
      </c>
      <c r="G146" s="525" t="str">
        <f>IF('DLL Schedule'!Pay_Num&lt;&gt;"",'DLL Schedule'!Total_Pay-'DLL Schedule'!Int,"")</f>
        <v/>
      </c>
      <c r="H146" s="525" t="str">
        <f>IF('DLL Schedule'!Pay_Num&lt;&gt;"",'DLL Schedule'!Beg_Bal*'DLL Schedule'!Interest_Rate/'DLL Schedule'!Num_Pmt_Per_Year,"")</f>
        <v/>
      </c>
      <c r="I146" s="525" t="str">
        <f>IF('DLL Schedule'!Pay_Num&lt;&gt;"",IF('DLL Schedule'!Sched_Pay+'DLL Schedule'!Extra_Pay&lt;'DLL Schedule'!Beg_Bal,'DLL Schedule'!Beg_Bal-'DLL Schedule'!Princ,0),"")</f>
        <v/>
      </c>
      <c r="J146" s="525">
        <f>SUM($H$18:$H146)</f>
        <v>257912.99524975716</v>
      </c>
      <c r="K146" s="499"/>
    </row>
    <row r="147" spans="1:11" ht="12.75" customHeight="1">
      <c r="A147" s="523" t="str">
        <f>IF(AND('DLL Schedule'!Values_Entered=1,A146&lt;&gt;"",I146&gt;0),A146+1,"")</f>
        <v/>
      </c>
      <c r="B147" s="524" t="str">
        <f>IF('DLL Schedule'!Pay_Num&lt;&gt;"",DATE(YEAR('DLL Schedule'!Loan_Start),MONTH('DLL Schedule'!Loan_Start)+('DLL Schedule'!Pay_Num)*12/'DLL Schedule'!Num_Pmt_Per_Year,DAY('DLL Schedule'!Loan_Start)),"")</f>
        <v/>
      </c>
      <c r="C147" s="525" t="str">
        <f>IF('DLL Schedule'!Pay_Num&lt;&gt;"",I146,"")</f>
        <v/>
      </c>
      <c r="D147" s="525" t="str">
        <f>IF('DLL Schedule'!Pay_Num&lt;&gt;"",'DLL Schedule'!Scheduled_Monthly_Payment,"")</f>
        <v/>
      </c>
      <c r="E1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7" s="525" t="str">
        <f>IF('DLL Schedule'!Pay_Num&lt;&gt;"",IF('DLL Schedule'!Sched_Pay+'DLL Schedule'!Extra_Pay&lt;'DLL Schedule'!Beg_Bal,'DLL Schedule'!Sched_Pay+'DLL Schedule'!Extra_Pay,'DLL Schedule'!Beg_Bal),"")</f>
        <v/>
      </c>
      <c r="G147" s="525" t="str">
        <f>IF('DLL Schedule'!Pay_Num&lt;&gt;"",'DLL Schedule'!Total_Pay-'DLL Schedule'!Int,"")</f>
        <v/>
      </c>
      <c r="H147" s="525" t="str">
        <f>IF('DLL Schedule'!Pay_Num&lt;&gt;"",'DLL Schedule'!Beg_Bal*'DLL Schedule'!Interest_Rate/'DLL Schedule'!Num_Pmt_Per_Year,"")</f>
        <v/>
      </c>
      <c r="I147" s="525" t="str">
        <f>IF('DLL Schedule'!Pay_Num&lt;&gt;"",IF('DLL Schedule'!Sched_Pay+'DLL Schedule'!Extra_Pay&lt;'DLL Schedule'!Beg_Bal,'DLL Schedule'!Beg_Bal-'DLL Schedule'!Princ,0),"")</f>
        <v/>
      </c>
      <c r="J147" s="525">
        <f>SUM($H$18:$H147)</f>
        <v>257912.99524975716</v>
      </c>
      <c r="K147" s="499"/>
    </row>
    <row r="148" spans="1:11" ht="12.75" customHeight="1">
      <c r="A148" s="523" t="str">
        <f>IF(AND('DLL Schedule'!Values_Entered=1,A147&lt;&gt;"",I147&gt;0),A147+1,"")</f>
        <v/>
      </c>
      <c r="B148" s="524" t="str">
        <f>IF('DLL Schedule'!Pay_Num&lt;&gt;"",DATE(YEAR('DLL Schedule'!Loan_Start),MONTH('DLL Schedule'!Loan_Start)+('DLL Schedule'!Pay_Num)*12/'DLL Schedule'!Num_Pmt_Per_Year,DAY('DLL Schedule'!Loan_Start)),"")</f>
        <v/>
      </c>
      <c r="C148" s="525" t="str">
        <f>IF('DLL Schedule'!Pay_Num&lt;&gt;"",I147,"")</f>
        <v/>
      </c>
      <c r="D148" s="525" t="str">
        <f>IF('DLL Schedule'!Pay_Num&lt;&gt;"",'DLL Schedule'!Scheduled_Monthly_Payment,"")</f>
        <v/>
      </c>
      <c r="E1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8" s="525" t="str">
        <f>IF('DLL Schedule'!Pay_Num&lt;&gt;"",IF('DLL Schedule'!Sched_Pay+'DLL Schedule'!Extra_Pay&lt;'DLL Schedule'!Beg_Bal,'DLL Schedule'!Sched_Pay+'DLL Schedule'!Extra_Pay,'DLL Schedule'!Beg_Bal),"")</f>
        <v/>
      </c>
      <c r="G148" s="525" t="str">
        <f>IF('DLL Schedule'!Pay_Num&lt;&gt;"",'DLL Schedule'!Total_Pay-'DLL Schedule'!Int,"")</f>
        <v/>
      </c>
      <c r="H148" s="525" t="str">
        <f>IF('DLL Schedule'!Pay_Num&lt;&gt;"",'DLL Schedule'!Beg_Bal*'DLL Schedule'!Interest_Rate/'DLL Schedule'!Num_Pmt_Per_Year,"")</f>
        <v/>
      </c>
      <c r="I148" s="525" t="str">
        <f>IF('DLL Schedule'!Pay_Num&lt;&gt;"",IF('DLL Schedule'!Sched_Pay+'DLL Schedule'!Extra_Pay&lt;'DLL Schedule'!Beg_Bal,'DLL Schedule'!Beg_Bal-'DLL Schedule'!Princ,0),"")</f>
        <v/>
      </c>
      <c r="J148" s="525">
        <f>SUM($H$18:$H148)</f>
        <v>257912.99524975716</v>
      </c>
      <c r="K148" s="499"/>
    </row>
    <row r="149" spans="1:11" ht="12.75" customHeight="1">
      <c r="A149" s="523" t="str">
        <f>IF(AND('DLL Schedule'!Values_Entered=1,A148&lt;&gt;"",I148&gt;0),A148+1,"")</f>
        <v/>
      </c>
      <c r="B149" s="524" t="str">
        <f>IF('DLL Schedule'!Pay_Num&lt;&gt;"",DATE(YEAR('DLL Schedule'!Loan_Start),MONTH('DLL Schedule'!Loan_Start)+('DLL Schedule'!Pay_Num)*12/'DLL Schedule'!Num_Pmt_Per_Year,DAY('DLL Schedule'!Loan_Start)),"")</f>
        <v/>
      </c>
      <c r="C149" s="525" t="str">
        <f>IF('DLL Schedule'!Pay_Num&lt;&gt;"",I148,"")</f>
        <v/>
      </c>
      <c r="D149" s="525" t="str">
        <f>IF('DLL Schedule'!Pay_Num&lt;&gt;"",'DLL Schedule'!Scheduled_Monthly_Payment,"")</f>
        <v/>
      </c>
      <c r="E1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9" s="525" t="str">
        <f>IF('DLL Schedule'!Pay_Num&lt;&gt;"",IF('DLL Schedule'!Sched_Pay+'DLL Schedule'!Extra_Pay&lt;'DLL Schedule'!Beg_Bal,'DLL Schedule'!Sched_Pay+'DLL Schedule'!Extra_Pay,'DLL Schedule'!Beg_Bal),"")</f>
        <v/>
      </c>
      <c r="G149" s="525" t="str">
        <f>IF('DLL Schedule'!Pay_Num&lt;&gt;"",'DLL Schedule'!Total_Pay-'DLL Schedule'!Int,"")</f>
        <v/>
      </c>
      <c r="H149" s="525" t="str">
        <f>IF('DLL Schedule'!Pay_Num&lt;&gt;"",'DLL Schedule'!Beg_Bal*'DLL Schedule'!Interest_Rate/'DLL Schedule'!Num_Pmt_Per_Year,"")</f>
        <v/>
      </c>
      <c r="I149" s="525" t="str">
        <f>IF('DLL Schedule'!Pay_Num&lt;&gt;"",IF('DLL Schedule'!Sched_Pay+'DLL Schedule'!Extra_Pay&lt;'DLL Schedule'!Beg_Bal,'DLL Schedule'!Beg_Bal-'DLL Schedule'!Princ,0),"")</f>
        <v/>
      </c>
      <c r="J149" s="525">
        <f>SUM($H$18:$H149)</f>
        <v>257912.99524975716</v>
      </c>
      <c r="K149" s="499"/>
    </row>
    <row r="150" spans="1:11" ht="12.75" customHeight="1">
      <c r="A150" s="523" t="str">
        <f>IF(AND('DLL Schedule'!Values_Entered=1,A149&lt;&gt;"",I149&gt;0),A149+1,"")</f>
        <v/>
      </c>
      <c r="B150" s="524" t="str">
        <f>IF('DLL Schedule'!Pay_Num&lt;&gt;"",DATE(YEAR('DLL Schedule'!Loan_Start),MONTH('DLL Schedule'!Loan_Start)+('DLL Schedule'!Pay_Num)*12/'DLL Schedule'!Num_Pmt_Per_Year,DAY('DLL Schedule'!Loan_Start)),"")</f>
        <v/>
      </c>
      <c r="C150" s="525" t="str">
        <f>IF('DLL Schedule'!Pay_Num&lt;&gt;"",I149,"")</f>
        <v/>
      </c>
      <c r="D150" s="525" t="str">
        <f>IF('DLL Schedule'!Pay_Num&lt;&gt;"",'DLL Schedule'!Scheduled_Monthly_Payment,"")</f>
        <v/>
      </c>
      <c r="E1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0" s="525" t="str">
        <f>IF('DLL Schedule'!Pay_Num&lt;&gt;"",IF('DLL Schedule'!Sched_Pay+'DLL Schedule'!Extra_Pay&lt;'DLL Schedule'!Beg_Bal,'DLL Schedule'!Sched_Pay+'DLL Schedule'!Extra_Pay,'DLL Schedule'!Beg_Bal),"")</f>
        <v/>
      </c>
      <c r="G150" s="525" t="str">
        <f>IF('DLL Schedule'!Pay_Num&lt;&gt;"",'DLL Schedule'!Total_Pay-'DLL Schedule'!Int,"")</f>
        <v/>
      </c>
      <c r="H150" s="525" t="str">
        <f>IF('DLL Schedule'!Pay_Num&lt;&gt;"",'DLL Schedule'!Beg_Bal*'DLL Schedule'!Interest_Rate/'DLL Schedule'!Num_Pmt_Per_Year,"")</f>
        <v/>
      </c>
      <c r="I150" s="525" t="str">
        <f>IF('DLL Schedule'!Pay_Num&lt;&gt;"",IF('DLL Schedule'!Sched_Pay+'DLL Schedule'!Extra_Pay&lt;'DLL Schedule'!Beg_Bal,'DLL Schedule'!Beg_Bal-'DLL Schedule'!Princ,0),"")</f>
        <v/>
      </c>
      <c r="J150" s="525">
        <f>SUM($H$18:$H150)</f>
        <v>257912.99524975716</v>
      </c>
      <c r="K150" s="499"/>
    </row>
    <row r="151" spans="1:11" ht="12.75" customHeight="1">
      <c r="A151" s="523" t="str">
        <f>IF(AND('DLL Schedule'!Values_Entered=1,A150&lt;&gt;"",I150&gt;0),A150+1,"")</f>
        <v/>
      </c>
      <c r="B151" s="524" t="str">
        <f>IF('DLL Schedule'!Pay_Num&lt;&gt;"",DATE(YEAR('DLL Schedule'!Loan_Start),MONTH('DLL Schedule'!Loan_Start)+('DLL Schedule'!Pay_Num)*12/'DLL Schedule'!Num_Pmt_Per_Year,DAY('DLL Schedule'!Loan_Start)),"")</f>
        <v/>
      </c>
      <c r="C151" s="525" t="str">
        <f>IF('DLL Schedule'!Pay_Num&lt;&gt;"",I150,"")</f>
        <v/>
      </c>
      <c r="D151" s="525" t="str">
        <f>IF('DLL Schedule'!Pay_Num&lt;&gt;"",'DLL Schedule'!Scheduled_Monthly_Payment,"")</f>
        <v/>
      </c>
      <c r="E1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1" s="525" t="str">
        <f>IF('DLL Schedule'!Pay_Num&lt;&gt;"",IF('DLL Schedule'!Sched_Pay+'DLL Schedule'!Extra_Pay&lt;'DLL Schedule'!Beg_Bal,'DLL Schedule'!Sched_Pay+'DLL Schedule'!Extra_Pay,'DLL Schedule'!Beg_Bal),"")</f>
        <v/>
      </c>
      <c r="G151" s="525" t="str">
        <f>IF('DLL Schedule'!Pay_Num&lt;&gt;"",'DLL Schedule'!Total_Pay-'DLL Schedule'!Int,"")</f>
        <v/>
      </c>
      <c r="H151" s="525" t="str">
        <f>IF('DLL Schedule'!Pay_Num&lt;&gt;"",'DLL Schedule'!Beg_Bal*'DLL Schedule'!Interest_Rate/'DLL Schedule'!Num_Pmt_Per_Year,"")</f>
        <v/>
      </c>
      <c r="I151" s="525" t="str">
        <f>IF('DLL Schedule'!Pay_Num&lt;&gt;"",IF('DLL Schedule'!Sched_Pay+'DLL Schedule'!Extra_Pay&lt;'DLL Schedule'!Beg_Bal,'DLL Schedule'!Beg_Bal-'DLL Schedule'!Princ,0),"")</f>
        <v/>
      </c>
      <c r="J151" s="525">
        <f>SUM($H$18:$H151)</f>
        <v>257912.99524975716</v>
      </c>
      <c r="K151" s="499"/>
    </row>
    <row r="152" spans="1:11" ht="12.75" customHeight="1">
      <c r="A152" s="523" t="str">
        <f>IF(AND('DLL Schedule'!Values_Entered=1,A151&lt;&gt;"",I151&gt;0),A151+1,"")</f>
        <v/>
      </c>
      <c r="B152" s="524" t="str">
        <f>IF('DLL Schedule'!Pay_Num&lt;&gt;"",DATE(YEAR('DLL Schedule'!Loan_Start),MONTH('DLL Schedule'!Loan_Start)+('DLL Schedule'!Pay_Num)*12/'DLL Schedule'!Num_Pmt_Per_Year,DAY('DLL Schedule'!Loan_Start)),"")</f>
        <v/>
      </c>
      <c r="C152" s="525" t="str">
        <f>IF('DLL Schedule'!Pay_Num&lt;&gt;"",I151,"")</f>
        <v/>
      </c>
      <c r="D152" s="525" t="str">
        <f>IF('DLL Schedule'!Pay_Num&lt;&gt;"",'DLL Schedule'!Scheduled_Monthly_Payment,"")</f>
        <v/>
      </c>
      <c r="E1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2" s="525" t="str">
        <f>IF('DLL Schedule'!Pay_Num&lt;&gt;"",IF('DLL Schedule'!Sched_Pay+'DLL Schedule'!Extra_Pay&lt;'DLL Schedule'!Beg_Bal,'DLL Schedule'!Sched_Pay+'DLL Schedule'!Extra_Pay,'DLL Schedule'!Beg_Bal),"")</f>
        <v/>
      </c>
      <c r="G152" s="525" t="str">
        <f>IF('DLL Schedule'!Pay_Num&lt;&gt;"",'DLL Schedule'!Total_Pay-'DLL Schedule'!Int,"")</f>
        <v/>
      </c>
      <c r="H152" s="525" t="str">
        <f>IF('DLL Schedule'!Pay_Num&lt;&gt;"",'DLL Schedule'!Beg_Bal*'DLL Schedule'!Interest_Rate/'DLL Schedule'!Num_Pmt_Per_Year,"")</f>
        <v/>
      </c>
      <c r="I152" s="525" t="str">
        <f>IF('DLL Schedule'!Pay_Num&lt;&gt;"",IF('DLL Schedule'!Sched_Pay+'DLL Schedule'!Extra_Pay&lt;'DLL Schedule'!Beg_Bal,'DLL Schedule'!Beg_Bal-'DLL Schedule'!Princ,0),"")</f>
        <v/>
      </c>
      <c r="J152" s="525">
        <f>SUM($H$18:$H152)</f>
        <v>257912.99524975716</v>
      </c>
      <c r="K152" s="499"/>
    </row>
    <row r="153" spans="1:11" ht="12.75" customHeight="1">
      <c r="A153" s="523" t="str">
        <f>IF(AND('DLL Schedule'!Values_Entered=1,A152&lt;&gt;"",I152&gt;0),A152+1,"")</f>
        <v/>
      </c>
      <c r="B153" s="524" t="str">
        <f>IF('DLL Schedule'!Pay_Num&lt;&gt;"",DATE(YEAR('DLL Schedule'!Loan_Start),MONTH('DLL Schedule'!Loan_Start)+('DLL Schedule'!Pay_Num)*12/'DLL Schedule'!Num_Pmt_Per_Year,DAY('DLL Schedule'!Loan_Start)),"")</f>
        <v/>
      </c>
      <c r="C153" s="525" t="str">
        <f>IF('DLL Schedule'!Pay_Num&lt;&gt;"",I152,"")</f>
        <v/>
      </c>
      <c r="D153" s="525" t="str">
        <f>IF('DLL Schedule'!Pay_Num&lt;&gt;"",'DLL Schedule'!Scheduled_Monthly_Payment,"")</f>
        <v/>
      </c>
      <c r="E1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3" s="525" t="str">
        <f>IF('DLL Schedule'!Pay_Num&lt;&gt;"",IF('DLL Schedule'!Sched_Pay+'DLL Schedule'!Extra_Pay&lt;'DLL Schedule'!Beg_Bal,'DLL Schedule'!Sched_Pay+'DLL Schedule'!Extra_Pay,'DLL Schedule'!Beg_Bal),"")</f>
        <v/>
      </c>
      <c r="G153" s="525" t="str">
        <f>IF('DLL Schedule'!Pay_Num&lt;&gt;"",'DLL Schedule'!Total_Pay-'DLL Schedule'!Int,"")</f>
        <v/>
      </c>
      <c r="H153" s="525" t="str">
        <f>IF('DLL Schedule'!Pay_Num&lt;&gt;"",'DLL Schedule'!Beg_Bal*'DLL Schedule'!Interest_Rate/'DLL Schedule'!Num_Pmt_Per_Year,"")</f>
        <v/>
      </c>
      <c r="I153" s="525" t="str">
        <f>IF('DLL Schedule'!Pay_Num&lt;&gt;"",IF('DLL Schedule'!Sched_Pay+'DLL Schedule'!Extra_Pay&lt;'DLL Schedule'!Beg_Bal,'DLL Schedule'!Beg_Bal-'DLL Schedule'!Princ,0),"")</f>
        <v/>
      </c>
      <c r="J153" s="525">
        <f>SUM($H$18:$H153)</f>
        <v>257912.99524975716</v>
      </c>
      <c r="K153" s="499"/>
    </row>
    <row r="154" spans="1:11" ht="12.75" customHeight="1">
      <c r="A154" s="523" t="str">
        <f>IF(AND('DLL Schedule'!Values_Entered=1,A153&lt;&gt;"",I153&gt;0),A153+1,"")</f>
        <v/>
      </c>
      <c r="B154" s="524" t="str">
        <f>IF('DLL Schedule'!Pay_Num&lt;&gt;"",DATE(YEAR('DLL Schedule'!Loan_Start),MONTH('DLL Schedule'!Loan_Start)+('DLL Schedule'!Pay_Num)*12/'DLL Schedule'!Num_Pmt_Per_Year,DAY('DLL Schedule'!Loan_Start)),"")</f>
        <v/>
      </c>
      <c r="C154" s="525" t="str">
        <f>IF('DLL Schedule'!Pay_Num&lt;&gt;"",I153,"")</f>
        <v/>
      </c>
      <c r="D154" s="525" t="str">
        <f>IF('DLL Schedule'!Pay_Num&lt;&gt;"",'DLL Schedule'!Scheduled_Monthly_Payment,"")</f>
        <v/>
      </c>
      <c r="E1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4" s="525" t="str">
        <f>IF('DLL Schedule'!Pay_Num&lt;&gt;"",IF('DLL Schedule'!Sched_Pay+'DLL Schedule'!Extra_Pay&lt;'DLL Schedule'!Beg_Bal,'DLL Schedule'!Sched_Pay+'DLL Schedule'!Extra_Pay,'DLL Schedule'!Beg_Bal),"")</f>
        <v/>
      </c>
      <c r="G154" s="525" t="str">
        <f>IF('DLL Schedule'!Pay_Num&lt;&gt;"",'DLL Schedule'!Total_Pay-'DLL Schedule'!Int,"")</f>
        <v/>
      </c>
      <c r="H154" s="525" t="str">
        <f>IF('DLL Schedule'!Pay_Num&lt;&gt;"",'DLL Schedule'!Beg_Bal*'DLL Schedule'!Interest_Rate/'DLL Schedule'!Num_Pmt_Per_Year,"")</f>
        <v/>
      </c>
      <c r="I154" s="525" t="str">
        <f>IF('DLL Schedule'!Pay_Num&lt;&gt;"",IF('DLL Schedule'!Sched_Pay+'DLL Schedule'!Extra_Pay&lt;'DLL Schedule'!Beg_Bal,'DLL Schedule'!Beg_Bal-'DLL Schedule'!Princ,0),"")</f>
        <v/>
      </c>
      <c r="J154" s="525">
        <f>SUM($H$18:$H154)</f>
        <v>257912.99524975716</v>
      </c>
      <c r="K154" s="499"/>
    </row>
    <row r="155" spans="1:11" ht="12.75" customHeight="1">
      <c r="A155" s="523" t="str">
        <f>IF(AND('DLL Schedule'!Values_Entered=1,A154&lt;&gt;"",I154&gt;0),A154+1,"")</f>
        <v/>
      </c>
      <c r="B155" s="524" t="str">
        <f>IF('DLL Schedule'!Pay_Num&lt;&gt;"",DATE(YEAR('DLL Schedule'!Loan_Start),MONTH('DLL Schedule'!Loan_Start)+('DLL Schedule'!Pay_Num)*12/'DLL Schedule'!Num_Pmt_Per_Year,DAY('DLL Schedule'!Loan_Start)),"")</f>
        <v/>
      </c>
      <c r="C155" s="525" t="str">
        <f>IF('DLL Schedule'!Pay_Num&lt;&gt;"",I154,"")</f>
        <v/>
      </c>
      <c r="D155" s="525" t="str">
        <f>IF('DLL Schedule'!Pay_Num&lt;&gt;"",'DLL Schedule'!Scheduled_Monthly_Payment,"")</f>
        <v/>
      </c>
      <c r="E1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5" s="525" t="str">
        <f>IF('DLL Schedule'!Pay_Num&lt;&gt;"",IF('DLL Schedule'!Sched_Pay+'DLL Schedule'!Extra_Pay&lt;'DLL Schedule'!Beg_Bal,'DLL Schedule'!Sched_Pay+'DLL Schedule'!Extra_Pay,'DLL Schedule'!Beg_Bal),"")</f>
        <v/>
      </c>
      <c r="G155" s="525" t="str">
        <f>IF('DLL Schedule'!Pay_Num&lt;&gt;"",'DLL Schedule'!Total_Pay-'DLL Schedule'!Int,"")</f>
        <v/>
      </c>
      <c r="H155" s="525" t="str">
        <f>IF('DLL Schedule'!Pay_Num&lt;&gt;"",'DLL Schedule'!Beg_Bal*'DLL Schedule'!Interest_Rate/'DLL Schedule'!Num_Pmt_Per_Year,"")</f>
        <v/>
      </c>
      <c r="I155" s="525" t="str">
        <f>IF('DLL Schedule'!Pay_Num&lt;&gt;"",IF('DLL Schedule'!Sched_Pay+'DLL Schedule'!Extra_Pay&lt;'DLL Schedule'!Beg_Bal,'DLL Schedule'!Beg_Bal-'DLL Schedule'!Princ,0),"")</f>
        <v/>
      </c>
      <c r="J155" s="525">
        <f>SUM($H$18:$H155)</f>
        <v>257912.99524975716</v>
      </c>
      <c r="K155" s="499"/>
    </row>
    <row r="156" spans="1:11" ht="12.75" customHeight="1">
      <c r="A156" s="523" t="str">
        <f>IF(AND('DLL Schedule'!Values_Entered=1,A155&lt;&gt;"",I155&gt;0),A155+1,"")</f>
        <v/>
      </c>
      <c r="B156" s="524" t="str">
        <f>IF('DLL Schedule'!Pay_Num&lt;&gt;"",DATE(YEAR('DLL Schedule'!Loan_Start),MONTH('DLL Schedule'!Loan_Start)+('DLL Schedule'!Pay_Num)*12/'DLL Schedule'!Num_Pmt_Per_Year,DAY('DLL Schedule'!Loan_Start)),"")</f>
        <v/>
      </c>
      <c r="C156" s="525" t="str">
        <f>IF('DLL Schedule'!Pay_Num&lt;&gt;"",I155,"")</f>
        <v/>
      </c>
      <c r="D156" s="525" t="str">
        <f>IF('DLL Schedule'!Pay_Num&lt;&gt;"",'DLL Schedule'!Scheduled_Monthly_Payment,"")</f>
        <v/>
      </c>
      <c r="E1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6" s="525" t="str">
        <f>IF('DLL Schedule'!Pay_Num&lt;&gt;"",IF('DLL Schedule'!Sched_Pay+'DLL Schedule'!Extra_Pay&lt;'DLL Schedule'!Beg_Bal,'DLL Schedule'!Sched_Pay+'DLL Schedule'!Extra_Pay,'DLL Schedule'!Beg_Bal),"")</f>
        <v/>
      </c>
      <c r="G156" s="525" t="str">
        <f>IF('DLL Schedule'!Pay_Num&lt;&gt;"",'DLL Schedule'!Total_Pay-'DLL Schedule'!Int,"")</f>
        <v/>
      </c>
      <c r="H156" s="525" t="str">
        <f>IF('DLL Schedule'!Pay_Num&lt;&gt;"",'DLL Schedule'!Beg_Bal*'DLL Schedule'!Interest_Rate/'DLL Schedule'!Num_Pmt_Per_Year,"")</f>
        <v/>
      </c>
      <c r="I156" s="525" t="str">
        <f>IF('DLL Schedule'!Pay_Num&lt;&gt;"",IF('DLL Schedule'!Sched_Pay+'DLL Schedule'!Extra_Pay&lt;'DLL Schedule'!Beg_Bal,'DLL Schedule'!Beg_Bal-'DLL Schedule'!Princ,0),"")</f>
        <v/>
      </c>
      <c r="J156" s="525">
        <f>SUM($H$18:$H156)</f>
        <v>257912.99524975716</v>
      </c>
      <c r="K156" s="499"/>
    </row>
    <row r="157" spans="1:11" ht="12.75" customHeight="1">
      <c r="A157" s="523" t="str">
        <f>IF(AND('DLL Schedule'!Values_Entered=1,A156&lt;&gt;"",I156&gt;0),A156+1,"")</f>
        <v/>
      </c>
      <c r="B157" s="524" t="str">
        <f>IF('DLL Schedule'!Pay_Num&lt;&gt;"",DATE(YEAR('DLL Schedule'!Loan_Start),MONTH('DLL Schedule'!Loan_Start)+('DLL Schedule'!Pay_Num)*12/'DLL Schedule'!Num_Pmt_Per_Year,DAY('DLL Schedule'!Loan_Start)),"")</f>
        <v/>
      </c>
      <c r="C157" s="525" t="str">
        <f>IF('DLL Schedule'!Pay_Num&lt;&gt;"",I156,"")</f>
        <v/>
      </c>
      <c r="D157" s="525" t="str">
        <f>IF('DLL Schedule'!Pay_Num&lt;&gt;"",'DLL Schedule'!Scheduled_Monthly_Payment,"")</f>
        <v/>
      </c>
      <c r="E1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7" s="525" t="str">
        <f>IF('DLL Schedule'!Pay_Num&lt;&gt;"",IF('DLL Schedule'!Sched_Pay+'DLL Schedule'!Extra_Pay&lt;'DLL Schedule'!Beg_Bal,'DLL Schedule'!Sched_Pay+'DLL Schedule'!Extra_Pay,'DLL Schedule'!Beg_Bal),"")</f>
        <v/>
      </c>
      <c r="G157" s="525" t="str">
        <f>IF('DLL Schedule'!Pay_Num&lt;&gt;"",'DLL Schedule'!Total_Pay-'DLL Schedule'!Int,"")</f>
        <v/>
      </c>
      <c r="H157" s="525" t="str">
        <f>IF('DLL Schedule'!Pay_Num&lt;&gt;"",'DLL Schedule'!Beg_Bal*'DLL Schedule'!Interest_Rate/'DLL Schedule'!Num_Pmt_Per_Year,"")</f>
        <v/>
      </c>
      <c r="I157" s="525" t="str">
        <f>IF('DLL Schedule'!Pay_Num&lt;&gt;"",IF('DLL Schedule'!Sched_Pay+'DLL Schedule'!Extra_Pay&lt;'DLL Schedule'!Beg_Bal,'DLL Schedule'!Beg_Bal-'DLL Schedule'!Princ,0),"")</f>
        <v/>
      </c>
      <c r="J157" s="525">
        <f>SUM($H$18:$H157)</f>
        <v>257912.99524975716</v>
      </c>
      <c r="K157" s="499"/>
    </row>
    <row r="158" spans="1:11" ht="12.75" customHeight="1">
      <c r="A158" s="523" t="str">
        <f>IF(AND('DLL Schedule'!Values_Entered=1,A157&lt;&gt;"",I157&gt;0),A157+1,"")</f>
        <v/>
      </c>
      <c r="B158" s="524" t="str">
        <f>IF('DLL Schedule'!Pay_Num&lt;&gt;"",DATE(YEAR('DLL Schedule'!Loan_Start),MONTH('DLL Schedule'!Loan_Start)+('DLL Schedule'!Pay_Num)*12/'DLL Schedule'!Num_Pmt_Per_Year,DAY('DLL Schedule'!Loan_Start)),"")</f>
        <v/>
      </c>
      <c r="C158" s="525" t="str">
        <f>IF('DLL Schedule'!Pay_Num&lt;&gt;"",I157,"")</f>
        <v/>
      </c>
      <c r="D158" s="525" t="str">
        <f>IF('DLL Schedule'!Pay_Num&lt;&gt;"",'DLL Schedule'!Scheduled_Monthly_Payment,"")</f>
        <v/>
      </c>
      <c r="E1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8" s="525" t="str">
        <f>IF('DLL Schedule'!Pay_Num&lt;&gt;"",IF('DLL Schedule'!Sched_Pay+'DLL Schedule'!Extra_Pay&lt;'DLL Schedule'!Beg_Bal,'DLL Schedule'!Sched_Pay+'DLL Schedule'!Extra_Pay,'DLL Schedule'!Beg_Bal),"")</f>
        <v/>
      </c>
      <c r="G158" s="525" t="str">
        <f>IF('DLL Schedule'!Pay_Num&lt;&gt;"",'DLL Schedule'!Total_Pay-'DLL Schedule'!Int,"")</f>
        <v/>
      </c>
      <c r="H158" s="525" t="str">
        <f>IF('DLL Schedule'!Pay_Num&lt;&gt;"",'DLL Schedule'!Beg_Bal*'DLL Schedule'!Interest_Rate/'DLL Schedule'!Num_Pmt_Per_Year,"")</f>
        <v/>
      </c>
      <c r="I158" s="525" t="str">
        <f>IF('DLL Schedule'!Pay_Num&lt;&gt;"",IF('DLL Schedule'!Sched_Pay+'DLL Schedule'!Extra_Pay&lt;'DLL Schedule'!Beg_Bal,'DLL Schedule'!Beg_Bal-'DLL Schedule'!Princ,0),"")</f>
        <v/>
      </c>
      <c r="J158" s="525">
        <f>SUM($H$18:$H158)</f>
        <v>257912.99524975716</v>
      </c>
      <c r="K158" s="499"/>
    </row>
    <row r="159" spans="1:11" ht="12.75" customHeight="1">
      <c r="A159" s="523" t="str">
        <f>IF(AND('DLL Schedule'!Values_Entered=1,A158&lt;&gt;"",I158&gt;0),A158+1,"")</f>
        <v/>
      </c>
      <c r="B159" s="524" t="str">
        <f>IF('DLL Schedule'!Pay_Num&lt;&gt;"",DATE(YEAR('DLL Schedule'!Loan_Start),MONTH('DLL Schedule'!Loan_Start)+('DLL Schedule'!Pay_Num)*12/'DLL Schedule'!Num_Pmt_Per_Year,DAY('DLL Schedule'!Loan_Start)),"")</f>
        <v/>
      </c>
      <c r="C159" s="525" t="str">
        <f>IF('DLL Schedule'!Pay_Num&lt;&gt;"",I158,"")</f>
        <v/>
      </c>
      <c r="D159" s="525" t="str">
        <f>IF('DLL Schedule'!Pay_Num&lt;&gt;"",'DLL Schedule'!Scheduled_Monthly_Payment,"")</f>
        <v/>
      </c>
      <c r="E1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9" s="525" t="str">
        <f>IF('DLL Schedule'!Pay_Num&lt;&gt;"",IF('DLL Schedule'!Sched_Pay+'DLL Schedule'!Extra_Pay&lt;'DLL Schedule'!Beg_Bal,'DLL Schedule'!Sched_Pay+'DLL Schedule'!Extra_Pay,'DLL Schedule'!Beg_Bal),"")</f>
        <v/>
      </c>
      <c r="G159" s="525" t="str">
        <f>IF('DLL Schedule'!Pay_Num&lt;&gt;"",'DLL Schedule'!Total_Pay-'DLL Schedule'!Int,"")</f>
        <v/>
      </c>
      <c r="H159" s="525" t="str">
        <f>IF('DLL Schedule'!Pay_Num&lt;&gt;"",'DLL Schedule'!Beg_Bal*'DLL Schedule'!Interest_Rate/'DLL Schedule'!Num_Pmt_Per_Year,"")</f>
        <v/>
      </c>
      <c r="I159" s="525" t="str">
        <f>IF('DLL Schedule'!Pay_Num&lt;&gt;"",IF('DLL Schedule'!Sched_Pay+'DLL Schedule'!Extra_Pay&lt;'DLL Schedule'!Beg_Bal,'DLL Schedule'!Beg_Bal-'DLL Schedule'!Princ,0),"")</f>
        <v/>
      </c>
      <c r="J159" s="525">
        <f>SUM($H$18:$H159)</f>
        <v>257912.99524975716</v>
      </c>
      <c r="K159" s="499"/>
    </row>
    <row r="160" spans="1:11" ht="12.75" customHeight="1">
      <c r="A160" s="523" t="str">
        <f>IF(AND('DLL Schedule'!Values_Entered=1,A159&lt;&gt;"",I159&gt;0),A159+1,"")</f>
        <v/>
      </c>
      <c r="B160" s="524" t="str">
        <f>IF('DLL Schedule'!Pay_Num&lt;&gt;"",DATE(YEAR('DLL Schedule'!Loan_Start),MONTH('DLL Schedule'!Loan_Start)+('DLL Schedule'!Pay_Num)*12/'DLL Schedule'!Num_Pmt_Per_Year,DAY('DLL Schedule'!Loan_Start)),"")</f>
        <v/>
      </c>
      <c r="C160" s="525" t="str">
        <f>IF('DLL Schedule'!Pay_Num&lt;&gt;"",I159,"")</f>
        <v/>
      </c>
      <c r="D160" s="525" t="str">
        <f>IF('DLL Schedule'!Pay_Num&lt;&gt;"",'DLL Schedule'!Scheduled_Monthly_Payment,"")</f>
        <v/>
      </c>
      <c r="E1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0" s="525" t="str">
        <f>IF('DLL Schedule'!Pay_Num&lt;&gt;"",IF('DLL Schedule'!Sched_Pay+'DLL Schedule'!Extra_Pay&lt;'DLL Schedule'!Beg_Bal,'DLL Schedule'!Sched_Pay+'DLL Schedule'!Extra_Pay,'DLL Schedule'!Beg_Bal),"")</f>
        <v/>
      </c>
      <c r="G160" s="525" t="str">
        <f>IF('DLL Schedule'!Pay_Num&lt;&gt;"",'DLL Schedule'!Total_Pay-'DLL Schedule'!Int,"")</f>
        <v/>
      </c>
      <c r="H160" s="525" t="str">
        <f>IF('DLL Schedule'!Pay_Num&lt;&gt;"",'DLL Schedule'!Beg_Bal*'DLL Schedule'!Interest_Rate/'DLL Schedule'!Num_Pmt_Per_Year,"")</f>
        <v/>
      </c>
      <c r="I160" s="525" t="str">
        <f>IF('DLL Schedule'!Pay_Num&lt;&gt;"",IF('DLL Schedule'!Sched_Pay+'DLL Schedule'!Extra_Pay&lt;'DLL Schedule'!Beg_Bal,'DLL Schedule'!Beg_Bal-'DLL Schedule'!Princ,0),"")</f>
        <v/>
      </c>
      <c r="J160" s="525">
        <f>SUM($H$18:$H160)</f>
        <v>257912.99524975716</v>
      </c>
      <c r="K160" s="499"/>
    </row>
    <row r="161" spans="1:11" ht="12.75" customHeight="1">
      <c r="A161" s="523" t="str">
        <f>IF(AND('DLL Schedule'!Values_Entered=1,A160&lt;&gt;"",I160&gt;0),A160+1,"")</f>
        <v/>
      </c>
      <c r="B161" s="524" t="str">
        <f>IF('DLL Schedule'!Pay_Num&lt;&gt;"",DATE(YEAR('DLL Schedule'!Loan_Start),MONTH('DLL Schedule'!Loan_Start)+('DLL Schedule'!Pay_Num)*12/'DLL Schedule'!Num_Pmt_Per_Year,DAY('DLL Schedule'!Loan_Start)),"")</f>
        <v/>
      </c>
      <c r="C161" s="525" t="str">
        <f>IF('DLL Schedule'!Pay_Num&lt;&gt;"",I160,"")</f>
        <v/>
      </c>
      <c r="D161" s="525" t="str">
        <f>IF('DLL Schedule'!Pay_Num&lt;&gt;"",'DLL Schedule'!Scheduled_Monthly_Payment,"")</f>
        <v/>
      </c>
      <c r="E1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1" s="525" t="str">
        <f>IF('DLL Schedule'!Pay_Num&lt;&gt;"",IF('DLL Schedule'!Sched_Pay+'DLL Schedule'!Extra_Pay&lt;'DLL Schedule'!Beg_Bal,'DLL Schedule'!Sched_Pay+'DLL Schedule'!Extra_Pay,'DLL Schedule'!Beg_Bal),"")</f>
        <v/>
      </c>
      <c r="G161" s="525" t="str">
        <f>IF('DLL Schedule'!Pay_Num&lt;&gt;"",'DLL Schedule'!Total_Pay-'DLL Schedule'!Int,"")</f>
        <v/>
      </c>
      <c r="H161" s="525" t="str">
        <f>IF('DLL Schedule'!Pay_Num&lt;&gt;"",'DLL Schedule'!Beg_Bal*'DLL Schedule'!Interest_Rate/'DLL Schedule'!Num_Pmt_Per_Year,"")</f>
        <v/>
      </c>
      <c r="I161" s="525" t="str">
        <f>IF('DLL Schedule'!Pay_Num&lt;&gt;"",IF('DLL Schedule'!Sched_Pay+'DLL Schedule'!Extra_Pay&lt;'DLL Schedule'!Beg_Bal,'DLL Schedule'!Beg_Bal-'DLL Schedule'!Princ,0),"")</f>
        <v/>
      </c>
      <c r="J161" s="525">
        <f>SUM($H$18:$H161)</f>
        <v>257912.99524975716</v>
      </c>
      <c r="K161" s="499"/>
    </row>
    <row r="162" spans="1:11" ht="12.75" customHeight="1">
      <c r="A162" s="523" t="str">
        <f>IF(AND('DLL Schedule'!Values_Entered=1,A161&lt;&gt;"",I161&gt;0),A161+1,"")</f>
        <v/>
      </c>
      <c r="B162" s="524" t="str">
        <f>IF('DLL Schedule'!Pay_Num&lt;&gt;"",DATE(YEAR('DLL Schedule'!Loan_Start),MONTH('DLL Schedule'!Loan_Start)+('DLL Schedule'!Pay_Num)*12/'DLL Schedule'!Num_Pmt_Per_Year,DAY('DLL Schedule'!Loan_Start)),"")</f>
        <v/>
      </c>
      <c r="C162" s="525" t="str">
        <f>IF('DLL Schedule'!Pay_Num&lt;&gt;"",I161,"")</f>
        <v/>
      </c>
      <c r="D162" s="525" t="str">
        <f>IF('DLL Schedule'!Pay_Num&lt;&gt;"",'DLL Schedule'!Scheduled_Monthly_Payment,"")</f>
        <v/>
      </c>
      <c r="E1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2" s="525" t="str">
        <f>IF('DLL Schedule'!Pay_Num&lt;&gt;"",IF('DLL Schedule'!Sched_Pay+'DLL Schedule'!Extra_Pay&lt;'DLL Schedule'!Beg_Bal,'DLL Schedule'!Sched_Pay+'DLL Schedule'!Extra_Pay,'DLL Schedule'!Beg_Bal),"")</f>
        <v/>
      </c>
      <c r="G162" s="525" t="str">
        <f>IF('DLL Schedule'!Pay_Num&lt;&gt;"",'DLL Schedule'!Total_Pay-'DLL Schedule'!Int,"")</f>
        <v/>
      </c>
      <c r="H162" s="525" t="str">
        <f>IF('DLL Schedule'!Pay_Num&lt;&gt;"",'DLL Schedule'!Beg_Bal*'DLL Schedule'!Interest_Rate/'DLL Schedule'!Num_Pmt_Per_Year,"")</f>
        <v/>
      </c>
      <c r="I162" s="525" t="str">
        <f>IF('DLL Schedule'!Pay_Num&lt;&gt;"",IF('DLL Schedule'!Sched_Pay+'DLL Schedule'!Extra_Pay&lt;'DLL Schedule'!Beg_Bal,'DLL Schedule'!Beg_Bal-'DLL Schedule'!Princ,0),"")</f>
        <v/>
      </c>
      <c r="J162" s="525">
        <f>SUM($H$18:$H162)</f>
        <v>257912.99524975716</v>
      </c>
      <c r="K162" s="499"/>
    </row>
    <row r="163" spans="1:11" ht="12.75" customHeight="1">
      <c r="A163" s="523" t="str">
        <f>IF(AND('DLL Schedule'!Values_Entered=1,A162&lt;&gt;"",I162&gt;0),A162+1,"")</f>
        <v/>
      </c>
      <c r="B163" s="524" t="str">
        <f>IF('DLL Schedule'!Pay_Num&lt;&gt;"",DATE(YEAR('DLL Schedule'!Loan_Start),MONTH('DLL Schedule'!Loan_Start)+('DLL Schedule'!Pay_Num)*12/'DLL Schedule'!Num_Pmt_Per_Year,DAY('DLL Schedule'!Loan_Start)),"")</f>
        <v/>
      </c>
      <c r="C163" s="525" t="str">
        <f>IF('DLL Schedule'!Pay_Num&lt;&gt;"",I162,"")</f>
        <v/>
      </c>
      <c r="D163" s="525" t="str">
        <f>IF('DLL Schedule'!Pay_Num&lt;&gt;"",'DLL Schedule'!Scheduled_Monthly_Payment,"")</f>
        <v/>
      </c>
      <c r="E1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3" s="525" t="str">
        <f>IF('DLL Schedule'!Pay_Num&lt;&gt;"",IF('DLL Schedule'!Sched_Pay+'DLL Schedule'!Extra_Pay&lt;'DLL Schedule'!Beg_Bal,'DLL Schedule'!Sched_Pay+'DLL Schedule'!Extra_Pay,'DLL Schedule'!Beg_Bal),"")</f>
        <v/>
      </c>
      <c r="G163" s="525" t="str">
        <f>IF('DLL Schedule'!Pay_Num&lt;&gt;"",'DLL Schedule'!Total_Pay-'DLL Schedule'!Int,"")</f>
        <v/>
      </c>
      <c r="H163" s="525" t="str">
        <f>IF('DLL Schedule'!Pay_Num&lt;&gt;"",'DLL Schedule'!Beg_Bal*'DLL Schedule'!Interest_Rate/'DLL Schedule'!Num_Pmt_Per_Year,"")</f>
        <v/>
      </c>
      <c r="I163" s="525" t="str">
        <f>IF('DLL Schedule'!Pay_Num&lt;&gt;"",IF('DLL Schedule'!Sched_Pay+'DLL Schedule'!Extra_Pay&lt;'DLL Schedule'!Beg_Bal,'DLL Schedule'!Beg_Bal-'DLL Schedule'!Princ,0),"")</f>
        <v/>
      </c>
      <c r="J163" s="525">
        <f>SUM($H$18:$H163)</f>
        <v>257912.99524975716</v>
      </c>
      <c r="K163" s="499"/>
    </row>
    <row r="164" spans="1:11" ht="12.75" customHeight="1">
      <c r="A164" s="523" t="str">
        <f>IF(AND('DLL Schedule'!Values_Entered=1,A163&lt;&gt;"",I163&gt;0),A163+1,"")</f>
        <v/>
      </c>
      <c r="B164" s="524" t="str">
        <f>IF('DLL Schedule'!Pay_Num&lt;&gt;"",DATE(YEAR('DLL Schedule'!Loan_Start),MONTH('DLL Schedule'!Loan_Start)+('DLL Schedule'!Pay_Num)*12/'DLL Schedule'!Num_Pmt_Per_Year,DAY('DLL Schedule'!Loan_Start)),"")</f>
        <v/>
      </c>
      <c r="C164" s="525" t="str">
        <f>IF('DLL Schedule'!Pay_Num&lt;&gt;"",I163,"")</f>
        <v/>
      </c>
      <c r="D164" s="525" t="str">
        <f>IF('DLL Schedule'!Pay_Num&lt;&gt;"",'DLL Schedule'!Scheduled_Monthly_Payment,"")</f>
        <v/>
      </c>
      <c r="E1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4" s="525" t="str">
        <f>IF('DLL Schedule'!Pay_Num&lt;&gt;"",IF('DLL Schedule'!Sched_Pay+'DLL Schedule'!Extra_Pay&lt;'DLL Schedule'!Beg_Bal,'DLL Schedule'!Sched_Pay+'DLL Schedule'!Extra_Pay,'DLL Schedule'!Beg_Bal),"")</f>
        <v/>
      </c>
      <c r="G164" s="525" t="str">
        <f>IF('DLL Schedule'!Pay_Num&lt;&gt;"",'DLL Schedule'!Total_Pay-'DLL Schedule'!Int,"")</f>
        <v/>
      </c>
      <c r="H164" s="525" t="str">
        <f>IF('DLL Schedule'!Pay_Num&lt;&gt;"",'DLL Schedule'!Beg_Bal*'DLL Schedule'!Interest_Rate/'DLL Schedule'!Num_Pmt_Per_Year,"")</f>
        <v/>
      </c>
      <c r="I164" s="525" t="str">
        <f>IF('DLL Schedule'!Pay_Num&lt;&gt;"",IF('DLL Schedule'!Sched_Pay+'DLL Schedule'!Extra_Pay&lt;'DLL Schedule'!Beg_Bal,'DLL Schedule'!Beg_Bal-'DLL Schedule'!Princ,0),"")</f>
        <v/>
      </c>
      <c r="J164" s="525">
        <f>SUM($H$18:$H164)</f>
        <v>257912.99524975716</v>
      </c>
      <c r="K164" s="499"/>
    </row>
    <row r="165" spans="1:11" ht="12.75" customHeight="1">
      <c r="A165" s="523" t="str">
        <f>IF(AND('DLL Schedule'!Values_Entered=1,A164&lt;&gt;"",I164&gt;0),A164+1,"")</f>
        <v/>
      </c>
      <c r="B165" s="524" t="str">
        <f>IF('DLL Schedule'!Pay_Num&lt;&gt;"",DATE(YEAR('DLL Schedule'!Loan_Start),MONTH('DLL Schedule'!Loan_Start)+('DLL Schedule'!Pay_Num)*12/'DLL Schedule'!Num_Pmt_Per_Year,DAY('DLL Schedule'!Loan_Start)),"")</f>
        <v/>
      </c>
      <c r="C165" s="525" t="str">
        <f>IF('DLL Schedule'!Pay_Num&lt;&gt;"",I164,"")</f>
        <v/>
      </c>
      <c r="D165" s="525" t="str">
        <f>IF('DLL Schedule'!Pay_Num&lt;&gt;"",'DLL Schedule'!Scheduled_Monthly_Payment,"")</f>
        <v/>
      </c>
      <c r="E1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5" s="525" t="str">
        <f>IF('DLL Schedule'!Pay_Num&lt;&gt;"",IF('DLL Schedule'!Sched_Pay+'DLL Schedule'!Extra_Pay&lt;'DLL Schedule'!Beg_Bal,'DLL Schedule'!Sched_Pay+'DLL Schedule'!Extra_Pay,'DLL Schedule'!Beg_Bal),"")</f>
        <v/>
      </c>
      <c r="G165" s="525" t="str">
        <f>IF('DLL Schedule'!Pay_Num&lt;&gt;"",'DLL Schedule'!Total_Pay-'DLL Schedule'!Int,"")</f>
        <v/>
      </c>
      <c r="H165" s="525" t="str">
        <f>IF('DLL Schedule'!Pay_Num&lt;&gt;"",'DLL Schedule'!Beg_Bal*'DLL Schedule'!Interest_Rate/'DLL Schedule'!Num_Pmt_Per_Year,"")</f>
        <v/>
      </c>
      <c r="I165" s="525" t="str">
        <f>IF('DLL Schedule'!Pay_Num&lt;&gt;"",IF('DLL Schedule'!Sched_Pay+'DLL Schedule'!Extra_Pay&lt;'DLL Schedule'!Beg_Bal,'DLL Schedule'!Beg_Bal-'DLL Schedule'!Princ,0),"")</f>
        <v/>
      </c>
      <c r="J165" s="525">
        <f>SUM($H$18:$H165)</f>
        <v>257912.99524975716</v>
      </c>
      <c r="K165" s="499"/>
    </row>
    <row r="166" spans="1:11" ht="12.75" customHeight="1">
      <c r="A166" s="523" t="str">
        <f>IF(AND('DLL Schedule'!Values_Entered=1,A165&lt;&gt;"",I165&gt;0),A165+1,"")</f>
        <v/>
      </c>
      <c r="B166" s="524" t="str">
        <f>IF('DLL Schedule'!Pay_Num&lt;&gt;"",DATE(YEAR('DLL Schedule'!Loan_Start),MONTH('DLL Schedule'!Loan_Start)+('DLL Schedule'!Pay_Num)*12/'DLL Schedule'!Num_Pmt_Per_Year,DAY('DLL Schedule'!Loan_Start)),"")</f>
        <v/>
      </c>
      <c r="C166" s="525" t="str">
        <f>IF('DLL Schedule'!Pay_Num&lt;&gt;"",I165,"")</f>
        <v/>
      </c>
      <c r="D166" s="525" t="str">
        <f>IF('DLL Schedule'!Pay_Num&lt;&gt;"",'DLL Schedule'!Scheduled_Monthly_Payment,"")</f>
        <v/>
      </c>
      <c r="E1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6" s="525" t="str">
        <f>IF('DLL Schedule'!Pay_Num&lt;&gt;"",IF('DLL Schedule'!Sched_Pay+'DLL Schedule'!Extra_Pay&lt;'DLL Schedule'!Beg_Bal,'DLL Schedule'!Sched_Pay+'DLL Schedule'!Extra_Pay,'DLL Schedule'!Beg_Bal),"")</f>
        <v/>
      </c>
      <c r="G166" s="525" t="str">
        <f>IF('DLL Schedule'!Pay_Num&lt;&gt;"",'DLL Schedule'!Total_Pay-'DLL Schedule'!Int,"")</f>
        <v/>
      </c>
      <c r="H166" s="525" t="str">
        <f>IF('DLL Schedule'!Pay_Num&lt;&gt;"",'DLL Schedule'!Beg_Bal*'DLL Schedule'!Interest_Rate/'DLL Schedule'!Num_Pmt_Per_Year,"")</f>
        <v/>
      </c>
      <c r="I166" s="525" t="str">
        <f>IF('DLL Schedule'!Pay_Num&lt;&gt;"",IF('DLL Schedule'!Sched_Pay+'DLL Schedule'!Extra_Pay&lt;'DLL Schedule'!Beg_Bal,'DLL Schedule'!Beg_Bal-'DLL Schedule'!Princ,0),"")</f>
        <v/>
      </c>
      <c r="J166" s="525">
        <f>SUM($H$18:$H166)</f>
        <v>257912.99524975716</v>
      </c>
      <c r="K166" s="499"/>
    </row>
    <row r="167" spans="1:11" ht="12.75" customHeight="1">
      <c r="A167" s="523" t="str">
        <f>IF(AND('DLL Schedule'!Values_Entered=1,A166&lt;&gt;"",I166&gt;0),A166+1,"")</f>
        <v/>
      </c>
      <c r="B167" s="524" t="str">
        <f>IF('DLL Schedule'!Pay_Num&lt;&gt;"",DATE(YEAR('DLL Schedule'!Loan_Start),MONTH('DLL Schedule'!Loan_Start)+('DLL Schedule'!Pay_Num)*12/'DLL Schedule'!Num_Pmt_Per_Year,DAY('DLL Schedule'!Loan_Start)),"")</f>
        <v/>
      </c>
      <c r="C167" s="525" t="str">
        <f>IF('DLL Schedule'!Pay_Num&lt;&gt;"",I166,"")</f>
        <v/>
      </c>
      <c r="D167" s="525" t="str">
        <f>IF('DLL Schedule'!Pay_Num&lt;&gt;"",'DLL Schedule'!Scheduled_Monthly_Payment,"")</f>
        <v/>
      </c>
      <c r="E1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7" s="525" t="str">
        <f>IF('DLL Schedule'!Pay_Num&lt;&gt;"",IF('DLL Schedule'!Sched_Pay+'DLL Schedule'!Extra_Pay&lt;'DLL Schedule'!Beg_Bal,'DLL Schedule'!Sched_Pay+'DLL Schedule'!Extra_Pay,'DLL Schedule'!Beg_Bal),"")</f>
        <v/>
      </c>
      <c r="G167" s="525" t="str">
        <f>IF('DLL Schedule'!Pay_Num&lt;&gt;"",'DLL Schedule'!Total_Pay-'DLL Schedule'!Int,"")</f>
        <v/>
      </c>
      <c r="H167" s="525" t="str">
        <f>IF('DLL Schedule'!Pay_Num&lt;&gt;"",'DLL Schedule'!Beg_Bal*'DLL Schedule'!Interest_Rate/'DLL Schedule'!Num_Pmt_Per_Year,"")</f>
        <v/>
      </c>
      <c r="I167" s="525" t="str">
        <f>IF('DLL Schedule'!Pay_Num&lt;&gt;"",IF('DLL Schedule'!Sched_Pay+'DLL Schedule'!Extra_Pay&lt;'DLL Schedule'!Beg_Bal,'DLL Schedule'!Beg_Bal-'DLL Schedule'!Princ,0),"")</f>
        <v/>
      </c>
      <c r="J167" s="525">
        <f>SUM($H$18:$H167)</f>
        <v>257912.99524975716</v>
      </c>
      <c r="K167" s="499"/>
    </row>
    <row r="168" spans="1:11" ht="12.75" customHeight="1">
      <c r="A168" s="523" t="str">
        <f>IF(AND('DLL Schedule'!Values_Entered=1,A167&lt;&gt;"",I167&gt;0),A167+1,"")</f>
        <v/>
      </c>
      <c r="B168" s="524" t="str">
        <f>IF('DLL Schedule'!Pay_Num&lt;&gt;"",DATE(YEAR('DLL Schedule'!Loan_Start),MONTH('DLL Schedule'!Loan_Start)+('DLL Schedule'!Pay_Num)*12/'DLL Schedule'!Num_Pmt_Per_Year,DAY('DLL Schedule'!Loan_Start)),"")</f>
        <v/>
      </c>
      <c r="C168" s="525" t="str">
        <f>IF('DLL Schedule'!Pay_Num&lt;&gt;"",I167,"")</f>
        <v/>
      </c>
      <c r="D168" s="525" t="str">
        <f>IF('DLL Schedule'!Pay_Num&lt;&gt;"",'DLL Schedule'!Scheduled_Monthly_Payment,"")</f>
        <v/>
      </c>
      <c r="E1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8" s="525" t="str">
        <f>IF('DLL Schedule'!Pay_Num&lt;&gt;"",IF('DLL Schedule'!Sched_Pay+'DLL Schedule'!Extra_Pay&lt;'DLL Schedule'!Beg_Bal,'DLL Schedule'!Sched_Pay+'DLL Schedule'!Extra_Pay,'DLL Schedule'!Beg_Bal),"")</f>
        <v/>
      </c>
      <c r="G168" s="525" t="str">
        <f>IF('DLL Schedule'!Pay_Num&lt;&gt;"",'DLL Schedule'!Total_Pay-'DLL Schedule'!Int,"")</f>
        <v/>
      </c>
      <c r="H168" s="525" t="str">
        <f>IF('DLL Schedule'!Pay_Num&lt;&gt;"",'DLL Schedule'!Beg_Bal*'DLL Schedule'!Interest_Rate/'DLL Schedule'!Num_Pmt_Per_Year,"")</f>
        <v/>
      </c>
      <c r="I168" s="525" t="str">
        <f>IF('DLL Schedule'!Pay_Num&lt;&gt;"",IF('DLL Schedule'!Sched_Pay+'DLL Schedule'!Extra_Pay&lt;'DLL Schedule'!Beg_Bal,'DLL Schedule'!Beg_Bal-'DLL Schedule'!Princ,0),"")</f>
        <v/>
      </c>
      <c r="J168" s="525">
        <f>SUM($H$18:$H168)</f>
        <v>257912.99524975716</v>
      </c>
      <c r="K168" s="499"/>
    </row>
    <row r="169" spans="1:11" ht="12.75" customHeight="1">
      <c r="A169" s="523" t="str">
        <f>IF(AND('DLL Schedule'!Values_Entered=1,A168&lt;&gt;"",I168&gt;0),A168+1,"")</f>
        <v/>
      </c>
      <c r="B169" s="524" t="str">
        <f>IF('DLL Schedule'!Pay_Num&lt;&gt;"",DATE(YEAR('DLL Schedule'!Loan_Start),MONTH('DLL Schedule'!Loan_Start)+('DLL Schedule'!Pay_Num)*12/'DLL Schedule'!Num_Pmt_Per_Year,DAY('DLL Schedule'!Loan_Start)),"")</f>
        <v/>
      </c>
      <c r="C169" s="525" t="str">
        <f>IF('DLL Schedule'!Pay_Num&lt;&gt;"",I168,"")</f>
        <v/>
      </c>
      <c r="D169" s="525" t="str">
        <f>IF('DLL Schedule'!Pay_Num&lt;&gt;"",'DLL Schedule'!Scheduled_Monthly_Payment,"")</f>
        <v/>
      </c>
      <c r="E1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9" s="525" t="str">
        <f>IF('DLL Schedule'!Pay_Num&lt;&gt;"",IF('DLL Schedule'!Sched_Pay+'DLL Schedule'!Extra_Pay&lt;'DLL Schedule'!Beg_Bal,'DLL Schedule'!Sched_Pay+'DLL Schedule'!Extra_Pay,'DLL Schedule'!Beg_Bal),"")</f>
        <v/>
      </c>
      <c r="G169" s="525" t="str">
        <f>IF('DLL Schedule'!Pay_Num&lt;&gt;"",'DLL Schedule'!Total_Pay-'DLL Schedule'!Int,"")</f>
        <v/>
      </c>
      <c r="H169" s="525" t="str">
        <f>IF('DLL Schedule'!Pay_Num&lt;&gt;"",'DLL Schedule'!Beg_Bal*'DLL Schedule'!Interest_Rate/'DLL Schedule'!Num_Pmt_Per_Year,"")</f>
        <v/>
      </c>
      <c r="I169" s="525" t="str">
        <f>IF('DLL Schedule'!Pay_Num&lt;&gt;"",IF('DLL Schedule'!Sched_Pay+'DLL Schedule'!Extra_Pay&lt;'DLL Schedule'!Beg_Bal,'DLL Schedule'!Beg_Bal-'DLL Schedule'!Princ,0),"")</f>
        <v/>
      </c>
      <c r="J169" s="525">
        <f>SUM($H$18:$H169)</f>
        <v>257912.99524975716</v>
      </c>
      <c r="K169" s="499"/>
    </row>
    <row r="170" spans="1:11" ht="12.75" customHeight="1">
      <c r="A170" s="523" t="str">
        <f>IF(AND('DLL Schedule'!Values_Entered=1,A169&lt;&gt;"",I169&gt;0),A169+1,"")</f>
        <v/>
      </c>
      <c r="B170" s="524" t="str">
        <f>IF('DLL Schedule'!Pay_Num&lt;&gt;"",DATE(YEAR('DLL Schedule'!Loan_Start),MONTH('DLL Schedule'!Loan_Start)+('DLL Schedule'!Pay_Num)*12/'DLL Schedule'!Num_Pmt_Per_Year,DAY('DLL Schedule'!Loan_Start)),"")</f>
        <v/>
      </c>
      <c r="C170" s="525" t="str">
        <f>IF('DLL Schedule'!Pay_Num&lt;&gt;"",I169,"")</f>
        <v/>
      </c>
      <c r="D170" s="525" t="str">
        <f>IF('DLL Schedule'!Pay_Num&lt;&gt;"",'DLL Schedule'!Scheduled_Monthly_Payment,"")</f>
        <v/>
      </c>
      <c r="E1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0" s="525" t="str">
        <f>IF('DLL Schedule'!Pay_Num&lt;&gt;"",IF('DLL Schedule'!Sched_Pay+'DLL Schedule'!Extra_Pay&lt;'DLL Schedule'!Beg_Bal,'DLL Schedule'!Sched_Pay+'DLL Schedule'!Extra_Pay,'DLL Schedule'!Beg_Bal),"")</f>
        <v/>
      </c>
      <c r="G170" s="525" t="str">
        <f>IF('DLL Schedule'!Pay_Num&lt;&gt;"",'DLL Schedule'!Total_Pay-'DLL Schedule'!Int,"")</f>
        <v/>
      </c>
      <c r="H170" s="525" t="str">
        <f>IF('DLL Schedule'!Pay_Num&lt;&gt;"",'DLL Schedule'!Beg_Bal*'DLL Schedule'!Interest_Rate/'DLL Schedule'!Num_Pmt_Per_Year,"")</f>
        <v/>
      </c>
      <c r="I170" s="525" t="str">
        <f>IF('DLL Schedule'!Pay_Num&lt;&gt;"",IF('DLL Schedule'!Sched_Pay+'DLL Schedule'!Extra_Pay&lt;'DLL Schedule'!Beg_Bal,'DLL Schedule'!Beg_Bal-'DLL Schedule'!Princ,0),"")</f>
        <v/>
      </c>
      <c r="J170" s="525">
        <f>SUM($H$18:$H170)</f>
        <v>257912.99524975716</v>
      </c>
      <c r="K170" s="499"/>
    </row>
    <row r="171" spans="1:11" ht="12.75" customHeight="1">
      <c r="A171" s="523" t="str">
        <f>IF(AND('DLL Schedule'!Values_Entered=1,A170&lt;&gt;"",I170&gt;0),A170+1,"")</f>
        <v/>
      </c>
      <c r="B171" s="524" t="str">
        <f>IF('DLL Schedule'!Pay_Num&lt;&gt;"",DATE(YEAR('DLL Schedule'!Loan_Start),MONTH('DLL Schedule'!Loan_Start)+('DLL Schedule'!Pay_Num)*12/'DLL Schedule'!Num_Pmt_Per_Year,DAY('DLL Schedule'!Loan_Start)),"")</f>
        <v/>
      </c>
      <c r="C171" s="525" t="str">
        <f>IF('DLL Schedule'!Pay_Num&lt;&gt;"",I170,"")</f>
        <v/>
      </c>
      <c r="D171" s="525" t="str">
        <f>IF('DLL Schedule'!Pay_Num&lt;&gt;"",'DLL Schedule'!Scheduled_Monthly_Payment,"")</f>
        <v/>
      </c>
      <c r="E1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1" s="525" t="str">
        <f>IF('DLL Schedule'!Pay_Num&lt;&gt;"",IF('DLL Schedule'!Sched_Pay+'DLL Schedule'!Extra_Pay&lt;'DLL Schedule'!Beg_Bal,'DLL Schedule'!Sched_Pay+'DLL Schedule'!Extra_Pay,'DLL Schedule'!Beg_Bal),"")</f>
        <v/>
      </c>
      <c r="G171" s="525" t="str">
        <f>IF('DLL Schedule'!Pay_Num&lt;&gt;"",'DLL Schedule'!Total_Pay-'DLL Schedule'!Int,"")</f>
        <v/>
      </c>
      <c r="H171" s="525" t="str">
        <f>IF('DLL Schedule'!Pay_Num&lt;&gt;"",'DLL Schedule'!Beg_Bal*'DLL Schedule'!Interest_Rate/'DLL Schedule'!Num_Pmt_Per_Year,"")</f>
        <v/>
      </c>
      <c r="I171" s="525" t="str">
        <f>IF('DLL Schedule'!Pay_Num&lt;&gt;"",IF('DLL Schedule'!Sched_Pay+'DLL Schedule'!Extra_Pay&lt;'DLL Schedule'!Beg_Bal,'DLL Schedule'!Beg_Bal-'DLL Schedule'!Princ,0),"")</f>
        <v/>
      </c>
      <c r="J171" s="525">
        <f>SUM($H$18:$H171)</f>
        <v>257912.99524975716</v>
      </c>
      <c r="K171" s="499"/>
    </row>
    <row r="172" spans="1:11" ht="12.75" customHeight="1">
      <c r="A172" s="523" t="str">
        <f>IF(AND('DLL Schedule'!Values_Entered=1,A171&lt;&gt;"",I171&gt;0),A171+1,"")</f>
        <v/>
      </c>
      <c r="B172" s="524" t="str">
        <f>IF('DLL Schedule'!Pay_Num&lt;&gt;"",DATE(YEAR('DLL Schedule'!Loan_Start),MONTH('DLL Schedule'!Loan_Start)+('DLL Schedule'!Pay_Num)*12/'DLL Schedule'!Num_Pmt_Per_Year,DAY('DLL Schedule'!Loan_Start)),"")</f>
        <v/>
      </c>
      <c r="C172" s="525" t="str">
        <f>IF('DLL Schedule'!Pay_Num&lt;&gt;"",I171,"")</f>
        <v/>
      </c>
      <c r="D172" s="525" t="str">
        <f>IF('DLL Schedule'!Pay_Num&lt;&gt;"",'DLL Schedule'!Scheduled_Monthly_Payment,"")</f>
        <v/>
      </c>
      <c r="E1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2" s="525" t="str">
        <f>IF('DLL Schedule'!Pay_Num&lt;&gt;"",IF('DLL Schedule'!Sched_Pay+'DLL Schedule'!Extra_Pay&lt;'DLL Schedule'!Beg_Bal,'DLL Schedule'!Sched_Pay+'DLL Schedule'!Extra_Pay,'DLL Schedule'!Beg_Bal),"")</f>
        <v/>
      </c>
      <c r="G172" s="525" t="str">
        <f>IF('DLL Schedule'!Pay_Num&lt;&gt;"",'DLL Schedule'!Total_Pay-'DLL Schedule'!Int,"")</f>
        <v/>
      </c>
      <c r="H172" s="525" t="str">
        <f>IF('DLL Schedule'!Pay_Num&lt;&gt;"",'DLL Schedule'!Beg_Bal*'DLL Schedule'!Interest_Rate/'DLL Schedule'!Num_Pmt_Per_Year,"")</f>
        <v/>
      </c>
      <c r="I172" s="525" t="str">
        <f>IF('DLL Schedule'!Pay_Num&lt;&gt;"",IF('DLL Schedule'!Sched_Pay+'DLL Schedule'!Extra_Pay&lt;'DLL Schedule'!Beg_Bal,'DLL Schedule'!Beg_Bal-'DLL Schedule'!Princ,0),"")</f>
        <v/>
      </c>
      <c r="J172" s="525">
        <f>SUM($H$18:$H172)</f>
        <v>257912.99524975716</v>
      </c>
      <c r="K172" s="499"/>
    </row>
    <row r="173" spans="1:11" ht="12.75" customHeight="1">
      <c r="A173" s="523" t="str">
        <f>IF(AND('DLL Schedule'!Values_Entered=1,A172&lt;&gt;"",I172&gt;0),A172+1,"")</f>
        <v/>
      </c>
      <c r="B173" s="524" t="str">
        <f>IF('DLL Schedule'!Pay_Num&lt;&gt;"",DATE(YEAR('DLL Schedule'!Loan_Start),MONTH('DLL Schedule'!Loan_Start)+('DLL Schedule'!Pay_Num)*12/'DLL Schedule'!Num_Pmt_Per_Year,DAY('DLL Schedule'!Loan_Start)),"")</f>
        <v/>
      </c>
      <c r="C173" s="525" t="str">
        <f>IF('DLL Schedule'!Pay_Num&lt;&gt;"",I172,"")</f>
        <v/>
      </c>
      <c r="D173" s="525" t="str">
        <f>IF('DLL Schedule'!Pay_Num&lt;&gt;"",'DLL Schedule'!Scheduled_Monthly_Payment,"")</f>
        <v/>
      </c>
      <c r="E1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3" s="525" t="str">
        <f>IF('DLL Schedule'!Pay_Num&lt;&gt;"",IF('DLL Schedule'!Sched_Pay+'DLL Schedule'!Extra_Pay&lt;'DLL Schedule'!Beg_Bal,'DLL Schedule'!Sched_Pay+'DLL Schedule'!Extra_Pay,'DLL Schedule'!Beg_Bal),"")</f>
        <v/>
      </c>
      <c r="G173" s="525" t="str">
        <f>IF('DLL Schedule'!Pay_Num&lt;&gt;"",'DLL Schedule'!Total_Pay-'DLL Schedule'!Int,"")</f>
        <v/>
      </c>
      <c r="H173" s="525" t="str">
        <f>IF('DLL Schedule'!Pay_Num&lt;&gt;"",'DLL Schedule'!Beg_Bal*'DLL Schedule'!Interest_Rate/'DLL Schedule'!Num_Pmt_Per_Year,"")</f>
        <v/>
      </c>
      <c r="I173" s="525" t="str">
        <f>IF('DLL Schedule'!Pay_Num&lt;&gt;"",IF('DLL Schedule'!Sched_Pay+'DLL Schedule'!Extra_Pay&lt;'DLL Schedule'!Beg_Bal,'DLL Schedule'!Beg_Bal-'DLL Schedule'!Princ,0),"")</f>
        <v/>
      </c>
      <c r="J173" s="525">
        <f>SUM($H$18:$H173)</f>
        <v>257912.99524975716</v>
      </c>
      <c r="K173" s="499"/>
    </row>
    <row r="174" spans="1:11" ht="12.75" customHeight="1">
      <c r="A174" s="523" t="str">
        <f>IF(AND('DLL Schedule'!Values_Entered=1,A173&lt;&gt;"",I173&gt;0),A173+1,"")</f>
        <v/>
      </c>
      <c r="B174" s="524" t="str">
        <f>IF('DLL Schedule'!Pay_Num&lt;&gt;"",DATE(YEAR('DLL Schedule'!Loan_Start),MONTH('DLL Schedule'!Loan_Start)+('DLL Schedule'!Pay_Num)*12/'DLL Schedule'!Num_Pmt_Per_Year,DAY('DLL Schedule'!Loan_Start)),"")</f>
        <v/>
      </c>
      <c r="C174" s="525" t="str">
        <f>IF('DLL Schedule'!Pay_Num&lt;&gt;"",I173,"")</f>
        <v/>
      </c>
      <c r="D174" s="525" t="str">
        <f>IF('DLL Schedule'!Pay_Num&lt;&gt;"",'DLL Schedule'!Scheduled_Monthly_Payment,"")</f>
        <v/>
      </c>
      <c r="E1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4" s="525" t="str">
        <f>IF('DLL Schedule'!Pay_Num&lt;&gt;"",IF('DLL Schedule'!Sched_Pay+'DLL Schedule'!Extra_Pay&lt;'DLL Schedule'!Beg_Bal,'DLL Schedule'!Sched_Pay+'DLL Schedule'!Extra_Pay,'DLL Schedule'!Beg_Bal),"")</f>
        <v/>
      </c>
      <c r="G174" s="525" t="str">
        <f>IF('DLL Schedule'!Pay_Num&lt;&gt;"",'DLL Schedule'!Total_Pay-'DLL Schedule'!Int,"")</f>
        <v/>
      </c>
      <c r="H174" s="525" t="str">
        <f>IF('DLL Schedule'!Pay_Num&lt;&gt;"",'DLL Schedule'!Beg_Bal*'DLL Schedule'!Interest_Rate/'DLL Schedule'!Num_Pmt_Per_Year,"")</f>
        <v/>
      </c>
      <c r="I174" s="525" t="str">
        <f>IF('DLL Schedule'!Pay_Num&lt;&gt;"",IF('DLL Schedule'!Sched_Pay+'DLL Schedule'!Extra_Pay&lt;'DLL Schedule'!Beg_Bal,'DLL Schedule'!Beg_Bal-'DLL Schedule'!Princ,0),"")</f>
        <v/>
      </c>
      <c r="J174" s="525">
        <f>SUM($H$18:$H174)</f>
        <v>257912.99524975716</v>
      </c>
      <c r="K174" s="499"/>
    </row>
    <row r="175" spans="1:11" ht="12.75" customHeight="1">
      <c r="A175" s="523" t="str">
        <f>IF(AND('DLL Schedule'!Values_Entered=1,A174&lt;&gt;"",I174&gt;0),A174+1,"")</f>
        <v/>
      </c>
      <c r="B175" s="524" t="str">
        <f>IF('DLL Schedule'!Pay_Num&lt;&gt;"",DATE(YEAR('DLL Schedule'!Loan_Start),MONTH('DLL Schedule'!Loan_Start)+('DLL Schedule'!Pay_Num)*12/'DLL Schedule'!Num_Pmt_Per_Year,DAY('DLL Schedule'!Loan_Start)),"")</f>
        <v/>
      </c>
      <c r="C175" s="525" t="str">
        <f>IF('DLL Schedule'!Pay_Num&lt;&gt;"",I174,"")</f>
        <v/>
      </c>
      <c r="D175" s="525" t="str">
        <f>IF('DLL Schedule'!Pay_Num&lt;&gt;"",'DLL Schedule'!Scheduled_Monthly_Payment,"")</f>
        <v/>
      </c>
      <c r="E1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5" s="525" t="str">
        <f>IF('DLL Schedule'!Pay_Num&lt;&gt;"",IF('DLL Schedule'!Sched_Pay+'DLL Schedule'!Extra_Pay&lt;'DLL Schedule'!Beg_Bal,'DLL Schedule'!Sched_Pay+'DLL Schedule'!Extra_Pay,'DLL Schedule'!Beg_Bal),"")</f>
        <v/>
      </c>
      <c r="G175" s="525" t="str">
        <f>IF('DLL Schedule'!Pay_Num&lt;&gt;"",'DLL Schedule'!Total_Pay-'DLL Schedule'!Int,"")</f>
        <v/>
      </c>
      <c r="H175" s="525" t="str">
        <f>IF('DLL Schedule'!Pay_Num&lt;&gt;"",'DLL Schedule'!Beg_Bal*'DLL Schedule'!Interest_Rate/'DLL Schedule'!Num_Pmt_Per_Year,"")</f>
        <v/>
      </c>
      <c r="I175" s="525" t="str">
        <f>IF('DLL Schedule'!Pay_Num&lt;&gt;"",IF('DLL Schedule'!Sched_Pay+'DLL Schedule'!Extra_Pay&lt;'DLL Schedule'!Beg_Bal,'DLL Schedule'!Beg_Bal-'DLL Schedule'!Princ,0),"")</f>
        <v/>
      </c>
      <c r="J175" s="525">
        <f>SUM($H$18:$H175)</f>
        <v>257912.99524975716</v>
      </c>
      <c r="K175" s="499"/>
    </row>
    <row r="176" spans="1:11" ht="12.75" customHeight="1">
      <c r="A176" s="523" t="str">
        <f>IF(AND('DLL Schedule'!Values_Entered=1,A175&lt;&gt;"",I175&gt;0),A175+1,"")</f>
        <v/>
      </c>
      <c r="B176" s="524" t="str">
        <f>IF('DLL Schedule'!Pay_Num&lt;&gt;"",DATE(YEAR('DLL Schedule'!Loan_Start),MONTH('DLL Schedule'!Loan_Start)+('DLL Schedule'!Pay_Num)*12/'DLL Schedule'!Num_Pmt_Per_Year,DAY('DLL Schedule'!Loan_Start)),"")</f>
        <v/>
      </c>
      <c r="C176" s="525" t="str">
        <f>IF('DLL Schedule'!Pay_Num&lt;&gt;"",I175,"")</f>
        <v/>
      </c>
      <c r="D176" s="525" t="str">
        <f>IF('DLL Schedule'!Pay_Num&lt;&gt;"",'DLL Schedule'!Scheduled_Monthly_Payment,"")</f>
        <v/>
      </c>
      <c r="E1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6" s="525" t="str">
        <f>IF('DLL Schedule'!Pay_Num&lt;&gt;"",IF('DLL Schedule'!Sched_Pay+'DLL Schedule'!Extra_Pay&lt;'DLL Schedule'!Beg_Bal,'DLL Schedule'!Sched_Pay+'DLL Schedule'!Extra_Pay,'DLL Schedule'!Beg_Bal),"")</f>
        <v/>
      </c>
      <c r="G176" s="525" t="str">
        <f>IF('DLL Schedule'!Pay_Num&lt;&gt;"",'DLL Schedule'!Total_Pay-'DLL Schedule'!Int,"")</f>
        <v/>
      </c>
      <c r="H176" s="525" t="str">
        <f>IF('DLL Schedule'!Pay_Num&lt;&gt;"",'DLL Schedule'!Beg_Bal*'DLL Schedule'!Interest_Rate/'DLL Schedule'!Num_Pmt_Per_Year,"")</f>
        <v/>
      </c>
      <c r="I176" s="525" t="str">
        <f>IF('DLL Schedule'!Pay_Num&lt;&gt;"",IF('DLL Schedule'!Sched_Pay+'DLL Schedule'!Extra_Pay&lt;'DLL Schedule'!Beg_Bal,'DLL Schedule'!Beg_Bal-'DLL Schedule'!Princ,0),"")</f>
        <v/>
      </c>
      <c r="J176" s="525">
        <f>SUM($H$18:$H176)</f>
        <v>257912.99524975716</v>
      </c>
      <c r="K176" s="499"/>
    </row>
    <row r="177" spans="1:11" ht="12.75" customHeight="1">
      <c r="A177" s="523" t="str">
        <f>IF(AND('DLL Schedule'!Values_Entered=1,A176&lt;&gt;"",I176&gt;0),A176+1,"")</f>
        <v/>
      </c>
      <c r="B177" s="524" t="str">
        <f>IF('DLL Schedule'!Pay_Num&lt;&gt;"",DATE(YEAR('DLL Schedule'!Loan_Start),MONTH('DLL Schedule'!Loan_Start)+('DLL Schedule'!Pay_Num)*12/'DLL Schedule'!Num_Pmt_Per_Year,DAY('DLL Schedule'!Loan_Start)),"")</f>
        <v/>
      </c>
      <c r="C177" s="525" t="str">
        <f>IF('DLL Schedule'!Pay_Num&lt;&gt;"",I176,"")</f>
        <v/>
      </c>
      <c r="D177" s="525" t="str">
        <f>IF('DLL Schedule'!Pay_Num&lt;&gt;"",'DLL Schedule'!Scheduled_Monthly_Payment,"")</f>
        <v/>
      </c>
      <c r="E1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7" s="525" t="str">
        <f>IF('DLL Schedule'!Pay_Num&lt;&gt;"",IF('DLL Schedule'!Sched_Pay+'DLL Schedule'!Extra_Pay&lt;'DLL Schedule'!Beg_Bal,'DLL Schedule'!Sched_Pay+'DLL Schedule'!Extra_Pay,'DLL Schedule'!Beg_Bal),"")</f>
        <v/>
      </c>
      <c r="G177" s="525" t="str">
        <f>IF('DLL Schedule'!Pay_Num&lt;&gt;"",'DLL Schedule'!Total_Pay-'DLL Schedule'!Int,"")</f>
        <v/>
      </c>
      <c r="H177" s="525" t="str">
        <f>IF('DLL Schedule'!Pay_Num&lt;&gt;"",'DLL Schedule'!Beg_Bal*'DLL Schedule'!Interest_Rate/'DLL Schedule'!Num_Pmt_Per_Year,"")</f>
        <v/>
      </c>
      <c r="I177" s="525" t="str">
        <f>IF('DLL Schedule'!Pay_Num&lt;&gt;"",IF('DLL Schedule'!Sched_Pay+'DLL Schedule'!Extra_Pay&lt;'DLL Schedule'!Beg_Bal,'DLL Schedule'!Beg_Bal-'DLL Schedule'!Princ,0),"")</f>
        <v/>
      </c>
      <c r="J177" s="525">
        <f>SUM($H$18:$H177)</f>
        <v>257912.99524975716</v>
      </c>
      <c r="K177" s="499"/>
    </row>
    <row r="178" spans="1:11" ht="12.75" customHeight="1">
      <c r="A178" s="523" t="str">
        <f>IF(AND('DLL Schedule'!Values_Entered=1,A177&lt;&gt;"",I177&gt;0),A177+1,"")</f>
        <v/>
      </c>
      <c r="B178" s="524" t="str">
        <f>IF('DLL Schedule'!Pay_Num&lt;&gt;"",DATE(YEAR('DLL Schedule'!Loan_Start),MONTH('DLL Schedule'!Loan_Start)+('DLL Schedule'!Pay_Num)*12/'DLL Schedule'!Num_Pmt_Per_Year,DAY('DLL Schedule'!Loan_Start)),"")</f>
        <v/>
      </c>
      <c r="C178" s="525" t="str">
        <f>IF('DLL Schedule'!Pay_Num&lt;&gt;"",I177,"")</f>
        <v/>
      </c>
      <c r="D178" s="525" t="str">
        <f>IF('DLL Schedule'!Pay_Num&lt;&gt;"",'DLL Schedule'!Scheduled_Monthly_Payment,"")</f>
        <v/>
      </c>
      <c r="E1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8" s="525" t="str">
        <f>IF('DLL Schedule'!Pay_Num&lt;&gt;"",IF('DLL Schedule'!Sched_Pay+'DLL Schedule'!Extra_Pay&lt;'DLL Schedule'!Beg_Bal,'DLL Schedule'!Sched_Pay+'DLL Schedule'!Extra_Pay,'DLL Schedule'!Beg_Bal),"")</f>
        <v/>
      </c>
      <c r="G178" s="525" t="str">
        <f>IF('DLL Schedule'!Pay_Num&lt;&gt;"",'DLL Schedule'!Total_Pay-'DLL Schedule'!Int,"")</f>
        <v/>
      </c>
      <c r="H178" s="525" t="str">
        <f>IF('DLL Schedule'!Pay_Num&lt;&gt;"",'DLL Schedule'!Beg_Bal*'DLL Schedule'!Interest_Rate/'DLL Schedule'!Num_Pmt_Per_Year,"")</f>
        <v/>
      </c>
      <c r="I178" s="525" t="str">
        <f>IF('DLL Schedule'!Pay_Num&lt;&gt;"",IF('DLL Schedule'!Sched_Pay+'DLL Schedule'!Extra_Pay&lt;'DLL Schedule'!Beg_Bal,'DLL Schedule'!Beg_Bal-'DLL Schedule'!Princ,0),"")</f>
        <v/>
      </c>
      <c r="J178" s="525">
        <f>SUM($H$18:$H178)</f>
        <v>257912.99524975716</v>
      </c>
      <c r="K178" s="499"/>
    </row>
    <row r="179" spans="1:11" ht="12.75" customHeight="1">
      <c r="A179" s="523" t="str">
        <f>IF(AND('DLL Schedule'!Values_Entered=1,A178&lt;&gt;"",I178&gt;0),A178+1,"")</f>
        <v/>
      </c>
      <c r="B179" s="524" t="str">
        <f>IF('DLL Schedule'!Pay_Num&lt;&gt;"",DATE(YEAR('DLL Schedule'!Loan_Start),MONTH('DLL Schedule'!Loan_Start)+('DLL Schedule'!Pay_Num)*12/'DLL Schedule'!Num_Pmt_Per_Year,DAY('DLL Schedule'!Loan_Start)),"")</f>
        <v/>
      </c>
      <c r="C179" s="525" t="str">
        <f>IF('DLL Schedule'!Pay_Num&lt;&gt;"",I178,"")</f>
        <v/>
      </c>
      <c r="D179" s="525" t="str">
        <f>IF('DLL Schedule'!Pay_Num&lt;&gt;"",'DLL Schedule'!Scheduled_Monthly_Payment,"")</f>
        <v/>
      </c>
      <c r="E1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9" s="525" t="str">
        <f>IF('DLL Schedule'!Pay_Num&lt;&gt;"",IF('DLL Schedule'!Sched_Pay+'DLL Schedule'!Extra_Pay&lt;'DLL Schedule'!Beg_Bal,'DLL Schedule'!Sched_Pay+'DLL Schedule'!Extra_Pay,'DLL Schedule'!Beg_Bal),"")</f>
        <v/>
      </c>
      <c r="G179" s="525" t="str">
        <f>IF('DLL Schedule'!Pay_Num&lt;&gt;"",'DLL Schedule'!Total_Pay-'DLL Schedule'!Int,"")</f>
        <v/>
      </c>
      <c r="H179" s="525" t="str">
        <f>IF('DLL Schedule'!Pay_Num&lt;&gt;"",'DLL Schedule'!Beg_Bal*'DLL Schedule'!Interest_Rate/'DLL Schedule'!Num_Pmt_Per_Year,"")</f>
        <v/>
      </c>
      <c r="I179" s="525" t="str">
        <f>IF('DLL Schedule'!Pay_Num&lt;&gt;"",IF('DLL Schedule'!Sched_Pay+'DLL Schedule'!Extra_Pay&lt;'DLL Schedule'!Beg_Bal,'DLL Schedule'!Beg_Bal-'DLL Schedule'!Princ,0),"")</f>
        <v/>
      </c>
      <c r="J179" s="525">
        <f>SUM($H$18:$H179)</f>
        <v>257912.99524975716</v>
      </c>
      <c r="K179" s="499"/>
    </row>
    <row r="180" spans="1:11" ht="12.75" customHeight="1">
      <c r="A180" s="523" t="str">
        <f>IF(AND('DLL Schedule'!Values_Entered=1,A179&lt;&gt;"",I179&gt;0),A179+1,"")</f>
        <v/>
      </c>
      <c r="B180" s="524" t="str">
        <f>IF('DLL Schedule'!Pay_Num&lt;&gt;"",DATE(YEAR('DLL Schedule'!Loan_Start),MONTH('DLL Schedule'!Loan_Start)+('DLL Schedule'!Pay_Num)*12/'DLL Schedule'!Num_Pmt_Per_Year,DAY('DLL Schedule'!Loan_Start)),"")</f>
        <v/>
      </c>
      <c r="C180" s="525" t="str">
        <f>IF('DLL Schedule'!Pay_Num&lt;&gt;"",I179,"")</f>
        <v/>
      </c>
      <c r="D180" s="525" t="str">
        <f>IF('DLL Schedule'!Pay_Num&lt;&gt;"",'DLL Schedule'!Scheduled_Monthly_Payment,"")</f>
        <v/>
      </c>
      <c r="E1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0" s="525" t="str">
        <f>IF('DLL Schedule'!Pay_Num&lt;&gt;"",IF('DLL Schedule'!Sched_Pay+'DLL Schedule'!Extra_Pay&lt;'DLL Schedule'!Beg_Bal,'DLL Schedule'!Sched_Pay+'DLL Schedule'!Extra_Pay,'DLL Schedule'!Beg_Bal),"")</f>
        <v/>
      </c>
      <c r="G180" s="525" t="str">
        <f>IF('DLL Schedule'!Pay_Num&lt;&gt;"",'DLL Schedule'!Total_Pay-'DLL Schedule'!Int,"")</f>
        <v/>
      </c>
      <c r="H180" s="525" t="str">
        <f>IF('DLL Schedule'!Pay_Num&lt;&gt;"",'DLL Schedule'!Beg_Bal*'DLL Schedule'!Interest_Rate/'DLL Schedule'!Num_Pmt_Per_Year,"")</f>
        <v/>
      </c>
      <c r="I180" s="525" t="str">
        <f>IF('DLL Schedule'!Pay_Num&lt;&gt;"",IF('DLL Schedule'!Sched_Pay+'DLL Schedule'!Extra_Pay&lt;'DLL Schedule'!Beg_Bal,'DLL Schedule'!Beg_Bal-'DLL Schedule'!Princ,0),"")</f>
        <v/>
      </c>
      <c r="J180" s="525">
        <f>SUM($H$18:$H180)</f>
        <v>257912.99524975716</v>
      </c>
      <c r="K180" s="499"/>
    </row>
    <row r="181" spans="1:11" ht="12.75" customHeight="1">
      <c r="A181" s="523" t="str">
        <f>IF(AND('DLL Schedule'!Values_Entered=1,A180&lt;&gt;"",I180&gt;0),A180+1,"")</f>
        <v/>
      </c>
      <c r="B181" s="524" t="str">
        <f>IF('DLL Schedule'!Pay_Num&lt;&gt;"",DATE(YEAR('DLL Schedule'!Loan_Start),MONTH('DLL Schedule'!Loan_Start)+('DLL Schedule'!Pay_Num)*12/'DLL Schedule'!Num_Pmt_Per_Year,DAY('DLL Schedule'!Loan_Start)),"")</f>
        <v/>
      </c>
      <c r="C181" s="525" t="str">
        <f>IF('DLL Schedule'!Pay_Num&lt;&gt;"",I180,"")</f>
        <v/>
      </c>
      <c r="D181" s="525" t="str">
        <f>IF('DLL Schedule'!Pay_Num&lt;&gt;"",'DLL Schedule'!Scheduled_Monthly_Payment,"")</f>
        <v/>
      </c>
      <c r="E1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1" s="525" t="str">
        <f>IF('DLL Schedule'!Pay_Num&lt;&gt;"",IF('DLL Schedule'!Sched_Pay+'DLL Schedule'!Extra_Pay&lt;'DLL Schedule'!Beg_Bal,'DLL Schedule'!Sched_Pay+'DLL Schedule'!Extra_Pay,'DLL Schedule'!Beg_Bal),"")</f>
        <v/>
      </c>
      <c r="G181" s="525" t="str">
        <f>IF('DLL Schedule'!Pay_Num&lt;&gt;"",'DLL Schedule'!Total_Pay-'DLL Schedule'!Int,"")</f>
        <v/>
      </c>
      <c r="H181" s="525" t="str">
        <f>IF('DLL Schedule'!Pay_Num&lt;&gt;"",'DLL Schedule'!Beg_Bal*'DLL Schedule'!Interest_Rate/'DLL Schedule'!Num_Pmt_Per_Year,"")</f>
        <v/>
      </c>
      <c r="I181" s="525" t="str">
        <f>IF('DLL Schedule'!Pay_Num&lt;&gt;"",IF('DLL Schedule'!Sched_Pay+'DLL Schedule'!Extra_Pay&lt;'DLL Schedule'!Beg_Bal,'DLL Schedule'!Beg_Bal-'DLL Schedule'!Princ,0),"")</f>
        <v/>
      </c>
      <c r="J181" s="525">
        <f>SUM($H$18:$H181)</f>
        <v>257912.99524975716</v>
      </c>
      <c r="K181" s="499"/>
    </row>
    <row r="182" spans="1:11" ht="12.75" customHeight="1">
      <c r="A182" s="523" t="str">
        <f>IF(AND('DLL Schedule'!Values_Entered=1,A181&lt;&gt;"",I181&gt;0),A181+1,"")</f>
        <v/>
      </c>
      <c r="B182" s="524" t="str">
        <f>IF('DLL Schedule'!Pay_Num&lt;&gt;"",DATE(YEAR('DLL Schedule'!Loan_Start),MONTH('DLL Schedule'!Loan_Start)+('DLL Schedule'!Pay_Num)*12/'DLL Schedule'!Num_Pmt_Per_Year,DAY('DLL Schedule'!Loan_Start)),"")</f>
        <v/>
      </c>
      <c r="C182" s="525" t="str">
        <f>IF('DLL Schedule'!Pay_Num&lt;&gt;"",I181,"")</f>
        <v/>
      </c>
      <c r="D182" s="525" t="str">
        <f>IF('DLL Schedule'!Pay_Num&lt;&gt;"",'DLL Schedule'!Scheduled_Monthly_Payment,"")</f>
        <v/>
      </c>
      <c r="E1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2" s="525" t="str">
        <f>IF('DLL Schedule'!Pay_Num&lt;&gt;"",IF('DLL Schedule'!Sched_Pay+'DLL Schedule'!Extra_Pay&lt;'DLL Schedule'!Beg_Bal,'DLL Schedule'!Sched_Pay+'DLL Schedule'!Extra_Pay,'DLL Schedule'!Beg_Bal),"")</f>
        <v/>
      </c>
      <c r="G182" s="525" t="str">
        <f>IF('DLL Schedule'!Pay_Num&lt;&gt;"",'DLL Schedule'!Total_Pay-'DLL Schedule'!Int,"")</f>
        <v/>
      </c>
      <c r="H182" s="525" t="str">
        <f>IF('DLL Schedule'!Pay_Num&lt;&gt;"",'DLL Schedule'!Beg_Bal*'DLL Schedule'!Interest_Rate/'DLL Schedule'!Num_Pmt_Per_Year,"")</f>
        <v/>
      </c>
      <c r="I182" s="525" t="str">
        <f>IF('DLL Schedule'!Pay_Num&lt;&gt;"",IF('DLL Schedule'!Sched_Pay+'DLL Schedule'!Extra_Pay&lt;'DLL Schedule'!Beg_Bal,'DLL Schedule'!Beg_Bal-'DLL Schedule'!Princ,0),"")</f>
        <v/>
      </c>
      <c r="J182" s="525">
        <f>SUM($H$18:$H182)</f>
        <v>257912.99524975716</v>
      </c>
      <c r="K182" s="499"/>
    </row>
    <row r="183" spans="1:11" ht="12.75" customHeight="1">
      <c r="A183" s="523" t="str">
        <f>IF(AND('DLL Schedule'!Values_Entered=1,A182&lt;&gt;"",I182&gt;0),A182+1,"")</f>
        <v/>
      </c>
      <c r="B183" s="524" t="str">
        <f>IF('DLL Schedule'!Pay_Num&lt;&gt;"",DATE(YEAR('DLL Schedule'!Loan_Start),MONTH('DLL Schedule'!Loan_Start)+('DLL Schedule'!Pay_Num)*12/'DLL Schedule'!Num_Pmt_Per_Year,DAY('DLL Schedule'!Loan_Start)),"")</f>
        <v/>
      </c>
      <c r="C183" s="525" t="str">
        <f>IF('DLL Schedule'!Pay_Num&lt;&gt;"",I182,"")</f>
        <v/>
      </c>
      <c r="D183" s="525" t="str">
        <f>IF('DLL Schedule'!Pay_Num&lt;&gt;"",'DLL Schedule'!Scheduled_Monthly_Payment,"")</f>
        <v/>
      </c>
      <c r="E1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3" s="525" t="str">
        <f>IF('DLL Schedule'!Pay_Num&lt;&gt;"",IF('DLL Schedule'!Sched_Pay+'DLL Schedule'!Extra_Pay&lt;'DLL Schedule'!Beg_Bal,'DLL Schedule'!Sched_Pay+'DLL Schedule'!Extra_Pay,'DLL Schedule'!Beg_Bal),"")</f>
        <v/>
      </c>
      <c r="G183" s="525" t="str">
        <f>IF('DLL Schedule'!Pay_Num&lt;&gt;"",'DLL Schedule'!Total_Pay-'DLL Schedule'!Int,"")</f>
        <v/>
      </c>
      <c r="H183" s="525" t="str">
        <f>IF('DLL Schedule'!Pay_Num&lt;&gt;"",'DLL Schedule'!Beg_Bal*'DLL Schedule'!Interest_Rate/'DLL Schedule'!Num_Pmt_Per_Year,"")</f>
        <v/>
      </c>
      <c r="I183" s="525" t="str">
        <f>IF('DLL Schedule'!Pay_Num&lt;&gt;"",IF('DLL Schedule'!Sched_Pay+'DLL Schedule'!Extra_Pay&lt;'DLL Schedule'!Beg_Bal,'DLL Schedule'!Beg_Bal-'DLL Schedule'!Princ,0),"")</f>
        <v/>
      </c>
      <c r="J183" s="525">
        <f>SUM($H$18:$H183)</f>
        <v>257912.99524975716</v>
      </c>
      <c r="K183" s="499"/>
    </row>
    <row r="184" spans="1:11" ht="12.75" customHeight="1">
      <c r="A184" s="523" t="str">
        <f>IF(AND('DLL Schedule'!Values_Entered=1,A183&lt;&gt;"",I183&gt;0),A183+1,"")</f>
        <v/>
      </c>
      <c r="B184" s="524" t="str">
        <f>IF('DLL Schedule'!Pay_Num&lt;&gt;"",DATE(YEAR('DLL Schedule'!Loan_Start),MONTH('DLL Schedule'!Loan_Start)+('DLL Schedule'!Pay_Num)*12/'DLL Schedule'!Num_Pmt_Per_Year,DAY('DLL Schedule'!Loan_Start)),"")</f>
        <v/>
      </c>
      <c r="C184" s="525" t="str">
        <f>IF('DLL Schedule'!Pay_Num&lt;&gt;"",I183,"")</f>
        <v/>
      </c>
      <c r="D184" s="525" t="str">
        <f>IF('DLL Schedule'!Pay_Num&lt;&gt;"",'DLL Schedule'!Scheduled_Monthly_Payment,"")</f>
        <v/>
      </c>
      <c r="E1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4" s="525" t="str">
        <f>IF('DLL Schedule'!Pay_Num&lt;&gt;"",IF('DLL Schedule'!Sched_Pay+'DLL Schedule'!Extra_Pay&lt;'DLL Schedule'!Beg_Bal,'DLL Schedule'!Sched_Pay+'DLL Schedule'!Extra_Pay,'DLL Schedule'!Beg_Bal),"")</f>
        <v/>
      </c>
      <c r="G184" s="525" t="str">
        <f>IF('DLL Schedule'!Pay_Num&lt;&gt;"",'DLL Schedule'!Total_Pay-'DLL Schedule'!Int,"")</f>
        <v/>
      </c>
      <c r="H184" s="525" t="str">
        <f>IF('DLL Schedule'!Pay_Num&lt;&gt;"",'DLL Schedule'!Beg_Bal*'DLL Schedule'!Interest_Rate/'DLL Schedule'!Num_Pmt_Per_Year,"")</f>
        <v/>
      </c>
      <c r="I184" s="525" t="str">
        <f>IF('DLL Schedule'!Pay_Num&lt;&gt;"",IF('DLL Schedule'!Sched_Pay+'DLL Schedule'!Extra_Pay&lt;'DLL Schedule'!Beg_Bal,'DLL Schedule'!Beg_Bal-'DLL Schedule'!Princ,0),"")</f>
        <v/>
      </c>
      <c r="J184" s="525">
        <f>SUM($H$18:$H184)</f>
        <v>257912.99524975716</v>
      </c>
      <c r="K184" s="499"/>
    </row>
    <row r="185" spans="1:11" ht="12.75" customHeight="1">
      <c r="A185" s="523" t="str">
        <f>IF(AND('DLL Schedule'!Values_Entered=1,A184&lt;&gt;"",I184&gt;0),A184+1,"")</f>
        <v/>
      </c>
      <c r="B185" s="524" t="str">
        <f>IF('DLL Schedule'!Pay_Num&lt;&gt;"",DATE(YEAR('DLL Schedule'!Loan_Start),MONTH('DLL Schedule'!Loan_Start)+('DLL Schedule'!Pay_Num)*12/'DLL Schedule'!Num_Pmt_Per_Year,DAY('DLL Schedule'!Loan_Start)),"")</f>
        <v/>
      </c>
      <c r="C185" s="525" t="str">
        <f>IF('DLL Schedule'!Pay_Num&lt;&gt;"",I184,"")</f>
        <v/>
      </c>
      <c r="D185" s="525" t="str">
        <f>IF('DLL Schedule'!Pay_Num&lt;&gt;"",'DLL Schedule'!Scheduled_Monthly_Payment,"")</f>
        <v/>
      </c>
      <c r="E1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5" s="525" t="str">
        <f>IF('DLL Schedule'!Pay_Num&lt;&gt;"",IF('DLL Schedule'!Sched_Pay+'DLL Schedule'!Extra_Pay&lt;'DLL Schedule'!Beg_Bal,'DLL Schedule'!Sched_Pay+'DLL Schedule'!Extra_Pay,'DLL Schedule'!Beg_Bal),"")</f>
        <v/>
      </c>
      <c r="G185" s="525" t="str">
        <f>IF('DLL Schedule'!Pay_Num&lt;&gt;"",'DLL Schedule'!Total_Pay-'DLL Schedule'!Int,"")</f>
        <v/>
      </c>
      <c r="H185" s="525" t="str">
        <f>IF('DLL Schedule'!Pay_Num&lt;&gt;"",'DLL Schedule'!Beg_Bal*'DLL Schedule'!Interest_Rate/'DLL Schedule'!Num_Pmt_Per_Year,"")</f>
        <v/>
      </c>
      <c r="I185" s="525" t="str">
        <f>IF('DLL Schedule'!Pay_Num&lt;&gt;"",IF('DLL Schedule'!Sched_Pay+'DLL Schedule'!Extra_Pay&lt;'DLL Schedule'!Beg_Bal,'DLL Schedule'!Beg_Bal-'DLL Schedule'!Princ,0),"")</f>
        <v/>
      </c>
      <c r="J185" s="525">
        <f>SUM($H$18:$H185)</f>
        <v>257912.99524975716</v>
      </c>
      <c r="K185" s="499"/>
    </row>
    <row r="186" spans="1:11" ht="12.75" customHeight="1">
      <c r="A186" s="523" t="str">
        <f>IF(AND('DLL Schedule'!Values_Entered=1,A185&lt;&gt;"",I185&gt;0),A185+1,"")</f>
        <v/>
      </c>
      <c r="B186" s="524" t="str">
        <f>IF('DLL Schedule'!Pay_Num&lt;&gt;"",DATE(YEAR('DLL Schedule'!Loan_Start),MONTH('DLL Schedule'!Loan_Start)+('DLL Schedule'!Pay_Num)*12/'DLL Schedule'!Num_Pmt_Per_Year,DAY('DLL Schedule'!Loan_Start)),"")</f>
        <v/>
      </c>
      <c r="C186" s="525" t="str">
        <f>IF('DLL Schedule'!Pay_Num&lt;&gt;"",I185,"")</f>
        <v/>
      </c>
      <c r="D186" s="525" t="str">
        <f>IF('DLL Schedule'!Pay_Num&lt;&gt;"",'DLL Schedule'!Scheduled_Monthly_Payment,"")</f>
        <v/>
      </c>
      <c r="E1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6" s="525" t="str">
        <f>IF('DLL Schedule'!Pay_Num&lt;&gt;"",IF('DLL Schedule'!Sched_Pay+'DLL Schedule'!Extra_Pay&lt;'DLL Schedule'!Beg_Bal,'DLL Schedule'!Sched_Pay+'DLL Schedule'!Extra_Pay,'DLL Schedule'!Beg_Bal),"")</f>
        <v/>
      </c>
      <c r="G186" s="525" t="str">
        <f>IF('DLL Schedule'!Pay_Num&lt;&gt;"",'DLL Schedule'!Total_Pay-'DLL Schedule'!Int,"")</f>
        <v/>
      </c>
      <c r="H186" s="525" t="str">
        <f>IF('DLL Schedule'!Pay_Num&lt;&gt;"",'DLL Schedule'!Beg_Bal*'DLL Schedule'!Interest_Rate/'DLL Schedule'!Num_Pmt_Per_Year,"")</f>
        <v/>
      </c>
      <c r="I186" s="525" t="str">
        <f>IF('DLL Schedule'!Pay_Num&lt;&gt;"",IF('DLL Schedule'!Sched_Pay+'DLL Schedule'!Extra_Pay&lt;'DLL Schedule'!Beg_Bal,'DLL Schedule'!Beg_Bal-'DLL Schedule'!Princ,0),"")</f>
        <v/>
      </c>
      <c r="J186" s="525">
        <f>SUM($H$18:$H186)</f>
        <v>257912.99524975716</v>
      </c>
      <c r="K186" s="499"/>
    </row>
    <row r="187" spans="1:11" ht="12.75" customHeight="1">
      <c r="A187" s="523" t="str">
        <f>IF(AND('DLL Schedule'!Values_Entered=1,A186&lt;&gt;"",I186&gt;0),A186+1,"")</f>
        <v/>
      </c>
      <c r="B187" s="524" t="str">
        <f>IF('DLL Schedule'!Pay_Num&lt;&gt;"",DATE(YEAR('DLL Schedule'!Loan_Start),MONTH('DLL Schedule'!Loan_Start)+('DLL Schedule'!Pay_Num)*12/'DLL Schedule'!Num_Pmt_Per_Year,DAY('DLL Schedule'!Loan_Start)),"")</f>
        <v/>
      </c>
      <c r="C187" s="525" t="str">
        <f>IF('DLL Schedule'!Pay_Num&lt;&gt;"",I186,"")</f>
        <v/>
      </c>
      <c r="D187" s="525" t="str">
        <f>IF('DLL Schedule'!Pay_Num&lt;&gt;"",'DLL Schedule'!Scheduled_Monthly_Payment,"")</f>
        <v/>
      </c>
      <c r="E1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7" s="525" t="str">
        <f>IF('DLL Schedule'!Pay_Num&lt;&gt;"",IF('DLL Schedule'!Sched_Pay+'DLL Schedule'!Extra_Pay&lt;'DLL Schedule'!Beg_Bal,'DLL Schedule'!Sched_Pay+'DLL Schedule'!Extra_Pay,'DLL Schedule'!Beg_Bal),"")</f>
        <v/>
      </c>
      <c r="G187" s="525" t="str">
        <f>IF('DLL Schedule'!Pay_Num&lt;&gt;"",'DLL Schedule'!Total_Pay-'DLL Schedule'!Int,"")</f>
        <v/>
      </c>
      <c r="H187" s="525" t="str">
        <f>IF('DLL Schedule'!Pay_Num&lt;&gt;"",'DLL Schedule'!Beg_Bal*'DLL Schedule'!Interest_Rate/'DLL Schedule'!Num_Pmt_Per_Year,"")</f>
        <v/>
      </c>
      <c r="I187" s="525" t="str">
        <f>IF('DLL Schedule'!Pay_Num&lt;&gt;"",IF('DLL Schedule'!Sched_Pay+'DLL Schedule'!Extra_Pay&lt;'DLL Schedule'!Beg_Bal,'DLL Schedule'!Beg_Bal-'DLL Schedule'!Princ,0),"")</f>
        <v/>
      </c>
      <c r="J187" s="525">
        <f>SUM($H$18:$H187)</f>
        <v>257912.99524975716</v>
      </c>
      <c r="K187" s="499"/>
    </row>
    <row r="188" spans="1:11" ht="12.75" customHeight="1">
      <c r="A188" s="523" t="str">
        <f>IF(AND('DLL Schedule'!Values_Entered=1,A187&lt;&gt;"",I187&gt;0),A187+1,"")</f>
        <v/>
      </c>
      <c r="B188" s="524" t="str">
        <f>IF('DLL Schedule'!Pay_Num&lt;&gt;"",DATE(YEAR('DLL Schedule'!Loan_Start),MONTH('DLL Schedule'!Loan_Start)+('DLL Schedule'!Pay_Num)*12/'DLL Schedule'!Num_Pmt_Per_Year,DAY('DLL Schedule'!Loan_Start)),"")</f>
        <v/>
      </c>
      <c r="C188" s="525" t="str">
        <f>IF('DLL Schedule'!Pay_Num&lt;&gt;"",I187,"")</f>
        <v/>
      </c>
      <c r="D188" s="525" t="str">
        <f>IF('DLL Schedule'!Pay_Num&lt;&gt;"",'DLL Schedule'!Scheduled_Monthly_Payment,"")</f>
        <v/>
      </c>
      <c r="E1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8" s="525" t="str">
        <f>IF('DLL Schedule'!Pay_Num&lt;&gt;"",IF('DLL Schedule'!Sched_Pay+'DLL Schedule'!Extra_Pay&lt;'DLL Schedule'!Beg_Bal,'DLL Schedule'!Sched_Pay+'DLL Schedule'!Extra_Pay,'DLL Schedule'!Beg_Bal),"")</f>
        <v/>
      </c>
      <c r="G188" s="525" t="str">
        <f>IF('DLL Schedule'!Pay_Num&lt;&gt;"",'DLL Schedule'!Total_Pay-'DLL Schedule'!Int,"")</f>
        <v/>
      </c>
      <c r="H188" s="525" t="str">
        <f>IF('DLL Schedule'!Pay_Num&lt;&gt;"",'DLL Schedule'!Beg_Bal*'DLL Schedule'!Interest_Rate/'DLL Schedule'!Num_Pmt_Per_Year,"")</f>
        <v/>
      </c>
      <c r="I188" s="525" t="str">
        <f>IF('DLL Schedule'!Pay_Num&lt;&gt;"",IF('DLL Schedule'!Sched_Pay+'DLL Schedule'!Extra_Pay&lt;'DLL Schedule'!Beg_Bal,'DLL Schedule'!Beg_Bal-'DLL Schedule'!Princ,0),"")</f>
        <v/>
      </c>
      <c r="J188" s="525">
        <f>SUM($H$18:$H188)</f>
        <v>257912.99524975716</v>
      </c>
      <c r="K188" s="499"/>
    </row>
    <row r="189" spans="1:11" ht="12.75" customHeight="1">
      <c r="A189" s="523" t="str">
        <f>IF(AND('DLL Schedule'!Values_Entered=1,A188&lt;&gt;"",I188&gt;0),A188+1,"")</f>
        <v/>
      </c>
      <c r="B189" s="524" t="str">
        <f>IF('DLL Schedule'!Pay_Num&lt;&gt;"",DATE(YEAR('DLL Schedule'!Loan_Start),MONTH('DLL Schedule'!Loan_Start)+('DLL Schedule'!Pay_Num)*12/'DLL Schedule'!Num_Pmt_Per_Year,DAY('DLL Schedule'!Loan_Start)),"")</f>
        <v/>
      </c>
      <c r="C189" s="525" t="str">
        <f>IF('DLL Schedule'!Pay_Num&lt;&gt;"",I188,"")</f>
        <v/>
      </c>
      <c r="D189" s="525" t="str">
        <f>IF('DLL Schedule'!Pay_Num&lt;&gt;"",'DLL Schedule'!Scheduled_Monthly_Payment,"")</f>
        <v/>
      </c>
      <c r="E1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9" s="525" t="str">
        <f>IF('DLL Schedule'!Pay_Num&lt;&gt;"",IF('DLL Schedule'!Sched_Pay+'DLL Schedule'!Extra_Pay&lt;'DLL Schedule'!Beg_Bal,'DLL Schedule'!Sched_Pay+'DLL Schedule'!Extra_Pay,'DLL Schedule'!Beg_Bal),"")</f>
        <v/>
      </c>
      <c r="G189" s="525" t="str">
        <f>IF('DLL Schedule'!Pay_Num&lt;&gt;"",'DLL Schedule'!Total_Pay-'DLL Schedule'!Int,"")</f>
        <v/>
      </c>
      <c r="H189" s="525" t="str">
        <f>IF('DLL Schedule'!Pay_Num&lt;&gt;"",'DLL Schedule'!Beg_Bal*'DLL Schedule'!Interest_Rate/'DLL Schedule'!Num_Pmt_Per_Year,"")</f>
        <v/>
      </c>
      <c r="I189" s="525" t="str">
        <f>IF('DLL Schedule'!Pay_Num&lt;&gt;"",IF('DLL Schedule'!Sched_Pay+'DLL Schedule'!Extra_Pay&lt;'DLL Schedule'!Beg_Bal,'DLL Schedule'!Beg_Bal-'DLL Schedule'!Princ,0),"")</f>
        <v/>
      </c>
      <c r="J189" s="525">
        <f>SUM($H$18:$H189)</f>
        <v>257912.99524975716</v>
      </c>
      <c r="K189" s="499"/>
    </row>
    <row r="190" spans="1:11" ht="12.75" customHeight="1">
      <c r="A190" s="523" t="str">
        <f>IF(AND('DLL Schedule'!Values_Entered=1,A189&lt;&gt;"",I189&gt;0),A189+1,"")</f>
        <v/>
      </c>
      <c r="B190" s="524" t="str">
        <f>IF('DLL Schedule'!Pay_Num&lt;&gt;"",DATE(YEAR('DLL Schedule'!Loan_Start),MONTH('DLL Schedule'!Loan_Start)+('DLL Schedule'!Pay_Num)*12/'DLL Schedule'!Num_Pmt_Per_Year,DAY('DLL Schedule'!Loan_Start)),"")</f>
        <v/>
      </c>
      <c r="C190" s="525" t="str">
        <f>IF('DLL Schedule'!Pay_Num&lt;&gt;"",I189,"")</f>
        <v/>
      </c>
      <c r="D190" s="525" t="str">
        <f>IF('DLL Schedule'!Pay_Num&lt;&gt;"",'DLL Schedule'!Scheduled_Monthly_Payment,"")</f>
        <v/>
      </c>
      <c r="E1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0" s="525" t="str">
        <f>IF('DLL Schedule'!Pay_Num&lt;&gt;"",IF('DLL Schedule'!Sched_Pay+'DLL Schedule'!Extra_Pay&lt;'DLL Schedule'!Beg_Bal,'DLL Schedule'!Sched_Pay+'DLL Schedule'!Extra_Pay,'DLL Schedule'!Beg_Bal),"")</f>
        <v/>
      </c>
      <c r="G190" s="525" t="str">
        <f>IF('DLL Schedule'!Pay_Num&lt;&gt;"",'DLL Schedule'!Total_Pay-'DLL Schedule'!Int,"")</f>
        <v/>
      </c>
      <c r="H190" s="525" t="str">
        <f>IF('DLL Schedule'!Pay_Num&lt;&gt;"",'DLL Schedule'!Beg_Bal*'DLL Schedule'!Interest_Rate/'DLL Schedule'!Num_Pmt_Per_Year,"")</f>
        <v/>
      </c>
      <c r="I190" s="525" t="str">
        <f>IF('DLL Schedule'!Pay_Num&lt;&gt;"",IF('DLL Schedule'!Sched_Pay+'DLL Schedule'!Extra_Pay&lt;'DLL Schedule'!Beg_Bal,'DLL Schedule'!Beg_Bal-'DLL Schedule'!Princ,0),"")</f>
        <v/>
      </c>
      <c r="J190" s="525">
        <f>SUM($H$18:$H190)</f>
        <v>257912.99524975716</v>
      </c>
      <c r="K190" s="499"/>
    </row>
    <row r="191" spans="1:11" ht="12.75" customHeight="1">
      <c r="A191" s="523" t="str">
        <f>IF(AND('DLL Schedule'!Values_Entered=1,A190&lt;&gt;"",I190&gt;0),A190+1,"")</f>
        <v/>
      </c>
      <c r="B191" s="524" t="str">
        <f>IF('DLL Schedule'!Pay_Num&lt;&gt;"",DATE(YEAR('DLL Schedule'!Loan_Start),MONTH('DLL Schedule'!Loan_Start)+('DLL Schedule'!Pay_Num)*12/'DLL Schedule'!Num_Pmt_Per_Year,DAY('DLL Schedule'!Loan_Start)),"")</f>
        <v/>
      </c>
      <c r="C191" s="525" t="str">
        <f>IF('DLL Schedule'!Pay_Num&lt;&gt;"",I190,"")</f>
        <v/>
      </c>
      <c r="D191" s="525" t="str">
        <f>IF('DLL Schedule'!Pay_Num&lt;&gt;"",'DLL Schedule'!Scheduled_Monthly_Payment,"")</f>
        <v/>
      </c>
      <c r="E1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1" s="525" t="str">
        <f>IF('DLL Schedule'!Pay_Num&lt;&gt;"",IF('DLL Schedule'!Sched_Pay+'DLL Schedule'!Extra_Pay&lt;'DLL Schedule'!Beg_Bal,'DLL Schedule'!Sched_Pay+'DLL Schedule'!Extra_Pay,'DLL Schedule'!Beg_Bal),"")</f>
        <v/>
      </c>
      <c r="G191" s="525" t="str">
        <f>IF('DLL Schedule'!Pay_Num&lt;&gt;"",'DLL Schedule'!Total_Pay-'DLL Schedule'!Int,"")</f>
        <v/>
      </c>
      <c r="H191" s="525" t="str">
        <f>IF('DLL Schedule'!Pay_Num&lt;&gt;"",'DLL Schedule'!Beg_Bal*'DLL Schedule'!Interest_Rate/'DLL Schedule'!Num_Pmt_Per_Year,"")</f>
        <v/>
      </c>
      <c r="I191" s="525" t="str">
        <f>IF('DLL Schedule'!Pay_Num&lt;&gt;"",IF('DLL Schedule'!Sched_Pay+'DLL Schedule'!Extra_Pay&lt;'DLL Schedule'!Beg_Bal,'DLL Schedule'!Beg_Bal-'DLL Schedule'!Princ,0),"")</f>
        <v/>
      </c>
      <c r="J191" s="525">
        <f>SUM($H$18:$H191)</f>
        <v>257912.99524975716</v>
      </c>
      <c r="K191" s="499"/>
    </row>
    <row r="192" spans="1:11" ht="12.75" customHeight="1">
      <c r="A192" s="523" t="str">
        <f>IF(AND('DLL Schedule'!Values_Entered=1,A191&lt;&gt;"",I191&gt;0),A191+1,"")</f>
        <v/>
      </c>
      <c r="B192" s="524" t="str">
        <f>IF('DLL Schedule'!Pay_Num&lt;&gt;"",DATE(YEAR('DLL Schedule'!Loan_Start),MONTH('DLL Schedule'!Loan_Start)+('DLL Schedule'!Pay_Num)*12/'DLL Schedule'!Num_Pmt_Per_Year,DAY('DLL Schedule'!Loan_Start)),"")</f>
        <v/>
      </c>
      <c r="C192" s="525" t="str">
        <f>IF('DLL Schedule'!Pay_Num&lt;&gt;"",I191,"")</f>
        <v/>
      </c>
      <c r="D192" s="525" t="str">
        <f>IF('DLL Schedule'!Pay_Num&lt;&gt;"",'DLL Schedule'!Scheduled_Monthly_Payment,"")</f>
        <v/>
      </c>
      <c r="E1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2" s="525" t="str">
        <f>IF('DLL Schedule'!Pay_Num&lt;&gt;"",IF('DLL Schedule'!Sched_Pay+'DLL Schedule'!Extra_Pay&lt;'DLL Schedule'!Beg_Bal,'DLL Schedule'!Sched_Pay+'DLL Schedule'!Extra_Pay,'DLL Schedule'!Beg_Bal),"")</f>
        <v/>
      </c>
      <c r="G192" s="525" t="str">
        <f>IF('DLL Schedule'!Pay_Num&lt;&gt;"",'DLL Schedule'!Total_Pay-'DLL Schedule'!Int,"")</f>
        <v/>
      </c>
      <c r="H192" s="525" t="str">
        <f>IF('DLL Schedule'!Pay_Num&lt;&gt;"",'DLL Schedule'!Beg_Bal*'DLL Schedule'!Interest_Rate/'DLL Schedule'!Num_Pmt_Per_Year,"")</f>
        <v/>
      </c>
      <c r="I192" s="525" t="str">
        <f>IF('DLL Schedule'!Pay_Num&lt;&gt;"",IF('DLL Schedule'!Sched_Pay+'DLL Schedule'!Extra_Pay&lt;'DLL Schedule'!Beg_Bal,'DLL Schedule'!Beg_Bal-'DLL Schedule'!Princ,0),"")</f>
        <v/>
      </c>
      <c r="J192" s="525">
        <f>SUM($H$18:$H192)</f>
        <v>257912.99524975716</v>
      </c>
      <c r="K192" s="499"/>
    </row>
    <row r="193" spans="1:11" ht="12.75" customHeight="1">
      <c r="A193" s="523" t="str">
        <f>IF(AND('DLL Schedule'!Values_Entered=1,A192&lt;&gt;"",I192&gt;0),A192+1,"")</f>
        <v/>
      </c>
      <c r="B193" s="524" t="str">
        <f>IF('DLL Schedule'!Pay_Num&lt;&gt;"",DATE(YEAR('DLL Schedule'!Loan_Start),MONTH('DLL Schedule'!Loan_Start)+('DLL Schedule'!Pay_Num)*12/'DLL Schedule'!Num_Pmt_Per_Year,DAY('DLL Schedule'!Loan_Start)),"")</f>
        <v/>
      </c>
      <c r="C193" s="525" t="str">
        <f>IF('DLL Schedule'!Pay_Num&lt;&gt;"",I192,"")</f>
        <v/>
      </c>
      <c r="D193" s="525" t="str">
        <f>IF('DLL Schedule'!Pay_Num&lt;&gt;"",'DLL Schedule'!Scheduled_Monthly_Payment,"")</f>
        <v/>
      </c>
      <c r="E1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3" s="525" t="str">
        <f>IF('DLL Schedule'!Pay_Num&lt;&gt;"",IF('DLL Schedule'!Sched_Pay+'DLL Schedule'!Extra_Pay&lt;'DLL Schedule'!Beg_Bal,'DLL Schedule'!Sched_Pay+'DLL Schedule'!Extra_Pay,'DLL Schedule'!Beg_Bal),"")</f>
        <v/>
      </c>
      <c r="G193" s="525" t="str">
        <f>IF('DLL Schedule'!Pay_Num&lt;&gt;"",'DLL Schedule'!Total_Pay-'DLL Schedule'!Int,"")</f>
        <v/>
      </c>
      <c r="H193" s="525" t="str">
        <f>IF('DLL Schedule'!Pay_Num&lt;&gt;"",'DLL Schedule'!Beg_Bal*'DLL Schedule'!Interest_Rate/'DLL Schedule'!Num_Pmt_Per_Year,"")</f>
        <v/>
      </c>
      <c r="I193" s="525" t="str">
        <f>IF('DLL Schedule'!Pay_Num&lt;&gt;"",IF('DLL Schedule'!Sched_Pay+'DLL Schedule'!Extra_Pay&lt;'DLL Schedule'!Beg_Bal,'DLL Schedule'!Beg_Bal-'DLL Schedule'!Princ,0),"")</f>
        <v/>
      </c>
      <c r="J193" s="525">
        <f>SUM($H$18:$H193)</f>
        <v>257912.99524975716</v>
      </c>
      <c r="K193" s="499"/>
    </row>
    <row r="194" spans="1:11" ht="12.75" customHeight="1">
      <c r="A194" s="523" t="str">
        <f>IF(AND('DLL Schedule'!Values_Entered=1,A193&lt;&gt;"",I193&gt;0),A193+1,"")</f>
        <v/>
      </c>
      <c r="B194" s="524" t="str">
        <f>IF('DLL Schedule'!Pay_Num&lt;&gt;"",DATE(YEAR('DLL Schedule'!Loan_Start),MONTH('DLL Schedule'!Loan_Start)+('DLL Schedule'!Pay_Num)*12/'DLL Schedule'!Num_Pmt_Per_Year,DAY('DLL Schedule'!Loan_Start)),"")</f>
        <v/>
      </c>
      <c r="C194" s="525" t="str">
        <f>IF('DLL Schedule'!Pay_Num&lt;&gt;"",I193,"")</f>
        <v/>
      </c>
      <c r="D194" s="525" t="str">
        <f>IF('DLL Schedule'!Pay_Num&lt;&gt;"",'DLL Schedule'!Scheduled_Monthly_Payment,"")</f>
        <v/>
      </c>
      <c r="E1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4" s="525" t="str">
        <f>IF('DLL Schedule'!Pay_Num&lt;&gt;"",IF('DLL Schedule'!Sched_Pay+'DLL Schedule'!Extra_Pay&lt;'DLL Schedule'!Beg_Bal,'DLL Schedule'!Sched_Pay+'DLL Schedule'!Extra_Pay,'DLL Schedule'!Beg_Bal),"")</f>
        <v/>
      </c>
      <c r="G194" s="525" t="str">
        <f>IF('DLL Schedule'!Pay_Num&lt;&gt;"",'DLL Schedule'!Total_Pay-'DLL Schedule'!Int,"")</f>
        <v/>
      </c>
      <c r="H194" s="525" t="str">
        <f>IF('DLL Schedule'!Pay_Num&lt;&gt;"",'DLL Schedule'!Beg_Bal*'DLL Schedule'!Interest_Rate/'DLL Schedule'!Num_Pmt_Per_Year,"")</f>
        <v/>
      </c>
      <c r="I194" s="525" t="str">
        <f>IF('DLL Schedule'!Pay_Num&lt;&gt;"",IF('DLL Schedule'!Sched_Pay+'DLL Schedule'!Extra_Pay&lt;'DLL Schedule'!Beg_Bal,'DLL Schedule'!Beg_Bal-'DLL Schedule'!Princ,0),"")</f>
        <v/>
      </c>
      <c r="J194" s="525">
        <f>SUM($H$18:$H194)</f>
        <v>257912.99524975716</v>
      </c>
      <c r="K194" s="499"/>
    </row>
    <row r="195" spans="1:11" ht="12.75" customHeight="1">
      <c r="A195" s="523" t="str">
        <f>IF(AND('DLL Schedule'!Values_Entered=1,A194&lt;&gt;"",I194&gt;0),A194+1,"")</f>
        <v/>
      </c>
      <c r="B195" s="524" t="str">
        <f>IF('DLL Schedule'!Pay_Num&lt;&gt;"",DATE(YEAR('DLL Schedule'!Loan_Start),MONTH('DLL Schedule'!Loan_Start)+('DLL Schedule'!Pay_Num)*12/'DLL Schedule'!Num_Pmt_Per_Year,DAY('DLL Schedule'!Loan_Start)),"")</f>
        <v/>
      </c>
      <c r="C195" s="525" t="str">
        <f>IF('DLL Schedule'!Pay_Num&lt;&gt;"",I194,"")</f>
        <v/>
      </c>
      <c r="D195" s="525" t="str">
        <f>IF('DLL Schedule'!Pay_Num&lt;&gt;"",'DLL Schedule'!Scheduled_Monthly_Payment,"")</f>
        <v/>
      </c>
      <c r="E1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5" s="525" t="str">
        <f>IF('DLL Schedule'!Pay_Num&lt;&gt;"",IF('DLL Schedule'!Sched_Pay+'DLL Schedule'!Extra_Pay&lt;'DLL Schedule'!Beg_Bal,'DLL Schedule'!Sched_Pay+'DLL Schedule'!Extra_Pay,'DLL Schedule'!Beg_Bal),"")</f>
        <v/>
      </c>
      <c r="G195" s="525" t="str">
        <f>IF('DLL Schedule'!Pay_Num&lt;&gt;"",'DLL Schedule'!Total_Pay-'DLL Schedule'!Int,"")</f>
        <v/>
      </c>
      <c r="H195" s="525" t="str">
        <f>IF('DLL Schedule'!Pay_Num&lt;&gt;"",'DLL Schedule'!Beg_Bal*'DLL Schedule'!Interest_Rate/'DLL Schedule'!Num_Pmt_Per_Year,"")</f>
        <v/>
      </c>
      <c r="I195" s="525" t="str">
        <f>IF('DLL Schedule'!Pay_Num&lt;&gt;"",IF('DLL Schedule'!Sched_Pay+'DLL Schedule'!Extra_Pay&lt;'DLL Schedule'!Beg_Bal,'DLL Schedule'!Beg_Bal-'DLL Schedule'!Princ,0),"")</f>
        <v/>
      </c>
      <c r="J195" s="525">
        <f>SUM($H$18:$H195)</f>
        <v>257912.99524975716</v>
      </c>
      <c r="K195" s="499"/>
    </row>
    <row r="196" spans="1:11" ht="12.75" customHeight="1">
      <c r="A196" s="523" t="str">
        <f>IF(AND('DLL Schedule'!Values_Entered=1,A195&lt;&gt;"",I195&gt;0),A195+1,"")</f>
        <v/>
      </c>
      <c r="B196" s="524" t="str">
        <f>IF('DLL Schedule'!Pay_Num&lt;&gt;"",DATE(YEAR('DLL Schedule'!Loan_Start),MONTH('DLL Schedule'!Loan_Start)+('DLL Schedule'!Pay_Num)*12/'DLL Schedule'!Num_Pmt_Per_Year,DAY('DLL Schedule'!Loan_Start)),"")</f>
        <v/>
      </c>
      <c r="C196" s="525" t="str">
        <f>IF('DLL Schedule'!Pay_Num&lt;&gt;"",I195,"")</f>
        <v/>
      </c>
      <c r="D196" s="525" t="str">
        <f>IF('DLL Schedule'!Pay_Num&lt;&gt;"",'DLL Schedule'!Scheduled_Monthly_Payment,"")</f>
        <v/>
      </c>
      <c r="E1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6" s="525" t="str">
        <f>IF('DLL Schedule'!Pay_Num&lt;&gt;"",IF('DLL Schedule'!Sched_Pay+'DLL Schedule'!Extra_Pay&lt;'DLL Schedule'!Beg_Bal,'DLL Schedule'!Sched_Pay+'DLL Schedule'!Extra_Pay,'DLL Schedule'!Beg_Bal),"")</f>
        <v/>
      </c>
      <c r="G196" s="525" t="str">
        <f>IF('DLL Schedule'!Pay_Num&lt;&gt;"",'DLL Schedule'!Total_Pay-'DLL Schedule'!Int,"")</f>
        <v/>
      </c>
      <c r="H196" s="525" t="str">
        <f>IF('DLL Schedule'!Pay_Num&lt;&gt;"",'DLL Schedule'!Beg_Bal*'DLL Schedule'!Interest_Rate/'DLL Schedule'!Num_Pmt_Per_Year,"")</f>
        <v/>
      </c>
      <c r="I196" s="525" t="str">
        <f>IF('DLL Schedule'!Pay_Num&lt;&gt;"",IF('DLL Schedule'!Sched_Pay+'DLL Schedule'!Extra_Pay&lt;'DLL Schedule'!Beg_Bal,'DLL Schedule'!Beg_Bal-'DLL Schedule'!Princ,0),"")</f>
        <v/>
      </c>
      <c r="J196" s="525">
        <f>SUM($H$18:$H196)</f>
        <v>257912.99524975716</v>
      </c>
      <c r="K196" s="499"/>
    </row>
    <row r="197" spans="1:11" ht="12.75" customHeight="1">
      <c r="A197" s="523" t="str">
        <f>IF(AND('DLL Schedule'!Values_Entered=1,A196&lt;&gt;"",I196&gt;0),A196+1,"")</f>
        <v/>
      </c>
      <c r="B197" s="524" t="str">
        <f>IF('DLL Schedule'!Pay_Num&lt;&gt;"",DATE(YEAR('DLL Schedule'!Loan_Start),MONTH('DLL Schedule'!Loan_Start)+('DLL Schedule'!Pay_Num)*12/'DLL Schedule'!Num_Pmt_Per_Year,DAY('DLL Schedule'!Loan_Start)),"")</f>
        <v/>
      </c>
      <c r="C197" s="525" t="str">
        <f>IF('DLL Schedule'!Pay_Num&lt;&gt;"",I196,"")</f>
        <v/>
      </c>
      <c r="D197" s="525" t="str">
        <f>IF('DLL Schedule'!Pay_Num&lt;&gt;"",'DLL Schedule'!Scheduled_Monthly_Payment,"")</f>
        <v/>
      </c>
      <c r="E1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7" s="525" t="str">
        <f>IF('DLL Schedule'!Pay_Num&lt;&gt;"",IF('DLL Schedule'!Sched_Pay+'DLL Schedule'!Extra_Pay&lt;'DLL Schedule'!Beg_Bal,'DLL Schedule'!Sched_Pay+'DLL Schedule'!Extra_Pay,'DLL Schedule'!Beg_Bal),"")</f>
        <v/>
      </c>
      <c r="G197" s="525" t="str">
        <f>IF('DLL Schedule'!Pay_Num&lt;&gt;"",'DLL Schedule'!Total_Pay-'DLL Schedule'!Int,"")</f>
        <v/>
      </c>
      <c r="H197" s="525" t="str">
        <f>IF('DLL Schedule'!Pay_Num&lt;&gt;"",'DLL Schedule'!Beg_Bal*'DLL Schedule'!Interest_Rate/'DLL Schedule'!Num_Pmt_Per_Year,"")</f>
        <v/>
      </c>
      <c r="I197" s="525" t="str">
        <f>IF('DLL Schedule'!Pay_Num&lt;&gt;"",IF('DLL Schedule'!Sched_Pay+'DLL Schedule'!Extra_Pay&lt;'DLL Schedule'!Beg_Bal,'DLL Schedule'!Beg_Bal-'DLL Schedule'!Princ,0),"")</f>
        <v/>
      </c>
      <c r="J197" s="525">
        <f>SUM($H$18:$H197)</f>
        <v>257912.99524975716</v>
      </c>
      <c r="K197" s="499"/>
    </row>
    <row r="198" spans="1:11" ht="12.75" customHeight="1">
      <c r="A198" s="523" t="str">
        <f>IF(AND('DLL Schedule'!Values_Entered=1,A197&lt;&gt;"",I197&gt;0),A197+1,"")</f>
        <v/>
      </c>
      <c r="B198" s="524" t="str">
        <f>IF('DLL Schedule'!Pay_Num&lt;&gt;"",DATE(YEAR('DLL Schedule'!Loan_Start),MONTH('DLL Schedule'!Loan_Start)+('DLL Schedule'!Pay_Num)*12/'DLL Schedule'!Num_Pmt_Per_Year,DAY('DLL Schedule'!Loan_Start)),"")</f>
        <v/>
      </c>
      <c r="C198" s="525" t="str">
        <f>IF('DLL Schedule'!Pay_Num&lt;&gt;"",I197,"")</f>
        <v/>
      </c>
      <c r="D198" s="525" t="str">
        <f>IF('DLL Schedule'!Pay_Num&lt;&gt;"",'DLL Schedule'!Scheduled_Monthly_Payment,"")</f>
        <v/>
      </c>
      <c r="E1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8" s="525" t="str">
        <f>IF('DLL Schedule'!Pay_Num&lt;&gt;"",IF('DLL Schedule'!Sched_Pay+'DLL Schedule'!Extra_Pay&lt;'DLL Schedule'!Beg_Bal,'DLL Schedule'!Sched_Pay+'DLL Schedule'!Extra_Pay,'DLL Schedule'!Beg_Bal),"")</f>
        <v/>
      </c>
      <c r="G198" s="525" t="str">
        <f>IF('DLL Schedule'!Pay_Num&lt;&gt;"",'DLL Schedule'!Total_Pay-'DLL Schedule'!Int,"")</f>
        <v/>
      </c>
      <c r="H198" s="525" t="str">
        <f>IF('DLL Schedule'!Pay_Num&lt;&gt;"",'DLL Schedule'!Beg_Bal*'DLL Schedule'!Interest_Rate/'DLL Schedule'!Num_Pmt_Per_Year,"")</f>
        <v/>
      </c>
      <c r="I198" s="525" t="str">
        <f>IF('DLL Schedule'!Pay_Num&lt;&gt;"",IF('DLL Schedule'!Sched_Pay+'DLL Schedule'!Extra_Pay&lt;'DLL Schedule'!Beg_Bal,'DLL Schedule'!Beg_Bal-'DLL Schedule'!Princ,0),"")</f>
        <v/>
      </c>
      <c r="J198" s="525">
        <f>SUM($H$18:$H198)</f>
        <v>257912.99524975716</v>
      </c>
      <c r="K198" s="499"/>
    </row>
    <row r="199" spans="1:11" ht="12.75" customHeight="1">
      <c r="A199" s="523" t="str">
        <f>IF(AND('DLL Schedule'!Values_Entered=1,A198&lt;&gt;"",I198&gt;0),A198+1,"")</f>
        <v/>
      </c>
      <c r="B199" s="524" t="str">
        <f>IF('DLL Schedule'!Pay_Num&lt;&gt;"",DATE(YEAR('DLL Schedule'!Loan_Start),MONTH('DLL Schedule'!Loan_Start)+('DLL Schedule'!Pay_Num)*12/'DLL Schedule'!Num_Pmt_Per_Year,DAY('DLL Schedule'!Loan_Start)),"")</f>
        <v/>
      </c>
      <c r="C199" s="525" t="str">
        <f>IF('DLL Schedule'!Pay_Num&lt;&gt;"",I198,"")</f>
        <v/>
      </c>
      <c r="D199" s="525" t="str">
        <f>IF('DLL Schedule'!Pay_Num&lt;&gt;"",'DLL Schedule'!Scheduled_Monthly_Payment,"")</f>
        <v/>
      </c>
      <c r="E1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9" s="525" t="str">
        <f>IF('DLL Schedule'!Pay_Num&lt;&gt;"",IF('DLL Schedule'!Sched_Pay+'DLL Schedule'!Extra_Pay&lt;'DLL Schedule'!Beg_Bal,'DLL Schedule'!Sched_Pay+'DLL Schedule'!Extra_Pay,'DLL Schedule'!Beg_Bal),"")</f>
        <v/>
      </c>
      <c r="G199" s="525" t="str">
        <f>IF('DLL Schedule'!Pay_Num&lt;&gt;"",'DLL Schedule'!Total_Pay-'DLL Schedule'!Int,"")</f>
        <v/>
      </c>
      <c r="H199" s="525" t="str">
        <f>IF('DLL Schedule'!Pay_Num&lt;&gt;"",'DLL Schedule'!Beg_Bal*'DLL Schedule'!Interest_Rate/'DLL Schedule'!Num_Pmt_Per_Year,"")</f>
        <v/>
      </c>
      <c r="I199" s="525" t="str">
        <f>IF('DLL Schedule'!Pay_Num&lt;&gt;"",IF('DLL Schedule'!Sched_Pay+'DLL Schedule'!Extra_Pay&lt;'DLL Schedule'!Beg_Bal,'DLL Schedule'!Beg_Bal-'DLL Schedule'!Princ,0),"")</f>
        <v/>
      </c>
      <c r="J199" s="525">
        <f>SUM($H$18:$H199)</f>
        <v>257912.99524975716</v>
      </c>
      <c r="K199" s="499"/>
    </row>
    <row r="200" spans="1:11" ht="12.75" customHeight="1">
      <c r="A200" s="523" t="str">
        <f>IF(AND('DLL Schedule'!Values_Entered=1,A199&lt;&gt;"",I199&gt;0),A199+1,"")</f>
        <v/>
      </c>
      <c r="B200" s="524" t="str">
        <f>IF('DLL Schedule'!Pay_Num&lt;&gt;"",DATE(YEAR('DLL Schedule'!Loan_Start),MONTH('DLL Schedule'!Loan_Start)+('DLL Schedule'!Pay_Num)*12/'DLL Schedule'!Num_Pmt_Per_Year,DAY('DLL Schedule'!Loan_Start)),"")</f>
        <v/>
      </c>
      <c r="C200" s="525" t="str">
        <f>IF('DLL Schedule'!Pay_Num&lt;&gt;"",I199,"")</f>
        <v/>
      </c>
      <c r="D200" s="525" t="str">
        <f>IF('DLL Schedule'!Pay_Num&lt;&gt;"",'DLL Schedule'!Scheduled_Monthly_Payment,"")</f>
        <v/>
      </c>
      <c r="E2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0" s="525" t="str">
        <f>IF('DLL Schedule'!Pay_Num&lt;&gt;"",IF('DLL Schedule'!Sched_Pay+'DLL Schedule'!Extra_Pay&lt;'DLL Schedule'!Beg_Bal,'DLL Schedule'!Sched_Pay+'DLL Schedule'!Extra_Pay,'DLL Schedule'!Beg_Bal),"")</f>
        <v/>
      </c>
      <c r="G200" s="525" t="str">
        <f>IF('DLL Schedule'!Pay_Num&lt;&gt;"",'DLL Schedule'!Total_Pay-'DLL Schedule'!Int,"")</f>
        <v/>
      </c>
      <c r="H200" s="525" t="str">
        <f>IF('DLL Schedule'!Pay_Num&lt;&gt;"",'DLL Schedule'!Beg_Bal*'DLL Schedule'!Interest_Rate/'DLL Schedule'!Num_Pmt_Per_Year,"")</f>
        <v/>
      </c>
      <c r="I200" s="525" t="str">
        <f>IF('DLL Schedule'!Pay_Num&lt;&gt;"",IF('DLL Schedule'!Sched_Pay+'DLL Schedule'!Extra_Pay&lt;'DLL Schedule'!Beg_Bal,'DLL Schedule'!Beg_Bal-'DLL Schedule'!Princ,0),"")</f>
        <v/>
      </c>
      <c r="J200" s="525">
        <f>SUM($H$18:$H200)</f>
        <v>257912.99524975716</v>
      </c>
      <c r="K200" s="499"/>
    </row>
    <row r="201" spans="1:11" ht="12.75" customHeight="1">
      <c r="A201" s="523" t="str">
        <f>IF(AND('DLL Schedule'!Values_Entered=1,A200&lt;&gt;"",I200&gt;0),A200+1,"")</f>
        <v/>
      </c>
      <c r="B201" s="524" t="str">
        <f>IF('DLL Schedule'!Pay_Num&lt;&gt;"",DATE(YEAR('DLL Schedule'!Loan_Start),MONTH('DLL Schedule'!Loan_Start)+('DLL Schedule'!Pay_Num)*12/'DLL Schedule'!Num_Pmt_Per_Year,DAY('DLL Schedule'!Loan_Start)),"")</f>
        <v/>
      </c>
      <c r="C201" s="525" t="str">
        <f>IF('DLL Schedule'!Pay_Num&lt;&gt;"",I200,"")</f>
        <v/>
      </c>
      <c r="D201" s="525" t="str">
        <f>IF('DLL Schedule'!Pay_Num&lt;&gt;"",'DLL Schedule'!Scheduled_Monthly_Payment,"")</f>
        <v/>
      </c>
      <c r="E2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1" s="525" t="str">
        <f>IF('DLL Schedule'!Pay_Num&lt;&gt;"",IF('DLL Schedule'!Sched_Pay+'DLL Schedule'!Extra_Pay&lt;'DLL Schedule'!Beg_Bal,'DLL Schedule'!Sched_Pay+'DLL Schedule'!Extra_Pay,'DLL Schedule'!Beg_Bal),"")</f>
        <v/>
      </c>
      <c r="G201" s="525" t="str">
        <f>IF('DLL Schedule'!Pay_Num&lt;&gt;"",'DLL Schedule'!Total_Pay-'DLL Schedule'!Int,"")</f>
        <v/>
      </c>
      <c r="H201" s="525" t="str">
        <f>IF('DLL Schedule'!Pay_Num&lt;&gt;"",'DLL Schedule'!Beg_Bal*'DLL Schedule'!Interest_Rate/'DLL Schedule'!Num_Pmt_Per_Year,"")</f>
        <v/>
      </c>
      <c r="I201" s="525" t="str">
        <f>IF('DLL Schedule'!Pay_Num&lt;&gt;"",IF('DLL Schedule'!Sched_Pay+'DLL Schedule'!Extra_Pay&lt;'DLL Schedule'!Beg_Bal,'DLL Schedule'!Beg_Bal-'DLL Schedule'!Princ,0),"")</f>
        <v/>
      </c>
      <c r="J201" s="525">
        <f>SUM($H$18:$H201)</f>
        <v>257912.99524975716</v>
      </c>
      <c r="K201" s="499"/>
    </row>
    <row r="202" spans="1:11" ht="12.75" customHeight="1">
      <c r="A202" s="523" t="str">
        <f>IF(AND('DLL Schedule'!Values_Entered=1,A201&lt;&gt;"",I201&gt;0),A201+1,"")</f>
        <v/>
      </c>
      <c r="B202" s="524" t="str">
        <f>IF('DLL Schedule'!Pay_Num&lt;&gt;"",DATE(YEAR('DLL Schedule'!Loan_Start),MONTH('DLL Schedule'!Loan_Start)+('DLL Schedule'!Pay_Num)*12/'DLL Schedule'!Num_Pmt_Per_Year,DAY('DLL Schedule'!Loan_Start)),"")</f>
        <v/>
      </c>
      <c r="C202" s="525" t="str">
        <f>IF('DLL Schedule'!Pay_Num&lt;&gt;"",I201,"")</f>
        <v/>
      </c>
      <c r="D202" s="525" t="str">
        <f>IF('DLL Schedule'!Pay_Num&lt;&gt;"",'DLL Schedule'!Scheduled_Monthly_Payment,"")</f>
        <v/>
      </c>
      <c r="E2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2" s="525" t="str">
        <f>IF('DLL Schedule'!Pay_Num&lt;&gt;"",IF('DLL Schedule'!Sched_Pay+'DLL Schedule'!Extra_Pay&lt;'DLL Schedule'!Beg_Bal,'DLL Schedule'!Sched_Pay+'DLL Schedule'!Extra_Pay,'DLL Schedule'!Beg_Bal),"")</f>
        <v/>
      </c>
      <c r="G202" s="525" t="str">
        <f>IF('DLL Schedule'!Pay_Num&lt;&gt;"",'DLL Schedule'!Total_Pay-'DLL Schedule'!Int,"")</f>
        <v/>
      </c>
      <c r="H202" s="525" t="str">
        <f>IF('DLL Schedule'!Pay_Num&lt;&gt;"",'DLL Schedule'!Beg_Bal*'DLL Schedule'!Interest_Rate/'DLL Schedule'!Num_Pmt_Per_Year,"")</f>
        <v/>
      </c>
      <c r="I202" s="525" t="str">
        <f>IF('DLL Schedule'!Pay_Num&lt;&gt;"",IF('DLL Schedule'!Sched_Pay+'DLL Schedule'!Extra_Pay&lt;'DLL Schedule'!Beg_Bal,'DLL Schedule'!Beg_Bal-'DLL Schedule'!Princ,0),"")</f>
        <v/>
      </c>
      <c r="J202" s="525">
        <f>SUM($H$18:$H202)</f>
        <v>257912.99524975716</v>
      </c>
      <c r="K202" s="499"/>
    </row>
    <row r="203" spans="1:11" ht="12.75" customHeight="1">
      <c r="A203" s="523" t="str">
        <f>IF(AND('DLL Schedule'!Values_Entered=1,A202&lt;&gt;"",I202&gt;0),A202+1,"")</f>
        <v/>
      </c>
      <c r="B203" s="524" t="str">
        <f>IF('DLL Schedule'!Pay_Num&lt;&gt;"",DATE(YEAR('DLL Schedule'!Loan_Start),MONTH('DLL Schedule'!Loan_Start)+('DLL Schedule'!Pay_Num)*12/'DLL Schedule'!Num_Pmt_Per_Year,DAY('DLL Schedule'!Loan_Start)),"")</f>
        <v/>
      </c>
      <c r="C203" s="525" t="str">
        <f>IF('DLL Schedule'!Pay_Num&lt;&gt;"",I202,"")</f>
        <v/>
      </c>
      <c r="D203" s="525" t="str">
        <f>IF('DLL Schedule'!Pay_Num&lt;&gt;"",'DLL Schedule'!Scheduled_Monthly_Payment,"")</f>
        <v/>
      </c>
      <c r="E2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3" s="525" t="str">
        <f>IF('DLL Schedule'!Pay_Num&lt;&gt;"",IF('DLL Schedule'!Sched_Pay+'DLL Schedule'!Extra_Pay&lt;'DLL Schedule'!Beg_Bal,'DLL Schedule'!Sched_Pay+'DLL Schedule'!Extra_Pay,'DLL Schedule'!Beg_Bal),"")</f>
        <v/>
      </c>
      <c r="G203" s="525" t="str">
        <f>IF('DLL Schedule'!Pay_Num&lt;&gt;"",'DLL Schedule'!Total_Pay-'DLL Schedule'!Int,"")</f>
        <v/>
      </c>
      <c r="H203" s="525" t="str">
        <f>IF('DLL Schedule'!Pay_Num&lt;&gt;"",'DLL Schedule'!Beg_Bal*'DLL Schedule'!Interest_Rate/'DLL Schedule'!Num_Pmt_Per_Year,"")</f>
        <v/>
      </c>
      <c r="I203" s="525" t="str">
        <f>IF('DLL Schedule'!Pay_Num&lt;&gt;"",IF('DLL Schedule'!Sched_Pay+'DLL Schedule'!Extra_Pay&lt;'DLL Schedule'!Beg_Bal,'DLL Schedule'!Beg_Bal-'DLL Schedule'!Princ,0),"")</f>
        <v/>
      </c>
      <c r="J203" s="525">
        <f>SUM($H$18:$H203)</f>
        <v>257912.99524975716</v>
      </c>
      <c r="K203" s="499"/>
    </row>
    <row r="204" spans="1:11" ht="12.75" customHeight="1">
      <c r="A204" s="523" t="str">
        <f>IF(AND('DLL Schedule'!Values_Entered=1,A203&lt;&gt;"",I203&gt;0),A203+1,"")</f>
        <v/>
      </c>
      <c r="B204" s="524" t="str">
        <f>IF('DLL Schedule'!Pay_Num&lt;&gt;"",DATE(YEAR('DLL Schedule'!Loan_Start),MONTH('DLL Schedule'!Loan_Start)+('DLL Schedule'!Pay_Num)*12/'DLL Schedule'!Num_Pmt_Per_Year,DAY('DLL Schedule'!Loan_Start)),"")</f>
        <v/>
      </c>
      <c r="C204" s="525" t="str">
        <f>IF('DLL Schedule'!Pay_Num&lt;&gt;"",I203,"")</f>
        <v/>
      </c>
      <c r="D204" s="525" t="str">
        <f>IF('DLL Schedule'!Pay_Num&lt;&gt;"",'DLL Schedule'!Scheduled_Monthly_Payment,"")</f>
        <v/>
      </c>
      <c r="E2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4" s="525" t="str">
        <f>IF('DLL Schedule'!Pay_Num&lt;&gt;"",IF('DLL Schedule'!Sched_Pay+'DLL Schedule'!Extra_Pay&lt;'DLL Schedule'!Beg_Bal,'DLL Schedule'!Sched_Pay+'DLL Schedule'!Extra_Pay,'DLL Schedule'!Beg_Bal),"")</f>
        <v/>
      </c>
      <c r="G204" s="525" t="str">
        <f>IF('DLL Schedule'!Pay_Num&lt;&gt;"",'DLL Schedule'!Total_Pay-'DLL Schedule'!Int,"")</f>
        <v/>
      </c>
      <c r="H204" s="525" t="str">
        <f>IF('DLL Schedule'!Pay_Num&lt;&gt;"",'DLL Schedule'!Beg_Bal*'DLL Schedule'!Interest_Rate/'DLL Schedule'!Num_Pmt_Per_Year,"")</f>
        <v/>
      </c>
      <c r="I204" s="525" t="str">
        <f>IF('DLL Schedule'!Pay_Num&lt;&gt;"",IF('DLL Schedule'!Sched_Pay+'DLL Schedule'!Extra_Pay&lt;'DLL Schedule'!Beg_Bal,'DLL Schedule'!Beg_Bal-'DLL Schedule'!Princ,0),"")</f>
        <v/>
      </c>
      <c r="J204" s="525">
        <f>SUM($H$18:$H204)</f>
        <v>257912.99524975716</v>
      </c>
      <c r="K204" s="499"/>
    </row>
    <row r="205" spans="1:11" ht="12.75" customHeight="1">
      <c r="A205" s="523" t="str">
        <f>IF(AND('DLL Schedule'!Values_Entered=1,A204&lt;&gt;"",I204&gt;0),A204+1,"")</f>
        <v/>
      </c>
      <c r="B205" s="524" t="str">
        <f>IF('DLL Schedule'!Pay_Num&lt;&gt;"",DATE(YEAR('DLL Schedule'!Loan_Start),MONTH('DLL Schedule'!Loan_Start)+('DLL Schedule'!Pay_Num)*12/'DLL Schedule'!Num_Pmt_Per_Year,DAY('DLL Schedule'!Loan_Start)),"")</f>
        <v/>
      </c>
      <c r="C205" s="525" t="str">
        <f>IF('DLL Schedule'!Pay_Num&lt;&gt;"",I204,"")</f>
        <v/>
      </c>
      <c r="D205" s="525" t="str">
        <f>IF('DLL Schedule'!Pay_Num&lt;&gt;"",'DLL Schedule'!Scheduled_Monthly_Payment,"")</f>
        <v/>
      </c>
      <c r="E2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5" s="525" t="str">
        <f>IF('DLL Schedule'!Pay_Num&lt;&gt;"",IF('DLL Schedule'!Sched_Pay+'DLL Schedule'!Extra_Pay&lt;'DLL Schedule'!Beg_Bal,'DLL Schedule'!Sched_Pay+'DLL Schedule'!Extra_Pay,'DLL Schedule'!Beg_Bal),"")</f>
        <v/>
      </c>
      <c r="G205" s="525" t="str">
        <f>IF('DLL Schedule'!Pay_Num&lt;&gt;"",'DLL Schedule'!Total_Pay-'DLL Schedule'!Int,"")</f>
        <v/>
      </c>
      <c r="H205" s="525" t="str">
        <f>IF('DLL Schedule'!Pay_Num&lt;&gt;"",'DLL Schedule'!Beg_Bal*'DLL Schedule'!Interest_Rate/'DLL Schedule'!Num_Pmt_Per_Year,"")</f>
        <v/>
      </c>
      <c r="I205" s="525" t="str">
        <f>IF('DLL Schedule'!Pay_Num&lt;&gt;"",IF('DLL Schedule'!Sched_Pay+'DLL Schedule'!Extra_Pay&lt;'DLL Schedule'!Beg_Bal,'DLL Schedule'!Beg_Bal-'DLL Schedule'!Princ,0),"")</f>
        <v/>
      </c>
      <c r="J205" s="525">
        <f>SUM($H$18:$H205)</f>
        <v>257912.99524975716</v>
      </c>
      <c r="K205" s="499"/>
    </row>
    <row r="206" spans="1:11" ht="12.75" customHeight="1">
      <c r="A206" s="523" t="str">
        <f>IF(AND('DLL Schedule'!Values_Entered=1,A205&lt;&gt;"",I205&gt;0),A205+1,"")</f>
        <v/>
      </c>
      <c r="B206" s="524" t="str">
        <f>IF('DLL Schedule'!Pay_Num&lt;&gt;"",DATE(YEAR('DLL Schedule'!Loan_Start),MONTH('DLL Schedule'!Loan_Start)+('DLL Schedule'!Pay_Num)*12/'DLL Schedule'!Num_Pmt_Per_Year,DAY('DLL Schedule'!Loan_Start)),"")</f>
        <v/>
      </c>
      <c r="C206" s="525" t="str">
        <f>IF('DLL Schedule'!Pay_Num&lt;&gt;"",I205,"")</f>
        <v/>
      </c>
      <c r="D206" s="525" t="str">
        <f>IF('DLL Schedule'!Pay_Num&lt;&gt;"",'DLL Schedule'!Scheduled_Monthly_Payment,"")</f>
        <v/>
      </c>
      <c r="E2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6" s="525" t="str">
        <f>IF('DLL Schedule'!Pay_Num&lt;&gt;"",IF('DLL Schedule'!Sched_Pay+'DLL Schedule'!Extra_Pay&lt;'DLL Schedule'!Beg_Bal,'DLL Schedule'!Sched_Pay+'DLL Schedule'!Extra_Pay,'DLL Schedule'!Beg_Bal),"")</f>
        <v/>
      </c>
      <c r="G206" s="525" t="str">
        <f>IF('DLL Schedule'!Pay_Num&lt;&gt;"",'DLL Schedule'!Total_Pay-'DLL Schedule'!Int,"")</f>
        <v/>
      </c>
      <c r="H206" s="525" t="str">
        <f>IF('DLL Schedule'!Pay_Num&lt;&gt;"",'DLL Schedule'!Beg_Bal*'DLL Schedule'!Interest_Rate/'DLL Schedule'!Num_Pmt_Per_Year,"")</f>
        <v/>
      </c>
      <c r="I206" s="525" t="str">
        <f>IF('DLL Schedule'!Pay_Num&lt;&gt;"",IF('DLL Schedule'!Sched_Pay+'DLL Schedule'!Extra_Pay&lt;'DLL Schedule'!Beg_Bal,'DLL Schedule'!Beg_Bal-'DLL Schedule'!Princ,0),"")</f>
        <v/>
      </c>
      <c r="J206" s="525">
        <f>SUM($H$18:$H206)</f>
        <v>257912.99524975716</v>
      </c>
      <c r="K206" s="499"/>
    </row>
    <row r="207" spans="1:11" ht="12.75" customHeight="1">
      <c r="A207" s="523" t="str">
        <f>IF(AND('DLL Schedule'!Values_Entered=1,A206&lt;&gt;"",I206&gt;0),A206+1,"")</f>
        <v/>
      </c>
      <c r="B207" s="524" t="str">
        <f>IF('DLL Schedule'!Pay_Num&lt;&gt;"",DATE(YEAR('DLL Schedule'!Loan_Start),MONTH('DLL Schedule'!Loan_Start)+('DLL Schedule'!Pay_Num)*12/'DLL Schedule'!Num_Pmt_Per_Year,DAY('DLL Schedule'!Loan_Start)),"")</f>
        <v/>
      </c>
      <c r="C207" s="525" t="str">
        <f>IF('DLL Schedule'!Pay_Num&lt;&gt;"",I206,"")</f>
        <v/>
      </c>
      <c r="D207" s="525" t="str">
        <f>IF('DLL Schedule'!Pay_Num&lt;&gt;"",'DLL Schedule'!Scheduled_Monthly_Payment,"")</f>
        <v/>
      </c>
      <c r="E2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7" s="525" t="str">
        <f>IF('DLL Schedule'!Pay_Num&lt;&gt;"",IF('DLL Schedule'!Sched_Pay+'DLL Schedule'!Extra_Pay&lt;'DLL Schedule'!Beg_Bal,'DLL Schedule'!Sched_Pay+'DLL Schedule'!Extra_Pay,'DLL Schedule'!Beg_Bal),"")</f>
        <v/>
      </c>
      <c r="G207" s="525" t="str">
        <f>IF('DLL Schedule'!Pay_Num&lt;&gt;"",'DLL Schedule'!Total_Pay-'DLL Schedule'!Int,"")</f>
        <v/>
      </c>
      <c r="H207" s="525" t="str">
        <f>IF('DLL Schedule'!Pay_Num&lt;&gt;"",'DLL Schedule'!Beg_Bal*'DLL Schedule'!Interest_Rate/'DLL Schedule'!Num_Pmt_Per_Year,"")</f>
        <v/>
      </c>
      <c r="I207" s="525" t="str">
        <f>IF('DLL Schedule'!Pay_Num&lt;&gt;"",IF('DLL Schedule'!Sched_Pay+'DLL Schedule'!Extra_Pay&lt;'DLL Schedule'!Beg_Bal,'DLL Schedule'!Beg_Bal-'DLL Schedule'!Princ,0),"")</f>
        <v/>
      </c>
      <c r="J207" s="525">
        <f>SUM($H$18:$H207)</f>
        <v>257912.99524975716</v>
      </c>
      <c r="K207" s="499"/>
    </row>
    <row r="208" spans="1:11" ht="12.75" customHeight="1">
      <c r="A208" s="523" t="str">
        <f>IF(AND('DLL Schedule'!Values_Entered=1,A207&lt;&gt;"",I207&gt;0),A207+1,"")</f>
        <v/>
      </c>
      <c r="B208" s="524" t="str">
        <f>IF('DLL Schedule'!Pay_Num&lt;&gt;"",DATE(YEAR('DLL Schedule'!Loan_Start),MONTH('DLL Schedule'!Loan_Start)+('DLL Schedule'!Pay_Num)*12/'DLL Schedule'!Num_Pmt_Per_Year,DAY('DLL Schedule'!Loan_Start)),"")</f>
        <v/>
      </c>
      <c r="C208" s="525" t="str">
        <f>IF('DLL Schedule'!Pay_Num&lt;&gt;"",I207,"")</f>
        <v/>
      </c>
      <c r="D208" s="525" t="str">
        <f>IF('DLL Schedule'!Pay_Num&lt;&gt;"",'DLL Schedule'!Scheduled_Monthly_Payment,"")</f>
        <v/>
      </c>
      <c r="E2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8" s="525" t="str">
        <f>IF('DLL Schedule'!Pay_Num&lt;&gt;"",IF('DLL Schedule'!Sched_Pay+'DLL Schedule'!Extra_Pay&lt;'DLL Schedule'!Beg_Bal,'DLL Schedule'!Sched_Pay+'DLL Schedule'!Extra_Pay,'DLL Schedule'!Beg_Bal),"")</f>
        <v/>
      </c>
      <c r="G208" s="525" t="str">
        <f>IF('DLL Schedule'!Pay_Num&lt;&gt;"",'DLL Schedule'!Total_Pay-'DLL Schedule'!Int,"")</f>
        <v/>
      </c>
      <c r="H208" s="525" t="str">
        <f>IF('DLL Schedule'!Pay_Num&lt;&gt;"",'DLL Schedule'!Beg_Bal*'DLL Schedule'!Interest_Rate/'DLL Schedule'!Num_Pmt_Per_Year,"")</f>
        <v/>
      </c>
      <c r="I208" s="525" t="str">
        <f>IF('DLL Schedule'!Pay_Num&lt;&gt;"",IF('DLL Schedule'!Sched_Pay+'DLL Schedule'!Extra_Pay&lt;'DLL Schedule'!Beg_Bal,'DLL Schedule'!Beg_Bal-'DLL Schedule'!Princ,0),"")</f>
        <v/>
      </c>
      <c r="J208" s="525">
        <f>SUM($H$18:$H208)</f>
        <v>257912.99524975716</v>
      </c>
      <c r="K208" s="499"/>
    </row>
    <row r="209" spans="1:11" ht="12.75" customHeight="1">
      <c r="A209" s="523" t="str">
        <f>IF(AND('DLL Schedule'!Values_Entered=1,A208&lt;&gt;"",I208&gt;0),A208+1,"")</f>
        <v/>
      </c>
      <c r="B209" s="524" t="str">
        <f>IF('DLL Schedule'!Pay_Num&lt;&gt;"",DATE(YEAR('DLL Schedule'!Loan_Start),MONTH('DLL Schedule'!Loan_Start)+('DLL Schedule'!Pay_Num)*12/'DLL Schedule'!Num_Pmt_Per_Year,DAY('DLL Schedule'!Loan_Start)),"")</f>
        <v/>
      </c>
      <c r="C209" s="525" t="str">
        <f>IF('DLL Schedule'!Pay_Num&lt;&gt;"",I208,"")</f>
        <v/>
      </c>
      <c r="D209" s="525" t="str">
        <f>IF('DLL Schedule'!Pay_Num&lt;&gt;"",'DLL Schedule'!Scheduled_Monthly_Payment,"")</f>
        <v/>
      </c>
      <c r="E2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9" s="525" t="str">
        <f>IF('DLL Schedule'!Pay_Num&lt;&gt;"",IF('DLL Schedule'!Sched_Pay+'DLL Schedule'!Extra_Pay&lt;'DLL Schedule'!Beg_Bal,'DLL Schedule'!Sched_Pay+'DLL Schedule'!Extra_Pay,'DLL Schedule'!Beg_Bal),"")</f>
        <v/>
      </c>
      <c r="G209" s="525" t="str">
        <f>IF('DLL Schedule'!Pay_Num&lt;&gt;"",'DLL Schedule'!Total_Pay-'DLL Schedule'!Int,"")</f>
        <v/>
      </c>
      <c r="H209" s="525" t="str">
        <f>IF('DLL Schedule'!Pay_Num&lt;&gt;"",'DLL Schedule'!Beg_Bal*'DLL Schedule'!Interest_Rate/'DLL Schedule'!Num_Pmt_Per_Year,"")</f>
        <v/>
      </c>
      <c r="I209" s="525" t="str">
        <f>IF('DLL Schedule'!Pay_Num&lt;&gt;"",IF('DLL Schedule'!Sched_Pay+'DLL Schedule'!Extra_Pay&lt;'DLL Schedule'!Beg_Bal,'DLL Schedule'!Beg_Bal-'DLL Schedule'!Princ,0),"")</f>
        <v/>
      </c>
      <c r="J209" s="525">
        <f>SUM($H$18:$H209)</f>
        <v>257912.99524975716</v>
      </c>
      <c r="K209" s="499"/>
    </row>
    <row r="210" spans="1:11" ht="12.75" customHeight="1">
      <c r="A210" s="523" t="str">
        <f>IF(AND('DLL Schedule'!Values_Entered=1,A209&lt;&gt;"",I209&gt;0),A209+1,"")</f>
        <v/>
      </c>
      <c r="B210" s="524" t="str">
        <f>IF('DLL Schedule'!Pay_Num&lt;&gt;"",DATE(YEAR('DLL Schedule'!Loan_Start),MONTH('DLL Schedule'!Loan_Start)+('DLL Schedule'!Pay_Num)*12/'DLL Schedule'!Num_Pmt_Per_Year,DAY('DLL Schedule'!Loan_Start)),"")</f>
        <v/>
      </c>
      <c r="C210" s="525" t="str">
        <f>IF('DLL Schedule'!Pay_Num&lt;&gt;"",I209,"")</f>
        <v/>
      </c>
      <c r="D210" s="525" t="str">
        <f>IF('DLL Schedule'!Pay_Num&lt;&gt;"",'DLL Schedule'!Scheduled_Monthly_Payment,"")</f>
        <v/>
      </c>
      <c r="E2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0" s="525" t="str">
        <f>IF('DLL Schedule'!Pay_Num&lt;&gt;"",IF('DLL Schedule'!Sched_Pay+'DLL Schedule'!Extra_Pay&lt;'DLL Schedule'!Beg_Bal,'DLL Schedule'!Sched_Pay+'DLL Schedule'!Extra_Pay,'DLL Schedule'!Beg_Bal),"")</f>
        <v/>
      </c>
      <c r="G210" s="525" t="str">
        <f>IF('DLL Schedule'!Pay_Num&lt;&gt;"",'DLL Schedule'!Total_Pay-'DLL Schedule'!Int,"")</f>
        <v/>
      </c>
      <c r="H210" s="525" t="str">
        <f>IF('DLL Schedule'!Pay_Num&lt;&gt;"",'DLL Schedule'!Beg_Bal*'DLL Schedule'!Interest_Rate/'DLL Schedule'!Num_Pmt_Per_Year,"")</f>
        <v/>
      </c>
      <c r="I210" s="525" t="str">
        <f>IF('DLL Schedule'!Pay_Num&lt;&gt;"",IF('DLL Schedule'!Sched_Pay+'DLL Schedule'!Extra_Pay&lt;'DLL Schedule'!Beg_Bal,'DLL Schedule'!Beg_Bal-'DLL Schedule'!Princ,0),"")</f>
        <v/>
      </c>
      <c r="J210" s="525">
        <f>SUM($H$18:$H210)</f>
        <v>257912.99524975716</v>
      </c>
      <c r="K210" s="499"/>
    </row>
    <row r="211" spans="1:11" ht="12.75" customHeight="1">
      <c r="A211" s="523" t="str">
        <f>IF(AND('DLL Schedule'!Values_Entered=1,A210&lt;&gt;"",I210&gt;0),A210+1,"")</f>
        <v/>
      </c>
      <c r="B211" s="524" t="str">
        <f>IF('DLL Schedule'!Pay_Num&lt;&gt;"",DATE(YEAR('DLL Schedule'!Loan_Start),MONTH('DLL Schedule'!Loan_Start)+('DLL Schedule'!Pay_Num)*12/'DLL Schedule'!Num_Pmt_Per_Year,DAY('DLL Schedule'!Loan_Start)),"")</f>
        <v/>
      </c>
      <c r="C211" s="525" t="str">
        <f>IF('DLL Schedule'!Pay_Num&lt;&gt;"",I210,"")</f>
        <v/>
      </c>
      <c r="D211" s="525" t="str">
        <f>IF('DLL Schedule'!Pay_Num&lt;&gt;"",'DLL Schedule'!Scheduled_Monthly_Payment,"")</f>
        <v/>
      </c>
      <c r="E2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1" s="525" t="str">
        <f>IF('DLL Schedule'!Pay_Num&lt;&gt;"",IF('DLL Schedule'!Sched_Pay+'DLL Schedule'!Extra_Pay&lt;'DLL Schedule'!Beg_Bal,'DLL Schedule'!Sched_Pay+'DLL Schedule'!Extra_Pay,'DLL Schedule'!Beg_Bal),"")</f>
        <v/>
      </c>
      <c r="G211" s="525" t="str">
        <f>IF('DLL Schedule'!Pay_Num&lt;&gt;"",'DLL Schedule'!Total_Pay-'DLL Schedule'!Int,"")</f>
        <v/>
      </c>
      <c r="H211" s="525" t="str">
        <f>IF('DLL Schedule'!Pay_Num&lt;&gt;"",'DLL Schedule'!Beg_Bal*'DLL Schedule'!Interest_Rate/'DLL Schedule'!Num_Pmt_Per_Year,"")</f>
        <v/>
      </c>
      <c r="I211" s="525" t="str">
        <f>IF('DLL Schedule'!Pay_Num&lt;&gt;"",IF('DLL Schedule'!Sched_Pay+'DLL Schedule'!Extra_Pay&lt;'DLL Schedule'!Beg_Bal,'DLL Schedule'!Beg_Bal-'DLL Schedule'!Princ,0),"")</f>
        <v/>
      </c>
      <c r="J211" s="525">
        <f>SUM($H$18:$H211)</f>
        <v>257912.99524975716</v>
      </c>
      <c r="K211" s="499"/>
    </row>
    <row r="212" spans="1:11" ht="12.75" customHeight="1">
      <c r="A212" s="523" t="str">
        <f>IF(AND('DLL Schedule'!Values_Entered=1,A211&lt;&gt;"",I211&gt;0),A211+1,"")</f>
        <v/>
      </c>
      <c r="B212" s="524" t="str">
        <f>IF('DLL Schedule'!Pay_Num&lt;&gt;"",DATE(YEAR('DLL Schedule'!Loan_Start),MONTH('DLL Schedule'!Loan_Start)+('DLL Schedule'!Pay_Num)*12/'DLL Schedule'!Num_Pmt_Per_Year,DAY('DLL Schedule'!Loan_Start)),"")</f>
        <v/>
      </c>
      <c r="C212" s="525" t="str">
        <f>IF('DLL Schedule'!Pay_Num&lt;&gt;"",I211,"")</f>
        <v/>
      </c>
      <c r="D212" s="525" t="str">
        <f>IF('DLL Schedule'!Pay_Num&lt;&gt;"",'DLL Schedule'!Scheduled_Monthly_Payment,"")</f>
        <v/>
      </c>
      <c r="E2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2" s="525" t="str">
        <f>IF('DLL Schedule'!Pay_Num&lt;&gt;"",IF('DLL Schedule'!Sched_Pay+'DLL Schedule'!Extra_Pay&lt;'DLL Schedule'!Beg_Bal,'DLL Schedule'!Sched_Pay+'DLL Schedule'!Extra_Pay,'DLL Schedule'!Beg_Bal),"")</f>
        <v/>
      </c>
      <c r="G212" s="525" t="str">
        <f>IF('DLL Schedule'!Pay_Num&lt;&gt;"",'DLL Schedule'!Total_Pay-'DLL Schedule'!Int,"")</f>
        <v/>
      </c>
      <c r="H212" s="525" t="str">
        <f>IF('DLL Schedule'!Pay_Num&lt;&gt;"",'DLL Schedule'!Beg_Bal*'DLL Schedule'!Interest_Rate/'DLL Schedule'!Num_Pmt_Per_Year,"")</f>
        <v/>
      </c>
      <c r="I212" s="525" t="str">
        <f>IF('DLL Schedule'!Pay_Num&lt;&gt;"",IF('DLL Schedule'!Sched_Pay+'DLL Schedule'!Extra_Pay&lt;'DLL Schedule'!Beg_Bal,'DLL Schedule'!Beg_Bal-'DLL Schedule'!Princ,0),"")</f>
        <v/>
      </c>
      <c r="J212" s="525">
        <f>SUM($H$18:$H212)</f>
        <v>257912.99524975716</v>
      </c>
      <c r="K212" s="499"/>
    </row>
    <row r="213" spans="1:11" ht="12.75" customHeight="1">
      <c r="A213" s="523" t="str">
        <f>IF(AND('DLL Schedule'!Values_Entered=1,A212&lt;&gt;"",I212&gt;0),A212+1,"")</f>
        <v/>
      </c>
      <c r="B213" s="524" t="str">
        <f>IF('DLL Schedule'!Pay_Num&lt;&gt;"",DATE(YEAR('DLL Schedule'!Loan_Start),MONTH('DLL Schedule'!Loan_Start)+('DLL Schedule'!Pay_Num)*12/'DLL Schedule'!Num_Pmt_Per_Year,DAY('DLL Schedule'!Loan_Start)),"")</f>
        <v/>
      </c>
      <c r="C213" s="525" t="str">
        <f>IF('DLL Schedule'!Pay_Num&lt;&gt;"",I212,"")</f>
        <v/>
      </c>
      <c r="D213" s="525" t="str">
        <f>IF('DLL Schedule'!Pay_Num&lt;&gt;"",'DLL Schedule'!Scheduled_Monthly_Payment,"")</f>
        <v/>
      </c>
      <c r="E2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3" s="525" t="str">
        <f>IF('DLL Schedule'!Pay_Num&lt;&gt;"",IF('DLL Schedule'!Sched_Pay+'DLL Schedule'!Extra_Pay&lt;'DLL Schedule'!Beg_Bal,'DLL Schedule'!Sched_Pay+'DLL Schedule'!Extra_Pay,'DLL Schedule'!Beg_Bal),"")</f>
        <v/>
      </c>
      <c r="G213" s="525" t="str">
        <f>IF('DLL Schedule'!Pay_Num&lt;&gt;"",'DLL Schedule'!Total_Pay-'DLL Schedule'!Int,"")</f>
        <v/>
      </c>
      <c r="H213" s="525" t="str">
        <f>IF('DLL Schedule'!Pay_Num&lt;&gt;"",'DLL Schedule'!Beg_Bal*'DLL Schedule'!Interest_Rate/'DLL Schedule'!Num_Pmt_Per_Year,"")</f>
        <v/>
      </c>
      <c r="I213" s="525" t="str">
        <f>IF('DLL Schedule'!Pay_Num&lt;&gt;"",IF('DLL Schedule'!Sched_Pay+'DLL Schedule'!Extra_Pay&lt;'DLL Schedule'!Beg_Bal,'DLL Schedule'!Beg_Bal-'DLL Schedule'!Princ,0),"")</f>
        <v/>
      </c>
      <c r="J213" s="525">
        <f>SUM($H$18:$H213)</f>
        <v>257912.99524975716</v>
      </c>
      <c r="K213" s="499"/>
    </row>
    <row r="214" spans="1:11" ht="12.75" customHeight="1">
      <c r="A214" s="523" t="str">
        <f>IF(AND('DLL Schedule'!Values_Entered=1,A213&lt;&gt;"",I213&gt;0),A213+1,"")</f>
        <v/>
      </c>
      <c r="B214" s="524" t="str">
        <f>IF('DLL Schedule'!Pay_Num&lt;&gt;"",DATE(YEAR('DLL Schedule'!Loan_Start),MONTH('DLL Schedule'!Loan_Start)+('DLL Schedule'!Pay_Num)*12/'DLL Schedule'!Num_Pmt_Per_Year,DAY('DLL Schedule'!Loan_Start)),"")</f>
        <v/>
      </c>
      <c r="C214" s="525" t="str">
        <f>IF('DLL Schedule'!Pay_Num&lt;&gt;"",I213,"")</f>
        <v/>
      </c>
      <c r="D214" s="525" t="str">
        <f>IF('DLL Schedule'!Pay_Num&lt;&gt;"",'DLL Schedule'!Scheduled_Monthly_Payment,"")</f>
        <v/>
      </c>
      <c r="E2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4" s="525" t="str">
        <f>IF('DLL Schedule'!Pay_Num&lt;&gt;"",IF('DLL Schedule'!Sched_Pay+'DLL Schedule'!Extra_Pay&lt;'DLL Schedule'!Beg_Bal,'DLL Schedule'!Sched_Pay+'DLL Schedule'!Extra_Pay,'DLL Schedule'!Beg_Bal),"")</f>
        <v/>
      </c>
      <c r="G214" s="525" t="str">
        <f>IF('DLL Schedule'!Pay_Num&lt;&gt;"",'DLL Schedule'!Total_Pay-'DLL Schedule'!Int,"")</f>
        <v/>
      </c>
      <c r="H214" s="525" t="str">
        <f>IF('DLL Schedule'!Pay_Num&lt;&gt;"",'DLL Schedule'!Beg_Bal*'DLL Schedule'!Interest_Rate/'DLL Schedule'!Num_Pmt_Per_Year,"")</f>
        <v/>
      </c>
      <c r="I214" s="525" t="str">
        <f>IF('DLL Schedule'!Pay_Num&lt;&gt;"",IF('DLL Schedule'!Sched_Pay+'DLL Schedule'!Extra_Pay&lt;'DLL Schedule'!Beg_Bal,'DLL Schedule'!Beg_Bal-'DLL Schedule'!Princ,0),"")</f>
        <v/>
      </c>
      <c r="J214" s="525">
        <f>SUM($H$18:$H214)</f>
        <v>257912.99524975716</v>
      </c>
      <c r="K214" s="499"/>
    </row>
    <row r="215" spans="1:11" ht="12.75" customHeight="1">
      <c r="A215" s="523" t="str">
        <f>IF(AND('DLL Schedule'!Values_Entered=1,A214&lt;&gt;"",I214&gt;0),A214+1,"")</f>
        <v/>
      </c>
      <c r="B215" s="524" t="str">
        <f>IF('DLL Schedule'!Pay_Num&lt;&gt;"",DATE(YEAR('DLL Schedule'!Loan_Start),MONTH('DLL Schedule'!Loan_Start)+('DLL Schedule'!Pay_Num)*12/'DLL Schedule'!Num_Pmt_Per_Year,DAY('DLL Schedule'!Loan_Start)),"")</f>
        <v/>
      </c>
      <c r="C215" s="525" t="str">
        <f>IF('DLL Schedule'!Pay_Num&lt;&gt;"",I214,"")</f>
        <v/>
      </c>
      <c r="D215" s="525" t="str">
        <f>IF('DLL Schedule'!Pay_Num&lt;&gt;"",'DLL Schedule'!Scheduled_Monthly_Payment,"")</f>
        <v/>
      </c>
      <c r="E2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5" s="525" t="str">
        <f>IF('DLL Schedule'!Pay_Num&lt;&gt;"",IF('DLL Schedule'!Sched_Pay+'DLL Schedule'!Extra_Pay&lt;'DLL Schedule'!Beg_Bal,'DLL Schedule'!Sched_Pay+'DLL Schedule'!Extra_Pay,'DLL Schedule'!Beg_Bal),"")</f>
        <v/>
      </c>
      <c r="G215" s="525" t="str">
        <f>IF('DLL Schedule'!Pay_Num&lt;&gt;"",'DLL Schedule'!Total_Pay-'DLL Schedule'!Int,"")</f>
        <v/>
      </c>
      <c r="H215" s="525" t="str">
        <f>IF('DLL Schedule'!Pay_Num&lt;&gt;"",'DLL Schedule'!Beg_Bal*'DLL Schedule'!Interest_Rate/'DLL Schedule'!Num_Pmt_Per_Year,"")</f>
        <v/>
      </c>
      <c r="I215" s="525" t="str">
        <f>IF('DLL Schedule'!Pay_Num&lt;&gt;"",IF('DLL Schedule'!Sched_Pay+'DLL Schedule'!Extra_Pay&lt;'DLL Schedule'!Beg_Bal,'DLL Schedule'!Beg_Bal-'DLL Schedule'!Princ,0),"")</f>
        <v/>
      </c>
      <c r="J215" s="525">
        <f>SUM($H$18:$H215)</f>
        <v>257912.99524975716</v>
      </c>
      <c r="K215" s="499"/>
    </row>
    <row r="216" spans="1:11" ht="12.75" customHeight="1">
      <c r="A216" s="523" t="str">
        <f>IF(AND('DLL Schedule'!Values_Entered=1,A215&lt;&gt;"",I215&gt;0),A215+1,"")</f>
        <v/>
      </c>
      <c r="B216" s="524" t="str">
        <f>IF('DLL Schedule'!Pay_Num&lt;&gt;"",DATE(YEAR('DLL Schedule'!Loan_Start),MONTH('DLL Schedule'!Loan_Start)+('DLL Schedule'!Pay_Num)*12/'DLL Schedule'!Num_Pmt_Per_Year,DAY('DLL Schedule'!Loan_Start)),"")</f>
        <v/>
      </c>
      <c r="C216" s="525" t="str">
        <f>IF('DLL Schedule'!Pay_Num&lt;&gt;"",I215,"")</f>
        <v/>
      </c>
      <c r="D216" s="525" t="str">
        <f>IF('DLL Schedule'!Pay_Num&lt;&gt;"",'DLL Schedule'!Scheduled_Monthly_Payment,"")</f>
        <v/>
      </c>
      <c r="E2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6" s="525" t="str">
        <f>IF('DLL Schedule'!Pay_Num&lt;&gt;"",IF('DLL Schedule'!Sched_Pay+'DLL Schedule'!Extra_Pay&lt;'DLL Schedule'!Beg_Bal,'DLL Schedule'!Sched_Pay+'DLL Schedule'!Extra_Pay,'DLL Schedule'!Beg_Bal),"")</f>
        <v/>
      </c>
      <c r="G216" s="525" t="str">
        <f>IF('DLL Schedule'!Pay_Num&lt;&gt;"",'DLL Schedule'!Total_Pay-'DLL Schedule'!Int,"")</f>
        <v/>
      </c>
      <c r="H216" s="525" t="str">
        <f>IF('DLL Schedule'!Pay_Num&lt;&gt;"",'DLL Schedule'!Beg_Bal*'DLL Schedule'!Interest_Rate/'DLL Schedule'!Num_Pmt_Per_Year,"")</f>
        <v/>
      </c>
      <c r="I216" s="525" t="str">
        <f>IF('DLL Schedule'!Pay_Num&lt;&gt;"",IF('DLL Schedule'!Sched_Pay+'DLL Schedule'!Extra_Pay&lt;'DLL Schedule'!Beg_Bal,'DLL Schedule'!Beg_Bal-'DLL Schedule'!Princ,0),"")</f>
        <v/>
      </c>
      <c r="J216" s="525">
        <f>SUM($H$18:$H216)</f>
        <v>257912.99524975716</v>
      </c>
      <c r="K216" s="499"/>
    </row>
    <row r="217" spans="1:11" ht="12.75" customHeight="1">
      <c r="A217" s="523" t="str">
        <f>IF(AND('DLL Schedule'!Values_Entered=1,A216&lt;&gt;"",I216&gt;0),A216+1,"")</f>
        <v/>
      </c>
      <c r="B217" s="524" t="str">
        <f>IF('DLL Schedule'!Pay_Num&lt;&gt;"",DATE(YEAR('DLL Schedule'!Loan_Start),MONTH('DLL Schedule'!Loan_Start)+('DLL Schedule'!Pay_Num)*12/'DLL Schedule'!Num_Pmt_Per_Year,DAY('DLL Schedule'!Loan_Start)),"")</f>
        <v/>
      </c>
      <c r="C217" s="525" t="str">
        <f>IF('DLL Schedule'!Pay_Num&lt;&gt;"",I216,"")</f>
        <v/>
      </c>
      <c r="D217" s="525" t="str">
        <f>IF('DLL Schedule'!Pay_Num&lt;&gt;"",'DLL Schedule'!Scheduled_Monthly_Payment,"")</f>
        <v/>
      </c>
      <c r="E2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7" s="525" t="str">
        <f>IF('DLL Schedule'!Pay_Num&lt;&gt;"",IF('DLL Schedule'!Sched_Pay+'DLL Schedule'!Extra_Pay&lt;'DLL Schedule'!Beg_Bal,'DLL Schedule'!Sched_Pay+'DLL Schedule'!Extra_Pay,'DLL Schedule'!Beg_Bal),"")</f>
        <v/>
      </c>
      <c r="G217" s="525" t="str">
        <f>IF('DLL Schedule'!Pay_Num&lt;&gt;"",'DLL Schedule'!Total_Pay-'DLL Schedule'!Int,"")</f>
        <v/>
      </c>
      <c r="H217" s="525" t="str">
        <f>IF('DLL Schedule'!Pay_Num&lt;&gt;"",'DLL Schedule'!Beg_Bal*'DLL Schedule'!Interest_Rate/'DLL Schedule'!Num_Pmt_Per_Year,"")</f>
        <v/>
      </c>
      <c r="I217" s="525" t="str">
        <f>IF('DLL Schedule'!Pay_Num&lt;&gt;"",IF('DLL Schedule'!Sched_Pay+'DLL Schedule'!Extra_Pay&lt;'DLL Schedule'!Beg_Bal,'DLL Schedule'!Beg_Bal-'DLL Schedule'!Princ,0),"")</f>
        <v/>
      </c>
      <c r="J217" s="525">
        <f>SUM($H$18:$H217)</f>
        <v>257912.99524975716</v>
      </c>
      <c r="K217" s="499"/>
    </row>
    <row r="218" spans="1:11" ht="12.75" customHeight="1">
      <c r="A218" s="523" t="str">
        <f>IF(AND('DLL Schedule'!Values_Entered=1,A217&lt;&gt;"",I217&gt;0),A217+1,"")</f>
        <v/>
      </c>
      <c r="B218" s="524" t="str">
        <f>IF('DLL Schedule'!Pay_Num&lt;&gt;"",DATE(YEAR('DLL Schedule'!Loan_Start),MONTH('DLL Schedule'!Loan_Start)+('DLL Schedule'!Pay_Num)*12/'DLL Schedule'!Num_Pmt_Per_Year,DAY('DLL Schedule'!Loan_Start)),"")</f>
        <v/>
      </c>
      <c r="C218" s="525" t="str">
        <f>IF('DLL Schedule'!Pay_Num&lt;&gt;"",I217,"")</f>
        <v/>
      </c>
      <c r="D218" s="525" t="str">
        <f>IF('DLL Schedule'!Pay_Num&lt;&gt;"",'DLL Schedule'!Scheduled_Monthly_Payment,"")</f>
        <v/>
      </c>
      <c r="E2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8" s="525" t="str">
        <f>IF('DLL Schedule'!Pay_Num&lt;&gt;"",IF('DLL Schedule'!Sched_Pay+'DLL Schedule'!Extra_Pay&lt;'DLL Schedule'!Beg_Bal,'DLL Schedule'!Sched_Pay+'DLL Schedule'!Extra_Pay,'DLL Schedule'!Beg_Bal),"")</f>
        <v/>
      </c>
      <c r="G218" s="525" t="str">
        <f>IF('DLL Schedule'!Pay_Num&lt;&gt;"",'DLL Schedule'!Total_Pay-'DLL Schedule'!Int,"")</f>
        <v/>
      </c>
      <c r="H218" s="525" t="str">
        <f>IF('DLL Schedule'!Pay_Num&lt;&gt;"",'DLL Schedule'!Beg_Bal*'DLL Schedule'!Interest_Rate/'DLL Schedule'!Num_Pmt_Per_Year,"")</f>
        <v/>
      </c>
      <c r="I218" s="525" t="str">
        <f>IF('DLL Schedule'!Pay_Num&lt;&gt;"",IF('DLL Schedule'!Sched_Pay+'DLL Schedule'!Extra_Pay&lt;'DLL Schedule'!Beg_Bal,'DLL Schedule'!Beg_Bal-'DLL Schedule'!Princ,0),"")</f>
        <v/>
      </c>
      <c r="J218" s="525">
        <f>SUM($H$18:$H218)</f>
        <v>257912.99524975716</v>
      </c>
      <c r="K218" s="499"/>
    </row>
    <row r="219" spans="1:11" ht="12.75" customHeight="1">
      <c r="A219" s="523" t="str">
        <f>IF(AND('DLL Schedule'!Values_Entered=1,A218&lt;&gt;"",I218&gt;0),A218+1,"")</f>
        <v/>
      </c>
      <c r="B219" s="524" t="str">
        <f>IF('DLL Schedule'!Pay_Num&lt;&gt;"",DATE(YEAR('DLL Schedule'!Loan_Start),MONTH('DLL Schedule'!Loan_Start)+('DLL Schedule'!Pay_Num)*12/'DLL Schedule'!Num_Pmt_Per_Year,DAY('DLL Schedule'!Loan_Start)),"")</f>
        <v/>
      </c>
      <c r="C219" s="525" t="str">
        <f>IF('DLL Schedule'!Pay_Num&lt;&gt;"",I218,"")</f>
        <v/>
      </c>
      <c r="D219" s="525" t="str">
        <f>IF('DLL Schedule'!Pay_Num&lt;&gt;"",'DLL Schedule'!Scheduled_Monthly_Payment,"")</f>
        <v/>
      </c>
      <c r="E2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9" s="525" t="str">
        <f>IF('DLL Schedule'!Pay_Num&lt;&gt;"",IF('DLL Schedule'!Sched_Pay+'DLL Schedule'!Extra_Pay&lt;'DLL Schedule'!Beg_Bal,'DLL Schedule'!Sched_Pay+'DLL Schedule'!Extra_Pay,'DLL Schedule'!Beg_Bal),"")</f>
        <v/>
      </c>
      <c r="G219" s="525" t="str">
        <f>IF('DLL Schedule'!Pay_Num&lt;&gt;"",'DLL Schedule'!Total_Pay-'DLL Schedule'!Int,"")</f>
        <v/>
      </c>
      <c r="H219" s="525" t="str">
        <f>IF('DLL Schedule'!Pay_Num&lt;&gt;"",'DLL Schedule'!Beg_Bal*'DLL Schedule'!Interest_Rate/'DLL Schedule'!Num_Pmt_Per_Year,"")</f>
        <v/>
      </c>
      <c r="I219" s="525" t="str">
        <f>IF('DLL Schedule'!Pay_Num&lt;&gt;"",IF('DLL Schedule'!Sched_Pay+'DLL Schedule'!Extra_Pay&lt;'DLL Schedule'!Beg_Bal,'DLL Schedule'!Beg_Bal-'DLL Schedule'!Princ,0),"")</f>
        <v/>
      </c>
      <c r="J219" s="525">
        <f>SUM($H$18:$H219)</f>
        <v>257912.99524975716</v>
      </c>
      <c r="K219" s="499"/>
    </row>
    <row r="220" spans="1:11" ht="12.75" customHeight="1">
      <c r="A220" s="523" t="str">
        <f>IF(AND('DLL Schedule'!Values_Entered=1,A219&lt;&gt;"",I219&gt;0),A219+1,"")</f>
        <v/>
      </c>
      <c r="B220" s="524" t="str">
        <f>IF('DLL Schedule'!Pay_Num&lt;&gt;"",DATE(YEAR('DLL Schedule'!Loan_Start),MONTH('DLL Schedule'!Loan_Start)+('DLL Schedule'!Pay_Num)*12/'DLL Schedule'!Num_Pmt_Per_Year,DAY('DLL Schedule'!Loan_Start)),"")</f>
        <v/>
      </c>
      <c r="C220" s="525" t="str">
        <f>IF('DLL Schedule'!Pay_Num&lt;&gt;"",I219,"")</f>
        <v/>
      </c>
      <c r="D220" s="525" t="str">
        <f>IF('DLL Schedule'!Pay_Num&lt;&gt;"",'DLL Schedule'!Scheduled_Monthly_Payment,"")</f>
        <v/>
      </c>
      <c r="E2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0" s="525" t="str">
        <f>IF('DLL Schedule'!Pay_Num&lt;&gt;"",IF('DLL Schedule'!Sched_Pay+'DLL Schedule'!Extra_Pay&lt;'DLL Schedule'!Beg_Bal,'DLL Schedule'!Sched_Pay+'DLL Schedule'!Extra_Pay,'DLL Schedule'!Beg_Bal),"")</f>
        <v/>
      </c>
      <c r="G220" s="525" t="str">
        <f>IF('DLL Schedule'!Pay_Num&lt;&gt;"",'DLL Schedule'!Total_Pay-'DLL Schedule'!Int,"")</f>
        <v/>
      </c>
      <c r="H220" s="525" t="str">
        <f>IF('DLL Schedule'!Pay_Num&lt;&gt;"",'DLL Schedule'!Beg_Bal*'DLL Schedule'!Interest_Rate/'DLL Schedule'!Num_Pmt_Per_Year,"")</f>
        <v/>
      </c>
      <c r="I220" s="525" t="str">
        <f>IF('DLL Schedule'!Pay_Num&lt;&gt;"",IF('DLL Schedule'!Sched_Pay+'DLL Schedule'!Extra_Pay&lt;'DLL Schedule'!Beg_Bal,'DLL Schedule'!Beg_Bal-'DLL Schedule'!Princ,0),"")</f>
        <v/>
      </c>
      <c r="J220" s="525">
        <f>SUM($H$18:$H220)</f>
        <v>257912.99524975716</v>
      </c>
      <c r="K220" s="499"/>
    </row>
    <row r="221" spans="1:11" ht="12.75" customHeight="1">
      <c r="A221" s="523" t="str">
        <f>IF(AND('DLL Schedule'!Values_Entered=1,A220&lt;&gt;"",I220&gt;0),A220+1,"")</f>
        <v/>
      </c>
      <c r="B221" s="524" t="str">
        <f>IF('DLL Schedule'!Pay_Num&lt;&gt;"",DATE(YEAR('DLL Schedule'!Loan_Start),MONTH('DLL Schedule'!Loan_Start)+('DLL Schedule'!Pay_Num)*12/'DLL Schedule'!Num_Pmt_Per_Year,DAY('DLL Schedule'!Loan_Start)),"")</f>
        <v/>
      </c>
      <c r="C221" s="525" t="str">
        <f>IF('DLL Schedule'!Pay_Num&lt;&gt;"",I220,"")</f>
        <v/>
      </c>
      <c r="D221" s="525" t="str">
        <f>IF('DLL Schedule'!Pay_Num&lt;&gt;"",'DLL Schedule'!Scheduled_Monthly_Payment,"")</f>
        <v/>
      </c>
      <c r="E2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1" s="525" t="str">
        <f>IF('DLL Schedule'!Pay_Num&lt;&gt;"",IF('DLL Schedule'!Sched_Pay+'DLL Schedule'!Extra_Pay&lt;'DLL Schedule'!Beg_Bal,'DLL Schedule'!Sched_Pay+'DLL Schedule'!Extra_Pay,'DLL Schedule'!Beg_Bal),"")</f>
        <v/>
      </c>
      <c r="G221" s="525" t="str">
        <f>IF('DLL Schedule'!Pay_Num&lt;&gt;"",'DLL Schedule'!Total_Pay-'DLL Schedule'!Int,"")</f>
        <v/>
      </c>
      <c r="H221" s="525" t="str">
        <f>IF('DLL Schedule'!Pay_Num&lt;&gt;"",'DLL Schedule'!Beg_Bal*'DLL Schedule'!Interest_Rate/'DLL Schedule'!Num_Pmt_Per_Year,"")</f>
        <v/>
      </c>
      <c r="I221" s="525" t="str">
        <f>IF('DLL Schedule'!Pay_Num&lt;&gt;"",IF('DLL Schedule'!Sched_Pay+'DLL Schedule'!Extra_Pay&lt;'DLL Schedule'!Beg_Bal,'DLL Schedule'!Beg_Bal-'DLL Schedule'!Princ,0),"")</f>
        <v/>
      </c>
      <c r="J221" s="525">
        <f>SUM($H$18:$H221)</f>
        <v>257912.99524975716</v>
      </c>
      <c r="K221" s="499"/>
    </row>
    <row r="222" spans="1:11" ht="12.75" customHeight="1">
      <c r="A222" s="523" t="str">
        <f>IF(AND('DLL Schedule'!Values_Entered=1,A221&lt;&gt;"",I221&gt;0),A221+1,"")</f>
        <v/>
      </c>
      <c r="B222" s="524" t="str">
        <f>IF('DLL Schedule'!Pay_Num&lt;&gt;"",DATE(YEAR('DLL Schedule'!Loan_Start),MONTH('DLL Schedule'!Loan_Start)+('DLL Schedule'!Pay_Num)*12/'DLL Schedule'!Num_Pmt_Per_Year,DAY('DLL Schedule'!Loan_Start)),"")</f>
        <v/>
      </c>
      <c r="C222" s="525" t="str">
        <f>IF('DLL Schedule'!Pay_Num&lt;&gt;"",I221,"")</f>
        <v/>
      </c>
      <c r="D222" s="525" t="str">
        <f>IF('DLL Schedule'!Pay_Num&lt;&gt;"",'DLL Schedule'!Scheduled_Monthly_Payment,"")</f>
        <v/>
      </c>
      <c r="E2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2" s="525" t="str">
        <f>IF('DLL Schedule'!Pay_Num&lt;&gt;"",IF('DLL Schedule'!Sched_Pay+'DLL Schedule'!Extra_Pay&lt;'DLL Schedule'!Beg_Bal,'DLL Schedule'!Sched_Pay+'DLL Schedule'!Extra_Pay,'DLL Schedule'!Beg_Bal),"")</f>
        <v/>
      </c>
      <c r="G222" s="525" t="str">
        <f>IF('DLL Schedule'!Pay_Num&lt;&gt;"",'DLL Schedule'!Total_Pay-'DLL Schedule'!Int,"")</f>
        <v/>
      </c>
      <c r="H222" s="525" t="str">
        <f>IF('DLL Schedule'!Pay_Num&lt;&gt;"",'DLL Schedule'!Beg_Bal*'DLL Schedule'!Interest_Rate/'DLL Schedule'!Num_Pmt_Per_Year,"")</f>
        <v/>
      </c>
      <c r="I222" s="525" t="str">
        <f>IF('DLL Schedule'!Pay_Num&lt;&gt;"",IF('DLL Schedule'!Sched_Pay+'DLL Schedule'!Extra_Pay&lt;'DLL Schedule'!Beg_Bal,'DLL Schedule'!Beg_Bal-'DLL Schedule'!Princ,0),"")</f>
        <v/>
      </c>
      <c r="J222" s="525">
        <f>SUM($H$18:$H222)</f>
        <v>257912.99524975716</v>
      </c>
      <c r="K222" s="499"/>
    </row>
    <row r="223" spans="1:11" ht="12.75" customHeight="1">
      <c r="A223" s="523" t="str">
        <f>IF(AND('DLL Schedule'!Values_Entered=1,A222&lt;&gt;"",I222&gt;0),A222+1,"")</f>
        <v/>
      </c>
      <c r="B223" s="524" t="str">
        <f>IF('DLL Schedule'!Pay_Num&lt;&gt;"",DATE(YEAR('DLL Schedule'!Loan_Start),MONTH('DLL Schedule'!Loan_Start)+('DLL Schedule'!Pay_Num)*12/'DLL Schedule'!Num_Pmt_Per_Year,DAY('DLL Schedule'!Loan_Start)),"")</f>
        <v/>
      </c>
      <c r="C223" s="525" t="str">
        <f>IF('DLL Schedule'!Pay_Num&lt;&gt;"",I222,"")</f>
        <v/>
      </c>
      <c r="D223" s="525" t="str">
        <f>IF('DLL Schedule'!Pay_Num&lt;&gt;"",'DLL Schedule'!Scheduled_Monthly_Payment,"")</f>
        <v/>
      </c>
      <c r="E2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3" s="525" t="str">
        <f>IF('DLL Schedule'!Pay_Num&lt;&gt;"",IF('DLL Schedule'!Sched_Pay+'DLL Schedule'!Extra_Pay&lt;'DLL Schedule'!Beg_Bal,'DLL Schedule'!Sched_Pay+'DLL Schedule'!Extra_Pay,'DLL Schedule'!Beg_Bal),"")</f>
        <v/>
      </c>
      <c r="G223" s="525" t="str">
        <f>IF('DLL Schedule'!Pay_Num&lt;&gt;"",'DLL Schedule'!Total_Pay-'DLL Schedule'!Int,"")</f>
        <v/>
      </c>
      <c r="H223" s="525" t="str">
        <f>IF('DLL Schedule'!Pay_Num&lt;&gt;"",'DLL Schedule'!Beg_Bal*'DLL Schedule'!Interest_Rate/'DLL Schedule'!Num_Pmt_Per_Year,"")</f>
        <v/>
      </c>
      <c r="I223" s="525" t="str">
        <f>IF('DLL Schedule'!Pay_Num&lt;&gt;"",IF('DLL Schedule'!Sched_Pay+'DLL Schedule'!Extra_Pay&lt;'DLL Schedule'!Beg_Bal,'DLL Schedule'!Beg_Bal-'DLL Schedule'!Princ,0),"")</f>
        <v/>
      </c>
      <c r="J223" s="525">
        <f>SUM($H$18:$H223)</f>
        <v>257912.99524975716</v>
      </c>
      <c r="K223" s="499"/>
    </row>
    <row r="224" spans="1:11" ht="12.75" customHeight="1">
      <c r="A224" s="523" t="str">
        <f>IF(AND('DLL Schedule'!Values_Entered=1,A223&lt;&gt;"",I223&gt;0),A223+1,"")</f>
        <v/>
      </c>
      <c r="B224" s="524" t="str">
        <f>IF('DLL Schedule'!Pay_Num&lt;&gt;"",DATE(YEAR('DLL Schedule'!Loan_Start),MONTH('DLL Schedule'!Loan_Start)+('DLL Schedule'!Pay_Num)*12/'DLL Schedule'!Num_Pmt_Per_Year,DAY('DLL Schedule'!Loan_Start)),"")</f>
        <v/>
      </c>
      <c r="C224" s="525" t="str">
        <f>IF('DLL Schedule'!Pay_Num&lt;&gt;"",I223,"")</f>
        <v/>
      </c>
      <c r="D224" s="525" t="str">
        <f>IF('DLL Schedule'!Pay_Num&lt;&gt;"",'DLL Schedule'!Scheduled_Monthly_Payment,"")</f>
        <v/>
      </c>
      <c r="E2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4" s="525" t="str">
        <f>IF('DLL Schedule'!Pay_Num&lt;&gt;"",IF('DLL Schedule'!Sched_Pay+'DLL Schedule'!Extra_Pay&lt;'DLL Schedule'!Beg_Bal,'DLL Schedule'!Sched_Pay+'DLL Schedule'!Extra_Pay,'DLL Schedule'!Beg_Bal),"")</f>
        <v/>
      </c>
      <c r="G224" s="525" t="str">
        <f>IF('DLL Schedule'!Pay_Num&lt;&gt;"",'DLL Schedule'!Total_Pay-'DLL Schedule'!Int,"")</f>
        <v/>
      </c>
      <c r="H224" s="525" t="str">
        <f>IF('DLL Schedule'!Pay_Num&lt;&gt;"",'DLL Schedule'!Beg_Bal*'DLL Schedule'!Interest_Rate/'DLL Schedule'!Num_Pmt_Per_Year,"")</f>
        <v/>
      </c>
      <c r="I224" s="525" t="str">
        <f>IF('DLL Schedule'!Pay_Num&lt;&gt;"",IF('DLL Schedule'!Sched_Pay+'DLL Schedule'!Extra_Pay&lt;'DLL Schedule'!Beg_Bal,'DLL Schedule'!Beg_Bal-'DLL Schedule'!Princ,0),"")</f>
        <v/>
      </c>
      <c r="J224" s="525">
        <f>SUM($H$18:$H224)</f>
        <v>257912.99524975716</v>
      </c>
      <c r="K224" s="499"/>
    </row>
    <row r="225" spans="1:11" ht="12.75" customHeight="1">
      <c r="A225" s="523" t="str">
        <f>IF(AND('DLL Schedule'!Values_Entered=1,A224&lt;&gt;"",I224&gt;0),A224+1,"")</f>
        <v/>
      </c>
      <c r="B225" s="524" t="str">
        <f>IF('DLL Schedule'!Pay_Num&lt;&gt;"",DATE(YEAR('DLL Schedule'!Loan_Start),MONTH('DLL Schedule'!Loan_Start)+('DLL Schedule'!Pay_Num)*12/'DLL Schedule'!Num_Pmt_Per_Year,DAY('DLL Schedule'!Loan_Start)),"")</f>
        <v/>
      </c>
      <c r="C225" s="525" t="str">
        <f>IF('DLL Schedule'!Pay_Num&lt;&gt;"",I224,"")</f>
        <v/>
      </c>
      <c r="D225" s="525" t="str">
        <f>IF('DLL Schedule'!Pay_Num&lt;&gt;"",'DLL Schedule'!Scheduled_Monthly_Payment,"")</f>
        <v/>
      </c>
      <c r="E2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5" s="525" t="str">
        <f>IF('DLL Schedule'!Pay_Num&lt;&gt;"",IF('DLL Schedule'!Sched_Pay+'DLL Schedule'!Extra_Pay&lt;'DLL Schedule'!Beg_Bal,'DLL Schedule'!Sched_Pay+'DLL Schedule'!Extra_Pay,'DLL Schedule'!Beg_Bal),"")</f>
        <v/>
      </c>
      <c r="G225" s="525" t="str">
        <f>IF('DLL Schedule'!Pay_Num&lt;&gt;"",'DLL Schedule'!Total_Pay-'DLL Schedule'!Int,"")</f>
        <v/>
      </c>
      <c r="H225" s="525" t="str">
        <f>IF('DLL Schedule'!Pay_Num&lt;&gt;"",'DLL Schedule'!Beg_Bal*'DLL Schedule'!Interest_Rate/'DLL Schedule'!Num_Pmt_Per_Year,"")</f>
        <v/>
      </c>
      <c r="I225" s="525" t="str">
        <f>IF('DLL Schedule'!Pay_Num&lt;&gt;"",IF('DLL Schedule'!Sched_Pay+'DLL Schedule'!Extra_Pay&lt;'DLL Schedule'!Beg_Bal,'DLL Schedule'!Beg_Bal-'DLL Schedule'!Princ,0),"")</f>
        <v/>
      </c>
      <c r="J225" s="525">
        <f>SUM($H$18:$H225)</f>
        <v>257912.99524975716</v>
      </c>
      <c r="K225" s="499"/>
    </row>
    <row r="226" spans="1:11" ht="12.75" customHeight="1">
      <c r="A226" s="523" t="str">
        <f>IF(AND('DLL Schedule'!Values_Entered=1,A225&lt;&gt;"",I225&gt;0),A225+1,"")</f>
        <v/>
      </c>
      <c r="B226" s="524" t="str">
        <f>IF('DLL Schedule'!Pay_Num&lt;&gt;"",DATE(YEAR('DLL Schedule'!Loan_Start),MONTH('DLL Schedule'!Loan_Start)+('DLL Schedule'!Pay_Num)*12/'DLL Schedule'!Num_Pmt_Per_Year,DAY('DLL Schedule'!Loan_Start)),"")</f>
        <v/>
      </c>
      <c r="C226" s="525" t="str">
        <f>IF('DLL Schedule'!Pay_Num&lt;&gt;"",I225,"")</f>
        <v/>
      </c>
      <c r="D226" s="525" t="str">
        <f>IF('DLL Schedule'!Pay_Num&lt;&gt;"",'DLL Schedule'!Scheduled_Monthly_Payment,"")</f>
        <v/>
      </c>
      <c r="E2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6" s="525" t="str">
        <f>IF('DLL Schedule'!Pay_Num&lt;&gt;"",IF('DLL Schedule'!Sched_Pay+'DLL Schedule'!Extra_Pay&lt;'DLL Schedule'!Beg_Bal,'DLL Schedule'!Sched_Pay+'DLL Schedule'!Extra_Pay,'DLL Schedule'!Beg_Bal),"")</f>
        <v/>
      </c>
      <c r="G226" s="525" t="str">
        <f>IF('DLL Schedule'!Pay_Num&lt;&gt;"",'DLL Schedule'!Total_Pay-'DLL Schedule'!Int,"")</f>
        <v/>
      </c>
      <c r="H226" s="525" t="str">
        <f>IF('DLL Schedule'!Pay_Num&lt;&gt;"",'DLL Schedule'!Beg_Bal*'DLL Schedule'!Interest_Rate/'DLL Schedule'!Num_Pmt_Per_Year,"")</f>
        <v/>
      </c>
      <c r="I226" s="525" t="str">
        <f>IF('DLL Schedule'!Pay_Num&lt;&gt;"",IF('DLL Schedule'!Sched_Pay+'DLL Schedule'!Extra_Pay&lt;'DLL Schedule'!Beg_Bal,'DLL Schedule'!Beg_Bal-'DLL Schedule'!Princ,0),"")</f>
        <v/>
      </c>
      <c r="J226" s="525">
        <f>SUM($H$18:$H226)</f>
        <v>257912.99524975716</v>
      </c>
      <c r="K226" s="499"/>
    </row>
    <row r="227" spans="1:11" ht="12.75" customHeight="1">
      <c r="A227" s="523" t="str">
        <f>IF(AND('DLL Schedule'!Values_Entered=1,A226&lt;&gt;"",I226&gt;0),A226+1,"")</f>
        <v/>
      </c>
      <c r="B227" s="524" t="str">
        <f>IF('DLL Schedule'!Pay_Num&lt;&gt;"",DATE(YEAR('DLL Schedule'!Loan_Start),MONTH('DLL Schedule'!Loan_Start)+('DLL Schedule'!Pay_Num)*12/'DLL Schedule'!Num_Pmt_Per_Year,DAY('DLL Schedule'!Loan_Start)),"")</f>
        <v/>
      </c>
      <c r="C227" s="525" t="str">
        <f>IF('DLL Schedule'!Pay_Num&lt;&gt;"",I226,"")</f>
        <v/>
      </c>
      <c r="D227" s="525" t="str">
        <f>IF('DLL Schedule'!Pay_Num&lt;&gt;"",'DLL Schedule'!Scheduled_Monthly_Payment,"")</f>
        <v/>
      </c>
      <c r="E2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7" s="525" t="str">
        <f>IF('DLL Schedule'!Pay_Num&lt;&gt;"",IF('DLL Schedule'!Sched_Pay+'DLL Schedule'!Extra_Pay&lt;'DLL Schedule'!Beg_Bal,'DLL Schedule'!Sched_Pay+'DLL Schedule'!Extra_Pay,'DLL Schedule'!Beg_Bal),"")</f>
        <v/>
      </c>
      <c r="G227" s="525" t="str">
        <f>IF('DLL Schedule'!Pay_Num&lt;&gt;"",'DLL Schedule'!Total_Pay-'DLL Schedule'!Int,"")</f>
        <v/>
      </c>
      <c r="H227" s="525" t="str">
        <f>IF('DLL Schedule'!Pay_Num&lt;&gt;"",'DLL Schedule'!Beg_Bal*'DLL Schedule'!Interest_Rate/'DLL Schedule'!Num_Pmt_Per_Year,"")</f>
        <v/>
      </c>
      <c r="I227" s="525" t="str">
        <f>IF('DLL Schedule'!Pay_Num&lt;&gt;"",IF('DLL Schedule'!Sched_Pay+'DLL Schedule'!Extra_Pay&lt;'DLL Schedule'!Beg_Bal,'DLL Schedule'!Beg_Bal-'DLL Schedule'!Princ,0),"")</f>
        <v/>
      </c>
      <c r="J227" s="525">
        <f>SUM($H$18:$H227)</f>
        <v>257912.99524975716</v>
      </c>
      <c r="K227" s="499"/>
    </row>
    <row r="228" spans="1:11" ht="12.75" customHeight="1">
      <c r="A228" s="523" t="str">
        <f>IF(AND('DLL Schedule'!Values_Entered=1,A227&lt;&gt;"",I227&gt;0),A227+1,"")</f>
        <v/>
      </c>
      <c r="B228" s="524" t="str">
        <f>IF('DLL Schedule'!Pay_Num&lt;&gt;"",DATE(YEAR('DLL Schedule'!Loan_Start),MONTH('DLL Schedule'!Loan_Start)+('DLL Schedule'!Pay_Num)*12/'DLL Schedule'!Num_Pmt_Per_Year,DAY('DLL Schedule'!Loan_Start)),"")</f>
        <v/>
      </c>
      <c r="C228" s="525" t="str">
        <f>IF('DLL Schedule'!Pay_Num&lt;&gt;"",I227,"")</f>
        <v/>
      </c>
      <c r="D228" s="525" t="str">
        <f>IF('DLL Schedule'!Pay_Num&lt;&gt;"",'DLL Schedule'!Scheduled_Monthly_Payment,"")</f>
        <v/>
      </c>
      <c r="E2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8" s="525" t="str">
        <f>IF('DLL Schedule'!Pay_Num&lt;&gt;"",IF('DLL Schedule'!Sched_Pay+'DLL Schedule'!Extra_Pay&lt;'DLL Schedule'!Beg_Bal,'DLL Schedule'!Sched_Pay+'DLL Schedule'!Extra_Pay,'DLL Schedule'!Beg_Bal),"")</f>
        <v/>
      </c>
      <c r="G228" s="525" t="str">
        <f>IF('DLL Schedule'!Pay_Num&lt;&gt;"",'DLL Schedule'!Total_Pay-'DLL Schedule'!Int,"")</f>
        <v/>
      </c>
      <c r="H228" s="525" t="str">
        <f>IF('DLL Schedule'!Pay_Num&lt;&gt;"",'DLL Schedule'!Beg_Bal*'DLL Schedule'!Interest_Rate/'DLL Schedule'!Num_Pmt_Per_Year,"")</f>
        <v/>
      </c>
      <c r="I228" s="525" t="str">
        <f>IF('DLL Schedule'!Pay_Num&lt;&gt;"",IF('DLL Schedule'!Sched_Pay+'DLL Schedule'!Extra_Pay&lt;'DLL Schedule'!Beg_Bal,'DLL Schedule'!Beg_Bal-'DLL Schedule'!Princ,0),"")</f>
        <v/>
      </c>
      <c r="J228" s="525">
        <f>SUM($H$18:$H228)</f>
        <v>257912.99524975716</v>
      </c>
      <c r="K228" s="499"/>
    </row>
    <row r="229" spans="1:11" ht="12.75" customHeight="1">
      <c r="A229" s="523" t="str">
        <f>IF(AND('DLL Schedule'!Values_Entered=1,A228&lt;&gt;"",I228&gt;0),A228+1,"")</f>
        <v/>
      </c>
      <c r="B229" s="524" t="str">
        <f>IF('DLL Schedule'!Pay_Num&lt;&gt;"",DATE(YEAR('DLL Schedule'!Loan_Start),MONTH('DLL Schedule'!Loan_Start)+('DLL Schedule'!Pay_Num)*12/'DLL Schedule'!Num_Pmt_Per_Year,DAY('DLL Schedule'!Loan_Start)),"")</f>
        <v/>
      </c>
      <c r="C229" s="525" t="str">
        <f>IF('DLL Schedule'!Pay_Num&lt;&gt;"",I228,"")</f>
        <v/>
      </c>
      <c r="D229" s="525" t="str">
        <f>IF('DLL Schedule'!Pay_Num&lt;&gt;"",'DLL Schedule'!Scheduled_Monthly_Payment,"")</f>
        <v/>
      </c>
      <c r="E2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9" s="525" t="str">
        <f>IF('DLL Schedule'!Pay_Num&lt;&gt;"",IF('DLL Schedule'!Sched_Pay+'DLL Schedule'!Extra_Pay&lt;'DLL Schedule'!Beg_Bal,'DLL Schedule'!Sched_Pay+'DLL Schedule'!Extra_Pay,'DLL Schedule'!Beg_Bal),"")</f>
        <v/>
      </c>
      <c r="G229" s="525" t="str">
        <f>IF('DLL Schedule'!Pay_Num&lt;&gt;"",'DLL Schedule'!Total_Pay-'DLL Schedule'!Int,"")</f>
        <v/>
      </c>
      <c r="H229" s="525" t="str">
        <f>IF('DLL Schedule'!Pay_Num&lt;&gt;"",'DLL Schedule'!Beg_Bal*'DLL Schedule'!Interest_Rate/'DLL Schedule'!Num_Pmt_Per_Year,"")</f>
        <v/>
      </c>
      <c r="I229" s="525" t="str">
        <f>IF('DLL Schedule'!Pay_Num&lt;&gt;"",IF('DLL Schedule'!Sched_Pay+'DLL Schedule'!Extra_Pay&lt;'DLL Schedule'!Beg_Bal,'DLL Schedule'!Beg_Bal-'DLL Schedule'!Princ,0),"")</f>
        <v/>
      </c>
      <c r="J229" s="525">
        <f>SUM($H$18:$H229)</f>
        <v>257912.99524975716</v>
      </c>
      <c r="K229" s="499"/>
    </row>
    <row r="230" spans="1:11" ht="12.75" customHeight="1">
      <c r="A230" s="523" t="str">
        <f>IF(AND('DLL Schedule'!Values_Entered=1,A229&lt;&gt;"",I229&gt;0),A229+1,"")</f>
        <v/>
      </c>
      <c r="B230" s="524" t="str">
        <f>IF('DLL Schedule'!Pay_Num&lt;&gt;"",DATE(YEAR('DLL Schedule'!Loan_Start),MONTH('DLL Schedule'!Loan_Start)+('DLL Schedule'!Pay_Num)*12/'DLL Schedule'!Num_Pmt_Per_Year,DAY('DLL Schedule'!Loan_Start)),"")</f>
        <v/>
      </c>
      <c r="C230" s="525" t="str">
        <f>IF('DLL Schedule'!Pay_Num&lt;&gt;"",I229,"")</f>
        <v/>
      </c>
      <c r="D230" s="525" t="str">
        <f>IF('DLL Schedule'!Pay_Num&lt;&gt;"",'DLL Schedule'!Scheduled_Monthly_Payment,"")</f>
        <v/>
      </c>
      <c r="E2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0" s="525" t="str">
        <f>IF('DLL Schedule'!Pay_Num&lt;&gt;"",IF('DLL Schedule'!Sched_Pay+'DLL Schedule'!Extra_Pay&lt;'DLL Schedule'!Beg_Bal,'DLL Schedule'!Sched_Pay+'DLL Schedule'!Extra_Pay,'DLL Schedule'!Beg_Bal),"")</f>
        <v/>
      </c>
      <c r="G230" s="525" t="str">
        <f>IF('DLL Schedule'!Pay_Num&lt;&gt;"",'DLL Schedule'!Total_Pay-'DLL Schedule'!Int,"")</f>
        <v/>
      </c>
      <c r="H230" s="525" t="str">
        <f>IF('DLL Schedule'!Pay_Num&lt;&gt;"",'DLL Schedule'!Beg_Bal*'DLL Schedule'!Interest_Rate/'DLL Schedule'!Num_Pmt_Per_Year,"")</f>
        <v/>
      </c>
      <c r="I230" s="525" t="str">
        <f>IF('DLL Schedule'!Pay_Num&lt;&gt;"",IF('DLL Schedule'!Sched_Pay+'DLL Schedule'!Extra_Pay&lt;'DLL Schedule'!Beg_Bal,'DLL Schedule'!Beg_Bal-'DLL Schedule'!Princ,0),"")</f>
        <v/>
      </c>
      <c r="J230" s="525">
        <f>SUM($H$18:$H230)</f>
        <v>257912.99524975716</v>
      </c>
      <c r="K230" s="499"/>
    </row>
    <row r="231" spans="1:11" ht="12.75" customHeight="1">
      <c r="A231" s="523" t="str">
        <f>IF(AND('DLL Schedule'!Values_Entered=1,A230&lt;&gt;"",I230&gt;0),A230+1,"")</f>
        <v/>
      </c>
      <c r="B231" s="524" t="str">
        <f>IF('DLL Schedule'!Pay_Num&lt;&gt;"",DATE(YEAR('DLL Schedule'!Loan_Start),MONTH('DLL Schedule'!Loan_Start)+('DLL Schedule'!Pay_Num)*12/'DLL Schedule'!Num_Pmt_Per_Year,DAY('DLL Schedule'!Loan_Start)),"")</f>
        <v/>
      </c>
      <c r="C231" s="525" t="str">
        <f>IF('DLL Schedule'!Pay_Num&lt;&gt;"",I230,"")</f>
        <v/>
      </c>
      <c r="D231" s="525" t="str">
        <f>IF('DLL Schedule'!Pay_Num&lt;&gt;"",'DLL Schedule'!Scheduled_Monthly_Payment,"")</f>
        <v/>
      </c>
      <c r="E2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1" s="525" t="str">
        <f>IF('DLL Schedule'!Pay_Num&lt;&gt;"",IF('DLL Schedule'!Sched_Pay+'DLL Schedule'!Extra_Pay&lt;'DLL Schedule'!Beg_Bal,'DLL Schedule'!Sched_Pay+'DLL Schedule'!Extra_Pay,'DLL Schedule'!Beg_Bal),"")</f>
        <v/>
      </c>
      <c r="G231" s="525" t="str">
        <f>IF('DLL Schedule'!Pay_Num&lt;&gt;"",'DLL Schedule'!Total_Pay-'DLL Schedule'!Int,"")</f>
        <v/>
      </c>
      <c r="H231" s="525" t="str">
        <f>IF('DLL Schedule'!Pay_Num&lt;&gt;"",'DLL Schedule'!Beg_Bal*'DLL Schedule'!Interest_Rate/'DLL Schedule'!Num_Pmt_Per_Year,"")</f>
        <v/>
      </c>
      <c r="I231" s="525" t="str">
        <f>IF('DLL Schedule'!Pay_Num&lt;&gt;"",IF('DLL Schedule'!Sched_Pay+'DLL Schedule'!Extra_Pay&lt;'DLL Schedule'!Beg_Bal,'DLL Schedule'!Beg_Bal-'DLL Schedule'!Princ,0),"")</f>
        <v/>
      </c>
      <c r="J231" s="525">
        <f>SUM($H$18:$H231)</f>
        <v>257912.99524975716</v>
      </c>
      <c r="K231" s="499"/>
    </row>
    <row r="232" spans="1:11" ht="12.75" customHeight="1">
      <c r="A232" s="523" t="str">
        <f>IF(AND('DLL Schedule'!Values_Entered=1,A231&lt;&gt;"",I231&gt;0),A231+1,"")</f>
        <v/>
      </c>
      <c r="B232" s="524" t="str">
        <f>IF('DLL Schedule'!Pay_Num&lt;&gt;"",DATE(YEAR('DLL Schedule'!Loan_Start),MONTH('DLL Schedule'!Loan_Start)+('DLL Schedule'!Pay_Num)*12/'DLL Schedule'!Num_Pmt_Per_Year,DAY('DLL Schedule'!Loan_Start)),"")</f>
        <v/>
      </c>
      <c r="C232" s="525" t="str">
        <f>IF('DLL Schedule'!Pay_Num&lt;&gt;"",I231,"")</f>
        <v/>
      </c>
      <c r="D232" s="525" t="str">
        <f>IF('DLL Schedule'!Pay_Num&lt;&gt;"",'DLL Schedule'!Scheduled_Monthly_Payment,"")</f>
        <v/>
      </c>
      <c r="E2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2" s="525" t="str">
        <f>IF('DLL Schedule'!Pay_Num&lt;&gt;"",IF('DLL Schedule'!Sched_Pay+'DLL Schedule'!Extra_Pay&lt;'DLL Schedule'!Beg_Bal,'DLL Schedule'!Sched_Pay+'DLL Schedule'!Extra_Pay,'DLL Schedule'!Beg_Bal),"")</f>
        <v/>
      </c>
      <c r="G232" s="525" t="str">
        <f>IF('DLL Schedule'!Pay_Num&lt;&gt;"",'DLL Schedule'!Total_Pay-'DLL Schedule'!Int,"")</f>
        <v/>
      </c>
      <c r="H232" s="525" t="str">
        <f>IF('DLL Schedule'!Pay_Num&lt;&gt;"",'DLL Schedule'!Beg_Bal*'DLL Schedule'!Interest_Rate/'DLL Schedule'!Num_Pmt_Per_Year,"")</f>
        <v/>
      </c>
      <c r="I232" s="525" t="str">
        <f>IF('DLL Schedule'!Pay_Num&lt;&gt;"",IF('DLL Schedule'!Sched_Pay+'DLL Schedule'!Extra_Pay&lt;'DLL Schedule'!Beg_Bal,'DLL Schedule'!Beg_Bal-'DLL Schedule'!Princ,0),"")</f>
        <v/>
      </c>
      <c r="J232" s="525">
        <f>SUM($H$18:$H232)</f>
        <v>257912.99524975716</v>
      </c>
      <c r="K232" s="499"/>
    </row>
    <row r="233" spans="1:11" ht="12.75" customHeight="1">
      <c r="A233" s="523" t="str">
        <f>IF(AND('DLL Schedule'!Values_Entered=1,A232&lt;&gt;"",I232&gt;0),A232+1,"")</f>
        <v/>
      </c>
      <c r="B233" s="524" t="str">
        <f>IF('DLL Schedule'!Pay_Num&lt;&gt;"",DATE(YEAR('DLL Schedule'!Loan_Start),MONTH('DLL Schedule'!Loan_Start)+('DLL Schedule'!Pay_Num)*12/'DLL Schedule'!Num_Pmt_Per_Year,DAY('DLL Schedule'!Loan_Start)),"")</f>
        <v/>
      </c>
      <c r="C233" s="525" t="str">
        <f>IF('DLL Schedule'!Pay_Num&lt;&gt;"",I232,"")</f>
        <v/>
      </c>
      <c r="D233" s="525" t="str">
        <f>IF('DLL Schedule'!Pay_Num&lt;&gt;"",'DLL Schedule'!Scheduled_Monthly_Payment,"")</f>
        <v/>
      </c>
      <c r="E2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3" s="525" t="str">
        <f>IF('DLL Schedule'!Pay_Num&lt;&gt;"",IF('DLL Schedule'!Sched_Pay+'DLL Schedule'!Extra_Pay&lt;'DLL Schedule'!Beg_Bal,'DLL Schedule'!Sched_Pay+'DLL Schedule'!Extra_Pay,'DLL Schedule'!Beg_Bal),"")</f>
        <v/>
      </c>
      <c r="G233" s="525" t="str">
        <f>IF('DLL Schedule'!Pay_Num&lt;&gt;"",'DLL Schedule'!Total_Pay-'DLL Schedule'!Int,"")</f>
        <v/>
      </c>
      <c r="H233" s="525" t="str">
        <f>IF('DLL Schedule'!Pay_Num&lt;&gt;"",'DLL Schedule'!Beg_Bal*'DLL Schedule'!Interest_Rate/'DLL Schedule'!Num_Pmt_Per_Year,"")</f>
        <v/>
      </c>
      <c r="I233" s="525" t="str">
        <f>IF('DLL Schedule'!Pay_Num&lt;&gt;"",IF('DLL Schedule'!Sched_Pay+'DLL Schedule'!Extra_Pay&lt;'DLL Schedule'!Beg_Bal,'DLL Schedule'!Beg_Bal-'DLL Schedule'!Princ,0),"")</f>
        <v/>
      </c>
      <c r="J233" s="525">
        <f>SUM($H$18:$H233)</f>
        <v>257912.99524975716</v>
      </c>
      <c r="K233" s="499"/>
    </row>
    <row r="234" spans="1:11" ht="12.75" customHeight="1">
      <c r="A234" s="523" t="str">
        <f>IF(AND('DLL Schedule'!Values_Entered=1,A233&lt;&gt;"",I233&gt;0),A233+1,"")</f>
        <v/>
      </c>
      <c r="B234" s="524" t="str">
        <f>IF('DLL Schedule'!Pay_Num&lt;&gt;"",DATE(YEAR('DLL Schedule'!Loan_Start),MONTH('DLL Schedule'!Loan_Start)+('DLL Schedule'!Pay_Num)*12/'DLL Schedule'!Num_Pmt_Per_Year,DAY('DLL Schedule'!Loan_Start)),"")</f>
        <v/>
      </c>
      <c r="C234" s="525" t="str">
        <f>IF('DLL Schedule'!Pay_Num&lt;&gt;"",I233,"")</f>
        <v/>
      </c>
      <c r="D234" s="525" t="str">
        <f>IF('DLL Schedule'!Pay_Num&lt;&gt;"",'DLL Schedule'!Scheduled_Monthly_Payment,"")</f>
        <v/>
      </c>
      <c r="E2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4" s="525" t="str">
        <f>IF('DLL Schedule'!Pay_Num&lt;&gt;"",IF('DLL Schedule'!Sched_Pay+'DLL Schedule'!Extra_Pay&lt;'DLL Schedule'!Beg_Bal,'DLL Schedule'!Sched_Pay+'DLL Schedule'!Extra_Pay,'DLL Schedule'!Beg_Bal),"")</f>
        <v/>
      </c>
      <c r="G234" s="525" t="str">
        <f>IF('DLL Schedule'!Pay_Num&lt;&gt;"",'DLL Schedule'!Total_Pay-'DLL Schedule'!Int,"")</f>
        <v/>
      </c>
      <c r="H234" s="525" t="str">
        <f>IF('DLL Schedule'!Pay_Num&lt;&gt;"",'DLL Schedule'!Beg_Bal*'DLL Schedule'!Interest_Rate/'DLL Schedule'!Num_Pmt_Per_Year,"")</f>
        <v/>
      </c>
      <c r="I234" s="525" t="str">
        <f>IF('DLL Schedule'!Pay_Num&lt;&gt;"",IF('DLL Schedule'!Sched_Pay+'DLL Schedule'!Extra_Pay&lt;'DLL Schedule'!Beg_Bal,'DLL Schedule'!Beg_Bal-'DLL Schedule'!Princ,0),"")</f>
        <v/>
      </c>
      <c r="J234" s="525">
        <f>SUM($H$18:$H234)</f>
        <v>257912.99524975716</v>
      </c>
      <c r="K234" s="499"/>
    </row>
    <row r="235" spans="1:11" ht="12.75" customHeight="1">
      <c r="A235" s="523" t="str">
        <f>IF(AND('DLL Schedule'!Values_Entered=1,A234&lt;&gt;"",I234&gt;0),A234+1,"")</f>
        <v/>
      </c>
      <c r="B235" s="524" t="str">
        <f>IF('DLL Schedule'!Pay_Num&lt;&gt;"",DATE(YEAR('DLL Schedule'!Loan_Start),MONTH('DLL Schedule'!Loan_Start)+('DLL Schedule'!Pay_Num)*12/'DLL Schedule'!Num_Pmt_Per_Year,DAY('DLL Schedule'!Loan_Start)),"")</f>
        <v/>
      </c>
      <c r="C235" s="525" t="str">
        <f>IF('DLL Schedule'!Pay_Num&lt;&gt;"",I234,"")</f>
        <v/>
      </c>
      <c r="D235" s="525" t="str">
        <f>IF('DLL Schedule'!Pay_Num&lt;&gt;"",'DLL Schedule'!Scheduled_Monthly_Payment,"")</f>
        <v/>
      </c>
      <c r="E2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5" s="525" t="str">
        <f>IF('DLL Schedule'!Pay_Num&lt;&gt;"",IF('DLL Schedule'!Sched_Pay+'DLL Schedule'!Extra_Pay&lt;'DLL Schedule'!Beg_Bal,'DLL Schedule'!Sched_Pay+'DLL Schedule'!Extra_Pay,'DLL Schedule'!Beg_Bal),"")</f>
        <v/>
      </c>
      <c r="G235" s="525" t="str">
        <f>IF('DLL Schedule'!Pay_Num&lt;&gt;"",'DLL Schedule'!Total_Pay-'DLL Schedule'!Int,"")</f>
        <v/>
      </c>
      <c r="H235" s="525" t="str">
        <f>IF('DLL Schedule'!Pay_Num&lt;&gt;"",'DLL Schedule'!Beg_Bal*'DLL Schedule'!Interest_Rate/'DLL Schedule'!Num_Pmt_Per_Year,"")</f>
        <v/>
      </c>
      <c r="I235" s="525" t="str">
        <f>IF('DLL Schedule'!Pay_Num&lt;&gt;"",IF('DLL Schedule'!Sched_Pay+'DLL Schedule'!Extra_Pay&lt;'DLL Schedule'!Beg_Bal,'DLL Schedule'!Beg_Bal-'DLL Schedule'!Princ,0),"")</f>
        <v/>
      </c>
      <c r="J235" s="525">
        <f>SUM($H$18:$H235)</f>
        <v>257912.99524975716</v>
      </c>
      <c r="K235" s="499"/>
    </row>
    <row r="236" spans="1:11" ht="12.75" customHeight="1">
      <c r="A236" s="523" t="str">
        <f>IF(AND('DLL Schedule'!Values_Entered=1,A235&lt;&gt;"",I235&gt;0),A235+1,"")</f>
        <v/>
      </c>
      <c r="B236" s="524" t="str">
        <f>IF('DLL Schedule'!Pay_Num&lt;&gt;"",DATE(YEAR('DLL Schedule'!Loan_Start),MONTH('DLL Schedule'!Loan_Start)+('DLL Schedule'!Pay_Num)*12/'DLL Schedule'!Num_Pmt_Per_Year,DAY('DLL Schedule'!Loan_Start)),"")</f>
        <v/>
      </c>
      <c r="C236" s="525" t="str">
        <f>IF('DLL Schedule'!Pay_Num&lt;&gt;"",I235,"")</f>
        <v/>
      </c>
      <c r="D236" s="525" t="str">
        <f>IF('DLL Schedule'!Pay_Num&lt;&gt;"",'DLL Schedule'!Scheduled_Monthly_Payment,"")</f>
        <v/>
      </c>
      <c r="E2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6" s="525" t="str">
        <f>IF('DLL Schedule'!Pay_Num&lt;&gt;"",IF('DLL Schedule'!Sched_Pay+'DLL Schedule'!Extra_Pay&lt;'DLL Schedule'!Beg_Bal,'DLL Schedule'!Sched_Pay+'DLL Schedule'!Extra_Pay,'DLL Schedule'!Beg_Bal),"")</f>
        <v/>
      </c>
      <c r="G236" s="525" t="str">
        <f>IF('DLL Schedule'!Pay_Num&lt;&gt;"",'DLL Schedule'!Total_Pay-'DLL Schedule'!Int,"")</f>
        <v/>
      </c>
      <c r="H236" s="525" t="str">
        <f>IF('DLL Schedule'!Pay_Num&lt;&gt;"",'DLL Schedule'!Beg_Bal*'DLL Schedule'!Interest_Rate/'DLL Schedule'!Num_Pmt_Per_Year,"")</f>
        <v/>
      </c>
      <c r="I236" s="525" t="str">
        <f>IF('DLL Schedule'!Pay_Num&lt;&gt;"",IF('DLL Schedule'!Sched_Pay+'DLL Schedule'!Extra_Pay&lt;'DLL Schedule'!Beg_Bal,'DLL Schedule'!Beg_Bal-'DLL Schedule'!Princ,0),"")</f>
        <v/>
      </c>
      <c r="J236" s="525">
        <f>SUM($H$18:$H236)</f>
        <v>257912.99524975716</v>
      </c>
      <c r="K236" s="499"/>
    </row>
    <row r="237" spans="1:11" ht="12.75" customHeight="1">
      <c r="A237" s="523" t="str">
        <f>IF(AND('DLL Schedule'!Values_Entered=1,A236&lt;&gt;"",I236&gt;0),A236+1,"")</f>
        <v/>
      </c>
      <c r="B237" s="524" t="str">
        <f>IF('DLL Schedule'!Pay_Num&lt;&gt;"",DATE(YEAR('DLL Schedule'!Loan_Start),MONTH('DLL Schedule'!Loan_Start)+('DLL Schedule'!Pay_Num)*12/'DLL Schedule'!Num_Pmt_Per_Year,DAY('DLL Schedule'!Loan_Start)),"")</f>
        <v/>
      </c>
      <c r="C237" s="525" t="str">
        <f>IF('DLL Schedule'!Pay_Num&lt;&gt;"",I236,"")</f>
        <v/>
      </c>
      <c r="D237" s="525" t="str">
        <f>IF('DLL Schedule'!Pay_Num&lt;&gt;"",'DLL Schedule'!Scheduled_Monthly_Payment,"")</f>
        <v/>
      </c>
      <c r="E2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7" s="525" t="str">
        <f>IF('DLL Schedule'!Pay_Num&lt;&gt;"",IF('DLL Schedule'!Sched_Pay+'DLL Schedule'!Extra_Pay&lt;'DLL Schedule'!Beg_Bal,'DLL Schedule'!Sched_Pay+'DLL Schedule'!Extra_Pay,'DLL Schedule'!Beg_Bal),"")</f>
        <v/>
      </c>
      <c r="G237" s="525" t="str">
        <f>IF('DLL Schedule'!Pay_Num&lt;&gt;"",'DLL Schedule'!Total_Pay-'DLL Schedule'!Int,"")</f>
        <v/>
      </c>
      <c r="H237" s="525" t="str">
        <f>IF('DLL Schedule'!Pay_Num&lt;&gt;"",'DLL Schedule'!Beg_Bal*'DLL Schedule'!Interest_Rate/'DLL Schedule'!Num_Pmt_Per_Year,"")</f>
        <v/>
      </c>
      <c r="I237" s="525" t="str">
        <f>IF('DLL Schedule'!Pay_Num&lt;&gt;"",IF('DLL Schedule'!Sched_Pay+'DLL Schedule'!Extra_Pay&lt;'DLL Schedule'!Beg_Bal,'DLL Schedule'!Beg_Bal-'DLL Schedule'!Princ,0),"")</f>
        <v/>
      </c>
      <c r="J237" s="525">
        <f>SUM($H$18:$H237)</f>
        <v>257912.99524975716</v>
      </c>
      <c r="K237" s="499"/>
    </row>
    <row r="238" spans="1:11" ht="12.75" customHeight="1">
      <c r="A238" s="523" t="str">
        <f>IF(AND('DLL Schedule'!Values_Entered=1,A237&lt;&gt;"",I237&gt;0),A237+1,"")</f>
        <v/>
      </c>
      <c r="B238" s="524" t="str">
        <f>IF('DLL Schedule'!Pay_Num&lt;&gt;"",DATE(YEAR('DLL Schedule'!Loan_Start),MONTH('DLL Schedule'!Loan_Start)+('DLL Schedule'!Pay_Num)*12/'DLL Schedule'!Num_Pmt_Per_Year,DAY('DLL Schedule'!Loan_Start)),"")</f>
        <v/>
      </c>
      <c r="C238" s="525" t="str">
        <f>IF('DLL Schedule'!Pay_Num&lt;&gt;"",I237,"")</f>
        <v/>
      </c>
      <c r="D238" s="525" t="str">
        <f>IF('DLL Schedule'!Pay_Num&lt;&gt;"",'DLL Schedule'!Scheduled_Monthly_Payment,"")</f>
        <v/>
      </c>
      <c r="E2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8" s="525" t="str">
        <f>IF('DLL Schedule'!Pay_Num&lt;&gt;"",IF('DLL Schedule'!Sched_Pay+'DLL Schedule'!Extra_Pay&lt;'DLL Schedule'!Beg_Bal,'DLL Schedule'!Sched_Pay+'DLL Schedule'!Extra_Pay,'DLL Schedule'!Beg_Bal),"")</f>
        <v/>
      </c>
      <c r="G238" s="525" t="str">
        <f>IF('DLL Schedule'!Pay_Num&lt;&gt;"",'DLL Schedule'!Total_Pay-'DLL Schedule'!Int,"")</f>
        <v/>
      </c>
      <c r="H238" s="525" t="str">
        <f>IF('DLL Schedule'!Pay_Num&lt;&gt;"",'DLL Schedule'!Beg_Bal*'DLL Schedule'!Interest_Rate/'DLL Schedule'!Num_Pmt_Per_Year,"")</f>
        <v/>
      </c>
      <c r="I238" s="525" t="str">
        <f>IF('DLL Schedule'!Pay_Num&lt;&gt;"",IF('DLL Schedule'!Sched_Pay+'DLL Schedule'!Extra_Pay&lt;'DLL Schedule'!Beg_Bal,'DLL Schedule'!Beg_Bal-'DLL Schedule'!Princ,0),"")</f>
        <v/>
      </c>
      <c r="J238" s="525">
        <f>SUM($H$18:$H238)</f>
        <v>257912.99524975716</v>
      </c>
      <c r="K238" s="499"/>
    </row>
    <row r="239" spans="1:11" ht="12.75" customHeight="1">
      <c r="A239" s="523" t="str">
        <f>IF(AND('DLL Schedule'!Values_Entered=1,A238&lt;&gt;"",I238&gt;0),A238+1,"")</f>
        <v/>
      </c>
      <c r="B239" s="524" t="str">
        <f>IF('DLL Schedule'!Pay_Num&lt;&gt;"",DATE(YEAR('DLL Schedule'!Loan_Start),MONTH('DLL Schedule'!Loan_Start)+('DLL Schedule'!Pay_Num)*12/'DLL Schedule'!Num_Pmt_Per_Year,DAY('DLL Schedule'!Loan_Start)),"")</f>
        <v/>
      </c>
      <c r="C239" s="525" t="str">
        <f>IF('DLL Schedule'!Pay_Num&lt;&gt;"",I238,"")</f>
        <v/>
      </c>
      <c r="D239" s="525" t="str">
        <f>IF('DLL Schedule'!Pay_Num&lt;&gt;"",'DLL Schedule'!Scheduled_Monthly_Payment,"")</f>
        <v/>
      </c>
      <c r="E2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9" s="525" t="str">
        <f>IF('DLL Schedule'!Pay_Num&lt;&gt;"",IF('DLL Schedule'!Sched_Pay+'DLL Schedule'!Extra_Pay&lt;'DLL Schedule'!Beg_Bal,'DLL Schedule'!Sched_Pay+'DLL Schedule'!Extra_Pay,'DLL Schedule'!Beg_Bal),"")</f>
        <v/>
      </c>
      <c r="G239" s="525" t="str">
        <f>IF('DLL Schedule'!Pay_Num&lt;&gt;"",'DLL Schedule'!Total_Pay-'DLL Schedule'!Int,"")</f>
        <v/>
      </c>
      <c r="H239" s="525" t="str">
        <f>IF('DLL Schedule'!Pay_Num&lt;&gt;"",'DLL Schedule'!Beg_Bal*'DLL Schedule'!Interest_Rate/'DLL Schedule'!Num_Pmt_Per_Year,"")</f>
        <v/>
      </c>
      <c r="I239" s="525" t="str">
        <f>IF('DLL Schedule'!Pay_Num&lt;&gt;"",IF('DLL Schedule'!Sched_Pay+'DLL Schedule'!Extra_Pay&lt;'DLL Schedule'!Beg_Bal,'DLL Schedule'!Beg_Bal-'DLL Schedule'!Princ,0),"")</f>
        <v/>
      </c>
      <c r="J239" s="525">
        <f>SUM($H$18:$H239)</f>
        <v>257912.99524975716</v>
      </c>
      <c r="K239" s="499"/>
    </row>
    <row r="240" spans="1:11" ht="12.75" customHeight="1">
      <c r="A240" s="523" t="str">
        <f>IF(AND('DLL Schedule'!Values_Entered=1,A239&lt;&gt;"",I239&gt;0),A239+1,"")</f>
        <v/>
      </c>
      <c r="B240" s="524" t="str">
        <f>IF('DLL Schedule'!Pay_Num&lt;&gt;"",DATE(YEAR('DLL Schedule'!Loan_Start),MONTH('DLL Schedule'!Loan_Start)+('DLL Schedule'!Pay_Num)*12/'DLL Schedule'!Num_Pmt_Per_Year,DAY('DLL Schedule'!Loan_Start)),"")</f>
        <v/>
      </c>
      <c r="C240" s="525" t="str">
        <f>IF('DLL Schedule'!Pay_Num&lt;&gt;"",I239,"")</f>
        <v/>
      </c>
      <c r="D240" s="525" t="str">
        <f>IF('DLL Schedule'!Pay_Num&lt;&gt;"",'DLL Schedule'!Scheduled_Monthly_Payment,"")</f>
        <v/>
      </c>
      <c r="E2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0" s="525" t="str">
        <f>IF('DLL Schedule'!Pay_Num&lt;&gt;"",IF('DLL Schedule'!Sched_Pay+'DLL Schedule'!Extra_Pay&lt;'DLL Schedule'!Beg_Bal,'DLL Schedule'!Sched_Pay+'DLL Schedule'!Extra_Pay,'DLL Schedule'!Beg_Bal),"")</f>
        <v/>
      </c>
      <c r="G240" s="525" t="str">
        <f>IF('DLL Schedule'!Pay_Num&lt;&gt;"",'DLL Schedule'!Total_Pay-'DLL Schedule'!Int,"")</f>
        <v/>
      </c>
      <c r="H240" s="525" t="str">
        <f>IF('DLL Schedule'!Pay_Num&lt;&gt;"",'DLL Schedule'!Beg_Bal*'DLL Schedule'!Interest_Rate/'DLL Schedule'!Num_Pmt_Per_Year,"")</f>
        <v/>
      </c>
      <c r="I240" s="525" t="str">
        <f>IF('DLL Schedule'!Pay_Num&lt;&gt;"",IF('DLL Schedule'!Sched_Pay+'DLL Schedule'!Extra_Pay&lt;'DLL Schedule'!Beg_Bal,'DLL Schedule'!Beg_Bal-'DLL Schedule'!Princ,0),"")</f>
        <v/>
      </c>
      <c r="J240" s="525">
        <f>SUM($H$18:$H240)</f>
        <v>257912.99524975716</v>
      </c>
      <c r="K240" s="499"/>
    </row>
    <row r="241" spans="1:11" ht="12.75" customHeight="1">
      <c r="A241" s="523" t="str">
        <f>IF(AND('DLL Schedule'!Values_Entered=1,A240&lt;&gt;"",I240&gt;0),A240+1,"")</f>
        <v/>
      </c>
      <c r="B241" s="524" t="str">
        <f>IF('DLL Schedule'!Pay_Num&lt;&gt;"",DATE(YEAR('DLL Schedule'!Loan_Start),MONTH('DLL Schedule'!Loan_Start)+('DLL Schedule'!Pay_Num)*12/'DLL Schedule'!Num_Pmt_Per_Year,DAY('DLL Schedule'!Loan_Start)),"")</f>
        <v/>
      </c>
      <c r="C241" s="525" t="str">
        <f>IF('DLL Schedule'!Pay_Num&lt;&gt;"",I240,"")</f>
        <v/>
      </c>
      <c r="D241" s="525" t="str">
        <f>IF('DLL Schedule'!Pay_Num&lt;&gt;"",'DLL Schedule'!Scheduled_Monthly_Payment,"")</f>
        <v/>
      </c>
      <c r="E2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1" s="525" t="str">
        <f>IF('DLL Schedule'!Pay_Num&lt;&gt;"",IF('DLL Schedule'!Sched_Pay+'DLL Schedule'!Extra_Pay&lt;'DLL Schedule'!Beg_Bal,'DLL Schedule'!Sched_Pay+'DLL Schedule'!Extra_Pay,'DLL Schedule'!Beg_Bal),"")</f>
        <v/>
      </c>
      <c r="G241" s="525" t="str">
        <f>IF('DLL Schedule'!Pay_Num&lt;&gt;"",'DLL Schedule'!Total_Pay-'DLL Schedule'!Int,"")</f>
        <v/>
      </c>
      <c r="H241" s="525" t="str">
        <f>IF('DLL Schedule'!Pay_Num&lt;&gt;"",'DLL Schedule'!Beg_Bal*'DLL Schedule'!Interest_Rate/'DLL Schedule'!Num_Pmt_Per_Year,"")</f>
        <v/>
      </c>
      <c r="I241" s="525" t="str">
        <f>IF('DLL Schedule'!Pay_Num&lt;&gt;"",IF('DLL Schedule'!Sched_Pay+'DLL Schedule'!Extra_Pay&lt;'DLL Schedule'!Beg_Bal,'DLL Schedule'!Beg_Bal-'DLL Schedule'!Princ,0),"")</f>
        <v/>
      </c>
      <c r="J241" s="525">
        <f>SUM($H$18:$H241)</f>
        <v>257912.99524975716</v>
      </c>
      <c r="K241" s="499"/>
    </row>
    <row r="242" spans="1:11" ht="12.75" customHeight="1">
      <c r="A242" s="523" t="str">
        <f>IF(AND('DLL Schedule'!Values_Entered=1,A241&lt;&gt;"",I241&gt;0),A241+1,"")</f>
        <v/>
      </c>
      <c r="B242" s="524" t="str">
        <f>IF('DLL Schedule'!Pay_Num&lt;&gt;"",DATE(YEAR('DLL Schedule'!Loan_Start),MONTH('DLL Schedule'!Loan_Start)+('DLL Schedule'!Pay_Num)*12/'DLL Schedule'!Num_Pmt_Per_Year,DAY('DLL Schedule'!Loan_Start)),"")</f>
        <v/>
      </c>
      <c r="C242" s="525" t="str">
        <f>IF('DLL Schedule'!Pay_Num&lt;&gt;"",I241,"")</f>
        <v/>
      </c>
      <c r="D242" s="525" t="str">
        <f>IF('DLL Schedule'!Pay_Num&lt;&gt;"",'DLL Schedule'!Scheduled_Monthly_Payment,"")</f>
        <v/>
      </c>
      <c r="E2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2" s="525" t="str">
        <f>IF('DLL Schedule'!Pay_Num&lt;&gt;"",IF('DLL Schedule'!Sched_Pay+'DLL Schedule'!Extra_Pay&lt;'DLL Schedule'!Beg_Bal,'DLL Schedule'!Sched_Pay+'DLL Schedule'!Extra_Pay,'DLL Schedule'!Beg_Bal),"")</f>
        <v/>
      </c>
      <c r="G242" s="525" t="str">
        <f>IF('DLL Schedule'!Pay_Num&lt;&gt;"",'DLL Schedule'!Total_Pay-'DLL Schedule'!Int,"")</f>
        <v/>
      </c>
      <c r="H242" s="525" t="str">
        <f>IF('DLL Schedule'!Pay_Num&lt;&gt;"",'DLL Schedule'!Beg_Bal*'DLL Schedule'!Interest_Rate/'DLL Schedule'!Num_Pmt_Per_Year,"")</f>
        <v/>
      </c>
      <c r="I242" s="525" t="str">
        <f>IF('DLL Schedule'!Pay_Num&lt;&gt;"",IF('DLL Schedule'!Sched_Pay+'DLL Schedule'!Extra_Pay&lt;'DLL Schedule'!Beg_Bal,'DLL Schedule'!Beg_Bal-'DLL Schedule'!Princ,0),"")</f>
        <v/>
      </c>
      <c r="J242" s="525">
        <f>SUM($H$18:$H242)</f>
        <v>257912.99524975716</v>
      </c>
      <c r="K242" s="499"/>
    </row>
    <row r="243" spans="1:11" ht="12.75" customHeight="1">
      <c r="A243" s="523" t="str">
        <f>IF(AND('DLL Schedule'!Values_Entered=1,A242&lt;&gt;"",I242&gt;0),A242+1,"")</f>
        <v/>
      </c>
      <c r="B243" s="524" t="str">
        <f>IF('DLL Schedule'!Pay_Num&lt;&gt;"",DATE(YEAR('DLL Schedule'!Loan_Start),MONTH('DLL Schedule'!Loan_Start)+('DLL Schedule'!Pay_Num)*12/'DLL Schedule'!Num_Pmt_Per_Year,DAY('DLL Schedule'!Loan_Start)),"")</f>
        <v/>
      </c>
      <c r="C243" s="525" t="str">
        <f>IF('DLL Schedule'!Pay_Num&lt;&gt;"",I242,"")</f>
        <v/>
      </c>
      <c r="D243" s="525" t="str">
        <f>IF('DLL Schedule'!Pay_Num&lt;&gt;"",'DLL Schedule'!Scheduled_Monthly_Payment,"")</f>
        <v/>
      </c>
      <c r="E2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3" s="525" t="str">
        <f>IF('DLL Schedule'!Pay_Num&lt;&gt;"",IF('DLL Schedule'!Sched_Pay+'DLL Schedule'!Extra_Pay&lt;'DLL Schedule'!Beg_Bal,'DLL Schedule'!Sched_Pay+'DLL Schedule'!Extra_Pay,'DLL Schedule'!Beg_Bal),"")</f>
        <v/>
      </c>
      <c r="G243" s="525" t="str">
        <f>IF('DLL Schedule'!Pay_Num&lt;&gt;"",'DLL Schedule'!Total_Pay-'DLL Schedule'!Int,"")</f>
        <v/>
      </c>
      <c r="H243" s="525" t="str">
        <f>IF('DLL Schedule'!Pay_Num&lt;&gt;"",'DLL Schedule'!Beg_Bal*'DLL Schedule'!Interest_Rate/'DLL Schedule'!Num_Pmt_Per_Year,"")</f>
        <v/>
      </c>
      <c r="I243" s="525" t="str">
        <f>IF('DLL Schedule'!Pay_Num&lt;&gt;"",IF('DLL Schedule'!Sched_Pay+'DLL Schedule'!Extra_Pay&lt;'DLL Schedule'!Beg_Bal,'DLL Schedule'!Beg_Bal-'DLL Schedule'!Princ,0),"")</f>
        <v/>
      </c>
      <c r="J243" s="525">
        <f>SUM($H$18:$H243)</f>
        <v>257912.99524975716</v>
      </c>
      <c r="K243" s="499"/>
    </row>
    <row r="244" spans="1:11" ht="12.75" customHeight="1">
      <c r="A244" s="523" t="str">
        <f>IF(AND('DLL Schedule'!Values_Entered=1,A243&lt;&gt;"",I243&gt;0),A243+1,"")</f>
        <v/>
      </c>
      <c r="B244" s="524" t="str">
        <f>IF('DLL Schedule'!Pay_Num&lt;&gt;"",DATE(YEAR('DLL Schedule'!Loan_Start),MONTH('DLL Schedule'!Loan_Start)+('DLL Schedule'!Pay_Num)*12/'DLL Schedule'!Num_Pmt_Per_Year,DAY('DLL Schedule'!Loan_Start)),"")</f>
        <v/>
      </c>
      <c r="C244" s="525" t="str">
        <f>IF('DLL Schedule'!Pay_Num&lt;&gt;"",I243,"")</f>
        <v/>
      </c>
      <c r="D244" s="525" t="str">
        <f>IF('DLL Schedule'!Pay_Num&lt;&gt;"",'DLL Schedule'!Scheduled_Monthly_Payment,"")</f>
        <v/>
      </c>
      <c r="E2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4" s="525" t="str">
        <f>IF('DLL Schedule'!Pay_Num&lt;&gt;"",IF('DLL Schedule'!Sched_Pay+'DLL Schedule'!Extra_Pay&lt;'DLL Schedule'!Beg_Bal,'DLL Schedule'!Sched_Pay+'DLL Schedule'!Extra_Pay,'DLL Schedule'!Beg_Bal),"")</f>
        <v/>
      </c>
      <c r="G244" s="525" t="str">
        <f>IF('DLL Schedule'!Pay_Num&lt;&gt;"",'DLL Schedule'!Total_Pay-'DLL Schedule'!Int,"")</f>
        <v/>
      </c>
      <c r="H244" s="525" t="str">
        <f>IF('DLL Schedule'!Pay_Num&lt;&gt;"",'DLL Schedule'!Beg_Bal*'DLL Schedule'!Interest_Rate/'DLL Schedule'!Num_Pmt_Per_Year,"")</f>
        <v/>
      </c>
      <c r="I244" s="525" t="str">
        <f>IF('DLL Schedule'!Pay_Num&lt;&gt;"",IF('DLL Schedule'!Sched_Pay+'DLL Schedule'!Extra_Pay&lt;'DLL Schedule'!Beg_Bal,'DLL Schedule'!Beg_Bal-'DLL Schedule'!Princ,0),"")</f>
        <v/>
      </c>
      <c r="J244" s="525">
        <f>SUM($H$18:$H244)</f>
        <v>257912.99524975716</v>
      </c>
      <c r="K244" s="499"/>
    </row>
    <row r="245" spans="1:11" ht="12.75" customHeight="1">
      <c r="A245" s="523" t="str">
        <f>IF(AND('DLL Schedule'!Values_Entered=1,A244&lt;&gt;"",I244&gt;0),A244+1,"")</f>
        <v/>
      </c>
      <c r="B245" s="524" t="str">
        <f>IF('DLL Schedule'!Pay_Num&lt;&gt;"",DATE(YEAR('DLL Schedule'!Loan_Start),MONTH('DLL Schedule'!Loan_Start)+('DLL Schedule'!Pay_Num)*12/'DLL Schedule'!Num_Pmt_Per_Year,DAY('DLL Schedule'!Loan_Start)),"")</f>
        <v/>
      </c>
      <c r="C245" s="525" t="str">
        <f>IF('DLL Schedule'!Pay_Num&lt;&gt;"",I244,"")</f>
        <v/>
      </c>
      <c r="D245" s="525" t="str">
        <f>IF('DLL Schedule'!Pay_Num&lt;&gt;"",'DLL Schedule'!Scheduled_Monthly_Payment,"")</f>
        <v/>
      </c>
      <c r="E2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5" s="525" t="str">
        <f>IF('DLL Schedule'!Pay_Num&lt;&gt;"",IF('DLL Schedule'!Sched_Pay+'DLL Schedule'!Extra_Pay&lt;'DLL Schedule'!Beg_Bal,'DLL Schedule'!Sched_Pay+'DLL Schedule'!Extra_Pay,'DLL Schedule'!Beg_Bal),"")</f>
        <v/>
      </c>
      <c r="G245" s="525" t="str">
        <f>IF('DLL Schedule'!Pay_Num&lt;&gt;"",'DLL Schedule'!Total_Pay-'DLL Schedule'!Int,"")</f>
        <v/>
      </c>
      <c r="H245" s="525" t="str">
        <f>IF('DLL Schedule'!Pay_Num&lt;&gt;"",'DLL Schedule'!Beg_Bal*'DLL Schedule'!Interest_Rate/'DLL Schedule'!Num_Pmt_Per_Year,"")</f>
        <v/>
      </c>
      <c r="I245" s="525" t="str">
        <f>IF('DLL Schedule'!Pay_Num&lt;&gt;"",IF('DLL Schedule'!Sched_Pay+'DLL Schedule'!Extra_Pay&lt;'DLL Schedule'!Beg_Bal,'DLL Schedule'!Beg_Bal-'DLL Schedule'!Princ,0),"")</f>
        <v/>
      </c>
      <c r="J245" s="525">
        <f>SUM($H$18:$H245)</f>
        <v>257912.99524975716</v>
      </c>
      <c r="K245" s="499"/>
    </row>
    <row r="246" spans="1:11" ht="12.75" customHeight="1">
      <c r="A246" s="523" t="str">
        <f>IF(AND('DLL Schedule'!Values_Entered=1,A245&lt;&gt;"",I245&gt;0),A245+1,"")</f>
        <v/>
      </c>
      <c r="B246" s="524" t="str">
        <f>IF('DLL Schedule'!Pay_Num&lt;&gt;"",DATE(YEAR('DLL Schedule'!Loan_Start),MONTH('DLL Schedule'!Loan_Start)+('DLL Schedule'!Pay_Num)*12/'DLL Schedule'!Num_Pmt_Per_Year,DAY('DLL Schedule'!Loan_Start)),"")</f>
        <v/>
      </c>
      <c r="C246" s="525" t="str">
        <f>IF('DLL Schedule'!Pay_Num&lt;&gt;"",I245,"")</f>
        <v/>
      </c>
      <c r="D246" s="525" t="str">
        <f>IF('DLL Schedule'!Pay_Num&lt;&gt;"",'DLL Schedule'!Scheduled_Monthly_Payment,"")</f>
        <v/>
      </c>
      <c r="E2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6" s="525" t="str">
        <f>IF('DLL Schedule'!Pay_Num&lt;&gt;"",IF('DLL Schedule'!Sched_Pay+'DLL Schedule'!Extra_Pay&lt;'DLL Schedule'!Beg_Bal,'DLL Schedule'!Sched_Pay+'DLL Schedule'!Extra_Pay,'DLL Schedule'!Beg_Bal),"")</f>
        <v/>
      </c>
      <c r="G246" s="525" t="str">
        <f>IF('DLL Schedule'!Pay_Num&lt;&gt;"",'DLL Schedule'!Total_Pay-'DLL Schedule'!Int,"")</f>
        <v/>
      </c>
      <c r="H246" s="525" t="str">
        <f>IF('DLL Schedule'!Pay_Num&lt;&gt;"",'DLL Schedule'!Beg_Bal*'DLL Schedule'!Interest_Rate/'DLL Schedule'!Num_Pmt_Per_Year,"")</f>
        <v/>
      </c>
      <c r="I246" s="525" t="str">
        <f>IF('DLL Schedule'!Pay_Num&lt;&gt;"",IF('DLL Schedule'!Sched_Pay+'DLL Schedule'!Extra_Pay&lt;'DLL Schedule'!Beg_Bal,'DLL Schedule'!Beg_Bal-'DLL Schedule'!Princ,0),"")</f>
        <v/>
      </c>
      <c r="J246" s="525">
        <f>SUM($H$18:$H246)</f>
        <v>257912.99524975716</v>
      </c>
      <c r="K246" s="499"/>
    </row>
    <row r="247" spans="1:11" ht="12.75" customHeight="1">
      <c r="A247" s="523" t="str">
        <f>IF(AND('DLL Schedule'!Values_Entered=1,A246&lt;&gt;"",I246&gt;0),A246+1,"")</f>
        <v/>
      </c>
      <c r="B247" s="524" t="str">
        <f>IF('DLL Schedule'!Pay_Num&lt;&gt;"",DATE(YEAR('DLL Schedule'!Loan_Start),MONTH('DLL Schedule'!Loan_Start)+('DLL Schedule'!Pay_Num)*12/'DLL Schedule'!Num_Pmt_Per_Year,DAY('DLL Schedule'!Loan_Start)),"")</f>
        <v/>
      </c>
      <c r="C247" s="525" t="str">
        <f>IF('DLL Schedule'!Pay_Num&lt;&gt;"",I246,"")</f>
        <v/>
      </c>
      <c r="D247" s="525" t="str">
        <f>IF('DLL Schedule'!Pay_Num&lt;&gt;"",'DLL Schedule'!Scheduled_Monthly_Payment,"")</f>
        <v/>
      </c>
      <c r="E2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7" s="525" t="str">
        <f>IF('DLL Schedule'!Pay_Num&lt;&gt;"",IF('DLL Schedule'!Sched_Pay+'DLL Schedule'!Extra_Pay&lt;'DLL Schedule'!Beg_Bal,'DLL Schedule'!Sched_Pay+'DLL Schedule'!Extra_Pay,'DLL Schedule'!Beg_Bal),"")</f>
        <v/>
      </c>
      <c r="G247" s="525" t="str">
        <f>IF('DLL Schedule'!Pay_Num&lt;&gt;"",'DLL Schedule'!Total_Pay-'DLL Schedule'!Int,"")</f>
        <v/>
      </c>
      <c r="H247" s="525" t="str">
        <f>IF('DLL Schedule'!Pay_Num&lt;&gt;"",'DLL Schedule'!Beg_Bal*'DLL Schedule'!Interest_Rate/'DLL Schedule'!Num_Pmt_Per_Year,"")</f>
        <v/>
      </c>
      <c r="I247" s="525" t="str">
        <f>IF('DLL Schedule'!Pay_Num&lt;&gt;"",IF('DLL Schedule'!Sched_Pay+'DLL Schedule'!Extra_Pay&lt;'DLL Schedule'!Beg_Bal,'DLL Schedule'!Beg_Bal-'DLL Schedule'!Princ,0),"")</f>
        <v/>
      </c>
      <c r="J247" s="525">
        <f>SUM($H$18:$H247)</f>
        <v>257912.99524975716</v>
      </c>
      <c r="K247" s="499"/>
    </row>
    <row r="248" spans="1:11" ht="12.75" customHeight="1">
      <c r="A248" s="523" t="str">
        <f>IF(AND('DLL Schedule'!Values_Entered=1,A247&lt;&gt;"",I247&gt;0),A247+1,"")</f>
        <v/>
      </c>
      <c r="B248" s="524" t="str">
        <f>IF('DLL Schedule'!Pay_Num&lt;&gt;"",DATE(YEAR('DLL Schedule'!Loan_Start),MONTH('DLL Schedule'!Loan_Start)+('DLL Schedule'!Pay_Num)*12/'DLL Schedule'!Num_Pmt_Per_Year,DAY('DLL Schedule'!Loan_Start)),"")</f>
        <v/>
      </c>
      <c r="C248" s="525" t="str">
        <f>IF('DLL Schedule'!Pay_Num&lt;&gt;"",I247,"")</f>
        <v/>
      </c>
      <c r="D248" s="525" t="str">
        <f>IF('DLL Schedule'!Pay_Num&lt;&gt;"",'DLL Schedule'!Scheduled_Monthly_Payment,"")</f>
        <v/>
      </c>
      <c r="E2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8" s="525" t="str">
        <f>IF('DLL Schedule'!Pay_Num&lt;&gt;"",IF('DLL Schedule'!Sched_Pay+'DLL Schedule'!Extra_Pay&lt;'DLL Schedule'!Beg_Bal,'DLL Schedule'!Sched_Pay+'DLL Schedule'!Extra_Pay,'DLL Schedule'!Beg_Bal),"")</f>
        <v/>
      </c>
      <c r="G248" s="525" t="str">
        <f>IF('DLL Schedule'!Pay_Num&lt;&gt;"",'DLL Schedule'!Total_Pay-'DLL Schedule'!Int,"")</f>
        <v/>
      </c>
      <c r="H248" s="525" t="str">
        <f>IF('DLL Schedule'!Pay_Num&lt;&gt;"",'DLL Schedule'!Beg_Bal*'DLL Schedule'!Interest_Rate/'DLL Schedule'!Num_Pmt_Per_Year,"")</f>
        <v/>
      </c>
      <c r="I248" s="525" t="str">
        <f>IF('DLL Schedule'!Pay_Num&lt;&gt;"",IF('DLL Schedule'!Sched_Pay+'DLL Schedule'!Extra_Pay&lt;'DLL Schedule'!Beg_Bal,'DLL Schedule'!Beg_Bal-'DLL Schedule'!Princ,0),"")</f>
        <v/>
      </c>
      <c r="J248" s="525">
        <f>SUM($H$18:$H248)</f>
        <v>257912.99524975716</v>
      </c>
      <c r="K248" s="499"/>
    </row>
    <row r="249" spans="1:11" ht="12.75" customHeight="1">
      <c r="A249" s="523" t="str">
        <f>IF(AND('DLL Schedule'!Values_Entered=1,A248&lt;&gt;"",I248&gt;0),A248+1,"")</f>
        <v/>
      </c>
      <c r="B249" s="524" t="str">
        <f>IF('DLL Schedule'!Pay_Num&lt;&gt;"",DATE(YEAR('DLL Schedule'!Loan_Start),MONTH('DLL Schedule'!Loan_Start)+('DLL Schedule'!Pay_Num)*12/'DLL Schedule'!Num_Pmt_Per_Year,DAY('DLL Schedule'!Loan_Start)),"")</f>
        <v/>
      </c>
      <c r="C249" s="525" t="str">
        <f>IF('DLL Schedule'!Pay_Num&lt;&gt;"",I248,"")</f>
        <v/>
      </c>
      <c r="D249" s="525" t="str">
        <f>IF('DLL Schedule'!Pay_Num&lt;&gt;"",'DLL Schedule'!Scheduled_Monthly_Payment,"")</f>
        <v/>
      </c>
      <c r="E2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9" s="525" t="str">
        <f>IF('DLL Schedule'!Pay_Num&lt;&gt;"",IF('DLL Schedule'!Sched_Pay+'DLL Schedule'!Extra_Pay&lt;'DLL Schedule'!Beg_Bal,'DLL Schedule'!Sched_Pay+'DLL Schedule'!Extra_Pay,'DLL Schedule'!Beg_Bal),"")</f>
        <v/>
      </c>
      <c r="G249" s="525" t="str">
        <f>IF('DLL Schedule'!Pay_Num&lt;&gt;"",'DLL Schedule'!Total_Pay-'DLL Schedule'!Int,"")</f>
        <v/>
      </c>
      <c r="H249" s="525" t="str">
        <f>IF('DLL Schedule'!Pay_Num&lt;&gt;"",'DLL Schedule'!Beg_Bal*'DLL Schedule'!Interest_Rate/'DLL Schedule'!Num_Pmt_Per_Year,"")</f>
        <v/>
      </c>
      <c r="I249" s="525" t="str">
        <f>IF('DLL Schedule'!Pay_Num&lt;&gt;"",IF('DLL Schedule'!Sched_Pay+'DLL Schedule'!Extra_Pay&lt;'DLL Schedule'!Beg_Bal,'DLL Schedule'!Beg_Bal-'DLL Schedule'!Princ,0),"")</f>
        <v/>
      </c>
      <c r="J249" s="525">
        <f>SUM($H$18:$H249)</f>
        <v>257912.99524975716</v>
      </c>
      <c r="K249" s="499"/>
    </row>
    <row r="250" spans="1:11" ht="12.75" customHeight="1">
      <c r="A250" s="523" t="str">
        <f>IF(AND('DLL Schedule'!Values_Entered=1,A249&lt;&gt;"",I249&gt;0),A249+1,"")</f>
        <v/>
      </c>
      <c r="B250" s="524" t="str">
        <f>IF('DLL Schedule'!Pay_Num&lt;&gt;"",DATE(YEAR('DLL Schedule'!Loan_Start),MONTH('DLL Schedule'!Loan_Start)+('DLL Schedule'!Pay_Num)*12/'DLL Schedule'!Num_Pmt_Per_Year,DAY('DLL Schedule'!Loan_Start)),"")</f>
        <v/>
      </c>
      <c r="C250" s="525" t="str">
        <f>IF('DLL Schedule'!Pay_Num&lt;&gt;"",I249,"")</f>
        <v/>
      </c>
      <c r="D250" s="525" t="str">
        <f>IF('DLL Schedule'!Pay_Num&lt;&gt;"",'DLL Schedule'!Scheduled_Monthly_Payment,"")</f>
        <v/>
      </c>
      <c r="E2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0" s="525" t="str">
        <f>IF('DLL Schedule'!Pay_Num&lt;&gt;"",IF('DLL Schedule'!Sched_Pay+'DLL Schedule'!Extra_Pay&lt;'DLL Schedule'!Beg_Bal,'DLL Schedule'!Sched_Pay+'DLL Schedule'!Extra_Pay,'DLL Schedule'!Beg_Bal),"")</f>
        <v/>
      </c>
      <c r="G250" s="525" t="str">
        <f>IF('DLL Schedule'!Pay_Num&lt;&gt;"",'DLL Schedule'!Total_Pay-'DLL Schedule'!Int,"")</f>
        <v/>
      </c>
      <c r="H250" s="525" t="str">
        <f>IF('DLL Schedule'!Pay_Num&lt;&gt;"",'DLL Schedule'!Beg_Bal*'DLL Schedule'!Interest_Rate/'DLL Schedule'!Num_Pmt_Per_Year,"")</f>
        <v/>
      </c>
      <c r="I250" s="525" t="str">
        <f>IF('DLL Schedule'!Pay_Num&lt;&gt;"",IF('DLL Schedule'!Sched_Pay+'DLL Schedule'!Extra_Pay&lt;'DLL Schedule'!Beg_Bal,'DLL Schedule'!Beg_Bal-'DLL Schedule'!Princ,0),"")</f>
        <v/>
      </c>
      <c r="J250" s="525">
        <f>SUM($H$18:$H250)</f>
        <v>257912.99524975716</v>
      </c>
      <c r="K250" s="499"/>
    </row>
    <row r="251" spans="1:11" ht="12.75" customHeight="1">
      <c r="A251" s="523" t="str">
        <f>IF(AND('DLL Schedule'!Values_Entered=1,A250&lt;&gt;"",I250&gt;0),A250+1,"")</f>
        <v/>
      </c>
      <c r="B251" s="524" t="str">
        <f>IF('DLL Schedule'!Pay_Num&lt;&gt;"",DATE(YEAR('DLL Schedule'!Loan_Start),MONTH('DLL Schedule'!Loan_Start)+('DLL Schedule'!Pay_Num)*12/'DLL Schedule'!Num_Pmt_Per_Year,DAY('DLL Schedule'!Loan_Start)),"")</f>
        <v/>
      </c>
      <c r="C251" s="525" t="str">
        <f>IF('DLL Schedule'!Pay_Num&lt;&gt;"",I250,"")</f>
        <v/>
      </c>
      <c r="D251" s="525" t="str">
        <f>IF('DLL Schedule'!Pay_Num&lt;&gt;"",'DLL Schedule'!Scheduled_Monthly_Payment,"")</f>
        <v/>
      </c>
      <c r="E2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1" s="525" t="str">
        <f>IF('DLL Schedule'!Pay_Num&lt;&gt;"",IF('DLL Schedule'!Sched_Pay+'DLL Schedule'!Extra_Pay&lt;'DLL Schedule'!Beg_Bal,'DLL Schedule'!Sched_Pay+'DLL Schedule'!Extra_Pay,'DLL Schedule'!Beg_Bal),"")</f>
        <v/>
      </c>
      <c r="G251" s="525" t="str">
        <f>IF('DLL Schedule'!Pay_Num&lt;&gt;"",'DLL Schedule'!Total_Pay-'DLL Schedule'!Int,"")</f>
        <v/>
      </c>
      <c r="H251" s="525" t="str">
        <f>IF('DLL Schedule'!Pay_Num&lt;&gt;"",'DLL Schedule'!Beg_Bal*'DLL Schedule'!Interest_Rate/'DLL Schedule'!Num_Pmt_Per_Year,"")</f>
        <v/>
      </c>
      <c r="I251" s="525" t="str">
        <f>IF('DLL Schedule'!Pay_Num&lt;&gt;"",IF('DLL Schedule'!Sched_Pay+'DLL Schedule'!Extra_Pay&lt;'DLL Schedule'!Beg_Bal,'DLL Schedule'!Beg_Bal-'DLL Schedule'!Princ,0),"")</f>
        <v/>
      </c>
      <c r="J251" s="525">
        <f>SUM($H$18:$H251)</f>
        <v>257912.99524975716</v>
      </c>
      <c r="K251" s="499"/>
    </row>
    <row r="252" spans="1:11" ht="12.75" customHeight="1">
      <c r="A252" s="523" t="str">
        <f>IF(AND('DLL Schedule'!Values_Entered=1,A251&lt;&gt;"",I251&gt;0),A251+1,"")</f>
        <v/>
      </c>
      <c r="B252" s="524" t="str">
        <f>IF('DLL Schedule'!Pay_Num&lt;&gt;"",DATE(YEAR('DLL Schedule'!Loan_Start),MONTH('DLL Schedule'!Loan_Start)+('DLL Schedule'!Pay_Num)*12/'DLL Schedule'!Num_Pmt_Per_Year,DAY('DLL Schedule'!Loan_Start)),"")</f>
        <v/>
      </c>
      <c r="C252" s="525" t="str">
        <f>IF('DLL Schedule'!Pay_Num&lt;&gt;"",I251,"")</f>
        <v/>
      </c>
      <c r="D252" s="525" t="str">
        <f>IF('DLL Schedule'!Pay_Num&lt;&gt;"",'DLL Schedule'!Scheduled_Monthly_Payment,"")</f>
        <v/>
      </c>
      <c r="E2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2" s="525" t="str">
        <f>IF('DLL Schedule'!Pay_Num&lt;&gt;"",IF('DLL Schedule'!Sched_Pay+'DLL Schedule'!Extra_Pay&lt;'DLL Schedule'!Beg_Bal,'DLL Schedule'!Sched_Pay+'DLL Schedule'!Extra_Pay,'DLL Schedule'!Beg_Bal),"")</f>
        <v/>
      </c>
      <c r="G252" s="525" t="str">
        <f>IF('DLL Schedule'!Pay_Num&lt;&gt;"",'DLL Schedule'!Total_Pay-'DLL Schedule'!Int,"")</f>
        <v/>
      </c>
      <c r="H252" s="525" t="str">
        <f>IF('DLL Schedule'!Pay_Num&lt;&gt;"",'DLL Schedule'!Beg_Bal*'DLL Schedule'!Interest_Rate/'DLL Schedule'!Num_Pmt_Per_Year,"")</f>
        <v/>
      </c>
      <c r="I252" s="525" t="str">
        <f>IF('DLL Schedule'!Pay_Num&lt;&gt;"",IF('DLL Schedule'!Sched_Pay+'DLL Schedule'!Extra_Pay&lt;'DLL Schedule'!Beg_Bal,'DLL Schedule'!Beg_Bal-'DLL Schedule'!Princ,0),"")</f>
        <v/>
      </c>
      <c r="J252" s="525">
        <f>SUM($H$18:$H252)</f>
        <v>257912.99524975716</v>
      </c>
      <c r="K252" s="499"/>
    </row>
    <row r="253" spans="1:11" ht="12.75" customHeight="1">
      <c r="A253" s="523" t="str">
        <f>IF(AND('DLL Schedule'!Values_Entered=1,A252&lt;&gt;"",I252&gt;0),A252+1,"")</f>
        <v/>
      </c>
      <c r="B253" s="524" t="str">
        <f>IF('DLL Schedule'!Pay_Num&lt;&gt;"",DATE(YEAR('DLL Schedule'!Loan_Start),MONTH('DLL Schedule'!Loan_Start)+('DLL Schedule'!Pay_Num)*12/'DLL Schedule'!Num_Pmt_Per_Year,DAY('DLL Schedule'!Loan_Start)),"")</f>
        <v/>
      </c>
      <c r="C253" s="525" t="str">
        <f>IF('DLL Schedule'!Pay_Num&lt;&gt;"",I252,"")</f>
        <v/>
      </c>
      <c r="D253" s="525" t="str">
        <f>IF('DLL Schedule'!Pay_Num&lt;&gt;"",'DLL Schedule'!Scheduled_Monthly_Payment,"")</f>
        <v/>
      </c>
      <c r="E2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3" s="525" t="str">
        <f>IF('DLL Schedule'!Pay_Num&lt;&gt;"",IF('DLL Schedule'!Sched_Pay+'DLL Schedule'!Extra_Pay&lt;'DLL Schedule'!Beg_Bal,'DLL Schedule'!Sched_Pay+'DLL Schedule'!Extra_Pay,'DLL Schedule'!Beg_Bal),"")</f>
        <v/>
      </c>
      <c r="G253" s="525" t="str">
        <f>IF('DLL Schedule'!Pay_Num&lt;&gt;"",'DLL Schedule'!Total_Pay-'DLL Schedule'!Int,"")</f>
        <v/>
      </c>
      <c r="H253" s="525" t="str">
        <f>IF('DLL Schedule'!Pay_Num&lt;&gt;"",'DLL Schedule'!Beg_Bal*'DLL Schedule'!Interest_Rate/'DLL Schedule'!Num_Pmt_Per_Year,"")</f>
        <v/>
      </c>
      <c r="I253" s="525" t="str">
        <f>IF('DLL Schedule'!Pay_Num&lt;&gt;"",IF('DLL Schedule'!Sched_Pay+'DLL Schedule'!Extra_Pay&lt;'DLL Schedule'!Beg_Bal,'DLL Schedule'!Beg_Bal-'DLL Schedule'!Princ,0),"")</f>
        <v/>
      </c>
      <c r="J253" s="525">
        <f>SUM($H$18:$H253)</f>
        <v>257912.99524975716</v>
      </c>
      <c r="K253" s="499"/>
    </row>
    <row r="254" spans="1:11" ht="12.75" customHeight="1">
      <c r="A254" s="523" t="str">
        <f>IF(AND('DLL Schedule'!Values_Entered=1,A253&lt;&gt;"",I253&gt;0),A253+1,"")</f>
        <v/>
      </c>
      <c r="B254" s="524" t="str">
        <f>IF('DLL Schedule'!Pay_Num&lt;&gt;"",DATE(YEAR('DLL Schedule'!Loan_Start),MONTH('DLL Schedule'!Loan_Start)+('DLL Schedule'!Pay_Num)*12/'DLL Schedule'!Num_Pmt_Per_Year,DAY('DLL Schedule'!Loan_Start)),"")</f>
        <v/>
      </c>
      <c r="C254" s="525" t="str">
        <f>IF('DLL Schedule'!Pay_Num&lt;&gt;"",I253,"")</f>
        <v/>
      </c>
      <c r="D254" s="525" t="str">
        <f>IF('DLL Schedule'!Pay_Num&lt;&gt;"",'DLL Schedule'!Scheduled_Monthly_Payment,"")</f>
        <v/>
      </c>
      <c r="E2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4" s="525" t="str">
        <f>IF('DLL Schedule'!Pay_Num&lt;&gt;"",IF('DLL Schedule'!Sched_Pay+'DLL Schedule'!Extra_Pay&lt;'DLL Schedule'!Beg_Bal,'DLL Schedule'!Sched_Pay+'DLL Schedule'!Extra_Pay,'DLL Schedule'!Beg_Bal),"")</f>
        <v/>
      </c>
      <c r="G254" s="525" t="str">
        <f>IF('DLL Schedule'!Pay_Num&lt;&gt;"",'DLL Schedule'!Total_Pay-'DLL Schedule'!Int,"")</f>
        <v/>
      </c>
      <c r="H254" s="525" t="str">
        <f>IF('DLL Schedule'!Pay_Num&lt;&gt;"",'DLL Schedule'!Beg_Bal*'DLL Schedule'!Interest_Rate/'DLL Schedule'!Num_Pmt_Per_Year,"")</f>
        <v/>
      </c>
      <c r="I254" s="525" t="str">
        <f>IF('DLL Schedule'!Pay_Num&lt;&gt;"",IF('DLL Schedule'!Sched_Pay+'DLL Schedule'!Extra_Pay&lt;'DLL Schedule'!Beg_Bal,'DLL Schedule'!Beg_Bal-'DLL Schedule'!Princ,0),"")</f>
        <v/>
      </c>
      <c r="J254" s="525">
        <f>SUM($H$18:$H254)</f>
        <v>257912.99524975716</v>
      </c>
      <c r="K254" s="499"/>
    </row>
    <row r="255" spans="1:11" ht="12.75" customHeight="1">
      <c r="A255" s="523" t="str">
        <f>IF(AND('DLL Schedule'!Values_Entered=1,A254&lt;&gt;"",I254&gt;0),A254+1,"")</f>
        <v/>
      </c>
      <c r="B255" s="524" t="str">
        <f>IF('DLL Schedule'!Pay_Num&lt;&gt;"",DATE(YEAR('DLL Schedule'!Loan_Start),MONTH('DLL Schedule'!Loan_Start)+('DLL Schedule'!Pay_Num)*12/'DLL Schedule'!Num_Pmt_Per_Year,DAY('DLL Schedule'!Loan_Start)),"")</f>
        <v/>
      </c>
      <c r="C255" s="525" t="str">
        <f>IF('DLL Schedule'!Pay_Num&lt;&gt;"",I254,"")</f>
        <v/>
      </c>
      <c r="D255" s="525" t="str">
        <f>IF('DLL Schedule'!Pay_Num&lt;&gt;"",'DLL Schedule'!Scheduled_Monthly_Payment,"")</f>
        <v/>
      </c>
      <c r="E2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5" s="525" t="str">
        <f>IF('DLL Schedule'!Pay_Num&lt;&gt;"",IF('DLL Schedule'!Sched_Pay+'DLL Schedule'!Extra_Pay&lt;'DLL Schedule'!Beg_Bal,'DLL Schedule'!Sched_Pay+'DLL Schedule'!Extra_Pay,'DLL Schedule'!Beg_Bal),"")</f>
        <v/>
      </c>
      <c r="G255" s="525" t="str">
        <f>IF('DLL Schedule'!Pay_Num&lt;&gt;"",'DLL Schedule'!Total_Pay-'DLL Schedule'!Int,"")</f>
        <v/>
      </c>
      <c r="H255" s="525" t="str">
        <f>IF('DLL Schedule'!Pay_Num&lt;&gt;"",'DLL Schedule'!Beg_Bal*'DLL Schedule'!Interest_Rate/'DLL Schedule'!Num_Pmt_Per_Year,"")</f>
        <v/>
      </c>
      <c r="I255" s="525" t="str">
        <f>IF('DLL Schedule'!Pay_Num&lt;&gt;"",IF('DLL Schedule'!Sched_Pay+'DLL Schedule'!Extra_Pay&lt;'DLL Schedule'!Beg_Bal,'DLL Schedule'!Beg_Bal-'DLL Schedule'!Princ,0),"")</f>
        <v/>
      </c>
      <c r="J255" s="525">
        <f>SUM($H$18:$H255)</f>
        <v>257912.99524975716</v>
      </c>
      <c r="K255" s="499"/>
    </row>
    <row r="256" spans="1:11" ht="12.75" customHeight="1">
      <c r="A256" s="523" t="str">
        <f>IF(AND('DLL Schedule'!Values_Entered=1,A255&lt;&gt;"",I255&gt;0),A255+1,"")</f>
        <v/>
      </c>
      <c r="B256" s="524" t="str">
        <f>IF('DLL Schedule'!Pay_Num&lt;&gt;"",DATE(YEAR('DLL Schedule'!Loan_Start),MONTH('DLL Schedule'!Loan_Start)+('DLL Schedule'!Pay_Num)*12/'DLL Schedule'!Num_Pmt_Per_Year,DAY('DLL Schedule'!Loan_Start)),"")</f>
        <v/>
      </c>
      <c r="C256" s="525" t="str">
        <f>IF('DLL Schedule'!Pay_Num&lt;&gt;"",I255,"")</f>
        <v/>
      </c>
      <c r="D256" s="525" t="str">
        <f>IF('DLL Schedule'!Pay_Num&lt;&gt;"",'DLL Schedule'!Scheduled_Monthly_Payment,"")</f>
        <v/>
      </c>
      <c r="E2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6" s="525" t="str">
        <f>IF('DLL Schedule'!Pay_Num&lt;&gt;"",IF('DLL Schedule'!Sched_Pay+'DLL Schedule'!Extra_Pay&lt;'DLL Schedule'!Beg_Bal,'DLL Schedule'!Sched_Pay+'DLL Schedule'!Extra_Pay,'DLL Schedule'!Beg_Bal),"")</f>
        <v/>
      </c>
      <c r="G256" s="525" t="str">
        <f>IF('DLL Schedule'!Pay_Num&lt;&gt;"",'DLL Schedule'!Total_Pay-'DLL Schedule'!Int,"")</f>
        <v/>
      </c>
      <c r="H256" s="525" t="str">
        <f>IF('DLL Schedule'!Pay_Num&lt;&gt;"",'DLL Schedule'!Beg_Bal*'DLL Schedule'!Interest_Rate/'DLL Schedule'!Num_Pmt_Per_Year,"")</f>
        <v/>
      </c>
      <c r="I256" s="525" t="str">
        <f>IF('DLL Schedule'!Pay_Num&lt;&gt;"",IF('DLL Schedule'!Sched_Pay+'DLL Schedule'!Extra_Pay&lt;'DLL Schedule'!Beg_Bal,'DLL Schedule'!Beg_Bal-'DLL Schedule'!Princ,0),"")</f>
        <v/>
      </c>
      <c r="J256" s="525">
        <f>SUM($H$18:$H256)</f>
        <v>257912.99524975716</v>
      </c>
      <c r="K256" s="499"/>
    </row>
    <row r="257" spans="1:11" ht="12.75" customHeight="1">
      <c r="A257" s="523" t="str">
        <f>IF(AND('DLL Schedule'!Values_Entered=1,A256&lt;&gt;"",I256&gt;0),A256+1,"")</f>
        <v/>
      </c>
      <c r="B257" s="524" t="str">
        <f>IF('DLL Schedule'!Pay_Num&lt;&gt;"",DATE(YEAR('DLL Schedule'!Loan_Start),MONTH('DLL Schedule'!Loan_Start)+('DLL Schedule'!Pay_Num)*12/'DLL Schedule'!Num_Pmt_Per_Year,DAY('DLL Schedule'!Loan_Start)),"")</f>
        <v/>
      </c>
      <c r="C257" s="525" t="str">
        <f>IF('DLL Schedule'!Pay_Num&lt;&gt;"",I256,"")</f>
        <v/>
      </c>
      <c r="D257" s="525" t="str">
        <f>IF('DLL Schedule'!Pay_Num&lt;&gt;"",'DLL Schedule'!Scheduled_Monthly_Payment,"")</f>
        <v/>
      </c>
      <c r="E2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7" s="525" t="str">
        <f>IF('DLL Schedule'!Pay_Num&lt;&gt;"",IF('DLL Schedule'!Sched_Pay+'DLL Schedule'!Extra_Pay&lt;'DLL Schedule'!Beg_Bal,'DLL Schedule'!Sched_Pay+'DLL Schedule'!Extra_Pay,'DLL Schedule'!Beg_Bal),"")</f>
        <v/>
      </c>
      <c r="G257" s="525" t="str">
        <f>IF('DLL Schedule'!Pay_Num&lt;&gt;"",'DLL Schedule'!Total_Pay-'DLL Schedule'!Int,"")</f>
        <v/>
      </c>
      <c r="H257" s="525" t="str">
        <f>IF('DLL Schedule'!Pay_Num&lt;&gt;"",'DLL Schedule'!Beg_Bal*'DLL Schedule'!Interest_Rate/'DLL Schedule'!Num_Pmt_Per_Year,"")</f>
        <v/>
      </c>
      <c r="I257" s="525" t="str">
        <f>IF('DLL Schedule'!Pay_Num&lt;&gt;"",IF('DLL Schedule'!Sched_Pay+'DLL Schedule'!Extra_Pay&lt;'DLL Schedule'!Beg_Bal,'DLL Schedule'!Beg_Bal-'DLL Schedule'!Princ,0),"")</f>
        <v/>
      </c>
      <c r="J257" s="525">
        <f>SUM($H$18:$H257)</f>
        <v>257912.99524975716</v>
      </c>
      <c r="K257" s="499"/>
    </row>
    <row r="258" spans="1:11" ht="12.75" customHeight="1">
      <c r="A258" s="523" t="str">
        <f>IF(AND('DLL Schedule'!Values_Entered=1,A257&lt;&gt;"",I257&gt;0),A257+1,"")</f>
        <v/>
      </c>
      <c r="B258" s="524" t="str">
        <f>IF('DLL Schedule'!Pay_Num&lt;&gt;"",DATE(YEAR('DLL Schedule'!Loan_Start),MONTH('DLL Schedule'!Loan_Start)+('DLL Schedule'!Pay_Num)*12/'DLL Schedule'!Num_Pmt_Per_Year,DAY('DLL Schedule'!Loan_Start)),"")</f>
        <v/>
      </c>
      <c r="C258" s="525" t="str">
        <f>IF('DLL Schedule'!Pay_Num&lt;&gt;"",I257,"")</f>
        <v/>
      </c>
      <c r="D258" s="525" t="str">
        <f>IF('DLL Schedule'!Pay_Num&lt;&gt;"",'DLL Schedule'!Scheduled_Monthly_Payment,"")</f>
        <v/>
      </c>
      <c r="E2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8" s="525" t="str">
        <f>IF('DLL Schedule'!Pay_Num&lt;&gt;"",IF('DLL Schedule'!Sched_Pay+'DLL Schedule'!Extra_Pay&lt;'DLL Schedule'!Beg_Bal,'DLL Schedule'!Sched_Pay+'DLL Schedule'!Extra_Pay,'DLL Schedule'!Beg_Bal),"")</f>
        <v/>
      </c>
      <c r="G258" s="525" t="str">
        <f>IF('DLL Schedule'!Pay_Num&lt;&gt;"",'DLL Schedule'!Total_Pay-'DLL Schedule'!Int,"")</f>
        <v/>
      </c>
      <c r="H258" s="525" t="str">
        <f>IF('DLL Schedule'!Pay_Num&lt;&gt;"",'DLL Schedule'!Beg_Bal*'DLL Schedule'!Interest_Rate/'DLL Schedule'!Num_Pmt_Per_Year,"")</f>
        <v/>
      </c>
      <c r="I258" s="525" t="str">
        <f>IF('DLL Schedule'!Pay_Num&lt;&gt;"",IF('DLL Schedule'!Sched_Pay+'DLL Schedule'!Extra_Pay&lt;'DLL Schedule'!Beg_Bal,'DLL Schedule'!Beg_Bal-'DLL Schedule'!Princ,0),"")</f>
        <v/>
      </c>
      <c r="J258" s="525">
        <f>SUM($H$18:$H258)</f>
        <v>257912.99524975716</v>
      </c>
      <c r="K258" s="499"/>
    </row>
    <row r="259" spans="1:11" ht="12.75" customHeight="1">
      <c r="A259" s="523" t="str">
        <f>IF(AND('DLL Schedule'!Values_Entered=1,A258&lt;&gt;"",I258&gt;0),A258+1,"")</f>
        <v/>
      </c>
      <c r="B259" s="524" t="str">
        <f>IF('DLL Schedule'!Pay_Num&lt;&gt;"",DATE(YEAR('DLL Schedule'!Loan_Start),MONTH('DLL Schedule'!Loan_Start)+('DLL Schedule'!Pay_Num)*12/'DLL Schedule'!Num_Pmt_Per_Year,DAY('DLL Schedule'!Loan_Start)),"")</f>
        <v/>
      </c>
      <c r="C259" s="525" t="str">
        <f>IF('DLL Schedule'!Pay_Num&lt;&gt;"",I258,"")</f>
        <v/>
      </c>
      <c r="D259" s="525" t="str">
        <f>IF('DLL Schedule'!Pay_Num&lt;&gt;"",'DLL Schedule'!Scheduled_Monthly_Payment,"")</f>
        <v/>
      </c>
      <c r="E2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9" s="525" t="str">
        <f>IF('DLL Schedule'!Pay_Num&lt;&gt;"",IF('DLL Schedule'!Sched_Pay+'DLL Schedule'!Extra_Pay&lt;'DLL Schedule'!Beg_Bal,'DLL Schedule'!Sched_Pay+'DLL Schedule'!Extra_Pay,'DLL Schedule'!Beg_Bal),"")</f>
        <v/>
      </c>
      <c r="G259" s="525" t="str">
        <f>IF('DLL Schedule'!Pay_Num&lt;&gt;"",'DLL Schedule'!Total_Pay-'DLL Schedule'!Int,"")</f>
        <v/>
      </c>
      <c r="H259" s="525" t="str">
        <f>IF('DLL Schedule'!Pay_Num&lt;&gt;"",'DLL Schedule'!Beg_Bal*'DLL Schedule'!Interest_Rate/'DLL Schedule'!Num_Pmt_Per_Year,"")</f>
        <v/>
      </c>
      <c r="I259" s="525" t="str">
        <f>IF('DLL Schedule'!Pay_Num&lt;&gt;"",IF('DLL Schedule'!Sched_Pay+'DLL Schedule'!Extra_Pay&lt;'DLL Schedule'!Beg_Bal,'DLL Schedule'!Beg_Bal-'DLL Schedule'!Princ,0),"")</f>
        <v/>
      </c>
      <c r="J259" s="525">
        <f>SUM($H$18:$H259)</f>
        <v>257912.99524975716</v>
      </c>
      <c r="K259" s="499"/>
    </row>
    <row r="260" spans="1:11" ht="12.75" customHeight="1">
      <c r="A260" s="523" t="str">
        <f>IF(AND('DLL Schedule'!Values_Entered=1,A259&lt;&gt;"",I259&gt;0),A259+1,"")</f>
        <v/>
      </c>
      <c r="B260" s="524" t="str">
        <f>IF('DLL Schedule'!Pay_Num&lt;&gt;"",DATE(YEAR('DLL Schedule'!Loan_Start),MONTH('DLL Schedule'!Loan_Start)+('DLL Schedule'!Pay_Num)*12/'DLL Schedule'!Num_Pmt_Per_Year,DAY('DLL Schedule'!Loan_Start)),"")</f>
        <v/>
      </c>
      <c r="C260" s="525" t="str">
        <f>IF('DLL Schedule'!Pay_Num&lt;&gt;"",I259,"")</f>
        <v/>
      </c>
      <c r="D260" s="525" t="str">
        <f>IF('DLL Schedule'!Pay_Num&lt;&gt;"",'DLL Schedule'!Scheduled_Monthly_Payment,"")</f>
        <v/>
      </c>
      <c r="E2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0" s="525" t="str">
        <f>IF('DLL Schedule'!Pay_Num&lt;&gt;"",IF('DLL Schedule'!Sched_Pay+'DLL Schedule'!Extra_Pay&lt;'DLL Schedule'!Beg_Bal,'DLL Schedule'!Sched_Pay+'DLL Schedule'!Extra_Pay,'DLL Schedule'!Beg_Bal),"")</f>
        <v/>
      </c>
      <c r="G260" s="525" t="str">
        <f>IF('DLL Schedule'!Pay_Num&lt;&gt;"",'DLL Schedule'!Total_Pay-'DLL Schedule'!Int,"")</f>
        <v/>
      </c>
      <c r="H260" s="525" t="str">
        <f>IF('DLL Schedule'!Pay_Num&lt;&gt;"",'DLL Schedule'!Beg_Bal*'DLL Schedule'!Interest_Rate/'DLL Schedule'!Num_Pmt_Per_Year,"")</f>
        <v/>
      </c>
      <c r="I260" s="525" t="str">
        <f>IF('DLL Schedule'!Pay_Num&lt;&gt;"",IF('DLL Schedule'!Sched_Pay+'DLL Schedule'!Extra_Pay&lt;'DLL Schedule'!Beg_Bal,'DLL Schedule'!Beg_Bal-'DLL Schedule'!Princ,0),"")</f>
        <v/>
      </c>
      <c r="J260" s="525">
        <f>SUM($H$18:$H260)</f>
        <v>257912.99524975716</v>
      </c>
      <c r="K260" s="499"/>
    </row>
    <row r="261" spans="1:11" ht="12.75" customHeight="1">
      <c r="A261" s="523" t="str">
        <f>IF(AND('DLL Schedule'!Values_Entered=1,A260&lt;&gt;"",I260&gt;0),A260+1,"")</f>
        <v/>
      </c>
      <c r="B261" s="524" t="str">
        <f>IF('DLL Schedule'!Pay_Num&lt;&gt;"",DATE(YEAR('DLL Schedule'!Loan_Start),MONTH('DLL Schedule'!Loan_Start)+('DLL Schedule'!Pay_Num)*12/'DLL Schedule'!Num_Pmt_Per_Year,DAY('DLL Schedule'!Loan_Start)),"")</f>
        <v/>
      </c>
      <c r="C261" s="525" t="str">
        <f>IF('DLL Schedule'!Pay_Num&lt;&gt;"",I260,"")</f>
        <v/>
      </c>
      <c r="D261" s="525" t="str">
        <f>IF('DLL Schedule'!Pay_Num&lt;&gt;"",'DLL Schedule'!Scheduled_Monthly_Payment,"")</f>
        <v/>
      </c>
      <c r="E2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1" s="525" t="str">
        <f>IF('DLL Schedule'!Pay_Num&lt;&gt;"",IF('DLL Schedule'!Sched_Pay+'DLL Schedule'!Extra_Pay&lt;'DLL Schedule'!Beg_Bal,'DLL Schedule'!Sched_Pay+'DLL Schedule'!Extra_Pay,'DLL Schedule'!Beg_Bal),"")</f>
        <v/>
      </c>
      <c r="G261" s="525" t="str">
        <f>IF('DLL Schedule'!Pay_Num&lt;&gt;"",'DLL Schedule'!Total_Pay-'DLL Schedule'!Int,"")</f>
        <v/>
      </c>
      <c r="H261" s="525" t="str">
        <f>IF('DLL Schedule'!Pay_Num&lt;&gt;"",'DLL Schedule'!Beg_Bal*'DLL Schedule'!Interest_Rate/'DLL Schedule'!Num_Pmt_Per_Year,"")</f>
        <v/>
      </c>
      <c r="I261" s="525" t="str">
        <f>IF('DLL Schedule'!Pay_Num&lt;&gt;"",IF('DLL Schedule'!Sched_Pay+'DLL Schedule'!Extra_Pay&lt;'DLL Schedule'!Beg_Bal,'DLL Schedule'!Beg_Bal-'DLL Schedule'!Princ,0),"")</f>
        <v/>
      </c>
      <c r="J261" s="525">
        <f>SUM($H$18:$H261)</f>
        <v>257912.99524975716</v>
      </c>
      <c r="K261" s="499"/>
    </row>
    <row r="262" spans="1:11" ht="12.75" customHeight="1">
      <c r="A262" s="523" t="str">
        <f>IF(AND('DLL Schedule'!Values_Entered=1,A261&lt;&gt;"",I261&gt;0),A261+1,"")</f>
        <v/>
      </c>
      <c r="B262" s="524" t="str">
        <f>IF('DLL Schedule'!Pay_Num&lt;&gt;"",DATE(YEAR('DLL Schedule'!Loan_Start),MONTH('DLL Schedule'!Loan_Start)+('DLL Schedule'!Pay_Num)*12/'DLL Schedule'!Num_Pmt_Per_Year,DAY('DLL Schedule'!Loan_Start)),"")</f>
        <v/>
      </c>
      <c r="C262" s="525" t="str">
        <f>IF('DLL Schedule'!Pay_Num&lt;&gt;"",I261,"")</f>
        <v/>
      </c>
      <c r="D262" s="525" t="str">
        <f>IF('DLL Schedule'!Pay_Num&lt;&gt;"",'DLL Schedule'!Scheduled_Monthly_Payment,"")</f>
        <v/>
      </c>
      <c r="E2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2" s="525" t="str">
        <f>IF('DLL Schedule'!Pay_Num&lt;&gt;"",IF('DLL Schedule'!Sched_Pay+'DLL Schedule'!Extra_Pay&lt;'DLL Schedule'!Beg_Bal,'DLL Schedule'!Sched_Pay+'DLL Schedule'!Extra_Pay,'DLL Schedule'!Beg_Bal),"")</f>
        <v/>
      </c>
      <c r="G262" s="525" t="str">
        <f>IF('DLL Schedule'!Pay_Num&lt;&gt;"",'DLL Schedule'!Total_Pay-'DLL Schedule'!Int,"")</f>
        <v/>
      </c>
      <c r="H262" s="525" t="str">
        <f>IF('DLL Schedule'!Pay_Num&lt;&gt;"",'DLL Schedule'!Beg_Bal*'DLL Schedule'!Interest_Rate/'DLL Schedule'!Num_Pmt_Per_Year,"")</f>
        <v/>
      </c>
      <c r="I262" s="525" t="str">
        <f>IF('DLL Schedule'!Pay_Num&lt;&gt;"",IF('DLL Schedule'!Sched_Pay+'DLL Schedule'!Extra_Pay&lt;'DLL Schedule'!Beg_Bal,'DLL Schedule'!Beg_Bal-'DLL Schedule'!Princ,0),"")</f>
        <v/>
      </c>
      <c r="J262" s="525">
        <f>SUM($H$18:$H262)</f>
        <v>257912.99524975716</v>
      </c>
      <c r="K262" s="499"/>
    </row>
    <row r="263" spans="1:11" ht="12.75" customHeight="1">
      <c r="A263" s="523" t="str">
        <f>IF(AND('DLL Schedule'!Values_Entered=1,A262&lt;&gt;"",I262&gt;0),A262+1,"")</f>
        <v/>
      </c>
      <c r="B263" s="524" t="str">
        <f>IF('DLL Schedule'!Pay_Num&lt;&gt;"",DATE(YEAR('DLL Schedule'!Loan_Start),MONTH('DLL Schedule'!Loan_Start)+('DLL Schedule'!Pay_Num)*12/'DLL Schedule'!Num_Pmt_Per_Year,DAY('DLL Schedule'!Loan_Start)),"")</f>
        <v/>
      </c>
      <c r="C263" s="525" t="str">
        <f>IF('DLL Schedule'!Pay_Num&lt;&gt;"",I262,"")</f>
        <v/>
      </c>
      <c r="D263" s="525" t="str">
        <f>IF('DLL Schedule'!Pay_Num&lt;&gt;"",'DLL Schedule'!Scheduled_Monthly_Payment,"")</f>
        <v/>
      </c>
      <c r="E2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3" s="525" t="str">
        <f>IF('DLL Schedule'!Pay_Num&lt;&gt;"",IF('DLL Schedule'!Sched_Pay+'DLL Schedule'!Extra_Pay&lt;'DLL Schedule'!Beg_Bal,'DLL Schedule'!Sched_Pay+'DLL Schedule'!Extra_Pay,'DLL Schedule'!Beg_Bal),"")</f>
        <v/>
      </c>
      <c r="G263" s="525" t="str">
        <f>IF('DLL Schedule'!Pay_Num&lt;&gt;"",'DLL Schedule'!Total_Pay-'DLL Schedule'!Int,"")</f>
        <v/>
      </c>
      <c r="H263" s="525" t="str">
        <f>IF('DLL Schedule'!Pay_Num&lt;&gt;"",'DLL Schedule'!Beg_Bal*'DLL Schedule'!Interest_Rate/'DLL Schedule'!Num_Pmt_Per_Year,"")</f>
        <v/>
      </c>
      <c r="I263" s="525" t="str">
        <f>IF('DLL Schedule'!Pay_Num&lt;&gt;"",IF('DLL Schedule'!Sched_Pay+'DLL Schedule'!Extra_Pay&lt;'DLL Schedule'!Beg_Bal,'DLL Schedule'!Beg_Bal-'DLL Schedule'!Princ,0),"")</f>
        <v/>
      </c>
      <c r="J263" s="525">
        <f>SUM($H$18:$H263)</f>
        <v>257912.99524975716</v>
      </c>
      <c r="K263" s="499"/>
    </row>
    <row r="264" spans="1:11" ht="12.75" customHeight="1">
      <c r="A264" s="523" t="str">
        <f>IF(AND('DLL Schedule'!Values_Entered=1,A263&lt;&gt;"",I263&gt;0),A263+1,"")</f>
        <v/>
      </c>
      <c r="B264" s="524" t="str">
        <f>IF('DLL Schedule'!Pay_Num&lt;&gt;"",DATE(YEAR('DLL Schedule'!Loan_Start),MONTH('DLL Schedule'!Loan_Start)+('DLL Schedule'!Pay_Num)*12/'DLL Schedule'!Num_Pmt_Per_Year,DAY('DLL Schedule'!Loan_Start)),"")</f>
        <v/>
      </c>
      <c r="C264" s="525" t="str">
        <f>IF('DLL Schedule'!Pay_Num&lt;&gt;"",I263,"")</f>
        <v/>
      </c>
      <c r="D264" s="525" t="str">
        <f>IF('DLL Schedule'!Pay_Num&lt;&gt;"",'DLL Schedule'!Scheduled_Monthly_Payment,"")</f>
        <v/>
      </c>
      <c r="E2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4" s="525" t="str">
        <f>IF('DLL Schedule'!Pay_Num&lt;&gt;"",IF('DLL Schedule'!Sched_Pay+'DLL Schedule'!Extra_Pay&lt;'DLL Schedule'!Beg_Bal,'DLL Schedule'!Sched_Pay+'DLL Schedule'!Extra_Pay,'DLL Schedule'!Beg_Bal),"")</f>
        <v/>
      </c>
      <c r="G264" s="525" t="str">
        <f>IF('DLL Schedule'!Pay_Num&lt;&gt;"",'DLL Schedule'!Total_Pay-'DLL Schedule'!Int,"")</f>
        <v/>
      </c>
      <c r="H264" s="525" t="str">
        <f>IF('DLL Schedule'!Pay_Num&lt;&gt;"",'DLL Schedule'!Beg_Bal*'DLL Schedule'!Interest_Rate/'DLL Schedule'!Num_Pmt_Per_Year,"")</f>
        <v/>
      </c>
      <c r="I264" s="525" t="str">
        <f>IF('DLL Schedule'!Pay_Num&lt;&gt;"",IF('DLL Schedule'!Sched_Pay+'DLL Schedule'!Extra_Pay&lt;'DLL Schedule'!Beg_Bal,'DLL Schedule'!Beg_Bal-'DLL Schedule'!Princ,0),"")</f>
        <v/>
      </c>
      <c r="J264" s="525">
        <f>SUM($H$18:$H264)</f>
        <v>257912.99524975716</v>
      </c>
      <c r="K264" s="499"/>
    </row>
    <row r="265" spans="1:11" ht="12.75" customHeight="1">
      <c r="A265" s="523" t="str">
        <f>IF(AND('DLL Schedule'!Values_Entered=1,A264&lt;&gt;"",I264&gt;0),A264+1,"")</f>
        <v/>
      </c>
      <c r="B265" s="524" t="str">
        <f>IF('DLL Schedule'!Pay_Num&lt;&gt;"",DATE(YEAR('DLL Schedule'!Loan_Start),MONTH('DLL Schedule'!Loan_Start)+('DLL Schedule'!Pay_Num)*12/'DLL Schedule'!Num_Pmt_Per_Year,DAY('DLL Schedule'!Loan_Start)),"")</f>
        <v/>
      </c>
      <c r="C265" s="525" t="str">
        <f>IF('DLL Schedule'!Pay_Num&lt;&gt;"",I264,"")</f>
        <v/>
      </c>
      <c r="D265" s="525" t="str">
        <f>IF('DLL Schedule'!Pay_Num&lt;&gt;"",'DLL Schedule'!Scheduled_Monthly_Payment,"")</f>
        <v/>
      </c>
      <c r="E2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5" s="525" t="str">
        <f>IF('DLL Schedule'!Pay_Num&lt;&gt;"",IF('DLL Schedule'!Sched_Pay+'DLL Schedule'!Extra_Pay&lt;'DLL Schedule'!Beg_Bal,'DLL Schedule'!Sched_Pay+'DLL Schedule'!Extra_Pay,'DLL Schedule'!Beg_Bal),"")</f>
        <v/>
      </c>
      <c r="G265" s="525" t="str">
        <f>IF('DLL Schedule'!Pay_Num&lt;&gt;"",'DLL Schedule'!Total_Pay-'DLL Schedule'!Int,"")</f>
        <v/>
      </c>
      <c r="H265" s="525" t="str">
        <f>IF('DLL Schedule'!Pay_Num&lt;&gt;"",'DLL Schedule'!Beg_Bal*'DLL Schedule'!Interest_Rate/'DLL Schedule'!Num_Pmt_Per_Year,"")</f>
        <v/>
      </c>
      <c r="I265" s="525" t="str">
        <f>IF('DLL Schedule'!Pay_Num&lt;&gt;"",IF('DLL Schedule'!Sched_Pay+'DLL Schedule'!Extra_Pay&lt;'DLL Schedule'!Beg_Bal,'DLL Schedule'!Beg_Bal-'DLL Schedule'!Princ,0),"")</f>
        <v/>
      </c>
      <c r="J265" s="525">
        <f>SUM($H$18:$H265)</f>
        <v>257912.99524975716</v>
      </c>
      <c r="K265" s="499"/>
    </row>
    <row r="266" spans="1:11" ht="12.75" customHeight="1">
      <c r="A266" s="523" t="str">
        <f>IF(AND('DLL Schedule'!Values_Entered=1,A265&lt;&gt;"",I265&gt;0),A265+1,"")</f>
        <v/>
      </c>
      <c r="B266" s="524" t="str">
        <f>IF('DLL Schedule'!Pay_Num&lt;&gt;"",DATE(YEAR('DLL Schedule'!Loan_Start),MONTH('DLL Schedule'!Loan_Start)+('DLL Schedule'!Pay_Num)*12/'DLL Schedule'!Num_Pmt_Per_Year,DAY('DLL Schedule'!Loan_Start)),"")</f>
        <v/>
      </c>
      <c r="C266" s="525" t="str">
        <f>IF('DLL Schedule'!Pay_Num&lt;&gt;"",I265,"")</f>
        <v/>
      </c>
      <c r="D266" s="525" t="str">
        <f>IF('DLL Schedule'!Pay_Num&lt;&gt;"",'DLL Schedule'!Scheduled_Monthly_Payment,"")</f>
        <v/>
      </c>
      <c r="E2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6" s="525" t="str">
        <f>IF('DLL Schedule'!Pay_Num&lt;&gt;"",IF('DLL Schedule'!Sched_Pay+'DLL Schedule'!Extra_Pay&lt;'DLL Schedule'!Beg_Bal,'DLL Schedule'!Sched_Pay+'DLL Schedule'!Extra_Pay,'DLL Schedule'!Beg_Bal),"")</f>
        <v/>
      </c>
      <c r="G266" s="525" t="str">
        <f>IF('DLL Schedule'!Pay_Num&lt;&gt;"",'DLL Schedule'!Total_Pay-'DLL Schedule'!Int,"")</f>
        <v/>
      </c>
      <c r="H266" s="525" t="str">
        <f>IF('DLL Schedule'!Pay_Num&lt;&gt;"",'DLL Schedule'!Beg_Bal*'DLL Schedule'!Interest_Rate/'DLL Schedule'!Num_Pmt_Per_Year,"")</f>
        <v/>
      </c>
      <c r="I266" s="525" t="str">
        <f>IF('DLL Schedule'!Pay_Num&lt;&gt;"",IF('DLL Schedule'!Sched_Pay+'DLL Schedule'!Extra_Pay&lt;'DLL Schedule'!Beg_Bal,'DLL Schedule'!Beg_Bal-'DLL Schedule'!Princ,0),"")</f>
        <v/>
      </c>
      <c r="J266" s="525">
        <f>SUM($H$18:$H266)</f>
        <v>257912.99524975716</v>
      </c>
      <c r="K266" s="499"/>
    </row>
    <row r="267" spans="1:11" ht="12.75" customHeight="1">
      <c r="A267" s="523" t="str">
        <f>IF(AND('DLL Schedule'!Values_Entered=1,A266&lt;&gt;"",I266&gt;0),A266+1,"")</f>
        <v/>
      </c>
      <c r="B267" s="524" t="str">
        <f>IF('DLL Schedule'!Pay_Num&lt;&gt;"",DATE(YEAR('DLL Schedule'!Loan_Start),MONTH('DLL Schedule'!Loan_Start)+('DLL Schedule'!Pay_Num)*12/'DLL Schedule'!Num_Pmt_Per_Year,DAY('DLL Schedule'!Loan_Start)),"")</f>
        <v/>
      </c>
      <c r="C267" s="525" t="str">
        <f>IF('DLL Schedule'!Pay_Num&lt;&gt;"",I266,"")</f>
        <v/>
      </c>
      <c r="D267" s="525" t="str">
        <f>IF('DLL Schedule'!Pay_Num&lt;&gt;"",'DLL Schedule'!Scheduled_Monthly_Payment,"")</f>
        <v/>
      </c>
      <c r="E2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7" s="525" t="str">
        <f>IF('DLL Schedule'!Pay_Num&lt;&gt;"",IF('DLL Schedule'!Sched_Pay+'DLL Schedule'!Extra_Pay&lt;'DLL Schedule'!Beg_Bal,'DLL Schedule'!Sched_Pay+'DLL Schedule'!Extra_Pay,'DLL Schedule'!Beg_Bal),"")</f>
        <v/>
      </c>
      <c r="G267" s="525" t="str">
        <f>IF('DLL Schedule'!Pay_Num&lt;&gt;"",'DLL Schedule'!Total_Pay-'DLL Schedule'!Int,"")</f>
        <v/>
      </c>
      <c r="H267" s="525" t="str">
        <f>IF('DLL Schedule'!Pay_Num&lt;&gt;"",'DLL Schedule'!Beg_Bal*'DLL Schedule'!Interest_Rate/'DLL Schedule'!Num_Pmt_Per_Year,"")</f>
        <v/>
      </c>
      <c r="I267" s="525" t="str">
        <f>IF('DLL Schedule'!Pay_Num&lt;&gt;"",IF('DLL Schedule'!Sched_Pay+'DLL Schedule'!Extra_Pay&lt;'DLL Schedule'!Beg_Bal,'DLL Schedule'!Beg_Bal-'DLL Schedule'!Princ,0),"")</f>
        <v/>
      </c>
      <c r="J267" s="525">
        <f>SUM($H$18:$H267)</f>
        <v>257912.99524975716</v>
      </c>
      <c r="K267" s="499"/>
    </row>
    <row r="268" spans="1:11" ht="12.75" customHeight="1">
      <c r="A268" s="523" t="str">
        <f>IF(AND('DLL Schedule'!Values_Entered=1,A267&lt;&gt;"",I267&gt;0),A267+1,"")</f>
        <v/>
      </c>
      <c r="B268" s="524" t="str">
        <f>IF('DLL Schedule'!Pay_Num&lt;&gt;"",DATE(YEAR('DLL Schedule'!Loan_Start),MONTH('DLL Schedule'!Loan_Start)+('DLL Schedule'!Pay_Num)*12/'DLL Schedule'!Num_Pmt_Per_Year,DAY('DLL Schedule'!Loan_Start)),"")</f>
        <v/>
      </c>
      <c r="C268" s="525" t="str">
        <f>IF('DLL Schedule'!Pay_Num&lt;&gt;"",I267,"")</f>
        <v/>
      </c>
      <c r="D268" s="525" t="str">
        <f>IF('DLL Schedule'!Pay_Num&lt;&gt;"",'DLL Schedule'!Scheduled_Monthly_Payment,"")</f>
        <v/>
      </c>
      <c r="E2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8" s="525" t="str">
        <f>IF('DLL Schedule'!Pay_Num&lt;&gt;"",IF('DLL Schedule'!Sched_Pay+'DLL Schedule'!Extra_Pay&lt;'DLL Schedule'!Beg_Bal,'DLL Schedule'!Sched_Pay+'DLL Schedule'!Extra_Pay,'DLL Schedule'!Beg_Bal),"")</f>
        <v/>
      </c>
      <c r="G268" s="525" t="str">
        <f>IF('DLL Schedule'!Pay_Num&lt;&gt;"",'DLL Schedule'!Total_Pay-'DLL Schedule'!Int,"")</f>
        <v/>
      </c>
      <c r="H268" s="525" t="str">
        <f>IF('DLL Schedule'!Pay_Num&lt;&gt;"",'DLL Schedule'!Beg_Bal*'DLL Schedule'!Interest_Rate/'DLL Schedule'!Num_Pmt_Per_Year,"")</f>
        <v/>
      </c>
      <c r="I268" s="525" t="str">
        <f>IF('DLL Schedule'!Pay_Num&lt;&gt;"",IF('DLL Schedule'!Sched_Pay+'DLL Schedule'!Extra_Pay&lt;'DLL Schedule'!Beg_Bal,'DLL Schedule'!Beg_Bal-'DLL Schedule'!Princ,0),"")</f>
        <v/>
      </c>
      <c r="J268" s="525">
        <f>SUM($H$18:$H268)</f>
        <v>257912.99524975716</v>
      </c>
      <c r="K268" s="499"/>
    </row>
    <row r="269" spans="1:11" ht="12.75" customHeight="1">
      <c r="A269" s="523" t="str">
        <f>IF(AND('DLL Schedule'!Values_Entered=1,A268&lt;&gt;"",I268&gt;0),A268+1,"")</f>
        <v/>
      </c>
      <c r="B269" s="524" t="str">
        <f>IF('DLL Schedule'!Pay_Num&lt;&gt;"",DATE(YEAR('DLL Schedule'!Loan_Start),MONTH('DLL Schedule'!Loan_Start)+('DLL Schedule'!Pay_Num)*12/'DLL Schedule'!Num_Pmt_Per_Year,DAY('DLL Schedule'!Loan_Start)),"")</f>
        <v/>
      </c>
      <c r="C269" s="525" t="str">
        <f>IF('DLL Schedule'!Pay_Num&lt;&gt;"",I268,"")</f>
        <v/>
      </c>
      <c r="D269" s="525" t="str">
        <f>IF('DLL Schedule'!Pay_Num&lt;&gt;"",'DLL Schedule'!Scheduled_Monthly_Payment,"")</f>
        <v/>
      </c>
      <c r="E2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9" s="525" t="str">
        <f>IF('DLL Schedule'!Pay_Num&lt;&gt;"",IF('DLL Schedule'!Sched_Pay+'DLL Schedule'!Extra_Pay&lt;'DLL Schedule'!Beg_Bal,'DLL Schedule'!Sched_Pay+'DLL Schedule'!Extra_Pay,'DLL Schedule'!Beg_Bal),"")</f>
        <v/>
      </c>
      <c r="G269" s="525" t="str">
        <f>IF('DLL Schedule'!Pay_Num&lt;&gt;"",'DLL Schedule'!Total_Pay-'DLL Schedule'!Int,"")</f>
        <v/>
      </c>
      <c r="H269" s="525" t="str">
        <f>IF('DLL Schedule'!Pay_Num&lt;&gt;"",'DLL Schedule'!Beg_Bal*'DLL Schedule'!Interest_Rate/'DLL Schedule'!Num_Pmt_Per_Year,"")</f>
        <v/>
      </c>
      <c r="I269" s="525" t="str">
        <f>IF('DLL Schedule'!Pay_Num&lt;&gt;"",IF('DLL Schedule'!Sched_Pay+'DLL Schedule'!Extra_Pay&lt;'DLL Schedule'!Beg_Bal,'DLL Schedule'!Beg_Bal-'DLL Schedule'!Princ,0),"")</f>
        <v/>
      </c>
      <c r="J269" s="525">
        <f>SUM($H$18:$H269)</f>
        <v>257912.99524975716</v>
      </c>
      <c r="K269" s="499"/>
    </row>
    <row r="270" spans="1:11" ht="12.75" customHeight="1">
      <c r="A270" s="523" t="str">
        <f>IF(AND('DLL Schedule'!Values_Entered=1,A269&lt;&gt;"",I269&gt;0),A269+1,"")</f>
        <v/>
      </c>
      <c r="B270" s="524" t="str">
        <f>IF('DLL Schedule'!Pay_Num&lt;&gt;"",DATE(YEAR('DLL Schedule'!Loan_Start),MONTH('DLL Schedule'!Loan_Start)+('DLL Schedule'!Pay_Num)*12/'DLL Schedule'!Num_Pmt_Per_Year,DAY('DLL Schedule'!Loan_Start)),"")</f>
        <v/>
      </c>
      <c r="C270" s="525" t="str">
        <f>IF('DLL Schedule'!Pay_Num&lt;&gt;"",I269,"")</f>
        <v/>
      </c>
      <c r="D270" s="525" t="str">
        <f>IF('DLL Schedule'!Pay_Num&lt;&gt;"",'DLL Schedule'!Scheduled_Monthly_Payment,"")</f>
        <v/>
      </c>
      <c r="E2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0" s="525" t="str">
        <f>IF('DLL Schedule'!Pay_Num&lt;&gt;"",IF('DLL Schedule'!Sched_Pay+'DLL Schedule'!Extra_Pay&lt;'DLL Schedule'!Beg_Bal,'DLL Schedule'!Sched_Pay+'DLL Schedule'!Extra_Pay,'DLL Schedule'!Beg_Bal),"")</f>
        <v/>
      </c>
      <c r="G270" s="525" t="str">
        <f>IF('DLL Schedule'!Pay_Num&lt;&gt;"",'DLL Schedule'!Total_Pay-'DLL Schedule'!Int,"")</f>
        <v/>
      </c>
      <c r="H270" s="525" t="str">
        <f>IF('DLL Schedule'!Pay_Num&lt;&gt;"",'DLL Schedule'!Beg_Bal*'DLL Schedule'!Interest_Rate/'DLL Schedule'!Num_Pmt_Per_Year,"")</f>
        <v/>
      </c>
      <c r="I270" s="525" t="str">
        <f>IF('DLL Schedule'!Pay_Num&lt;&gt;"",IF('DLL Schedule'!Sched_Pay+'DLL Schedule'!Extra_Pay&lt;'DLL Schedule'!Beg_Bal,'DLL Schedule'!Beg_Bal-'DLL Schedule'!Princ,0),"")</f>
        <v/>
      </c>
      <c r="J270" s="525">
        <f>SUM($H$18:$H270)</f>
        <v>257912.99524975716</v>
      </c>
      <c r="K270" s="499"/>
    </row>
    <row r="271" spans="1:11" ht="12.75" customHeight="1">
      <c r="A271" s="523" t="str">
        <f>IF(AND('DLL Schedule'!Values_Entered=1,A270&lt;&gt;"",I270&gt;0),A270+1,"")</f>
        <v/>
      </c>
      <c r="B271" s="524" t="str">
        <f>IF('DLL Schedule'!Pay_Num&lt;&gt;"",DATE(YEAR('DLL Schedule'!Loan_Start),MONTH('DLL Schedule'!Loan_Start)+('DLL Schedule'!Pay_Num)*12/'DLL Schedule'!Num_Pmt_Per_Year,DAY('DLL Schedule'!Loan_Start)),"")</f>
        <v/>
      </c>
      <c r="C271" s="525" t="str">
        <f>IF('DLL Schedule'!Pay_Num&lt;&gt;"",I270,"")</f>
        <v/>
      </c>
      <c r="D271" s="525" t="str">
        <f>IF('DLL Schedule'!Pay_Num&lt;&gt;"",'DLL Schedule'!Scheduled_Monthly_Payment,"")</f>
        <v/>
      </c>
      <c r="E2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1" s="525" t="str">
        <f>IF('DLL Schedule'!Pay_Num&lt;&gt;"",IF('DLL Schedule'!Sched_Pay+'DLL Schedule'!Extra_Pay&lt;'DLL Schedule'!Beg_Bal,'DLL Schedule'!Sched_Pay+'DLL Schedule'!Extra_Pay,'DLL Schedule'!Beg_Bal),"")</f>
        <v/>
      </c>
      <c r="G271" s="525" t="str">
        <f>IF('DLL Schedule'!Pay_Num&lt;&gt;"",'DLL Schedule'!Total_Pay-'DLL Schedule'!Int,"")</f>
        <v/>
      </c>
      <c r="H271" s="525" t="str">
        <f>IF('DLL Schedule'!Pay_Num&lt;&gt;"",'DLL Schedule'!Beg_Bal*'DLL Schedule'!Interest_Rate/'DLL Schedule'!Num_Pmt_Per_Year,"")</f>
        <v/>
      </c>
      <c r="I271" s="525" t="str">
        <f>IF('DLL Schedule'!Pay_Num&lt;&gt;"",IF('DLL Schedule'!Sched_Pay+'DLL Schedule'!Extra_Pay&lt;'DLL Schedule'!Beg_Bal,'DLL Schedule'!Beg_Bal-'DLL Schedule'!Princ,0),"")</f>
        <v/>
      </c>
      <c r="J271" s="525">
        <f>SUM($H$18:$H271)</f>
        <v>257912.99524975716</v>
      </c>
      <c r="K271" s="499"/>
    </row>
    <row r="272" spans="1:11" ht="12.75" customHeight="1">
      <c r="A272" s="523" t="str">
        <f>IF(AND('DLL Schedule'!Values_Entered=1,A271&lt;&gt;"",I271&gt;0),A271+1,"")</f>
        <v/>
      </c>
      <c r="B272" s="524" t="str">
        <f>IF('DLL Schedule'!Pay_Num&lt;&gt;"",DATE(YEAR('DLL Schedule'!Loan_Start),MONTH('DLL Schedule'!Loan_Start)+('DLL Schedule'!Pay_Num)*12/'DLL Schedule'!Num_Pmt_Per_Year,DAY('DLL Schedule'!Loan_Start)),"")</f>
        <v/>
      </c>
      <c r="C272" s="525" t="str">
        <f>IF('DLL Schedule'!Pay_Num&lt;&gt;"",I271,"")</f>
        <v/>
      </c>
      <c r="D272" s="525" t="str">
        <f>IF('DLL Schedule'!Pay_Num&lt;&gt;"",'DLL Schedule'!Scheduled_Monthly_Payment,"")</f>
        <v/>
      </c>
      <c r="E2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2" s="525" t="str">
        <f>IF('DLL Schedule'!Pay_Num&lt;&gt;"",IF('DLL Schedule'!Sched_Pay+'DLL Schedule'!Extra_Pay&lt;'DLL Schedule'!Beg_Bal,'DLL Schedule'!Sched_Pay+'DLL Schedule'!Extra_Pay,'DLL Schedule'!Beg_Bal),"")</f>
        <v/>
      </c>
      <c r="G272" s="525" t="str">
        <f>IF('DLL Schedule'!Pay_Num&lt;&gt;"",'DLL Schedule'!Total_Pay-'DLL Schedule'!Int,"")</f>
        <v/>
      </c>
      <c r="H272" s="525" t="str">
        <f>IF('DLL Schedule'!Pay_Num&lt;&gt;"",'DLL Schedule'!Beg_Bal*'DLL Schedule'!Interest_Rate/'DLL Schedule'!Num_Pmt_Per_Year,"")</f>
        <v/>
      </c>
      <c r="I272" s="525" t="str">
        <f>IF('DLL Schedule'!Pay_Num&lt;&gt;"",IF('DLL Schedule'!Sched_Pay+'DLL Schedule'!Extra_Pay&lt;'DLL Schedule'!Beg_Bal,'DLL Schedule'!Beg_Bal-'DLL Schedule'!Princ,0),"")</f>
        <v/>
      </c>
      <c r="J272" s="525">
        <f>SUM($H$18:$H272)</f>
        <v>257912.99524975716</v>
      </c>
      <c r="K272" s="499"/>
    </row>
    <row r="273" spans="1:11" ht="12.75" customHeight="1">
      <c r="A273" s="523" t="str">
        <f>IF(AND('DLL Schedule'!Values_Entered=1,A272&lt;&gt;"",I272&gt;0),A272+1,"")</f>
        <v/>
      </c>
      <c r="B273" s="524" t="str">
        <f>IF('DLL Schedule'!Pay_Num&lt;&gt;"",DATE(YEAR('DLL Schedule'!Loan_Start),MONTH('DLL Schedule'!Loan_Start)+('DLL Schedule'!Pay_Num)*12/'DLL Schedule'!Num_Pmt_Per_Year,DAY('DLL Schedule'!Loan_Start)),"")</f>
        <v/>
      </c>
      <c r="C273" s="525" t="str">
        <f>IF('DLL Schedule'!Pay_Num&lt;&gt;"",I272,"")</f>
        <v/>
      </c>
      <c r="D273" s="525" t="str">
        <f>IF('DLL Schedule'!Pay_Num&lt;&gt;"",'DLL Schedule'!Scheduled_Monthly_Payment,"")</f>
        <v/>
      </c>
      <c r="E2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3" s="525" t="str">
        <f>IF('DLL Schedule'!Pay_Num&lt;&gt;"",IF('DLL Schedule'!Sched_Pay+'DLL Schedule'!Extra_Pay&lt;'DLL Schedule'!Beg_Bal,'DLL Schedule'!Sched_Pay+'DLL Schedule'!Extra_Pay,'DLL Schedule'!Beg_Bal),"")</f>
        <v/>
      </c>
      <c r="G273" s="525" t="str">
        <f>IF('DLL Schedule'!Pay_Num&lt;&gt;"",'DLL Schedule'!Total_Pay-'DLL Schedule'!Int,"")</f>
        <v/>
      </c>
      <c r="H273" s="525" t="str">
        <f>IF('DLL Schedule'!Pay_Num&lt;&gt;"",'DLL Schedule'!Beg_Bal*'DLL Schedule'!Interest_Rate/'DLL Schedule'!Num_Pmt_Per_Year,"")</f>
        <v/>
      </c>
      <c r="I273" s="525" t="str">
        <f>IF('DLL Schedule'!Pay_Num&lt;&gt;"",IF('DLL Schedule'!Sched_Pay+'DLL Schedule'!Extra_Pay&lt;'DLL Schedule'!Beg_Bal,'DLL Schedule'!Beg_Bal-'DLL Schedule'!Princ,0),"")</f>
        <v/>
      </c>
      <c r="J273" s="525">
        <f>SUM($H$18:$H273)</f>
        <v>257912.99524975716</v>
      </c>
      <c r="K273" s="499"/>
    </row>
    <row r="274" spans="1:11" ht="12.75" customHeight="1">
      <c r="A274" s="523" t="str">
        <f>IF(AND('DLL Schedule'!Values_Entered=1,A273&lt;&gt;"",I273&gt;0),A273+1,"")</f>
        <v/>
      </c>
      <c r="B274" s="524" t="str">
        <f>IF('DLL Schedule'!Pay_Num&lt;&gt;"",DATE(YEAR('DLL Schedule'!Loan_Start),MONTH('DLL Schedule'!Loan_Start)+('DLL Schedule'!Pay_Num)*12/'DLL Schedule'!Num_Pmt_Per_Year,DAY('DLL Schedule'!Loan_Start)),"")</f>
        <v/>
      </c>
      <c r="C274" s="525" t="str">
        <f>IF('DLL Schedule'!Pay_Num&lt;&gt;"",I273,"")</f>
        <v/>
      </c>
      <c r="D274" s="525" t="str">
        <f>IF('DLL Schedule'!Pay_Num&lt;&gt;"",'DLL Schedule'!Scheduled_Monthly_Payment,"")</f>
        <v/>
      </c>
      <c r="E2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4" s="525" t="str">
        <f>IF('DLL Schedule'!Pay_Num&lt;&gt;"",IF('DLL Schedule'!Sched_Pay+'DLL Schedule'!Extra_Pay&lt;'DLL Schedule'!Beg_Bal,'DLL Schedule'!Sched_Pay+'DLL Schedule'!Extra_Pay,'DLL Schedule'!Beg_Bal),"")</f>
        <v/>
      </c>
      <c r="G274" s="525" t="str">
        <f>IF('DLL Schedule'!Pay_Num&lt;&gt;"",'DLL Schedule'!Total_Pay-'DLL Schedule'!Int,"")</f>
        <v/>
      </c>
      <c r="H274" s="525" t="str">
        <f>IF('DLL Schedule'!Pay_Num&lt;&gt;"",'DLL Schedule'!Beg_Bal*'DLL Schedule'!Interest_Rate/'DLL Schedule'!Num_Pmt_Per_Year,"")</f>
        <v/>
      </c>
      <c r="I274" s="525" t="str">
        <f>IF('DLL Schedule'!Pay_Num&lt;&gt;"",IF('DLL Schedule'!Sched_Pay+'DLL Schedule'!Extra_Pay&lt;'DLL Schedule'!Beg_Bal,'DLL Schedule'!Beg_Bal-'DLL Schedule'!Princ,0),"")</f>
        <v/>
      </c>
      <c r="J274" s="525">
        <f>SUM($H$18:$H274)</f>
        <v>257912.99524975716</v>
      </c>
      <c r="K274" s="499"/>
    </row>
    <row r="275" spans="1:11" ht="12.75" customHeight="1">
      <c r="A275" s="523" t="str">
        <f>IF(AND('DLL Schedule'!Values_Entered=1,A274&lt;&gt;"",I274&gt;0),A274+1,"")</f>
        <v/>
      </c>
      <c r="B275" s="524" t="str">
        <f>IF('DLL Schedule'!Pay_Num&lt;&gt;"",DATE(YEAR('DLL Schedule'!Loan_Start),MONTH('DLL Schedule'!Loan_Start)+('DLL Schedule'!Pay_Num)*12/'DLL Schedule'!Num_Pmt_Per_Year,DAY('DLL Schedule'!Loan_Start)),"")</f>
        <v/>
      </c>
      <c r="C275" s="525" t="str">
        <f>IF('DLL Schedule'!Pay_Num&lt;&gt;"",I274,"")</f>
        <v/>
      </c>
      <c r="D275" s="525" t="str">
        <f>IF('DLL Schedule'!Pay_Num&lt;&gt;"",'DLL Schedule'!Scheduled_Monthly_Payment,"")</f>
        <v/>
      </c>
      <c r="E2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5" s="525" t="str">
        <f>IF('DLL Schedule'!Pay_Num&lt;&gt;"",IF('DLL Schedule'!Sched_Pay+'DLL Schedule'!Extra_Pay&lt;'DLL Schedule'!Beg_Bal,'DLL Schedule'!Sched_Pay+'DLL Schedule'!Extra_Pay,'DLL Schedule'!Beg_Bal),"")</f>
        <v/>
      </c>
      <c r="G275" s="525" t="str">
        <f>IF('DLL Schedule'!Pay_Num&lt;&gt;"",'DLL Schedule'!Total_Pay-'DLL Schedule'!Int,"")</f>
        <v/>
      </c>
      <c r="H275" s="525" t="str">
        <f>IF('DLL Schedule'!Pay_Num&lt;&gt;"",'DLL Schedule'!Beg_Bal*'DLL Schedule'!Interest_Rate/'DLL Schedule'!Num_Pmt_Per_Year,"")</f>
        <v/>
      </c>
      <c r="I275" s="525" t="str">
        <f>IF('DLL Schedule'!Pay_Num&lt;&gt;"",IF('DLL Schedule'!Sched_Pay+'DLL Schedule'!Extra_Pay&lt;'DLL Schedule'!Beg_Bal,'DLL Schedule'!Beg_Bal-'DLL Schedule'!Princ,0),"")</f>
        <v/>
      </c>
      <c r="J275" s="525">
        <f>SUM($H$18:$H275)</f>
        <v>257912.99524975716</v>
      </c>
      <c r="K275" s="499"/>
    </row>
    <row r="276" spans="1:11" ht="12.75" customHeight="1">
      <c r="A276" s="523" t="str">
        <f>IF(AND('DLL Schedule'!Values_Entered=1,A275&lt;&gt;"",I275&gt;0),A275+1,"")</f>
        <v/>
      </c>
      <c r="B276" s="524" t="str">
        <f>IF('DLL Schedule'!Pay_Num&lt;&gt;"",DATE(YEAR('DLL Schedule'!Loan_Start),MONTH('DLL Schedule'!Loan_Start)+('DLL Schedule'!Pay_Num)*12/'DLL Schedule'!Num_Pmt_Per_Year,DAY('DLL Schedule'!Loan_Start)),"")</f>
        <v/>
      </c>
      <c r="C276" s="525" t="str">
        <f>IF('DLL Schedule'!Pay_Num&lt;&gt;"",I275,"")</f>
        <v/>
      </c>
      <c r="D276" s="525" t="str">
        <f>IF('DLL Schedule'!Pay_Num&lt;&gt;"",'DLL Schedule'!Scheduled_Monthly_Payment,"")</f>
        <v/>
      </c>
      <c r="E2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6" s="525" t="str">
        <f>IF('DLL Schedule'!Pay_Num&lt;&gt;"",IF('DLL Schedule'!Sched_Pay+'DLL Schedule'!Extra_Pay&lt;'DLL Schedule'!Beg_Bal,'DLL Schedule'!Sched_Pay+'DLL Schedule'!Extra_Pay,'DLL Schedule'!Beg_Bal),"")</f>
        <v/>
      </c>
      <c r="G276" s="525" t="str">
        <f>IF('DLL Schedule'!Pay_Num&lt;&gt;"",'DLL Schedule'!Total_Pay-'DLL Schedule'!Int,"")</f>
        <v/>
      </c>
      <c r="H276" s="525" t="str">
        <f>IF('DLL Schedule'!Pay_Num&lt;&gt;"",'DLL Schedule'!Beg_Bal*'DLL Schedule'!Interest_Rate/'DLL Schedule'!Num_Pmt_Per_Year,"")</f>
        <v/>
      </c>
      <c r="I276" s="525" t="str">
        <f>IF('DLL Schedule'!Pay_Num&lt;&gt;"",IF('DLL Schedule'!Sched_Pay+'DLL Schedule'!Extra_Pay&lt;'DLL Schedule'!Beg_Bal,'DLL Schedule'!Beg_Bal-'DLL Schedule'!Princ,0),"")</f>
        <v/>
      </c>
      <c r="J276" s="525">
        <f>SUM($H$18:$H276)</f>
        <v>257912.99524975716</v>
      </c>
      <c r="K276" s="499"/>
    </row>
    <row r="277" spans="1:11" ht="12.75" customHeight="1">
      <c r="A277" s="523" t="str">
        <f>IF(AND('DLL Schedule'!Values_Entered=1,A276&lt;&gt;"",I276&gt;0),A276+1,"")</f>
        <v/>
      </c>
      <c r="B277" s="524" t="str">
        <f>IF('DLL Schedule'!Pay_Num&lt;&gt;"",DATE(YEAR('DLL Schedule'!Loan_Start),MONTH('DLL Schedule'!Loan_Start)+('DLL Schedule'!Pay_Num)*12/'DLL Schedule'!Num_Pmt_Per_Year,DAY('DLL Schedule'!Loan_Start)),"")</f>
        <v/>
      </c>
      <c r="C277" s="525" t="str">
        <f>IF('DLL Schedule'!Pay_Num&lt;&gt;"",I276,"")</f>
        <v/>
      </c>
      <c r="D277" s="525" t="str">
        <f>IF('DLL Schedule'!Pay_Num&lt;&gt;"",'DLL Schedule'!Scheduled_Monthly_Payment,"")</f>
        <v/>
      </c>
      <c r="E2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7" s="525" t="str">
        <f>IF('DLL Schedule'!Pay_Num&lt;&gt;"",IF('DLL Schedule'!Sched_Pay+'DLL Schedule'!Extra_Pay&lt;'DLL Schedule'!Beg_Bal,'DLL Schedule'!Sched_Pay+'DLL Schedule'!Extra_Pay,'DLL Schedule'!Beg_Bal),"")</f>
        <v/>
      </c>
      <c r="G277" s="525" t="str">
        <f>IF('DLL Schedule'!Pay_Num&lt;&gt;"",'DLL Schedule'!Total_Pay-'DLL Schedule'!Int,"")</f>
        <v/>
      </c>
      <c r="H277" s="525" t="str">
        <f>IF('DLL Schedule'!Pay_Num&lt;&gt;"",'DLL Schedule'!Beg_Bal*'DLL Schedule'!Interest_Rate/'DLL Schedule'!Num_Pmt_Per_Year,"")</f>
        <v/>
      </c>
      <c r="I277" s="525" t="str">
        <f>IF('DLL Schedule'!Pay_Num&lt;&gt;"",IF('DLL Schedule'!Sched_Pay+'DLL Schedule'!Extra_Pay&lt;'DLL Schedule'!Beg_Bal,'DLL Schedule'!Beg_Bal-'DLL Schedule'!Princ,0),"")</f>
        <v/>
      </c>
      <c r="J277" s="525">
        <f>SUM($H$18:$H277)</f>
        <v>257912.99524975716</v>
      </c>
      <c r="K277" s="499"/>
    </row>
    <row r="278" spans="1:11" ht="12.75" customHeight="1">
      <c r="A278" s="523" t="str">
        <f>IF(AND('DLL Schedule'!Values_Entered=1,A277&lt;&gt;"",I277&gt;0),A277+1,"")</f>
        <v/>
      </c>
      <c r="B278" s="524" t="str">
        <f>IF('DLL Schedule'!Pay_Num&lt;&gt;"",DATE(YEAR('DLL Schedule'!Loan_Start),MONTH('DLL Schedule'!Loan_Start)+('DLL Schedule'!Pay_Num)*12/'DLL Schedule'!Num_Pmt_Per_Year,DAY('DLL Schedule'!Loan_Start)),"")</f>
        <v/>
      </c>
      <c r="C278" s="525" t="str">
        <f>IF('DLL Schedule'!Pay_Num&lt;&gt;"",I277,"")</f>
        <v/>
      </c>
      <c r="D278" s="525" t="str">
        <f>IF('DLL Schedule'!Pay_Num&lt;&gt;"",'DLL Schedule'!Scheduled_Monthly_Payment,"")</f>
        <v/>
      </c>
      <c r="E2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8" s="525" t="str">
        <f>IF('DLL Schedule'!Pay_Num&lt;&gt;"",IF('DLL Schedule'!Sched_Pay+'DLL Schedule'!Extra_Pay&lt;'DLL Schedule'!Beg_Bal,'DLL Schedule'!Sched_Pay+'DLL Schedule'!Extra_Pay,'DLL Schedule'!Beg_Bal),"")</f>
        <v/>
      </c>
      <c r="G278" s="525" t="str">
        <f>IF('DLL Schedule'!Pay_Num&lt;&gt;"",'DLL Schedule'!Total_Pay-'DLL Schedule'!Int,"")</f>
        <v/>
      </c>
      <c r="H278" s="525" t="str">
        <f>IF('DLL Schedule'!Pay_Num&lt;&gt;"",'DLL Schedule'!Beg_Bal*'DLL Schedule'!Interest_Rate/'DLL Schedule'!Num_Pmt_Per_Year,"")</f>
        <v/>
      </c>
      <c r="I278" s="525" t="str">
        <f>IF('DLL Schedule'!Pay_Num&lt;&gt;"",IF('DLL Schedule'!Sched_Pay+'DLL Schedule'!Extra_Pay&lt;'DLL Schedule'!Beg_Bal,'DLL Schedule'!Beg_Bal-'DLL Schedule'!Princ,0),"")</f>
        <v/>
      </c>
      <c r="J278" s="525">
        <f>SUM($H$18:$H278)</f>
        <v>257912.99524975716</v>
      </c>
      <c r="K278" s="499"/>
    </row>
    <row r="279" spans="1:11" ht="12.75" customHeight="1">
      <c r="A279" s="523" t="str">
        <f>IF(AND('DLL Schedule'!Values_Entered=1,A278&lt;&gt;"",I278&gt;0),A278+1,"")</f>
        <v/>
      </c>
      <c r="B279" s="524" t="str">
        <f>IF('DLL Schedule'!Pay_Num&lt;&gt;"",DATE(YEAR('DLL Schedule'!Loan_Start),MONTH('DLL Schedule'!Loan_Start)+('DLL Schedule'!Pay_Num)*12/'DLL Schedule'!Num_Pmt_Per_Year,DAY('DLL Schedule'!Loan_Start)),"")</f>
        <v/>
      </c>
      <c r="C279" s="525" t="str">
        <f>IF('DLL Schedule'!Pay_Num&lt;&gt;"",I278,"")</f>
        <v/>
      </c>
      <c r="D279" s="525" t="str">
        <f>IF('DLL Schedule'!Pay_Num&lt;&gt;"",'DLL Schedule'!Scheduled_Monthly_Payment,"")</f>
        <v/>
      </c>
      <c r="E2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9" s="525" t="str">
        <f>IF('DLL Schedule'!Pay_Num&lt;&gt;"",IF('DLL Schedule'!Sched_Pay+'DLL Schedule'!Extra_Pay&lt;'DLL Schedule'!Beg_Bal,'DLL Schedule'!Sched_Pay+'DLL Schedule'!Extra_Pay,'DLL Schedule'!Beg_Bal),"")</f>
        <v/>
      </c>
      <c r="G279" s="525" t="str">
        <f>IF('DLL Schedule'!Pay_Num&lt;&gt;"",'DLL Schedule'!Total_Pay-'DLL Schedule'!Int,"")</f>
        <v/>
      </c>
      <c r="H279" s="525" t="str">
        <f>IF('DLL Schedule'!Pay_Num&lt;&gt;"",'DLL Schedule'!Beg_Bal*'DLL Schedule'!Interest_Rate/'DLL Schedule'!Num_Pmt_Per_Year,"")</f>
        <v/>
      </c>
      <c r="I279" s="525" t="str">
        <f>IF('DLL Schedule'!Pay_Num&lt;&gt;"",IF('DLL Schedule'!Sched_Pay+'DLL Schedule'!Extra_Pay&lt;'DLL Schedule'!Beg_Bal,'DLL Schedule'!Beg_Bal-'DLL Schedule'!Princ,0),"")</f>
        <v/>
      </c>
      <c r="J279" s="525">
        <f>SUM($H$18:$H279)</f>
        <v>257912.99524975716</v>
      </c>
      <c r="K279" s="499"/>
    </row>
    <row r="280" spans="1:11" ht="12.75" customHeight="1">
      <c r="A280" s="523" t="str">
        <f>IF(AND('DLL Schedule'!Values_Entered=1,A279&lt;&gt;"",I279&gt;0),A279+1,"")</f>
        <v/>
      </c>
      <c r="B280" s="524" t="str">
        <f>IF('DLL Schedule'!Pay_Num&lt;&gt;"",DATE(YEAR('DLL Schedule'!Loan_Start),MONTH('DLL Schedule'!Loan_Start)+('DLL Schedule'!Pay_Num)*12/'DLL Schedule'!Num_Pmt_Per_Year,DAY('DLL Schedule'!Loan_Start)),"")</f>
        <v/>
      </c>
      <c r="C280" s="525" t="str">
        <f>IF('DLL Schedule'!Pay_Num&lt;&gt;"",I279,"")</f>
        <v/>
      </c>
      <c r="D280" s="525" t="str">
        <f>IF('DLL Schedule'!Pay_Num&lt;&gt;"",'DLL Schedule'!Scheduled_Monthly_Payment,"")</f>
        <v/>
      </c>
      <c r="E2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0" s="525" t="str">
        <f>IF('DLL Schedule'!Pay_Num&lt;&gt;"",IF('DLL Schedule'!Sched_Pay+'DLL Schedule'!Extra_Pay&lt;'DLL Schedule'!Beg_Bal,'DLL Schedule'!Sched_Pay+'DLL Schedule'!Extra_Pay,'DLL Schedule'!Beg_Bal),"")</f>
        <v/>
      </c>
      <c r="G280" s="525" t="str">
        <f>IF('DLL Schedule'!Pay_Num&lt;&gt;"",'DLL Schedule'!Total_Pay-'DLL Schedule'!Int,"")</f>
        <v/>
      </c>
      <c r="H280" s="525" t="str">
        <f>IF('DLL Schedule'!Pay_Num&lt;&gt;"",'DLL Schedule'!Beg_Bal*'DLL Schedule'!Interest_Rate/'DLL Schedule'!Num_Pmt_Per_Year,"")</f>
        <v/>
      </c>
      <c r="I280" s="525" t="str">
        <f>IF('DLL Schedule'!Pay_Num&lt;&gt;"",IF('DLL Schedule'!Sched_Pay+'DLL Schedule'!Extra_Pay&lt;'DLL Schedule'!Beg_Bal,'DLL Schedule'!Beg_Bal-'DLL Schedule'!Princ,0),"")</f>
        <v/>
      </c>
      <c r="J280" s="525">
        <f>SUM($H$18:$H280)</f>
        <v>257912.99524975716</v>
      </c>
      <c r="K280" s="499"/>
    </row>
    <row r="281" spans="1:11" ht="12.75" customHeight="1">
      <c r="A281" s="523" t="str">
        <f>IF(AND('DLL Schedule'!Values_Entered=1,A280&lt;&gt;"",I280&gt;0),A280+1,"")</f>
        <v/>
      </c>
      <c r="B281" s="524" t="str">
        <f>IF('DLL Schedule'!Pay_Num&lt;&gt;"",DATE(YEAR('DLL Schedule'!Loan_Start),MONTH('DLL Schedule'!Loan_Start)+('DLL Schedule'!Pay_Num)*12/'DLL Schedule'!Num_Pmt_Per_Year,DAY('DLL Schedule'!Loan_Start)),"")</f>
        <v/>
      </c>
      <c r="C281" s="525" t="str">
        <f>IF('DLL Schedule'!Pay_Num&lt;&gt;"",I280,"")</f>
        <v/>
      </c>
      <c r="D281" s="525" t="str">
        <f>IF('DLL Schedule'!Pay_Num&lt;&gt;"",'DLL Schedule'!Scheduled_Monthly_Payment,"")</f>
        <v/>
      </c>
      <c r="E2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1" s="525" t="str">
        <f>IF('DLL Schedule'!Pay_Num&lt;&gt;"",IF('DLL Schedule'!Sched_Pay+'DLL Schedule'!Extra_Pay&lt;'DLL Schedule'!Beg_Bal,'DLL Schedule'!Sched_Pay+'DLL Schedule'!Extra_Pay,'DLL Schedule'!Beg_Bal),"")</f>
        <v/>
      </c>
      <c r="G281" s="525" t="str">
        <f>IF('DLL Schedule'!Pay_Num&lt;&gt;"",'DLL Schedule'!Total_Pay-'DLL Schedule'!Int,"")</f>
        <v/>
      </c>
      <c r="H281" s="525" t="str">
        <f>IF('DLL Schedule'!Pay_Num&lt;&gt;"",'DLL Schedule'!Beg_Bal*'DLL Schedule'!Interest_Rate/'DLL Schedule'!Num_Pmt_Per_Year,"")</f>
        <v/>
      </c>
      <c r="I281" s="525" t="str">
        <f>IF('DLL Schedule'!Pay_Num&lt;&gt;"",IF('DLL Schedule'!Sched_Pay+'DLL Schedule'!Extra_Pay&lt;'DLL Schedule'!Beg_Bal,'DLL Schedule'!Beg_Bal-'DLL Schedule'!Princ,0),"")</f>
        <v/>
      </c>
      <c r="J281" s="525">
        <f>SUM($H$18:$H281)</f>
        <v>257912.99524975716</v>
      </c>
      <c r="K281" s="499"/>
    </row>
    <row r="282" spans="1:11" ht="12.75" customHeight="1">
      <c r="A282" s="523" t="str">
        <f>IF(AND('DLL Schedule'!Values_Entered=1,A281&lt;&gt;"",I281&gt;0),A281+1,"")</f>
        <v/>
      </c>
      <c r="B282" s="524" t="str">
        <f>IF('DLL Schedule'!Pay_Num&lt;&gt;"",DATE(YEAR('DLL Schedule'!Loan_Start),MONTH('DLL Schedule'!Loan_Start)+('DLL Schedule'!Pay_Num)*12/'DLL Schedule'!Num_Pmt_Per_Year,DAY('DLL Schedule'!Loan_Start)),"")</f>
        <v/>
      </c>
      <c r="C282" s="525" t="str">
        <f>IF('DLL Schedule'!Pay_Num&lt;&gt;"",I281,"")</f>
        <v/>
      </c>
      <c r="D282" s="525" t="str">
        <f>IF('DLL Schedule'!Pay_Num&lt;&gt;"",'DLL Schedule'!Scheduled_Monthly_Payment,"")</f>
        <v/>
      </c>
      <c r="E2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2" s="525" t="str">
        <f>IF('DLL Schedule'!Pay_Num&lt;&gt;"",IF('DLL Schedule'!Sched_Pay+'DLL Schedule'!Extra_Pay&lt;'DLL Schedule'!Beg_Bal,'DLL Schedule'!Sched_Pay+'DLL Schedule'!Extra_Pay,'DLL Schedule'!Beg_Bal),"")</f>
        <v/>
      </c>
      <c r="G282" s="525" t="str">
        <f>IF('DLL Schedule'!Pay_Num&lt;&gt;"",'DLL Schedule'!Total_Pay-'DLL Schedule'!Int,"")</f>
        <v/>
      </c>
      <c r="H282" s="525" t="str">
        <f>IF('DLL Schedule'!Pay_Num&lt;&gt;"",'DLL Schedule'!Beg_Bal*'DLL Schedule'!Interest_Rate/'DLL Schedule'!Num_Pmt_Per_Year,"")</f>
        <v/>
      </c>
      <c r="I282" s="525" t="str">
        <f>IF('DLL Schedule'!Pay_Num&lt;&gt;"",IF('DLL Schedule'!Sched_Pay+'DLL Schedule'!Extra_Pay&lt;'DLL Schedule'!Beg_Bal,'DLL Schedule'!Beg_Bal-'DLL Schedule'!Princ,0),"")</f>
        <v/>
      </c>
      <c r="J282" s="525">
        <f>SUM($H$18:$H282)</f>
        <v>257912.99524975716</v>
      </c>
      <c r="K282" s="499"/>
    </row>
    <row r="283" spans="1:11" ht="12.75" customHeight="1">
      <c r="A283" s="523" t="str">
        <f>IF(AND('DLL Schedule'!Values_Entered=1,A282&lt;&gt;"",I282&gt;0),A282+1,"")</f>
        <v/>
      </c>
      <c r="B283" s="524" t="str">
        <f>IF('DLL Schedule'!Pay_Num&lt;&gt;"",DATE(YEAR('DLL Schedule'!Loan_Start),MONTH('DLL Schedule'!Loan_Start)+('DLL Schedule'!Pay_Num)*12/'DLL Schedule'!Num_Pmt_Per_Year,DAY('DLL Schedule'!Loan_Start)),"")</f>
        <v/>
      </c>
      <c r="C283" s="525" t="str">
        <f>IF('DLL Schedule'!Pay_Num&lt;&gt;"",I282,"")</f>
        <v/>
      </c>
      <c r="D283" s="525" t="str">
        <f>IF('DLL Schedule'!Pay_Num&lt;&gt;"",'DLL Schedule'!Scheduled_Monthly_Payment,"")</f>
        <v/>
      </c>
      <c r="E2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3" s="525" t="str">
        <f>IF('DLL Schedule'!Pay_Num&lt;&gt;"",IF('DLL Schedule'!Sched_Pay+'DLL Schedule'!Extra_Pay&lt;'DLL Schedule'!Beg_Bal,'DLL Schedule'!Sched_Pay+'DLL Schedule'!Extra_Pay,'DLL Schedule'!Beg_Bal),"")</f>
        <v/>
      </c>
      <c r="G283" s="525" t="str">
        <f>IF('DLL Schedule'!Pay_Num&lt;&gt;"",'DLL Schedule'!Total_Pay-'DLL Schedule'!Int,"")</f>
        <v/>
      </c>
      <c r="H283" s="525" t="str">
        <f>IF('DLL Schedule'!Pay_Num&lt;&gt;"",'DLL Schedule'!Beg_Bal*'DLL Schedule'!Interest_Rate/'DLL Schedule'!Num_Pmt_Per_Year,"")</f>
        <v/>
      </c>
      <c r="I283" s="525" t="str">
        <f>IF('DLL Schedule'!Pay_Num&lt;&gt;"",IF('DLL Schedule'!Sched_Pay+'DLL Schedule'!Extra_Pay&lt;'DLL Schedule'!Beg_Bal,'DLL Schedule'!Beg_Bal-'DLL Schedule'!Princ,0),"")</f>
        <v/>
      </c>
      <c r="J283" s="525">
        <f>SUM($H$18:$H283)</f>
        <v>257912.99524975716</v>
      </c>
      <c r="K283" s="499"/>
    </row>
    <row r="284" spans="1:11" ht="12.75" customHeight="1">
      <c r="A284" s="523" t="str">
        <f>IF(AND('DLL Schedule'!Values_Entered=1,A283&lt;&gt;"",I283&gt;0),A283+1,"")</f>
        <v/>
      </c>
      <c r="B284" s="524" t="str">
        <f>IF('DLL Schedule'!Pay_Num&lt;&gt;"",DATE(YEAR('DLL Schedule'!Loan_Start),MONTH('DLL Schedule'!Loan_Start)+('DLL Schedule'!Pay_Num)*12/'DLL Schedule'!Num_Pmt_Per_Year,DAY('DLL Schedule'!Loan_Start)),"")</f>
        <v/>
      </c>
      <c r="C284" s="525" t="str">
        <f>IF('DLL Schedule'!Pay_Num&lt;&gt;"",I283,"")</f>
        <v/>
      </c>
      <c r="D284" s="525" t="str">
        <f>IF('DLL Schedule'!Pay_Num&lt;&gt;"",'DLL Schedule'!Scheduled_Monthly_Payment,"")</f>
        <v/>
      </c>
      <c r="E2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4" s="525" t="str">
        <f>IF('DLL Schedule'!Pay_Num&lt;&gt;"",IF('DLL Schedule'!Sched_Pay+'DLL Schedule'!Extra_Pay&lt;'DLL Schedule'!Beg_Bal,'DLL Schedule'!Sched_Pay+'DLL Schedule'!Extra_Pay,'DLL Schedule'!Beg_Bal),"")</f>
        <v/>
      </c>
      <c r="G284" s="525" t="str">
        <f>IF('DLL Schedule'!Pay_Num&lt;&gt;"",'DLL Schedule'!Total_Pay-'DLL Schedule'!Int,"")</f>
        <v/>
      </c>
      <c r="H284" s="525" t="str">
        <f>IF('DLL Schedule'!Pay_Num&lt;&gt;"",'DLL Schedule'!Beg_Bal*'DLL Schedule'!Interest_Rate/'DLL Schedule'!Num_Pmt_Per_Year,"")</f>
        <v/>
      </c>
      <c r="I284" s="525" t="str">
        <f>IF('DLL Schedule'!Pay_Num&lt;&gt;"",IF('DLL Schedule'!Sched_Pay+'DLL Schedule'!Extra_Pay&lt;'DLL Schedule'!Beg_Bal,'DLL Schedule'!Beg_Bal-'DLL Schedule'!Princ,0),"")</f>
        <v/>
      </c>
      <c r="J284" s="525">
        <f>SUM($H$18:$H284)</f>
        <v>257912.99524975716</v>
      </c>
      <c r="K284" s="499"/>
    </row>
    <row r="285" spans="1:11" ht="12.75" customHeight="1">
      <c r="A285" s="523" t="str">
        <f>IF(AND('DLL Schedule'!Values_Entered=1,A284&lt;&gt;"",I284&gt;0),A284+1,"")</f>
        <v/>
      </c>
      <c r="B285" s="524" t="str">
        <f>IF('DLL Schedule'!Pay_Num&lt;&gt;"",DATE(YEAR('DLL Schedule'!Loan_Start),MONTH('DLL Schedule'!Loan_Start)+('DLL Schedule'!Pay_Num)*12/'DLL Schedule'!Num_Pmt_Per_Year,DAY('DLL Schedule'!Loan_Start)),"")</f>
        <v/>
      </c>
      <c r="C285" s="525" t="str">
        <f>IF('DLL Schedule'!Pay_Num&lt;&gt;"",I284,"")</f>
        <v/>
      </c>
      <c r="D285" s="525" t="str">
        <f>IF('DLL Schedule'!Pay_Num&lt;&gt;"",'DLL Schedule'!Scheduled_Monthly_Payment,"")</f>
        <v/>
      </c>
      <c r="E2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5" s="525" t="str">
        <f>IF('DLL Schedule'!Pay_Num&lt;&gt;"",IF('DLL Schedule'!Sched_Pay+'DLL Schedule'!Extra_Pay&lt;'DLL Schedule'!Beg_Bal,'DLL Schedule'!Sched_Pay+'DLL Schedule'!Extra_Pay,'DLL Schedule'!Beg_Bal),"")</f>
        <v/>
      </c>
      <c r="G285" s="525" t="str">
        <f>IF('DLL Schedule'!Pay_Num&lt;&gt;"",'DLL Schedule'!Total_Pay-'DLL Schedule'!Int,"")</f>
        <v/>
      </c>
      <c r="H285" s="525" t="str">
        <f>IF('DLL Schedule'!Pay_Num&lt;&gt;"",'DLL Schedule'!Beg_Bal*'DLL Schedule'!Interest_Rate/'DLL Schedule'!Num_Pmt_Per_Year,"")</f>
        <v/>
      </c>
      <c r="I285" s="525" t="str">
        <f>IF('DLL Schedule'!Pay_Num&lt;&gt;"",IF('DLL Schedule'!Sched_Pay+'DLL Schedule'!Extra_Pay&lt;'DLL Schedule'!Beg_Bal,'DLL Schedule'!Beg_Bal-'DLL Schedule'!Princ,0),"")</f>
        <v/>
      </c>
      <c r="J285" s="525">
        <f>SUM($H$18:$H285)</f>
        <v>257912.99524975716</v>
      </c>
      <c r="K285" s="499"/>
    </row>
    <row r="286" spans="1:11" ht="12.75" customHeight="1">
      <c r="A286" s="523" t="str">
        <f>IF(AND('DLL Schedule'!Values_Entered=1,A285&lt;&gt;"",I285&gt;0),A285+1,"")</f>
        <v/>
      </c>
      <c r="B286" s="524" t="str">
        <f>IF('DLL Schedule'!Pay_Num&lt;&gt;"",DATE(YEAR('DLL Schedule'!Loan_Start),MONTH('DLL Schedule'!Loan_Start)+('DLL Schedule'!Pay_Num)*12/'DLL Schedule'!Num_Pmt_Per_Year,DAY('DLL Schedule'!Loan_Start)),"")</f>
        <v/>
      </c>
      <c r="C286" s="525" t="str">
        <f>IF('DLL Schedule'!Pay_Num&lt;&gt;"",I285,"")</f>
        <v/>
      </c>
      <c r="D286" s="525" t="str">
        <f>IF('DLL Schedule'!Pay_Num&lt;&gt;"",'DLL Schedule'!Scheduled_Monthly_Payment,"")</f>
        <v/>
      </c>
      <c r="E2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6" s="525" t="str">
        <f>IF('DLL Schedule'!Pay_Num&lt;&gt;"",IF('DLL Schedule'!Sched_Pay+'DLL Schedule'!Extra_Pay&lt;'DLL Schedule'!Beg_Bal,'DLL Schedule'!Sched_Pay+'DLL Schedule'!Extra_Pay,'DLL Schedule'!Beg_Bal),"")</f>
        <v/>
      </c>
      <c r="G286" s="525" t="str">
        <f>IF('DLL Schedule'!Pay_Num&lt;&gt;"",'DLL Schedule'!Total_Pay-'DLL Schedule'!Int,"")</f>
        <v/>
      </c>
      <c r="H286" s="525" t="str">
        <f>IF('DLL Schedule'!Pay_Num&lt;&gt;"",'DLL Schedule'!Beg_Bal*'DLL Schedule'!Interest_Rate/'DLL Schedule'!Num_Pmt_Per_Year,"")</f>
        <v/>
      </c>
      <c r="I286" s="525" t="str">
        <f>IF('DLL Schedule'!Pay_Num&lt;&gt;"",IF('DLL Schedule'!Sched_Pay+'DLL Schedule'!Extra_Pay&lt;'DLL Schedule'!Beg_Bal,'DLL Schedule'!Beg_Bal-'DLL Schedule'!Princ,0),"")</f>
        <v/>
      </c>
      <c r="J286" s="525">
        <f>SUM($H$18:$H286)</f>
        <v>257912.99524975716</v>
      </c>
      <c r="K286" s="499"/>
    </row>
    <row r="287" spans="1:11" ht="12.75" customHeight="1">
      <c r="A287" s="523" t="str">
        <f>IF(AND('DLL Schedule'!Values_Entered=1,A286&lt;&gt;"",I286&gt;0),A286+1,"")</f>
        <v/>
      </c>
      <c r="B287" s="524" t="str">
        <f>IF('DLL Schedule'!Pay_Num&lt;&gt;"",DATE(YEAR('DLL Schedule'!Loan_Start),MONTH('DLL Schedule'!Loan_Start)+('DLL Schedule'!Pay_Num)*12/'DLL Schedule'!Num_Pmt_Per_Year,DAY('DLL Schedule'!Loan_Start)),"")</f>
        <v/>
      </c>
      <c r="C287" s="525" t="str">
        <f>IF('DLL Schedule'!Pay_Num&lt;&gt;"",I286,"")</f>
        <v/>
      </c>
      <c r="D287" s="525" t="str">
        <f>IF('DLL Schedule'!Pay_Num&lt;&gt;"",'DLL Schedule'!Scheduled_Monthly_Payment,"")</f>
        <v/>
      </c>
      <c r="E2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7" s="525" t="str">
        <f>IF('DLL Schedule'!Pay_Num&lt;&gt;"",IF('DLL Schedule'!Sched_Pay+'DLL Schedule'!Extra_Pay&lt;'DLL Schedule'!Beg_Bal,'DLL Schedule'!Sched_Pay+'DLL Schedule'!Extra_Pay,'DLL Schedule'!Beg_Bal),"")</f>
        <v/>
      </c>
      <c r="G287" s="525" t="str">
        <f>IF('DLL Schedule'!Pay_Num&lt;&gt;"",'DLL Schedule'!Total_Pay-'DLL Schedule'!Int,"")</f>
        <v/>
      </c>
      <c r="H287" s="525" t="str">
        <f>IF('DLL Schedule'!Pay_Num&lt;&gt;"",'DLL Schedule'!Beg_Bal*'DLL Schedule'!Interest_Rate/'DLL Schedule'!Num_Pmt_Per_Year,"")</f>
        <v/>
      </c>
      <c r="I287" s="525" t="str">
        <f>IF('DLL Schedule'!Pay_Num&lt;&gt;"",IF('DLL Schedule'!Sched_Pay+'DLL Schedule'!Extra_Pay&lt;'DLL Schedule'!Beg_Bal,'DLL Schedule'!Beg_Bal-'DLL Schedule'!Princ,0),"")</f>
        <v/>
      </c>
      <c r="J287" s="525">
        <f>SUM($H$18:$H287)</f>
        <v>257912.99524975716</v>
      </c>
      <c r="K287" s="499"/>
    </row>
    <row r="288" spans="1:11" ht="12.75" customHeight="1">
      <c r="A288" s="523" t="str">
        <f>IF(AND('DLL Schedule'!Values_Entered=1,A287&lt;&gt;"",I287&gt;0),A287+1,"")</f>
        <v/>
      </c>
      <c r="B288" s="524" t="str">
        <f>IF('DLL Schedule'!Pay_Num&lt;&gt;"",DATE(YEAR('DLL Schedule'!Loan_Start),MONTH('DLL Schedule'!Loan_Start)+('DLL Schedule'!Pay_Num)*12/'DLL Schedule'!Num_Pmt_Per_Year,DAY('DLL Schedule'!Loan_Start)),"")</f>
        <v/>
      </c>
      <c r="C288" s="525" t="str">
        <f>IF('DLL Schedule'!Pay_Num&lt;&gt;"",I287,"")</f>
        <v/>
      </c>
      <c r="D288" s="525" t="str">
        <f>IF('DLL Schedule'!Pay_Num&lt;&gt;"",'DLL Schedule'!Scheduled_Monthly_Payment,"")</f>
        <v/>
      </c>
      <c r="E2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8" s="525" t="str">
        <f>IF('DLL Schedule'!Pay_Num&lt;&gt;"",IF('DLL Schedule'!Sched_Pay+'DLL Schedule'!Extra_Pay&lt;'DLL Schedule'!Beg_Bal,'DLL Schedule'!Sched_Pay+'DLL Schedule'!Extra_Pay,'DLL Schedule'!Beg_Bal),"")</f>
        <v/>
      </c>
      <c r="G288" s="525" t="str">
        <f>IF('DLL Schedule'!Pay_Num&lt;&gt;"",'DLL Schedule'!Total_Pay-'DLL Schedule'!Int,"")</f>
        <v/>
      </c>
      <c r="H288" s="525" t="str">
        <f>IF('DLL Schedule'!Pay_Num&lt;&gt;"",'DLL Schedule'!Beg_Bal*'DLL Schedule'!Interest_Rate/'DLL Schedule'!Num_Pmt_Per_Year,"")</f>
        <v/>
      </c>
      <c r="I288" s="525" t="str">
        <f>IF('DLL Schedule'!Pay_Num&lt;&gt;"",IF('DLL Schedule'!Sched_Pay+'DLL Schedule'!Extra_Pay&lt;'DLL Schedule'!Beg_Bal,'DLL Schedule'!Beg_Bal-'DLL Schedule'!Princ,0),"")</f>
        <v/>
      </c>
      <c r="J288" s="525">
        <f>SUM($H$18:$H288)</f>
        <v>257912.99524975716</v>
      </c>
      <c r="K288" s="499"/>
    </row>
    <row r="289" spans="1:11" ht="12.75" customHeight="1">
      <c r="A289" s="523" t="str">
        <f>IF(AND('DLL Schedule'!Values_Entered=1,A288&lt;&gt;"",I288&gt;0),A288+1,"")</f>
        <v/>
      </c>
      <c r="B289" s="524" t="str">
        <f>IF('DLL Schedule'!Pay_Num&lt;&gt;"",DATE(YEAR('DLL Schedule'!Loan_Start),MONTH('DLL Schedule'!Loan_Start)+('DLL Schedule'!Pay_Num)*12/'DLL Schedule'!Num_Pmt_Per_Year,DAY('DLL Schedule'!Loan_Start)),"")</f>
        <v/>
      </c>
      <c r="C289" s="525" t="str">
        <f>IF('DLL Schedule'!Pay_Num&lt;&gt;"",I288,"")</f>
        <v/>
      </c>
      <c r="D289" s="525" t="str">
        <f>IF('DLL Schedule'!Pay_Num&lt;&gt;"",'DLL Schedule'!Scheduled_Monthly_Payment,"")</f>
        <v/>
      </c>
      <c r="E2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9" s="525" t="str">
        <f>IF('DLL Schedule'!Pay_Num&lt;&gt;"",IF('DLL Schedule'!Sched_Pay+'DLL Schedule'!Extra_Pay&lt;'DLL Schedule'!Beg_Bal,'DLL Schedule'!Sched_Pay+'DLL Schedule'!Extra_Pay,'DLL Schedule'!Beg_Bal),"")</f>
        <v/>
      </c>
      <c r="G289" s="525" t="str">
        <f>IF('DLL Schedule'!Pay_Num&lt;&gt;"",'DLL Schedule'!Total_Pay-'DLL Schedule'!Int,"")</f>
        <v/>
      </c>
      <c r="H289" s="525" t="str">
        <f>IF('DLL Schedule'!Pay_Num&lt;&gt;"",'DLL Schedule'!Beg_Bal*'DLL Schedule'!Interest_Rate/'DLL Schedule'!Num_Pmt_Per_Year,"")</f>
        <v/>
      </c>
      <c r="I289" s="525" t="str">
        <f>IF('DLL Schedule'!Pay_Num&lt;&gt;"",IF('DLL Schedule'!Sched_Pay+'DLL Schedule'!Extra_Pay&lt;'DLL Schedule'!Beg_Bal,'DLL Schedule'!Beg_Bal-'DLL Schedule'!Princ,0),"")</f>
        <v/>
      </c>
      <c r="J289" s="525">
        <f>SUM($H$18:$H289)</f>
        <v>257912.99524975716</v>
      </c>
      <c r="K289" s="499"/>
    </row>
    <row r="290" spans="1:11" ht="12.75" customHeight="1">
      <c r="A290" s="523" t="str">
        <f>IF(AND('DLL Schedule'!Values_Entered=1,A289&lt;&gt;"",I289&gt;0),A289+1,"")</f>
        <v/>
      </c>
      <c r="B290" s="524" t="str">
        <f>IF('DLL Schedule'!Pay_Num&lt;&gt;"",DATE(YEAR('DLL Schedule'!Loan_Start),MONTH('DLL Schedule'!Loan_Start)+('DLL Schedule'!Pay_Num)*12/'DLL Schedule'!Num_Pmt_Per_Year,DAY('DLL Schedule'!Loan_Start)),"")</f>
        <v/>
      </c>
      <c r="C290" s="525" t="str">
        <f>IF('DLL Schedule'!Pay_Num&lt;&gt;"",I289,"")</f>
        <v/>
      </c>
      <c r="D290" s="525" t="str">
        <f>IF('DLL Schedule'!Pay_Num&lt;&gt;"",'DLL Schedule'!Scheduled_Monthly_Payment,"")</f>
        <v/>
      </c>
      <c r="E2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0" s="525" t="str">
        <f>IF('DLL Schedule'!Pay_Num&lt;&gt;"",IF('DLL Schedule'!Sched_Pay+'DLL Schedule'!Extra_Pay&lt;'DLL Schedule'!Beg_Bal,'DLL Schedule'!Sched_Pay+'DLL Schedule'!Extra_Pay,'DLL Schedule'!Beg_Bal),"")</f>
        <v/>
      </c>
      <c r="G290" s="525" t="str">
        <f>IF('DLL Schedule'!Pay_Num&lt;&gt;"",'DLL Schedule'!Total_Pay-'DLL Schedule'!Int,"")</f>
        <v/>
      </c>
      <c r="H290" s="525" t="str">
        <f>IF('DLL Schedule'!Pay_Num&lt;&gt;"",'DLL Schedule'!Beg_Bal*'DLL Schedule'!Interest_Rate/'DLL Schedule'!Num_Pmt_Per_Year,"")</f>
        <v/>
      </c>
      <c r="I290" s="525" t="str">
        <f>IF('DLL Schedule'!Pay_Num&lt;&gt;"",IF('DLL Schedule'!Sched_Pay+'DLL Schedule'!Extra_Pay&lt;'DLL Schedule'!Beg_Bal,'DLL Schedule'!Beg_Bal-'DLL Schedule'!Princ,0),"")</f>
        <v/>
      </c>
      <c r="J290" s="525">
        <f>SUM($H$18:$H290)</f>
        <v>257912.99524975716</v>
      </c>
      <c r="K290" s="499"/>
    </row>
    <row r="291" spans="1:11" ht="12.75" customHeight="1">
      <c r="A291" s="523" t="str">
        <f>IF(AND('DLL Schedule'!Values_Entered=1,A290&lt;&gt;"",I290&gt;0),A290+1,"")</f>
        <v/>
      </c>
      <c r="B291" s="524" t="str">
        <f>IF('DLL Schedule'!Pay_Num&lt;&gt;"",DATE(YEAR('DLL Schedule'!Loan_Start),MONTH('DLL Schedule'!Loan_Start)+('DLL Schedule'!Pay_Num)*12/'DLL Schedule'!Num_Pmt_Per_Year,DAY('DLL Schedule'!Loan_Start)),"")</f>
        <v/>
      </c>
      <c r="C291" s="525" t="str">
        <f>IF('DLL Schedule'!Pay_Num&lt;&gt;"",I290,"")</f>
        <v/>
      </c>
      <c r="D291" s="525" t="str">
        <f>IF('DLL Schedule'!Pay_Num&lt;&gt;"",'DLL Schedule'!Scheduled_Monthly_Payment,"")</f>
        <v/>
      </c>
      <c r="E2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1" s="525" t="str">
        <f>IF('DLL Schedule'!Pay_Num&lt;&gt;"",IF('DLL Schedule'!Sched_Pay+'DLL Schedule'!Extra_Pay&lt;'DLL Schedule'!Beg_Bal,'DLL Schedule'!Sched_Pay+'DLL Schedule'!Extra_Pay,'DLL Schedule'!Beg_Bal),"")</f>
        <v/>
      </c>
      <c r="G291" s="525" t="str">
        <f>IF('DLL Schedule'!Pay_Num&lt;&gt;"",'DLL Schedule'!Total_Pay-'DLL Schedule'!Int,"")</f>
        <v/>
      </c>
      <c r="H291" s="525" t="str">
        <f>IF('DLL Schedule'!Pay_Num&lt;&gt;"",'DLL Schedule'!Beg_Bal*'DLL Schedule'!Interest_Rate/'DLL Schedule'!Num_Pmt_Per_Year,"")</f>
        <v/>
      </c>
      <c r="I291" s="525" t="str">
        <f>IF('DLL Schedule'!Pay_Num&lt;&gt;"",IF('DLL Schedule'!Sched_Pay+'DLL Schedule'!Extra_Pay&lt;'DLL Schedule'!Beg_Bal,'DLL Schedule'!Beg_Bal-'DLL Schedule'!Princ,0),"")</f>
        <v/>
      </c>
      <c r="J291" s="525">
        <f>SUM($H$18:$H291)</f>
        <v>257912.99524975716</v>
      </c>
      <c r="K291" s="499"/>
    </row>
    <row r="292" spans="1:11" ht="12.75" customHeight="1">
      <c r="A292" s="523" t="str">
        <f>IF(AND('DLL Schedule'!Values_Entered=1,A291&lt;&gt;"",I291&gt;0),A291+1,"")</f>
        <v/>
      </c>
      <c r="B292" s="524" t="str">
        <f>IF('DLL Schedule'!Pay_Num&lt;&gt;"",DATE(YEAR('DLL Schedule'!Loan_Start),MONTH('DLL Schedule'!Loan_Start)+('DLL Schedule'!Pay_Num)*12/'DLL Schedule'!Num_Pmt_Per_Year,DAY('DLL Schedule'!Loan_Start)),"")</f>
        <v/>
      </c>
      <c r="C292" s="525" t="str">
        <f>IF('DLL Schedule'!Pay_Num&lt;&gt;"",I291,"")</f>
        <v/>
      </c>
      <c r="D292" s="525" t="str">
        <f>IF('DLL Schedule'!Pay_Num&lt;&gt;"",'DLL Schedule'!Scheduled_Monthly_Payment,"")</f>
        <v/>
      </c>
      <c r="E2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2" s="525" t="str">
        <f>IF('DLL Schedule'!Pay_Num&lt;&gt;"",IF('DLL Schedule'!Sched_Pay+'DLL Schedule'!Extra_Pay&lt;'DLL Schedule'!Beg_Bal,'DLL Schedule'!Sched_Pay+'DLL Schedule'!Extra_Pay,'DLL Schedule'!Beg_Bal),"")</f>
        <v/>
      </c>
      <c r="G292" s="525" t="str">
        <f>IF('DLL Schedule'!Pay_Num&lt;&gt;"",'DLL Schedule'!Total_Pay-'DLL Schedule'!Int,"")</f>
        <v/>
      </c>
      <c r="H292" s="525" t="str">
        <f>IF('DLL Schedule'!Pay_Num&lt;&gt;"",'DLL Schedule'!Beg_Bal*'DLL Schedule'!Interest_Rate/'DLL Schedule'!Num_Pmt_Per_Year,"")</f>
        <v/>
      </c>
      <c r="I292" s="525" t="str">
        <f>IF('DLL Schedule'!Pay_Num&lt;&gt;"",IF('DLL Schedule'!Sched_Pay+'DLL Schedule'!Extra_Pay&lt;'DLL Schedule'!Beg_Bal,'DLL Schedule'!Beg_Bal-'DLL Schedule'!Princ,0),"")</f>
        <v/>
      </c>
      <c r="J292" s="525">
        <f>SUM($H$18:$H292)</f>
        <v>257912.99524975716</v>
      </c>
      <c r="K292" s="499"/>
    </row>
    <row r="293" spans="1:11" ht="12.75" customHeight="1">
      <c r="A293" s="523" t="str">
        <f>IF(AND('DLL Schedule'!Values_Entered=1,A292&lt;&gt;"",I292&gt;0),A292+1,"")</f>
        <v/>
      </c>
      <c r="B293" s="524" t="str">
        <f>IF('DLL Schedule'!Pay_Num&lt;&gt;"",DATE(YEAR('DLL Schedule'!Loan_Start),MONTH('DLL Schedule'!Loan_Start)+('DLL Schedule'!Pay_Num)*12/'DLL Schedule'!Num_Pmt_Per_Year,DAY('DLL Schedule'!Loan_Start)),"")</f>
        <v/>
      </c>
      <c r="C293" s="525" t="str">
        <f>IF('DLL Schedule'!Pay_Num&lt;&gt;"",I292,"")</f>
        <v/>
      </c>
      <c r="D293" s="525" t="str">
        <f>IF('DLL Schedule'!Pay_Num&lt;&gt;"",'DLL Schedule'!Scheduled_Monthly_Payment,"")</f>
        <v/>
      </c>
      <c r="E2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3" s="525" t="str">
        <f>IF('DLL Schedule'!Pay_Num&lt;&gt;"",IF('DLL Schedule'!Sched_Pay+'DLL Schedule'!Extra_Pay&lt;'DLL Schedule'!Beg_Bal,'DLL Schedule'!Sched_Pay+'DLL Schedule'!Extra_Pay,'DLL Schedule'!Beg_Bal),"")</f>
        <v/>
      </c>
      <c r="G293" s="525" t="str">
        <f>IF('DLL Schedule'!Pay_Num&lt;&gt;"",'DLL Schedule'!Total_Pay-'DLL Schedule'!Int,"")</f>
        <v/>
      </c>
      <c r="H293" s="525" t="str">
        <f>IF('DLL Schedule'!Pay_Num&lt;&gt;"",'DLL Schedule'!Beg_Bal*'DLL Schedule'!Interest_Rate/'DLL Schedule'!Num_Pmt_Per_Year,"")</f>
        <v/>
      </c>
      <c r="I293" s="525" t="str">
        <f>IF('DLL Schedule'!Pay_Num&lt;&gt;"",IF('DLL Schedule'!Sched_Pay+'DLL Schedule'!Extra_Pay&lt;'DLL Schedule'!Beg_Bal,'DLL Schedule'!Beg_Bal-'DLL Schedule'!Princ,0),"")</f>
        <v/>
      </c>
      <c r="J293" s="525">
        <f>SUM($H$18:$H293)</f>
        <v>257912.99524975716</v>
      </c>
      <c r="K293" s="499"/>
    </row>
    <row r="294" spans="1:11" ht="12.75" customHeight="1">
      <c r="A294" s="523" t="str">
        <f>IF(AND('DLL Schedule'!Values_Entered=1,A293&lt;&gt;"",I293&gt;0),A293+1,"")</f>
        <v/>
      </c>
      <c r="B294" s="524" t="str">
        <f>IF('DLL Schedule'!Pay_Num&lt;&gt;"",DATE(YEAR('DLL Schedule'!Loan_Start),MONTH('DLL Schedule'!Loan_Start)+('DLL Schedule'!Pay_Num)*12/'DLL Schedule'!Num_Pmt_Per_Year,DAY('DLL Schedule'!Loan_Start)),"")</f>
        <v/>
      </c>
      <c r="C294" s="525" t="str">
        <f>IF('DLL Schedule'!Pay_Num&lt;&gt;"",I293,"")</f>
        <v/>
      </c>
      <c r="D294" s="525" t="str">
        <f>IF('DLL Schedule'!Pay_Num&lt;&gt;"",'DLL Schedule'!Scheduled_Monthly_Payment,"")</f>
        <v/>
      </c>
      <c r="E2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4" s="525" t="str">
        <f>IF('DLL Schedule'!Pay_Num&lt;&gt;"",IF('DLL Schedule'!Sched_Pay+'DLL Schedule'!Extra_Pay&lt;'DLL Schedule'!Beg_Bal,'DLL Schedule'!Sched_Pay+'DLL Schedule'!Extra_Pay,'DLL Schedule'!Beg_Bal),"")</f>
        <v/>
      </c>
      <c r="G294" s="525" t="str">
        <f>IF('DLL Schedule'!Pay_Num&lt;&gt;"",'DLL Schedule'!Total_Pay-'DLL Schedule'!Int,"")</f>
        <v/>
      </c>
      <c r="H294" s="525" t="str">
        <f>IF('DLL Schedule'!Pay_Num&lt;&gt;"",'DLL Schedule'!Beg_Bal*'DLL Schedule'!Interest_Rate/'DLL Schedule'!Num_Pmt_Per_Year,"")</f>
        <v/>
      </c>
      <c r="I294" s="525" t="str">
        <f>IF('DLL Schedule'!Pay_Num&lt;&gt;"",IF('DLL Schedule'!Sched_Pay+'DLL Schedule'!Extra_Pay&lt;'DLL Schedule'!Beg_Bal,'DLL Schedule'!Beg_Bal-'DLL Schedule'!Princ,0),"")</f>
        <v/>
      </c>
      <c r="J294" s="525">
        <f>SUM($H$18:$H294)</f>
        <v>257912.99524975716</v>
      </c>
      <c r="K294" s="499"/>
    </row>
    <row r="295" spans="1:11" ht="12.75" customHeight="1">
      <c r="A295" s="523" t="str">
        <f>IF(AND('DLL Schedule'!Values_Entered=1,A294&lt;&gt;"",I294&gt;0),A294+1,"")</f>
        <v/>
      </c>
      <c r="B295" s="524" t="str">
        <f>IF('DLL Schedule'!Pay_Num&lt;&gt;"",DATE(YEAR('DLL Schedule'!Loan_Start),MONTH('DLL Schedule'!Loan_Start)+('DLL Schedule'!Pay_Num)*12/'DLL Schedule'!Num_Pmt_Per_Year,DAY('DLL Schedule'!Loan_Start)),"")</f>
        <v/>
      </c>
      <c r="C295" s="525" t="str">
        <f>IF('DLL Schedule'!Pay_Num&lt;&gt;"",I294,"")</f>
        <v/>
      </c>
      <c r="D295" s="525" t="str">
        <f>IF('DLL Schedule'!Pay_Num&lt;&gt;"",'DLL Schedule'!Scheduled_Monthly_Payment,"")</f>
        <v/>
      </c>
      <c r="E2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5" s="525" t="str">
        <f>IF('DLL Schedule'!Pay_Num&lt;&gt;"",IF('DLL Schedule'!Sched_Pay+'DLL Schedule'!Extra_Pay&lt;'DLL Schedule'!Beg_Bal,'DLL Schedule'!Sched_Pay+'DLL Schedule'!Extra_Pay,'DLL Schedule'!Beg_Bal),"")</f>
        <v/>
      </c>
      <c r="G295" s="525" t="str">
        <f>IF('DLL Schedule'!Pay_Num&lt;&gt;"",'DLL Schedule'!Total_Pay-'DLL Schedule'!Int,"")</f>
        <v/>
      </c>
      <c r="H295" s="525" t="str">
        <f>IF('DLL Schedule'!Pay_Num&lt;&gt;"",'DLL Schedule'!Beg_Bal*'DLL Schedule'!Interest_Rate/'DLL Schedule'!Num_Pmt_Per_Year,"")</f>
        <v/>
      </c>
      <c r="I295" s="525" t="str">
        <f>IF('DLL Schedule'!Pay_Num&lt;&gt;"",IF('DLL Schedule'!Sched_Pay+'DLL Schedule'!Extra_Pay&lt;'DLL Schedule'!Beg_Bal,'DLL Schedule'!Beg_Bal-'DLL Schedule'!Princ,0),"")</f>
        <v/>
      </c>
      <c r="J295" s="525">
        <f>SUM($H$18:$H295)</f>
        <v>257912.99524975716</v>
      </c>
      <c r="K295" s="499"/>
    </row>
    <row r="296" spans="1:11" ht="12.75" customHeight="1">
      <c r="A296" s="523" t="str">
        <f>IF(AND('DLL Schedule'!Values_Entered=1,A295&lt;&gt;"",I295&gt;0),A295+1,"")</f>
        <v/>
      </c>
      <c r="B296" s="524" t="str">
        <f>IF('DLL Schedule'!Pay_Num&lt;&gt;"",DATE(YEAR('DLL Schedule'!Loan_Start),MONTH('DLL Schedule'!Loan_Start)+('DLL Schedule'!Pay_Num)*12/'DLL Schedule'!Num_Pmt_Per_Year,DAY('DLL Schedule'!Loan_Start)),"")</f>
        <v/>
      </c>
      <c r="C296" s="525" t="str">
        <f>IF('DLL Schedule'!Pay_Num&lt;&gt;"",I295,"")</f>
        <v/>
      </c>
      <c r="D296" s="525" t="str">
        <f>IF('DLL Schedule'!Pay_Num&lt;&gt;"",'DLL Schedule'!Scheduled_Monthly_Payment,"")</f>
        <v/>
      </c>
      <c r="E2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6" s="525" t="str">
        <f>IF('DLL Schedule'!Pay_Num&lt;&gt;"",IF('DLL Schedule'!Sched_Pay+'DLL Schedule'!Extra_Pay&lt;'DLL Schedule'!Beg_Bal,'DLL Schedule'!Sched_Pay+'DLL Schedule'!Extra_Pay,'DLL Schedule'!Beg_Bal),"")</f>
        <v/>
      </c>
      <c r="G296" s="525" t="str">
        <f>IF('DLL Schedule'!Pay_Num&lt;&gt;"",'DLL Schedule'!Total_Pay-'DLL Schedule'!Int,"")</f>
        <v/>
      </c>
      <c r="H296" s="525" t="str">
        <f>IF('DLL Schedule'!Pay_Num&lt;&gt;"",'DLL Schedule'!Beg_Bal*'DLL Schedule'!Interest_Rate/'DLL Schedule'!Num_Pmt_Per_Year,"")</f>
        <v/>
      </c>
      <c r="I296" s="525" t="str">
        <f>IF('DLL Schedule'!Pay_Num&lt;&gt;"",IF('DLL Schedule'!Sched_Pay+'DLL Schedule'!Extra_Pay&lt;'DLL Schedule'!Beg_Bal,'DLL Schedule'!Beg_Bal-'DLL Schedule'!Princ,0),"")</f>
        <v/>
      </c>
      <c r="J296" s="525">
        <f>SUM($H$18:$H296)</f>
        <v>257912.99524975716</v>
      </c>
      <c r="K296" s="499"/>
    </row>
    <row r="297" spans="1:11" ht="12.75" customHeight="1">
      <c r="A297" s="523" t="str">
        <f>IF(AND('DLL Schedule'!Values_Entered=1,A296&lt;&gt;"",I296&gt;0),A296+1,"")</f>
        <v/>
      </c>
      <c r="B297" s="524" t="str">
        <f>IF('DLL Schedule'!Pay_Num&lt;&gt;"",DATE(YEAR('DLL Schedule'!Loan_Start),MONTH('DLL Schedule'!Loan_Start)+('DLL Schedule'!Pay_Num)*12/'DLL Schedule'!Num_Pmt_Per_Year,DAY('DLL Schedule'!Loan_Start)),"")</f>
        <v/>
      </c>
      <c r="C297" s="525" t="str">
        <f>IF('DLL Schedule'!Pay_Num&lt;&gt;"",I296,"")</f>
        <v/>
      </c>
      <c r="D297" s="525" t="str">
        <f>IF('DLL Schedule'!Pay_Num&lt;&gt;"",'DLL Schedule'!Scheduled_Monthly_Payment,"")</f>
        <v/>
      </c>
      <c r="E2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7" s="525" t="str">
        <f>IF('DLL Schedule'!Pay_Num&lt;&gt;"",IF('DLL Schedule'!Sched_Pay+'DLL Schedule'!Extra_Pay&lt;'DLL Schedule'!Beg_Bal,'DLL Schedule'!Sched_Pay+'DLL Schedule'!Extra_Pay,'DLL Schedule'!Beg_Bal),"")</f>
        <v/>
      </c>
      <c r="G297" s="525" t="str">
        <f>IF('DLL Schedule'!Pay_Num&lt;&gt;"",'DLL Schedule'!Total_Pay-'DLL Schedule'!Int,"")</f>
        <v/>
      </c>
      <c r="H297" s="525" t="str">
        <f>IF('DLL Schedule'!Pay_Num&lt;&gt;"",'DLL Schedule'!Beg_Bal*'DLL Schedule'!Interest_Rate/'DLL Schedule'!Num_Pmt_Per_Year,"")</f>
        <v/>
      </c>
      <c r="I297" s="525" t="str">
        <f>IF('DLL Schedule'!Pay_Num&lt;&gt;"",IF('DLL Schedule'!Sched_Pay+'DLL Schedule'!Extra_Pay&lt;'DLL Schedule'!Beg_Bal,'DLL Schedule'!Beg_Bal-'DLL Schedule'!Princ,0),"")</f>
        <v/>
      </c>
      <c r="J297" s="525">
        <f>SUM($H$18:$H297)</f>
        <v>257912.99524975716</v>
      </c>
      <c r="K297" s="499"/>
    </row>
    <row r="298" spans="1:11" ht="12.75" customHeight="1">
      <c r="A298" s="523" t="str">
        <f>IF(AND('DLL Schedule'!Values_Entered=1,A297&lt;&gt;"",I297&gt;0),A297+1,"")</f>
        <v/>
      </c>
      <c r="B298" s="524" t="str">
        <f>IF('DLL Schedule'!Pay_Num&lt;&gt;"",DATE(YEAR('DLL Schedule'!Loan_Start),MONTH('DLL Schedule'!Loan_Start)+('DLL Schedule'!Pay_Num)*12/'DLL Schedule'!Num_Pmt_Per_Year,DAY('DLL Schedule'!Loan_Start)),"")</f>
        <v/>
      </c>
      <c r="C298" s="525" t="str">
        <f>IF('DLL Schedule'!Pay_Num&lt;&gt;"",I297,"")</f>
        <v/>
      </c>
      <c r="D298" s="525" t="str">
        <f>IF('DLL Schedule'!Pay_Num&lt;&gt;"",'DLL Schedule'!Scheduled_Monthly_Payment,"")</f>
        <v/>
      </c>
      <c r="E2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8" s="525" t="str">
        <f>IF('DLL Schedule'!Pay_Num&lt;&gt;"",IF('DLL Schedule'!Sched_Pay+'DLL Schedule'!Extra_Pay&lt;'DLL Schedule'!Beg_Bal,'DLL Schedule'!Sched_Pay+'DLL Schedule'!Extra_Pay,'DLL Schedule'!Beg_Bal),"")</f>
        <v/>
      </c>
      <c r="G298" s="525" t="str">
        <f>IF('DLL Schedule'!Pay_Num&lt;&gt;"",'DLL Schedule'!Total_Pay-'DLL Schedule'!Int,"")</f>
        <v/>
      </c>
      <c r="H298" s="525" t="str">
        <f>IF('DLL Schedule'!Pay_Num&lt;&gt;"",'DLL Schedule'!Beg_Bal*'DLL Schedule'!Interest_Rate/'DLL Schedule'!Num_Pmt_Per_Year,"")</f>
        <v/>
      </c>
      <c r="I298" s="525" t="str">
        <f>IF('DLL Schedule'!Pay_Num&lt;&gt;"",IF('DLL Schedule'!Sched_Pay+'DLL Schedule'!Extra_Pay&lt;'DLL Schedule'!Beg_Bal,'DLL Schedule'!Beg_Bal-'DLL Schedule'!Princ,0),"")</f>
        <v/>
      </c>
      <c r="J298" s="525">
        <f>SUM($H$18:$H298)</f>
        <v>257912.99524975716</v>
      </c>
      <c r="K298" s="499"/>
    </row>
    <row r="299" spans="1:11" ht="12.75" customHeight="1">
      <c r="A299" s="523" t="str">
        <f>IF(AND('DLL Schedule'!Values_Entered=1,A298&lt;&gt;"",I298&gt;0),A298+1,"")</f>
        <v/>
      </c>
      <c r="B299" s="524" t="str">
        <f>IF('DLL Schedule'!Pay_Num&lt;&gt;"",DATE(YEAR('DLL Schedule'!Loan_Start),MONTH('DLL Schedule'!Loan_Start)+('DLL Schedule'!Pay_Num)*12/'DLL Schedule'!Num_Pmt_Per_Year,DAY('DLL Schedule'!Loan_Start)),"")</f>
        <v/>
      </c>
      <c r="C299" s="525" t="str">
        <f>IF('DLL Schedule'!Pay_Num&lt;&gt;"",I298,"")</f>
        <v/>
      </c>
      <c r="D299" s="525" t="str">
        <f>IF('DLL Schedule'!Pay_Num&lt;&gt;"",'DLL Schedule'!Scheduled_Monthly_Payment,"")</f>
        <v/>
      </c>
      <c r="E2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9" s="525" t="str">
        <f>IF('DLL Schedule'!Pay_Num&lt;&gt;"",IF('DLL Schedule'!Sched_Pay+'DLL Schedule'!Extra_Pay&lt;'DLL Schedule'!Beg_Bal,'DLL Schedule'!Sched_Pay+'DLL Schedule'!Extra_Pay,'DLL Schedule'!Beg_Bal),"")</f>
        <v/>
      </c>
      <c r="G299" s="525" t="str">
        <f>IF('DLL Schedule'!Pay_Num&lt;&gt;"",'DLL Schedule'!Total_Pay-'DLL Schedule'!Int,"")</f>
        <v/>
      </c>
      <c r="H299" s="525" t="str">
        <f>IF('DLL Schedule'!Pay_Num&lt;&gt;"",'DLL Schedule'!Beg_Bal*'DLL Schedule'!Interest_Rate/'DLL Schedule'!Num_Pmt_Per_Year,"")</f>
        <v/>
      </c>
      <c r="I299" s="525" t="str">
        <f>IF('DLL Schedule'!Pay_Num&lt;&gt;"",IF('DLL Schedule'!Sched_Pay+'DLL Schedule'!Extra_Pay&lt;'DLL Schedule'!Beg_Bal,'DLL Schedule'!Beg_Bal-'DLL Schedule'!Princ,0),"")</f>
        <v/>
      </c>
      <c r="J299" s="525">
        <f>SUM($H$18:$H299)</f>
        <v>257912.99524975716</v>
      </c>
      <c r="K299" s="499"/>
    </row>
    <row r="300" spans="1:11" ht="12.75" customHeight="1">
      <c r="A300" s="523" t="str">
        <f>IF(AND('DLL Schedule'!Values_Entered=1,A299&lt;&gt;"",I299&gt;0),A299+1,"")</f>
        <v/>
      </c>
      <c r="B300" s="524" t="str">
        <f>IF('DLL Schedule'!Pay_Num&lt;&gt;"",DATE(YEAR('DLL Schedule'!Loan_Start),MONTH('DLL Schedule'!Loan_Start)+('DLL Schedule'!Pay_Num)*12/'DLL Schedule'!Num_Pmt_Per_Year,DAY('DLL Schedule'!Loan_Start)),"")</f>
        <v/>
      </c>
      <c r="C300" s="525" t="str">
        <f>IF('DLL Schedule'!Pay_Num&lt;&gt;"",I299,"")</f>
        <v/>
      </c>
      <c r="D300" s="525" t="str">
        <f>IF('DLL Schedule'!Pay_Num&lt;&gt;"",'DLL Schedule'!Scheduled_Monthly_Payment,"")</f>
        <v/>
      </c>
      <c r="E3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0" s="525" t="str">
        <f>IF('DLL Schedule'!Pay_Num&lt;&gt;"",IF('DLL Schedule'!Sched_Pay+'DLL Schedule'!Extra_Pay&lt;'DLL Schedule'!Beg_Bal,'DLL Schedule'!Sched_Pay+'DLL Schedule'!Extra_Pay,'DLL Schedule'!Beg_Bal),"")</f>
        <v/>
      </c>
      <c r="G300" s="525" t="str">
        <f>IF('DLL Schedule'!Pay_Num&lt;&gt;"",'DLL Schedule'!Total_Pay-'DLL Schedule'!Int,"")</f>
        <v/>
      </c>
      <c r="H300" s="525" t="str">
        <f>IF('DLL Schedule'!Pay_Num&lt;&gt;"",'DLL Schedule'!Beg_Bal*'DLL Schedule'!Interest_Rate/'DLL Schedule'!Num_Pmt_Per_Year,"")</f>
        <v/>
      </c>
      <c r="I300" s="525" t="str">
        <f>IF('DLL Schedule'!Pay_Num&lt;&gt;"",IF('DLL Schedule'!Sched_Pay+'DLL Schedule'!Extra_Pay&lt;'DLL Schedule'!Beg_Bal,'DLL Schedule'!Beg_Bal-'DLL Schedule'!Princ,0),"")</f>
        <v/>
      </c>
      <c r="J300" s="525">
        <f>SUM($H$18:$H300)</f>
        <v>257912.99524975716</v>
      </c>
      <c r="K300" s="499"/>
    </row>
    <row r="301" spans="1:11" ht="12.75" customHeight="1">
      <c r="A301" s="523" t="str">
        <f>IF(AND('DLL Schedule'!Values_Entered=1,A300&lt;&gt;"",I300&gt;0),A300+1,"")</f>
        <v/>
      </c>
      <c r="B301" s="524" t="str">
        <f>IF('DLL Schedule'!Pay_Num&lt;&gt;"",DATE(YEAR('DLL Schedule'!Loan_Start),MONTH('DLL Schedule'!Loan_Start)+('DLL Schedule'!Pay_Num)*12/'DLL Schedule'!Num_Pmt_Per_Year,DAY('DLL Schedule'!Loan_Start)),"")</f>
        <v/>
      </c>
      <c r="C301" s="525" t="str">
        <f>IF('DLL Schedule'!Pay_Num&lt;&gt;"",I300,"")</f>
        <v/>
      </c>
      <c r="D301" s="525" t="str">
        <f>IF('DLL Schedule'!Pay_Num&lt;&gt;"",'DLL Schedule'!Scheduled_Monthly_Payment,"")</f>
        <v/>
      </c>
      <c r="E3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1" s="525" t="str">
        <f>IF('DLL Schedule'!Pay_Num&lt;&gt;"",IF('DLL Schedule'!Sched_Pay+'DLL Schedule'!Extra_Pay&lt;'DLL Schedule'!Beg_Bal,'DLL Schedule'!Sched_Pay+'DLL Schedule'!Extra_Pay,'DLL Schedule'!Beg_Bal),"")</f>
        <v/>
      </c>
      <c r="G301" s="525" t="str">
        <f>IF('DLL Schedule'!Pay_Num&lt;&gt;"",'DLL Schedule'!Total_Pay-'DLL Schedule'!Int,"")</f>
        <v/>
      </c>
      <c r="H301" s="525" t="str">
        <f>IF('DLL Schedule'!Pay_Num&lt;&gt;"",'DLL Schedule'!Beg_Bal*'DLL Schedule'!Interest_Rate/'DLL Schedule'!Num_Pmt_Per_Year,"")</f>
        <v/>
      </c>
      <c r="I301" s="525" t="str">
        <f>IF('DLL Schedule'!Pay_Num&lt;&gt;"",IF('DLL Schedule'!Sched_Pay+'DLL Schedule'!Extra_Pay&lt;'DLL Schedule'!Beg_Bal,'DLL Schedule'!Beg_Bal-'DLL Schedule'!Princ,0),"")</f>
        <v/>
      </c>
      <c r="J301" s="525">
        <f>SUM($H$18:$H301)</f>
        <v>257912.99524975716</v>
      </c>
      <c r="K301" s="499"/>
    </row>
    <row r="302" spans="1:11" ht="12.75" customHeight="1">
      <c r="A302" s="523" t="str">
        <f>IF(AND('DLL Schedule'!Values_Entered=1,A301&lt;&gt;"",I301&gt;0),A301+1,"")</f>
        <v/>
      </c>
      <c r="B302" s="524" t="str">
        <f>IF('DLL Schedule'!Pay_Num&lt;&gt;"",DATE(YEAR('DLL Schedule'!Loan_Start),MONTH('DLL Schedule'!Loan_Start)+('DLL Schedule'!Pay_Num)*12/'DLL Schedule'!Num_Pmt_Per_Year,DAY('DLL Schedule'!Loan_Start)),"")</f>
        <v/>
      </c>
      <c r="C302" s="525" t="str">
        <f>IF('DLL Schedule'!Pay_Num&lt;&gt;"",I301,"")</f>
        <v/>
      </c>
      <c r="D302" s="525" t="str">
        <f>IF('DLL Schedule'!Pay_Num&lt;&gt;"",'DLL Schedule'!Scheduled_Monthly_Payment,"")</f>
        <v/>
      </c>
      <c r="E3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2" s="525" t="str">
        <f>IF('DLL Schedule'!Pay_Num&lt;&gt;"",IF('DLL Schedule'!Sched_Pay+'DLL Schedule'!Extra_Pay&lt;'DLL Schedule'!Beg_Bal,'DLL Schedule'!Sched_Pay+'DLL Schedule'!Extra_Pay,'DLL Schedule'!Beg_Bal),"")</f>
        <v/>
      </c>
      <c r="G302" s="525" t="str">
        <f>IF('DLL Schedule'!Pay_Num&lt;&gt;"",'DLL Schedule'!Total_Pay-'DLL Schedule'!Int,"")</f>
        <v/>
      </c>
      <c r="H302" s="525" t="str">
        <f>IF('DLL Schedule'!Pay_Num&lt;&gt;"",'DLL Schedule'!Beg_Bal*'DLL Schedule'!Interest_Rate/'DLL Schedule'!Num_Pmt_Per_Year,"")</f>
        <v/>
      </c>
      <c r="I302" s="525" t="str">
        <f>IF('DLL Schedule'!Pay_Num&lt;&gt;"",IF('DLL Schedule'!Sched_Pay+'DLL Schedule'!Extra_Pay&lt;'DLL Schedule'!Beg_Bal,'DLL Schedule'!Beg_Bal-'DLL Schedule'!Princ,0),"")</f>
        <v/>
      </c>
      <c r="J302" s="525">
        <f>SUM($H$18:$H302)</f>
        <v>257912.99524975716</v>
      </c>
      <c r="K302" s="499"/>
    </row>
    <row r="303" spans="1:11" ht="12.75" customHeight="1">
      <c r="A303" s="523" t="str">
        <f>IF(AND('DLL Schedule'!Values_Entered=1,A302&lt;&gt;"",I302&gt;0),A302+1,"")</f>
        <v/>
      </c>
      <c r="B303" s="524" t="str">
        <f>IF('DLL Schedule'!Pay_Num&lt;&gt;"",DATE(YEAR('DLL Schedule'!Loan_Start),MONTH('DLL Schedule'!Loan_Start)+('DLL Schedule'!Pay_Num)*12/'DLL Schedule'!Num_Pmt_Per_Year,DAY('DLL Schedule'!Loan_Start)),"")</f>
        <v/>
      </c>
      <c r="C303" s="525" t="str">
        <f>IF('DLL Schedule'!Pay_Num&lt;&gt;"",I302,"")</f>
        <v/>
      </c>
      <c r="D303" s="525" t="str">
        <f>IF('DLL Schedule'!Pay_Num&lt;&gt;"",'DLL Schedule'!Scheduled_Monthly_Payment,"")</f>
        <v/>
      </c>
      <c r="E3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3" s="525" t="str">
        <f>IF('DLL Schedule'!Pay_Num&lt;&gt;"",IF('DLL Schedule'!Sched_Pay+'DLL Schedule'!Extra_Pay&lt;'DLL Schedule'!Beg_Bal,'DLL Schedule'!Sched_Pay+'DLL Schedule'!Extra_Pay,'DLL Schedule'!Beg_Bal),"")</f>
        <v/>
      </c>
      <c r="G303" s="525" t="str">
        <f>IF('DLL Schedule'!Pay_Num&lt;&gt;"",'DLL Schedule'!Total_Pay-'DLL Schedule'!Int,"")</f>
        <v/>
      </c>
      <c r="H303" s="525" t="str">
        <f>IF('DLL Schedule'!Pay_Num&lt;&gt;"",'DLL Schedule'!Beg_Bal*'DLL Schedule'!Interest_Rate/'DLL Schedule'!Num_Pmt_Per_Year,"")</f>
        <v/>
      </c>
      <c r="I303" s="525" t="str">
        <f>IF('DLL Schedule'!Pay_Num&lt;&gt;"",IF('DLL Schedule'!Sched_Pay+'DLL Schedule'!Extra_Pay&lt;'DLL Schedule'!Beg_Bal,'DLL Schedule'!Beg_Bal-'DLL Schedule'!Princ,0),"")</f>
        <v/>
      </c>
      <c r="J303" s="525">
        <f>SUM($H$18:$H303)</f>
        <v>257912.99524975716</v>
      </c>
      <c r="K303" s="499"/>
    </row>
    <row r="304" spans="1:11" ht="12.75" customHeight="1">
      <c r="A304" s="523" t="str">
        <f>IF(AND('DLL Schedule'!Values_Entered=1,A303&lt;&gt;"",I303&gt;0),A303+1,"")</f>
        <v/>
      </c>
      <c r="B304" s="524" t="str">
        <f>IF('DLL Schedule'!Pay_Num&lt;&gt;"",DATE(YEAR('DLL Schedule'!Loan_Start),MONTH('DLL Schedule'!Loan_Start)+('DLL Schedule'!Pay_Num)*12/'DLL Schedule'!Num_Pmt_Per_Year,DAY('DLL Schedule'!Loan_Start)),"")</f>
        <v/>
      </c>
      <c r="C304" s="525" t="str">
        <f>IF('DLL Schedule'!Pay_Num&lt;&gt;"",I303,"")</f>
        <v/>
      </c>
      <c r="D304" s="525" t="str">
        <f>IF('DLL Schedule'!Pay_Num&lt;&gt;"",'DLL Schedule'!Scheduled_Monthly_Payment,"")</f>
        <v/>
      </c>
      <c r="E3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4" s="525" t="str">
        <f>IF('DLL Schedule'!Pay_Num&lt;&gt;"",IF('DLL Schedule'!Sched_Pay+'DLL Schedule'!Extra_Pay&lt;'DLL Schedule'!Beg_Bal,'DLL Schedule'!Sched_Pay+'DLL Schedule'!Extra_Pay,'DLL Schedule'!Beg_Bal),"")</f>
        <v/>
      </c>
      <c r="G304" s="525" t="str">
        <f>IF('DLL Schedule'!Pay_Num&lt;&gt;"",'DLL Schedule'!Total_Pay-'DLL Schedule'!Int,"")</f>
        <v/>
      </c>
      <c r="H304" s="525" t="str">
        <f>IF('DLL Schedule'!Pay_Num&lt;&gt;"",'DLL Schedule'!Beg_Bal*'DLL Schedule'!Interest_Rate/'DLL Schedule'!Num_Pmt_Per_Year,"")</f>
        <v/>
      </c>
      <c r="I304" s="525" t="str">
        <f>IF('DLL Schedule'!Pay_Num&lt;&gt;"",IF('DLL Schedule'!Sched_Pay+'DLL Schedule'!Extra_Pay&lt;'DLL Schedule'!Beg_Bal,'DLL Schedule'!Beg_Bal-'DLL Schedule'!Princ,0),"")</f>
        <v/>
      </c>
      <c r="J304" s="525">
        <f>SUM($H$18:$H304)</f>
        <v>257912.99524975716</v>
      </c>
      <c r="K304" s="499"/>
    </row>
    <row r="305" spans="1:11" ht="12.75" customHeight="1">
      <c r="A305" s="523" t="str">
        <f>IF(AND('DLL Schedule'!Values_Entered=1,A304&lt;&gt;"",I304&gt;0),A304+1,"")</f>
        <v/>
      </c>
      <c r="B305" s="524" t="str">
        <f>IF('DLL Schedule'!Pay_Num&lt;&gt;"",DATE(YEAR('DLL Schedule'!Loan_Start),MONTH('DLL Schedule'!Loan_Start)+('DLL Schedule'!Pay_Num)*12/'DLL Schedule'!Num_Pmt_Per_Year,DAY('DLL Schedule'!Loan_Start)),"")</f>
        <v/>
      </c>
      <c r="C305" s="525" t="str">
        <f>IF('DLL Schedule'!Pay_Num&lt;&gt;"",I304,"")</f>
        <v/>
      </c>
      <c r="D305" s="525" t="str">
        <f>IF('DLL Schedule'!Pay_Num&lt;&gt;"",'DLL Schedule'!Scheduled_Monthly_Payment,"")</f>
        <v/>
      </c>
      <c r="E3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5" s="525" t="str">
        <f>IF('DLL Schedule'!Pay_Num&lt;&gt;"",IF('DLL Schedule'!Sched_Pay+'DLL Schedule'!Extra_Pay&lt;'DLL Schedule'!Beg_Bal,'DLL Schedule'!Sched_Pay+'DLL Schedule'!Extra_Pay,'DLL Schedule'!Beg_Bal),"")</f>
        <v/>
      </c>
      <c r="G305" s="525" t="str">
        <f>IF('DLL Schedule'!Pay_Num&lt;&gt;"",'DLL Schedule'!Total_Pay-'DLL Schedule'!Int,"")</f>
        <v/>
      </c>
      <c r="H305" s="525" t="str">
        <f>IF('DLL Schedule'!Pay_Num&lt;&gt;"",'DLL Schedule'!Beg_Bal*'DLL Schedule'!Interest_Rate/'DLL Schedule'!Num_Pmt_Per_Year,"")</f>
        <v/>
      </c>
      <c r="I305" s="525" t="str">
        <f>IF('DLL Schedule'!Pay_Num&lt;&gt;"",IF('DLL Schedule'!Sched_Pay+'DLL Schedule'!Extra_Pay&lt;'DLL Schedule'!Beg_Bal,'DLL Schedule'!Beg_Bal-'DLL Schedule'!Princ,0),"")</f>
        <v/>
      </c>
      <c r="J305" s="525">
        <f>SUM($H$18:$H305)</f>
        <v>257912.99524975716</v>
      </c>
      <c r="K305" s="499"/>
    </row>
    <row r="306" spans="1:11" ht="12.75" customHeight="1">
      <c r="A306" s="523" t="str">
        <f>IF(AND('DLL Schedule'!Values_Entered=1,A305&lt;&gt;"",I305&gt;0),A305+1,"")</f>
        <v/>
      </c>
      <c r="B306" s="524" t="str">
        <f>IF('DLL Schedule'!Pay_Num&lt;&gt;"",DATE(YEAR('DLL Schedule'!Loan_Start),MONTH('DLL Schedule'!Loan_Start)+('DLL Schedule'!Pay_Num)*12/'DLL Schedule'!Num_Pmt_Per_Year,DAY('DLL Schedule'!Loan_Start)),"")</f>
        <v/>
      </c>
      <c r="C306" s="525" t="str">
        <f>IF('DLL Schedule'!Pay_Num&lt;&gt;"",I305,"")</f>
        <v/>
      </c>
      <c r="D306" s="525" t="str">
        <f>IF('DLL Schedule'!Pay_Num&lt;&gt;"",'DLL Schedule'!Scheduled_Monthly_Payment,"")</f>
        <v/>
      </c>
      <c r="E3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6" s="525" t="str">
        <f>IF('DLL Schedule'!Pay_Num&lt;&gt;"",IF('DLL Schedule'!Sched_Pay+'DLL Schedule'!Extra_Pay&lt;'DLL Schedule'!Beg_Bal,'DLL Schedule'!Sched_Pay+'DLL Schedule'!Extra_Pay,'DLL Schedule'!Beg_Bal),"")</f>
        <v/>
      </c>
      <c r="G306" s="525" t="str">
        <f>IF('DLL Schedule'!Pay_Num&lt;&gt;"",'DLL Schedule'!Total_Pay-'DLL Schedule'!Int,"")</f>
        <v/>
      </c>
      <c r="H306" s="525" t="str">
        <f>IF('DLL Schedule'!Pay_Num&lt;&gt;"",'DLL Schedule'!Beg_Bal*'DLL Schedule'!Interest_Rate/'DLL Schedule'!Num_Pmt_Per_Year,"")</f>
        <v/>
      </c>
      <c r="I306" s="525" t="str">
        <f>IF('DLL Schedule'!Pay_Num&lt;&gt;"",IF('DLL Schedule'!Sched_Pay+'DLL Schedule'!Extra_Pay&lt;'DLL Schedule'!Beg_Bal,'DLL Schedule'!Beg_Bal-'DLL Schedule'!Princ,0),"")</f>
        <v/>
      </c>
      <c r="J306" s="525">
        <f>SUM($H$18:$H306)</f>
        <v>257912.99524975716</v>
      </c>
      <c r="K306" s="499"/>
    </row>
    <row r="307" spans="1:11" ht="12.75" customHeight="1">
      <c r="A307" s="523" t="str">
        <f>IF(AND('DLL Schedule'!Values_Entered=1,A306&lt;&gt;"",I306&gt;0),A306+1,"")</f>
        <v/>
      </c>
      <c r="B307" s="524" t="str">
        <f>IF('DLL Schedule'!Pay_Num&lt;&gt;"",DATE(YEAR('DLL Schedule'!Loan_Start),MONTH('DLL Schedule'!Loan_Start)+('DLL Schedule'!Pay_Num)*12/'DLL Schedule'!Num_Pmt_Per_Year,DAY('DLL Schedule'!Loan_Start)),"")</f>
        <v/>
      </c>
      <c r="C307" s="525" t="str">
        <f>IF('DLL Schedule'!Pay_Num&lt;&gt;"",I306,"")</f>
        <v/>
      </c>
      <c r="D307" s="525" t="str">
        <f>IF('DLL Schedule'!Pay_Num&lt;&gt;"",'DLL Schedule'!Scheduled_Monthly_Payment,"")</f>
        <v/>
      </c>
      <c r="E3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7" s="525" t="str">
        <f>IF('DLL Schedule'!Pay_Num&lt;&gt;"",IF('DLL Schedule'!Sched_Pay+'DLL Schedule'!Extra_Pay&lt;'DLL Schedule'!Beg_Bal,'DLL Schedule'!Sched_Pay+'DLL Schedule'!Extra_Pay,'DLL Schedule'!Beg_Bal),"")</f>
        <v/>
      </c>
      <c r="G307" s="525" t="str">
        <f>IF('DLL Schedule'!Pay_Num&lt;&gt;"",'DLL Schedule'!Total_Pay-'DLL Schedule'!Int,"")</f>
        <v/>
      </c>
      <c r="H307" s="525" t="str">
        <f>IF('DLL Schedule'!Pay_Num&lt;&gt;"",'DLL Schedule'!Beg_Bal*'DLL Schedule'!Interest_Rate/'DLL Schedule'!Num_Pmt_Per_Year,"")</f>
        <v/>
      </c>
      <c r="I307" s="525" t="str">
        <f>IF('DLL Schedule'!Pay_Num&lt;&gt;"",IF('DLL Schedule'!Sched_Pay+'DLL Schedule'!Extra_Pay&lt;'DLL Schedule'!Beg_Bal,'DLL Schedule'!Beg_Bal-'DLL Schedule'!Princ,0),"")</f>
        <v/>
      </c>
      <c r="J307" s="525">
        <f>SUM($H$18:$H307)</f>
        <v>257912.99524975716</v>
      </c>
      <c r="K307" s="499"/>
    </row>
    <row r="308" spans="1:11" ht="12.75" customHeight="1">
      <c r="A308" s="523" t="str">
        <f>IF(AND('DLL Schedule'!Values_Entered=1,A307&lt;&gt;"",I307&gt;0),A307+1,"")</f>
        <v/>
      </c>
      <c r="B308" s="524" t="str">
        <f>IF('DLL Schedule'!Pay_Num&lt;&gt;"",DATE(YEAR('DLL Schedule'!Loan_Start),MONTH('DLL Schedule'!Loan_Start)+('DLL Schedule'!Pay_Num)*12/'DLL Schedule'!Num_Pmt_Per_Year,DAY('DLL Schedule'!Loan_Start)),"")</f>
        <v/>
      </c>
      <c r="C308" s="525" t="str">
        <f>IF('DLL Schedule'!Pay_Num&lt;&gt;"",I307,"")</f>
        <v/>
      </c>
      <c r="D308" s="525" t="str">
        <f>IF('DLL Schedule'!Pay_Num&lt;&gt;"",'DLL Schedule'!Scheduled_Monthly_Payment,"")</f>
        <v/>
      </c>
      <c r="E3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8" s="525" t="str">
        <f>IF('DLL Schedule'!Pay_Num&lt;&gt;"",IF('DLL Schedule'!Sched_Pay+'DLL Schedule'!Extra_Pay&lt;'DLL Schedule'!Beg_Bal,'DLL Schedule'!Sched_Pay+'DLL Schedule'!Extra_Pay,'DLL Schedule'!Beg_Bal),"")</f>
        <v/>
      </c>
      <c r="G308" s="525" t="str">
        <f>IF('DLL Schedule'!Pay_Num&lt;&gt;"",'DLL Schedule'!Total_Pay-'DLL Schedule'!Int,"")</f>
        <v/>
      </c>
      <c r="H308" s="525" t="str">
        <f>IF('DLL Schedule'!Pay_Num&lt;&gt;"",'DLL Schedule'!Beg_Bal*'DLL Schedule'!Interest_Rate/'DLL Schedule'!Num_Pmt_Per_Year,"")</f>
        <v/>
      </c>
      <c r="I308" s="525" t="str">
        <f>IF('DLL Schedule'!Pay_Num&lt;&gt;"",IF('DLL Schedule'!Sched_Pay+'DLL Schedule'!Extra_Pay&lt;'DLL Schedule'!Beg_Bal,'DLL Schedule'!Beg_Bal-'DLL Schedule'!Princ,0),"")</f>
        <v/>
      </c>
      <c r="J308" s="525">
        <f>SUM($H$18:$H308)</f>
        <v>257912.99524975716</v>
      </c>
      <c r="K308" s="499"/>
    </row>
    <row r="309" spans="1:11" ht="12.75" customHeight="1">
      <c r="A309" s="523" t="str">
        <f>IF(AND('DLL Schedule'!Values_Entered=1,A308&lt;&gt;"",I308&gt;0),A308+1,"")</f>
        <v/>
      </c>
      <c r="B309" s="524" t="str">
        <f>IF('DLL Schedule'!Pay_Num&lt;&gt;"",DATE(YEAR('DLL Schedule'!Loan_Start),MONTH('DLL Schedule'!Loan_Start)+('DLL Schedule'!Pay_Num)*12/'DLL Schedule'!Num_Pmt_Per_Year,DAY('DLL Schedule'!Loan_Start)),"")</f>
        <v/>
      </c>
      <c r="C309" s="525" t="str">
        <f>IF('DLL Schedule'!Pay_Num&lt;&gt;"",I308,"")</f>
        <v/>
      </c>
      <c r="D309" s="525" t="str">
        <f>IF('DLL Schedule'!Pay_Num&lt;&gt;"",'DLL Schedule'!Scheduled_Monthly_Payment,"")</f>
        <v/>
      </c>
      <c r="E3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9" s="525" t="str">
        <f>IF('DLL Schedule'!Pay_Num&lt;&gt;"",IF('DLL Schedule'!Sched_Pay+'DLL Schedule'!Extra_Pay&lt;'DLL Schedule'!Beg_Bal,'DLL Schedule'!Sched_Pay+'DLL Schedule'!Extra_Pay,'DLL Schedule'!Beg_Bal),"")</f>
        <v/>
      </c>
      <c r="G309" s="525" t="str">
        <f>IF('DLL Schedule'!Pay_Num&lt;&gt;"",'DLL Schedule'!Total_Pay-'DLL Schedule'!Int,"")</f>
        <v/>
      </c>
      <c r="H309" s="525" t="str">
        <f>IF('DLL Schedule'!Pay_Num&lt;&gt;"",'DLL Schedule'!Beg_Bal*'DLL Schedule'!Interest_Rate/'DLL Schedule'!Num_Pmt_Per_Year,"")</f>
        <v/>
      </c>
      <c r="I309" s="525" t="str">
        <f>IF('DLL Schedule'!Pay_Num&lt;&gt;"",IF('DLL Schedule'!Sched_Pay+'DLL Schedule'!Extra_Pay&lt;'DLL Schedule'!Beg_Bal,'DLL Schedule'!Beg_Bal-'DLL Schedule'!Princ,0),"")</f>
        <v/>
      </c>
      <c r="J309" s="525">
        <f>SUM($H$18:$H309)</f>
        <v>257912.99524975716</v>
      </c>
      <c r="K309" s="499"/>
    </row>
    <row r="310" spans="1:11" ht="12.75" customHeight="1">
      <c r="A310" s="523" t="str">
        <f>IF(AND('DLL Schedule'!Values_Entered=1,A309&lt;&gt;"",I309&gt;0),A309+1,"")</f>
        <v/>
      </c>
      <c r="B310" s="524" t="str">
        <f>IF('DLL Schedule'!Pay_Num&lt;&gt;"",DATE(YEAR('DLL Schedule'!Loan_Start),MONTH('DLL Schedule'!Loan_Start)+('DLL Schedule'!Pay_Num)*12/'DLL Schedule'!Num_Pmt_Per_Year,DAY('DLL Schedule'!Loan_Start)),"")</f>
        <v/>
      </c>
      <c r="C310" s="525" t="str">
        <f>IF('DLL Schedule'!Pay_Num&lt;&gt;"",I309,"")</f>
        <v/>
      </c>
      <c r="D310" s="525" t="str">
        <f>IF('DLL Schedule'!Pay_Num&lt;&gt;"",'DLL Schedule'!Scheduled_Monthly_Payment,"")</f>
        <v/>
      </c>
      <c r="E3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0" s="525" t="str">
        <f>IF('DLL Schedule'!Pay_Num&lt;&gt;"",IF('DLL Schedule'!Sched_Pay+'DLL Schedule'!Extra_Pay&lt;'DLL Schedule'!Beg_Bal,'DLL Schedule'!Sched_Pay+'DLL Schedule'!Extra_Pay,'DLL Schedule'!Beg_Bal),"")</f>
        <v/>
      </c>
      <c r="G310" s="525" t="str">
        <f>IF('DLL Schedule'!Pay_Num&lt;&gt;"",'DLL Schedule'!Total_Pay-'DLL Schedule'!Int,"")</f>
        <v/>
      </c>
      <c r="H310" s="525" t="str">
        <f>IF('DLL Schedule'!Pay_Num&lt;&gt;"",'DLL Schedule'!Beg_Bal*'DLL Schedule'!Interest_Rate/'DLL Schedule'!Num_Pmt_Per_Year,"")</f>
        <v/>
      </c>
      <c r="I310" s="525" t="str">
        <f>IF('DLL Schedule'!Pay_Num&lt;&gt;"",IF('DLL Schedule'!Sched_Pay+'DLL Schedule'!Extra_Pay&lt;'DLL Schedule'!Beg_Bal,'DLL Schedule'!Beg_Bal-'DLL Schedule'!Princ,0),"")</f>
        <v/>
      </c>
      <c r="J310" s="525">
        <f>SUM($H$18:$H310)</f>
        <v>257912.99524975716</v>
      </c>
      <c r="K310" s="499"/>
    </row>
    <row r="311" spans="1:11" ht="12.75" customHeight="1">
      <c r="A311" s="523" t="str">
        <f>IF(AND('DLL Schedule'!Values_Entered=1,A310&lt;&gt;"",I310&gt;0),A310+1,"")</f>
        <v/>
      </c>
      <c r="B311" s="524" t="str">
        <f>IF('DLL Schedule'!Pay_Num&lt;&gt;"",DATE(YEAR('DLL Schedule'!Loan_Start),MONTH('DLL Schedule'!Loan_Start)+('DLL Schedule'!Pay_Num)*12/'DLL Schedule'!Num_Pmt_Per_Year,DAY('DLL Schedule'!Loan_Start)),"")</f>
        <v/>
      </c>
      <c r="C311" s="525" t="str">
        <f>IF('DLL Schedule'!Pay_Num&lt;&gt;"",I310,"")</f>
        <v/>
      </c>
      <c r="D311" s="525" t="str">
        <f>IF('DLL Schedule'!Pay_Num&lt;&gt;"",'DLL Schedule'!Scheduled_Monthly_Payment,"")</f>
        <v/>
      </c>
      <c r="E3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1" s="525" t="str">
        <f>IF('DLL Schedule'!Pay_Num&lt;&gt;"",IF('DLL Schedule'!Sched_Pay+'DLL Schedule'!Extra_Pay&lt;'DLL Schedule'!Beg_Bal,'DLL Schedule'!Sched_Pay+'DLL Schedule'!Extra_Pay,'DLL Schedule'!Beg_Bal),"")</f>
        <v/>
      </c>
      <c r="G311" s="525" t="str">
        <f>IF('DLL Schedule'!Pay_Num&lt;&gt;"",'DLL Schedule'!Total_Pay-'DLL Schedule'!Int,"")</f>
        <v/>
      </c>
      <c r="H311" s="525" t="str">
        <f>IF('DLL Schedule'!Pay_Num&lt;&gt;"",'DLL Schedule'!Beg_Bal*'DLL Schedule'!Interest_Rate/'DLL Schedule'!Num_Pmt_Per_Year,"")</f>
        <v/>
      </c>
      <c r="I311" s="525" t="str">
        <f>IF('DLL Schedule'!Pay_Num&lt;&gt;"",IF('DLL Schedule'!Sched_Pay+'DLL Schedule'!Extra_Pay&lt;'DLL Schedule'!Beg_Bal,'DLL Schedule'!Beg_Bal-'DLL Schedule'!Princ,0),"")</f>
        <v/>
      </c>
      <c r="J311" s="525">
        <f>SUM($H$18:$H311)</f>
        <v>257912.99524975716</v>
      </c>
      <c r="K311" s="499"/>
    </row>
    <row r="312" spans="1:11" ht="12.75" customHeight="1">
      <c r="A312" s="523" t="str">
        <f>IF(AND('DLL Schedule'!Values_Entered=1,A311&lt;&gt;"",I311&gt;0),A311+1,"")</f>
        <v/>
      </c>
      <c r="B312" s="524" t="str">
        <f>IF('DLL Schedule'!Pay_Num&lt;&gt;"",DATE(YEAR('DLL Schedule'!Loan_Start),MONTH('DLL Schedule'!Loan_Start)+('DLL Schedule'!Pay_Num)*12/'DLL Schedule'!Num_Pmt_Per_Year,DAY('DLL Schedule'!Loan_Start)),"")</f>
        <v/>
      </c>
      <c r="C312" s="525" t="str">
        <f>IF('DLL Schedule'!Pay_Num&lt;&gt;"",I311,"")</f>
        <v/>
      </c>
      <c r="D312" s="525" t="str">
        <f>IF('DLL Schedule'!Pay_Num&lt;&gt;"",'DLL Schedule'!Scheduled_Monthly_Payment,"")</f>
        <v/>
      </c>
      <c r="E3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2" s="525" t="str">
        <f>IF('DLL Schedule'!Pay_Num&lt;&gt;"",IF('DLL Schedule'!Sched_Pay+'DLL Schedule'!Extra_Pay&lt;'DLL Schedule'!Beg_Bal,'DLL Schedule'!Sched_Pay+'DLL Schedule'!Extra_Pay,'DLL Schedule'!Beg_Bal),"")</f>
        <v/>
      </c>
      <c r="G312" s="525" t="str">
        <f>IF('DLL Schedule'!Pay_Num&lt;&gt;"",'DLL Schedule'!Total_Pay-'DLL Schedule'!Int,"")</f>
        <v/>
      </c>
      <c r="H312" s="525" t="str">
        <f>IF('DLL Schedule'!Pay_Num&lt;&gt;"",'DLL Schedule'!Beg_Bal*'DLL Schedule'!Interest_Rate/'DLL Schedule'!Num_Pmt_Per_Year,"")</f>
        <v/>
      </c>
      <c r="I312" s="525" t="str">
        <f>IF('DLL Schedule'!Pay_Num&lt;&gt;"",IF('DLL Schedule'!Sched_Pay+'DLL Schedule'!Extra_Pay&lt;'DLL Schedule'!Beg_Bal,'DLL Schedule'!Beg_Bal-'DLL Schedule'!Princ,0),"")</f>
        <v/>
      </c>
      <c r="J312" s="525">
        <f>SUM($H$18:$H312)</f>
        <v>257912.99524975716</v>
      </c>
      <c r="K312" s="499"/>
    </row>
    <row r="313" spans="1:11" ht="12.75" customHeight="1">
      <c r="A313" s="523" t="str">
        <f>IF(AND('DLL Schedule'!Values_Entered=1,A312&lt;&gt;"",I312&gt;0),A312+1,"")</f>
        <v/>
      </c>
      <c r="B313" s="524" t="str">
        <f>IF('DLL Schedule'!Pay_Num&lt;&gt;"",DATE(YEAR('DLL Schedule'!Loan_Start),MONTH('DLL Schedule'!Loan_Start)+('DLL Schedule'!Pay_Num)*12/'DLL Schedule'!Num_Pmt_Per_Year,DAY('DLL Schedule'!Loan_Start)),"")</f>
        <v/>
      </c>
      <c r="C313" s="525" t="str">
        <f>IF('DLL Schedule'!Pay_Num&lt;&gt;"",I312,"")</f>
        <v/>
      </c>
      <c r="D313" s="525" t="str">
        <f>IF('DLL Schedule'!Pay_Num&lt;&gt;"",'DLL Schedule'!Scheduled_Monthly_Payment,"")</f>
        <v/>
      </c>
      <c r="E3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3" s="525" t="str">
        <f>IF('DLL Schedule'!Pay_Num&lt;&gt;"",IF('DLL Schedule'!Sched_Pay+'DLL Schedule'!Extra_Pay&lt;'DLL Schedule'!Beg_Bal,'DLL Schedule'!Sched_Pay+'DLL Schedule'!Extra_Pay,'DLL Schedule'!Beg_Bal),"")</f>
        <v/>
      </c>
      <c r="G313" s="525" t="str">
        <f>IF('DLL Schedule'!Pay_Num&lt;&gt;"",'DLL Schedule'!Total_Pay-'DLL Schedule'!Int,"")</f>
        <v/>
      </c>
      <c r="H313" s="525" t="str">
        <f>IF('DLL Schedule'!Pay_Num&lt;&gt;"",'DLL Schedule'!Beg_Bal*'DLL Schedule'!Interest_Rate/'DLL Schedule'!Num_Pmt_Per_Year,"")</f>
        <v/>
      </c>
      <c r="I313" s="525" t="str">
        <f>IF('DLL Schedule'!Pay_Num&lt;&gt;"",IF('DLL Schedule'!Sched_Pay+'DLL Schedule'!Extra_Pay&lt;'DLL Schedule'!Beg_Bal,'DLL Schedule'!Beg_Bal-'DLL Schedule'!Princ,0),"")</f>
        <v/>
      </c>
      <c r="J313" s="525">
        <f>SUM($H$18:$H313)</f>
        <v>257912.99524975716</v>
      </c>
      <c r="K313" s="499"/>
    </row>
    <row r="314" spans="1:11" ht="12.75" customHeight="1">
      <c r="A314" s="523" t="str">
        <f>IF(AND('DLL Schedule'!Values_Entered=1,A313&lt;&gt;"",I313&gt;0),A313+1,"")</f>
        <v/>
      </c>
      <c r="B314" s="524" t="str">
        <f>IF('DLL Schedule'!Pay_Num&lt;&gt;"",DATE(YEAR('DLL Schedule'!Loan_Start),MONTH('DLL Schedule'!Loan_Start)+('DLL Schedule'!Pay_Num)*12/'DLL Schedule'!Num_Pmt_Per_Year,DAY('DLL Schedule'!Loan_Start)),"")</f>
        <v/>
      </c>
      <c r="C314" s="525" t="str">
        <f>IF('DLL Schedule'!Pay_Num&lt;&gt;"",I313,"")</f>
        <v/>
      </c>
      <c r="D314" s="525" t="str">
        <f>IF('DLL Schedule'!Pay_Num&lt;&gt;"",'DLL Schedule'!Scheduled_Monthly_Payment,"")</f>
        <v/>
      </c>
      <c r="E3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4" s="525" t="str">
        <f>IF('DLL Schedule'!Pay_Num&lt;&gt;"",IF('DLL Schedule'!Sched_Pay+'DLL Schedule'!Extra_Pay&lt;'DLL Schedule'!Beg_Bal,'DLL Schedule'!Sched_Pay+'DLL Schedule'!Extra_Pay,'DLL Schedule'!Beg_Bal),"")</f>
        <v/>
      </c>
      <c r="G314" s="525" t="str">
        <f>IF('DLL Schedule'!Pay_Num&lt;&gt;"",'DLL Schedule'!Total_Pay-'DLL Schedule'!Int,"")</f>
        <v/>
      </c>
      <c r="H314" s="525" t="str">
        <f>IF('DLL Schedule'!Pay_Num&lt;&gt;"",'DLL Schedule'!Beg_Bal*'DLL Schedule'!Interest_Rate/'DLL Schedule'!Num_Pmt_Per_Year,"")</f>
        <v/>
      </c>
      <c r="I314" s="525" t="str">
        <f>IF('DLL Schedule'!Pay_Num&lt;&gt;"",IF('DLL Schedule'!Sched_Pay+'DLL Schedule'!Extra_Pay&lt;'DLL Schedule'!Beg_Bal,'DLL Schedule'!Beg_Bal-'DLL Schedule'!Princ,0),"")</f>
        <v/>
      </c>
      <c r="J314" s="525">
        <f>SUM($H$18:$H314)</f>
        <v>257912.99524975716</v>
      </c>
      <c r="K314" s="499"/>
    </row>
    <row r="315" spans="1:11" ht="12.75" customHeight="1">
      <c r="A315" s="523" t="str">
        <f>IF(AND('DLL Schedule'!Values_Entered=1,A314&lt;&gt;"",I314&gt;0),A314+1,"")</f>
        <v/>
      </c>
      <c r="B315" s="524" t="str">
        <f>IF('DLL Schedule'!Pay_Num&lt;&gt;"",DATE(YEAR('DLL Schedule'!Loan_Start),MONTH('DLL Schedule'!Loan_Start)+('DLL Schedule'!Pay_Num)*12/'DLL Schedule'!Num_Pmt_Per_Year,DAY('DLL Schedule'!Loan_Start)),"")</f>
        <v/>
      </c>
      <c r="C315" s="525" t="str">
        <f>IF('DLL Schedule'!Pay_Num&lt;&gt;"",I314,"")</f>
        <v/>
      </c>
      <c r="D315" s="525" t="str">
        <f>IF('DLL Schedule'!Pay_Num&lt;&gt;"",'DLL Schedule'!Scheduled_Monthly_Payment,"")</f>
        <v/>
      </c>
      <c r="E3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5" s="525" t="str">
        <f>IF('DLL Schedule'!Pay_Num&lt;&gt;"",IF('DLL Schedule'!Sched_Pay+'DLL Schedule'!Extra_Pay&lt;'DLL Schedule'!Beg_Bal,'DLL Schedule'!Sched_Pay+'DLL Schedule'!Extra_Pay,'DLL Schedule'!Beg_Bal),"")</f>
        <v/>
      </c>
      <c r="G315" s="525" t="str">
        <f>IF('DLL Schedule'!Pay_Num&lt;&gt;"",'DLL Schedule'!Total_Pay-'DLL Schedule'!Int,"")</f>
        <v/>
      </c>
      <c r="H315" s="525" t="str">
        <f>IF('DLL Schedule'!Pay_Num&lt;&gt;"",'DLL Schedule'!Beg_Bal*'DLL Schedule'!Interest_Rate/'DLL Schedule'!Num_Pmt_Per_Year,"")</f>
        <v/>
      </c>
      <c r="I315" s="525" t="str">
        <f>IF('DLL Schedule'!Pay_Num&lt;&gt;"",IF('DLL Schedule'!Sched_Pay+'DLL Schedule'!Extra_Pay&lt;'DLL Schedule'!Beg_Bal,'DLL Schedule'!Beg_Bal-'DLL Schedule'!Princ,0),"")</f>
        <v/>
      </c>
      <c r="J315" s="525">
        <f>SUM($H$18:$H315)</f>
        <v>257912.99524975716</v>
      </c>
      <c r="K315" s="499"/>
    </row>
    <row r="316" spans="1:11" ht="12.75" customHeight="1">
      <c r="A316" s="523" t="str">
        <f>IF(AND('DLL Schedule'!Values_Entered=1,A315&lt;&gt;"",I315&gt;0),A315+1,"")</f>
        <v/>
      </c>
      <c r="B316" s="524" t="str">
        <f>IF('DLL Schedule'!Pay_Num&lt;&gt;"",DATE(YEAR('DLL Schedule'!Loan_Start),MONTH('DLL Schedule'!Loan_Start)+('DLL Schedule'!Pay_Num)*12/'DLL Schedule'!Num_Pmt_Per_Year,DAY('DLL Schedule'!Loan_Start)),"")</f>
        <v/>
      </c>
      <c r="C316" s="525" t="str">
        <f>IF('DLL Schedule'!Pay_Num&lt;&gt;"",I315,"")</f>
        <v/>
      </c>
      <c r="D316" s="525" t="str">
        <f>IF('DLL Schedule'!Pay_Num&lt;&gt;"",'DLL Schedule'!Scheduled_Monthly_Payment,"")</f>
        <v/>
      </c>
      <c r="E3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6" s="525" t="str">
        <f>IF('DLL Schedule'!Pay_Num&lt;&gt;"",IF('DLL Schedule'!Sched_Pay+'DLL Schedule'!Extra_Pay&lt;'DLL Schedule'!Beg_Bal,'DLL Schedule'!Sched_Pay+'DLL Schedule'!Extra_Pay,'DLL Schedule'!Beg_Bal),"")</f>
        <v/>
      </c>
      <c r="G316" s="525" t="str">
        <f>IF('DLL Schedule'!Pay_Num&lt;&gt;"",'DLL Schedule'!Total_Pay-'DLL Schedule'!Int,"")</f>
        <v/>
      </c>
      <c r="H316" s="525" t="str">
        <f>IF('DLL Schedule'!Pay_Num&lt;&gt;"",'DLL Schedule'!Beg_Bal*'DLL Schedule'!Interest_Rate/'DLL Schedule'!Num_Pmt_Per_Year,"")</f>
        <v/>
      </c>
      <c r="I316" s="525" t="str">
        <f>IF('DLL Schedule'!Pay_Num&lt;&gt;"",IF('DLL Schedule'!Sched_Pay+'DLL Schedule'!Extra_Pay&lt;'DLL Schedule'!Beg_Bal,'DLL Schedule'!Beg_Bal-'DLL Schedule'!Princ,0),"")</f>
        <v/>
      </c>
      <c r="J316" s="525">
        <f>SUM($H$18:$H316)</f>
        <v>257912.99524975716</v>
      </c>
      <c r="K316" s="499"/>
    </row>
    <row r="317" spans="1:11" ht="12.75" customHeight="1">
      <c r="A317" s="523" t="str">
        <f>IF(AND('DLL Schedule'!Values_Entered=1,A316&lt;&gt;"",I316&gt;0),A316+1,"")</f>
        <v/>
      </c>
      <c r="B317" s="524" t="str">
        <f>IF('DLL Schedule'!Pay_Num&lt;&gt;"",DATE(YEAR('DLL Schedule'!Loan_Start),MONTH('DLL Schedule'!Loan_Start)+('DLL Schedule'!Pay_Num)*12/'DLL Schedule'!Num_Pmt_Per_Year,DAY('DLL Schedule'!Loan_Start)),"")</f>
        <v/>
      </c>
      <c r="C317" s="525" t="str">
        <f>IF('DLL Schedule'!Pay_Num&lt;&gt;"",I316,"")</f>
        <v/>
      </c>
      <c r="D317" s="525" t="str">
        <f>IF('DLL Schedule'!Pay_Num&lt;&gt;"",'DLL Schedule'!Scheduled_Monthly_Payment,"")</f>
        <v/>
      </c>
      <c r="E3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7" s="525" t="str">
        <f>IF('DLL Schedule'!Pay_Num&lt;&gt;"",IF('DLL Schedule'!Sched_Pay+'DLL Schedule'!Extra_Pay&lt;'DLL Schedule'!Beg_Bal,'DLL Schedule'!Sched_Pay+'DLL Schedule'!Extra_Pay,'DLL Schedule'!Beg_Bal),"")</f>
        <v/>
      </c>
      <c r="G317" s="525" t="str">
        <f>IF('DLL Schedule'!Pay_Num&lt;&gt;"",'DLL Schedule'!Total_Pay-'DLL Schedule'!Int,"")</f>
        <v/>
      </c>
      <c r="H317" s="525" t="str">
        <f>IF('DLL Schedule'!Pay_Num&lt;&gt;"",'DLL Schedule'!Beg_Bal*'DLL Schedule'!Interest_Rate/'DLL Schedule'!Num_Pmt_Per_Year,"")</f>
        <v/>
      </c>
      <c r="I317" s="525" t="str">
        <f>IF('DLL Schedule'!Pay_Num&lt;&gt;"",IF('DLL Schedule'!Sched_Pay+'DLL Schedule'!Extra_Pay&lt;'DLL Schedule'!Beg_Bal,'DLL Schedule'!Beg_Bal-'DLL Schedule'!Princ,0),"")</f>
        <v/>
      </c>
      <c r="J317" s="525">
        <f>SUM($H$18:$H317)</f>
        <v>257912.99524975716</v>
      </c>
      <c r="K317" s="499"/>
    </row>
    <row r="318" spans="1:11" ht="12.75" customHeight="1">
      <c r="A318" s="523" t="str">
        <f>IF(AND('DLL Schedule'!Values_Entered=1,A317&lt;&gt;"",I317&gt;0),A317+1,"")</f>
        <v/>
      </c>
      <c r="B318" s="524" t="str">
        <f>IF('DLL Schedule'!Pay_Num&lt;&gt;"",DATE(YEAR('DLL Schedule'!Loan_Start),MONTH('DLL Schedule'!Loan_Start)+('DLL Schedule'!Pay_Num)*12/'DLL Schedule'!Num_Pmt_Per_Year,DAY('DLL Schedule'!Loan_Start)),"")</f>
        <v/>
      </c>
      <c r="C318" s="525" t="str">
        <f>IF('DLL Schedule'!Pay_Num&lt;&gt;"",I317,"")</f>
        <v/>
      </c>
      <c r="D318" s="525" t="str">
        <f>IF('DLL Schedule'!Pay_Num&lt;&gt;"",'DLL Schedule'!Scheduled_Monthly_Payment,"")</f>
        <v/>
      </c>
      <c r="E3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8" s="525" t="str">
        <f>IF('DLL Schedule'!Pay_Num&lt;&gt;"",IF('DLL Schedule'!Sched_Pay+'DLL Schedule'!Extra_Pay&lt;'DLL Schedule'!Beg_Bal,'DLL Schedule'!Sched_Pay+'DLL Schedule'!Extra_Pay,'DLL Schedule'!Beg_Bal),"")</f>
        <v/>
      </c>
      <c r="G318" s="525" t="str">
        <f>IF('DLL Schedule'!Pay_Num&lt;&gt;"",'DLL Schedule'!Total_Pay-'DLL Schedule'!Int,"")</f>
        <v/>
      </c>
      <c r="H318" s="525" t="str">
        <f>IF('DLL Schedule'!Pay_Num&lt;&gt;"",'DLL Schedule'!Beg_Bal*'DLL Schedule'!Interest_Rate/'DLL Schedule'!Num_Pmt_Per_Year,"")</f>
        <v/>
      </c>
      <c r="I318" s="525" t="str">
        <f>IF('DLL Schedule'!Pay_Num&lt;&gt;"",IF('DLL Schedule'!Sched_Pay+'DLL Schedule'!Extra_Pay&lt;'DLL Schedule'!Beg_Bal,'DLL Schedule'!Beg_Bal-'DLL Schedule'!Princ,0),"")</f>
        <v/>
      </c>
      <c r="J318" s="525">
        <f>SUM($H$18:$H318)</f>
        <v>257912.99524975716</v>
      </c>
      <c r="K318" s="499"/>
    </row>
    <row r="319" spans="1:11" ht="12.75" customHeight="1">
      <c r="A319" s="523" t="str">
        <f>IF(AND('DLL Schedule'!Values_Entered=1,A318&lt;&gt;"",I318&gt;0),A318+1,"")</f>
        <v/>
      </c>
      <c r="B319" s="524" t="str">
        <f>IF('DLL Schedule'!Pay_Num&lt;&gt;"",DATE(YEAR('DLL Schedule'!Loan_Start),MONTH('DLL Schedule'!Loan_Start)+('DLL Schedule'!Pay_Num)*12/'DLL Schedule'!Num_Pmt_Per_Year,DAY('DLL Schedule'!Loan_Start)),"")</f>
        <v/>
      </c>
      <c r="C319" s="525" t="str">
        <f>IF('DLL Schedule'!Pay_Num&lt;&gt;"",I318,"")</f>
        <v/>
      </c>
      <c r="D319" s="525" t="str">
        <f>IF('DLL Schedule'!Pay_Num&lt;&gt;"",'DLL Schedule'!Scheduled_Monthly_Payment,"")</f>
        <v/>
      </c>
      <c r="E3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9" s="525" t="str">
        <f>IF('DLL Schedule'!Pay_Num&lt;&gt;"",IF('DLL Schedule'!Sched_Pay+'DLL Schedule'!Extra_Pay&lt;'DLL Schedule'!Beg_Bal,'DLL Schedule'!Sched_Pay+'DLL Schedule'!Extra_Pay,'DLL Schedule'!Beg_Bal),"")</f>
        <v/>
      </c>
      <c r="G319" s="525" t="str">
        <f>IF('DLL Schedule'!Pay_Num&lt;&gt;"",'DLL Schedule'!Total_Pay-'DLL Schedule'!Int,"")</f>
        <v/>
      </c>
      <c r="H319" s="525" t="str">
        <f>IF('DLL Schedule'!Pay_Num&lt;&gt;"",'DLL Schedule'!Beg_Bal*'DLL Schedule'!Interest_Rate/'DLL Schedule'!Num_Pmt_Per_Year,"")</f>
        <v/>
      </c>
      <c r="I319" s="525" t="str">
        <f>IF('DLL Schedule'!Pay_Num&lt;&gt;"",IF('DLL Schedule'!Sched_Pay+'DLL Schedule'!Extra_Pay&lt;'DLL Schedule'!Beg_Bal,'DLL Schedule'!Beg_Bal-'DLL Schedule'!Princ,0),"")</f>
        <v/>
      </c>
      <c r="J319" s="525">
        <f>SUM($H$18:$H319)</f>
        <v>257912.99524975716</v>
      </c>
      <c r="K319" s="499"/>
    </row>
    <row r="320" spans="1:11" ht="12.75" customHeight="1">
      <c r="A320" s="523" t="str">
        <f>IF(AND('DLL Schedule'!Values_Entered=1,A319&lt;&gt;"",I319&gt;0),A319+1,"")</f>
        <v/>
      </c>
      <c r="B320" s="524" t="str">
        <f>IF('DLL Schedule'!Pay_Num&lt;&gt;"",DATE(YEAR('DLL Schedule'!Loan_Start),MONTH('DLL Schedule'!Loan_Start)+('DLL Schedule'!Pay_Num)*12/'DLL Schedule'!Num_Pmt_Per_Year,DAY('DLL Schedule'!Loan_Start)),"")</f>
        <v/>
      </c>
      <c r="C320" s="525" t="str">
        <f>IF('DLL Schedule'!Pay_Num&lt;&gt;"",I319,"")</f>
        <v/>
      </c>
      <c r="D320" s="525" t="str">
        <f>IF('DLL Schedule'!Pay_Num&lt;&gt;"",'DLL Schedule'!Scheduled_Monthly_Payment,"")</f>
        <v/>
      </c>
      <c r="E3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0" s="525" t="str">
        <f>IF('DLL Schedule'!Pay_Num&lt;&gt;"",IF('DLL Schedule'!Sched_Pay+'DLL Schedule'!Extra_Pay&lt;'DLL Schedule'!Beg_Bal,'DLL Schedule'!Sched_Pay+'DLL Schedule'!Extra_Pay,'DLL Schedule'!Beg_Bal),"")</f>
        <v/>
      </c>
      <c r="G320" s="525" t="str">
        <f>IF('DLL Schedule'!Pay_Num&lt;&gt;"",'DLL Schedule'!Total_Pay-'DLL Schedule'!Int,"")</f>
        <v/>
      </c>
      <c r="H320" s="525" t="str">
        <f>IF('DLL Schedule'!Pay_Num&lt;&gt;"",'DLL Schedule'!Beg_Bal*'DLL Schedule'!Interest_Rate/'DLL Schedule'!Num_Pmt_Per_Year,"")</f>
        <v/>
      </c>
      <c r="I320" s="525" t="str">
        <f>IF('DLL Schedule'!Pay_Num&lt;&gt;"",IF('DLL Schedule'!Sched_Pay+'DLL Schedule'!Extra_Pay&lt;'DLL Schedule'!Beg_Bal,'DLL Schedule'!Beg_Bal-'DLL Schedule'!Princ,0),"")</f>
        <v/>
      </c>
      <c r="J320" s="525">
        <f>SUM($H$18:$H320)</f>
        <v>257912.99524975716</v>
      </c>
      <c r="K320" s="499"/>
    </row>
    <row r="321" spans="1:11" ht="12.75" customHeight="1">
      <c r="A321" s="523" t="str">
        <f>IF(AND('DLL Schedule'!Values_Entered=1,A320&lt;&gt;"",I320&gt;0),A320+1,"")</f>
        <v/>
      </c>
      <c r="B321" s="524" t="str">
        <f>IF('DLL Schedule'!Pay_Num&lt;&gt;"",DATE(YEAR('DLL Schedule'!Loan_Start),MONTH('DLL Schedule'!Loan_Start)+('DLL Schedule'!Pay_Num)*12/'DLL Schedule'!Num_Pmt_Per_Year,DAY('DLL Schedule'!Loan_Start)),"")</f>
        <v/>
      </c>
      <c r="C321" s="525" t="str">
        <f>IF('DLL Schedule'!Pay_Num&lt;&gt;"",I320,"")</f>
        <v/>
      </c>
      <c r="D321" s="525" t="str">
        <f>IF('DLL Schedule'!Pay_Num&lt;&gt;"",'DLL Schedule'!Scheduled_Monthly_Payment,"")</f>
        <v/>
      </c>
      <c r="E3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1" s="525" t="str">
        <f>IF('DLL Schedule'!Pay_Num&lt;&gt;"",IF('DLL Schedule'!Sched_Pay+'DLL Schedule'!Extra_Pay&lt;'DLL Schedule'!Beg_Bal,'DLL Schedule'!Sched_Pay+'DLL Schedule'!Extra_Pay,'DLL Schedule'!Beg_Bal),"")</f>
        <v/>
      </c>
      <c r="G321" s="525" t="str">
        <f>IF('DLL Schedule'!Pay_Num&lt;&gt;"",'DLL Schedule'!Total_Pay-'DLL Schedule'!Int,"")</f>
        <v/>
      </c>
      <c r="H321" s="525" t="str">
        <f>IF('DLL Schedule'!Pay_Num&lt;&gt;"",'DLL Schedule'!Beg_Bal*'DLL Schedule'!Interest_Rate/'DLL Schedule'!Num_Pmt_Per_Year,"")</f>
        <v/>
      </c>
      <c r="I321" s="525" t="str">
        <f>IF('DLL Schedule'!Pay_Num&lt;&gt;"",IF('DLL Schedule'!Sched_Pay+'DLL Schedule'!Extra_Pay&lt;'DLL Schedule'!Beg_Bal,'DLL Schedule'!Beg_Bal-'DLL Schedule'!Princ,0),"")</f>
        <v/>
      </c>
      <c r="J321" s="525">
        <f>SUM($H$18:$H321)</f>
        <v>257912.99524975716</v>
      </c>
      <c r="K321" s="499"/>
    </row>
    <row r="322" spans="1:11" ht="12.75" customHeight="1">
      <c r="A322" s="523" t="str">
        <f>IF(AND('DLL Schedule'!Values_Entered=1,A321&lt;&gt;"",I321&gt;0),A321+1,"")</f>
        <v/>
      </c>
      <c r="B322" s="524" t="str">
        <f>IF('DLL Schedule'!Pay_Num&lt;&gt;"",DATE(YEAR('DLL Schedule'!Loan_Start),MONTH('DLL Schedule'!Loan_Start)+('DLL Schedule'!Pay_Num)*12/'DLL Schedule'!Num_Pmt_Per_Year,DAY('DLL Schedule'!Loan_Start)),"")</f>
        <v/>
      </c>
      <c r="C322" s="525" t="str">
        <f>IF('DLL Schedule'!Pay_Num&lt;&gt;"",I321,"")</f>
        <v/>
      </c>
      <c r="D322" s="525" t="str">
        <f>IF('DLL Schedule'!Pay_Num&lt;&gt;"",'DLL Schedule'!Scheduled_Monthly_Payment,"")</f>
        <v/>
      </c>
      <c r="E3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2" s="525" t="str">
        <f>IF('DLL Schedule'!Pay_Num&lt;&gt;"",IF('DLL Schedule'!Sched_Pay+'DLL Schedule'!Extra_Pay&lt;'DLL Schedule'!Beg_Bal,'DLL Schedule'!Sched_Pay+'DLL Schedule'!Extra_Pay,'DLL Schedule'!Beg_Bal),"")</f>
        <v/>
      </c>
      <c r="G322" s="525" t="str">
        <f>IF('DLL Schedule'!Pay_Num&lt;&gt;"",'DLL Schedule'!Total_Pay-'DLL Schedule'!Int,"")</f>
        <v/>
      </c>
      <c r="H322" s="525" t="str">
        <f>IF('DLL Schedule'!Pay_Num&lt;&gt;"",'DLL Schedule'!Beg_Bal*'DLL Schedule'!Interest_Rate/'DLL Schedule'!Num_Pmt_Per_Year,"")</f>
        <v/>
      </c>
      <c r="I322" s="525" t="str">
        <f>IF('DLL Schedule'!Pay_Num&lt;&gt;"",IF('DLL Schedule'!Sched_Pay+'DLL Schedule'!Extra_Pay&lt;'DLL Schedule'!Beg_Bal,'DLL Schedule'!Beg_Bal-'DLL Schedule'!Princ,0),"")</f>
        <v/>
      </c>
      <c r="J322" s="525">
        <f>SUM($H$18:$H322)</f>
        <v>257912.99524975716</v>
      </c>
      <c r="K322" s="499"/>
    </row>
    <row r="323" spans="1:11" ht="12.75" customHeight="1">
      <c r="A323" s="523" t="str">
        <f>IF(AND('DLL Schedule'!Values_Entered=1,A322&lt;&gt;"",I322&gt;0),A322+1,"")</f>
        <v/>
      </c>
      <c r="B323" s="524" t="str">
        <f>IF('DLL Schedule'!Pay_Num&lt;&gt;"",DATE(YEAR('DLL Schedule'!Loan_Start),MONTH('DLL Schedule'!Loan_Start)+('DLL Schedule'!Pay_Num)*12/'DLL Schedule'!Num_Pmt_Per_Year,DAY('DLL Schedule'!Loan_Start)),"")</f>
        <v/>
      </c>
      <c r="C323" s="525" t="str">
        <f>IF('DLL Schedule'!Pay_Num&lt;&gt;"",I322,"")</f>
        <v/>
      </c>
      <c r="D323" s="525" t="str">
        <f>IF('DLL Schedule'!Pay_Num&lt;&gt;"",'DLL Schedule'!Scheduled_Monthly_Payment,"")</f>
        <v/>
      </c>
      <c r="E3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3" s="525" t="str">
        <f>IF('DLL Schedule'!Pay_Num&lt;&gt;"",IF('DLL Schedule'!Sched_Pay+'DLL Schedule'!Extra_Pay&lt;'DLL Schedule'!Beg_Bal,'DLL Schedule'!Sched_Pay+'DLL Schedule'!Extra_Pay,'DLL Schedule'!Beg_Bal),"")</f>
        <v/>
      </c>
      <c r="G323" s="525" t="str">
        <f>IF('DLL Schedule'!Pay_Num&lt;&gt;"",'DLL Schedule'!Total_Pay-'DLL Schedule'!Int,"")</f>
        <v/>
      </c>
      <c r="H323" s="525" t="str">
        <f>IF('DLL Schedule'!Pay_Num&lt;&gt;"",'DLL Schedule'!Beg_Bal*'DLL Schedule'!Interest_Rate/'DLL Schedule'!Num_Pmt_Per_Year,"")</f>
        <v/>
      </c>
      <c r="I323" s="525" t="str">
        <f>IF('DLL Schedule'!Pay_Num&lt;&gt;"",IF('DLL Schedule'!Sched_Pay+'DLL Schedule'!Extra_Pay&lt;'DLL Schedule'!Beg_Bal,'DLL Schedule'!Beg_Bal-'DLL Schedule'!Princ,0),"")</f>
        <v/>
      </c>
      <c r="J323" s="525">
        <f>SUM($H$18:$H323)</f>
        <v>257912.99524975716</v>
      </c>
      <c r="K323" s="499"/>
    </row>
    <row r="324" spans="1:11" ht="12.75" customHeight="1">
      <c r="A324" s="523" t="str">
        <f>IF(AND('DLL Schedule'!Values_Entered=1,A323&lt;&gt;"",I323&gt;0),A323+1,"")</f>
        <v/>
      </c>
      <c r="B324" s="524" t="str">
        <f>IF('DLL Schedule'!Pay_Num&lt;&gt;"",DATE(YEAR('DLL Schedule'!Loan_Start),MONTH('DLL Schedule'!Loan_Start)+('DLL Schedule'!Pay_Num)*12/'DLL Schedule'!Num_Pmt_Per_Year,DAY('DLL Schedule'!Loan_Start)),"")</f>
        <v/>
      </c>
      <c r="C324" s="525" t="str">
        <f>IF('DLL Schedule'!Pay_Num&lt;&gt;"",I323,"")</f>
        <v/>
      </c>
      <c r="D324" s="525" t="str">
        <f>IF('DLL Schedule'!Pay_Num&lt;&gt;"",'DLL Schedule'!Scheduled_Monthly_Payment,"")</f>
        <v/>
      </c>
      <c r="E3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4" s="525" t="str">
        <f>IF('DLL Schedule'!Pay_Num&lt;&gt;"",IF('DLL Schedule'!Sched_Pay+'DLL Schedule'!Extra_Pay&lt;'DLL Schedule'!Beg_Bal,'DLL Schedule'!Sched_Pay+'DLL Schedule'!Extra_Pay,'DLL Schedule'!Beg_Bal),"")</f>
        <v/>
      </c>
      <c r="G324" s="525" t="str">
        <f>IF('DLL Schedule'!Pay_Num&lt;&gt;"",'DLL Schedule'!Total_Pay-'DLL Schedule'!Int,"")</f>
        <v/>
      </c>
      <c r="H324" s="525" t="str">
        <f>IF('DLL Schedule'!Pay_Num&lt;&gt;"",'DLL Schedule'!Beg_Bal*'DLL Schedule'!Interest_Rate/'DLL Schedule'!Num_Pmt_Per_Year,"")</f>
        <v/>
      </c>
      <c r="I324" s="525" t="str">
        <f>IF('DLL Schedule'!Pay_Num&lt;&gt;"",IF('DLL Schedule'!Sched_Pay+'DLL Schedule'!Extra_Pay&lt;'DLL Schedule'!Beg_Bal,'DLL Schedule'!Beg_Bal-'DLL Schedule'!Princ,0),"")</f>
        <v/>
      </c>
      <c r="J324" s="525">
        <f>SUM($H$18:$H324)</f>
        <v>257912.99524975716</v>
      </c>
      <c r="K324" s="499"/>
    </row>
    <row r="325" spans="1:11" ht="12.75" customHeight="1">
      <c r="A325" s="523" t="str">
        <f>IF(AND('DLL Schedule'!Values_Entered=1,A324&lt;&gt;"",I324&gt;0),A324+1,"")</f>
        <v/>
      </c>
      <c r="B325" s="524" t="str">
        <f>IF('DLL Schedule'!Pay_Num&lt;&gt;"",DATE(YEAR('DLL Schedule'!Loan_Start),MONTH('DLL Schedule'!Loan_Start)+('DLL Schedule'!Pay_Num)*12/'DLL Schedule'!Num_Pmt_Per_Year,DAY('DLL Schedule'!Loan_Start)),"")</f>
        <v/>
      </c>
      <c r="C325" s="525" t="str">
        <f>IF('DLL Schedule'!Pay_Num&lt;&gt;"",I324,"")</f>
        <v/>
      </c>
      <c r="D325" s="525" t="str">
        <f>IF('DLL Schedule'!Pay_Num&lt;&gt;"",'DLL Schedule'!Scheduled_Monthly_Payment,"")</f>
        <v/>
      </c>
      <c r="E3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5" s="525" t="str">
        <f>IF('DLL Schedule'!Pay_Num&lt;&gt;"",IF('DLL Schedule'!Sched_Pay+'DLL Schedule'!Extra_Pay&lt;'DLL Schedule'!Beg_Bal,'DLL Schedule'!Sched_Pay+'DLL Schedule'!Extra_Pay,'DLL Schedule'!Beg_Bal),"")</f>
        <v/>
      </c>
      <c r="G325" s="525" t="str">
        <f>IF('DLL Schedule'!Pay_Num&lt;&gt;"",'DLL Schedule'!Total_Pay-'DLL Schedule'!Int,"")</f>
        <v/>
      </c>
      <c r="H325" s="525" t="str">
        <f>IF('DLL Schedule'!Pay_Num&lt;&gt;"",'DLL Schedule'!Beg_Bal*'DLL Schedule'!Interest_Rate/'DLL Schedule'!Num_Pmt_Per_Year,"")</f>
        <v/>
      </c>
      <c r="I325" s="525" t="str">
        <f>IF('DLL Schedule'!Pay_Num&lt;&gt;"",IF('DLL Schedule'!Sched_Pay+'DLL Schedule'!Extra_Pay&lt;'DLL Schedule'!Beg_Bal,'DLL Schedule'!Beg_Bal-'DLL Schedule'!Princ,0),"")</f>
        <v/>
      </c>
      <c r="J325" s="525">
        <f>SUM($H$18:$H325)</f>
        <v>257912.99524975716</v>
      </c>
      <c r="K325" s="499"/>
    </row>
    <row r="326" spans="1:11" ht="12.75" customHeight="1">
      <c r="A326" s="523" t="str">
        <f>IF(AND('DLL Schedule'!Values_Entered=1,A325&lt;&gt;"",I325&gt;0),A325+1,"")</f>
        <v/>
      </c>
      <c r="B326" s="524" t="str">
        <f>IF('DLL Schedule'!Pay_Num&lt;&gt;"",DATE(YEAR('DLL Schedule'!Loan_Start),MONTH('DLL Schedule'!Loan_Start)+('DLL Schedule'!Pay_Num)*12/'DLL Schedule'!Num_Pmt_Per_Year,DAY('DLL Schedule'!Loan_Start)),"")</f>
        <v/>
      </c>
      <c r="C326" s="525" t="str">
        <f>IF('DLL Schedule'!Pay_Num&lt;&gt;"",I325,"")</f>
        <v/>
      </c>
      <c r="D326" s="525" t="str">
        <f>IF('DLL Schedule'!Pay_Num&lt;&gt;"",'DLL Schedule'!Scheduled_Monthly_Payment,"")</f>
        <v/>
      </c>
      <c r="E3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6" s="525" t="str">
        <f>IF('DLL Schedule'!Pay_Num&lt;&gt;"",IF('DLL Schedule'!Sched_Pay+'DLL Schedule'!Extra_Pay&lt;'DLL Schedule'!Beg_Bal,'DLL Schedule'!Sched_Pay+'DLL Schedule'!Extra_Pay,'DLL Schedule'!Beg_Bal),"")</f>
        <v/>
      </c>
      <c r="G326" s="525" t="str">
        <f>IF('DLL Schedule'!Pay_Num&lt;&gt;"",'DLL Schedule'!Total_Pay-'DLL Schedule'!Int,"")</f>
        <v/>
      </c>
      <c r="H326" s="525" t="str">
        <f>IF('DLL Schedule'!Pay_Num&lt;&gt;"",'DLL Schedule'!Beg_Bal*'DLL Schedule'!Interest_Rate/'DLL Schedule'!Num_Pmt_Per_Year,"")</f>
        <v/>
      </c>
      <c r="I326" s="525" t="str">
        <f>IF('DLL Schedule'!Pay_Num&lt;&gt;"",IF('DLL Schedule'!Sched_Pay+'DLL Schedule'!Extra_Pay&lt;'DLL Schedule'!Beg_Bal,'DLL Schedule'!Beg_Bal-'DLL Schedule'!Princ,0),"")</f>
        <v/>
      </c>
      <c r="J326" s="525">
        <f>SUM($H$18:$H326)</f>
        <v>257912.99524975716</v>
      </c>
      <c r="K326" s="499"/>
    </row>
    <row r="327" spans="1:11" ht="12.75" customHeight="1">
      <c r="A327" s="523" t="str">
        <f>IF(AND('DLL Schedule'!Values_Entered=1,A326&lt;&gt;"",I326&gt;0),A326+1,"")</f>
        <v/>
      </c>
      <c r="B327" s="524" t="str">
        <f>IF('DLL Schedule'!Pay_Num&lt;&gt;"",DATE(YEAR('DLL Schedule'!Loan_Start),MONTH('DLL Schedule'!Loan_Start)+('DLL Schedule'!Pay_Num)*12/'DLL Schedule'!Num_Pmt_Per_Year,DAY('DLL Schedule'!Loan_Start)),"")</f>
        <v/>
      </c>
      <c r="C327" s="525" t="str">
        <f>IF('DLL Schedule'!Pay_Num&lt;&gt;"",I326,"")</f>
        <v/>
      </c>
      <c r="D327" s="525" t="str">
        <f>IF('DLL Schedule'!Pay_Num&lt;&gt;"",'DLL Schedule'!Scheduled_Monthly_Payment,"")</f>
        <v/>
      </c>
      <c r="E3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7" s="525" t="str">
        <f>IF('DLL Schedule'!Pay_Num&lt;&gt;"",IF('DLL Schedule'!Sched_Pay+'DLL Schedule'!Extra_Pay&lt;'DLL Schedule'!Beg_Bal,'DLL Schedule'!Sched_Pay+'DLL Schedule'!Extra_Pay,'DLL Schedule'!Beg_Bal),"")</f>
        <v/>
      </c>
      <c r="G327" s="525" t="str">
        <f>IF('DLL Schedule'!Pay_Num&lt;&gt;"",'DLL Schedule'!Total_Pay-'DLL Schedule'!Int,"")</f>
        <v/>
      </c>
      <c r="H327" s="525" t="str">
        <f>IF('DLL Schedule'!Pay_Num&lt;&gt;"",'DLL Schedule'!Beg_Bal*'DLL Schedule'!Interest_Rate/'DLL Schedule'!Num_Pmt_Per_Year,"")</f>
        <v/>
      </c>
      <c r="I327" s="525" t="str">
        <f>IF('DLL Schedule'!Pay_Num&lt;&gt;"",IF('DLL Schedule'!Sched_Pay+'DLL Schedule'!Extra_Pay&lt;'DLL Schedule'!Beg_Bal,'DLL Schedule'!Beg_Bal-'DLL Schedule'!Princ,0),"")</f>
        <v/>
      </c>
      <c r="J327" s="525">
        <f>SUM($H$18:$H327)</f>
        <v>257912.99524975716</v>
      </c>
      <c r="K327" s="499"/>
    </row>
    <row r="328" spans="1:11" ht="12.75" customHeight="1">
      <c r="A328" s="523" t="str">
        <f>IF(AND('DLL Schedule'!Values_Entered=1,A327&lt;&gt;"",I327&gt;0),A327+1,"")</f>
        <v/>
      </c>
      <c r="B328" s="524" t="str">
        <f>IF('DLL Schedule'!Pay_Num&lt;&gt;"",DATE(YEAR('DLL Schedule'!Loan_Start),MONTH('DLL Schedule'!Loan_Start)+('DLL Schedule'!Pay_Num)*12/'DLL Schedule'!Num_Pmt_Per_Year,DAY('DLL Schedule'!Loan_Start)),"")</f>
        <v/>
      </c>
      <c r="C328" s="525" t="str">
        <f>IF('DLL Schedule'!Pay_Num&lt;&gt;"",I327,"")</f>
        <v/>
      </c>
      <c r="D328" s="525" t="str">
        <f>IF('DLL Schedule'!Pay_Num&lt;&gt;"",'DLL Schedule'!Scheduled_Monthly_Payment,"")</f>
        <v/>
      </c>
      <c r="E3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8" s="525" t="str">
        <f>IF('DLL Schedule'!Pay_Num&lt;&gt;"",IF('DLL Schedule'!Sched_Pay+'DLL Schedule'!Extra_Pay&lt;'DLL Schedule'!Beg_Bal,'DLL Schedule'!Sched_Pay+'DLL Schedule'!Extra_Pay,'DLL Schedule'!Beg_Bal),"")</f>
        <v/>
      </c>
      <c r="G328" s="525" t="str">
        <f>IF('DLL Schedule'!Pay_Num&lt;&gt;"",'DLL Schedule'!Total_Pay-'DLL Schedule'!Int,"")</f>
        <v/>
      </c>
      <c r="H328" s="525" t="str">
        <f>IF('DLL Schedule'!Pay_Num&lt;&gt;"",'DLL Schedule'!Beg_Bal*'DLL Schedule'!Interest_Rate/'DLL Schedule'!Num_Pmt_Per_Year,"")</f>
        <v/>
      </c>
      <c r="I328" s="525" t="str">
        <f>IF('DLL Schedule'!Pay_Num&lt;&gt;"",IF('DLL Schedule'!Sched_Pay+'DLL Schedule'!Extra_Pay&lt;'DLL Schedule'!Beg_Bal,'DLL Schedule'!Beg_Bal-'DLL Schedule'!Princ,0),"")</f>
        <v/>
      </c>
      <c r="J328" s="525">
        <f>SUM($H$18:$H328)</f>
        <v>257912.99524975716</v>
      </c>
      <c r="K328" s="499"/>
    </row>
    <row r="329" spans="1:11" ht="12.75" customHeight="1">
      <c r="A329" s="523" t="str">
        <f>IF(AND('DLL Schedule'!Values_Entered=1,A328&lt;&gt;"",I328&gt;0),A328+1,"")</f>
        <v/>
      </c>
      <c r="B329" s="524" t="str">
        <f>IF('DLL Schedule'!Pay_Num&lt;&gt;"",DATE(YEAR('DLL Schedule'!Loan_Start),MONTH('DLL Schedule'!Loan_Start)+('DLL Schedule'!Pay_Num)*12/'DLL Schedule'!Num_Pmt_Per_Year,DAY('DLL Schedule'!Loan_Start)),"")</f>
        <v/>
      </c>
      <c r="C329" s="525" t="str">
        <f>IF('DLL Schedule'!Pay_Num&lt;&gt;"",I328,"")</f>
        <v/>
      </c>
      <c r="D329" s="525" t="str">
        <f>IF('DLL Schedule'!Pay_Num&lt;&gt;"",'DLL Schedule'!Scheduled_Monthly_Payment,"")</f>
        <v/>
      </c>
      <c r="E3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9" s="525" t="str">
        <f>IF('DLL Schedule'!Pay_Num&lt;&gt;"",IF('DLL Schedule'!Sched_Pay+'DLL Schedule'!Extra_Pay&lt;'DLL Schedule'!Beg_Bal,'DLL Schedule'!Sched_Pay+'DLL Schedule'!Extra_Pay,'DLL Schedule'!Beg_Bal),"")</f>
        <v/>
      </c>
      <c r="G329" s="525" t="str">
        <f>IF('DLL Schedule'!Pay_Num&lt;&gt;"",'DLL Schedule'!Total_Pay-'DLL Schedule'!Int,"")</f>
        <v/>
      </c>
      <c r="H329" s="525" t="str">
        <f>IF('DLL Schedule'!Pay_Num&lt;&gt;"",'DLL Schedule'!Beg_Bal*'DLL Schedule'!Interest_Rate/'DLL Schedule'!Num_Pmt_Per_Year,"")</f>
        <v/>
      </c>
      <c r="I329" s="525" t="str">
        <f>IF('DLL Schedule'!Pay_Num&lt;&gt;"",IF('DLL Schedule'!Sched_Pay+'DLL Schedule'!Extra_Pay&lt;'DLL Schedule'!Beg_Bal,'DLL Schedule'!Beg_Bal-'DLL Schedule'!Princ,0),"")</f>
        <v/>
      </c>
      <c r="J329" s="525">
        <f>SUM($H$18:$H329)</f>
        <v>257912.99524975716</v>
      </c>
      <c r="K329" s="499"/>
    </row>
    <row r="330" spans="1:11" ht="12.75" customHeight="1">
      <c r="A330" s="523" t="str">
        <f>IF(AND('DLL Schedule'!Values_Entered=1,A329&lt;&gt;"",I329&gt;0),A329+1,"")</f>
        <v/>
      </c>
      <c r="B330" s="524" t="str">
        <f>IF('DLL Schedule'!Pay_Num&lt;&gt;"",DATE(YEAR('DLL Schedule'!Loan_Start),MONTH('DLL Schedule'!Loan_Start)+('DLL Schedule'!Pay_Num)*12/'DLL Schedule'!Num_Pmt_Per_Year,DAY('DLL Schedule'!Loan_Start)),"")</f>
        <v/>
      </c>
      <c r="C330" s="525" t="str">
        <f>IF('DLL Schedule'!Pay_Num&lt;&gt;"",I329,"")</f>
        <v/>
      </c>
      <c r="D330" s="525" t="str">
        <f>IF('DLL Schedule'!Pay_Num&lt;&gt;"",'DLL Schedule'!Scheduled_Monthly_Payment,"")</f>
        <v/>
      </c>
      <c r="E3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0" s="525" t="str">
        <f>IF('DLL Schedule'!Pay_Num&lt;&gt;"",IF('DLL Schedule'!Sched_Pay+'DLL Schedule'!Extra_Pay&lt;'DLL Schedule'!Beg_Bal,'DLL Schedule'!Sched_Pay+'DLL Schedule'!Extra_Pay,'DLL Schedule'!Beg_Bal),"")</f>
        <v/>
      </c>
      <c r="G330" s="525" t="str">
        <f>IF('DLL Schedule'!Pay_Num&lt;&gt;"",'DLL Schedule'!Total_Pay-'DLL Schedule'!Int,"")</f>
        <v/>
      </c>
      <c r="H330" s="525" t="str">
        <f>IF('DLL Schedule'!Pay_Num&lt;&gt;"",'DLL Schedule'!Beg_Bal*'DLL Schedule'!Interest_Rate/'DLL Schedule'!Num_Pmt_Per_Year,"")</f>
        <v/>
      </c>
      <c r="I330" s="525" t="str">
        <f>IF('DLL Schedule'!Pay_Num&lt;&gt;"",IF('DLL Schedule'!Sched_Pay+'DLL Schedule'!Extra_Pay&lt;'DLL Schedule'!Beg_Bal,'DLL Schedule'!Beg_Bal-'DLL Schedule'!Princ,0),"")</f>
        <v/>
      </c>
      <c r="J330" s="525">
        <f>SUM($H$18:$H330)</f>
        <v>257912.99524975716</v>
      </c>
      <c r="K330" s="499"/>
    </row>
    <row r="331" spans="1:11" ht="12.75" customHeight="1">
      <c r="A331" s="523" t="str">
        <f>IF(AND('DLL Schedule'!Values_Entered=1,A330&lt;&gt;"",I330&gt;0),A330+1,"")</f>
        <v/>
      </c>
      <c r="B331" s="524" t="str">
        <f>IF('DLL Schedule'!Pay_Num&lt;&gt;"",DATE(YEAR('DLL Schedule'!Loan_Start),MONTH('DLL Schedule'!Loan_Start)+('DLL Schedule'!Pay_Num)*12/'DLL Schedule'!Num_Pmt_Per_Year,DAY('DLL Schedule'!Loan_Start)),"")</f>
        <v/>
      </c>
      <c r="C331" s="525" t="str">
        <f>IF('DLL Schedule'!Pay_Num&lt;&gt;"",I330,"")</f>
        <v/>
      </c>
      <c r="D331" s="525" t="str">
        <f>IF('DLL Schedule'!Pay_Num&lt;&gt;"",'DLL Schedule'!Scheduled_Monthly_Payment,"")</f>
        <v/>
      </c>
      <c r="E3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1" s="525" t="str">
        <f>IF('DLL Schedule'!Pay_Num&lt;&gt;"",IF('DLL Schedule'!Sched_Pay+'DLL Schedule'!Extra_Pay&lt;'DLL Schedule'!Beg_Bal,'DLL Schedule'!Sched_Pay+'DLL Schedule'!Extra_Pay,'DLL Schedule'!Beg_Bal),"")</f>
        <v/>
      </c>
      <c r="G331" s="525" t="str">
        <f>IF('DLL Schedule'!Pay_Num&lt;&gt;"",'DLL Schedule'!Total_Pay-'DLL Schedule'!Int,"")</f>
        <v/>
      </c>
      <c r="H331" s="525" t="str">
        <f>IF('DLL Schedule'!Pay_Num&lt;&gt;"",'DLL Schedule'!Beg_Bal*'DLL Schedule'!Interest_Rate/'DLL Schedule'!Num_Pmt_Per_Year,"")</f>
        <v/>
      </c>
      <c r="I331" s="525" t="str">
        <f>IF('DLL Schedule'!Pay_Num&lt;&gt;"",IF('DLL Schedule'!Sched_Pay+'DLL Schedule'!Extra_Pay&lt;'DLL Schedule'!Beg_Bal,'DLL Schedule'!Beg_Bal-'DLL Schedule'!Princ,0),"")</f>
        <v/>
      </c>
      <c r="J331" s="525">
        <f>SUM($H$18:$H331)</f>
        <v>257912.99524975716</v>
      </c>
      <c r="K331" s="499"/>
    </row>
    <row r="332" spans="1:11" ht="12.75" customHeight="1">
      <c r="A332" s="523" t="str">
        <f>IF(AND('DLL Schedule'!Values_Entered=1,A331&lt;&gt;"",I331&gt;0),A331+1,"")</f>
        <v/>
      </c>
      <c r="B332" s="524" t="str">
        <f>IF('DLL Schedule'!Pay_Num&lt;&gt;"",DATE(YEAR('DLL Schedule'!Loan_Start),MONTH('DLL Schedule'!Loan_Start)+('DLL Schedule'!Pay_Num)*12/'DLL Schedule'!Num_Pmt_Per_Year,DAY('DLL Schedule'!Loan_Start)),"")</f>
        <v/>
      </c>
      <c r="C332" s="525" t="str">
        <f>IF('DLL Schedule'!Pay_Num&lt;&gt;"",I331,"")</f>
        <v/>
      </c>
      <c r="D332" s="525" t="str">
        <f>IF('DLL Schedule'!Pay_Num&lt;&gt;"",'DLL Schedule'!Scheduled_Monthly_Payment,"")</f>
        <v/>
      </c>
      <c r="E3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2" s="525" t="str">
        <f>IF('DLL Schedule'!Pay_Num&lt;&gt;"",IF('DLL Schedule'!Sched_Pay+'DLL Schedule'!Extra_Pay&lt;'DLL Schedule'!Beg_Bal,'DLL Schedule'!Sched_Pay+'DLL Schedule'!Extra_Pay,'DLL Schedule'!Beg_Bal),"")</f>
        <v/>
      </c>
      <c r="G332" s="525" t="str">
        <f>IF('DLL Schedule'!Pay_Num&lt;&gt;"",'DLL Schedule'!Total_Pay-'DLL Schedule'!Int,"")</f>
        <v/>
      </c>
      <c r="H332" s="525" t="str">
        <f>IF('DLL Schedule'!Pay_Num&lt;&gt;"",'DLL Schedule'!Beg_Bal*'DLL Schedule'!Interest_Rate/'DLL Schedule'!Num_Pmt_Per_Year,"")</f>
        <v/>
      </c>
      <c r="I332" s="525" t="str">
        <f>IF('DLL Schedule'!Pay_Num&lt;&gt;"",IF('DLL Schedule'!Sched_Pay+'DLL Schedule'!Extra_Pay&lt;'DLL Schedule'!Beg_Bal,'DLL Schedule'!Beg_Bal-'DLL Schedule'!Princ,0),"")</f>
        <v/>
      </c>
      <c r="J332" s="525">
        <f>SUM($H$18:$H332)</f>
        <v>257912.99524975716</v>
      </c>
      <c r="K332" s="499"/>
    </row>
    <row r="333" spans="1:11" ht="12.75" customHeight="1">
      <c r="A333" s="523" t="str">
        <f>IF(AND('DLL Schedule'!Values_Entered=1,A332&lt;&gt;"",I332&gt;0),A332+1,"")</f>
        <v/>
      </c>
      <c r="B333" s="524" t="str">
        <f>IF('DLL Schedule'!Pay_Num&lt;&gt;"",DATE(YEAR('DLL Schedule'!Loan_Start),MONTH('DLL Schedule'!Loan_Start)+('DLL Schedule'!Pay_Num)*12/'DLL Schedule'!Num_Pmt_Per_Year,DAY('DLL Schedule'!Loan_Start)),"")</f>
        <v/>
      </c>
      <c r="C333" s="525" t="str">
        <f>IF('DLL Schedule'!Pay_Num&lt;&gt;"",I332,"")</f>
        <v/>
      </c>
      <c r="D333" s="525" t="str">
        <f>IF('DLL Schedule'!Pay_Num&lt;&gt;"",'DLL Schedule'!Scheduled_Monthly_Payment,"")</f>
        <v/>
      </c>
      <c r="E3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3" s="525" t="str">
        <f>IF('DLL Schedule'!Pay_Num&lt;&gt;"",IF('DLL Schedule'!Sched_Pay+'DLL Schedule'!Extra_Pay&lt;'DLL Schedule'!Beg_Bal,'DLL Schedule'!Sched_Pay+'DLL Schedule'!Extra_Pay,'DLL Schedule'!Beg_Bal),"")</f>
        <v/>
      </c>
      <c r="G333" s="525" t="str">
        <f>IF('DLL Schedule'!Pay_Num&lt;&gt;"",'DLL Schedule'!Total_Pay-'DLL Schedule'!Int,"")</f>
        <v/>
      </c>
      <c r="H333" s="525" t="str">
        <f>IF('DLL Schedule'!Pay_Num&lt;&gt;"",'DLL Schedule'!Beg_Bal*'DLL Schedule'!Interest_Rate/'DLL Schedule'!Num_Pmt_Per_Year,"")</f>
        <v/>
      </c>
      <c r="I333" s="525" t="str">
        <f>IF('DLL Schedule'!Pay_Num&lt;&gt;"",IF('DLL Schedule'!Sched_Pay+'DLL Schedule'!Extra_Pay&lt;'DLL Schedule'!Beg_Bal,'DLL Schedule'!Beg_Bal-'DLL Schedule'!Princ,0),"")</f>
        <v/>
      </c>
      <c r="J333" s="525">
        <f>SUM($H$18:$H333)</f>
        <v>257912.99524975716</v>
      </c>
      <c r="K333" s="499"/>
    </row>
    <row r="334" spans="1:11" ht="12.75" customHeight="1">
      <c r="A334" s="523" t="str">
        <f>IF(AND('DLL Schedule'!Values_Entered=1,A333&lt;&gt;"",I333&gt;0),A333+1,"")</f>
        <v/>
      </c>
      <c r="B334" s="524" t="str">
        <f>IF('DLL Schedule'!Pay_Num&lt;&gt;"",DATE(YEAR('DLL Schedule'!Loan_Start),MONTH('DLL Schedule'!Loan_Start)+('DLL Schedule'!Pay_Num)*12/'DLL Schedule'!Num_Pmt_Per_Year,DAY('DLL Schedule'!Loan_Start)),"")</f>
        <v/>
      </c>
      <c r="C334" s="525" t="str">
        <f>IF('DLL Schedule'!Pay_Num&lt;&gt;"",I333,"")</f>
        <v/>
      </c>
      <c r="D334" s="525" t="str">
        <f>IF('DLL Schedule'!Pay_Num&lt;&gt;"",'DLL Schedule'!Scheduled_Monthly_Payment,"")</f>
        <v/>
      </c>
      <c r="E3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4" s="525" t="str">
        <f>IF('DLL Schedule'!Pay_Num&lt;&gt;"",IF('DLL Schedule'!Sched_Pay+'DLL Schedule'!Extra_Pay&lt;'DLL Schedule'!Beg_Bal,'DLL Schedule'!Sched_Pay+'DLL Schedule'!Extra_Pay,'DLL Schedule'!Beg_Bal),"")</f>
        <v/>
      </c>
      <c r="G334" s="525" t="str">
        <f>IF('DLL Schedule'!Pay_Num&lt;&gt;"",'DLL Schedule'!Total_Pay-'DLL Schedule'!Int,"")</f>
        <v/>
      </c>
      <c r="H334" s="525" t="str">
        <f>IF('DLL Schedule'!Pay_Num&lt;&gt;"",'DLL Schedule'!Beg_Bal*'DLL Schedule'!Interest_Rate/'DLL Schedule'!Num_Pmt_Per_Year,"")</f>
        <v/>
      </c>
      <c r="I334" s="525" t="str">
        <f>IF('DLL Schedule'!Pay_Num&lt;&gt;"",IF('DLL Schedule'!Sched_Pay+'DLL Schedule'!Extra_Pay&lt;'DLL Schedule'!Beg_Bal,'DLL Schedule'!Beg_Bal-'DLL Schedule'!Princ,0),"")</f>
        <v/>
      </c>
      <c r="J334" s="525">
        <f>SUM($H$18:$H334)</f>
        <v>257912.99524975716</v>
      </c>
      <c r="K334" s="499"/>
    </row>
    <row r="335" spans="1:11" ht="12.75" customHeight="1">
      <c r="A335" s="523" t="str">
        <f>IF(AND('DLL Schedule'!Values_Entered=1,A334&lt;&gt;"",I334&gt;0),A334+1,"")</f>
        <v/>
      </c>
      <c r="B335" s="524" t="str">
        <f>IF('DLL Schedule'!Pay_Num&lt;&gt;"",DATE(YEAR('DLL Schedule'!Loan_Start),MONTH('DLL Schedule'!Loan_Start)+('DLL Schedule'!Pay_Num)*12/'DLL Schedule'!Num_Pmt_Per_Year,DAY('DLL Schedule'!Loan_Start)),"")</f>
        <v/>
      </c>
      <c r="C335" s="525" t="str">
        <f>IF('DLL Schedule'!Pay_Num&lt;&gt;"",I334,"")</f>
        <v/>
      </c>
      <c r="D335" s="525" t="str">
        <f>IF('DLL Schedule'!Pay_Num&lt;&gt;"",'DLL Schedule'!Scheduled_Monthly_Payment,"")</f>
        <v/>
      </c>
      <c r="E3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5" s="525" t="str">
        <f>IF('DLL Schedule'!Pay_Num&lt;&gt;"",IF('DLL Schedule'!Sched_Pay+'DLL Schedule'!Extra_Pay&lt;'DLL Schedule'!Beg_Bal,'DLL Schedule'!Sched_Pay+'DLL Schedule'!Extra_Pay,'DLL Schedule'!Beg_Bal),"")</f>
        <v/>
      </c>
      <c r="G335" s="525" t="str">
        <f>IF('DLL Schedule'!Pay_Num&lt;&gt;"",'DLL Schedule'!Total_Pay-'DLL Schedule'!Int,"")</f>
        <v/>
      </c>
      <c r="H335" s="525" t="str">
        <f>IF('DLL Schedule'!Pay_Num&lt;&gt;"",'DLL Schedule'!Beg_Bal*'DLL Schedule'!Interest_Rate/'DLL Schedule'!Num_Pmt_Per_Year,"")</f>
        <v/>
      </c>
      <c r="I335" s="525" t="str">
        <f>IF('DLL Schedule'!Pay_Num&lt;&gt;"",IF('DLL Schedule'!Sched_Pay+'DLL Schedule'!Extra_Pay&lt;'DLL Schedule'!Beg_Bal,'DLL Schedule'!Beg_Bal-'DLL Schedule'!Princ,0),"")</f>
        <v/>
      </c>
      <c r="J335" s="525">
        <f>SUM($H$18:$H335)</f>
        <v>257912.99524975716</v>
      </c>
      <c r="K335" s="499"/>
    </row>
    <row r="336" spans="1:11" ht="12.75" customHeight="1">
      <c r="A336" s="523" t="str">
        <f>IF(AND('DLL Schedule'!Values_Entered=1,A335&lt;&gt;"",I335&gt;0),A335+1,"")</f>
        <v/>
      </c>
      <c r="B336" s="524" t="str">
        <f>IF('DLL Schedule'!Pay_Num&lt;&gt;"",DATE(YEAR('DLL Schedule'!Loan_Start),MONTH('DLL Schedule'!Loan_Start)+('DLL Schedule'!Pay_Num)*12/'DLL Schedule'!Num_Pmt_Per_Year,DAY('DLL Schedule'!Loan_Start)),"")</f>
        <v/>
      </c>
      <c r="C336" s="525" t="str">
        <f>IF('DLL Schedule'!Pay_Num&lt;&gt;"",I335,"")</f>
        <v/>
      </c>
      <c r="D336" s="525" t="str">
        <f>IF('DLL Schedule'!Pay_Num&lt;&gt;"",'DLL Schedule'!Scheduled_Monthly_Payment,"")</f>
        <v/>
      </c>
      <c r="E3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6" s="525" t="str">
        <f>IF('DLL Schedule'!Pay_Num&lt;&gt;"",IF('DLL Schedule'!Sched_Pay+'DLL Schedule'!Extra_Pay&lt;'DLL Schedule'!Beg_Bal,'DLL Schedule'!Sched_Pay+'DLL Schedule'!Extra_Pay,'DLL Schedule'!Beg_Bal),"")</f>
        <v/>
      </c>
      <c r="G336" s="525" t="str">
        <f>IF('DLL Schedule'!Pay_Num&lt;&gt;"",'DLL Schedule'!Total_Pay-'DLL Schedule'!Int,"")</f>
        <v/>
      </c>
      <c r="H336" s="525" t="str">
        <f>IF('DLL Schedule'!Pay_Num&lt;&gt;"",'DLL Schedule'!Beg_Bal*'DLL Schedule'!Interest_Rate/'DLL Schedule'!Num_Pmt_Per_Year,"")</f>
        <v/>
      </c>
      <c r="I336" s="525" t="str">
        <f>IF('DLL Schedule'!Pay_Num&lt;&gt;"",IF('DLL Schedule'!Sched_Pay+'DLL Schedule'!Extra_Pay&lt;'DLL Schedule'!Beg_Bal,'DLL Schedule'!Beg_Bal-'DLL Schedule'!Princ,0),"")</f>
        <v/>
      </c>
      <c r="J336" s="525">
        <f>SUM($H$18:$H336)</f>
        <v>257912.99524975716</v>
      </c>
      <c r="K336" s="499"/>
    </row>
    <row r="337" spans="1:11" ht="12.75" customHeight="1">
      <c r="A337" s="523" t="str">
        <f>IF(AND('DLL Schedule'!Values_Entered=1,A336&lt;&gt;"",I336&gt;0),A336+1,"")</f>
        <v/>
      </c>
      <c r="B337" s="524" t="str">
        <f>IF('DLL Schedule'!Pay_Num&lt;&gt;"",DATE(YEAR('DLL Schedule'!Loan_Start),MONTH('DLL Schedule'!Loan_Start)+('DLL Schedule'!Pay_Num)*12/'DLL Schedule'!Num_Pmt_Per_Year,DAY('DLL Schedule'!Loan_Start)),"")</f>
        <v/>
      </c>
      <c r="C337" s="525" t="str">
        <f>IF('DLL Schedule'!Pay_Num&lt;&gt;"",I336,"")</f>
        <v/>
      </c>
      <c r="D337" s="525" t="str">
        <f>IF('DLL Schedule'!Pay_Num&lt;&gt;"",'DLL Schedule'!Scheduled_Monthly_Payment,"")</f>
        <v/>
      </c>
      <c r="E3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7" s="525" t="str">
        <f>IF('DLL Schedule'!Pay_Num&lt;&gt;"",IF('DLL Schedule'!Sched_Pay+'DLL Schedule'!Extra_Pay&lt;'DLL Schedule'!Beg_Bal,'DLL Schedule'!Sched_Pay+'DLL Schedule'!Extra_Pay,'DLL Schedule'!Beg_Bal),"")</f>
        <v/>
      </c>
      <c r="G337" s="525" t="str">
        <f>IF('DLL Schedule'!Pay_Num&lt;&gt;"",'DLL Schedule'!Total_Pay-'DLL Schedule'!Int,"")</f>
        <v/>
      </c>
      <c r="H337" s="525" t="str">
        <f>IF('DLL Schedule'!Pay_Num&lt;&gt;"",'DLL Schedule'!Beg_Bal*'DLL Schedule'!Interest_Rate/'DLL Schedule'!Num_Pmt_Per_Year,"")</f>
        <v/>
      </c>
      <c r="I337" s="525" t="str">
        <f>IF('DLL Schedule'!Pay_Num&lt;&gt;"",IF('DLL Schedule'!Sched_Pay+'DLL Schedule'!Extra_Pay&lt;'DLL Schedule'!Beg_Bal,'DLL Schedule'!Beg_Bal-'DLL Schedule'!Princ,0),"")</f>
        <v/>
      </c>
      <c r="J337" s="525">
        <f>SUM($H$18:$H337)</f>
        <v>257912.99524975716</v>
      </c>
      <c r="K337" s="499"/>
    </row>
    <row r="338" spans="1:11" ht="12.75" customHeight="1">
      <c r="A338" s="523" t="str">
        <f>IF(AND('DLL Schedule'!Values_Entered=1,A337&lt;&gt;"",I337&gt;0),A337+1,"")</f>
        <v/>
      </c>
      <c r="B338" s="524" t="str">
        <f>IF('DLL Schedule'!Pay_Num&lt;&gt;"",DATE(YEAR('DLL Schedule'!Loan_Start),MONTH('DLL Schedule'!Loan_Start)+('DLL Schedule'!Pay_Num)*12/'DLL Schedule'!Num_Pmt_Per_Year,DAY('DLL Schedule'!Loan_Start)),"")</f>
        <v/>
      </c>
      <c r="C338" s="525" t="str">
        <f>IF('DLL Schedule'!Pay_Num&lt;&gt;"",I337,"")</f>
        <v/>
      </c>
      <c r="D338" s="525" t="str">
        <f>IF('DLL Schedule'!Pay_Num&lt;&gt;"",'DLL Schedule'!Scheduled_Monthly_Payment,"")</f>
        <v/>
      </c>
      <c r="E3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8" s="525" t="str">
        <f>IF('DLL Schedule'!Pay_Num&lt;&gt;"",IF('DLL Schedule'!Sched_Pay+'DLL Schedule'!Extra_Pay&lt;'DLL Schedule'!Beg_Bal,'DLL Schedule'!Sched_Pay+'DLL Schedule'!Extra_Pay,'DLL Schedule'!Beg_Bal),"")</f>
        <v/>
      </c>
      <c r="G338" s="525" t="str">
        <f>IF('DLL Schedule'!Pay_Num&lt;&gt;"",'DLL Schedule'!Total_Pay-'DLL Schedule'!Int,"")</f>
        <v/>
      </c>
      <c r="H338" s="525" t="str">
        <f>IF('DLL Schedule'!Pay_Num&lt;&gt;"",'DLL Schedule'!Beg_Bal*'DLL Schedule'!Interest_Rate/'DLL Schedule'!Num_Pmt_Per_Year,"")</f>
        <v/>
      </c>
      <c r="I338" s="525" t="str">
        <f>IF('DLL Schedule'!Pay_Num&lt;&gt;"",IF('DLL Schedule'!Sched_Pay+'DLL Schedule'!Extra_Pay&lt;'DLL Schedule'!Beg_Bal,'DLL Schedule'!Beg_Bal-'DLL Schedule'!Princ,0),"")</f>
        <v/>
      </c>
      <c r="J338" s="525">
        <f>SUM($H$18:$H338)</f>
        <v>257912.99524975716</v>
      </c>
      <c r="K338" s="499"/>
    </row>
    <row r="339" spans="1:11" ht="12.75" customHeight="1">
      <c r="A339" s="523" t="str">
        <f>IF(AND('DLL Schedule'!Values_Entered=1,A338&lt;&gt;"",I338&gt;0),A338+1,"")</f>
        <v/>
      </c>
      <c r="B339" s="524" t="str">
        <f>IF('DLL Schedule'!Pay_Num&lt;&gt;"",DATE(YEAR('DLL Schedule'!Loan_Start),MONTH('DLL Schedule'!Loan_Start)+('DLL Schedule'!Pay_Num)*12/'DLL Schedule'!Num_Pmt_Per_Year,DAY('DLL Schedule'!Loan_Start)),"")</f>
        <v/>
      </c>
      <c r="C339" s="525" t="str">
        <f>IF('DLL Schedule'!Pay_Num&lt;&gt;"",I338,"")</f>
        <v/>
      </c>
      <c r="D339" s="525" t="str">
        <f>IF('DLL Schedule'!Pay_Num&lt;&gt;"",'DLL Schedule'!Scheduled_Monthly_Payment,"")</f>
        <v/>
      </c>
      <c r="E3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9" s="525" t="str">
        <f>IF('DLL Schedule'!Pay_Num&lt;&gt;"",IF('DLL Schedule'!Sched_Pay+'DLL Schedule'!Extra_Pay&lt;'DLL Schedule'!Beg_Bal,'DLL Schedule'!Sched_Pay+'DLL Schedule'!Extra_Pay,'DLL Schedule'!Beg_Bal),"")</f>
        <v/>
      </c>
      <c r="G339" s="525" t="str">
        <f>IF('DLL Schedule'!Pay_Num&lt;&gt;"",'DLL Schedule'!Total_Pay-'DLL Schedule'!Int,"")</f>
        <v/>
      </c>
      <c r="H339" s="525" t="str">
        <f>IF('DLL Schedule'!Pay_Num&lt;&gt;"",'DLL Schedule'!Beg_Bal*'DLL Schedule'!Interest_Rate/'DLL Schedule'!Num_Pmt_Per_Year,"")</f>
        <v/>
      </c>
      <c r="I339" s="525" t="str">
        <f>IF('DLL Schedule'!Pay_Num&lt;&gt;"",IF('DLL Schedule'!Sched_Pay+'DLL Schedule'!Extra_Pay&lt;'DLL Schedule'!Beg_Bal,'DLL Schedule'!Beg_Bal-'DLL Schedule'!Princ,0),"")</f>
        <v/>
      </c>
      <c r="J339" s="525">
        <f>SUM($H$18:$H339)</f>
        <v>257912.99524975716</v>
      </c>
      <c r="K339" s="499"/>
    </row>
    <row r="340" spans="1:11" ht="12.75" customHeight="1">
      <c r="A340" s="523" t="str">
        <f>IF(AND('DLL Schedule'!Values_Entered=1,A339&lt;&gt;"",I339&gt;0),A339+1,"")</f>
        <v/>
      </c>
      <c r="B340" s="524" t="str">
        <f>IF('DLL Schedule'!Pay_Num&lt;&gt;"",DATE(YEAR('DLL Schedule'!Loan_Start),MONTH('DLL Schedule'!Loan_Start)+('DLL Schedule'!Pay_Num)*12/'DLL Schedule'!Num_Pmt_Per_Year,DAY('DLL Schedule'!Loan_Start)),"")</f>
        <v/>
      </c>
      <c r="C340" s="525" t="str">
        <f>IF('DLL Schedule'!Pay_Num&lt;&gt;"",I339,"")</f>
        <v/>
      </c>
      <c r="D340" s="525" t="str">
        <f>IF('DLL Schedule'!Pay_Num&lt;&gt;"",'DLL Schedule'!Scheduled_Monthly_Payment,"")</f>
        <v/>
      </c>
      <c r="E3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0" s="525" t="str">
        <f>IF('DLL Schedule'!Pay_Num&lt;&gt;"",IF('DLL Schedule'!Sched_Pay+'DLL Schedule'!Extra_Pay&lt;'DLL Schedule'!Beg_Bal,'DLL Schedule'!Sched_Pay+'DLL Schedule'!Extra_Pay,'DLL Schedule'!Beg_Bal),"")</f>
        <v/>
      </c>
      <c r="G340" s="525" t="str">
        <f>IF('DLL Schedule'!Pay_Num&lt;&gt;"",'DLL Schedule'!Total_Pay-'DLL Schedule'!Int,"")</f>
        <v/>
      </c>
      <c r="H340" s="525" t="str">
        <f>IF('DLL Schedule'!Pay_Num&lt;&gt;"",'DLL Schedule'!Beg_Bal*'DLL Schedule'!Interest_Rate/'DLL Schedule'!Num_Pmt_Per_Year,"")</f>
        <v/>
      </c>
      <c r="I340" s="525" t="str">
        <f>IF('DLL Schedule'!Pay_Num&lt;&gt;"",IF('DLL Schedule'!Sched_Pay+'DLL Schedule'!Extra_Pay&lt;'DLL Schedule'!Beg_Bal,'DLL Schedule'!Beg_Bal-'DLL Schedule'!Princ,0),"")</f>
        <v/>
      </c>
      <c r="J340" s="525">
        <f>SUM($H$18:$H340)</f>
        <v>257912.99524975716</v>
      </c>
      <c r="K340" s="499"/>
    </row>
    <row r="341" spans="1:11" ht="12.75" customHeight="1">
      <c r="A341" s="523" t="str">
        <f>IF(AND('DLL Schedule'!Values_Entered=1,A340&lt;&gt;"",I340&gt;0),A340+1,"")</f>
        <v/>
      </c>
      <c r="B341" s="524" t="str">
        <f>IF('DLL Schedule'!Pay_Num&lt;&gt;"",DATE(YEAR('DLL Schedule'!Loan_Start),MONTH('DLL Schedule'!Loan_Start)+('DLL Schedule'!Pay_Num)*12/'DLL Schedule'!Num_Pmt_Per_Year,DAY('DLL Schedule'!Loan_Start)),"")</f>
        <v/>
      </c>
      <c r="C341" s="525" t="str">
        <f>IF('DLL Schedule'!Pay_Num&lt;&gt;"",I340,"")</f>
        <v/>
      </c>
      <c r="D341" s="525" t="str">
        <f>IF('DLL Schedule'!Pay_Num&lt;&gt;"",'DLL Schedule'!Scheduled_Monthly_Payment,"")</f>
        <v/>
      </c>
      <c r="E3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1" s="525" t="str">
        <f>IF('DLL Schedule'!Pay_Num&lt;&gt;"",IF('DLL Schedule'!Sched_Pay+'DLL Schedule'!Extra_Pay&lt;'DLL Schedule'!Beg_Bal,'DLL Schedule'!Sched_Pay+'DLL Schedule'!Extra_Pay,'DLL Schedule'!Beg_Bal),"")</f>
        <v/>
      </c>
      <c r="G341" s="525" t="str">
        <f>IF('DLL Schedule'!Pay_Num&lt;&gt;"",'DLL Schedule'!Total_Pay-'DLL Schedule'!Int,"")</f>
        <v/>
      </c>
      <c r="H341" s="525" t="str">
        <f>IF('DLL Schedule'!Pay_Num&lt;&gt;"",'DLL Schedule'!Beg_Bal*'DLL Schedule'!Interest_Rate/'DLL Schedule'!Num_Pmt_Per_Year,"")</f>
        <v/>
      </c>
      <c r="I341" s="525" t="str">
        <f>IF('DLL Schedule'!Pay_Num&lt;&gt;"",IF('DLL Schedule'!Sched_Pay+'DLL Schedule'!Extra_Pay&lt;'DLL Schedule'!Beg_Bal,'DLL Schedule'!Beg_Bal-'DLL Schedule'!Princ,0),"")</f>
        <v/>
      </c>
      <c r="J341" s="525">
        <f>SUM($H$18:$H341)</f>
        <v>257912.99524975716</v>
      </c>
      <c r="K341" s="499"/>
    </row>
    <row r="342" spans="1:11" ht="12.75" customHeight="1">
      <c r="A342" s="523" t="str">
        <f>IF(AND('DLL Schedule'!Values_Entered=1,A341&lt;&gt;"",I341&gt;0),A341+1,"")</f>
        <v/>
      </c>
      <c r="B342" s="524" t="str">
        <f>IF('DLL Schedule'!Pay_Num&lt;&gt;"",DATE(YEAR('DLL Schedule'!Loan_Start),MONTH('DLL Schedule'!Loan_Start)+('DLL Schedule'!Pay_Num)*12/'DLL Schedule'!Num_Pmt_Per_Year,DAY('DLL Schedule'!Loan_Start)),"")</f>
        <v/>
      </c>
      <c r="C342" s="525" t="str">
        <f>IF('DLL Schedule'!Pay_Num&lt;&gt;"",I341,"")</f>
        <v/>
      </c>
      <c r="D342" s="525" t="str">
        <f>IF('DLL Schedule'!Pay_Num&lt;&gt;"",'DLL Schedule'!Scheduled_Monthly_Payment,"")</f>
        <v/>
      </c>
      <c r="E3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2" s="525" t="str">
        <f>IF('DLL Schedule'!Pay_Num&lt;&gt;"",IF('DLL Schedule'!Sched_Pay+'DLL Schedule'!Extra_Pay&lt;'DLL Schedule'!Beg_Bal,'DLL Schedule'!Sched_Pay+'DLL Schedule'!Extra_Pay,'DLL Schedule'!Beg_Bal),"")</f>
        <v/>
      </c>
      <c r="G342" s="525" t="str">
        <f>IF('DLL Schedule'!Pay_Num&lt;&gt;"",'DLL Schedule'!Total_Pay-'DLL Schedule'!Int,"")</f>
        <v/>
      </c>
      <c r="H342" s="525" t="str">
        <f>IF('DLL Schedule'!Pay_Num&lt;&gt;"",'DLL Schedule'!Beg_Bal*'DLL Schedule'!Interest_Rate/'DLL Schedule'!Num_Pmt_Per_Year,"")</f>
        <v/>
      </c>
      <c r="I342" s="525" t="str">
        <f>IF('DLL Schedule'!Pay_Num&lt;&gt;"",IF('DLL Schedule'!Sched_Pay+'DLL Schedule'!Extra_Pay&lt;'DLL Schedule'!Beg_Bal,'DLL Schedule'!Beg_Bal-'DLL Schedule'!Princ,0),"")</f>
        <v/>
      </c>
      <c r="J342" s="525">
        <f>SUM($H$18:$H342)</f>
        <v>257912.99524975716</v>
      </c>
      <c r="K342" s="499"/>
    </row>
    <row r="343" spans="1:11" ht="12.75" customHeight="1">
      <c r="A343" s="523" t="str">
        <f>IF(AND('DLL Schedule'!Values_Entered=1,A342&lt;&gt;"",I342&gt;0),A342+1,"")</f>
        <v/>
      </c>
      <c r="B343" s="524" t="str">
        <f>IF('DLL Schedule'!Pay_Num&lt;&gt;"",DATE(YEAR('DLL Schedule'!Loan_Start),MONTH('DLL Schedule'!Loan_Start)+('DLL Schedule'!Pay_Num)*12/'DLL Schedule'!Num_Pmt_Per_Year,DAY('DLL Schedule'!Loan_Start)),"")</f>
        <v/>
      </c>
      <c r="C343" s="525" t="str">
        <f>IF('DLL Schedule'!Pay_Num&lt;&gt;"",I342,"")</f>
        <v/>
      </c>
      <c r="D343" s="525" t="str">
        <f>IF('DLL Schedule'!Pay_Num&lt;&gt;"",'DLL Schedule'!Scheduled_Monthly_Payment,"")</f>
        <v/>
      </c>
      <c r="E3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3" s="525" t="str">
        <f>IF('DLL Schedule'!Pay_Num&lt;&gt;"",IF('DLL Schedule'!Sched_Pay+'DLL Schedule'!Extra_Pay&lt;'DLL Schedule'!Beg_Bal,'DLL Schedule'!Sched_Pay+'DLL Schedule'!Extra_Pay,'DLL Schedule'!Beg_Bal),"")</f>
        <v/>
      </c>
      <c r="G343" s="525" t="str">
        <f>IF('DLL Schedule'!Pay_Num&lt;&gt;"",'DLL Schedule'!Total_Pay-'DLL Schedule'!Int,"")</f>
        <v/>
      </c>
      <c r="H343" s="525" t="str">
        <f>IF('DLL Schedule'!Pay_Num&lt;&gt;"",'DLL Schedule'!Beg_Bal*'DLL Schedule'!Interest_Rate/'DLL Schedule'!Num_Pmt_Per_Year,"")</f>
        <v/>
      </c>
      <c r="I343" s="525" t="str">
        <f>IF('DLL Schedule'!Pay_Num&lt;&gt;"",IF('DLL Schedule'!Sched_Pay+'DLL Schedule'!Extra_Pay&lt;'DLL Schedule'!Beg_Bal,'DLL Schedule'!Beg_Bal-'DLL Schedule'!Princ,0),"")</f>
        <v/>
      </c>
      <c r="J343" s="525">
        <f>SUM($H$18:$H343)</f>
        <v>257912.99524975716</v>
      </c>
      <c r="K343" s="499"/>
    </row>
    <row r="344" spans="1:11" ht="12.75" customHeight="1">
      <c r="A344" s="523" t="str">
        <f>IF(AND('DLL Schedule'!Values_Entered=1,A343&lt;&gt;"",I343&gt;0),A343+1,"")</f>
        <v/>
      </c>
      <c r="B344" s="524" t="str">
        <f>IF('DLL Schedule'!Pay_Num&lt;&gt;"",DATE(YEAR('DLL Schedule'!Loan_Start),MONTH('DLL Schedule'!Loan_Start)+('DLL Schedule'!Pay_Num)*12/'DLL Schedule'!Num_Pmt_Per_Year,DAY('DLL Schedule'!Loan_Start)),"")</f>
        <v/>
      </c>
      <c r="C344" s="525" t="str">
        <f>IF('DLL Schedule'!Pay_Num&lt;&gt;"",I343,"")</f>
        <v/>
      </c>
      <c r="D344" s="525" t="str">
        <f>IF('DLL Schedule'!Pay_Num&lt;&gt;"",'DLL Schedule'!Scheduled_Monthly_Payment,"")</f>
        <v/>
      </c>
      <c r="E3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4" s="525" t="str">
        <f>IF('DLL Schedule'!Pay_Num&lt;&gt;"",IF('DLL Schedule'!Sched_Pay+'DLL Schedule'!Extra_Pay&lt;'DLL Schedule'!Beg_Bal,'DLL Schedule'!Sched_Pay+'DLL Schedule'!Extra_Pay,'DLL Schedule'!Beg_Bal),"")</f>
        <v/>
      </c>
      <c r="G344" s="525" t="str">
        <f>IF('DLL Schedule'!Pay_Num&lt;&gt;"",'DLL Schedule'!Total_Pay-'DLL Schedule'!Int,"")</f>
        <v/>
      </c>
      <c r="H344" s="525" t="str">
        <f>IF('DLL Schedule'!Pay_Num&lt;&gt;"",'DLL Schedule'!Beg_Bal*'DLL Schedule'!Interest_Rate/'DLL Schedule'!Num_Pmt_Per_Year,"")</f>
        <v/>
      </c>
      <c r="I344" s="525" t="str">
        <f>IF('DLL Schedule'!Pay_Num&lt;&gt;"",IF('DLL Schedule'!Sched_Pay+'DLL Schedule'!Extra_Pay&lt;'DLL Schedule'!Beg_Bal,'DLL Schedule'!Beg_Bal-'DLL Schedule'!Princ,0),"")</f>
        <v/>
      </c>
      <c r="J344" s="525">
        <f>SUM($H$18:$H344)</f>
        <v>257912.99524975716</v>
      </c>
      <c r="K344" s="499"/>
    </row>
    <row r="345" spans="1:11" ht="12.75" customHeight="1">
      <c r="A345" s="523" t="str">
        <f>IF(AND('DLL Schedule'!Values_Entered=1,A344&lt;&gt;"",I344&gt;0),A344+1,"")</f>
        <v/>
      </c>
      <c r="B345" s="524" t="str">
        <f>IF('DLL Schedule'!Pay_Num&lt;&gt;"",DATE(YEAR('DLL Schedule'!Loan_Start),MONTH('DLL Schedule'!Loan_Start)+('DLL Schedule'!Pay_Num)*12/'DLL Schedule'!Num_Pmt_Per_Year,DAY('DLL Schedule'!Loan_Start)),"")</f>
        <v/>
      </c>
      <c r="C345" s="525" t="str">
        <f>IF('DLL Schedule'!Pay_Num&lt;&gt;"",I344,"")</f>
        <v/>
      </c>
      <c r="D345" s="525" t="str">
        <f>IF('DLL Schedule'!Pay_Num&lt;&gt;"",'DLL Schedule'!Scheduled_Monthly_Payment,"")</f>
        <v/>
      </c>
      <c r="E3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5" s="525" t="str">
        <f>IF('DLL Schedule'!Pay_Num&lt;&gt;"",IF('DLL Schedule'!Sched_Pay+'DLL Schedule'!Extra_Pay&lt;'DLL Schedule'!Beg_Bal,'DLL Schedule'!Sched_Pay+'DLL Schedule'!Extra_Pay,'DLL Schedule'!Beg_Bal),"")</f>
        <v/>
      </c>
      <c r="G345" s="525" t="str">
        <f>IF('DLL Schedule'!Pay_Num&lt;&gt;"",'DLL Schedule'!Total_Pay-'DLL Schedule'!Int,"")</f>
        <v/>
      </c>
      <c r="H345" s="525" t="str">
        <f>IF('DLL Schedule'!Pay_Num&lt;&gt;"",'DLL Schedule'!Beg_Bal*'DLL Schedule'!Interest_Rate/'DLL Schedule'!Num_Pmt_Per_Year,"")</f>
        <v/>
      </c>
      <c r="I345" s="525" t="str">
        <f>IF('DLL Schedule'!Pay_Num&lt;&gt;"",IF('DLL Schedule'!Sched_Pay+'DLL Schedule'!Extra_Pay&lt;'DLL Schedule'!Beg_Bal,'DLL Schedule'!Beg_Bal-'DLL Schedule'!Princ,0),"")</f>
        <v/>
      </c>
      <c r="J345" s="525">
        <f>SUM($H$18:$H345)</f>
        <v>257912.99524975716</v>
      </c>
      <c r="K345" s="499"/>
    </row>
    <row r="346" spans="1:11" ht="12.75" customHeight="1">
      <c r="A346" s="523" t="str">
        <f>IF(AND('DLL Schedule'!Values_Entered=1,A345&lt;&gt;"",I345&gt;0),A345+1,"")</f>
        <v/>
      </c>
      <c r="B346" s="524" t="str">
        <f>IF('DLL Schedule'!Pay_Num&lt;&gt;"",DATE(YEAR('DLL Schedule'!Loan_Start),MONTH('DLL Schedule'!Loan_Start)+('DLL Schedule'!Pay_Num)*12/'DLL Schedule'!Num_Pmt_Per_Year,DAY('DLL Schedule'!Loan_Start)),"")</f>
        <v/>
      </c>
      <c r="C346" s="525" t="str">
        <f>IF('DLL Schedule'!Pay_Num&lt;&gt;"",I345,"")</f>
        <v/>
      </c>
      <c r="D346" s="525" t="str">
        <f>IF('DLL Schedule'!Pay_Num&lt;&gt;"",'DLL Schedule'!Scheduled_Monthly_Payment,"")</f>
        <v/>
      </c>
      <c r="E3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6" s="525" t="str">
        <f>IF('DLL Schedule'!Pay_Num&lt;&gt;"",IF('DLL Schedule'!Sched_Pay+'DLL Schedule'!Extra_Pay&lt;'DLL Schedule'!Beg_Bal,'DLL Schedule'!Sched_Pay+'DLL Schedule'!Extra_Pay,'DLL Schedule'!Beg_Bal),"")</f>
        <v/>
      </c>
      <c r="G346" s="525" t="str">
        <f>IF('DLL Schedule'!Pay_Num&lt;&gt;"",'DLL Schedule'!Total_Pay-'DLL Schedule'!Int,"")</f>
        <v/>
      </c>
      <c r="H346" s="525" t="str">
        <f>IF('DLL Schedule'!Pay_Num&lt;&gt;"",'DLL Schedule'!Beg_Bal*'DLL Schedule'!Interest_Rate/'DLL Schedule'!Num_Pmt_Per_Year,"")</f>
        <v/>
      </c>
      <c r="I346" s="525" t="str">
        <f>IF('DLL Schedule'!Pay_Num&lt;&gt;"",IF('DLL Schedule'!Sched_Pay+'DLL Schedule'!Extra_Pay&lt;'DLL Schedule'!Beg_Bal,'DLL Schedule'!Beg_Bal-'DLL Schedule'!Princ,0),"")</f>
        <v/>
      </c>
      <c r="J346" s="525">
        <f>SUM($H$18:$H346)</f>
        <v>257912.99524975716</v>
      </c>
      <c r="K346" s="499"/>
    </row>
    <row r="347" spans="1:11" ht="12.75" customHeight="1">
      <c r="A347" s="523" t="str">
        <f>IF(AND('DLL Schedule'!Values_Entered=1,A346&lt;&gt;"",I346&gt;0),A346+1,"")</f>
        <v/>
      </c>
      <c r="B347" s="524" t="str">
        <f>IF('DLL Schedule'!Pay_Num&lt;&gt;"",DATE(YEAR('DLL Schedule'!Loan_Start),MONTH('DLL Schedule'!Loan_Start)+('DLL Schedule'!Pay_Num)*12/'DLL Schedule'!Num_Pmt_Per_Year,DAY('DLL Schedule'!Loan_Start)),"")</f>
        <v/>
      </c>
      <c r="C347" s="525" t="str">
        <f>IF('DLL Schedule'!Pay_Num&lt;&gt;"",I346,"")</f>
        <v/>
      </c>
      <c r="D347" s="525" t="str">
        <f>IF('DLL Schedule'!Pay_Num&lt;&gt;"",'DLL Schedule'!Scheduled_Monthly_Payment,"")</f>
        <v/>
      </c>
      <c r="E3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7" s="525" t="str">
        <f>IF('DLL Schedule'!Pay_Num&lt;&gt;"",IF('DLL Schedule'!Sched_Pay+'DLL Schedule'!Extra_Pay&lt;'DLL Schedule'!Beg_Bal,'DLL Schedule'!Sched_Pay+'DLL Schedule'!Extra_Pay,'DLL Schedule'!Beg_Bal),"")</f>
        <v/>
      </c>
      <c r="G347" s="525" t="str">
        <f>IF('DLL Schedule'!Pay_Num&lt;&gt;"",'DLL Schedule'!Total_Pay-'DLL Schedule'!Int,"")</f>
        <v/>
      </c>
      <c r="H347" s="525" t="str">
        <f>IF('DLL Schedule'!Pay_Num&lt;&gt;"",'DLL Schedule'!Beg_Bal*'DLL Schedule'!Interest_Rate/'DLL Schedule'!Num_Pmt_Per_Year,"")</f>
        <v/>
      </c>
      <c r="I347" s="525" t="str">
        <f>IF('DLL Schedule'!Pay_Num&lt;&gt;"",IF('DLL Schedule'!Sched_Pay+'DLL Schedule'!Extra_Pay&lt;'DLL Schedule'!Beg_Bal,'DLL Schedule'!Beg_Bal-'DLL Schedule'!Princ,0),"")</f>
        <v/>
      </c>
      <c r="J347" s="525">
        <f>SUM($H$18:$H347)</f>
        <v>257912.99524975716</v>
      </c>
      <c r="K347" s="499"/>
    </row>
    <row r="348" spans="1:11" ht="12.75" customHeight="1">
      <c r="A348" s="523" t="str">
        <f>IF(AND('DLL Schedule'!Values_Entered=1,A347&lt;&gt;"",I347&gt;0),A347+1,"")</f>
        <v/>
      </c>
      <c r="B348" s="524" t="str">
        <f>IF('DLL Schedule'!Pay_Num&lt;&gt;"",DATE(YEAR('DLL Schedule'!Loan_Start),MONTH('DLL Schedule'!Loan_Start)+('DLL Schedule'!Pay_Num)*12/'DLL Schedule'!Num_Pmt_Per_Year,DAY('DLL Schedule'!Loan_Start)),"")</f>
        <v/>
      </c>
      <c r="C348" s="525" t="str">
        <f>IF('DLL Schedule'!Pay_Num&lt;&gt;"",I347,"")</f>
        <v/>
      </c>
      <c r="D348" s="525" t="str">
        <f>IF('DLL Schedule'!Pay_Num&lt;&gt;"",'DLL Schedule'!Scheduled_Monthly_Payment,"")</f>
        <v/>
      </c>
      <c r="E3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8" s="525" t="str">
        <f>IF('DLL Schedule'!Pay_Num&lt;&gt;"",IF('DLL Schedule'!Sched_Pay+'DLL Schedule'!Extra_Pay&lt;'DLL Schedule'!Beg_Bal,'DLL Schedule'!Sched_Pay+'DLL Schedule'!Extra_Pay,'DLL Schedule'!Beg_Bal),"")</f>
        <v/>
      </c>
      <c r="G348" s="525" t="str">
        <f>IF('DLL Schedule'!Pay_Num&lt;&gt;"",'DLL Schedule'!Total_Pay-'DLL Schedule'!Int,"")</f>
        <v/>
      </c>
      <c r="H348" s="525" t="str">
        <f>IF('DLL Schedule'!Pay_Num&lt;&gt;"",'DLL Schedule'!Beg_Bal*'DLL Schedule'!Interest_Rate/'DLL Schedule'!Num_Pmt_Per_Year,"")</f>
        <v/>
      </c>
      <c r="I348" s="525" t="str">
        <f>IF('DLL Schedule'!Pay_Num&lt;&gt;"",IF('DLL Schedule'!Sched_Pay+'DLL Schedule'!Extra_Pay&lt;'DLL Schedule'!Beg_Bal,'DLL Schedule'!Beg_Bal-'DLL Schedule'!Princ,0),"")</f>
        <v/>
      </c>
      <c r="J348" s="525">
        <f>SUM($H$18:$H348)</f>
        <v>257912.99524975716</v>
      </c>
      <c r="K348" s="499"/>
    </row>
    <row r="349" spans="1:11" ht="12.75" customHeight="1">
      <c r="A349" s="523" t="str">
        <f>IF(AND('DLL Schedule'!Values_Entered=1,A348&lt;&gt;"",I348&gt;0),A348+1,"")</f>
        <v/>
      </c>
      <c r="B349" s="524" t="str">
        <f>IF('DLL Schedule'!Pay_Num&lt;&gt;"",DATE(YEAR('DLL Schedule'!Loan_Start),MONTH('DLL Schedule'!Loan_Start)+('DLL Schedule'!Pay_Num)*12/'DLL Schedule'!Num_Pmt_Per_Year,DAY('DLL Schedule'!Loan_Start)),"")</f>
        <v/>
      </c>
      <c r="C349" s="525" t="str">
        <f>IF('DLL Schedule'!Pay_Num&lt;&gt;"",I348,"")</f>
        <v/>
      </c>
      <c r="D349" s="525" t="str">
        <f>IF('DLL Schedule'!Pay_Num&lt;&gt;"",'DLL Schedule'!Scheduled_Monthly_Payment,"")</f>
        <v/>
      </c>
      <c r="E3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9" s="525" t="str">
        <f>IF('DLL Schedule'!Pay_Num&lt;&gt;"",IF('DLL Schedule'!Sched_Pay+'DLL Schedule'!Extra_Pay&lt;'DLL Schedule'!Beg_Bal,'DLL Schedule'!Sched_Pay+'DLL Schedule'!Extra_Pay,'DLL Schedule'!Beg_Bal),"")</f>
        <v/>
      </c>
      <c r="G349" s="525" t="str">
        <f>IF('DLL Schedule'!Pay_Num&lt;&gt;"",'DLL Schedule'!Total_Pay-'DLL Schedule'!Int,"")</f>
        <v/>
      </c>
      <c r="H349" s="525" t="str">
        <f>IF('DLL Schedule'!Pay_Num&lt;&gt;"",'DLL Schedule'!Beg_Bal*'DLL Schedule'!Interest_Rate/'DLL Schedule'!Num_Pmt_Per_Year,"")</f>
        <v/>
      </c>
      <c r="I349" s="525" t="str">
        <f>IF('DLL Schedule'!Pay_Num&lt;&gt;"",IF('DLL Schedule'!Sched_Pay+'DLL Schedule'!Extra_Pay&lt;'DLL Schedule'!Beg_Bal,'DLL Schedule'!Beg_Bal-'DLL Schedule'!Princ,0),"")</f>
        <v/>
      </c>
      <c r="J349" s="525">
        <f>SUM($H$18:$H349)</f>
        <v>257912.99524975716</v>
      </c>
      <c r="K349" s="499"/>
    </row>
    <row r="350" spans="1:11" ht="12.75" customHeight="1">
      <c r="A350" s="523" t="str">
        <f>IF(AND('DLL Schedule'!Values_Entered=1,A349&lt;&gt;"",I349&gt;0),A349+1,"")</f>
        <v/>
      </c>
      <c r="B350" s="524" t="str">
        <f>IF('DLL Schedule'!Pay_Num&lt;&gt;"",DATE(YEAR('DLL Schedule'!Loan_Start),MONTH('DLL Schedule'!Loan_Start)+('DLL Schedule'!Pay_Num)*12/'DLL Schedule'!Num_Pmt_Per_Year,DAY('DLL Schedule'!Loan_Start)),"")</f>
        <v/>
      </c>
      <c r="C350" s="525" t="str">
        <f>IF('DLL Schedule'!Pay_Num&lt;&gt;"",I349,"")</f>
        <v/>
      </c>
      <c r="D350" s="525" t="str">
        <f>IF('DLL Schedule'!Pay_Num&lt;&gt;"",'DLL Schedule'!Scheduled_Monthly_Payment,"")</f>
        <v/>
      </c>
      <c r="E3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0" s="525" t="str">
        <f>IF('DLL Schedule'!Pay_Num&lt;&gt;"",IF('DLL Schedule'!Sched_Pay+'DLL Schedule'!Extra_Pay&lt;'DLL Schedule'!Beg_Bal,'DLL Schedule'!Sched_Pay+'DLL Schedule'!Extra_Pay,'DLL Schedule'!Beg_Bal),"")</f>
        <v/>
      </c>
      <c r="G350" s="525" t="str">
        <f>IF('DLL Schedule'!Pay_Num&lt;&gt;"",'DLL Schedule'!Total_Pay-'DLL Schedule'!Int,"")</f>
        <v/>
      </c>
      <c r="H350" s="525" t="str">
        <f>IF('DLL Schedule'!Pay_Num&lt;&gt;"",'DLL Schedule'!Beg_Bal*'DLL Schedule'!Interest_Rate/'DLL Schedule'!Num_Pmt_Per_Year,"")</f>
        <v/>
      </c>
      <c r="I350" s="525" t="str">
        <f>IF('DLL Schedule'!Pay_Num&lt;&gt;"",IF('DLL Schedule'!Sched_Pay+'DLL Schedule'!Extra_Pay&lt;'DLL Schedule'!Beg_Bal,'DLL Schedule'!Beg_Bal-'DLL Schedule'!Princ,0),"")</f>
        <v/>
      </c>
      <c r="J350" s="525">
        <f>SUM($H$18:$H350)</f>
        <v>257912.99524975716</v>
      </c>
      <c r="K350" s="499"/>
    </row>
    <row r="351" spans="1:11" ht="12.75" customHeight="1">
      <c r="A351" s="523" t="str">
        <f>IF(AND('DLL Schedule'!Values_Entered=1,A350&lt;&gt;"",I350&gt;0),A350+1,"")</f>
        <v/>
      </c>
      <c r="B351" s="524" t="str">
        <f>IF('DLL Schedule'!Pay_Num&lt;&gt;"",DATE(YEAR('DLL Schedule'!Loan_Start),MONTH('DLL Schedule'!Loan_Start)+('DLL Schedule'!Pay_Num)*12/'DLL Schedule'!Num_Pmt_Per_Year,DAY('DLL Schedule'!Loan_Start)),"")</f>
        <v/>
      </c>
      <c r="C351" s="525" t="str">
        <f>IF('DLL Schedule'!Pay_Num&lt;&gt;"",I350,"")</f>
        <v/>
      </c>
      <c r="D351" s="525" t="str">
        <f>IF('DLL Schedule'!Pay_Num&lt;&gt;"",'DLL Schedule'!Scheduled_Monthly_Payment,"")</f>
        <v/>
      </c>
      <c r="E3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1" s="525" t="str">
        <f>IF('DLL Schedule'!Pay_Num&lt;&gt;"",IF('DLL Schedule'!Sched_Pay+'DLL Schedule'!Extra_Pay&lt;'DLL Schedule'!Beg_Bal,'DLL Schedule'!Sched_Pay+'DLL Schedule'!Extra_Pay,'DLL Schedule'!Beg_Bal),"")</f>
        <v/>
      </c>
      <c r="G351" s="525" t="str">
        <f>IF('DLL Schedule'!Pay_Num&lt;&gt;"",'DLL Schedule'!Total_Pay-'DLL Schedule'!Int,"")</f>
        <v/>
      </c>
      <c r="H351" s="525" t="str">
        <f>IF('DLL Schedule'!Pay_Num&lt;&gt;"",'DLL Schedule'!Beg_Bal*'DLL Schedule'!Interest_Rate/'DLL Schedule'!Num_Pmt_Per_Year,"")</f>
        <v/>
      </c>
      <c r="I351" s="525" t="str">
        <f>IF('DLL Schedule'!Pay_Num&lt;&gt;"",IF('DLL Schedule'!Sched_Pay+'DLL Schedule'!Extra_Pay&lt;'DLL Schedule'!Beg_Bal,'DLL Schedule'!Beg_Bal-'DLL Schedule'!Princ,0),"")</f>
        <v/>
      </c>
      <c r="J351" s="525">
        <f>SUM($H$18:$H351)</f>
        <v>257912.99524975716</v>
      </c>
      <c r="K351" s="499"/>
    </row>
    <row r="352" spans="1:11" ht="12.75" customHeight="1">
      <c r="A352" s="523" t="str">
        <f>IF(AND('DLL Schedule'!Values_Entered=1,A351&lt;&gt;"",I351&gt;0),A351+1,"")</f>
        <v/>
      </c>
      <c r="B352" s="524" t="str">
        <f>IF('DLL Schedule'!Pay_Num&lt;&gt;"",DATE(YEAR('DLL Schedule'!Loan_Start),MONTH('DLL Schedule'!Loan_Start)+('DLL Schedule'!Pay_Num)*12/'DLL Schedule'!Num_Pmt_Per_Year,DAY('DLL Schedule'!Loan_Start)),"")</f>
        <v/>
      </c>
      <c r="C352" s="525" t="str">
        <f>IF('DLL Schedule'!Pay_Num&lt;&gt;"",I351,"")</f>
        <v/>
      </c>
      <c r="D352" s="525" t="str">
        <f>IF('DLL Schedule'!Pay_Num&lt;&gt;"",'DLL Schedule'!Scheduled_Monthly_Payment,"")</f>
        <v/>
      </c>
      <c r="E3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2" s="525" t="str">
        <f>IF('DLL Schedule'!Pay_Num&lt;&gt;"",IF('DLL Schedule'!Sched_Pay+'DLL Schedule'!Extra_Pay&lt;'DLL Schedule'!Beg_Bal,'DLL Schedule'!Sched_Pay+'DLL Schedule'!Extra_Pay,'DLL Schedule'!Beg_Bal),"")</f>
        <v/>
      </c>
      <c r="G352" s="525" t="str">
        <f>IF('DLL Schedule'!Pay_Num&lt;&gt;"",'DLL Schedule'!Total_Pay-'DLL Schedule'!Int,"")</f>
        <v/>
      </c>
      <c r="H352" s="525" t="str">
        <f>IF('DLL Schedule'!Pay_Num&lt;&gt;"",'DLL Schedule'!Beg_Bal*'DLL Schedule'!Interest_Rate/'DLL Schedule'!Num_Pmt_Per_Year,"")</f>
        <v/>
      </c>
      <c r="I352" s="525" t="str">
        <f>IF('DLL Schedule'!Pay_Num&lt;&gt;"",IF('DLL Schedule'!Sched_Pay+'DLL Schedule'!Extra_Pay&lt;'DLL Schedule'!Beg_Bal,'DLL Schedule'!Beg_Bal-'DLL Schedule'!Princ,0),"")</f>
        <v/>
      </c>
      <c r="J352" s="525">
        <f>SUM($H$18:$H352)</f>
        <v>257912.99524975716</v>
      </c>
      <c r="K352" s="499"/>
    </row>
    <row r="353" spans="1:11" ht="12.75" customHeight="1">
      <c r="A353" s="523" t="str">
        <f>IF(AND('DLL Schedule'!Values_Entered=1,A352&lt;&gt;"",I352&gt;0),A352+1,"")</f>
        <v/>
      </c>
      <c r="B353" s="524" t="str">
        <f>IF('DLL Schedule'!Pay_Num&lt;&gt;"",DATE(YEAR('DLL Schedule'!Loan_Start),MONTH('DLL Schedule'!Loan_Start)+('DLL Schedule'!Pay_Num)*12/'DLL Schedule'!Num_Pmt_Per_Year,DAY('DLL Schedule'!Loan_Start)),"")</f>
        <v/>
      </c>
      <c r="C353" s="525" t="str">
        <f>IF('DLL Schedule'!Pay_Num&lt;&gt;"",I352,"")</f>
        <v/>
      </c>
      <c r="D353" s="525" t="str">
        <f>IF('DLL Schedule'!Pay_Num&lt;&gt;"",'DLL Schedule'!Scheduled_Monthly_Payment,"")</f>
        <v/>
      </c>
      <c r="E3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3" s="525" t="str">
        <f>IF('DLL Schedule'!Pay_Num&lt;&gt;"",IF('DLL Schedule'!Sched_Pay+'DLL Schedule'!Extra_Pay&lt;'DLL Schedule'!Beg_Bal,'DLL Schedule'!Sched_Pay+'DLL Schedule'!Extra_Pay,'DLL Schedule'!Beg_Bal),"")</f>
        <v/>
      </c>
      <c r="G353" s="525" t="str">
        <f>IF('DLL Schedule'!Pay_Num&lt;&gt;"",'DLL Schedule'!Total_Pay-'DLL Schedule'!Int,"")</f>
        <v/>
      </c>
      <c r="H353" s="525" t="str">
        <f>IF('DLL Schedule'!Pay_Num&lt;&gt;"",'DLL Schedule'!Beg_Bal*'DLL Schedule'!Interest_Rate/'DLL Schedule'!Num_Pmt_Per_Year,"")</f>
        <v/>
      </c>
      <c r="I353" s="525" t="str">
        <f>IF('DLL Schedule'!Pay_Num&lt;&gt;"",IF('DLL Schedule'!Sched_Pay+'DLL Schedule'!Extra_Pay&lt;'DLL Schedule'!Beg_Bal,'DLL Schedule'!Beg_Bal-'DLL Schedule'!Princ,0),"")</f>
        <v/>
      </c>
      <c r="J353" s="525">
        <f>SUM($H$18:$H353)</f>
        <v>257912.99524975716</v>
      </c>
      <c r="K353" s="499"/>
    </row>
    <row r="354" spans="1:11" ht="12.75" customHeight="1">
      <c r="A354" s="523" t="str">
        <f>IF(AND('DLL Schedule'!Values_Entered=1,A353&lt;&gt;"",I353&gt;0),A353+1,"")</f>
        <v/>
      </c>
      <c r="B354" s="524" t="str">
        <f>IF('DLL Schedule'!Pay_Num&lt;&gt;"",DATE(YEAR('DLL Schedule'!Loan_Start),MONTH('DLL Schedule'!Loan_Start)+('DLL Schedule'!Pay_Num)*12/'DLL Schedule'!Num_Pmt_Per_Year,DAY('DLL Schedule'!Loan_Start)),"")</f>
        <v/>
      </c>
      <c r="C354" s="525" t="str">
        <f>IF('DLL Schedule'!Pay_Num&lt;&gt;"",I353,"")</f>
        <v/>
      </c>
      <c r="D354" s="525" t="str">
        <f>IF('DLL Schedule'!Pay_Num&lt;&gt;"",'DLL Schedule'!Scheduled_Monthly_Payment,"")</f>
        <v/>
      </c>
      <c r="E3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4" s="525" t="str">
        <f>IF('DLL Schedule'!Pay_Num&lt;&gt;"",IF('DLL Schedule'!Sched_Pay+'DLL Schedule'!Extra_Pay&lt;'DLL Schedule'!Beg_Bal,'DLL Schedule'!Sched_Pay+'DLL Schedule'!Extra_Pay,'DLL Schedule'!Beg_Bal),"")</f>
        <v/>
      </c>
      <c r="G354" s="525" t="str">
        <f>IF('DLL Schedule'!Pay_Num&lt;&gt;"",'DLL Schedule'!Total_Pay-'DLL Schedule'!Int,"")</f>
        <v/>
      </c>
      <c r="H354" s="525" t="str">
        <f>IF('DLL Schedule'!Pay_Num&lt;&gt;"",'DLL Schedule'!Beg_Bal*'DLL Schedule'!Interest_Rate/'DLL Schedule'!Num_Pmt_Per_Year,"")</f>
        <v/>
      </c>
      <c r="I354" s="525" t="str">
        <f>IF('DLL Schedule'!Pay_Num&lt;&gt;"",IF('DLL Schedule'!Sched_Pay+'DLL Schedule'!Extra_Pay&lt;'DLL Schedule'!Beg_Bal,'DLL Schedule'!Beg_Bal-'DLL Schedule'!Princ,0),"")</f>
        <v/>
      </c>
      <c r="J354" s="525">
        <f>SUM($H$18:$H354)</f>
        <v>257912.99524975716</v>
      </c>
      <c r="K354" s="499"/>
    </row>
    <row r="355" spans="1:11" ht="12.75" customHeight="1">
      <c r="A355" s="523" t="str">
        <f>IF(AND('DLL Schedule'!Values_Entered=1,A354&lt;&gt;"",I354&gt;0),A354+1,"")</f>
        <v/>
      </c>
      <c r="B355" s="524" t="str">
        <f>IF('DLL Schedule'!Pay_Num&lt;&gt;"",DATE(YEAR('DLL Schedule'!Loan_Start),MONTH('DLL Schedule'!Loan_Start)+('DLL Schedule'!Pay_Num)*12/'DLL Schedule'!Num_Pmt_Per_Year,DAY('DLL Schedule'!Loan_Start)),"")</f>
        <v/>
      </c>
      <c r="C355" s="525" t="str">
        <f>IF('DLL Schedule'!Pay_Num&lt;&gt;"",I354,"")</f>
        <v/>
      </c>
      <c r="D355" s="525" t="str">
        <f>IF('DLL Schedule'!Pay_Num&lt;&gt;"",'DLL Schedule'!Scheduled_Monthly_Payment,"")</f>
        <v/>
      </c>
      <c r="E3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5" s="525" t="str">
        <f>IF('DLL Schedule'!Pay_Num&lt;&gt;"",IF('DLL Schedule'!Sched_Pay+'DLL Schedule'!Extra_Pay&lt;'DLL Schedule'!Beg_Bal,'DLL Schedule'!Sched_Pay+'DLL Schedule'!Extra_Pay,'DLL Schedule'!Beg_Bal),"")</f>
        <v/>
      </c>
      <c r="G355" s="525" t="str">
        <f>IF('DLL Schedule'!Pay_Num&lt;&gt;"",'DLL Schedule'!Total_Pay-'DLL Schedule'!Int,"")</f>
        <v/>
      </c>
      <c r="H355" s="525" t="str">
        <f>IF('DLL Schedule'!Pay_Num&lt;&gt;"",'DLL Schedule'!Beg_Bal*'DLL Schedule'!Interest_Rate/'DLL Schedule'!Num_Pmt_Per_Year,"")</f>
        <v/>
      </c>
      <c r="I355" s="525" t="str">
        <f>IF('DLL Schedule'!Pay_Num&lt;&gt;"",IF('DLL Schedule'!Sched_Pay+'DLL Schedule'!Extra_Pay&lt;'DLL Schedule'!Beg_Bal,'DLL Schedule'!Beg_Bal-'DLL Schedule'!Princ,0),"")</f>
        <v/>
      </c>
      <c r="J355" s="525">
        <f>SUM($H$18:$H355)</f>
        <v>257912.99524975716</v>
      </c>
      <c r="K355" s="499"/>
    </row>
    <row r="356" spans="1:11" ht="12.75" customHeight="1">
      <c r="A356" s="523" t="str">
        <f>IF(AND('DLL Schedule'!Values_Entered=1,A355&lt;&gt;"",I355&gt;0),A355+1,"")</f>
        <v/>
      </c>
      <c r="B356" s="524" t="str">
        <f>IF('DLL Schedule'!Pay_Num&lt;&gt;"",DATE(YEAR('DLL Schedule'!Loan_Start),MONTH('DLL Schedule'!Loan_Start)+('DLL Schedule'!Pay_Num)*12/'DLL Schedule'!Num_Pmt_Per_Year,DAY('DLL Schedule'!Loan_Start)),"")</f>
        <v/>
      </c>
      <c r="C356" s="525" t="str">
        <f>IF('DLL Schedule'!Pay_Num&lt;&gt;"",I355,"")</f>
        <v/>
      </c>
      <c r="D356" s="525" t="str">
        <f>IF('DLL Schedule'!Pay_Num&lt;&gt;"",'DLL Schedule'!Scheduled_Monthly_Payment,"")</f>
        <v/>
      </c>
      <c r="E3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6" s="525" t="str">
        <f>IF('DLL Schedule'!Pay_Num&lt;&gt;"",IF('DLL Schedule'!Sched_Pay+'DLL Schedule'!Extra_Pay&lt;'DLL Schedule'!Beg_Bal,'DLL Schedule'!Sched_Pay+'DLL Schedule'!Extra_Pay,'DLL Schedule'!Beg_Bal),"")</f>
        <v/>
      </c>
      <c r="G356" s="525" t="str">
        <f>IF('DLL Schedule'!Pay_Num&lt;&gt;"",'DLL Schedule'!Total_Pay-'DLL Schedule'!Int,"")</f>
        <v/>
      </c>
      <c r="H356" s="525" t="str">
        <f>IF('DLL Schedule'!Pay_Num&lt;&gt;"",'DLL Schedule'!Beg_Bal*'DLL Schedule'!Interest_Rate/'DLL Schedule'!Num_Pmt_Per_Year,"")</f>
        <v/>
      </c>
      <c r="I356" s="525" t="str">
        <f>IF('DLL Schedule'!Pay_Num&lt;&gt;"",IF('DLL Schedule'!Sched_Pay+'DLL Schedule'!Extra_Pay&lt;'DLL Schedule'!Beg_Bal,'DLL Schedule'!Beg_Bal-'DLL Schedule'!Princ,0),"")</f>
        <v/>
      </c>
      <c r="J356" s="525">
        <f>SUM($H$18:$H356)</f>
        <v>257912.99524975716</v>
      </c>
      <c r="K356" s="499"/>
    </row>
    <row r="357" spans="1:11" ht="12.75" customHeight="1">
      <c r="A357" s="523" t="str">
        <f>IF(AND('DLL Schedule'!Values_Entered=1,A356&lt;&gt;"",I356&gt;0),A356+1,"")</f>
        <v/>
      </c>
      <c r="B357" s="524" t="str">
        <f>IF('DLL Schedule'!Pay_Num&lt;&gt;"",DATE(YEAR('DLL Schedule'!Loan_Start),MONTH('DLL Schedule'!Loan_Start)+('DLL Schedule'!Pay_Num)*12/'DLL Schedule'!Num_Pmt_Per_Year,DAY('DLL Schedule'!Loan_Start)),"")</f>
        <v/>
      </c>
      <c r="C357" s="525" t="str">
        <f>IF('DLL Schedule'!Pay_Num&lt;&gt;"",I356,"")</f>
        <v/>
      </c>
      <c r="D357" s="525" t="str">
        <f>IF('DLL Schedule'!Pay_Num&lt;&gt;"",'DLL Schedule'!Scheduled_Monthly_Payment,"")</f>
        <v/>
      </c>
      <c r="E3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7" s="525" t="str">
        <f>IF('DLL Schedule'!Pay_Num&lt;&gt;"",IF('DLL Schedule'!Sched_Pay+'DLL Schedule'!Extra_Pay&lt;'DLL Schedule'!Beg_Bal,'DLL Schedule'!Sched_Pay+'DLL Schedule'!Extra_Pay,'DLL Schedule'!Beg_Bal),"")</f>
        <v/>
      </c>
      <c r="G357" s="525" t="str">
        <f>IF('DLL Schedule'!Pay_Num&lt;&gt;"",'DLL Schedule'!Total_Pay-'DLL Schedule'!Int,"")</f>
        <v/>
      </c>
      <c r="H357" s="525" t="str">
        <f>IF('DLL Schedule'!Pay_Num&lt;&gt;"",'DLL Schedule'!Beg_Bal*'DLL Schedule'!Interest_Rate/'DLL Schedule'!Num_Pmt_Per_Year,"")</f>
        <v/>
      </c>
      <c r="I357" s="525" t="str">
        <f>IF('DLL Schedule'!Pay_Num&lt;&gt;"",IF('DLL Schedule'!Sched_Pay+'DLL Schedule'!Extra_Pay&lt;'DLL Schedule'!Beg_Bal,'DLL Schedule'!Beg_Bal-'DLL Schedule'!Princ,0),"")</f>
        <v/>
      </c>
      <c r="J357" s="525">
        <f>SUM($H$18:$H357)</f>
        <v>257912.99524975716</v>
      </c>
      <c r="K357" s="499"/>
    </row>
    <row r="358" spans="1:11" ht="12.75" customHeight="1">
      <c r="A358" s="523" t="str">
        <f>IF(AND('DLL Schedule'!Values_Entered=1,A357&lt;&gt;"",I357&gt;0),A357+1,"")</f>
        <v/>
      </c>
      <c r="B358" s="524" t="str">
        <f>IF('DLL Schedule'!Pay_Num&lt;&gt;"",DATE(YEAR('DLL Schedule'!Loan_Start),MONTH('DLL Schedule'!Loan_Start)+('DLL Schedule'!Pay_Num)*12/'DLL Schedule'!Num_Pmt_Per_Year,DAY('DLL Schedule'!Loan_Start)),"")</f>
        <v/>
      </c>
      <c r="C358" s="525" t="str">
        <f>IF('DLL Schedule'!Pay_Num&lt;&gt;"",I357,"")</f>
        <v/>
      </c>
      <c r="D358" s="525" t="str">
        <f>IF('DLL Schedule'!Pay_Num&lt;&gt;"",'DLL Schedule'!Scheduled_Monthly_Payment,"")</f>
        <v/>
      </c>
      <c r="E3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8" s="525" t="str">
        <f>IF('DLL Schedule'!Pay_Num&lt;&gt;"",IF('DLL Schedule'!Sched_Pay+'DLL Schedule'!Extra_Pay&lt;'DLL Schedule'!Beg_Bal,'DLL Schedule'!Sched_Pay+'DLL Schedule'!Extra_Pay,'DLL Schedule'!Beg_Bal),"")</f>
        <v/>
      </c>
      <c r="G358" s="525" t="str">
        <f>IF('DLL Schedule'!Pay_Num&lt;&gt;"",'DLL Schedule'!Total_Pay-'DLL Schedule'!Int,"")</f>
        <v/>
      </c>
      <c r="H358" s="525" t="str">
        <f>IF('DLL Schedule'!Pay_Num&lt;&gt;"",'DLL Schedule'!Beg_Bal*'DLL Schedule'!Interest_Rate/'DLL Schedule'!Num_Pmt_Per_Year,"")</f>
        <v/>
      </c>
      <c r="I358" s="525" t="str">
        <f>IF('DLL Schedule'!Pay_Num&lt;&gt;"",IF('DLL Schedule'!Sched_Pay+'DLL Schedule'!Extra_Pay&lt;'DLL Schedule'!Beg_Bal,'DLL Schedule'!Beg_Bal-'DLL Schedule'!Princ,0),"")</f>
        <v/>
      </c>
      <c r="J358" s="525">
        <f>SUM($H$18:$H358)</f>
        <v>257912.99524975716</v>
      </c>
      <c r="K358" s="499"/>
    </row>
    <row r="359" spans="1:11" ht="12.75" customHeight="1">
      <c r="A359" s="523" t="str">
        <f>IF(AND('DLL Schedule'!Values_Entered=1,A358&lt;&gt;"",I358&gt;0),A358+1,"")</f>
        <v/>
      </c>
      <c r="B359" s="524" t="str">
        <f>IF('DLL Schedule'!Pay_Num&lt;&gt;"",DATE(YEAR('DLL Schedule'!Loan_Start),MONTH('DLL Schedule'!Loan_Start)+('DLL Schedule'!Pay_Num)*12/'DLL Schedule'!Num_Pmt_Per_Year,DAY('DLL Schedule'!Loan_Start)),"")</f>
        <v/>
      </c>
      <c r="C359" s="525" t="str">
        <f>IF('DLL Schedule'!Pay_Num&lt;&gt;"",I358,"")</f>
        <v/>
      </c>
      <c r="D359" s="525" t="str">
        <f>IF('DLL Schedule'!Pay_Num&lt;&gt;"",'DLL Schedule'!Scheduled_Monthly_Payment,"")</f>
        <v/>
      </c>
      <c r="E3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9" s="525" t="str">
        <f>IF('DLL Schedule'!Pay_Num&lt;&gt;"",IF('DLL Schedule'!Sched_Pay+'DLL Schedule'!Extra_Pay&lt;'DLL Schedule'!Beg_Bal,'DLL Schedule'!Sched_Pay+'DLL Schedule'!Extra_Pay,'DLL Schedule'!Beg_Bal),"")</f>
        <v/>
      </c>
      <c r="G359" s="525" t="str">
        <f>IF('DLL Schedule'!Pay_Num&lt;&gt;"",'DLL Schedule'!Total_Pay-'DLL Schedule'!Int,"")</f>
        <v/>
      </c>
      <c r="H359" s="525" t="str">
        <f>IF('DLL Schedule'!Pay_Num&lt;&gt;"",'DLL Schedule'!Beg_Bal*'DLL Schedule'!Interest_Rate/'DLL Schedule'!Num_Pmt_Per_Year,"")</f>
        <v/>
      </c>
      <c r="I359" s="525" t="str">
        <f>IF('DLL Schedule'!Pay_Num&lt;&gt;"",IF('DLL Schedule'!Sched_Pay+'DLL Schedule'!Extra_Pay&lt;'DLL Schedule'!Beg_Bal,'DLL Schedule'!Beg_Bal-'DLL Schedule'!Princ,0),"")</f>
        <v/>
      </c>
      <c r="J359" s="525">
        <f>SUM($H$18:$H359)</f>
        <v>257912.99524975716</v>
      </c>
      <c r="K359" s="499"/>
    </row>
    <row r="360" spans="1:11" ht="12.75" customHeight="1">
      <c r="A360" s="523" t="str">
        <f>IF(AND('DLL Schedule'!Values_Entered=1,A359&lt;&gt;"",I359&gt;0),A359+1,"")</f>
        <v/>
      </c>
      <c r="B360" s="524" t="str">
        <f>IF('DLL Schedule'!Pay_Num&lt;&gt;"",DATE(YEAR('DLL Schedule'!Loan_Start),MONTH('DLL Schedule'!Loan_Start)+('DLL Schedule'!Pay_Num)*12/'DLL Schedule'!Num_Pmt_Per_Year,DAY('DLL Schedule'!Loan_Start)),"")</f>
        <v/>
      </c>
      <c r="C360" s="525" t="str">
        <f>IF('DLL Schedule'!Pay_Num&lt;&gt;"",I359,"")</f>
        <v/>
      </c>
      <c r="D360" s="525" t="str">
        <f>IF('DLL Schedule'!Pay_Num&lt;&gt;"",'DLL Schedule'!Scheduled_Monthly_Payment,"")</f>
        <v/>
      </c>
      <c r="E3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0" s="525" t="str">
        <f>IF('DLL Schedule'!Pay_Num&lt;&gt;"",IF('DLL Schedule'!Sched_Pay+'DLL Schedule'!Extra_Pay&lt;'DLL Schedule'!Beg_Bal,'DLL Schedule'!Sched_Pay+'DLL Schedule'!Extra_Pay,'DLL Schedule'!Beg_Bal),"")</f>
        <v/>
      </c>
      <c r="G360" s="525" t="str">
        <f>IF('DLL Schedule'!Pay_Num&lt;&gt;"",'DLL Schedule'!Total_Pay-'DLL Schedule'!Int,"")</f>
        <v/>
      </c>
      <c r="H360" s="525" t="str">
        <f>IF('DLL Schedule'!Pay_Num&lt;&gt;"",'DLL Schedule'!Beg_Bal*'DLL Schedule'!Interest_Rate/'DLL Schedule'!Num_Pmt_Per_Year,"")</f>
        <v/>
      </c>
      <c r="I360" s="525" t="str">
        <f>IF('DLL Schedule'!Pay_Num&lt;&gt;"",IF('DLL Schedule'!Sched_Pay+'DLL Schedule'!Extra_Pay&lt;'DLL Schedule'!Beg_Bal,'DLL Schedule'!Beg_Bal-'DLL Schedule'!Princ,0),"")</f>
        <v/>
      </c>
      <c r="J360" s="525">
        <f>SUM($H$18:$H360)</f>
        <v>257912.99524975716</v>
      </c>
      <c r="K360" s="499"/>
    </row>
    <row r="361" spans="1:11" ht="12.75" customHeight="1">
      <c r="A361" s="523" t="str">
        <f>IF(AND('DLL Schedule'!Values_Entered=1,A360&lt;&gt;"",I360&gt;0),A360+1,"")</f>
        <v/>
      </c>
      <c r="B361" s="524" t="str">
        <f>IF('DLL Schedule'!Pay_Num&lt;&gt;"",DATE(YEAR('DLL Schedule'!Loan_Start),MONTH('DLL Schedule'!Loan_Start)+('DLL Schedule'!Pay_Num)*12/'DLL Schedule'!Num_Pmt_Per_Year,DAY('DLL Schedule'!Loan_Start)),"")</f>
        <v/>
      </c>
      <c r="C361" s="525" t="str">
        <f>IF('DLL Schedule'!Pay_Num&lt;&gt;"",I360,"")</f>
        <v/>
      </c>
      <c r="D361" s="525" t="str">
        <f>IF('DLL Schedule'!Pay_Num&lt;&gt;"",'DLL Schedule'!Scheduled_Monthly_Payment,"")</f>
        <v/>
      </c>
      <c r="E3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1" s="525" t="str">
        <f>IF('DLL Schedule'!Pay_Num&lt;&gt;"",IF('DLL Schedule'!Sched_Pay+'DLL Schedule'!Extra_Pay&lt;'DLL Schedule'!Beg_Bal,'DLL Schedule'!Sched_Pay+'DLL Schedule'!Extra_Pay,'DLL Schedule'!Beg_Bal),"")</f>
        <v/>
      </c>
      <c r="G361" s="525" t="str">
        <f>IF('DLL Schedule'!Pay_Num&lt;&gt;"",'DLL Schedule'!Total_Pay-'DLL Schedule'!Int,"")</f>
        <v/>
      </c>
      <c r="H361" s="525" t="str">
        <f>IF('DLL Schedule'!Pay_Num&lt;&gt;"",'DLL Schedule'!Beg_Bal*'DLL Schedule'!Interest_Rate/'DLL Schedule'!Num_Pmt_Per_Year,"")</f>
        <v/>
      </c>
      <c r="I361" s="525" t="str">
        <f>IF('DLL Schedule'!Pay_Num&lt;&gt;"",IF('DLL Schedule'!Sched_Pay+'DLL Schedule'!Extra_Pay&lt;'DLL Schedule'!Beg_Bal,'DLL Schedule'!Beg_Bal-'DLL Schedule'!Princ,0),"")</f>
        <v/>
      </c>
      <c r="J361" s="525">
        <f>SUM($H$18:$H361)</f>
        <v>257912.99524975716</v>
      </c>
      <c r="K361" s="499"/>
    </row>
    <row r="362" spans="1:11" ht="12.75" customHeight="1">
      <c r="A362" s="523" t="str">
        <f>IF(AND('DLL Schedule'!Values_Entered=1,A361&lt;&gt;"",I361&gt;0),A361+1,"")</f>
        <v/>
      </c>
      <c r="B362" s="524" t="str">
        <f>IF('DLL Schedule'!Pay_Num&lt;&gt;"",DATE(YEAR('DLL Schedule'!Loan_Start),MONTH('DLL Schedule'!Loan_Start)+('DLL Schedule'!Pay_Num)*12/'DLL Schedule'!Num_Pmt_Per_Year,DAY('DLL Schedule'!Loan_Start)),"")</f>
        <v/>
      </c>
      <c r="C362" s="525" t="str">
        <f>IF('DLL Schedule'!Pay_Num&lt;&gt;"",I361,"")</f>
        <v/>
      </c>
      <c r="D362" s="525" t="str">
        <f>IF('DLL Schedule'!Pay_Num&lt;&gt;"",'DLL Schedule'!Scheduled_Monthly_Payment,"")</f>
        <v/>
      </c>
      <c r="E3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2" s="525" t="str">
        <f>IF('DLL Schedule'!Pay_Num&lt;&gt;"",IF('DLL Schedule'!Sched_Pay+'DLL Schedule'!Extra_Pay&lt;'DLL Schedule'!Beg_Bal,'DLL Schedule'!Sched_Pay+'DLL Schedule'!Extra_Pay,'DLL Schedule'!Beg_Bal),"")</f>
        <v/>
      </c>
      <c r="G362" s="525" t="str">
        <f>IF('DLL Schedule'!Pay_Num&lt;&gt;"",'DLL Schedule'!Total_Pay-'DLL Schedule'!Int,"")</f>
        <v/>
      </c>
      <c r="H362" s="525" t="str">
        <f>IF('DLL Schedule'!Pay_Num&lt;&gt;"",'DLL Schedule'!Beg_Bal*'DLL Schedule'!Interest_Rate/'DLL Schedule'!Num_Pmt_Per_Year,"")</f>
        <v/>
      </c>
      <c r="I362" s="525" t="str">
        <f>IF('DLL Schedule'!Pay_Num&lt;&gt;"",IF('DLL Schedule'!Sched_Pay+'DLL Schedule'!Extra_Pay&lt;'DLL Schedule'!Beg_Bal,'DLL Schedule'!Beg_Bal-'DLL Schedule'!Princ,0),"")</f>
        <v/>
      </c>
      <c r="J362" s="525">
        <f>SUM($H$18:$H362)</f>
        <v>257912.99524975716</v>
      </c>
      <c r="K362" s="499"/>
    </row>
    <row r="363" spans="1:11" ht="12.75" customHeight="1">
      <c r="A363" s="523" t="str">
        <f>IF(AND('DLL Schedule'!Values_Entered=1,A362&lt;&gt;"",I362&gt;0),A362+1,"")</f>
        <v/>
      </c>
      <c r="B363" s="524" t="str">
        <f>IF('DLL Schedule'!Pay_Num&lt;&gt;"",DATE(YEAR('DLL Schedule'!Loan_Start),MONTH('DLL Schedule'!Loan_Start)+('DLL Schedule'!Pay_Num)*12/'DLL Schedule'!Num_Pmt_Per_Year,DAY('DLL Schedule'!Loan_Start)),"")</f>
        <v/>
      </c>
      <c r="C363" s="525" t="str">
        <f>IF('DLL Schedule'!Pay_Num&lt;&gt;"",I362,"")</f>
        <v/>
      </c>
      <c r="D363" s="525" t="str">
        <f>IF('DLL Schedule'!Pay_Num&lt;&gt;"",'DLL Schedule'!Scheduled_Monthly_Payment,"")</f>
        <v/>
      </c>
      <c r="E3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3" s="525" t="str">
        <f>IF('DLL Schedule'!Pay_Num&lt;&gt;"",IF('DLL Schedule'!Sched_Pay+'DLL Schedule'!Extra_Pay&lt;'DLL Schedule'!Beg_Bal,'DLL Schedule'!Sched_Pay+'DLL Schedule'!Extra_Pay,'DLL Schedule'!Beg_Bal),"")</f>
        <v/>
      </c>
      <c r="G363" s="525" t="str">
        <f>IF('DLL Schedule'!Pay_Num&lt;&gt;"",'DLL Schedule'!Total_Pay-'DLL Schedule'!Int,"")</f>
        <v/>
      </c>
      <c r="H363" s="525" t="str">
        <f>IF('DLL Schedule'!Pay_Num&lt;&gt;"",'DLL Schedule'!Beg_Bal*'DLL Schedule'!Interest_Rate/'DLL Schedule'!Num_Pmt_Per_Year,"")</f>
        <v/>
      </c>
      <c r="I363" s="525" t="str">
        <f>IF('DLL Schedule'!Pay_Num&lt;&gt;"",IF('DLL Schedule'!Sched_Pay+'DLL Schedule'!Extra_Pay&lt;'DLL Schedule'!Beg_Bal,'DLL Schedule'!Beg_Bal-'DLL Schedule'!Princ,0),"")</f>
        <v/>
      </c>
      <c r="J363" s="525">
        <f>SUM($H$18:$H363)</f>
        <v>257912.99524975716</v>
      </c>
      <c r="K363" s="499"/>
    </row>
    <row r="364" spans="1:11" ht="12.75" customHeight="1">
      <c r="A364" s="523" t="str">
        <f>IF(AND('DLL Schedule'!Values_Entered=1,A363&lt;&gt;"",I363&gt;0),A363+1,"")</f>
        <v/>
      </c>
      <c r="B364" s="524" t="str">
        <f>IF('DLL Schedule'!Pay_Num&lt;&gt;"",DATE(YEAR('DLL Schedule'!Loan_Start),MONTH('DLL Schedule'!Loan_Start)+('DLL Schedule'!Pay_Num)*12/'DLL Schedule'!Num_Pmt_Per_Year,DAY('DLL Schedule'!Loan_Start)),"")</f>
        <v/>
      </c>
      <c r="C364" s="525" t="str">
        <f>IF('DLL Schedule'!Pay_Num&lt;&gt;"",I363,"")</f>
        <v/>
      </c>
      <c r="D364" s="525" t="str">
        <f>IF('DLL Schedule'!Pay_Num&lt;&gt;"",'DLL Schedule'!Scheduled_Monthly_Payment,"")</f>
        <v/>
      </c>
      <c r="E3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4" s="525" t="str">
        <f>IF('DLL Schedule'!Pay_Num&lt;&gt;"",IF('DLL Schedule'!Sched_Pay+'DLL Schedule'!Extra_Pay&lt;'DLL Schedule'!Beg_Bal,'DLL Schedule'!Sched_Pay+'DLL Schedule'!Extra_Pay,'DLL Schedule'!Beg_Bal),"")</f>
        <v/>
      </c>
      <c r="G364" s="525" t="str">
        <f>IF('DLL Schedule'!Pay_Num&lt;&gt;"",'DLL Schedule'!Total_Pay-'DLL Schedule'!Int,"")</f>
        <v/>
      </c>
      <c r="H364" s="525" t="str">
        <f>IF('DLL Schedule'!Pay_Num&lt;&gt;"",'DLL Schedule'!Beg_Bal*'DLL Schedule'!Interest_Rate/'DLL Schedule'!Num_Pmt_Per_Year,"")</f>
        <v/>
      </c>
      <c r="I364" s="525" t="str">
        <f>IF('DLL Schedule'!Pay_Num&lt;&gt;"",IF('DLL Schedule'!Sched_Pay+'DLL Schedule'!Extra_Pay&lt;'DLL Schedule'!Beg_Bal,'DLL Schedule'!Beg_Bal-'DLL Schedule'!Princ,0),"")</f>
        <v/>
      </c>
      <c r="J364" s="525">
        <f>SUM($H$18:$H364)</f>
        <v>257912.99524975716</v>
      </c>
      <c r="K364" s="499"/>
    </row>
    <row r="365" spans="1:11" ht="12.75" customHeight="1">
      <c r="A365" s="523" t="str">
        <f>IF(AND('DLL Schedule'!Values_Entered=1,A364&lt;&gt;"",I364&gt;0),A364+1,"")</f>
        <v/>
      </c>
      <c r="B365" s="524" t="str">
        <f>IF('DLL Schedule'!Pay_Num&lt;&gt;"",DATE(YEAR('DLL Schedule'!Loan_Start),MONTH('DLL Schedule'!Loan_Start)+('DLL Schedule'!Pay_Num)*12/'DLL Schedule'!Num_Pmt_Per_Year,DAY('DLL Schedule'!Loan_Start)),"")</f>
        <v/>
      </c>
      <c r="C365" s="525" t="str">
        <f>IF('DLL Schedule'!Pay_Num&lt;&gt;"",I364,"")</f>
        <v/>
      </c>
      <c r="D365" s="525" t="str">
        <f>IF('DLL Schedule'!Pay_Num&lt;&gt;"",'DLL Schedule'!Scheduled_Monthly_Payment,"")</f>
        <v/>
      </c>
      <c r="E3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5" s="525" t="str">
        <f>IF('DLL Schedule'!Pay_Num&lt;&gt;"",IF('DLL Schedule'!Sched_Pay+'DLL Schedule'!Extra_Pay&lt;'DLL Schedule'!Beg_Bal,'DLL Schedule'!Sched_Pay+'DLL Schedule'!Extra_Pay,'DLL Schedule'!Beg_Bal),"")</f>
        <v/>
      </c>
      <c r="G365" s="525" t="str">
        <f>IF('DLL Schedule'!Pay_Num&lt;&gt;"",'DLL Schedule'!Total_Pay-'DLL Schedule'!Int,"")</f>
        <v/>
      </c>
      <c r="H365" s="525" t="str">
        <f>IF('DLL Schedule'!Pay_Num&lt;&gt;"",'DLL Schedule'!Beg_Bal*'DLL Schedule'!Interest_Rate/'DLL Schedule'!Num_Pmt_Per_Year,"")</f>
        <v/>
      </c>
      <c r="I365" s="525" t="str">
        <f>IF('DLL Schedule'!Pay_Num&lt;&gt;"",IF('DLL Schedule'!Sched_Pay+'DLL Schedule'!Extra_Pay&lt;'DLL Schedule'!Beg_Bal,'DLL Schedule'!Beg_Bal-'DLL Schedule'!Princ,0),"")</f>
        <v/>
      </c>
      <c r="J365" s="525">
        <f>SUM($H$18:$H365)</f>
        <v>257912.99524975716</v>
      </c>
      <c r="K365" s="499"/>
    </row>
    <row r="366" spans="1:11" ht="12.75" customHeight="1">
      <c r="A366" s="523" t="str">
        <f>IF(AND('DLL Schedule'!Values_Entered=1,A365&lt;&gt;"",I365&gt;0),A365+1,"")</f>
        <v/>
      </c>
      <c r="B366" s="524" t="str">
        <f>IF('DLL Schedule'!Pay_Num&lt;&gt;"",DATE(YEAR('DLL Schedule'!Loan_Start),MONTH('DLL Schedule'!Loan_Start)+('DLL Schedule'!Pay_Num)*12/'DLL Schedule'!Num_Pmt_Per_Year,DAY('DLL Schedule'!Loan_Start)),"")</f>
        <v/>
      </c>
      <c r="C366" s="525" t="str">
        <f>IF('DLL Schedule'!Pay_Num&lt;&gt;"",I365,"")</f>
        <v/>
      </c>
      <c r="D366" s="525" t="str">
        <f>IF('DLL Schedule'!Pay_Num&lt;&gt;"",'DLL Schedule'!Scheduled_Monthly_Payment,"")</f>
        <v/>
      </c>
      <c r="E3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6" s="525" t="str">
        <f>IF('DLL Schedule'!Pay_Num&lt;&gt;"",IF('DLL Schedule'!Sched_Pay+'DLL Schedule'!Extra_Pay&lt;'DLL Schedule'!Beg_Bal,'DLL Schedule'!Sched_Pay+'DLL Schedule'!Extra_Pay,'DLL Schedule'!Beg_Bal),"")</f>
        <v/>
      </c>
      <c r="G366" s="525" t="str">
        <f>IF('DLL Schedule'!Pay_Num&lt;&gt;"",'DLL Schedule'!Total_Pay-'DLL Schedule'!Int,"")</f>
        <v/>
      </c>
      <c r="H366" s="525" t="str">
        <f>IF('DLL Schedule'!Pay_Num&lt;&gt;"",'DLL Schedule'!Beg_Bal*'DLL Schedule'!Interest_Rate/'DLL Schedule'!Num_Pmt_Per_Year,"")</f>
        <v/>
      </c>
      <c r="I366" s="525" t="str">
        <f>IF('DLL Schedule'!Pay_Num&lt;&gt;"",IF('DLL Schedule'!Sched_Pay+'DLL Schedule'!Extra_Pay&lt;'DLL Schedule'!Beg_Bal,'DLL Schedule'!Beg_Bal-'DLL Schedule'!Princ,0),"")</f>
        <v/>
      </c>
      <c r="J366" s="525">
        <f>SUM($H$18:$H366)</f>
        <v>257912.99524975716</v>
      </c>
      <c r="K366" s="499"/>
    </row>
    <row r="367" spans="1:11" ht="12.75" customHeight="1">
      <c r="A367" s="523" t="str">
        <f>IF(AND('DLL Schedule'!Values_Entered=1,A366&lt;&gt;"",I366&gt;0),A366+1,"")</f>
        <v/>
      </c>
      <c r="B367" s="524" t="str">
        <f>IF('DLL Schedule'!Pay_Num&lt;&gt;"",DATE(YEAR('DLL Schedule'!Loan_Start),MONTH('DLL Schedule'!Loan_Start)+('DLL Schedule'!Pay_Num)*12/'DLL Schedule'!Num_Pmt_Per_Year,DAY('DLL Schedule'!Loan_Start)),"")</f>
        <v/>
      </c>
      <c r="C367" s="525" t="str">
        <f>IF('DLL Schedule'!Pay_Num&lt;&gt;"",I366,"")</f>
        <v/>
      </c>
      <c r="D367" s="525" t="str">
        <f>IF('DLL Schedule'!Pay_Num&lt;&gt;"",'DLL Schedule'!Scheduled_Monthly_Payment,"")</f>
        <v/>
      </c>
      <c r="E3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7" s="525" t="str">
        <f>IF('DLL Schedule'!Pay_Num&lt;&gt;"",IF('DLL Schedule'!Sched_Pay+'DLL Schedule'!Extra_Pay&lt;'DLL Schedule'!Beg_Bal,'DLL Schedule'!Sched_Pay+'DLL Schedule'!Extra_Pay,'DLL Schedule'!Beg_Bal),"")</f>
        <v/>
      </c>
      <c r="G367" s="525" t="str">
        <f>IF('DLL Schedule'!Pay_Num&lt;&gt;"",'DLL Schedule'!Total_Pay-'DLL Schedule'!Int,"")</f>
        <v/>
      </c>
      <c r="H367" s="525" t="str">
        <f>IF('DLL Schedule'!Pay_Num&lt;&gt;"",'DLL Schedule'!Beg_Bal*'DLL Schedule'!Interest_Rate/'DLL Schedule'!Num_Pmt_Per_Year,"")</f>
        <v/>
      </c>
      <c r="I367" s="525" t="str">
        <f>IF('DLL Schedule'!Pay_Num&lt;&gt;"",IF('DLL Schedule'!Sched_Pay+'DLL Schedule'!Extra_Pay&lt;'DLL Schedule'!Beg_Bal,'DLL Schedule'!Beg_Bal-'DLL Schedule'!Princ,0),"")</f>
        <v/>
      </c>
      <c r="J367" s="525">
        <f>SUM($H$18:$H367)</f>
        <v>257912.99524975716</v>
      </c>
      <c r="K367" s="499"/>
    </row>
    <row r="368" spans="1:11" ht="12.75" customHeight="1">
      <c r="A368" s="523" t="str">
        <f>IF(AND('DLL Schedule'!Values_Entered=1,A367&lt;&gt;"",I367&gt;0),A367+1,"")</f>
        <v/>
      </c>
      <c r="B368" s="524" t="str">
        <f>IF('DLL Schedule'!Pay_Num&lt;&gt;"",DATE(YEAR('DLL Schedule'!Loan_Start),MONTH('DLL Schedule'!Loan_Start)+('DLL Schedule'!Pay_Num)*12/'DLL Schedule'!Num_Pmt_Per_Year,DAY('DLL Schedule'!Loan_Start)),"")</f>
        <v/>
      </c>
      <c r="C368" s="525" t="str">
        <f>IF('DLL Schedule'!Pay_Num&lt;&gt;"",I367,"")</f>
        <v/>
      </c>
      <c r="D368" s="525" t="str">
        <f>IF('DLL Schedule'!Pay_Num&lt;&gt;"",'DLL Schedule'!Scheduled_Monthly_Payment,"")</f>
        <v/>
      </c>
      <c r="E3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8" s="525" t="str">
        <f>IF('DLL Schedule'!Pay_Num&lt;&gt;"",IF('DLL Schedule'!Sched_Pay+'DLL Schedule'!Extra_Pay&lt;'DLL Schedule'!Beg_Bal,'DLL Schedule'!Sched_Pay+'DLL Schedule'!Extra_Pay,'DLL Schedule'!Beg_Bal),"")</f>
        <v/>
      </c>
      <c r="G368" s="525" t="str">
        <f>IF('DLL Schedule'!Pay_Num&lt;&gt;"",'DLL Schedule'!Total_Pay-'DLL Schedule'!Int,"")</f>
        <v/>
      </c>
      <c r="H368" s="525" t="str">
        <f>IF('DLL Schedule'!Pay_Num&lt;&gt;"",'DLL Schedule'!Beg_Bal*'DLL Schedule'!Interest_Rate/'DLL Schedule'!Num_Pmt_Per_Year,"")</f>
        <v/>
      </c>
      <c r="I368" s="525" t="str">
        <f>IF('DLL Schedule'!Pay_Num&lt;&gt;"",IF('DLL Schedule'!Sched_Pay+'DLL Schedule'!Extra_Pay&lt;'DLL Schedule'!Beg_Bal,'DLL Schedule'!Beg_Bal-'DLL Schedule'!Princ,0),"")</f>
        <v/>
      </c>
      <c r="J368" s="525">
        <f>SUM($H$18:$H368)</f>
        <v>257912.99524975716</v>
      </c>
      <c r="K368" s="499"/>
    </row>
    <row r="369" spans="1:11" ht="12.75" customHeight="1">
      <c r="A369" s="523" t="str">
        <f>IF(AND('DLL Schedule'!Values_Entered=1,A368&lt;&gt;"",I368&gt;0),A368+1,"")</f>
        <v/>
      </c>
      <c r="B369" s="524" t="str">
        <f>IF('DLL Schedule'!Pay_Num&lt;&gt;"",DATE(YEAR('DLL Schedule'!Loan_Start),MONTH('DLL Schedule'!Loan_Start)+('DLL Schedule'!Pay_Num)*12/'DLL Schedule'!Num_Pmt_Per_Year,DAY('DLL Schedule'!Loan_Start)),"")</f>
        <v/>
      </c>
      <c r="C369" s="525" t="str">
        <f>IF('DLL Schedule'!Pay_Num&lt;&gt;"",I368,"")</f>
        <v/>
      </c>
      <c r="D369" s="525" t="str">
        <f>IF('DLL Schedule'!Pay_Num&lt;&gt;"",'DLL Schedule'!Scheduled_Monthly_Payment,"")</f>
        <v/>
      </c>
      <c r="E3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9" s="525" t="str">
        <f>IF('DLL Schedule'!Pay_Num&lt;&gt;"",IF('DLL Schedule'!Sched_Pay+'DLL Schedule'!Extra_Pay&lt;'DLL Schedule'!Beg_Bal,'DLL Schedule'!Sched_Pay+'DLL Schedule'!Extra_Pay,'DLL Schedule'!Beg_Bal),"")</f>
        <v/>
      </c>
      <c r="G369" s="525" t="str">
        <f>IF('DLL Schedule'!Pay_Num&lt;&gt;"",'DLL Schedule'!Total_Pay-'DLL Schedule'!Int,"")</f>
        <v/>
      </c>
      <c r="H369" s="525" t="str">
        <f>IF('DLL Schedule'!Pay_Num&lt;&gt;"",'DLL Schedule'!Beg_Bal*'DLL Schedule'!Interest_Rate/'DLL Schedule'!Num_Pmt_Per_Year,"")</f>
        <v/>
      </c>
      <c r="I369" s="525" t="str">
        <f>IF('DLL Schedule'!Pay_Num&lt;&gt;"",IF('DLL Schedule'!Sched_Pay+'DLL Schedule'!Extra_Pay&lt;'DLL Schedule'!Beg_Bal,'DLL Schedule'!Beg_Bal-'DLL Schedule'!Princ,0),"")</f>
        <v/>
      </c>
      <c r="J369" s="525">
        <f>SUM($H$18:$H369)</f>
        <v>257912.99524975716</v>
      </c>
      <c r="K369" s="499"/>
    </row>
    <row r="370" spans="1:11" ht="12.75" customHeight="1">
      <c r="A370" s="523" t="str">
        <f>IF(AND('DLL Schedule'!Values_Entered=1,A369&lt;&gt;"",I369&gt;0),A369+1,"")</f>
        <v/>
      </c>
      <c r="B370" s="524" t="str">
        <f>IF('DLL Schedule'!Pay_Num&lt;&gt;"",DATE(YEAR('DLL Schedule'!Loan_Start),MONTH('DLL Schedule'!Loan_Start)+('DLL Schedule'!Pay_Num)*12/'DLL Schedule'!Num_Pmt_Per_Year,DAY('DLL Schedule'!Loan_Start)),"")</f>
        <v/>
      </c>
      <c r="C370" s="525" t="str">
        <f>IF('DLL Schedule'!Pay_Num&lt;&gt;"",I369,"")</f>
        <v/>
      </c>
      <c r="D370" s="525" t="str">
        <f>IF('DLL Schedule'!Pay_Num&lt;&gt;"",'DLL Schedule'!Scheduled_Monthly_Payment,"")</f>
        <v/>
      </c>
      <c r="E3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0" s="525" t="str">
        <f>IF('DLL Schedule'!Pay_Num&lt;&gt;"",IF('DLL Schedule'!Sched_Pay+'DLL Schedule'!Extra_Pay&lt;'DLL Schedule'!Beg_Bal,'DLL Schedule'!Sched_Pay+'DLL Schedule'!Extra_Pay,'DLL Schedule'!Beg_Bal),"")</f>
        <v/>
      </c>
      <c r="G370" s="525" t="str">
        <f>IF('DLL Schedule'!Pay_Num&lt;&gt;"",'DLL Schedule'!Total_Pay-'DLL Schedule'!Int,"")</f>
        <v/>
      </c>
      <c r="H370" s="525" t="str">
        <f>IF('DLL Schedule'!Pay_Num&lt;&gt;"",'DLL Schedule'!Beg_Bal*'DLL Schedule'!Interest_Rate/'DLL Schedule'!Num_Pmt_Per_Year,"")</f>
        <v/>
      </c>
      <c r="I370" s="525" t="str">
        <f>IF('DLL Schedule'!Pay_Num&lt;&gt;"",IF('DLL Schedule'!Sched_Pay+'DLL Schedule'!Extra_Pay&lt;'DLL Schedule'!Beg_Bal,'DLL Schedule'!Beg_Bal-'DLL Schedule'!Princ,0),"")</f>
        <v/>
      </c>
      <c r="J370" s="525">
        <f>SUM($H$18:$H370)</f>
        <v>257912.99524975716</v>
      </c>
      <c r="K370" s="499"/>
    </row>
    <row r="371" spans="1:11" ht="12.75" customHeight="1">
      <c r="A371" s="523" t="str">
        <f>IF(AND('DLL Schedule'!Values_Entered=1,A370&lt;&gt;"",I370&gt;0),A370+1,"")</f>
        <v/>
      </c>
      <c r="B371" s="524" t="str">
        <f>IF('DLL Schedule'!Pay_Num&lt;&gt;"",DATE(YEAR('DLL Schedule'!Loan_Start),MONTH('DLL Schedule'!Loan_Start)+('DLL Schedule'!Pay_Num)*12/'DLL Schedule'!Num_Pmt_Per_Year,DAY('DLL Schedule'!Loan_Start)),"")</f>
        <v/>
      </c>
      <c r="C371" s="525" t="str">
        <f>IF('DLL Schedule'!Pay_Num&lt;&gt;"",I370,"")</f>
        <v/>
      </c>
      <c r="D371" s="525" t="str">
        <f>IF('DLL Schedule'!Pay_Num&lt;&gt;"",'DLL Schedule'!Scheduled_Monthly_Payment,"")</f>
        <v/>
      </c>
      <c r="E3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1" s="525" t="str">
        <f>IF('DLL Schedule'!Pay_Num&lt;&gt;"",IF('DLL Schedule'!Sched_Pay+'DLL Schedule'!Extra_Pay&lt;'DLL Schedule'!Beg_Bal,'DLL Schedule'!Sched_Pay+'DLL Schedule'!Extra_Pay,'DLL Schedule'!Beg_Bal),"")</f>
        <v/>
      </c>
      <c r="G371" s="525" t="str">
        <f>IF('DLL Schedule'!Pay_Num&lt;&gt;"",'DLL Schedule'!Total_Pay-'DLL Schedule'!Int,"")</f>
        <v/>
      </c>
      <c r="H371" s="525" t="str">
        <f>IF('DLL Schedule'!Pay_Num&lt;&gt;"",'DLL Schedule'!Beg_Bal*'DLL Schedule'!Interest_Rate/'DLL Schedule'!Num_Pmt_Per_Year,"")</f>
        <v/>
      </c>
      <c r="I371" s="525" t="str">
        <f>IF('DLL Schedule'!Pay_Num&lt;&gt;"",IF('DLL Schedule'!Sched_Pay+'DLL Schedule'!Extra_Pay&lt;'DLL Schedule'!Beg_Bal,'DLL Schedule'!Beg_Bal-'DLL Schedule'!Princ,0),"")</f>
        <v/>
      </c>
      <c r="J371" s="525">
        <f>SUM($H$18:$H371)</f>
        <v>257912.99524975716</v>
      </c>
      <c r="K371" s="499"/>
    </row>
    <row r="372" spans="1:11" ht="12.75" customHeight="1">
      <c r="A372" s="523" t="str">
        <f>IF(AND('DLL Schedule'!Values_Entered=1,A371&lt;&gt;"",I371&gt;0),A371+1,"")</f>
        <v/>
      </c>
      <c r="B372" s="524" t="str">
        <f>IF('DLL Schedule'!Pay_Num&lt;&gt;"",DATE(YEAR('DLL Schedule'!Loan_Start),MONTH('DLL Schedule'!Loan_Start)+('DLL Schedule'!Pay_Num)*12/'DLL Schedule'!Num_Pmt_Per_Year,DAY('DLL Schedule'!Loan_Start)),"")</f>
        <v/>
      </c>
      <c r="C372" s="525" t="str">
        <f>IF('DLL Schedule'!Pay_Num&lt;&gt;"",I371,"")</f>
        <v/>
      </c>
      <c r="D372" s="525" t="str">
        <f>IF('DLL Schedule'!Pay_Num&lt;&gt;"",'DLL Schedule'!Scheduled_Monthly_Payment,"")</f>
        <v/>
      </c>
      <c r="E3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2" s="525" t="str">
        <f>IF('DLL Schedule'!Pay_Num&lt;&gt;"",IF('DLL Schedule'!Sched_Pay+'DLL Schedule'!Extra_Pay&lt;'DLL Schedule'!Beg_Bal,'DLL Schedule'!Sched_Pay+'DLL Schedule'!Extra_Pay,'DLL Schedule'!Beg_Bal),"")</f>
        <v/>
      </c>
      <c r="G372" s="525" t="str">
        <f>IF('DLL Schedule'!Pay_Num&lt;&gt;"",'DLL Schedule'!Total_Pay-'DLL Schedule'!Int,"")</f>
        <v/>
      </c>
      <c r="H372" s="525" t="str">
        <f>IF('DLL Schedule'!Pay_Num&lt;&gt;"",'DLL Schedule'!Beg_Bal*'DLL Schedule'!Interest_Rate/'DLL Schedule'!Num_Pmt_Per_Year,"")</f>
        <v/>
      </c>
      <c r="I372" s="525" t="str">
        <f>IF('DLL Schedule'!Pay_Num&lt;&gt;"",IF('DLL Schedule'!Sched_Pay+'DLL Schedule'!Extra_Pay&lt;'DLL Schedule'!Beg_Bal,'DLL Schedule'!Beg_Bal-'DLL Schedule'!Princ,0),"")</f>
        <v/>
      </c>
      <c r="J372" s="525">
        <f>SUM($H$18:$H372)</f>
        <v>257912.99524975716</v>
      </c>
      <c r="K372" s="499"/>
    </row>
    <row r="373" spans="1:11" ht="12.75" customHeight="1">
      <c r="A373" s="523" t="str">
        <f>IF(AND('DLL Schedule'!Values_Entered=1,A372&lt;&gt;"",I372&gt;0),A372+1,"")</f>
        <v/>
      </c>
      <c r="B373" s="524" t="str">
        <f>IF('DLL Schedule'!Pay_Num&lt;&gt;"",DATE(YEAR('DLL Schedule'!Loan_Start),MONTH('DLL Schedule'!Loan_Start)+('DLL Schedule'!Pay_Num)*12/'DLL Schedule'!Num_Pmt_Per_Year,DAY('DLL Schedule'!Loan_Start)),"")</f>
        <v/>
      </c>
      <c r="C373" s="525" t="str">
        <f>IF('DLL Schedule'!Pay_Num&lt;&gt;"",I372,"")</f>
        <v/>
      </c>
      <c r="D373" s="525" t="str">
        <f>IF('DLL Schedule'!Pay_Num&lt;&gt;"",'DLL Schedule'!Scheduled_Monthly_Payment,"")</f>
        <v/>
      </c>
      <c r="E3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3" s="525" t="str">
        <f>IF('DLL Schedule'!Pay_Num&lt;&gt;"",IF('DLL Schedule'!Sched_Pay+'DLL Schedule'!Extra_Pay&lt;'DLL Schedule'!Beg_Bal,'DLL Schedule'!Sched_Pay+'DLL Schedule'!Extra_Pay,'DLL Schedule'!Beg_Bal),"")</f>
        <v/>
      </c>
      <c r="G373" s="525" t="str">
        <f>IF('DLL Schedule'!Pay_Num&lt;&gt;"",'DLL Schedule'!Total_Pay-'DLL Schedule'!Int,"")</f>
        <v/>
      </c>
      <c r="H373" s="525" t="str">
        <f>IF('DLL Schedule'!Pay_Num&lt;&gt;"",'DLL Schedule'!Beg_Bal*'DLL Schedule'!Interest_Rate/'DLL Schedule'!Num_Pmt_Per_Year,"")</f>
        <v/>
      </c>
      <c r="I373" s="525" t="str">
        <f>IF('DLL Schedule'!Pay_Num&lt;&gt;"",IF('DLL Schedule'!Sched_Pay+'DLL Schedule'!Extra_Pay&lt;'DLL Schedule'!Beg_Bal,'DLL Schedule'!Beg_Bal-'DLL Schedule'!Princ,0),"")</f>
        <v/>
      </c>
      <c r="J373" s="525">
        <f>SUM($H$18:$H373)</f>
        <v>257912.99524975716</v>
      </c>
      <c r="K373" s="499"/>
    </row>
    <row r="374" spans="1:11" ht="12.75" customHeight="1">
      <c r="A374" s="523" t="str">
        <f>IF(AND('DLL Schedule'!Values_Entered=1,A373&lt;&gt;"",I373&gt;0),A373+1,"")</f>
        <v/>
      </c>
      <c r="B374" s="524" t="str">
        <f>IF('DLL Schedule'!Pay_Num&lt;&gt;"",DATE(YEAR('DLL Schedule'!Loan_Start),MONTH('DLL Schedule'!Loan_Start)+('DLL Schedule'!Pay_Num)*12/'DLL Schedule'!Num_Pmt_Per_Year,DAY('DLL Schedule'!Loan_Start)),"")</f>
        <v/>
      </c>
      <c r="C374" s="525" t="str">
        <f>IF('DLL Schedule'!Pay_Num&lt;&gt;"",I373,"")</f>
        <v/>
      </c>
      <c r="D374" s="525" t="str">
        <f>IF('DLL Schedule'!Pay_Num&lt;&gt;"",'DLL Schedule'!Scheduled_Monthly_Payment,"")</f>
        <v/>
      </c>
      <c r="E3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4" s="525" t="str">
        <f>IF('DLL Schedule'!Pay_Num&lt;&gt;"",IF('DLL Schedule'!Sched_Pay+'DLL Schedule'!Extra_Pay&lt;'DLL Schedule'!Beg_Bal,'DLL Schedule'!Sched_Pay+'DLL Schedule'!Extra_Pay,'DLL Schedule'!Beg_Bal),"")</f>
        <v/>
      </c>
      <c r="G374" s="525" t="str">
        <f>IF('DLL Schedule'!Pay_Num&lt;&gt;"",'DLL Schedule'!Total_Pay-'DLL Schedule'!Int,"")</f>
        <v/>
      </c>
      <c r="H374" s="525" t="str">
        <f>IF('DLL Schedule'!Pay_Num&lt;&gt;"",'DLL Schedule'!Beg_Bal*'DLL Schedule'!Interest_Rate/'DLL Schedule'!Num_Pmt_Per_Year,"")</f>
        <v/>
      </c>
      <c r="I374" s="525" t="str">
        <f>IF('DLL Schedule'!Pay_Num&lt;&gt;"",IF('DLL Schedule'!Sched_Pay+'DLL Schedule'!Extra_Pay&lt;'DLL Schedule'!Beg_Bal,'DLL Schedule'!Beg_Bal-'DLL Schedule'!Princ,0),"")</f>
        <v/>
      </c>
      <c r="J374" s="525">
        <f>SUM($H$18:$H374)</f>
        <v>257912.99524975716</v>
      </c>
      <c r="K374" s="499"/>
    </row>
    <row r="375" spans="1:11" ht="12.75" customHeight="1">
      <c r="A375" s="523" t="str">
        <f>IF(AND('DLL Schedule'!Values_Entered=1,A374&lt;&gt;"",I374&gt;0),A374+1,"")</f>
        <v/>
      </c>
      <c r="B375" s="524" t="str">
        <f>IF('DLL Schedule'!Pay_Num&lt;&gt;"",DATE(YEAR('DLL Schedule'!Loan_Start),MONTH('DLL Schedule'!Loan_Start)+('DLL Schedule'!Pay_Num)*12/'DLL Schedule'!Num_Pmt_Per_Year,DAY('DLL Schedule'!Loan_Start)),"")</f>
        <v/>
      </c>
      <c r="C375" s="525" t="str">
        <f>IF('DLL Schedule'!Pay_Num&lt;&gt;"",I374,"")</f>
        <v/>
      </c>
      <c r="D375" s="525" t="str">
        <f>IF('DLL Schedule'!Pay_Num&lt;&gt;"",'DLL Schedule'!Scheduled_Monthly_Payment,"")</f>
        <v/>
      </c>
      <c r="E3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5" s="525" t="str">
        <f>IF('DLL Schedule'!Pay_Num&lt;&gt;"",IF('DLL Schedule'!Sched_Pay+'DLL Schedule'!Extra_Pay&lt;'DLL Schedule'!Beg_Bal,'DLL Schedule'!Sched_Pay+'DLL Schedule'!Extra_Pay,'DLL Schedule'!Beg_Bal),"")</f>
        <v/>
      </c>
      <c r="G375" s="525" t="str">
        <f>IF('DLL Schedule'!Pay_Num&lt;&gt;"",'DLL Schedule'!Total_Pay-'DLL Schedule'!Int,"")</f>
        <v/>
      </c>
      <c r="H375" s="525" t="str">
        <f>IF('DLL Schedule'!Pay_Num&lt;&gt;"",'DLL Schedule'!Beg_Bal*'DLL Schedule'!Interest_Rate/'DLL Schedule'!Num_Pmt_Per_Year,"")</f>
        <v/>
      </c>
      <c r="I375" s="525" t="str">
        <f>IF('DLL Schedule'!Pay_Num&lt;&gt;"",IF('DLL Schedule'!Sched_Pay+'DLL Schedule'!Extra_Pay&lt;'DLL Schedule'!Beg_Bal,'DLL Schedule'!Beg_Bal-'DLL Schedule'!Princ,0),"")</f>
        <v/>
      </c>
      <c r="J375" s="525">
        <f>SUM($H$18:$H375)</f>
        <v>257912.99524975716</v>
      </c>
      <c r="K375" s="499"/>
    </row>
    <row r="376" spans="1:11" ht="12.75" customHeight="1">
      <c r="A376" s="523" t="str">
        <f>IF(AND('DLL Schedule'!Values_Entered=1,A375&lt;&gt;"",I375&gt;0),A375+1,"")</f>
        <v/>
      </c>
      <c r="B376" s="524" t="str">
        <f>IF('DLL Schedule'!Pay_Num&lt;&gt;"",DATE(YEAR('DLL Schedule'!Loan_Start),MONTH('DLL Schedule'!Loan_Start)+('DLL Schedule'!Pay_Num)*12/'DLL Schedule'!Num_Pmt_Per_Year,DAY('DLL Schedule'!Loan_Start)),"")</f>
        <v/>
      </c>
      <c r="C376" s="525" t="str">
        <f>IF('DLL Schedule'!Pay_Num&lt;&gt;"",I375,"")</f>
        <v/>
      </c>
      <c r="D376" s="525" t="str">
        <f>IF('DLL Schedule'!Pay_Num&lt;&gt;"",'DLL Schedule'!Scheduled_Monthly_Payment,"")</f>
        <v/>
      </c>
      <c r="E3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6" s="525" t="str">
        <f>IF('DLL Schedule'!Pay_Num&lt;&gt;"",IF('DLL Schedule'!Sched_Pay+'DLL Schedule'!Extra_Pay&lt;'DLL Schedule'!Beg_Bal,'DLL Schedule'!Sched_Pay+'DLL Schedule'!Extra_Pay,'DLL Schedule'!Beg_Bal),"")</f>
        <v/>
      </c>
      <c r="G376" s="525" t="str">
        <f>IF('DLL Schedule'!Pay_Num&lt;&gt;"",'DLL Schedule'!Total_Pay-'DLL Schedule'!Int,"")</f>
        <v/>
      </c>
      <c r="H376" s="525" t="str">
        <f>IF('DLL Schedule'!Pay_Num&lt;&gt;"",'DLL Schedule'!Beg_Bal*'DLL Schedule'!Interest_Rate/'DLL Schedule'!Num_Pmt_Per_Year,"")</f>
        <v/>
      </c>
      <c r="I376" s="525" t="str">
        <f>IF('DLL Schedule'!Pay_Num&lt;&gt;"",IF('DLL Schedule'!Sched_Pay+'DLL Schedule'!Extra_Pay&lt;'DLL Schedule'!Beg_Bal,'DLL Schedule'!Beg_Bal-'DLL Schedule'!Princ,0),"")</f>
        <v/>
      </c>
      <c r="J376" s="525">
        <f>SUM($H$18:$H376)</f>
        <v>257912.99524975716</v>
      </c>
      <c r="K376" s="499"/>
    </row>
    <row r="377" spans="1:11" ht="12.75" customHeight="1">
      <c r="A377" s="523" t="str">
        <f>IF(AND('DLL Schedule'!Values_Entered=1,A376&lt;&gt;"",I376&gt;0),A376+1,"")</f>
        <v/>
      </c>
      <c r="B377" s="524" t="str">
        <f>IF('DLL Schedule'!Pay_Num&lt;&gt;"",DATE(YEAR('DLL Schedule'!Loan_Start),MONTH('DLL Schedule'!Loan_Start)+('DLL Schedule'!Pay_Num)*12/'DLL Schedule'!Num_Pmt_Per_Year,DAY('DLL Schedule'!Loan_Start)),"")</f>
        <v/>
      </c>
      <c r="C377" s="525" t="str">
        <f>IF('DLL Schedule'!Pay_Num&lt;&gt;"",I376,"")</f>
        <v/>
      </c>
      <c r="D377" s="525" t="str">
        <f>IF('DLL Schedule'!Pay_Num&lt;&gt;"",'DLL Schedule'!Scheduled_Monthly_Payment,"")</f>
        <v/>
      </c>
      <c r="E3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7" s="525" t="str">
        <f>IF('DLL Schedule'!Pay_Num&lt;&gt;"",IF('DLL Schedule'!Sched_Pay+'DLL Schedule'!Extra_Pay&lt;'DLL Schedule'!Beg_Bal,'DLL Schedule'!Sched_Pay+'DLL Schedule'!Extra_Pay,'DLL Schedule'!Beg_Bal),"")</f>
        <v/>
      </c>
      <c r="G377" s="525" t="str">
        <f>IF('DLL Schedule'!Pay_Num&lt;&gt;"",'DLL Schedule'!Total_Pay-'DLL Schedule'!Int,"")</f>
        <v/>
      </c>
      <c r="H377" s="525" t="str">
        <f>IF('DLL Schedule'!Pay_Num&lt;&gt;"",'DLL Schedule'!Beg_Bal*'DLL Schedule'!Interest_Rate/'DLL Schedule'!Num_Pmt_Per_Year,"")</f>
        <v/>
      </c>
      <c r="I377" s="525" t="str">
        <f>IF('DLL Schedule'!Pay_Num&lt;&gt;"",IF('DLL Schedule'!Sched_Pay+'DLL Schedule'!Extra_Pay&lt;'DLL Schedule'!Beg_Bal,'DLL Schedule'!Beg_Bal-'DLL Schedule'!Princ,0),"")</f>
        <v/>
      </c>
      <c r="J377" s="525">
        <f>SUM($H$18:$H377)</f>
        <v>257912.99524975716</v>
      </c>
      <c r="K377" s="499"/>
    </row>
    <row r="378" spans="1:11" ht="12.75" customHeight="1">
      <c r="A378" s="523" t="str">
        <f>IF(AND('DLL Schedule'!Values_Entered=1,A377&lt;&gt;"",I377&gt;0),A377+1,"")</f>
        <v/>
      </c>
      <c r="B378" s="524" t="str">
        <f>IF('DLL Schedule'!Pay_Num&lt;&gt;"",DATE(YEAR('DLL Schedule'!Loan_Start),MONTH('DLL Schedule'!Loan_Start)+('DLL Schedule'!Pay_Num)*12/'DLL Schedule'!Num_Pmt_Per_Year,DAY('DLL Schedule'!Loan_Start)),"")</f>
        <v/>
      </c>
      <c r="C378" s="525" t="str">
        <f>IF('DLL Schedule'!Pay_Num&lt;&gt;"",I377,"")</f>
        <v/>
      </c>
      <c r="D378" s="525" t="str">
        <f>IF('DLL Schedule'!Pay_Num&lt;&gt;"",'DLL Schedule'!Scheduled_Monthly_Payment,"")</f>
        <v/>
      </c>
      <c r="E3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8" s="525" t="str">
        <f>IF('DLL Schedule'!Pay_Num&lt;&gt;"",IF('DLL Schedule'!Sched_Pay+'DLL Schedule'!Extra_Pay&lt;'DLL Schedule'!Beg_Bal,'DLL Schedule'!Sched_Pay+'DLL Schedule'!Extra_Pay,'DLL Schedule'!Beg_Bal),"")</f>
        <v/>
      </c>
      <c r="G378" s="525" t="str">
        <f>IF('DLL Schedule'!Pay_Num&lt;&gt;"",'DLL Schedule'!Total_Pay-'DLL Schedule'!Int,"")</f>
        <v/>
      </c>
      <c r="H378" s="525" t="str">
        <f>IF('DLL Schedule'!Pay_Num&lt;&gt;"",'DLL Schedule'!Beg_Bal*'DLL Schedule'!Interest_Rate/'DLL Schedule'!Num_Pmt_Per_Year,"")</f>
        <v/>
      </c>
      <c r="I378" s="525" t="str">
        <f>IF('DLL Schedule'!Pay_Num&lt;&gt;"",IF('DLL Schedule'!Sched_Pay+'DLL Schedule'!Extra_Pay&lt;'DLL Schedule'!Beg_Bal,'DLL Schedule'!Beg_Bal-'DLL Schedule'!Princ,0),"")</f>
        <v/>
      </c>
      <c r="J378" s="525">
        <f>SUM($H$18:$H378)</f>
        <v>257912.99524975716</v>
      </c>
      <c r="K378" s="499"/>
    </row>
    <row r="379" spans="1:11" ht="12.75" customHeight="1">
      <c r="A379" s="523" t="str">
        <f>IF(AND('DLL Schedule'!Values_Entered=1,A378&lt;&gt;"",I378&gt;0),A378+1,"")</f>
        <v/>
      </c>
      <c r="B379" s="524" t="str">
        <f>IF('DLL Schedule'!Pay_Num&lt;&gt;"",DATE(YEAR('DLL Schedule'!Loan_Start),MONTH('DLL Schedule'!Loan_Start)+('DLL Schedule'!Pay_Num)*12/'DLL Schedule'!Num_Pmt_Per_Year,DAY('DLL Schedule'!Loan_Start)),"")</f>
        <v/>
      </c>
      <c r="C379" s="525" t="str">
        <f>IF('DLL Schedule'!Pay_Num&lt;&gt;"",I378,"")</f>
        <v/>
      </c>
      <c r="D379" s="525" t="str">
        <f>IF('DLL Schedule'!Pay_Num&lt;&gt;"",'DLL Schedule'!Scheduled_Monthly_Payment,"")</f>
        <v/>
      </c>
      <c r="E3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9" s="525" t="str">
        <f>IF('DLL Schedule'!Pay_Num&lt;&gt;"",IF('DLL Schedule'!Sched_Pay+'DLL Schedule'!Extra_Pay&lt;'DLL Schedule'!Beg_Bal,'DLL Schedule'!Sched_Pay+'DLL Schedule'!Extra_Pay,'DLL Schedule'!Beg_Bal),"")</f>
        <v/>
      </c>
      <c r="G379" s="525" t="str">
        <f>IF('DLL Schedule'!Pay_Num&lt;&gt;"",'DLL Schedule'!Total_Pay-'DLL Schedule'!Int,"")</f>
        <v/>
      </c>
      <c r="H379" s="525" t="str">
        <f>IF('DLL Schedule'!Pay_Num&lt;&gt;"",'DLL Schedule'!Beg_Bal*'DLL Schedule'!Interest_Rate/'DLL Schedule'!Num_Pmt_Per_Year,"")</f>
        <v/>
      </c>
      <c r="I379" s="525" t="str">
        <f>IF('DLL Schedule'!Pay_Num&lt;&gt;"",IF('DLL Schedule'!Sched_Pay+'DLL Schedule'!Extra_Pay&lt;'DLL Schedule'!Beg_Bal,'DLL Schedule'!Beg_Bal-'DLL Schedule'!Princ,0),"")</f>
        <v/>
      </c>
      <c r="J379" s="525">
        <f>SUM($H$18:$H379)</f>
        <v>257912.99524975716</v>
      </c>
      <c r="K379" s="499"/>
    </row>
    <row r="380" spans="1:11" ht="12.75" customHeight="1">
      <c r="A380" s="523" t="str">
        <f>IF(AND('DLL Schedule'!Values_Entered=1,A379&lt;&gt;"",I379&gt;0),A379+1,"")</f>
        <v/>
      </c>
      <c r="B380" s="524" t="str">
        <f>IF('DLL Schedule'!Pay_Num&lt;&gt;"",DATE(YEAR('DLL Schedule'!Loan_Start),MONTH('DLL Schedule'!Loan_Start)+('DLL Schedule'!Pay_Num)*12/'DLL Schedule'!Num_Pmt_Per_Year,DAY('DLL Schedule'!Loan_Start)),"")</f>
        <v/>
      </c>
      <c r="C380" s="525" t="str">
        <f>IF('DLL Schedule'!Pay_Num&lt;&gt;"",I379,"")</f>
        <v/>
      </c>
      <c r="D380" s="525" t="str">
        <f>IF('DLL Schedule'!Pay_Num&lt;&gt;"",'DLL Schedule'!Scheduled_Monthly_Payment,"")</f>
        <v/>
      </c>
      <c r="E3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0" s="525" t="str">
        <f>IF('DLL Schedule'!Pay_Num&lt;&gt;"",IF('DLL Schedule'!Sched_Pay+'DLL Schedule'!Extra_Pay&lt;'DLL Schedule'!Beg_Bal,'DLL Schedule'!Sched_Pay+'DLL Schedule'!Extra_Pay,'DLL Schedule'!Beg_Bal),"")</f>
        <v/>
      </c>
      <c r="G380" s="525" t="str">
        <f>IF('DLL Schedule'!Pay_Num&lt;&gt;"",'DLL Schedule'!Total_Pay-'DLL Schedule'!Int,"")</f>
        <v/>
      </c>
      <c r="H380" s="525" t="str">
        <f>IF('DLL Schedule'!Pay_Num&lt;&gt;"",'DLL Schedule'!Beg_Bal*'DLL Schedule'!Interest_Rate/'DLL Schedule'!Num_Pmt_Per_Year,"")</f>
        <v/>
      </c>
      <c r="I380" s="525" t="str">
        <f>IF('DLL Schedule'!Pay_Num&lt;&gt;"",IF('DLL Schedule'!Sched_Pay+'DLL Schedule'!Extra_Pay&lt;'DLL Schedule'!Beg_Bal,'DLL Schedule'!Beg_Bal-'DLL Schedule'!Princ,0),"")</f>
        <v/>
      </c>
      <c r="J380" s="525">
        <f>SUM($H$18:$H380)</f>
        <v>257912.99524975716</v>
      </c>
      <c r="K380" s="499"/>
    </row>
    <row r="381" spans="1:11" ht="12.75" customHeight="1">
      <c r="A381" s="523" t="str">
        <f>IF(AND('DLL Schedule'!Values_Entered=1,A380&lt;&gt;"",I380&gt;0),A380+1,"")</f>
        <v/>
      </c>
      <c r="B381" s="524" t="str">
        <f>IF('DLL Schedule'!Pay_Num&lt;&gt;"",DATE(YEAR('DLL Schedule'!Loan_Start),MONTH('DLL Schedule'!Loan_Start)+('DLL Schedule'!Pay_Num)*12/'DLL Schedule'!Num_Pmt_Per_Year,DAY('DLL Schedule'!Loan_Start)),"")</f>
        <v/>
      </c>
      <c r="C381" s="525" t="str">
        <f>IF('DLL Schedule'!Pay_Num&lt;&gt;"",I380,"")</f>
        <v/>
      </c>
      <c r="D381" s="525" t="str">
        <f>IF('DLL Schedule'!Pay_Num&lt;&gt;"",'DLL Schedule'!Scheduled_Monthly_Payment,"")</f>
        <v/>
      </c>
      <c r="E3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1" s="525" t="str">
        <f>IF('DLL Schedule'!Pay_Num&lt;&gt;"",IF('DLL Schedule'!Sched_Pay+'DLL Schedule'!Extra_Pay&lt;'DLL Schedule'!Beg_Bal,'DLL Schedule'!Sched_Pay+'DLL Schedule'!Extra_Pay,'DLL Schedule'!Beg_Bal),"")</f>
        <v/>
      </c>
      <c r="G381" s="525" t="str">
        <f>IF('DLL Schedule'!Pay_Num&lt;&gt;"",'DLL Schedule'!Total_Pay-'DLL Schedule'!Int,"")</f>
        <v/>
      </c>
      <c r="H381" s="525" t="str">
        <f>IF('DLL Schedule'!Pay_Num&lt;&gt;"",'DLL Schedule'!Beg_Bal*'DLL Schedule'!Interest_Rate/'DLL Schedule'!Num_Pmt_Per_Year,"")</f>
        <v/>
      </c>
      <c r="I381" s="525" t="str">
        <f>IF('DLL Schedule'!Pay_Num&lt;&gt;"",IF('DLL Schedule'!Sched_Pay+'DLL Schedule'!Extra_Pay&lt;'DLL Schedule'!Beg_Bal,'DLL Schedule'!Beg_Bal-'DLL Schedule'!Princ,0),"")</f>
        <v/>
      </c>
      <c r="J381" s="525">
        <f>SUM($H$18:$H381)</f>
        <v>257912.99524975716</v>
      </c>
      <c r="K381" s="499"/>
    </row>
    <row r="382" spans="1:11" ht="12.75" customHeight="1">
      <c r="A382" s="523" t="str">
        <f>IF(AND('DLL Schedule'!Values_Entered=1,A381&lt;&gt;"",I381&gt;0),A381+1,"")</f>
        <v/>
      </c>
      <c r="B382" s="524" t="str">
        <f>IF('DLL Schedule'!Pay_Num&lt;&gt;"",DATE(YEAR('DLL Schedule'!Loan_Start),MONTH('DLL Schedule'!Loan_Start)+('DLL Schedule'!Pay_Num)*12/'DLL Schedule'!Num_Pmt_Per_Year,DAY('DLL Schedule'!Loan_Start)),"")</f>
        <v/>
      </c>
      <c r="C382" s="525" t="str">
        <f>IF('DLL Schedule'!Pay_Num&lt;&gt;"",I381,"")</f>
        <v/>
      </c>
      <c r="D382" s="525" t="str">
        <f>IF('DLL Schedule'!Pay_Num&lt;&gt;"",'DLL Schedule'!Scheduled_Monthly_Payment,"")</f>
        <v/>
      </c>
      <c r="E3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2" s="525" t="str">
        <f>IF('DLL Schedule'!Pay_Num&lt;&gt;"",IF('DLL Schedule'!Sched_Pay+'DLL Schedule'!Extra_Pay&lt;'DLL Schedule'!Beg_Bal,'DLL Schedule'!Sched_Pay+'DLL Schedule'!Extra_Pay,'DLL Schedule'!Beg_Bal),"")</f>
        <v/>
      </c>
      <c r="G382" s="525" t="str">
        <f>IF('DLL Schedule'!Pay_Num&lt;&gt;"",'DLL Schedule'!Total_Pay-'DLL Schedule'!Int,"")</f>
        <v/>
      </c>
      <c r="H382" s="525" t="str">
        <f>IF('DLL Schedule'!Pay_Num&lt;&gt;"",'DLL Schedule'!Beg_Bal*'DLL Schedule'!Interest_Rate/'DLL Schedule'!Num_Pmt_Per_Year,"")</f>
        <v/>
      </c>
      <c r="I382" s="525" t="str">
        <f>IF('DLL Schedule'!Pay_Num&lt;&gt;"",IF('DLL Schedule'!Sched_Pay+'DLL Schedule'!Extra_Pay&lt;'DLL Schedule'!Beg_Bal,'DLL Schedule'!Beg_Bal-'DLL Schedule'!Princ,0),"")</f>
        <v/>
      </c>
      <c r="J382" s="525">
        <f>SUM($H$18:$H382)</f>
        <v>257912.99524975716</v>
      </c>
      <c r="K382" s="499"/>
    </row>
    <row r="383" spans="1:11" ht="12.75" customHeight="1">
      <c r="A383" s="523" t="str">
        <f>IF(AND('DLL Schedule'!Values_Entered=1,A382&lt;&gt;"",I382&gt;0),A382+1,"")</f>
        <v/>
      </c>
      <c r="B383" s="524" t="str">
        <f>IF('DLL Schedule'!Pay_Num&lt;&gt;"",DATE(YEAR('DLL Schedule'!Loan_Start),MONTH('DLL Schedule'!Loan_Start)+('DLL Schedule'!Pay_Num)*12/'DLL Schedule'!Num_Pmt_Per_Year,DAY('DLL Schedule'!Loan_Start)),"")</f>
        <v/>
      </c>
      <c r="C383" s="525" t="str">
        <f>IF('DLL Schedule'!Pay_Num&lt;&gt;"",I382,"")</f>
        <v/>
      </c>
      <c r="D383" s="525" t="str">
        <f>IF('DLL Schedule'!Pay_Num&lt;&gt;"",'DLL Schedule'!Scheduled_Monthly_Payment,"")</f>
        <v/>
      </c>
      <c r="E3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3" s="525" t="str">
        <f>IF('DLL Schedule'!Pay_Num&lt;&gt;"",IF('DLL Schedule'!Sched_Pay+'DLL Schedule'!Extra_Pay&lt;'DLL Schedule'!Beg_Bal,'DLL Schedule'!Sched_Pay+'DLL Schedule'!Extra_Pay,'DLL Schedule'!Beg_Bal),"")</f>
        <v/>
      </c>
      <c r="G383" s="525" t="str">
        <f>IF('DLL Schedule'!Pay_Num&lt;&gt;"",'DLL Schedule'!Total_Pay-'DLL Schedule'!Int,"")</f>
        <v/>
      </c>
      <c r="H383" s="525" t="str">
        <f>IF('DLL Schedule'!Pay_Num&lt;&gt;"",'DLL Schedule'!Beg_Bal*'DLL Schedule'!Interest_Rate/'DLL Schedule'!Num_Pmt_Per_Year,"")</f>
        <v/>
      </c>
      <c r="I383" s="525" t="str">
        <f>IF('DLL Schedule'!Pay_Num&lt;&gt;"",IF('DLL Schedule'!Sched_Pay+'DLL Schedule'!Extra_Pay&lt;'DLL Schedule'!Beg_Bal,'DLL Schedule'!Beg_Bal-'DLL Schedule'!Princ,0),"")</f>
        <v/>
      </c>
      <c r="J383" s="525">
        <f>SUM($H$18:$H383)</f>
        <v>257912.99524975716</v>
      </c>
      <c r="K383" s="499"/>
    </row>
    <row r="384" spans="1:11" ht="12.75" customHeight="1">
      <c r="A384" s="523" t="str">
        <f>IF(AND('DLL Schedule'!Values_Entered=1,A383&lt;&gt;"",I383&gt;0),A383+1,"")</f>
        <v/>
      </c>
      <c r="B384" s="524" t="str">
        <f>IF('DLL Schedule'!Pay_Num&lt;&gt;"",DATE(YEAR('DLL Schedule'!Loan_Start),MONTH('DLL Schedule'!Loan_Start)+('DLL Schedule'!Pay_Num)*12/'DLL Schedule'!Num_Pmt_Per_Year,DAY('DLL Schedule'!Loan_Start)),"")</f>
        <v/>
      </c>
      <c r="C384" s="525" t="str">
        <f>IF('DLL Schedule'!Pay_Num&lt;&gt;"",I383,"")</f>
        <v/>
      </c>
      <c r="D384" s="525" t="str">
        <f>IF('DLL Schedule'!Pay_Num&lt;&gt;"",'DLL Schedule'!Scheduled_Monthly_Payment,"")</f>
        <v/>
      </c>
      <c r="E3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4" s="525" t="str">
        <f>IF('DLL Schedule'!Pay_Num&lt;&gt;"",IF('DLL Schedule'!Sched_Pay+'DLL Schedule'!Extra_Pay&lt;'DLL Schedule'!Beg_Bal,'DLL Schedule'!Sched_Pay+'DLL Schedule'!Extra_Pay,'DLL Schedule'!Beg_Bal),"")</f>
        <v/>
      </c>
      <c r="G384" s="525" t="str">
        <f>IF('DLL Schedule'!Pay_Num&lt;&gt;"",'DLL Schedule'!Total_Pay-'DLL Schedule'!Int,"")</f>
        <v/>
      </c>
      <c r="H384" s="525" t="str">
        <f>IF('DLL Schedule'!Pay_Num&lt;&gt;"",'DLL Schedule'!Beg_Bal*'DLL Schedule'!Interest_Rate/'DLL Schedule'!Num_Pmt_Per_Year,"")</f>
        <v/>
      </c>
      <c r="I384" s="525" t="str">
        <f>IF('DLL Schedule'!Pay_Num&lt;&gt;"",IF('DLL Schedule'!Sched_Pay+'DLL Schedule'!Extra_Pay&lt;'DLL Schedule'!Beg_Bal,'DLL Schedule'!Beg_Bal-'DLL Schedule'!Princ,0),"")</f>
        <v/>
      </c>
      <c r="J384" s="525">
        <f>SUM($H$18:$H384)</f>
        <v>257912.99524975716</v>
      </c>
      <c r="K384" s="499"/>
    </row>
    <row r="385" spans="1:11" ht="12.75" customHeight="1">
      <c r="A385" s="523" t="str">
        <f>IF(AND('DLL Schedule'!Values_Entered=1,A384&lt;&gt;"",I384&gt;0),A384+1,"")</f>
        <v/>
      </c>
      <c r="B385" s="524" t="str">
        <f>IF('DLL Schedule'!Pay_Num&lt;&gt;"",DATE(YEAR('DLL Schedule'!Loan_Start),MONTH('DLL Schedule'!Loan_Start)+('DLL Schedule'!Pay_Num)*12/'DLL Schedule'!Num_Pmt_Per_Year,DAY('DLL Schedule'!Loan_Start)),"")</f>
        <v/>
      </c>
      <c r="C385" s="525" t="str">
        <f>IF('DLL Schedule'!Pay_Num&lt;&gt;"",I384,"")</f>
        <v/>
      </c>
      <c r="D385" s="525" t="str">
        <f>IF('DLL Schedule'!Pay_Num&lt;&gt;"",'DLL Schedule'!Scheduled_Monthly_Payment,"")</f>
        <v/>
      </c>
      <c r="E3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5" s="525" t="str">
        <f>IF('DLL Schedule'!Pay_Num&lt;&gt;"",IF('DLL Schedule'!Sched_Pay+'DLL Schedule'!Extra_Pay&lt;'DLL Schedule'!Beg_Bal,'DLL Schedule'!Sched_Pay+'DLL Schedule'!Extra_Pay,'DLL Schedule'!Beg_Bal),"")</f>
        <v/>
      </c>
      <c r="G385" s="525" t="str">
        <f>IF('DLL Schedule'!Pay_Num&lt;&gt;"",'DLL Schedule'!Total_Pay-'DLL Schedule'!Int,"")</f>
        <v/>
      </c>
      <c r="H385" s="525" t="str">
        <f>IF('DLL Schedule'!Pay_Num&lt;&gt;"",'DLL Schedule'!Beg_Bal*'DLL Schedule'!Interest_Rate/'DLL Schedule'!Num_Pmt_Per_Year,"")</f>
        <v/>
      </c>
      <c r="I385" s="525" t="str">
        <f>IF('DLL Schedule'!Pay_Num&lt;&gt;"",IF('DLL Schedule'!Sched_Pay+'DLL Schedule'!Extra_Pay&lt;'DLL Schedule'!Beg_Bal,'DLL Schedule'!Beg_Bal-'DLL Schedule'!Princ,0),"")</f>
        <v/>
      </c>
      <c r="J385" s="525">
        <f>SUM($H$18:$H385)</f>
        <v>257912.99524975716</v>
      </c>
      <c r="K385" s="499"/>
    </row>
    <row r="386" spans="1:11" ht="12.75" customHeight="1">
      <c r="A386" s="523" t="str">
        <f>IF(AND('DLL Schedule'!Values_Entered=1,A385&lt;&gt;"",I385&gt;0),A385+1,"")</f>
        <v/>
      </c>
      <c r="B386" s="524" t="str">
        <f>IF('DLL Schedule'!Pay_Num&lt;&gt;"",DATE(YEAR('DLL Schedule'!Loan_Start),MONTH('DLL Schedule'!Loan_Start)+('DLL Schedule'!Pay_Num)*12/'DLL Schedule'!Num_Pmt_Per_Year,DAY('DLL Schedule'!Loan_Start)),"")</f>
        <v/>
      </c>
      <c r="C386" s="525" t="str">
        <f>IF('DLL Schedule'!Pay_Num&lt;&gt;"",I385,"")</f>
        <v/>
      </c>
      <c r="D386" s="525" t="str">
        <f>IF('DLL Schedule'!Pay_Num&lt;&gt;"",'DLL Schedule'!Scheduled_Monthly_Payment,"")</f>
        <v/>
      </c>
      <c r="E3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6" s="525" t="str">
        <f>IF('DLL Schedule'!Pay_Num&lt;&gt;"",IF('DLL Schedule'!Sched_Pay+'DLL Schedule'!Extra_Pay&lt;'DLL Schedule'!Beg_Bal,'DLL Schedule'!Sched_Pay+'DLL Schedule'!Extra_Pay,'DLL Schedule'!Beg_Bal),"")</f>
        <v/>
      </c>
      <c r="G386" s="525" t="str">
        <f>IF('DLL Schedule'!Pay_Num&lt;&gt;"",'DLL Schedule'!Total_Pay-'DLL Schedule'!Int,"")</f>
        <v/>
      </c>
      <c r="H386" s="525" t="str">
        <f>IF('DLL Schedule'!Pay_Num&lt;&gt;"",'DLL Schedule'!Beg_Bal*'DLL Schedule'!Interest_Rate/'DLL Schedule'!Num_Pmt_Per_Year,"")</f>
        <v/>
      </c>
      <c r="I386" s="525" t="str">
        <f>IF('DLL Schedule'!Pay_Num&lt;&gt;"",IF('DLL Schedule'!Sched_Pay+'DLL Schedule'!Extra_Pay&lt;'DLL Schedule'!Beg_Bal,'DLL Schedule'!Beg_Bal-'DLL Schedule'!Princ,0),"")</f>
        <v/>
      </c>
      <c r="J386" s="525">
        <f>SUM($H$18:$H386)</f>
        <v>257912.99524975716</v>
      </c>
      <c r="K386" s="499"/>
    </row>
    <row r="387" spans="1:11" ht="12.75" customHeight="1">
      <c r="A387" s="523" t="str">
        <f>IF(AND('DLL Schedule'!Values_Entered=1,A386&lt;&gt;"",I386&gt;0),A386+1,"")</f>
        <v/>
      </c>
      <c r="B387" s="524" t="str">
        <f>IF('DLL Schedule'!Pay_Num&lt;&gt;"",DATE(YEAR('DLL Schedule'!Loan_Start),MONTH('DLL Schedule'!Loan_Start)+('DLL Schedule'!Pay_Num)*12/'DLL Schedule'!Num_Pmt_Per_Year,DAY('DLL Schedule'!Loan_Start)),"")</f>
        <v/>
      </c>
      <c r="C387" s="525" t="str">
        <f>IF('DLL Schedule'!Pay_Num&lt;&gt;"",I386,"")</f>
        <v/>
      </c>
      <c r="D387" s="525" t="str">
        <f>IF('DLL Schedule'!Pay_Num&lt;&gt;"",'DLL Schedule'!Scheduled_Monthly_Payment,"")</f>
        <v/>
      </c>
      <c r="E3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7" s="525" t="str">
        <f>IF('DLL Schedule'!Pay_Num&lt;&gt;"",IF('DLL Schedule'!Sched_Pay+'DLL Schedule'!Extra_Pay&lt;'DLL Schedule'!Beg_Bal,'DLL Schedule'!Sched_Pay+'DLL Schedule'!Extra_Pay,'DLL Schedule'!Beg_Bal),"")</f>
        <v/>
      </c>
      <c r="G387" s="525" t="str">
        <f>IF('DLL Schedule'!Pay_Num&lt;&gt;"",'DLL Schedule'!Total_Pay-'DLL Schedule'!Int,"")</f>
        <v/>
      </c>
      <c r="H387" s="525" t="str">
        <f>IF('DLL Schedule'!Pay_Num&lt;&gt;"",'DLL Schedule'!Beg_Bal*'DLL Schedule'!Interest_Rate/'DLL Schedule'!Num_Pmt_Per_Year,"")</f>
        <v/>
      </c>
      <c r="I387" s="525" t="str">
        <f>IF('DLL Schedule'!Pay_Num&lt;&gt;"",IF('DLL Schedule'!Sched_Pay+'DLL Schedule'!Extra_Pay&lt;'DLL Schedule'!Beg_Bal,'DLL Schedule'!Beg_Bal-'DLL Schedule'!Princ,0),"")</f>
        <v/>
      </c>
      <c r="J387" s="525">
        <f>SUM($H$18:$H387)</f>
        <v>257912.99524975716</v>
      </c>
      <c r="K387" s="499"/>
    </row>
    <row r="388" spans="1:11" ht="12.75" customHeight="1">
      <c r="A388" s="523" t="str">
        <f>IF(AND('DLL Schedule'!Values_Entered=1,A387&lt;&gt;"",I387&gt;0),A387+1,"")</f>
        <v/>
      </c>
      <c r="B388" s="524" t="str">
        <f>IF('DLL Schedule'!Pay_Num&lt;&gt;"",DATE(YEAR('DLL Schedule'!Loan_Start),MONTH('DLL Schedule'!Loan_Start)+('DLL Schedule'!Pay_Num)*12/'DLL Schedule'!Num_Pmt_Per_Year,DAY('DLL Schedule'!Loan_Start)),"")</f>
        <v/>
      </c>
      <c r="C388" s="525" t="str">
        <f>IF('DLL Schedule'!Pay_Num&lt;&gt;"",I387,"")</f>
        <v/>
      </c>
      <c r="D388" s="525" t="str">
        <f>IF('DLL Schedule'!Pay_Num&lt;&gt;"",'DLL Schedule'!Scheduled_Monthly_Payment,"")</f>
        <v/>
      </c>
      <c r="E3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8" s="525" t="str">
        <f>IF('DLL Schedule'!Pay_Num&lt;&gt;"",IF('DLL Schedule'!Sched_Pay+'DLL Schedule'!Extra_Pay&lt;'DLL Schedule'!Beg_Bal,'DLL Schedule'!Sched_Pay+'DLL Schedule'!Extra_Pay,'DLL Schedule'!Beg_Bal),"")</f>
        <v/>
      </c>
      <c r="G388" s="525" t="str">
        <f>IF('DLL Schedule'!Pay_Num&lt;&gt;"",'DLL Schedule'!Total_Pay-'DLL Schedule'!Int,"")</f>
        <v/>
      </c>
      <c r="H388" s="525" t="str">
        <f>IF('DLL Schedule'!Pay_Num&lt;&gt;"",'DLL Schedule'!Beg_Bal*'DLL Schedule'!Interest_Rate/'DLL Schedule'!Num_Pmt_Per_Year,"")</f>
        <v/>
      </c>
      <c r="I388" s="525" t="str">
        <f>IF('DLL Schedule'!Pay_Num&lt;&gt;"",IF('DLL Schedule'!Sched_Pay+'DLL Schedule'!Extra_Pay&lt;'DLL Schedule'!Beg_Bal,'DLL Schedule'!Beg_Bal-'DLL Schedule'!Princ,0),"")</f>
        <v/>
      </c>
      <c r="J388" s="525">
        <f>SUM($H$18:$H388)</f>
        <v>257912.99524975716</v>
      </c>
      <c r="K388" s="499"/>
    </row>
    <row r="389" spans="1:11" ht="12.75" customHeight="1">
      <c r="A389" s="523" t="str">
        <f>IF(AND('DLL Schedule'!Values_Entered=1,A388&lt;&gt;"",I388&gt;0),A388+1,"")</f>
        <v/>
      </c>
      <c r="B389" s="524" t="str">
        <f>IF('DLL Schedule'!Pay_Num&lt;&gt;"",DATE(YEAR('DLL Schedule'!Loan_Start),MONTH('DLL Schedule'!Loan_Start)+('DLL Schedule'!Pay_Num)*12/'DLL Schedule'!Num_Pmt_Per_Year,DAY('DLL Schedule'!Loan_Start)),"")</f>
        <v/>
      </c>
      <c r="C389" s="525" t="str">
        <f>IF('DLL Schedule'!Pay_Num&lt;&gt;"",I388,"")</f>
        <v/>
      </c>
      <c r="D389" s="525" t="str">
        <f>IF('DLL Schedule'!Pay_Num&lt;&gt;"",'DLL Schedule'!Scheduled_Monthly_Payment,"")</f>
        <v/>
      </c>
      <c r="E3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9" s="525" t="str">
        <f>IF('DLL Schedule'!Pay_Num&lt;&gt;"",IF('DLL Schedule'!Sched_Pay+'DLL Schedule'!Extra_Pay&lt;'DLL Schedule'!Beg_Bal,'DLL Schedule'!Sched_Pay+'DLL Schedule'!Extra_Pay,'DLL Schedule'!Beg_Bal),"")</f>
        <v/>
      </c>
      <c r="G389" s="525" t="str">
        <f>IF('DLL Schedule'!Pay_Num&lt;&gt;"",'DLL Schedule'!Total_Pay-'DLL Schedule'!Int,"")</f>
        <v/>
      </c>
      <c r="H389" s="525" t="str">
        <f>IF('DLL Schedule'!Pay_Num&lt;&gt;"",'DLL Schedule'!Beg_Bal*'DLL Schedule'!Interest_Rate/'DLL Schedule'!Num_Pmt_Per_Year,"")</f>
        <v/>
      </c>
      <c r="I389" s="525" t="str">
        <f>IF('DLL Schedule'!Pay_Num&lt;&gt;"",IF('DLL Schedule'!Sched_Pay+'DLL Schedule'!Extra_Pay&lt;'DLL Schedule'!Beg_Bal,'DLL Schedule'!Beg_Bal-'DLL Schedule'!Princ,0),"")</f>
        <v/>
      </c>
      <c r="J389" s="525">
        <f>SUM($H$18:$H389)</f>
        <v>257912.99524975716</v>
      </c>
      <c r="K389" s="499"/>
    </row>
    <row r="390" spans="1:11" ht="12.75" customHeight="1">
      <c r="A390" s="523" t="str">
        <f>IF(AND('DLL Schedule'!Values_Entered=1,A389&lt;&gt;"",I389&gt;0),A389+1,"")</f>
        <v/>
      </c>
      <c r="B390" s="524" t="str">
        <f>IF('DLL Schedule'!Pay_Num&lt;&gt;"",DATE(YEAR('DLL Schedule'!Loan_Start),MONTH('DLL Schedule'!Loan_Start)+('DLL Schedule'!Pay_Num)*12/'DLL Schedule'!Num_Pmt_Per_Year,DAY('DLL Schedule'!Loan_Start)),"")</f>
        <v/>
      </c>
      <c r="C390" s="525" t="str">
        <f>IF('DLL Schedule'!Pay_Num&lt;&gt;"",I389,"")</f>
        <v/>
      </c>
      <c r="D390" s="525" t="str">
        <f>IF('DLL Schedule'!Pay_Num&lt;&gt;"",'DLL Schedule'!Scheduled_Monthly_Payment,"")</f>
        <v/>
      </c>
      <c r="E3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0" s="525" t="str">
        <f>IF('DLL Schedule'!Pay_Num&lt;&gt;"",IF('DLL Schedule'!Sched_Pay+'DLL Schedule'!Extra_Pay&lt;'DLL Schedule'!Beg_Bal,'DLL Schedule'!Sched_Pay+'DLL Schedule'!Extra_Pay,'DLL Schedule'!Beg_Bal),"")</f>
        <v/>
      </c>
      <c r="G390" s="525" t="str">
        <f>IF('DLL Schedule'!Pay_Num&lt;&gt;"",'DLL Schedule'!Total_Pay-'DLL Schedule'!Int,"")</f>
        <v/>
      </c>
      <c r="H390" s="525" t="str">
        <f>IF('DLL Schedule'!Pay_Num&lt;&gt;"",'DLL Schedule'!Beg_Bal*'DLL Schedule'!Interest_Rate/'DLL Schedule'!Num_Pmt_Per_Year,"")</f>
        <v/>
      </c>
      <c r="I390" s="525" t="str">
        <f>IF('DLL Schedule'!Pay_Num&lt;&gt;"",IF('DLL Schedule'!Sched_Pay+'DLL Schedule'!Extra_Pay&lt;'DLL Schedule'!Beg_Bal,'DLL Schedule'!Beg_Bal-'DLL Schedule'!Princ,0),"")</f>
        <v/>
      </c>
      <c r="J390" s="525">
        <f>SUM($H$18:$H390)</f>
        <v>257912.99524975716</v>
      </c>
      <c r="K390" s="499"/>
    </row>
    <row r="391" spans="1:11" ht="12.75" customHeight="1">
      <c r="A391" s="523" t="str">
        <f>IF(AND('DLL Schedule'!Values_Entered=1,A390&lt;&gt;"",I390&gt;0),A390+1,"")</f>
        <v/>
      </c>
      <c r="B391" s="524" t="str">
        <f>IF('DLL Schedule'!Pay_Num&lt;&gt;"",DATE(YEAR('DLL Schedule'!Loan_Start),MONTH('DLL Schedule'!Loan_Start)+('DLL Schedule'!Pay_Num)*12/'DLL Schedule'!Num_Pmt_Per_Year,DAY('DLL Schedule'!Loan_Start)),"")</f>
        <v/>
      </c>
      <c r="C391" s="525" t="str">
        <f>IF('DLL Schedule'!Pay_Num&lt;&gt;"",I390,"")</f>
        <v/>
      </c>
      <c r="D391" s="525" t="str">
        <f>IF('DLL Schedule'!Pay_Num&lt;&gt;"",'DLL Schedule'!Scheduled_Monthly_Payment,"")</f>
        <v/>
      </c>
      <c r="E3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1" s="525" t="str">
        <f>IF('DLL Schedule'!Pay_Num&lt;&gt;"",IF('DLL Schedule'!Sched_Pay+'DLL Schedule'!Extra_Pay&lt;'DLL Schedule'!Beg_Bal,'DLL Schedule'!Sched_Pay+'DLL Schedule'!Extra_Pay,'DLL Schedule'!Beg_Bal),"")</f>
        <v/>
      </c>
      <c r="G391" s="525" t="str">
        <f>IF('DLL Schedule'!Pay_Num&lt;&gt;"",'DLL Schedule'!Total_Pay-'DLL Schedule'!Int,"")</f>
        <v/>
      </c>
      <c r="H391" s="525" t="str">
        <f>IF('DLL Schedule'!Pay_Num&lt;&gt;"",'DLL Schedule'!Beg_Bal*'DLL Schedule'!Interest_Rate/'DLL Schedule'!Num_Pmt_Per_Year,"")</f>
        <v/>
      </c>
      <c r="I391" s="525" t="str">
        <f>IF('DLL Schedule'!Pay_Num&lt;&gt;"",IF('DLL Schedule'!Sched_Pay+'DLL Schedule'!Extra_Pay&lt;'DLL Schedule'!Beg_Bal,'DLL Schedule'!Beg_Bal-'DLL Schedule'!Princ,0),"")</f>
        <v/>
      </c>
      <c r="J391" s="525">
        <f>SUM($H$18:$H391)</f>
        <v>257912.99524975716</v>
      </c>
      <c r="K391" s="499"/>
    </row>
    <row r="392" spans="1:11" ht="12.75" customHeight="1">
      <c r="A392" s="523" t="str">
        <f>IF(AND('DLL Schedule'!Values_Entered=1,A391&lt;&gt;"",I391&gt;0),A391+1,"")</f>
        <v/>
      </c>
      <c r="B392" s="524" t="str">
        <f>IF('DLL Schedule'!Pay_Num&lt;&gt;"",DATE(YEAR('DLL Schedule'!Loan_Start),MONTH('DLL Schedule'!Loan_Start)+('DLL Schedule'!Pay_Num)*12/'DLL Schedule'!Num_Pmt_Per_Year,DAY('DLL Schedule'!Loan_Start)),"")</f>
        <v/>
      </c>
      <c r="C392" s="525" t="str">
        <f>IF('DLL Schedule'!Pay_Num&lt;&gt;"",I391,"")</f>
        <v/>
      </c>
      <c r="D392" s="525" t="str">
        <f>IF('DLL Schedule'!Pay_Num&lt;&gt;"",'DLL Schedule'!Scheduled_Monthly_Payment,"")</f>
        <v/>
      </c>
      <c r="E3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2" s="525" t="str">
        <f>IF('DLL Schedule'!Pay_Num&lt;&gt;"",IF('DLL Schedule'!Sched_Pay+'DLL Schedule'!Extra_Pay&lt;'DLL Schedule'!Beg_Bal,'DLL Schedule'!Sched_Pay+'DLL Schedule'!Extra_Pay,'DLL Schedule'!Beg_Bal),"")</f>
        <v/>
      </c>
      <c r="G392" s="525" t="str">
        <f>IF('DLL Schedule'!Pay_Num&lt;&gt;"",'DLL Schedule'!Total_Pay-'DLL Schedule'!Int,"")</f>
        <v/>
      </c>
      <c r="H392" s="525" t="str">
        <f>IF('DLL Schedule'!Pay_Num&lt;&gt;"",'DLL Schedule'!Beg_Bal*'DLL Schedule'!Interest_Rate/'DLL Schedule'!Num_Pmt_Per_Year,"")</f>
        <v/>
      </c>
      <c r="I392" s="525" t="str">
        <f>IF('DLL Schedule'!Pay_Num&lt;&gt;"",IF('DLL Schedule'!Sched_Pay+'DLL Schedule'!Extra_Pay&lt;'DLL Schedule'!Beg_Bal,'DLL Schedule'!Beg_Bal-'DLL Schedule'!Princ,0),"")</f>
        <v/>
      </c>
      <c r="J392" s="525">
        <f>SUM($H$18:$H392)</f>
        <v>257912.99524975716</v>
      </c>
      <c r="K392" s="499"/>
    </row>
    <row r="393" spans="1:11" ht="12.75" customHeight="1">
      <c r="A393" s="523" t="str">
        <f>IF(AND('DLL Schedule'!Values_Entered=1,A392&lt;&gt;"",I392&gt;0),A392+1,"")</f>
        <v/>
      </c>
      <c r="B393" s="524" t="str">
        <f>IF('DLL Schedule'!Pay_Num&lt;&gt;"",DATE(YEAR('DLL Schedule'!Loan_Start),MONTH('DLL Schedule'!Loan_Start)+('DLL Schedule'!Pay_Num)*12/'DLL Schedule'!Num_Pmt_Per_Year,DAY('DLL Schedule'!Loan_Start)),"")</f>
        <v/>
      </c>
      <c r="C393" s="525" t="str">
        <f>IF('DLL Schedule'!Pay_Num&lt;&gt;"",I392,"")</f>
        <v/>
      </c>
      <c r="D393" s="525" t="str">
        <f>IF('DLL Schedule'!Pay_Num&lt;&gt;"",'DLL Schedule'!Scheduled_Monthly_Payment,"")</f>
        <v/>
      </c>
      <c r="E3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3" s="525" t="str">
        <f>IF('DLL Schedule'!Pay_Num&lt;&gt;"",IF('DLL Schedule'!Sched_Pay+'DLL Schedule'!Extra_Pay&lt;'DLL Schedule'!Beg_Bal,'DLL Schedule'!Sched_Pay+'DLL Schedule'!Extra_Pay,'DLL Schedule'!Beg_Bal),"")</f>
        <v/>
      </c>
      <c r="G393" s="525" t="str">
        <f>IF('DLL Schedule'!Pay_Num&lt;&gt;"",'DLL Schedule'!Total_Pay-'DLL Schedule'!Int,"")</f>
        <v/>
      </c>
      <c r="H393" s="525" t="str">
        <f>IF('DLL Schedule'!Pay_Num&lt;&gt;"",'DLL Schedule'!Beg_Bal*'DLL Schedule'!Interest_Rate/'DLL Schedule'!Num_Pmt_Per_Year,"")</f>
        <v/>
      </c>
      <c r="I393" s="525" t="str">
        <f>IF('DLL Schedule'!Pay_Num&lt;&gt;"",IF('DLL Schedule'!Sched_Pay+'DLL Schedule'!Extra_Pay&lt;'DLL Schedule'!Beg_Bal,'DLL Schedule'!Beg_Bal-'DLL Schedule'!Princ,0),"")</f>
        <v/>
      </c>
      <c r="J393" s="525">
        <f>SUM($H$18:$H393)</f>
        <v>257912.99524975716</v>
      </c>
      <c r="K393" s="499"/>
    </row>
    <row r="394" spans="1:11" ht="12.75" customHeight="1">
      <c r="A394" s="523" t="str">
        <f>IF(AND('DLL Schedule'!Values_Entered=1,A393&lt;&gt;"",I393&gt;0),A393+1,"")</f>
        <v/>
      </c>
      <c r="B394" s="524" t="str">
        <f>IF('DLL Schedule'!Pay_Num&lt;&gt;"",DATE(YEAR('DLL Schedule'!Loan_Start),MONTH('DLL Schedule'!Loan_Start)+('DLL Schedule'!Pay_Num)*12/'DLL Schedule'!Num_Pmt_Per_Year,DAY('DLL Schedule'!Loan_Start)),"")</f>
        <v/>
      </c>
      <c r="C394" s="525" t="str">
        <f>IF('DLL Schedule'!Pay_Num&lt;&gt;"",I393,"")</f>
        <v/>
      </c>
      <c r="D394" s="525" t="str">
        <f>IF('DLL Schedule'!Pay_Num&lt;&gt;"",'DLL Schedule'!Scheduled_Monthly_Payment,"")</f>
        <v/>
      </c>
      <c r="E3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4" s="525" t="str">
        <f>IF('DLL Schedule'!Pay_Num&lt;&gt;"",IF('DLL Schedule'!Sched_Pay+'DLL Schedule'!Extra_Pay&lt;'DLL Schedule'!Beg_Bal,'DLL Schedule'!Sched_Pay+'DLL Schedule'!Extra_Pay,'DLL Schedule'!Beg_Bal),"")</f>
        <v/>
      </c>
      <c r="G394" s="525" t="str">
        <f>IF('DLL Schedule'!Pay_Num&lt;&gt;"",'DLL Schedule'!Total_Pay-'DLL Schedule'!Int,"")</f>
        <v/>
      </c>
      <c r="H394" s="525" t="str">
        <f>IF('DLL Schedule'!Pay_Num&lt;&gt;"",'DLL Schedule'!Beg_Bal*'DLL Schedule'!Interest_Rate/'DLL Schedule'!Num_Pmt_Per_Year,"")</f>
        <v/>
      </c>
      <c r="I394" s="525" t="str">
        <f>IF('DLL Schedule'!Pay_Num&lt;&gt;"",IF('DLL Schedule'!Sched_Pay+'DLL Schedule'!Extra_Pay&lt;'DLL Schedule'!Beg_Bal,'DLL Schedule'!Beg_Bal-'DLL Schedule'!Princ,0),"")</f>
        <v/>
      </c>
      <c r="J394" s="525">
        <f>SUM($H$18:$H394)</f>
        <v>257912.99524975716</v>
      </c>
      <c r="K394" s="499"/>
    </row>
    <row r="395" spans="1:11" ht="12.75" customHeight="1">
      <c r="A395" s="523" t="str">
        <f>IF(AND('DLL Schedule'!Values_Entered=1,A394&lt;&gt;"",I394&gt;0),A394+1,"")</f>
        <v/>
      </c>
      <c r="B395" s="524" t="str">
        <f>IF('DLL Schedule'!Pay_Num&lt;&gt;"",DATE(YEAR('DLL Schedule'!Loan_Start),MONTH('DLL Schedule'!Loan_Start)+('DLL Schedule'!Pay_Num)*12/'DLL Schedule'!Num_Pmt_Per_Year,DAY('DLL Schedule'!Loan_Start)),"")</f>
        <v/>
      </c>
      <c r="C395" s="525" t="str">
        <f>IF('DLL Schedule'!Pay_Num&lt;&gt;"",I394,"")</f>
        <v/>
      </c>
      <c r="D395" s="525" t="str">
        <f>IF('DLL Schedule'!Pay_Num&lt;&gt;"",'DLL Schedule'!Scheduled_Monthly_Payment,"")</f>
        <v/>
      </c>
      <c r="E3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5" s="525" t="str">
        <f>IF('DLL Schedule'!Pay_Num&lt;&gt;"",IF('DLL Schedule'!Sched_Pay+'DLL Schedule'!Extra_Pay&lt;'DLL Schedule'!Beg_Bal,'DLL Schedule'!Sched_Pay+'DLL Schedule'!Extra_Pay,'DLL Schedule'!Beg_Bal),"")</f>
        <v/>
      </c>
      <c r="G395" s="525" t="str">
        <f>IF('DLL Schedule'!Pay_Num&lt;&gt;"",'DLL Schedule'!Total_Pay-'DLL Schedule'!Int,"")</f>
        <v/>
      </c>
      <c r="H395" s="525" t="str">
        <f>IF('DLL Schedule'!Pay_Num&lt;&gt;"",'DLL Schedule'!Beg_Bal*'DLL Schedule'!Interest_Rate/'DLL Schedule'!Num_Pmt_Per_Year,"")</f>
        <v/>
      </c>
      <c r="I395" s="525" t="str">
        <f>IF('DLL Schedule'!Pay_Num&lt;&gt;"",IF('DLL Schedule'!Sched_Pay+'DLL Schedule'!Extra_Pay&lt;'DLL Schedule'!Beg_Bal,'DLL Schedule'!Beg_Bal-'DLL Schedule'!Princ,0),"")</f>
        <v/>
      </c>
      <c r="J395" s="525">
        <f>SUM($H$18:$H395)</f>
        <v>257912.99524975716</v>
      </c>
      <c r="K395" s="499"/>
    </row>
    <row r="396" spans="1:11" ht="12.75" customHeight="1">
      <c r="A396" s="523" t="str">
        <f>IF(AND('DLL Schedule'!Values_Entered=1,A395&lt;&gt;"",I395&gt;0),A395+1,"")</f>
        <v/>
      </c>
      <c r="B396" s="524" t="str">
        <f>IF('DLL Schedule'!Pay_Num&lt;&gt;"",DATE(YEAR('DLL Schedule'!Loan_Start),MONTH('DLL Schedule'!Loan_Start)+('DLL Schedule'!Pay_Num)*12/'DLL Schedule'!Num_Pmt_Per_Year,DAY('DLL Schedule'!Loan_Start)),"")</f>
        <v/>
      </c>
      <c r="C396" s="525" t="str">
        <f>IF('DLL Schedule'!Pay_Num&lt;&gt;"",I395,"")</f>
        <v/>
      </c>
      <c r="D396" s="525" t="str">
        <f>IF('DLL Schedule'!Pay_Num&lt;&gt;"",'DLL Schedule'!Scheduled_Monthly_Payment,"")</f>
        <v/>
      </c>
      <c r="E3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6" s="525" t="str">
        <f>IF('DLL Schedule'!Pay_Num&lt;&gt;"",IF('DLL Schedule'!Sched_Pay+'DLL Schedule'!Extra_Pay&lt;'DLL Schedule'!Beg_Bal,'DLL Schedule'!Sched_Pay+'DLL Schedule'!Extra_Pay,'DLL Schedule'!Beg_Bal),"")</f>
        <v/>
      </c>
      <c r="G396" s="525" t="str">
        <f>IF('DLL Schedule'!Pay_Num&lt;&gt;"",'DLL Schedule'!Total_Pay-'DLL Schedule'!Int,"")</f>
        <v/>
      </c>
      <c r="H396" s="525" t="str">
        <f>IF('DLL Schedule'!Pay_Num&lt;&gt;"",'DLL Schedule'!Beg_Bal*'DLL Schedule'!Interest_Rate/'DLL Schedule'!Num_Pmt_Per_Year,"")</f>
        <v/>
      </c>
      <c r="I396" s="525" t="str">
        <f>IF('DLL Schedule'!Pay_Num&lt;&gt;"",IF('DLL Schedule'!Sched_Pay+'DLL Schedule'!Extra_Pay&lt;'DLL Schedule'!Beg_Bal,'DLL Schedule'!Beg_Bal-'DLL Schedule'!Princ,0),"")</f>
        <v/>
      </c>
      <c r="J396" s="525">
        <f>SUM($H$18:$H396)</f>
        <v>257912.99524975716</v>
      </c>
      <c r="K396" s="499"/>
    </row>
    <row r="397" spans="1:11" ht="12.75" customHeight="1">
      <c r="A397" s="523" t="str">
        <f>IF(AND('DLL Schedule'!Values_Entered=1,A396&lt;&gt;"",I396&gt;0),A396+1,"")</f>
        <v/>
      </c>
      <c r="B397" s="524" t="str">
        <f>IF('DLL Schedule'!Pay_Num&lt;&gt;"",DATE(YEAR('DLL Schedule'!Loan_Start),MONTH('DLL Schedule'!Loan_Start)+('DLL Schedule'!Pay_Num)*12/'DLL Schedule'!Num_Pmt_Per_Year,DAY('DLL Schedule'!Loan_Start)),"")</f>
        <v/>
      </c>
      <c r="C397" s="525" t="str">
        <f>IF('DLL Schedule'!Pay_Num&lt;&gt;"",I396,"")</f>
        <v/>
      </c>
      <c r="D397" s="525" t="str">
        <f>IF('DLL Schedule'!Pay_Num&lt;&gt;"",'DLL Schedule'!Scheduled_Monthly_Payment,"")</f>
        <v/>
      </c>
      <c r="E3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7" s="525" t="str">
        <f>IF('DLL Schedule'!Pay_Num&lt;&gt;"",IF('DLL Schedule'!Sched_Pay+'DLL Schedule'!Extra_Pay&lt;'DLL Schedule'!Beg_Bal,'DLL Schedule'!Sched_Pay+'DLL Schedule'!Extra_Pay,'DLL Schedule'!Beg_Bal),"")</f>
        <v/>
      </c>
      <c r="G397" s="525" t="str">
        <f>IF('DLL Schedule'!Pay_Num&lt;&gt;"",'DLL Schedule'!Total_Pay-'DLL Schedule'!Int,"")</f>
        <v/>
      </c>
      <c r="H397" s="525" t="str">
        <f>IF('DLL Schedule'!Pay_Num&lt;&gt;"",'DLL Schedule'!Beg_Bal*'DLL Schedule'!Interest_Rate/'DLL Schedule'!Num_Pmt_Per_Year,"")</f>
        <v/>
      </c>
      <c r="I397" s="525" t="str">
        <f>IF('DLL Schedule'!Pay_Num&lt;&gt;"",IF('DLL Schedule'!Sched_Pay+'DLL Schedule'!Extra_Pay&lt;'DLL Schedule'!Beg_Bal,'DLL Schedule'!Beg_Bal-'DLL Schedule'!Princ,0),"")</f>
        <v/>
      </c>
      <c r="J397" s="525">
        <f>SUM($H$18:$H397)</f>
        <v>257912.99524975716</v>
      </c>
      <c r="K397" s="499"/>
    </row>
    <row r="398" spans="1:11" ht="12.75" customHeight="1">
      <c r="A398" s="523" t="str">
        <f>IF(AND('DLL Schedule'!Values_Entered=1,A397&lt;&gt;"",I397&gt;0),A397+1,"")</f>
        <v/>
      </c>
      <c r="B398" s="524" t="str">
        <f>IF('DLL Schedule'!Pay_Num&lt;&gt;"",DATE(YEAR('DLL Schedule'!Loan_Start),MONTH('DLL Schedule'!Loan_Start)+('DLL Schedule'!Pay_Num)*12/'DLL Schedule'!Num_Pmt_Per_Year,DAY('DLL Schedule'!Loan_Start)),"")</f>
        <v/>
      </c>
      <c r="C398" s="525" t="str">
        <f>IF('DLL Schedule'!Pay_Num&lt;&gt;"",I397,"")</f>
        <v/>
      </c>
      <c r="D398" s="525" t="str">
        <f>IF('DLL Schedule'!Pay_Num&lt;&gt;"",'DLL Schedule'!Scheduled_Monthly_Payment,"")</f>
        <v/>
      </c>
      <c r="E3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8" s="525" t="str">
        <f>IF('DLL Schedule'!Pay_Num&lt;&gt;"",IF('DLL Schedule'!Sched_Pay+'DLL Schedule'!Extra_Pay&lt;'DLL Schedule'!Beg_Bal,'DLL Schedule'!Sched_Pay+'DLL Schedule'!Extra_Pay,'DLL Schedule'!Beg_Bal),"")</f>
        <v/>
      </c>
      <c r="G398" s="525" t="str">
        <f>IF('DLL Schedule'!Pay_Num&lt;&gt;"",'DLL Schedule'!Total_Pay-'DLL Schedule'!Int,"")</f>
        <v/>
      </c>
      <c r="H398" s="525" t="str">
        <f>IF('DLL Schedule'!Pay_Num&lt;&gt;"",'DLL Schedule'!Beg_Bal*'DLL Schedule'!Interest_Rate/'DLL Schedule'!Num_Pmt_Per_Year,"")</f>
        <v/>
      </c>
      <c r="I398" s="525" t="str">
        <f>IF('DLL Schedule'!Pay_Num&lt;&gt;"",IF('DLL Schedule'!Sched_Pay+'DLL Schedule'!Extra_Pay&lt;'DLL Schedule'!Beg_Bal,'DLL Schedule'!Beg_Bal-'DLL Schedule'!Princ,0),"")</f>
        <v/>
      </c>
      <c r="J398" s="525">
        <f>SUM($H$18:$H398)</f>
        <v>257912.99524975716</v>
      </c>
      <c r="K398" s="499"/>
    </row>
    <row r="399" spans="1:11" ht="12.75" customHeight="1">
      <c r="A399" s="523" t="str">
        <f>IF(AND('DLL Schedule'!Values_Entered=1,A398&lt;&gt;"",I398&gt;0),A398+1,"")</f>
        <v/>
      </c>
      <c r="B399" s="524" t="str">
        <f>IF('DLL Schedule'!Pay_Num&lt;&gt;"",DATE(YEAR('DLL Schedule'!Loan_Start),MONTH('DLL Schedule'!Loan_Start)+('DLL Schedule'!Pay_Num)*12/'DLL Schedule'!Num_Pmt_Per_Year,DAY('DLL Schedule'!Loan_Start)),"")</f>
        <v/>
      </c>
      <c r="C399" s="525" t="str">
        <f>IF('DLL Schedule'!Pay_Num&lt;&gt;"",I398,"")</f>
        <v/>
      </c>
      <c r="D399" s="525" t="str">
        <f>IF('DLL Schedule'!Pay_Num&lt;&gt;"",'DLL Schedule'!Scheduled_Monthly_Payment,"")</f>
        <v/>
      </c>
      <c r="E3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9" s="525" t="str">
        <f>IF('DLL Schedule'!Pay_Num&lt;&gt;"",IF('DLL Schedule'!Sched_Pay+'DLL Schedule'!Extra_Pay&lt;'DLL Schedule'!Beg_Bal,'DLL Schedule'!Sched_Pay+'DLL Schedule'!Extra_Pay,'DLL Schedule'!Beg_Bal),"")</f>
        <v/>
      </c>
      <c r="G399" s="525" t="str">
        <f>IF('DLL Schedule'!Pay_Num&lt;&gt;"",'DLL Schedule'!Total_Pay-'DLL Schedule'!Int,"")</f>
        <v/>
      </c>
      <c r="H399" s="525" t="str">
        <f>IF('DLL Schedule'!Pay_Num&lt;&gt;"",'DLL Schedule'!Beg_Bal*'DLL Schedule'!Interest_Rate/'DLL Schedule'!Num_Pmt_Per_Year,"")</f>
        <v/>
      </c>
      <c r="I399" s="525" t="str">
        <f>IF('DLL Schedule'!Pay_Num&lt;&gt;"",IF('DLL Schedule'!Sched_Pay+'DLL Schedule'!Extra_Pay&lt;'DLL Schedule'!Beg_Bal,'DLL Schedule'!Beg_Bal-'DLL Schedule'!Princ,0),"")</f>
        <v/>
      </c>
      <c r="J399" s="525">
        <f>SUM($H$18:$H399)</f>
        <v>257912.99524975716</v>
      </c>
      <c r="K399" s="499"/>
    </row>
    <row r="400" spans="1:11" ht="12.75" customHeight="1">
      <c r="A400" s="523" t="str">
        <f>IF(AND('DLL Schedule'!Values_Entered=1,A399&lt;&gt;"",I399&gt;0),A399+1,"")</f>
        <v/>
      </c>
      <c r="B400" s="524" t="str">
        <f>IF('DLL Schedule'!Pay_Num&lt;&gt;"",DATE(YEAR('DLL Schedule'!Loan_Start),MONTH('DLL Schedule'!Loan_Start)+('DLL Schedule'!Pay_Num)*12/'DLL Schedule'!Num_Pmt_Per_Year,DAY('DLL Schedule'!Loan_Start)),"")</f>
        <v/>
      </c>
      <c r="C400" s="525" t="str">
        <f>IF('DLL Schedule'!Pay_Num&lt;&gt;"",I399,"")</f>
        <v/>
      </c>
      <c r="D400" s="525" t="str">
        <f>IF('DLL Schedule'!Pay_Num&lt;&gt;"",'DLL Schedule'!Scheduled_Monthly_Payment,"")</f>
        <v/>
      </c>
      <c r="E4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0" s="525" t="str">
        <f>IF('DLL Schedule'!Pay_Num&lt;&gt;"",IF('DLL Schedule'!Sched_Pay+'DLL Schedule'!Extra_Pay&lt;'DLL Schedule'!Beg_Bal,'DLL Schedule'!Sched_Pay+'DLL Schedule'!Extra_Pay,'DLL Schedule'!Beg_Bal),"")</f>
        <v/>
      </c>
      <c r="G400" s="525" t="str">
        <f>IF('DLL Schedule'!Pay_Num&lt;&gt;"",'DLL Schedule'!Total_Pay-'DLL Schedule'!Int,"")</f>
        <v/>
      </c>
      <c r="H400" s="525" t="str">
        <f>IF('DLL Schedule'!Pay_Num&lt;&gt;"",'DLL Schedule'!Beg_Bal*'DLL Schedule'!Interest_Rate/'DLL Schedule'!Num_Pmt_Per_Year,"")</f>
        <v/>
      </c>
      <c r="I400" s="525" t="str">
        <f>IF('DLL Schedule'!Pay_Num&lt;&gt;"",IF('DLL Schedule'!Sched_Pay+'DLL Schedule'!Extra_Pay&lt;'DLL Schedule'!Beg_Bal,'DLL Schedule'!Beg_Bal-'DLL Schedule'!Princ,0),"")</f>
        <v/>
      </c>
      <c r="J400" s="525">
        <f>SUM($H$18:$H400)</f>
        <v>257912.99524975716</v>
      </c>
      <c r="K400" s="499"/>
    </row>
    <row r="401" spans="1:11" ht="12.75" customHeight="1">
      <c r="A401" s="523" t="str">
        <f>IF(AND('DLL Schedule'!Values_Entered=1,A400&lt;&gt;"",I400&gt;0),A400+1,"")</f>
        <v/>
      </c>
      <c r="B401" s="524" t="str">
        <f>IF('DLL Schedule'!Pay_Num&lt;&gt;"",DATE(YEAR('DLL Schedule'!Loan_Start),MONTH('DLL Schedule'!Loan_Start)+('DLL Schedule'!Pay_Num)*12/'DLL Schedule'!Num_Pmt_Per_Year,DAY('DLL Schedule'!Loan_Start)),"")</f>
        <v/>
      </c>
      <c r="C401" s="525" t="str">
        <f>IF('DLL Schedule'!Pay_Num&lt;&gt;"",I400,"")</f>
        <v/>
      </c>
      <c r="D401" s="525" t="str">
        <f>IF('DLL Schedule'!Pay_Num&lt;&gt;"",'DLL Schedule'!Scheduled_Monthly_Payment,"")</f>
        <v/>
      </c>
      <c r="E4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1" s="525" t="str">
        <f>IF('DLL Schedule'!Pay_Num&lt;&gt;"",IF('DLL Schedule'!Sched_Pay+'DLL Schedule'!Extra_Pay&lt;'DLL Schedule'!Beg_Bal,'DLL Schedule'!Sched_Pay+'DLL Schedule'!Extra_Pay,'DLL Schedule'!Beg_Bal),"")</f>
        <v/>
      </c>
      <c r="G401" s="525" t="str">
        <f>IF('DLL Schedule'!Pay_Num&lt;&gt;"",'DLL Schedule'!Total_Pay-'DLL Schedule'!Int,"")</f>
        <v/>
      </c>
      <c r="H401" s="525" t="str">
        <f>IF('DLL Schedule'!Pay_Num&lt;&gt;"",'DLL Schedule'!Beg_Bal*'DLL Schedule'!Interest_Rate/'DLL Schedule'!Num_Pmt_Per_Year,"")</f>
        <v/>
      </c>
      <c r="I401" s="525" t="str">
        <f>IF('DLL Schedule'!Pay_Num&lt;&gt;"",IF('DLL Schedule'!Sched_Pay+'DLL Schedule'!Extra_Pay&lt;'DLL Schedule'!Beg_Bal,'DLL Schedule'!Beg_Bal-'DLL Schedule'!Princ,0),"")</f>
        <v/>
      </c>
      <c r="J401" s="525">
        <f>SUM($H$18:$H401)</f>
        <v>257912.99524975716</v>
      </c>
      <c r="K401" s="499"/>
    </row>
    <row r="402" spans="1:11" ht="12.75" customHeight="1">
      <c r="A402" s="523" t="str">
        <f>IF(AND('DLL Schedule'!Values_Entered=1,A401&lt;&gt;"",I401&gt;0),A401+1,"")</f>
        <v/>
      </c>
      <c r="B402" s="524" t="str">
        <f>IF('DLL Schedule'!Pay_Num&lt;&gt;"",DATE(YEAR('DLL Schedule'!Loan_Start),MONTH('DLL Schedule'!Loan_Start)+('DLL Schedule'!Pay_Num)*12/'DLL Schedule'!Num_Pmt_Per_Year,DAY('DLL Schedule'!Loan_Start)),"")</f>
        <v/>
      </c>
      <c r="C402" s="525" t="str">
        <f>IF('DLL Schedule'!Pay_Num&lt;&gt;"",I401,"")</f>
        <v/>
      </c>
      <c r="D402" s="525" t="str">
        <f>IF('DLL Schedule'!Pay_Num&lt;&gt;"",'DLL Schedule'!Scheduled_Monthly_Payment,"")</f>
        <v/>
      </c>
      <c r="E4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2" s="525" t="str">
        <f>IF('DLL Schedule'!Pay_Num&lt;&gt;"",IF('DLL Schedule'!Sched_Pay+'DLL Schedule'!Extra_Pay&lt;'DLL Schedule'!Beg_Bal,'DLL Schedule'!Sched_Pay+'DLL Schedule'!Extra_Pay,'DLL Schedule'!Beg_Bal),"")</f>
        <v/>
      </c>
      <c r="G402" s="525" t="str">
        <f>IF('DLL Schedule'!Pay_Num&lt;&gt;"",'DLL Schedule'!Total_Pay-'DLL Schedule'!Int,"")</f>
        <v/>
      </c>
      <c r="H402" s="525" t="str">
        <f>IF('DLL Schedule'!Pay_Num&lt;&gt;"",'DLL Schedule'!Beg_Bal*'DLL Schedule'!Interest_Rate/'DLL Schedule'!Num_Pmt_Per_Year,"")</f>
        <v/>
      </c>
      <c r="I402" s="525" t="str">
        <f>IF('DLL Schedule'!Pay_Num&lt;&gt;"",IF('DLL Schedule'!Sched_Pay+'DLL Schedule'!Extra_Pay&lt;'DLL Schedule'!Beg_Bal,'DLL Schedule'!Beg_Bal-'DLL Schedule'!Princ,0),"")</f>
        <v/>
      </c>
      <c r="J402" s="525">
        <f>SUM($H$18:$H402)</f>
        <v>257912.99524975716</v>
      </c>
      <c r="K402" s="499"/>
    </row>
    <row r="403" spans="1:11" ht="12.75" customHeight="1">
      <c r="A403" s="523" t="str">
        <f>IF(AND('DLL Schedule'!Values_Entered=1,A402&lt;&gt;"",I402&gt;0),A402+1,"")</f>
        <v/>
      </c>
      <c r="B403" s="524" t="str">
        <f>IF('DLL Schedule'!Pay_Num&lt;&gt;"",DATE(YEAR('DLL Schedule'!Loan_Start),MONTH('DLL Schedule'!Loan_Start)+('DLL Schedule'!Pay_Num)*12/'DLL Schedule'!Num_Pmt_Per_Year,DAY('DLL Schedule'!Loan_Start)),"")</f>
        <v/>
      </c>
      <c r="C403" s="525" t="str">
        <f>IF('DLL Schedule'!Pay_Num&lt;&gt;"",I402,"")</f>
        <v/>
      </c>
      <c r="D403" s="525" t="str">
        <f>IF('DLL Schedule'!Pay_Num&lt;&gt;"",'DLL Schedule'!Scheduled_Monthly_Payment,"")</f>
        <v/>
      </c>
      <c r="E4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3" s="525" t="str">
        <f>IF('DLL Schedule'!Pay_Num&lt;&gt;"",IF('DLL Schedule'!Sched_Pay+'DLL Schedule'!Extra_Pay&lt;'DLL Schedule'!Beg_Bal,'DLL Schedule'!Sched_Pay+'DLL Schedule'!Extra_Pay,'DLL Schedule'!Beg_Bal),"")</f>
        <v/>
      </c>
      <c r="G403" s="525" t="str">
        <f>IF('DLL Schedule'!Pay_Num&lt;&gt;"",'DLL Schedule'!Total_Pay-'DLL Schedule'!Int,"")</f>
        <v/>
      </c>
      <c r="H403" s="525" t="str">
        <f>IF('DLL Schedule'!Pay_Num&lt;&gt;"",'DLL Schedule'!Beg_Bal*'DLL Schedule'!Interest_Rate/'DLL Schedule'!Num_Pmt_Per_Year,"")</f>
        <v/>
      </c>
      <c r="I403" s="525" t="str">
        <f>IF('DLL Schedule'!Pay_Num&lt;&gt;"",IF('DLL Schedule'!Sched_Pay+'DLL Schedule'!Extra_Pay&lt;'DLL Schedule'!Beg_Bal,'DLL Schedule'!Beg_Bal-'DLL Schedule'!Princ,0),"")</f>
        <v/>
      </c>
      <c r="J403" s="525">
        <f>SUM($H$18:$H403)</f>
        <v>257912.99524975716</v>
      </c>
      <c r="K403" s="499"/>
    </row>
    <row r="404" spans="1:11" ht="12.75" customHeight="1">
      <c r="A404" s="523" t="str">
        <f>IF(AND('DLL Schedule'!Values_Entered=1,A403&lt;&gt;"",I403&gt;0),A403+1,"")</f>
        <v/>
      </c>
      <c r="B404" s="524" t="str">
        <f>IF('DLL Schedule'!Pay_Num&lt;&gt;"",DATE(YEAR('DLL Schedule'!Loan_Start),MONTH('DLL Schedule'!Loan_Start)+('DLL Schedule'!Pay_Num)*12/'DLL Schedule'!Num_Pmt_Per_Year,DAY('DLL Schedule'!Loan_Start)),"")</f>
        <v/>
      </c>
      <c r="C404" s="525" t="str">
        <f>IF('DLL Schedule'!Pay_Num&lt;&gt;"",I403,"")</f>
        <v/>
      </c>
      <c r="D404" s="525" t="str">
        <f>IF('DLL Schedule'!Pay_Num&lt;&gt;"",'DLL Schedule'!Scheduled_Monthly_Payment,"")</f>
        <v/>
      </c>
      <c r="E4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4" s="525" t="str">
        <f>IF('DLL Schedule'!Pay_Num&lt;&gt;"",IF('DLL Schedule'!Sched_Pay+'DLL Schedule'!Extra_Pay&lt;'DLL Schedule'!Beg_Bal,'DLL Schedule'!Sched_Pay+'DLL Schedule'!Extra_Pay,'DLL Schedule'!Beg_Bal),"")</f>
        <v/>
      </c>
      <c r="G404" s="525" t="str">
        <f>IF('DLL Schedule'!Pay_Num&lt;&gt;"",'DLL Schedule'!Total_Pay-'DLL Schedule'!Int,"")</f>
        <v/>
      </c>
      <c r="H404" s="525" t="str">
        <f>IF('DLL Schedule'!Pay_Num&lt;&gt;"",'DLL Schedule'!Beg_Bal*'DLL Schedule'!Interest_Rate/'DLL Schedule'!Num_Pmt_Per_Year,"")</f>
        <v/>
      </c>
      <c r="I404" s="525" t="str">
        <f>IF('DLL Schedule'!Pay_Num&lt;&gt;"",IF('DLL Schedule'!Sched_Pay+'DLL Schedule'!Extra_Pay&lt;'DLL Schedule'!Beg_Bal,'DLL Schedule'!Beg_Bal-'DLL Schedule'!Princ,0),"")</f>
        <v/>
      </c>
      <c r="J404" s="525">
        <f>SUM($H$18:$H404)</f>
        <v>257912.99524975716</v>
      </c>
      <c r="K404" s="499"/>
    </row>
    <row r="405" spans="1:11" ht="12.75" customHeight="1">
      <c r="A405" s="523" t="str">
        <f>IF(AND('DLL Schedule'!Values_Entered=1,A404&lt;&gt;"",I404&gt;0),A404+1,"")</f>
        <v/>
      </c>
      <c r="B405" s="524" t="str">
        <f>IF('DLL Schedule'!Pay_Num&lt;&gt;"",DATE(YEAR('DLL Schedule'!Loan_Start),MONTH('DLL Schedule'!Loan_Start)+('DLL Schedule'!Pay_Num)*12/'DLL Schedule'!Num_Pmt_Per_Year,DAY('DLL Schedule'!Loan_Start)),"")</f>
        <v/>
      </c>
      <c r="C405" s="525" t="str">
        <f>IF('DLL Schedule'!Pay_Num&lt;&gt;"",I404,"")</f>
        <v/>
      </c>
      <c r="D405" s="525" t="str">
        <f>IF('DLL Schedule'!Pay_Num&lt;&gt;"",'DLL Schedule'!Scheduled_Monthly_Payment,"")</f>
        <v/>
      </c>
      <c r="E4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5" s="525" t="str">
        <f>IF('DLL Schedule'!Pay_Num&lt;&gt;"",IF('DLL Schedule'!Sched_Pay+'DLL Schedule'!Extra_Pay&lt;'DLL Schedule'!Beg_Bal,'DLL Schedule'!Sched_Pay+'DLL Schedule'!Extra_Pay,'DLL Schedule'!Beg_Bal),"")</f>
        <v/>
      </c>
      <c r="G405" s="525" t="str">
        <f>IF('DLL Schedule'!Pay_Num&lt;&gt;"",'DLL Schedule'!Total_Pay-'DLL Schedule'!Int,"")</f>
        <v/>
      </c>
      <c r="H405" s="525" t="str">
        <f>IF('DLL Schedule'!Pay_Num&lt;&gt;"",'DLL Schedule'!Beg_Bal*'DLL Schedule'!Interest_Rate/'DLL Schedule'!Num_Pmt_Per_Year,"")</f>
        <v/>
      </c>
      <c r="I405" s="525" t="str">
        <f>IF('DLL Schedule'!Pay_Num&lt;&gt;"",IF('DLL Schedule'!Sched_Pay+'DLL Schedule'!Extra_Pay&lt;'DLL Schedule'!Beg_Bal,'DLL Schedule'!Beg_Bal-'DLL Schedule'!Princ,0),"")</f>
        <v/>
      </c>
      <c r="J405" s="525">
        <f>SUM($H$18:$H405)</f>
        <v>257912.99524975716</v>
      </c>
      <c r="K405" s="499"/>
    </row>
    <row r="406" spans="1:11" ht="12.75" customHeight="1">
      <c r="A406" s="523" t="str">
        <f>IF(AND('DLL Schedule'!Values_Entered=1,A405&lt;&gt;"",I405&gt;0),A405+1,"")</f>
        <v/>
      </c>
      <c r="B406" s="524" t="str">
        <f>IF('DLL Schedule'!Pay_Num&lt;&gt;"",DATE(YEAR('DLL Schedule'!Loan_Start),MONTH('DLL Schedule'!Loan_Start)+('DLL Schedule'!Pay_Num)*12/'DLL Schedule'!Num_Pmt_Per_Year,DAY('DLL Schedule'!Loan_Start)),"")</f>
        <v/>
      </c>
      <c r="C406" s="525" t="str">
        <f>IF('DLL Schedule'!Pay_Num&lt;&gt;"",I405,"")</f>
        <v/>
      </c>
      <c r="D406" s="525" t="str">
        <f>IF('DLL Schedule'!Pay_Num&lt;&gt;"",'DLL Schedule'!Scheduled_Monthly_Payment,"")</f>
        <v/>
      </c>
      <c r="E4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6" s="525" t="str">
        <f>IF('DLL Schedule'!Pay_Num&lt;&gt;"",IF('DLL Schedule'!Sched_Pay+'DLL Schedule'!Extra_Pay&lt;'DLL Schedule'!Beg_Bal,'DLL Schedule'!Sched_Pay+'DLL Schedule'!Extra_Pay,'DLL Schedule'!Beg_Bal),"")</f>
        <v/>
      </c>
      <c r="G406" s="525" t="str">
        <f>IF('DLL Schedule'!Pay_Num&lt;&gt;"",'DLL Schedule'!Total_Pay-'DLL Schedule'!Int,"")</f>
        <v/>
      </c>
      <c r="H406" s="525" t="str">
        <f>IF('DLL Schedule'!Pay_Num&lt;&gt;"",'DLL Schedule'!Beg_Bal*'DLL Schedule'!Interest_Rate/'DLL Schedule'!Num_Pmt_Per_Year,"")</f>
        <v/>
      </c>
      <c r="I406" s="525" t="str">
        <f>IF('DLL Schedule'!Pay_Num&lt;&gt;"",IF('DLL Schedule'!Sched_Pay+'DLL Schedule'!Extra_Pay&lt;'DLL Schedule'!Beg_Bal,'DLL Schedule'!Beg_Bal-'DLL Schedule'!Princ,0),"")</f>
        <v/>
      </c>
      <c r="J406" s="525">
        <f>SUM($H$18:$H406)</f>
        <v>257912.99524975716</v>
      </c>
      <c r="K406" s="499"/>
    </row>
    <row r="407" spans="1:11" ht="12.75" customHeight="1">
      <c r="A407" s="523" t="str">
        <f>IF(AND('DLL Schedule'!Values_Entered=1,A406&lt;&gt;"",I406&gt;0),A406+1,"")</f>
        <v/>
      </c>
      <c r="B407" s="524" t="str">
        <f>IF('DLL Schedule'!Pay_Num&lt;&gt;"",DATE(YEAR('DLL Schedule'!Loan_Start),MONTH('DLL Schedule'!Loan_Start)+('DLL Schedule'!Pay_Num)*12/'DLL Schedule'!Num_Pmt_Per_Year,DAY('DLL Schedule'!Loan_Start)),"")</f>
        <v/>
      </c>
      <c r="C407" s="525" t="str">
        <f>IF('DLL Schedule'!Pay_Num&lt;&gt;"",I406,"")</f>
        <v/>
      </c>
      <c r="D407" s="525" t="str">
        <f>IF('DLL Schedule'!Pay_Num&lt;&gt;"",'DLL Schedule'!Scheduled_Monthly_Payment,"")</f>
        <v/>
      </c>
      <c r="E4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7" s="525" t="str">
        <f>IF('DLL Schedule'!Pay_Num&lt;&gt;"",IF('DLL Schedule'!Sched_Pay+'DLL Schedule'!Extra_Pay&lt;'DLL Schedule'!Beg_Bal,'DLL Schedule'!Sched_Pay+'DLL Schedule'!Extra_Pay,'DLL Schedule'!Beg_Bal),"")</f>
        <v/>
      </c>
      <c r="G407" s="525" t="str">
        <f>IF('DLL Schedule'!Pay_Num&lt;&gt;"",'DLL Schedule'!Total_Pay-'DLL Schedule'!Int,"")</f>
        <v/>
      </c>
      <c r="H407" s="525" t="str">
        <f>IF('DLL Schedule'!Pay_Num&lt;&gt;"",'DLL Schedule'!Beg_Bal*'DLL Schedule'!Interest_Rate/'DLL Schedule'!Num_Pmt_Per_Year,"")</f>
        <v/>
      </c>
      <c r="I407" s="525" t="str">
        <f>IF('DLL Schedule'!Pay_Num&lt;&gt;"",IF('DLL Schedule'!Sched_Pay+'DLL Schedule'!Extra_Pay&lt;'DLL Schedule'!Beg_Bal,'DLL Schedule'!Beg_Bal-'DLL Schedule'!Princ,0),"")</f>
        <v/>
      </c>
      <c r="J407" s="525">
        <f>SUM($H$18:$H407)</f>
        <v>257912.99524975716</v>
      </c>
      <c r="K407" s="499"/>
    </row>
    <row r="408" spans="1:11" ht="12.75" customHeight="1">
      <c r="A408" s="523" t="str">
        <f>IF(AND('DLL Schedule'!Values_Entered=1,A407&lt;&gt;"",I407&gt;0),A407+1,"")</f>
        <v/>
      </c>
      <c r="B408" s="524" t="str">
        <f>IF('DLL Schedule'!Pay_Num&lt;&gt;"",DATE(YEAR('DLL Schedule'!Loan_Start),MONTH('DLL Schedule'!Loan_Start)+('DLL Schedule'!Pay_Num)*12/'DLL Schedule'!Num_Pmt_Per_Year,DAY('DLL Schedule'!Loan_Start)),"")</f>
        <v/>
      </c>
      <c r="C408" s="525" t="str">
        <f>IF('DLL Schedule'!Pay_Num&lt;&gt;"",I407,"")</f>
        <v/>
      </c>
      <c r="D408" s="525" t="str">
        <f>IF('DLL Schedule'!Pay_Num&lt;&gt;"",'DLL Schedule'!Scheduled_Monthly_Payment,"")</f>
        <v/>
      </c>
      <c r="E4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8" s="525" t="str">
        <f>IF('DLL Schedule'!Pay_Num&lt;&gt;"",IF('DLL Schedule'!Sched_Pay+'DLL Schedule'!Extra_Pay&lt;'DLL Schedule'!Beg_Bal,'DLL Schedule'!Sched_Pay+'DLL Schedule'!Extra_Pay,'DLL Schedule'!Beg_Bal),"")</f>
        <v/>
      </c>
      <c r="G408" s="525" t="str">
        <f>IF('DLL Schedule'!Pay_Num&lt;&gt;"",'DLL Schedule'!Total_Pay-'DLL Schedule'!Int,"")</f>
        <v/>
      </c>
      <c r="H408" s="525" t="str">
        <f>IF('DLL Schedule'!Pay_Num&lt;&gt;"",'DLL Schedule'!Beg_Bal*'DLL Schedule'!Interest_Rate/'DLL Schedule'!Num_Pmt_Per_Year,"")</f>
        <v/>
      </c>
      <c r="I408" s="525" t="str">
        <f>IF('DLL Schedule'!Pay_Num&lt;&gt;"",IF('DLL Schedule'!Sched_Pay+'DLL Schedule'!Extra_Pay&lt;'DLL Schedule'!Beg_Bal,'DLL Schedule'!Beg_Bal-'DLL Schedule'!Princ,0),"")</f>
        <v/>
      </c>
      <c r="J408" s="525">
        <f>SUM($H$18:$H408)</f>
        <v>257912.99524975716</v>
      </c>
      <c r="K408" s="499"/>
    </row>
    <row r="409" spans="1:11" ht="12.75" customHeight="1">
      <c r="A409" s="523" t="str">
        <f>IF(AND('DLL Schedule'!Values_Entered=1,A408&lt;&gt;"",I408&gt;0),A408+1,"")</f>
        <v/>
      </c>
      <c r="B409" s="524" t="str">
        <f>IF('DLL Schedule'!Pay_Num&lt;&gt;"",DATE(YEAR('DLL Schedule'!Loan_Start),MONTH('DLL Schedule'!Loan_Start)+('DLL Schedule'!Pay_Num)*12/'DLL Schedule'!Num_Pmt_Per_Year,DAY('DLL Schedule'!Loan_Start)),"")</f>
        <v/>
      </c>
      <c r="C409" s="525" t="str">
        <f>IF('DLL Schedule'!Pay_Num&lt;&gt;"",I408,"")</f>
        <v/>
      </c>
      <c r="D409" s="525" t="str">
        <f>IF('DLL Schedule'!Pay_Num&lt;&gt;"",'DLL Schedule'!Scheduled_Monthly_Payment,"")</f>
        <v/>
      </c>
      <c r="E4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9" s="525" t="str">
        <f>IF('DLL Schedule'!Pay_Num&lt;&gt;"",IF('DLL Schedule'!Sched_Pay+'DLL Schedule'!Extra_Pay&lt;'DLL Schedule'!Beg_Bal,'DLL Schedule'!Sched_Pay+'DLL Schedule'!Extra_Pay,'DLL Schedule'!Beg_Bal),"")</f>
        <v/>
      </c>
      <c r="G409" s="525" t="str">
        <f>IF('DLL Schedule'!Pay_Num&lt;&gt;"",'DLL Schedule'!Total_Pay-'DLL Schedule'!Int,"")</f>
        <v/>
      </c>
      <c r="H409" s="525" t="str">
        <f>IF('DLL Schedule'!Pay_Num&lt;&gt;"",'DLL Schedule'!Beg_Bal*'DLL Schedule'!Interest_Rate/'DLL Schedule'!Num_Pmt_Per_Year,"")</f>
        <v/>
      </c>
      <c r="I409" s="525" t="str">
        <f>IF('DLL Schedule'!Pay_Num&lt;&gt;"",IF('DLL Schedule'!Sched_Pay+'DLL Schedule'!Extra_Pay&lt;'DLL Schedule'!Beg_Bal,'DLL Schedule'!Beg_Bal-'DLL Schedule'!Princ,0),"")</f>
        <v/>
      </c>
      <c r="J409" s="525">
        <f>SUM($H$18:$H409)</f>
        <v>257912.99524975716</v>
      </c>
      <c r="K409" s="499"/>
    </row>
    <row r="410" spans="1:11" ht="12.75" customHeight="1">
      <c r="A410" s="523" t="str">
        <f>IF(AND('DLL Schedule'!Values_Entered=1,A409&lt;&gt;"",I409&gt;0),A409+1,"")</f>
        <v/>
      </c>
      <c r="B410" s="524" t="str">
        <f>IF('DLL Schedule'!Pay_Num&lt;&gt;"",DATE(YEAR('DLL Schedule'!Loan_Start),MONTH('DLL Schedule'!Loan_Start)+('DLL Schedule'!Pay_Num)*12/'DLL Schedule'!Num_Pmt_Per_Year,DAY('DLL Schedule'!Loan_Start)),"")</f>
        <v/>
      </c>
      <c r="C410" s="525" t="str">
        <f>IF('DLL Schedule'!Pay_Num&lt;&gt;"",I409,"")</f>
        <v/>
      </c>
      <c r="D410" s="525" t="str">
        <f>IF('DLL Schedule'!Pay_Num&lt;&gt;"",'DLL Schedule'!Scheduled_Monthly_Payment,"")</f>
        <v/>
      </c>
      <c r="E4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0" s="525" t="str">
        <f>IF('DLL Schedule'!Pay_Num&lt;&gt;"",IF('DLL Schedule'!Sched_Pay+'DLL Schedule'!Extra_Pay&lt;'DLL Schedule'!Beg_Bal,'DLL Schedule'!Sched_Pay+'DLL Schedule'!Extra_Pay,'DLL Schedule'!Beg_Bal),"")</f>
        <v/>
      </c>
      <c r="G410" s="525" t="str">
        <f>IF('DLL Schedule'!Pay_Num&lt;&gt;"",'DLL Schedule'!Total_Pay-'DLL Schedule'!Int,"")</f>
        <v/>
      </c>
      <c r="H410" s="525" t="str">
        <f>IF('DLL Schedule'!Pay_Num&lt;&gt;"",'DLL Schedule'!Beg_Bal*'DLL Schedule'!Interest_Rate/'DLL Schedule'!Num_Pmt_Per_Year,"")</f>
        <v/>
      </c>
      <c r="I410" s="525" t="str">
        <f>IF('DLL Schedule'!Pay_Num&lt;&gt;"",IF('DLL Schedule'!Sched_Pay+'DLL Schedule'!Extra_Pay&lt;'DLL Schedule'!Beg_Bal,'DLL Schedule'!Beg_Bal-'DLL Schedule'!Princ,0),"")</f>
        <v/>
      </c>
      <c r="J410" s="525">
        <f>SUM($H$18:$H410)</f>
        <v>257912.99524975716</v>
      </c>
      <c r="K410" s="499"/>
    </row>
    <row r="411" spans="1:11" ht="12.75" customHeight="1">
      <c r="A411" s="523" t="str">
        <f>IF(AND('DLL Schedule'!Values_Entered=1,A410&lt;&gt;"",I410&gt;0),A410+1,"")</f>
        <v/>
      </c>
      <c r="B411" s="524" t="str">
        <f>IF('DLL Schedule'!Pay_Num&lt;&gt;"",DATE(YEAR('DLL Schedule'!Loan_Start),MONTH('DLL Schedule'!Loan_Start)+('DLL Schedule'!Pay_Num)*12/'DLL Schedule'!Num_Pmt_Per_Year,DAY('DLL Schedule'!Loan_Start)),"")</f>
        <v/>
      </c>
      <c r="C411" s="525" t="str">
        <f>IF('DLL Schedule'!Pay_Num&lt;&gt;"",I410,"")</f>
        <v/>
      </c>
      <c r="D411" s="525" t="str">
        <f>IF('DLL Schedule'!Pay_Num&lt;&gt;"",'DLL Schedule'!Scheduled_Monthly_Payment,"")</f>
        <v/>
      </c>
      <c r="E4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1" s="525" t="str">
        <f>IF('DLL Schedule'!Pay_Num&lt;&gt;"",IF('DLL Schedule'!Sched_Pay+'DLL Schedule'!Extra_Pay&lt;'DLL Schedule'!Beg_Bal,'DLL Schedule'!Sched_Pay+'DLL Schedule'!Extra_Pay,'DLL Schedule'!Beg_Bal),"")</f>
        <v/>
      </c>
      <c r="G411" s="525" t="str">
        <f>IF('DLL Schedule'!Pay_Num&lt;&gt;"",'DLL Schedule'!Total_Pay-'DLL Schedule'!Int,"")</f>
        <v/>
      </c>
      <c r="H411" s="525" t="str">
        <f>IF('DLL Schedule'!Pay_Num&lt;&gt;"",'DLL Schedule'!Beg_Bal*'DLL Schedule'!Interest_Rate/'DLL Schedule'!Num_Pmt_Per_Year,"")</f>
        <v/>
      </c>
      <c r="I411" s="525" t="str">
        <f>IF('DLL Schedule'!Pay_Num&lt;&gt;"",IF('DLL Schedule'!Sched_Pay+'DLL Schedule'!Extra_Pay&lt;'DLL Schedule'!Beg_Bal,'DLL Schedule'!Beg_Bal-'DLL Schedule'!Princ,0),"")</f>
        <v/>
      </c>
      <c r="J411" s="525">
        <f>SUM($H$18:$H411)</f>
        <v>257912.99524975716</v>
      </c>
      <c r="K411" s="499"/>
    </row>
    <row r="412" spans="1:11" ht="12.75" customHeight="1">
      <c r="A412" s="523" t="str">
        <f>IF(AND('DLL Schedule'!Values_Entered=1,A411&lt;&gt;"",I411&gt;0),A411+1,"")</f>
        <v/>
      </c>
      <c r="B412" s="524" t="str">
        <f>IF('DLL Schedule'!Pay_Num&lt;&gt;"",DATE(YEAR('DLL Schedule'!Loan_Start),MONTH('DLL Schedule'!Loan_Start)+('DLL Schedule'!Pay_Num)*12/'DLL Schedule'!Num_Pmt_Per_Year,DAY('DLL Schedule'!Loan_Start)),"")</f>
        <v/>
      </c>
      <c r="C412" s="525" t="str">
        <f>IF('DLL Schedule'!Pay_Num&lt;&gt;"",I411,"")</f>
        <v/>
      </c>
      <c r="D412" s="525" t="str">
        <f>IF('DLL Schedule'!Pay_Num&lt;&gt;"",'DLL Schedule'!Scheduled_Monthly_Payment,"")</f>
        <v/>
      </c>
      <c r="E4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2" s="525" t="str">
        <f>IF('DLL Schedule'!Pay_Num&lt;&gt;"",IF('DLL Schedule'!Sched_Pay+'DLL Schedule'!Extra_Pay&lt;'DLL Schedule'!Beg_Bal,'DLL Schedule'!Sched_Pay+'DLL Schedule'!Extra_Pay,'DLL Schedule'!Beg_Bal),"")</f>
        <v/>
      </c>
      <c r="G412" s="525" t="str">
        <f>IF('DLL Schedule'!Pay_Num&lt;&gt;"",'DLL Schedule'!Total_Pay-'DLL Schedule'!Int,"")</f>
        <v/>
      </c>
      <c r="H412" s="525" t="str">
        <f>IF('DLL Schedule'!Pay_Num&lt;&gt;"",'DLL Schedule'!Beg_Bal*'DLL Schedule'!Interest_Rate/'DLL Schedule'!Num_Pmt_Per_Year,"")</f>
        <v/>
      </c>
      <c r="I412" s="525" t="str">
        <f>IF('DLL Schedule'!Pay_Num&lt;&gt;"",IF('DLL Schedule'!Sched_Pay+'DLL Schedule'!Extra_Pay&lt;'DLL Schedule'!Beg_Bal,'DLL Schedule'!Beg_Bal-'DLL Schedule'!Princ,0),"")</f>
        <v/>
      </c>
      <c r="J412" s="525">
        <f>SUM($H$18:$H412)</f>
        <v>257912.99524975716</v>
      </c>
      <c r="K412" s="499"/>
    </row>
    <row r="413" spans="1:11" ht="12.75" customHeight="1">
      <c r="A413" s="523" t="str">
        <f>IF(AND('DLL Schedule'!Values_Entered=1,A412&lt;&gt;"",I412&gt;0),A412+1,"")</f>
        <v/>
      </c>
      <c r="B413" s="524" t="str">
        <f>IF('DLL Schedule'!Pay_Num&lt;&gt;"",DATE(YEAR('DLL Schedule'!Loan_Start),MONTH('DLL Schedule'!Loan_Start)+('DLL Schedule'!Pay_Num)*12/'DLL Schedule'!Num_Pmt_Per_Year,DAY('DLL Schedule'!Loan_Start)),"")</f>
        <v/>
      </c>
      <c r="C413" s="525" t="str">
        <f>IF('DLL Schedule'!Pay_Num&lt;&gt;"",I412,"")</f>
        <v/>
      </c>
      <c r="D413" s="525" t="str">
        <f>IF('DLL Schedule'!Pay_Num&lt;&gt;"",'DLL Schedule'!Scheduled_Monthly_Payment,"")</f>
        <v/>
      </c>
      <c r="E4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3" s="525" t="str">
        <f>IF('DLL Schedule'!Pay_Num&lt;&gt;"",IF('DLL Schedule'!Sched_Pay+'DLL Schedule'!Extra_Pay&lt;'DLL Schedule'!Beg_Bal,'DLL Schedule'!Sched_Pay+'DLL Schedule'!Extra_Pay,'DLL Schedule'!Beg_Bal),"")</f>
        <v/>
      </c>
      <c r="G413" s="525" t="str">
        <f>IF('DLL Schedule'!Pay_Num&lt;&gt;"",'DLL Schedule'!Total_Pay-'DLL Schedule'!Int,"")</f>
        <v/>
      </c>
      <c r="H413" s="525" t="str">
        <f>IF('DLL Schedule'!Pay_Num&lt;&gt;"",'DLL Schedule'!Beg_Bal*'DLL Schedule'!Interest_Rate/'DLL Schedule'!Num_Pmt_Per_Year,"")</f>
        <v/>
      </c>
      <c r="I413" s="525" t="str">
        <f>IF('DLL Schedule'!Pay_Num&lt;&gt;"",IF('DLL Schedule'!Sched_Pay+'DLL Schedule'!Extra_Pay&lt;'DLL Schedule'!Beg_Bal,'DLL Schedule'!Beg_Bal-'DLL Schedule'!Princ,0),"")</f>
        <v/>
      </c>
      <c r="J413" s="525">
        <f>SUM($H$18:$H413)</f>
        <v>257912.99524975716</v>
      </c>
      <c r="K413" s="499"/>
    </row>
    <row r="414" spans="1:11" ht="12.75" customHeight="1">
      <c r="A414" s="523" t="str">
        <f>IF(AND('DLL Schedule'!Values_Entered=1,A413&lt;&gt;"",I413&gt;0),A413+1,"")</f>
        <v/>
      </c>
      <c r="B414" s="524" t="str">
        <f>IF('DLL Schedule'!Pay_Num&lt;&gt;"",DATE(YEAR('DLL Schedule'!Loan_Start),MONTH('DLL Schedule'!Loan_Start)+('DLL Schedule'!Pay_Num)*12/'DLL Schedule'!Num_Pmt_Per_Year,DAY('DLL Schedule'!Loan_Start)),"")</f>
        <v/>
      </c>
      <c r="C414" s="525" t="str">
        <f>IF('DLL Schedule'!Pay_Num&lt;&gt;"",I413,"")</f>
        <v/>
      </c>
      <c r="D414" s="525" t="str">
        <f>IF('DLL Schedule'!Pay_Num&lt;&gt;"",'DLL Schedule'!Scheduled_Monthly_Payment,"")</f>
        <v/>
      </c>
      <c r="E4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4" s="525" t="str">
        <f>IF('DLL Schedule'!Pay_Num&lt;&gt;"",IF('DLL Schedule'!Sched_Pay+'DLL Schedule'!Extra_Pay&lt;'DLL Schedule'!Beg_Bal,'DLL Schedule'!Sched_Pay+'DLL Schedule'!Extra_Pay,'DLL Schedule'!Beg_Bal),"")</f>
        <v/>
      </c>
      <c r="G414" s="525" t="str">
        <f>IF('DLL Schedule'!Pay_Num&lt;&gt;"",'DLL Schedule'!Total_Pay-'DLL Schedule'!Int,"")</f>
        <v/>
      </c>
      <c r="H414" s="525" t="str">
        <f>IF('DLL Schedule'!Pay_Num&lt;&gt;"",'DLL Schedule'!Beg_Bal*'DLL Schedule'!Interest_Rate/'DLL Schedule'!Num_Pmt_Per_Year,"")</f>
        <v/>
      </c>
      <c r="I414" s="525" t="str">
        <f>IF('DLL Schedule'!Pay_Num&lt;&gt;"",IF('DLL Schedule'!Sched_Pay+'DLL Schedule'!Extra_Pay&lt;'DLL Schedule'!Beg_Bal,'DLL Schedule'!Beg_Bal-'DLL Schedule'!Princ,0),"")</f>
        <v/>
      </c>
      <c r="J414" s="525">
        <f>SUM($H$18:$H414)</f>
        <v>257912.99524975716</v>
      </c>
      <c r="K414" s="499"/>
    </row>
    <row r="415" spans="1:11" ht="12.75" customHeight="1">
      <c r="A415" s="523" t="str">
        <f>IF(AND('DLL Schedule'!Values_Entered=1,A414&lt;&gt;"",I414&gt;0),A414+1,"")</f>
        <v/>
      </c>
      <c r="B415" s="524" t="str">
        <f>IF('DLL Schedule'!Pay_Num&lt;&gt;"",DATE(YEAR('DLL Schedule'!Loan_Start),MONTH('DLL Schedule'!Loan_Start)+('DLL Schedule'!Pay_Num)*12/'DLL Schedule'!Num_Pmt_Per_Year,DAY('DLL Schedule'!Loan_Start)),"")</f>
        <v/>
      </c>
      <c r="C415" s="525" t="str">
        <f>IF('DLL Schedule'!Pay_Num&lt;&gt;"",I414,"")</f>
        <v/>
      </c>
      <c r="D415" s="525" t="str">
        <f>IF('DLL Schedule'!Pay_Num&lt;&gt;"",'DLL Schedule'!Scheduled_Monthly_Payment,"")</f>
        <v/>
      </c>
      <c r="E4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5" s="525" t="str">
        <f>IF('DLL Schedule'!Pay_Num&lt;&gt;"",IF('DLL Schedule'!Sched_Pay+'DLL Schedule'!Extra_Pay&lt;'DLL Schedule'!Beg_Bal,'DLL Schedule'!Sched_Pay+'DLL Schedule'!Extra_Pay,'DLL Schedule'!Beg_Bal),"")</f>
        <v/>
      </c>
      <c r="G415" s="525" t="str">
        <f>IF('DLL Schedule'!Pay_Num&lt;&gt;"",'DLL Schedule'!Total_Pay-'DLL Schedule'!Int,"")</f>
        <v/>
      </c>
      <c r="H415" s="525" t="str">
        <f>IF('DLL Schedule'!Pay_Num&lt;&gt;"",'DLL Schedule'!Beg_Bal*'DLL Schedule'!Interest_Rate/'DLL Schedule'!Num_Pmt_Per_Year,"")</f>
        <v/>
      </c>
      <c r="I415" s="525" t="str">
        <f>IF('DLL Schedule'!Pay_Num&lt;&gt;"",IF('DLL Schedule'!Sched_Pay+'DLL Schedule'!Extra_Pay&lt;'DLL Schedule'!Beg_Bal,'DLL Schedule'!Beg_Bal-'DLL Schedule'!Princ,0),"")</f>
        <v/>
      </c>
      <c r="J415" s="525">
        <f>SUM($H$18:$H415)</f>
        <v>257912.99524975716</v>
      </c>
      <c r="K415" s="499"/>
    </row>
    <row r="416" spans="1:11" ht="12.75" customHeight="1">
      <c r="A416" s="523" t="str">
        <f>IF(AND('DLL Schedule'!Values_Entered=1,A415&lt;&gt;"",I415&gt;0),A415+1,"")</f>
        <v/>
      </c>
      <c r="B416" s="524" t="str">
        <f>IF('DLL Schedule'!Pay_Num&lt;&gt;"",DATE(YEAR('DLL Schedule'!Loan_Start),MONTH('DLL Schedule'!Loan_Start)+('DLL Schedule'!Pay_Num)*12/'DLL Schedule'!Num_Pmt_Per_Year,DAY('DLL Schedule'!Loan_Start)),"")</f>
        <v/>
      </c>
      <c r="C416" s="525" t="str">
        <f>IF('DLL Schedule'!Pay_Num&lt;&gt;"",I415,"")</f>
        <v/>
      </c>
      <c r="D416" s="525" t="str">
        <f>IF('DLL Schedule'!Pay_Num&lt;&gt;"",'DLL Schedule'!Scheduled_Monthly_Payment,"")</f>
        <v/>
      </c>
      <c r="E4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6" s="525" t="str">
        <f>IF('DLL Schedule'!Pay_Num&lt;&gt;"",IF('DLL Schedule'!Sched_Pay+'DLL Schedule'!Extra_Pay&lt;'DLL Schedule'!Beg_Bal,'DLL Schedule'!Sched_Pay+'DLL Schedule'!Extra_Pay,'DLL Schedule'!Beg_Bal),"")</f>
        <v/>
      </c>
      <c r="G416" s="525" t="str">
        <f>IF('DLL Schedule'!Pay_Num&lt;&gt;"",'DLL Schedule'!Total_Pay-'DLL Schedule'!Int,"")</f>
        <v/>
      </c>
      <c r="H416" s="525" t="str">
        <f>IF('DLL Schedule'!Pay_Num&lt;&gt;"",'DLL Schedule'!Beg_Bal*'DLL Schedule'!Interest_Rate/'DLL Schedule'!Num_Pmt_Per_Year,"")</f>
        <v/>
      </c>
      <c r="I416" s="525" t="str">
        <f>IF('DLL Schedule'!Pay_Num&lt;&gt;"",IF('DLL Schedule'!Sched_Pay+'DLL Schedule'!Extra_Pay&lt;'DLL Schedule'!Beg_Bal,'DLL Schedule'!Beg_Bal-'DLL Schedule'!Princ,0),"")</f>
        <v/>
      </c>
      <c r="J416" s="525">
        <f>SUM($H$18:$H416)</f>
        <v>257912.99524975716</v>
      </c>
      <c r="K416" s="499"/>
    </row>
    <row r="417" spans="1:11" ht="12.75" customHeight="1">
      <c r="A417" s="523" t="str">
        <f>IF(AND('DLL Schedule'!Values_Entered=1,A416&lt;&gt;"",I416&gt;0),A416+1,"")</f>
        <v/>
      </c>
      <c r="B417" s="524" t="str">
        <f>IF('DLL Schedule'!Pay_Num&lt;&gt;"",DATE(YEAR('DLL Schedule'!Loan_Start),MONTH('DLL Schedule'!Loan_Start)+('DLL Schedule'!Pay_Num)*12/'DLL Schedule'!Num_Pmt_Per_Year,DAY('DLL Schedule'!Loan_Start)),"")</f>
        <v/>
      </c>
      <c r="C417" s="525" t="str">
        <f>IF('DLL Schedule'!Pay_Num&lt;&gt;"",I416,"")</f>
        <v/>
      </c>
      <c r="D417" s="525" t="str">
        <f>IF('DLL Schedule'!Pay_Num&lt;&gt;"",'DLL Schedule'!Scheduled_Monthly_Payment,"")</f>
        <v/>
      </c>
      <c r="E4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7" s="525" t="str">
        <f>IF('DLL Schedule'!Pay_Num&lt;&gt;"",IF('DLL Schedule'!Sched_Pay+'DLL Schedule'!Extra_Pay&lt;'DLL Schedule'!Beg_Bal,'DLL Schedule'!Sched_Pay+'DLL Schedule'!Extra_Pay,'DLL Schedule'!Beg_Bal),"")</f>
        <v/>
      </c>
      <c r="G417" s="525" t="str">
        <f>IF('DLL Schedule'!Pay_Num&lt;&gt;"",'DLL Schedule'!Total_Pay-'DLL Schedule'!Int,"")</f>
        <v/>
      </c>
      <c r="H417" s="525" t="str">
        <f>IF('DLL Schedule'!Pay_Num&lt;&gt;"",'DLL Schedule'!Beg_Bal*'DLL Schedule'!Interest_Rate/'DLL Schedule'!Num_Pmt_Per_Year,"")</f>
        <v/>
      </c>
      <c r="I417" s="525" t="str">
        <f>IF('DLL Schedule'!Pay_Num&lt;&gt;"",IF('DLL Schedule'!Sched_Pay+'DLL Schedule'!Extra_Pay&lt;'DLL Schedule'!Beg_Bal,'DLL Schedule'!Beg_Bal-'DLL Schedule'!Princ,0),"")</f>
        <v/>
      </c>
      <c r="J417" s="525">
        <f>SUM($H$18:$H417)</f>
        <v>257912.99524975716</v>
      </c>
      <c r="K417" s="499"/>
    </row>
    <row r="418" spans="1:11" ht="12.75" customHeight="1">
      <c r="A418" s="523" t="str">
        <f>IF(AND('DLL Schedule'!Values_Entered=1,A417&lt;&gt;"",I417&gt;0),A417+1,"")</f>
        <v/>
      </c>
      <c r="B418" s="524" t="str">
        <f>IF('DLL Schedule'!Pay_Num&lt;&gt;"",DATE(YEAR('DLL Schedule'!Loan_Start),MONTH('DLL Schedule'!Loan_Start)+('DLL Schedule'!Pay_Num)*12/'DLL Schedule'!Num_Pmt_Per_Year,DAY('DLL Schedule'!Loan_Start)),"")</f>
        <v/>
      </c>
      <c r="C418" s="525" t="str">
        <f>IF('DLL Schedule'!Pay_Num&lt;&gt;"",I417,"")</f>
        <v/>
      </c>
      <c r="D418" s="525" t="str">
        <f>IF('DLL Schedule'!Pay_Num&lt;&gt;"",'DLL Schedule'!Scheduled_Monthly_Payment,"")</f>
        <v/>
      </c>
      <c r="E4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8" s="525" t="str">
        <f>IF('DLL Schedule'!Pay_Num&lt;&gt;"",IF('DLL Schedule'!Sched_Pay+'DLL Schedule'!Extra_Pay&lt;'DLL Schedule'!Beg_Bal,'DLL Schedule'!Sched_Pay+'DLL Schedule'!Extra_Pay,'DLL Schedule'!Beg_Bal),"")</f>
        <v/>
      </c>
      <c r="G418" s="525" t="str">
        <f>IF('DLL Schedule'!Pay_Num&lt;&gt;"",'DLL Schedule'!Total_Pay-'DLL Schedule'!Int,"")</f>
        <v/>
      </c>
      <c r="H418" s="525" t="str">
        <f>IF('DLL Schedule'!Pay_Num&lt;&gt;"",'DLL Schedule'!Beg_Bal*'DLL Schedule'!Interest_Rate/'DLL Schedule'!Num_Pmt_Per_Year,"")</f>
        <v/>
      </c>
      <c r="I418" s="525" t="str">
        <f>IF('DLL Schedule'!Pay_Num&lt;&gt;"",IF('DLL Schedule'!Sched_Pay+'DLL Schedule'!Extra_Pay&lt;'DLL Schedule'!Beg_Bal,'DLL Schedule'!Beg_Bal-'DLL Schedule'!Princ,0),"")</f>
        <v/>
      </c>
      <c r="J418" s="525">
        <f>SUM($H$18:$H418)</f>
        <v>257912.99524975716</v>
      </c>
      <c r="K418" s="499"/>
    </row>
    <row r="419" spans="1:11" ht="12.75" customHeight="1">
      <c r="A419" s="523" t="str">
        <f>IF(AND('DLL Schedule'!Values_Entered=1,A418&lt;&gt;"",I418&gt;0),A418+1,"")</f>
        <v/>
      </c>
      <c r="B419" s="524" t="str">
        <f>IF('DLL Schedule'!Pay_Num&lt;&gt;"",DATE(YEAR('DLL Schedule'!Loan_Start),MONTH('DLL Schedule'!Loan_Start)+('DLL Schedule'!Pay_Num)*12/'DLL Schedule'!Num_Pmt_Per_Year,DAY('DLL Schedule'!Loan_Start)),"")</f>
        <v/>
      </c>
      <c r="C419" s="525" t="str">
        <f>IF('DLL Schedule'!Pay_Num&lt;&gt;"",I418,"")</f>
        <v/>
      </c>
      <c r="D419" s="525" t="str">
        <f>IF('DLL Schedule'!Pay_Num&lt;&gt;"",'DLL Schedule'!Scheduled_Monthly_Payment,"")</f>
        <v/>
      </c>
      <c r="E4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9" s="525" t="str">
        <f>IF('DLL Schedule'!Pay_Num&lt;&gt;"",IF('DLL Schedule'!Sched_Pay+'DLL Schedule'!Extra_Pay&lt;'DLL Schedule'!Beg_Bal,'DLL Schedule'!Sched_Pay+'DLL Schedule'!Extra_Pay,'DLL Schedule'!Beg_Bal),"")</f>
        <v/>
      </c>
      <c r="G419" s="525" t="str">
        <f>IF('DLL Schedule'!Pay_Num&lt;&gt;"",'DLL Schedule'!Total_Pay-'DLL Schedule'!Int,"")</f>
        <v/>
      </c>
      <c r="H419" s="525" t="str">
        <f>IF('DLL Schedule'!Pay_Num&lt;&gt;"",'DLL Schedule'!Beg_Bal*'DLL Schedule'!Interest_Rate/'DLL Schedule'!Num_Pmt_Per_Year,"")</f>
        <v/>
      </c>
      <c r="I419" s="525" t="str">
        <f>IF('DLL Schedule'!Pay_Num&lt;&gt;"",IF('DLL Schedule'!Sched_Pay+'DLL Schedule'!Extra_Pay&lt;'DLL Schedule'!Beg_Bal,'DLL Schedule'!Beg_Bal-'DLL Schedule'!Princ,0),"")</f>
        <v/>
      </c>
      <c r="J419" s="525">
        <f>SUM($H$18:$H419)</f>
        <v>257912.99524975716</v>
      </c>
      <c r="K419" s="499"/>
    </row>
    <row r="420" spans="1:11" ht="12.75" customHeight="1">
      <c r="A420" s="523" t="str">
        <f>IF(AND('DLL Schedule'!Values_Entered=1,A419&lt;&gt;"",I419&gt;0),A419+1,"")</f>
        <v/>
      </c>
      <c r="B420" s="524" t="str">
        <f>IF('DLL Schedule'!Pay_Num&lt;&gt;"",DATE(YEAR('DLL Schedule'!Loan_Start),MONTH('DLL Schedule'!Loan_Start)+('DLL Schedule'!Pay_Num)*12/'DLL Schedule'!Num_Pmt_Per_Year,DAY('DLL Schedule'!Loan_Start)),"")</f>
        <v/>
      </c>
      <c r="C420" s="525" t="str">
        <f>IF('DLL Schedule'!Pay_Num&lt;&gt;"",I419,"")</f>
        <v/>
      </c>
      <c r="D420" s="525" t="str">
        <f>IF('DLL Schedule'!Pay_Num&lt;&gt;"",'DLL Schedule'!Scheduled_Monthly_Payment,"")</f>
        <v/>
      </c>
      <c r="E4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0" s="525" t="str">
        <f>IF('DLL Schedule'!Pay_Num&lt;&gt;"",IF('DLL Schedule'!Sched_Pay+'DLL Schedule'!Extra_Pay&lt;'DLL Schedule'!Beg_Bal,'DLL Schedule'!Sched_Pay+'DLL Schedule'!Extra_Pay,'DLL Schedule'!Beg_Bal),"")</f>
        <v/>
      </c>
      <c r="G420" s="525" t="str">
        <f>IF('DLL Schedule'!Pay_Num&lt;&gt;"",'DLL Schedule'!Total_Pay-'DLL Schedule'!Int,"")</f>
        <v/>
      </c>
      <c r="H420" s="525" t="str">
        <f>IF('DLL Schedule'!Pay_Num&lt;&gt;"",'DLL Schedule'!Beg_Bal*'DLL Schedule'!Interest_Rate/'DLL Schedule'!Num_Pmt_Per_Year,"")</f>
        <v/>
      </c>
      <c r="I420" s="525" t="str">
        <f>IF('DLL Schedule'!Pay_Num&lt;&gt;"",IF('DLL Schedule'!Sched_Pay+'DLL Schedule'!Extra_Pay&lt;'DLL Schedule'!Beg_Bal,'DLL Schedule'!Beg_Bal-'DLL Schedule'!Princ,0),"")</f>
        <v/>
      </c>
      <c r="J420" s="525">
        <f>SUM($H$18:$H420)</f>
        <v>257912.99524975716</v>
      </c>
      <c r="K420" s="499"/>
    </row>
    <row r="421" spans="1:11" ht="12.75" customHeight="1">
      <c r="A421" s="523" t="str">
        <f>IF(AND('DLL Schedule'!Values_Entered=1,A420&lt;&gt;"",I420&gt;0),A420+1,"")</f>
        <v/>
      </c>
      <c r="B421" s="524" t="str">
        <f>IF('DLL Schedule'!Pay_Num&lt;&gt;"",DATE(YEAR('DLL Schedule'!Loan_Start),MONTH('DLL Schedule'!Loan_Start)+('DLL Schedule'!Pay_Num)*12/'DLL Schedule'!Num_Pmt_Per_Year,DAY('DLL Schedule'!Loan_Start)),"")</f>
        <v/>
      </c>
      <c r="C421" s="525" t="str">
        <f>IF('DLL Schedule'!Pay_Num&lt;&gt;"",I420,"")</f>
        <v/>
      </c>
      <c r="D421" s="525" t="str">
        <f>IF('DLL Schedule'!Pay_Num&lt;&gt;"",'DLL Schedule'!Scheduled_Monthly_Payment,"")</f>
        <v/>
      </c>
      <c r="E4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1" s="525" t="str">
        <f>IF('DLL Schedule'!Pay_Num&lt;&gt;"",IF('DLL Schedule'!Sched_Pay+'DLL Schedule'!Extra_Pay&lt;'DLL Schedule'!Beg_Bal,'DLL Schedule'!Sched_Pay+'DLL Schedule'!Extra_Pay,'DLL Schedule'!Beg_Bal),"")</f>
        <v/>
      </c>
      <c r="G421" s="525" t="str">
        <f>IF('DLL Schedule'!Pay_Num&lt;&gt;"",'DLL Schedule'!Total_Pay-'DLL Schedule'!Int,"")</f>
        <v/>
      </c>
      <c r="H421" s="525" t="str">
        <f>IF('DLL Schedule'!Pay_Num&lt;&gt;"",'DLL Schedule'!Beg_Bal*'DLL Schedule'!Interest_Rate/'DLL Schedule'!Num_Pmt_Per_Year,"")</f>
        <v/>
      </c>
      <c r="I421" s="525" t="str">
        <f>IF('DLL Schedule'!Pay_Num&lt;&gt;"",IF('DLL Schedule'!Sched_Pay+'DLL Schedule'!Extra_Pay&lt;'DLL Schedule'!Beg_Bal,'DLL Schedule'!Beg_Bal-'DLL Schedule'!Princ,0),"")</f>
        <v/>
      </c>
      <c r="J421" s="525">
        <f>SUM($H$18:$H421)</f>
        <v>257912.99524975716</v>
      </c>
      <c r="K421" s="499"/>
    </row>
    <row r="422" spans="1:11" ht="12.75" customHeight="1">
      <c r="A422" s="523" t="str">
        <f>IF(AND('DLL Schedule'!Values_Entered=1,A421&lt;&gt;"",I421&gt;0),A421+1,"")</f>
        <v/>
      </c>
      <c r="B422" s="524" t="str">
        <f>IF('DLL Schedule'!Pay_Num&lt;&gt;"",DATE(YEAR('DLL Schedule'!Loan_Start),MONTH('DLL Schedule'!Loan_Start)+('DLL Schedule'!Pay_Num)*12/'DLL Schedule'!Num_Pmt_Per_Year,DAY('DLL Schedule'!Loan_Start)),"")</f>
        <v/>
      </c>
      <c r="C422" s="525" t="str">
        <f>IF('DLL Schedule'!Pay_Num&lt;&gt;"",I421,"")</f>
        <v/>
      </c>
      <c r="D422" s="525" t="str">
        <f>IF('DLL Schedule'!Pay_Num&lt;&gt;"",'DLL Schedule'!Scheduled_Monthly_Payment,"")</f>
        <v/>
      </c>
      <c r="E4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2" s="525" t="str">
        <f>IF('DLL Schedule'!Pay_Num&lt;&gt;"",IF('DLL Schedule'!Sched_Pay+'DLL Schedule'!Extra_Pay&lt;'DLL Schedule'!Beg_Bal,'DLL Schedule'!Sched_Pay+'DLL Schedule'!Extra_Pay,'DLL Schedule'!Beg_Bal),"")</f>
        <v/>
      </c>
      <c r="G422" s="525" t="str">
        <f>IF('DLL Schedule'!Pay_Num&lt;&gt;"",'DLL Schedule'!Total_Pay-'DLL Schedule'!Int,"")</f>
        <v/>
      </c>
      <c r="H422" s="525" t="str">
        <f>IF('DLL Schedule'!Pay_Num&lt;&gt;"",'DLL Schedule'!Beg_Bal*'DLL Schedule'!Interest_Rate/'DLL Schedule'!Num_Pmt_Per_Year,"")</f>
        <v/>
      </c>
      <c r="I422" s="525" t="str">
        <f>IF('DLL Schedule'!Pay_Num&lt;&gt;"",IF('DLL Schedule'!Sched_Pay+'DLL Schedule'!Extra_Pay&lt;'DLL Schedule'!Beg_Bal,'DLL Schedule'!Beg_Bal-'DLL Schedule'!Princ,0),"")</f>
        <v/>
      </c>
      <c r="J422" s="525">
        <f>SUM($H$18:$H422)</f>
        <v>257912.99524975716</v>
      </c>
      <c r="K422" s="499"/>
    </row>
    <row r="423" spans="1:11" ht="12.75" customHeight="1">
      <c r="A423" s="523" t="str">
        <f>IF(AND('DLL Schedule'!Values_Entered=1,A422&lt;&gt;"",I422&gt;0),A422+1,"")</f>
        <v/>
      </c>
      <c r="B423" s="524" t="str">
        <f>IF('DLL Schedule'!Pay_Num&lt;&gt;"",DATE(YEAR('DLL Schedule'!Loan_Start),MONTH('DLL Schedule'!Loan_Start)+('DLL Schedule'!Pay_Num)*12/'DLL Schedule'!Num_Pmt_Per_Year,DAY('DLL Schedule'!Loan_Start)),"")</f>
        <v/>
      </c>
      <c r="C423" s="525" t="str">
        <f>IF('DLL Schedule'!Pay_Num&lt;&gt;"",I422,"")</f>
        <v/>
      </c>
      <c r="D423" s="525" t="str">
        <f>IF('DLL Schedule'!Pay_Num&lt;&gt;"",'DLL Schedule'!Scheduled_Monthly_Payment,"")</f>
        <v/>
      </c>
      <c r="E4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3" s="525" t="str">
        <f>IF('DLL Schedule'!Pay_Num&lt;&gt;"",IF('DLL Schedule'!Sched_Pay+'DLL Schedule'!Extra_Pay&lt;'DLL Schedule'!Beg_Bal,'DLL Schedule'!Sched_Pay+'DLL Schedule'!Extra_Pay,'DLL Schedule'!Beg_Bal),"")</f>
        <v/>
      </c>
      <c r="G423" s="525" t="str">
        <f>IF('DLL Schedule'!Pay_Num&lt;&gt;"",'DLL Schedule'!Total_Pay-'DLL Schedule'!Int,"")</f>
        <v/>
      </c>
      <c r="H423" s="525" t="str">
        <f>IF('DLL Schedule'!Pay_Num&lt;&gt;"",'DLL Schedule'!Beg_Bal*'DLL Schedule'!Interest_Rate/'DLL Schedule'!Num_Pmt_Per_Year,"")</f>
        <v/>
      </c>
      <c r="I423" s="525" t="str">
        <f>IF('DLL Schedule'!Pay_Num&lt;&gt;"",IF('DLL Schedule'!Sched_Pay+'DLL Schedule'!Extra_Pay&lt;'DLL Schedule'!Beg_Bal,'DLL Schedule'!Beg_Bal-'DLL Schedule'!Princ,0),"")</f>
        <v/>
      </c>
      <c r="J423" s="525">
        <f>SUM($H$18:$H423)</f>
        <v>257912.99524975716</v>
      </c>
      <c r="K423" s="499"/>
    </row>
    <row r="424" spans="1:11" ht="12.75" customHeight="1">
      <c r="A424" s="523" t="str">
        <f>IF(AND('DLL Schedule'!Values_Entered=1,A423&lt;&gt;"",I423&gt;0),A423+1,"")</f>
        <v/>
      </c>
      <c r="B424" s="524" t="str">
        <f>IF('DLL Schedule'!Pay_Num&lt;&gt;"",DATE(YEAR('DLL Schedule'!Loan_Start),MONTH('DLL Schedule'!Loan_Start)+('DLL Schedule'!Pay_Num)*12/'DLL Schedule'!Num_Pmt_Per_Year,DAY('DLL Schedule'!Loan_Start)),"")</f>
        <v/>
      </c>
      <c r="C424" s="525" t="str">
        <f>IF('DLL Schedule'!Pay_Num&lt;&gt;"",I423,"")</f>
        <v/>
      </c>
      <c r="D424" s="525" t="str">
        <f>IF('DLL Schedule'!Pay_Num&lt;&gt;"",'DLL Schedule'!Scheduled_Monthly_Payment,"")</f>
        <v/>
      </c>
      <c r="E4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4" s="525" t="str">
        <f>IF('DLL Schedule'!Pay_Num&lt;&gt;"",IF('DLL Schedule'!Sched_Pay+'DLL Schedule'!Extra_Pay&lt;'DLL Schedule'!Beg_Bal,'DLL Schedule'!Sched_Pay+'DLL Schedule'!Extra_Pay,'DLL Schedule'!Beg_Bal),"")</f>
        <v/>
      </c>
      <c r="G424" s="525" t="str">
        <f>IF('DLL Schedule'!Pay_Num&lt;&gt;"",'DLL Schedule'!Total_Pay-'DLL Schedule'!Int,"")</f>
        <v/>
      </c>
      <c r="H424" s="525" t="str">
        <f>IF('DLL Schedule'!Pay_Num&lt;&gt;"",'DLL Schedule'!Beg_Bal*'DLL Schedule'!Interest_Rate/'DLL Schedule'!Num_Pmt_Per_Year,"")</f>
        <v/>
      </c>
      <c r="I424" s="525" t="str">
        <f>IF('DLL Schedule'!Pay_Num&lt;&gt;"",IF('DLL Schedule'!Sched_Pay+'DLL Schedule'!Extra_Pay&lt;'DLL Schedule'!Beg_Bal,'DLL Schedule'!Beg_Bal-'DLL Schedule'!Princ,0),"")</f>
        <v/>
      </c>
      <c r="J424" s="525">
        <f>SUM($H$18:$H424)</f>
        <v>257912.99524975716</v>
      </c>
      <c r="K424" s="499"/>
    </row>
    <row r="425" spans="1:11" ht="12.75" customHeight="1">
      <c r="A425" s="523" t="str">
        <f>IF(AND('DLL Schedule'!Values_Entered=1,A424&lt;&gt;"",I424&gt;0),A424+1,"")</f>
        <v/>
      </c>
      <c r="B425" s="524" t="str">
        <f>IF('DLL Schedule'!Pay_Num&lt;&gt;"",DATE(YEAR('DLL Schedule'!Loan_Start),MONTH('DLL Schedule'!Loan_Start)+('DLL Schedule'!Pay_Num)*12/'DLL Schedule'!Num_Pmt_Per_Year,DAY('DLL Schedule'!Loan_Start)),"")</f>
        <v/>
      </c>
      <c r="C425" s="525" t="str">
        <f>IF('DLL Schedule'!Pay_Num&lt;&gt;"",I424,"")</f>
        <v/>
      </c>
      <c r="D425" s="525" t="str">
        <f>IF('DLL Schedule'!Pay_Num&lt;&gt;"",'DLL Schedule'!Scheduled_Monthly_Payment,"")</f>
        <v/>
      </c>
      <c r="E4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5" s="525" t="str">
        <f>IF('DLL Schedule'!Pay_Num&lt;&gt;"",IF('DLL Schedule'!Sched_Pay+'DLL Schedule'!Extra_Pay&lt;'DLL Schedule'!Beg_Bal,'DLL Schedule'!Sched_Pay+'DLL Schedule'!Extra_Pay,'DLL Schedule'!Beg_Bal),"")</f>
        <v/>
      </c>
      <c r="G425" s="525" t="str">
        <f>IF('DLL Schedule'!Pay_Num&lt;&gt;"",'DLL Schedule'!Total_Pay-'DLL Schedule'!Int,"")</f>
        <v/>
      </c>
      <c r="H425" s="525" t="str">
        <f>IF('DLL Schedule'!Pay_Num&lt;&gt;"",'DLL Schedule'!Beg_Bal*'DLL Schedule'!Interest_Rate/'DLL Schedule'!Num_Pmt_Per_Year,"")</f>
        <v/>
      </c>
      <c r="I425" s="525" t="str">
        <f>IF('DLL Schedule'!Pay_Num&lt;&gt;"",IF('DLL Schedule'!Sched_Pay+'DLL Schedule'!Extra_Pay&lt;'DLL Schedule'!Beg_Bal,'DLL Schedule'!Beg_Bal-'DLL Schedule'!Princ,0),"")</f>
        <v/>
      </c>
      <c r="J425" s="525">
        <f>SUM($H$18:$H425)</f>
        <v>257912.99524975716</v>
      </c>
      <c r="K425" s="499"/>
    </row>
    <row r="426" spans="1:11" ht="12.75" customHeight="1">
      <c r="A426" s="523" t="str">
        <f>IF(AND('DLL Schedule'!Values_Entered=1,A425&lt;&gt;"",I425&gt;0),A425+1,"")</f>
        <v/>
      </c>
      <c r="B426" s="524" t="str">
        <f>IF('DLL Schedule'!Pay_Num&lt;&gt;"",DATE(YEAR('DLL Schedule'!Loan_Start),MONTH('DLL Schedule'!Loan_Start)+('DLL Schedule'!Pay_Num)*12/'DLL Schedule'!Num_Pmt_Per_Year,DAY('DLL Schedule'!Loan_Start)),"")</f>
        <v/>
      </c>
      <c r="C426" s="525" t="str">
        <f>IF('DLL Schedule'!Pay_Num&lt;&gt;"",I425,"")</f>
        <v/>
      </c>
      <c r="D426" s="525" t="str">
        <f>IF('DLL Schedule'!Pay_Num&lt;&gt;"",'DLL Schedule'!Scheduled_Monthly_Payment,"")</f>
        <v/>
      </c>
      <c r="E4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6" s="525" t="str">
        <f>IF('DLL Schedule'!Pay_Num&lt;&gt;"",IF('DLL Schedule'!Sched_Pay+'DLL Schedule'!Extra_Pay&lt;'DLL Schedule'!Beg_Bal,'DLL Schedule'!Sched_Pay+'DLL Schedule'!Extra_Pay,'DLL Schedule'!Beg_Bal),"")</f>
        <v/>
      </c>
      <c r="G426" s="525" t="str">
        <f>IF('DLL Schedule'!Pay_Num&lt;&gt;"",'DLL Schedule'!Total_Pay-'DLL Schedule'!Int,"")</f>
        <v/>
      </c>
      <c r="H426" s="525" t="str">
        <f>IF('DLL Schedule'!Pay_Num&lt;&gt;"",'DLL Schedule'!Beg_Bal*'DLL Schedule'!Interest_Rate/'DLL Schedule'!Num_Pmt_Per_Year,"")</f>
        <v/>
      </c>
      <c r="I426" s="525" t="str">
        <f>IF('DLL Schedule'!Pay_Num&lt;&gt;"",IF('DLL Schedule'!Sched_Pay+'DLL Schedule'!Extra_Pay&lt;'DLL Schedule'!Beg_Bal,'DLL Schedule'!Beg_Bal-'DLL Schedule'!Princ,0),"")</f>
        <v/>
      </c>
      <c r="J426" s="525">
        <f>SUM($H$18:$H426)</f>
        <v>257912.99524975716</v>
      </c>
      <c r="K426" s="499"/>
    </row>
    <row r="427" spans="1:11" ht="12.75" customHeight="1">
      <c r="A427" s="523" t="str">
        <f>IF(AND('DLL Schedule'!Values_Entered=1,A426&lt;&gt;"",I426&gt;0),A426+1,"")</f>
        <v/>
      </c>
      <c r="B427" s="524" t="str">
        <f>IF('DLL Schedule'!Pay_Num&lt;&gt;"",DATE(YEAR('DLL Schedule'!Loan_Start),MONTH('DLL Schedule'!Loan_Start)+('DLL Schedule'!Pay_Num)*12/'DLL Schedule'!Num_Pmt_Per_Year,DAY('DLL Schedule'!Loan_Start)),"")</f>
        <v/>
      </c>
      <c r="C427" s="525" t="str">
        <f>IF('DLL Schedule'!Pay_Num&lt;&gt;"",I426,"")</f>
        <v/>
      </c>
      <c r="D427" s="525" t="str">
        <f>IF('DLL Schedule'!Pay_Num&lt;&gt;"",'DLL Schedule'!Scheduled_Monthly_Payment,"")</f>
        <v/>
      </c>
      <c r="E4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7" s="525" t="str">
        <f>IF('DLL Schedule'!Pay_Num&lt;&gt;"",IF('DLL Schedule'!Sched_Pay+'DLL Schedule'!Extra_Pay&lt;'DLL Schedule'!Beg_Bal,'DLL Schedule'!Sched_Pay+'DLL Schedule'!Extra_Pay,'DLL Schedule'!Beg_Bal),"")</f>
        <v/>
      </c>
      <c r="G427" s="525" t="str">
        <f>IF('DLL Schedule'!Pay_Num&lt;&gt;"",'DLL Schedule'!Total_Pay-'DLL Schedule'!Int,"")</f>
        <v/>
      </c>
      <c r="H427" s="525" t="str">
        <f>IF('DLL Schedule'!Pay_Num&lt;&gt;"",'DLL Schedule'!Beg_Bal*'DLL Schedule'!Interest_Rate/'DLL Schedule'!Num_Pmt_Per_Year,"")</f>
        <v/>
      </c>
      <c r="I427" s="525" t="str">
        <f>IF('DLL Schedule'!Pay_Num&lt;&gt;"",IF('DLL Schedule'!Sched_Pay+'DLL Schedule'!Extra_Pay&lt;'DLL Schedule'!Beg_Bal,'DLL Schedule'!Beg_Bal-'DLL Schedule'!Princ,0),"")</f>
        <v/>
      </c>
      <c r="J427" s="525">
        <f>SUM($H$18:$H427)</f>
        <v>257912.99524975716</v>
      </c>
      <c r="K427" s="499"/>
    </row>
    <row r="428" spans="1:11" ht="12.75" customHeight="1">
      <c r="A428" s="523" t="str">
        <f>IF(AND('DLL Schedule'!Values_Entered=1,A427&lt;&gt;"",I427&gt;0),A427+1,"")</f>
        <v/>
      </c>
      <c r="B428" s="524" t="str">
        <f>IF('DLL Schedule'!Pay_Num&lt;&gt;"",DATE(YEAR('DLL Schedule'!Loan_Start),MONTH('DLL Schedule'!Loan_Start)+('DLL Schedule'!Pay_Num)*12/'DLL Schedule'!Num_Pmt_Per_Year,DAY('DLL Schedule'!Loan_Start)),"")</f>
        <v/>
      </c>
      <c r="C428" s="525" t="str">
        <f>IF('DLL Schedule'!Pay_Num&lt;&gt;"",I427,"")</f>
        <v/>
      </c>
      <c r="D428" s="525" t="str">
        <f>IF('DLL Schedule'!Pay_Num&lt;&gt;"",'DLL Schedule'!Scheduled_Monthly_Payment,"")</f>
        <v/>
      </c>
      <c r="E4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8" s="525" t="str">
        <f>IF('DLL Schedule'!Pay_Num&lt;&gt;"",IF('DLL Schedule'!Sched_Pay+'DLL Schedule'!Extra_Pay&lt;'DLL Schedule'!Beg_Bal,'DLL Schedule'!Sched_Pay+'DLL Schedule'!Extra_Pay,'DLL Schedule'!Beg_Bal),"")</f>
        <v/>
      </c>
      <c r="G428" s="525" t="str">
        <f>IF('DLL Schedule'!Pay_Num&lt;&gt;"",'DLL Schedule'!Total_Pay-'DLL Schedule'!Int,"")</f>
        <v/>
      </c>
      <c r="H428" s="525" t="str">
        <f>IF('DLL Schedule'!Pay_Num&lt;&gt;"",'DLL Schedule'!Beg_Bal*'DLL Schedule'!Interest_Rate/'DLL Schedule'!Num_Pmt_Per_Year,"")</f>
        <v/>
      </c>
      <c r="I428" s="525" t="str">
        <f>IF('DLL Schedule'!Pay_Num&lt;&gt;"",IF('DLL Schedule'!Sched_Pay+'DLL Schedule'!Extra_Pay&lt;'DLL Schedule'!Beg_Bal,'DLL Schedule'!Beg_Bal-'DLL Schedule'!Princ,0),"")</f>
        <v/>
      </c>
      <c r="J428" s="525">
        <f>SUM($H$18:$H428)</f>
        <v>257912.99524975716</v>
      </c>
      <c r="K428" s="499"/>
    </row>
    <row r="429" spans="1:11" ht="12.75" customHeight="1">
      <c r="A429" s="523" t="str">
        <f>IF(AND('DLL Schedule'!Values_Entered=1,A428&lt;&gt;"",I428&gt;0),A428+1,"")</f>
        <v/>
      </c>
      <c r="B429" s="524" t="str">
        <f>IF('DLL Schedule'!Pay_Num&lt;&gt;"",DATE(YEAR('DLL Schedule'!Loan_Start),MONTH('DLL Schedule'!Loan_Start)+('DLL Schedule'!Pay_Num)*12/'DLL Schedule'!Num_Pmt_Per_Year,DAY('DLL Schedule'!Loan_Start)),"")</f>
        <v/>
      </c>
      <c r="C429" s="525" t="str">
        <f>IF('DLL Schedule'!Pay_Num&lt;&gt;"",I428,"")</f>
        <v/>
      </c>
      <c r="D429" s="525" t="str">
        <f>IF('DLL Schedule'!Pay_Num&lt;&gt;"",'DLL Schedule'!Scheduled_Monthly_Payment,"")</f>
        <v/>
      </c>
      <c r="E4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9" s="525" t="str">
        <f>IF('DLL Schedule'!Pay_Num&lt;&gt;"",IF('DLL Schedule'!Sched_Pay+'DLL Schedule'!Extra_Pay&lt;'DLL Schedule'!Beg_Bal,'DLL Schedule'!Sched_Pay+'DLL Schedule'!Extra_Pay,'DLL Schedule'!Beg_Bal),"")</f>
        <v/>
      </c>
      <c r="G429" s="525" t="str">
        <f>IF('DLL Schedule'!Pay_Num&lt;&gt;"",'DLL Schedule'!Total_Pay-'DLL Schedule'!Int,"")</f>
        <v/>
      </c>
      <c r="H429" s="525" t="str">
        <f>IF('DLL Schedule'!Pay_Num&lt;&gt;"",'DLL Schedule'!Beg_Bal*'DLL Schedule'!Interest_Rate/'DLL Schedule'!Num_Pmt_Per_Year,"")</f>
        <v/>
      </c>
      <c r="I429" s="525" t="str">
        <f>IF('DLL Schedule'!Pay_Num&lt;&gt;"",IF('DLL Schedule'!Sched_Pay+'DLL Schedule'!Extra_Pay&lt;'DLL Schedule'!Beg_Bal,'DLL Schedule'!Beg_Bal-'DLL Schedule'!Princ,0),"")</f>
        <v/>
      </c>
      <c r="J429" s="525">
        <f>SUM($H$18:$H429)</f>
        <v>257912.99524975716</v>
      </c>
      <c r="K429" s="499"/>
    </row>
    <row r="430" spans="1:11" ht="12.75" customHeight="1">
      <c r="A430" s="523" t="str">
        <f>IF(AND('DLL Schedule'!Values_Entered=1,A429&lt;&gt;"",I429&gt;0),A429+1,"")</f>
        <v/>
      </c>
      <c r="B430" s="524" t="str">
        <f>IF('DLL Schedule'!Pay_Num&lt;&gt;"",DATE(YEAR('DLL Schedule'!Loan_Start),MONTH('DLL Schedule'!Loan_Start)+('DLL Schedule'!Pay_Num)*12/'DLL Schedule'!Num_Pmt_Per_Year,DAY('DLL Schedule'!Loan_Start)),"")</f>
        <v/>
      </c>
      <c r="C430" s="525" t="str">
        <f>IF('DLL Schedule'!Pay_Num&lt;&gt;"",I429,"")</f>
        <v/>
      </c>
      <c r="D430" s="525" t="str">
        <f>IF('DLL Schedule'!Pay_Num&lt;&gt;"",'DLL Schedule'!Scheduled_Monthly_Payment,"")</f>
        <v/>
      </c>
      <c r="E4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0" s="525" t="str">
        <f>IF('DLL Schedule'!Pay_Num&lt;&gt;"",IF('DLL Schedule'!Sched_Pay+'DLL Schedule'!Extra_Pay&lt;'DLL Schedule'!Beg_Bal,'DLL Schedule'!Sched_Pay+'DLL Schedule'!Extra_Pay,'DLL Schedule'!Beg_Bal),"")</f>
        <v/>
      </c>
      <c r="G430" s="525" t="str">
        <f>IF('DLL Schedule'!Pay_Num&lt;&gt;"",'DLL Schedule'!Total_Pay-'DLL Schedule'!Int,"")</f>
        <v/>
      </c>
      <c r="H430" s="525" t="str">
        <f>IF('DLL Schedule'!Pay_Num&lt;&gt;"",'DLL Schedule'!Beg_Bal*'DLL Schedule'!Interest_Rate/'DLL Schedule'!Num_Pmt_Per_Year,"")</f>
        <v/>
      </c>
      <c r="I430" s="525" t="str">
        <f>IF('DLL Schedule'!Pay_Num&lt;&gt;"",IF('DLL Schedule'!Sched_Pay+'DLL Schedule'!Extra_Pay&lt;'DLL Schedule'!Beg_Bal,'DLL Schedule'!Beg_Bal-'DLL Schedule'!Princ,0),"")</f>
        <v/>
      </c>
      <c r="J430" s="525">
        <f>SUM($H$18:$H430)</f>
        <v>257912.99524975716</v>
      </c>
      <c r="K430" s="499"/>
    </row>
    <row r="431" spans="1:11" ht="12.75" customHeight="1">
      <c r="A431" s="523" t="str">
        <f>IF(AND('DLL Schedule'!Values_Entered=1,A430&lt;&gt;"",I430&gt;0),A430+1,"")</f>
        <v/>
      </c>
      <c r="B431" s="524" t="str">
        <f>IF('DLL Schedule'!Pay_Num&lt;&gt;"",DATE(YEAR('DLL Schedule'!Loan_Start),MONTH('DLL Schedule'!Loan_Start)+('DLL Schedule'!Pay_Num)*12/'DLL Schedule'!Num_Pmt_Per_Year,DAY('DLL Schedule'!Loan_Start)),"")</f>
        <v/>
      </c>
      <c r="C431" s="525" t="str">
        <f>IF('DLL Schedule'!Pay_Num&lt;&gt;"",I430,"")</f>
        <v/>
      </c>
      <c r="D431" s="525" t="str">
        <f>IF('DLL Schedule'!Pay_Num&lt;&gt;"",'DLL Schedule'!Scheduled_Monthly_Payment,"")</f>
        <v/>
      </c>
      <c r="E4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1" s="525" t="str">
        <f>IF('DLL Schedule'!Pay_Num&lt;&gt;"",IF('DLL Schedule'!Sched_Pay+'DLL Schedule'!Extra_Pay&lt;'DLL Schedule'!Beg_Bal,'DLL Schedule'!Sched_Pay+'DLL Schedule'!Extra_Pay,'DLL Schedule'!Beg_Bal),"")</f>
        <v/>
      </c>
      <c r="G431" s="525" t="str">
        <f>IF('DLL Schedule'!Pay_Num&lt;&gt;"",'DLL Schedule'!Total_Pay-'DLL Schedule'!Int,"")</f>
        <v/>
      </c>
      <c r="H431" s="525" t="str">
        <f>IF('DLL Schedule'!Pay_Num&lt;&gt;"",'DLL Schedule'!Beg_Bal*'DLL Schedule'!Interest_Rate/'DLL Schedule'!Num_Pmt_Per_Year,"")</f>
        <v/>
      </c>
      <c r="I431" s="525" t="str">
        <f>IF('DLL Schedule'!Pay_Num&lt;&gt;"",IF('DLL Schedule'!Sched_Pay+'DLL Schedule'!Extra_Pay&lt;'DLL Schedule'!Beg_Bal,'DLL Schedule'!Beg_Bal-'DLL Schedule'!Princ,0),"")</f>
        <v/>
      </c>
      <c r="J431" s="525">
        <f>SUM($H$18:$H431)</f>
        <v>257912.99524975716</v>
      </c>
      <c r="K431" s="499"/>
    </row>
    <row r="432" spans="1:11" ht="12.75" customHeight="1">
      <c r="A432" s="523" t="str">
        <f>IF(AND('DLL Schedule'!Values_Entered=1,A431&lt;&gt;"",I431&gt;0),A431+1,"")</f>
        <v/>
      </c>
      <c r="B432" s="524" t="str">
        <f>IF('DLL Schedule'!Pay_Num&lt;&gt;"",DATE(YEAR('DLL Schedule'!Loan_Start),MONTH('DLL Schedule'!Loan_Start)+('DLL Schedule'!Pay_Num)*12/'DLL Schedule'!Num_Pmt_Per_Year,DAY('DLL Schedule'!Loan_Start)),"")</f>
        <v/>
      </c>
      <c r="C432" s="525" t="str">
        <f>IF('DLL Schedule'!Pay_Num&lt;&gt;"",I431,"")</f>
        <v/>
      </c>
      <c r="D432" s="525" t="str">
        <f>IF('DLL Schedule'!Pay_Num&lt;&gt;"",'DLL Schedule'!Scheduled_Monthly_Payment,"")</f>
        <v/>
      </c>
      <c r="E4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2" s="525" t="str">
        <f>IF('DLL Schedule'!Pay_Num&lt;&gt;"",IF('DLL Schedule'!Sched_Pay+'DLL Schedule'!Extra_Pay&lt;'DLL Schedule'!Beg_Bal,'DLL Schedule'!Sched_Pay+'DLL Schedule'!Extra_Pay,'DLL Schedule'!Beg_Bal),"")</f>
        <v/>
      </c>
      <c r="G432" s="525" t="str">
        <f>IF('DLL Schedule'!Pay_Num&lt;&gt;"",'DLL Schedule'!Total_Pay-'DLL Schedule'!Int,"")</f>
        <v/>
      </c>
      <c r="H432" s="525" t="str">
        <f>IF('DLL Schedule'!Pay_Num&lt;&gt;"",'DLL Schedule'!Beg_Bal*'DLL Schedule'!Interest_Rate/'DLL Schedule'!Num_Pmt_Per_Year,"")</f>
        <v/>
      </c>
      <c r="I432" s="525" t="str">
        <f>IF('DLL Schedule'!Pay_Num&lt;&gt;"",IF('DLL Schedule'!Sched_Pay+'DLL Schedule'!Extra_Pay&lt;'DLL Schedule'!Beg_Bal,'DLL Schedule'!Beg_Bal-'DLL Schedule'!Princ,0),"")</f>
        <v/>
      </c>
      <c r="J432" s="525">
        <f>SUM($H$18:$H432)</f>
        <v>257912.99524975716</v>
      </c>
      <c r="K432" s="499"/>
    </row>
    <row r="433" spans="1:11" ht="12.75" customHeight="1">
      <c r="A433" s="523" t="str">
        <f>IF(AND('DLL Schedule'!Values_Entered=1,A432&lt;&gt;"",I432&gt;0),A432+1,"")</f>
        <v/>
      </c>
      <c r="B433" s="524" t="str">
        <f>IF('DLL Schedule'!Pay_Num&lt;&gt;"",DATE(YEAR('DLL Schedule'!Loan_Start),MONTH('DLL Schedule'!Loan_Start)+('DLL Schedule'!Pay_Num)*12/'DLL Schedule'!Num_Pmt_Per_Year,DAY('DLL Schedule'!Loan_Start)),"")</f>
        <v/>
      </c>
      <c r="C433" s="525" t="str">
        <f>IF('DLL Schedule'!Pay_Num&lt;&gt;"",I432,"")</f>
        <v/>
      </c>
      <c r="D433" s="525" t="str">
        <f>IF('DLL Schedule'!Pay_Num&lt;&gt;"",'DLL Schedule'!Scheduled_Monthly_Payment,"")</f>
        <v/>
      </c>
      <c r="E4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3" s="525" t="str">
        <f>IF('DLL Schedule'!Pay_Num&lt;&gt;"",IF('DLL Schedule'!Sched_Pay+'DLL Schedule'!Extra_Pay&lt;'DLL Schedule'!Beg_Bal,'DLL Schedule'!Sched_Pay+'DLL Schedule'!Extra_Pay,'DLL Schedule'!Beg_Bal),"")</f>
        <v/>
      </c>
      <c r="G433" s="525" t="str">
        <f>IF('DLL Schedule'!Pay_Num&lt;&gt;"",'DLL Schedule'!Total_Pay-'DLL Schedule'!Int,"")</f>
        <v/>
      </c>
      <c r="H433" s="525" t="str">
        <f>IF('DLL Schedule'!Pay_Num&lt;&gt;"",'DLL Schedule'!Beg_Bal*'DLL Schedule'!Interest_Rate/'DLL Schedule'!Num_Pmt_Per_Year,"")</f>
        <v/>
      </c>
      <c r="I433" s="525" t="str">
        <f>IF('DLL Schedule'!Pay_Num&lt;&gt;"",IF('DLL Schedule'!Sched_Pay+'DLL Schedule'!Extra_Pay&lt;'DLL Schedule'!Beg_Bal,'DLL Schedule'!Beg_Bal-'DLL Schedule'!Princ,0),"")</f>
        <v/>
      </c>
      <c r="J433" s="525">
        <f>SUM($H$18:$H433)</f>
        <v>257912.99524975716</v>
      </c>
      <c r="K433" s="499"/>
    </row>
    <row r="434" spans="1:11" ht="12.75" customHeight="1">
      <c r="A434" s="523" t="str">
        <f>IF(AND('DLL Schedule'!Values_Entered=1,A433&lt;&gt;"",I433&gt;0),A433+1,"")</f>
        <v/>
      </c>
      <c r="B434" s="524" t="str">
        <f>IF('DLL Schedule'!Pay_Num&lt;&gt;"",DATE(YEAR('DLL Schedule'!Loan_Start),MONTH('DLL Schedule'!Loan_Start)+('DLL Schedule'!Pay_Num)*12/'DLL Schedule'!Num_Pmt_Per_Year,DAY('DLL Schedule'!Loan_Start)),"")</f>
        <v/>
      </c>
      <c r="C434" s="525" t="str">
        <f>IF('DLL Schedule'!Pay_Num&lt;&gt;"",I433,"")</f>
        <v/>
      </c>
      <c r="D434" s="525" t="str">
        <f>IF('DLL Schedule'!Pay_Num&lt;&gt;"",'DLL Schedule'!Scheduled_Monthly_Payment,"")</f>
        <v/>
      </c>
      <c r="E4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4" s="525" t="str">
        <f>IF('DLL Schedule'!Pay_Num&lt;&gt;"",IF('DLL Schedule'!Sched_Pay+'DLL Schedule'!Extra_Pay&lt;'DLL Schedule'!Beg_Bal,'DLL Schedule'!Sched_Pay+'DLL Schedule'!Extra_Pay,'DLL Schedule'!Beg_Bal),"")</f>
        <v/>
      </c>
      <c r="G434" s="525" t="str">
        <f>IF('DLL Schedule'!Pay_Num&lt;&gt;"",'DLL Schedule'!Total_Pay-'DLL Schedule'!Int,"")</f>
        <v/>
      </c>
      <c r="H434" s="525" t="str">
        <f>IF('DLL Schedule'!Pay_Num&lt;&gt;"",'DLL Schedule'!Beg_Bal*'DLL Schedule'!Interest_Rate/'DLL Schedule'!Num_Pmt_Per_Year,"")</f>
        <v/>
      </c>
      <c r="I434" s="525" t="str">
        <f>IF('DLL Schedule'!Pay_Num&lt;&gt;"",IF('DLL Schedule'!Sched_Pay+'DLL Schedule'!Extra_Pay&lt;'DLL Schedule'!Beg_Bal,'DLL Schedule'!Beg_Bal-'DLL Schedule'!Princ,0),"")</f>
        <v/>
      </c>
      <c r="J434" s="525">
        <f>SUM($H$18:$H434)</f>
        <v>257912.99524975716</v>
      </c>
      <c r="K434" s="499"/>
    </row>
    <row r="435" spans="1:11" ht="12.75" customHeight="1">
      <c r="A435" s="523" t="str">
        <f>IF(AND('DLL Schedule'!Values_Entered=1,A434&lt;&gt;"",I434&gt;0),A434+1,"")</f>
        <v/>
      </c>
      <c r="B435" s="524" t="str">
        <f>IF('DLL Schedule'!Pay_Num&lt;&gt;"",DATE(YEAR('DLL Schedule'!Loan_Start),MONTH('DLL Schedule'!Loan_Start)+('DLL Schedule'!Pay_Num)*12/'DLL Schedule'!Num_Pmt_Per_Year,DAY('DLL Schedule'!Loan_Start)),"")</f>
        <v/>
      </c>
      <c r="C435" s="525" t="str">
        <f>IF('DLL Schedule'!Pay_Num&lt;&gt;"",I434,"")</f>
        <v/>
      </c>
      <c r="D435" s="525" t="str">
        <f>IF('DLL Schedule'!Pay_Num&lt;&gt;"",'DLL Schedule'!Scheduled_Monthly_Payment,"")</f>
        <v/>
      </c>
      <c r="E4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5" s="525" t="str">
        <f>IF('DLL Schedule'!Pay_Num&lt;&gt;"",IF('DLL Schedule'!Sched_Pay+'DLL Schedule'!Extra_Pay&lt;'DLL Schedule'!Beg_Bal,'DLL Schedule'!Sched_Pay+'DLL Schedule'!Extra_Pay,'DLL Schedule'!Beg_Bal),"")</f>
        <v/>
      </c>
      <c r="G435" s="525" t="str">
        <f>IF('DLL Schedule'!Pay_Num&lt;&gt;"",'DLL Schedule'!Total_Pay-'DLL Schedule'!Int,"")</f>
        <v/>
      </c>
      <c r="H435" s="525" t="str">
        <f>IF('DLL Schedule'!Pay_Num&lt;&gt;"",'DLL Schedule'!Beg_Bal*'DLL Schedule'!Interest_Rate/'DLL Schedule'!Num_Pmt_Per_Year,"")</f>
        <v/>
      </c>
      <c r="I435" s="525" t="str">
        <f>IF('DLL Schedule'!Pay_Num&lt;&gt;"",IF('DLL Schedule'!Sched_Pay+'DLL Schedule'!Extra_Pay&lt;'DLL Schedule'!Beg_Bal,'DLL Schedule'!Beg_Bal-'DLL Schedule'!Princ,0),"")</f>
        <v/>
      </c>
      <c r="J435" s="525">
        <f>SUM($H$18:$H435)</f>
        <v>257912.99524975716</v>
      </c>
      <c r="K435" s="499"/>
    </row>
    <row r="436" spans="1:11" ht="12.75" customHeight="1">
      <c r="A436" s="523" t="str">
        <f>IF(AND('DLL Schedule'!Values_Entered=1,A435&lt;&gt;"",I435&gt;0),A435+1,"")</f>
        <v/>
      </c>
      <c r="B436" s="524" t="str">
        <f>IF('DLL Schedule'!Pay_Num&lt;&gt;"",DATE(YEAR('DLL Schedule'!Loan_Start),MONTH('DLL Schedule'!Loan_Start)+('DLL Schedule'!Pay_Num)*12/'DLL Schedule'!Num_Pmt_Per_Year,DAY('DLL Schedule'!Loan_Start)),"")</f>
        <v/>
      </c>
      <c r="C436" s="525" t="str">
        <f>IF('DLL Schedule'!Pay_Num&lt;&gt;"",I435,"")</f>
        <v/>
      </c>
      <c r="D436" s="525" t="str">
        <f>IF('DLL Schedule'!Pay_Num&lt;&gt;"",'DLL Schedule'!Scheduled_Monthly_Payment,"")</f>
        <v/>
      </c>
      <c r="E4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6" s="525" t="str">
        <f>IF('DLL Schedule'!Pay_Num&lt;&gt;"",IF('DLL Schedule'!Sched_Pay+'DLL Schedule'!Extra_Pay&lt;'DLL Schedule'!Beg_Bal,'DLL Schedule'!Sched_Pay+'DLL Schedule'!Extra_Pay,'DLL Schedule'!Beg_Bal),"")</f>
        <v/>
      </c>
      <c r="G436" s="525" t="str">
        <f>IF('DLL Schedule'!Pay_Num&lt;&gt;"",'DLL Schedule'!Total_Pay-'DLL Schedule'!Int,"")</f>
        <v/>
      </c>
      <c r="H436" s="525" t="str">
        <f>IF('DLL Schedule'!Pay_Num&lt;&gt;"",'DLL Schedule'!Beg_Bal*'DLL Schedule'!Interest_Rate/'DLL Schedule'!Num_Pmt_Per_Year,"")</f>
        <v/>
      </c>
      <c r="I436" s="525" t="str">
        <f>IF('DLL Schedule'!Pay_Num&lt;&gt;"",IF('DLL Schedule'!Sched_Pay+'DLL Schedule'!Extra_Pay&lt;'DLL Schedule'!Beg_Bal,'DLL Schedule'!Beg_Bal-'DLL Schedule'!Princ,0),"")</f>
        <v/>
      </c>
      <c r="J436" s="525">
        <f>SUM($H$18:$H436)</f>
        <v>257912.99524975716</v>
      </c>
      <c r="K436" s="499"/>
    </row>
    <row r="437" spans="1:11" ht="12.75" customHeight="1">
      <c r="A437" s="523" t="str">
        <f>IF(AND('DLL Schedule'!Values_Entered=1,A436&lt;&gt;"",I436&gt;0),A436+1,"")</f>
        <v/>
      </c>
      <c r="B437" s="524" t="str">
        <f>IF('DLL Schedule'!Pay_Num&lt;&gt;"",DATE(YEAR('DLL Schedule'!Loan_Start),MONTH('DLL Schedule'!Loan_Start)+('DLL Schedule'!Pay_Num)*12/'DLL Schedule'!Num_Pmt_Per_Year,DAY('DLL Schedule'!Loan_Start)),"")</f>
        <v/>
      </c>
      <c r="C437" s="525" t="str">
        <f>IF('DLL Schedule'!Pay_Num&lt;&gt;"",I436,"")</f>
        <v/>
      </c>
      <c r="D437" s="525" t="str">
        <f>IF('DLL Schedule'!Pay_Num&lt;&gt;"",'DLL Schedule'!Scheduled_Monthly_Payment,"")</f>
        <v/>
      </c>
      <c r="E4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7" s="525" t="str">
        <f>IF('DLL Schedule'!Pay_Num&lt;&gt;"",IF('DLL Schedule'!Sched_Pay+'DLL Schedule'!Extra_Pay&lt;'DLL Schedule'!Beg_Bal,'DLL Schedule'!Sched_Pay+'DLL Schedule'!Extra_Pay,'DLL Schedule'!Beg_Bal),"")</f>
        <v/>
      </c>
      <c r="G437" s="525" t="str">
        <f>IF('DLL Schedule'!Pay_Num&lt;&gt;"",'DLL Schedule'!Total_Pay-'DLL Schedule'!Int,"")</f>
        <v/>
      </c>
      <c r="H437" s="525" t="str">
        <f>IF('DLL Schedule'!Pay_Num&lt;&gt;"",'DLL Schedule'!Beg_Bal*'DLL Schedule'!Interest_Rate/'DLL Schedule'!Num_Pmt_Per_Year,"")</f>
        <v/>
      </c>
      <c r="I437" s="525" t="str">
        <f>IF('DLL Schedule'!Pay_Num&lt;&gt;"",IF('DLL Schedule'!Sched_Pay+'DLL Schedule'!Extra_Pay&lt;'DLL Schedule'!Beg_Bal,'DLL Schedule'!Beg_Bal-'DLL Schedule'!Princ,0),"")</f>
        <v/>
      </c>
      <c r="J437" s="525">
        <f>SUM($H$18:$H437)</f>
        <v>257912.99524975716</v>
      </c>
      <c r="K437" s="499"/>
    </row>
    <row r="438" spans="1:11" ht="12.75" customHeight="1">
      <c r="A438" s="523" t="str">
        <f>IF(AND('DLL Schedule'!Values_Entered=1,A437&lt;&gt;"",I437&gt;0),A437+1,"")</f>
        <v/>
      </c>
      <c r="B438" s="524" t="str">
        <f>IF('DLL Schedule'!Pay_Num&lt;&gt;"",DATE(YEAR('DLL Schedule'!Loan_Start),MONTH('DLL Schedule'!Loan_Start)+('DLL Schedule'!Pay_Num)*12/'DLL Schedule'!Num_Pmt_Per_Year,DAY('DLL Schedule'!Loan_Start)),"")</f>
        <v/>
      </c>
      <c r="C438" s="525" t="str">
        <f>IF('DLL Schedule'!Pay_Num&lt;&gt;"",I437,"")</f>
        <v/>
      </c>
      <c r="D438" s="525" t="str">
        <f>IF('DLL Schedule'!Pay_Num&lt;&gt;"",'DLL Schedule'!Scheduled_Monthly_Payment,"")</f>
        <v/>
      </c>
      <c r="E4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8" s="525" t="str">
        <f>IF('DLL Schedule'!Pay_Num&lt;&gt;"",IF('DLL Schedule'!Sched_Pay+'DLL Schedule'!Extra_Pay&lt;'DLL Schedule'!Beg_Bal,'DLL Schedule'!Sched_Pay+'DLL Schedule'!Extra_Pay,'DLL Schedule'!Beg_Bal),"")</f>
        <v/>
      </c>
      <c r="G438" s="525" t="str">
        <f>IF('DLL Schedule'!Pay_Num&lt;&gt;"",'DLL Schedule'!Total_Pay-'DLL Schedule'!Int,"")</f>
        <v/>
      </c>
      <c r="H438" s="525" t="str">
        <f>IF('DLL Schedule'!Pay_Num&lt;&gt;"",'DLL Schedule'!Beg_Bal*'DLL Schedule'!Interest_Rate/'DLL Schedule'!Num_Pmt_Per_Year,"")</f>
        <v/>
      </c>
      <c r="I438" s="525" t="str">
        <f>IF('DLL Schedule'!Pay_Num&lt;&gt;"",IF('DLL Schedule'!Sched_Pay+'DLL Schedule'!Extra_Pay&lt;'DLL Schedule'!Beg_Bal,'DLL Schedule'!Beg_Bal-'DLL Schedule'!Princ,0),"")</f>
        <v/>
      </c>
      <c r="J438" s="525">
        <f>SUM($H$18:$H438)</f>
        <v>257912.99524975716</v>
      </c>
      <c r="K438" s="499"/>
    </row>
    <row r="439" spans="1:11" ht="12.75" customHeight="1">
      <c r="A439" s="523" t="str">
        <f>IF(AND('DLL Schedule'!Values_Entered=1,A438&lt;&gt;"",I438&gt;0),A438+1,"")</f>
        <v/>
      </c>
      <c r="B439" s="524" t="str">
        <f>IF('DLL Schedule'!Pay_Num&lt;&gt;"",DATE(YEAR('DLL Schedule'!Loan_Start),MONTH('DLL Schedule'!Loan_Start)+('DLL Schedule'!Pay_Num)*12/'DLL Schedule'!Num_Pmt_Per_Year,DAY('DLL Schedule'!Loan_Start)),"")</f>
        <v/>
      </c>
      <c r="C439" s="525" t="str">
        <f>IF('DLL Schedule'!Pay_Num&lt;&gt;"",I438,"")</f>
        <v/>
      </c>
      <c r="D439" s="525" t="str">
        <f>IF('DLL Schedule'!Pay_Num&lt;&gt;"",'DLL Schedule'!Scheduled_Monthly_Payment,"")</f>
        <v/>
      </c>
      <c r="E4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9" s="525" t="str">
        <f>IF('DLL Schedule'!Pay_Num&lt;&gt;"",IF('DLL Schedule'!Sched_Pay+'DLL Schedule'!Extra_Pay&lt;'DLL Schedule'!Beg_Bal,'DLL Schedule'!Sched_Pay+'DLL Schedule'!Extra_Pay,'DLL Schedule'!Beg_Bal),"")</f>
        <v/>
      </c>
      <c r="G439" s="525" t="str">
        <f>IF('DLL Schedule'!Pay_Num&lt;&gt;"",'DLL Schedule'!Total_Pay-'DLL Schedule'!Int,"")</f>
        <v/>
      </c>
      <c r="H439" s="525" t="str">
        <f>IF('DLL Schedule'!Pay_Num&lt;&gt;"",'DLL Schedule'!Beg_Bal*'DLL Schedule'!Interest_Rate/'DLL Schedule'!Num_Pmt_Per_Year,"")</f>
        <v/>
      </c>
      <c r="I439" s="525" t="str">
        <f>IF('DLL Schedule'!Pay_Num&lt;&gt;"",IF('DLL Schedule'!Sched_Pay+'DLL Schedule'!Extra_Pay&lt;'DLL Schedule'!Beg_Bal,'DLL Schedule'!Beg_Bal-'DLL Schedule'!Princ,0),"")</f>
        <v/>
      </c>
      <c r="J439" s="525">
        <f>SUM($H$18:$H439)</f>
        <v>257912.99524975716</v>
      </c>
      <c r="K439" s="499"/>
    </row>
    <row r="440" spans="1:11" ht="12.75" customHeight="1">
      <c r="A440" s="523" t="str">
        <f>IF(AND('DLL Schedule'!Values_Entered=1,A439&lt;&gt;"",I439&gt;0),A439+1,"")</f>
        <v/>
      </c>
      <c r="B440" s="524" t="str">
        <f>IF('DLL Schedule'!Pay_Num&lt;&gt;"",DATE(YEAR('DLL Schedule'!Loan_Start),MONTH('DLL Schedule'!Loan_Start)+('DLL Schedule'!Pay_Num)*12/'DLL Schedule'!Num_Pmt_Per_Year,DAY('DLL Schedule'!Loan_Start)),"")</f>
        <v/>
      </c>
      <c r="C440" s="525" t="str">
        <f>IF('DLL Schedule'!Pay_Num&lt;&gt;"",I439,"")</f>
        <v/>
      </c>
      <c r="D440" s="525" t="str">
        <f>IF('DLL Schedule'!Pay_Num&lt;&gt;"",'DLL Schedule'!Scheduled_Monthly_Payment,"")</f>
        <v/>
      </c>
      <c r="E4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0" s="525" t="str">
        <f>IF('DLL Schedule'!Pay_Num&lt;&gt;"",IF('DLL Schedule'!Sched_Pay+'DLL Schedule'!Extra_Pay&lt;'DLL Schedule'!Beg_Bal,'DLL Schedule'!Sched_Pay+'DLL Schedule'!Extra_Pay,'DLL Schedule'!Beg_Bal),"")</f>
        <v/>
      </c>
      <c r="G440" s="525" t="str">
        <f>IF('DLL Schedule'!Pay_Num&lt;&gt;"",'DLL Schedule'!Total_Pay-'DLL Schedule'!Int,"")</f>
        <v/>
      </c>
      <c r="H440" s="525" t="str">
        <f>IF('DLL Schedule'!Pay_Num&lt;&gt;"",'DLL Schedule'!Beg_Bal*'DLL Schedule'!Interest_Rate/'DLL Schedule'!Num_Pmt_Per_Year,"")</f>
        <v/>
      </c>
      <c r="I440" s="525" t="str">
        <f>IF('DLL Schedule'!Pay_Num&lt;&gt;"",IF('DLL Schedule'!Sched_Pay+'DLL Schedule'!Extra_Pay&lt;'DLL Schedule'!Beg_Bal,'DLL Schedule'!Beg_Bal-'DLL Schedule'!Princ,0),"")</f>
        <v/>
      </c>
      <c r="J440" s="525">
        <f>SUM($H$18:$H440)</f>
        <v>257912.99524975716</v>
      </c>
      <c r="K440" s="499"/>
    </row>
    <row r="441" spans="1:11" ht="12.75" customHeight="1">
      <c r="A441" s="523" t="str">
        <f>IF(AND('DLL Schedule'!Values_Entered=1,A440&lt;&gt;"",I440&gt;0),A440+1,"")</f>
        <v/>
      </c>
      <c r="B441" s="524" t="str">
        <f>IF('DLL Schedule'!Pay_Num&lt;&gt;"",DATE(YEAR('DLL Schedule'!Loan_Start),MONTH('DLL Schedule'!Loan_Start)+('DLL Schedule'!Pay_Num)*12/'DLL Schedule'!Num_Pmt_Per_Year,DAY('DLL Schedule'!Loan_Start)),"")</f>
        <v/>
      </c>
      <c r="C441" s="525" t="str">
        <f>IF('DLL Schedule'!Pay_Num&lt;&gt;"",I440,"")</f>
        <v/>
      </c>
      <c r="D441" s="525" t="str">
        <f>IF('DLL Schedule'!Pay_Num&lt;&gt;"",'DLL Schedule'!Scheduled_Monthly_Payment,"")</f>
        <v/>
      </c>
      <c r="E4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1" s="525" t="str">
        <f>IF('DLL Schedule'!Pay_Num&lt;&gt;"",IF('DLL Schedule'!Sched_Pay+'DLL Schedule'!Extra_Pay&lt;'DLL Schedule'!Beg_Bal,'DLL Schedule'!Sched_Pay+'DLL Schedule'!Extra_Pay,'DLL Schedule'!Beg_Bal),"")</f>
        <v/>
      </c>
      <c r="G441" s="525" t="str">
        <f>IF('DLL Schedule'!Pay_Num&lt;&gt;"",'DLL Schedule'!Total_Pay-'DLL Schedule'!Int,"")</f>
        <v/>
      </c>
      <c r="H441" s="525" t="str">
        <f>IF('DLL Schedule'!Pay_Num&lt;&gt;"",'DLL Schedule'!Beg_Bal*'DLL Schedule'!Interest_Rate/'DLL Schedule'!Num_Pmt_Per_Year,"")</f>
        <v/>
      </c>
      <c r="I441" s="525" t="str">
        <f>IF('DLL Schedule'!Pay_Num&lt;&gt;"",IF('DLL Schedule'!Sched_Pay+'DLL Schedule'!Extra_Pay&lt;'DLL Schedule'!Beg_Bal,'DLL Schedule'!Beg_Bal-'DLL Schedule'!Princ,0),"")</f>
        <v/>
      </c>
      <c r="J441" s="525">
        <f>SUM($H$18:$H441)</f>
        <v>257912.99524975716</v>
      </c>
      <c r="K441" s="499"/>
    </row>
    <row r="442" spans="1:11" ht="12.75" customHeight="1">
      <c r="A442" s="523" t="str">
        <f>IF(AND('DLL Schedule'!Values_Entered=1,A441&lt;&gt;"",I441&gt;0),A441+1,"")</f>
        <v/>
      </c>
      <c r="B442" s="524" t="str">
        <f>IF('DLL Schedule'!Pay_Num&lt;&gt;"",DATE(YEAR('DLL Schedule'!Loan_Start),MONTH('DLL Schedule'!Loan_Start)+('DLL Schedule'!Pay_Num)*12/'DLL Schedule'!Num_Pmt_Per_Year,DAY('DLL Schedule'!Loan_Start)),"")</f>
        <v/>
      </c>
      <c r="C442" s="525" t="str">
        <f>IF('DLL Schedule'!Pay_Num&lt;&gt;"",I441,"")</f>
        <v/>
      </c>
      <c r="D442" s="525" t="str">
        <f>IF('DLL Schedule'!Pay_Num&lt;&gt;"",'DLL Schedule'!Scheduled_Monthly_Payment,"")</f>
        <v/>
      </c>
      <c r="E4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2" s="525" t="str">
        <f>IF('DLL Schedule'!Pay_Num&lt;&gt;"",IF('DLL Schedule'!Sched_Pay+'DLL Schedule'!Extra_Pay&lt;'DLL Schedule'!Beg_Bal,'DLL Schedule'!Sched_Pay+'DLL Schedule'!Extra_Pay,'DLL Schedule'!Beg_Bal),"")</f>
        <v/>
      </c>
      <c r="G442" s="525" t="str">
        <f>IF('DLL Schedule'!Pay_Num&lt;&gt;"",'DLL Schedule'!Total_Pay-'DLL Schedule'!Int,"")</f>
        <v/>
      </c>
      <c r="H442" s="525" t="str">
        <f>IF('DLL Schedule'!Pay_Num&lt;&gt;"",'DLL Schedule'!Beg_Bal*'DLL Schedule'!Interest_Rate/'DLL Schedule'!Num_Pmt_Per_Year,"")</f>
        <v/>
      </c>
      <c r="I442" s="525" t="str">
        <f>IF('DLL Schedule'!Pay_Num&lt;&gt;"",IF('DLL Schedule'!Sched_Pay+'DLL Schedule'!Extra_Pay&lt;'DLL Schedule'!Beg_Bal,'DLL Schedule'!Beg_Bal-'DLL Schedule'!Princ,0),"")</f>
        <v/>
      </c>
      <c r="J442" s="525">
        <f>SUM($H$18:$H442)</f>
        <v>257912.99524975716</v>
      </c>
      <c r="K442" s="499"/>
    </row>
    <row r="443" spans="1:11" ht="12.75" customHeight="1">
      <c r="A443" s="523" t="str">
        <f>IF(AND('DLL Schedule'!Values_Entered=1,A442&lt;&gt;"",I442&gt;0),A442+1,"")</f>
        <v/>
      </c>
      <c r="B443" s="524" t="str">
        <f>IF('DLL Schedule'!Pay_Num&lt;&gt;"",DATE(YEAR('DLL Schedule'!Loan_Start),MONTH('DLL Schedule'!Loan_Start)+('DLL Schedule'!Pay_Num)*12/'DLL Schedule'!Num_Pmt_Per_Year,DAY('DLL Schedule'!Loan_Start)),"")</f>
        <v/>
      </c>
      <c r="C443" s="525" t="str">
        <f>IF('DLL Schedule'!Pay_Num&lt;&gt;"",I442,"")</f>
        <v/>
      </c>
      <c r="D443" s="525" t="str">
        <f>IF('DLL Schedule'!Pay_Num&lt;&gt;"",'DLL Schedule'!Scheduled_Monthly_Payment,"")</f>
        <v/>
      </c>
      <c r="E4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3" s="525" t="str">
        <f>IF('DLL Schedule'!Pay_Num&lt;&gt;"",IF('DLL Schedule'!Sched_Pay+'DLL Schedule'!Extra_Pay&lt;'DLL Schedule'!Beg_Bal,'DLL Schedule'!Sched_Pay+'DLL Schedule'!Extra_Pay,'DLL Schedule'!Beg_Bal),"")</f>
        <v/>
      </c>
      <c r="G443" s="525" t="str">
        <f>IF('DLL Schedule'!Pay_Num&lt;&gt;"",'DLL Schedule'!Total_Pay-'DLL Schedule'!Int,"")</f>
        <v/>
      </c>
      <c r="H443" s="525" t="str">
        <f>IF('DLL Schedule'!Pay_Num&lt;&gt;"",'DLL Schedule'!Beg_Bal*'DLL Schedule'!Interest_Rate/'DLL Schedule'!Num_Pmt_Per_Year,"")</f>
        <v/>
      </c>
      <c r="I443" s="525" t="str">
        <f>IF('DLL Schedule'!Pay_Num&lt;&gt;"",IF('DLL Schedule'!Sched_Pay+'DLL Schedule'!Extra_Pay&lt;'DLL Schedule'!Beg_Bal,'DLL Schedule'!Beg_Bal-'DLL Schedule'!Princ,0),"")</f>
        <v/>
      </c>
      <c r="J443" s="525">
        <f>SUM($H$18:$H443)</f>
        <v>257912.99524975716</v>
      </c>
      <c r="K443" s="499"/>
    </row>
    <row r="444" spans="1:11" ht="12.75" customHeight="1">
      <c r="A444" s="523" t="str">
        <f>IF(AND('DLL Schedule'!Values_Entered=1,A443&lt;&gt;"",I443&gt;0),A443+1,"")</f>
        <v/>
      </c>
      <c r="B444" s="524" t="str">
        <f>IF('DLL Schedule'!Pay_Num&lt;&gt;"",DATE(YEAR('DLL Schedule'!Loan_Start),MONTH('DLL Schedule'!Loan_Start)+('DLL Schedule'!Pay_Num)*12/'DLL Schedule'!Num_Pmt_Per_Year,DAY('DLL Schedule'!Loan_Start)),"")</f>
        <v/>
      </c>
      <c r="C444" s="525" t="str">
        <f>IF('DLL Schedule'!Pay_Num&lt;&gt;"",I443,"")</f>
        <v/>
      </c>
      <c r="D444" s="525" t="str">
        <f>IF('DLL Schedule'!Pay_Num&lt;&gt;"",'DLL Schedule'!Scheduled_Monthly_Payment,"")</f>
        <v/>
      </c>
      <c r="E4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4" s="525" t="str">
        <f>IF('DLL Schedule'!Pay_Num&lt;&gt;"",IF('DLL Schedule'!Sched_Pay+'DLL Schedule'!Extra_Pay&lt;'DLL Schedule'!Beg_Bal,'DLL Schedule'!Sched_Pay+'DLL Schedule'!Extra_Pay,'DLL Schedule'!Beg_Bal),"")</f>
        <v/>
      </c>
      <c r="G444" s="525" t="str">
        <f>IF('DLL Schedule'!Pay_Num&lt;&gt;"",'DLL Schedule'!Total_Pay-'DLL Schedule'!Int,"")</f>
        <v/>
      </c>
      <c r="H444" s="525" t="str">
        <f>IF('DLL Schedule'!Pay_Num&lt;&gt;"",'DLL Schedule'!Beg_Bal*'DLL Schedule'!Interest_Rate/'DLL Schedule'!Num_Pmt_Per_Year,"")</f>
        <v/>
      </c>
      <c r="I444" s="525" t="str">
        <f>IF('DLL Schedule'!Pay_Num&lt;&gt;"",IF('DLL Schedule'!Sched_Pay+'DLL Schedule'!Extra_Pay&lt;'DLL Schedule'!Beg_Bal,'DLL Schedule'!Beg_Bal-'DLL Schedule'!Princ,0),"")</f>
        <v/>
      </c>
      <c r="J444" s="525">
        <f>SUM($H$18:$H444)</f>
        <v>257912.99524975716</v>
      </c>
      <c r="K444" s="499"/>
    </row>
    <row r="445" spans="1:11" ht="12.75" customHeight="1">
      <c r="A445" s="523" t="str">
        <f>IF(AND('DLL Schedule'!Values_Entered=1,A444&lt;&gt;"",I444&gt;0),A444+1,"")</f>
        <v/>
      </c>
      <c r="B445" s="524" t="str">
        <f>IF('DLL Schedule'!Pay_Num&lt;&gt;"",DATE(YEAR('DLL Schedule'!Loan_Start),MONTH('DLL Schedule'!Loan_Start)+('DLL Schedule'!Pay_Num)*12/'DLL Schedule'!Num_Pmt_Per_Year,DAY('DLL Schedule'!Loan_Start)),"")</f>
        <v/>
      </c>
      <c r="C445" s="525" t="str">
        <f>IF('DLL Schedule'!Pay_Num&lt;&gt;"",I444,"")</f>
        <v/>
      </c>
      <c r="D445" s="525" t="str">
        <f>IF('DLL Schedule'!Pay_Num&lt;&gt;"",'DLL Schedule'!Scheduled_Monthly_Payment,"")</f>
        <v/>
      </c>
      <c r="E4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5" s="525" t="str">
        <f>IF('DLL Schedule'!Pay_Num&lt;&gt;"",IF('DLL Schedule'!Sched_Pay+'DLL Schedule'!Extra_Pay&lt;'DLL Schedule'!Beg_Bal,'DLL Schedule'!Sched_Pay+'DLL Schedule'!Extra_Pay,'DLL Schedule'!Beg_Bal),"")</f>
        <v/>
      </c>
      <c r="G445" s="525" t="str">
        <f>IF('DLL Schedule'!Pay_Num&lt;&gt;"",'DLL Schedule'!Total_Pay-'DLL Schedule'!Int,"")</f>
        <v/>
      </c>
      <c r="H445" s="525" t="str">
        <f>IF('DLL Schedule'!Pay_Num&lt;&gt;"",'DLL Schedule'!Beg_Bal*'DLL Schedule'!Interest_Rate/'DLL Schedule'!Num_Pmt_Per_Year,"")</f>
        <v/>
      </c>
      <c r="I445" s="525" t="str">
        <f>IF('DLL Schedule'!Pay_Num&lt;&gt;"",IF('DLL Schedule'!Sched_Pay+'DLL Schedule'!Extra_Pay&lt;'DLL Schedule'!Beg_Bal,'DLL Schedule'!Beg_Bal-'DLL Schedule'!Princ,0),"")</f>
        <v/>
      </c>
      <c r="J445" s="525">
        <f>SUM($H$18:$H445)</f>
        <v>257912.99524975716</v>
      </c>
      <c r="K445" s="499"/>
    </row>
    <row r="446" spans="1:11" ht="12.75" customHeight="1">
      <c r="A446" s="523" t="str">
        <f>IF(AND('DLL Schedule'!Values_Entered=1,A445&lt;&gt;"",I445&gt;0),A445+1,"")</f>
        <v/>
      </c>
      <c r="B446" s="524" t="str">
        <f>IF('DLL Schedule'!Pay_Num&lt;&gt;"",DATE(YEAR('DLL Schedule'!Loan_Start),MONTH('DLL Schedule'!Loan_Start)+('DLL Schedule'!Pay_Num)*12/'DLL Schedule'!Num_Pmt_Per_Year,DAY('DLL Schedule'!Loan_Start)),"")</f>
        <v/>
      </c>
      <c r="C446" s="525" t="str">
        <f>IF('DLL Schedule'!Pay_Num&lt;&gt;"",I445,"")</f>
        <v/>
      </c>
      <c r="D446" s="525" t="str">
        <f>IF('DLL Schedule'!Pay_Num&lt;&gt;"",'DLL Schedule'!Scheduled_Monthly_Payment,"")</f>
        <v/>
      </c>
      <c r="E4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6" s="525" t="str">
        <f>IF('DLL Schedule'!Pay_Num&lt;&gt;"",IF('DLL Schedule'!Sched_Pay+'DLL Schedule'!Extra_Pay&lt;'DLL Schedule'!Beg_Bal,'DLL Schedule'!Sched_Pay+'DLL Schedule'!Extra_Pay,'DLL Schedule'!Beg_Bal),"")</f>
        <v/>
      </c>
      <c r="G446" s="525" t="str">
        <f>IF('DLL Schedule'!Pay_Num&lt;&gt;"",'DLL Schedule'!Total_Pay-'DLL Schedule'!Int,"")</f>
        <v/>
      </c>
      <c r="H446" s="525" t="str">
        <f>IF('DLL Schedule'!Pay_Num&lt;&gt;"",'DLL Schedule'!Beg_Bal*'DLL Schedule'!Interest_Rate/'DLL Schedule'!Num_Pmt_Per_Year,"")</f>
        <v/>
      </c>
      <c r="I446" s="525" t="str">
        <f>IF('DLL Schedule'!Pay_Num&lt;&gt;"",IF('DLL Schedule'!Sched_Pay+'DLL Schedule'!Extra_Pay&lt;'DLL Schedule'!Beg_Bal,'DLL Schedule'!Beg_Bal-'DLL Schedule'!Princ,0),"")</f>
        <v/>
      </c>
      <c r="J446" s="525">
        <f>SUM($H$18:$H446)</f>
        <v>257912.99524975716</v>
      </c>
      <c r="K446" s="499"/>
    </row>
    <row r="447" spans="1:11" ht="12.75" customHeight="1">
      <c r="A447" s="523" t="str">
        <f>IF(AND('DLL Schedule'!Values_Entered=1,A446&lt;&gt;"",I446&gt;0),A446+1,"")</f>
        <v/>
      </c>
      <c r="B447" s="524" t="str">
        <f>IF('DLL Schedule'!Pay_Num&lt;&gt;"",DATE(YEAR('DLL Schedule'!Loan_Start),MONTH('DLL Schedule'!Loan_Start)+('DLL Schedule'!Pay_Num)*12/'DLL Schedule'!Num_Pmt_Per_Year,DAY('DLL Schedule'!Loan_Start)),"")</f>
        <v/>
      </c>
      <c r="C447" s="525" t="str">
        <f>IF('DLL Schedule'!Pay_Num&lt;&gt;"",I446,"")</f>
        <v/>
      </c>
      <c r="D447" s="525" t="str">
        <f>IF('DLL Schedule'!Pay_Num&lt;&gt;"",'DLL Schedule'!Scheduled_Monthly_Payment,"")</f>
        <v/>
      </c>
      <c r="E4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7" s="525" t="str">
        <f>IF('DLL Schedule'!Pay_Num&lt;&gt;"",IF('DLL Schedule'!Sched_Pay+'DLL Schedule'!Extra_Pay&lt;'DLL Schedule'!Beg_Bal,'DLL Schedule'!Sched_Pay+'DLL Schedule'!Extra_Pay,'DLL Schedule'!Beg_Bal),"")</f>
        <v/>
      </c>
      <c r="G447" s="525" t="str">
        <f>IF('DLL Schedule'!Pay_Num&lt;&gt;"",'DLL Schedule'!Total_Pay-'DLL Schedule'!Int,"")</f>
        <v/>
      </c>
      <c r="H447" s="525" t="str">
        <f>IF('DLL Schedule'!Pay_Num&lt;&gt;"",'DLL Schedule'!Beg_Bal*'DLL Schedule'!Interest_Rate/'DLL Schedule'!Num_Pmt_Per_Year,"")</f>
        <v/>
      </c>
      <c r="I447" s="525" t="str">
        <f>IF('DLL Schedule'!Pay_Num&lt;&gt;"",IF('DLL Schedule'!Sched_Pay+'DLL Schedule'!Extra_Pay&lt;'DLL Schedule'!Beg_Bal,'DLL Schedule'!Beg_Bal-'DLL Schedule'!Princ,0),"")</f>
        <v/>
      </c>
      <c r="J447" s="525">
        <f>SUM($H$18:$H447)</f>
        <v>257912.99524975716</v>
      </c>
      <c r="K447" s="499"/>
    </row>
    <row r="448" spans="1:11" ht="12.75" customHeight="1">
      <c r="A448" s="523" t="str">
        <f>IF(AND('DLL Schedule'!Values_Entered=1,A447&lt;&gt;"",I447&gt;0),A447+1,"")</f>
        <v/>
      </c>
      <c r="B448" s="524" t="str">
        <f>IF('DLL Schedule'!Pay_Num&lt;&gt;"",DATE(YEAR('DLL Schedule'!Loan_Start),MONTH('DLL Schedule'!Loan_Start)+('DLL Schedule'!Pay_Num)*12/'DLL Schedule'!Num_Pmt_Per_Year,DAY('DLL Schedule'!Loan_Start)),"")</f>
        <v/>
      </c>
      <c r="C448" s="525" t="str">
        <f>IF('DLL Schedule'!Pay_Num&lt;&gt;"",I447,"")</f>
        <v/>
      </c>
      <c r="D448" s="525" t="str">
        <f>IF('DLL Schedule'!Pay_Num&lt;&gt;"",'DLL Schedule'!Scheduled_Monthly_Payment,"")</f>
        <v/>
      </c>
      <c r="E4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8" s="525" t="str">
        <f>IF('DLL Schedule'!Pay_Num&lt;&gt;"",IF('DLL Schedule'!Sched_Pay+'DLL Schedule'!Extra_Pay&lt;'DLL Schedule'!Beg_Bal,'DLL Schedule'!Sched_Pay+'DLL Schedule'!Extra_Pay,'DLL Schedule'!Beg_Bal),"")</f>
        <v/>
      </c>
      <c r="G448" s="525" t="str">
        <f>IF('DLL Schedule'!Pay_Num&lt;&gt;"",'DLL Schedule'!Total_Pay-'DLL Schedule'!Int,"")</f>
        <v/>
      </c>
      <c r="H448" s="525" t="str">
        <f>IF('DLL Schedule'!Pay_Num&lt;&gt;"",'DLL Schedule'!Beg_Bal*'DLL Schedule'!Interest_Rate/'DLL Schedule'!Num_Pmt_Per_Year,"")</f>
        <v/>
      </c>
      <c r="I448" s="525" t="str">
        <f>IF('DLL Schedule'!Pay_Num&lt;&gt;"",IF('DLL Schedule'!Sched_Pay+'DLL Schedule'!Extra_Pay&lt;'DLL Schedule'!Beg_Bal,'DLL Schedule'!Beg_Bal-'DLL Schedule'!Princ,0),"")</f>
        <v/>
      </c>
      <c r="J448" s="525">
        <f>SUM($H$18:$H448)</f>
        <v>257912.99524975716</v>
      </c>
      <c r="K448" s="499"/>
    </row>
    <row r="449" spans="1:11" ht="12.75" customHeight="1">
      <c r="A449" s="523" t="str">
        <f>IF(AND('DLL Schedule'!Values_Entered=1,A448&lt;&gt;"",I448&gt;0),A448+1,"")</f>
        <v/>
      </c>
      <c r="B449" s="524" t="str">
        <f>IF('DLL Schedule'!Pay_Num&lt;&gt;"",DATE(YEAR('DLL Schedule'!Loan_Start),MONTH('DLL Schedule'!Loan_Start)+('DLL Schedule'!Pay_Num)*12/'DLL Schedule'!Num_Pmt_Per_Year,DAY('DLL Schedule'!Loan_Start)),"")</f>
        <v/>
      </c>
      <c r="C449" s="525" t="str">
        <f>IF('DLL Schedule'!Pay_Num&lt;&gt;"",I448,"")</f>
        <v/>
      </c>
      <c r="D449" s="525" t="str">
        <f>IF('DLL Schedule'!Pay_Num&lt;&gt;"",'DLL Schedule'!Scheduled_Monthly_Payment,"")</f>
        <v/>
      </c>
      <c r="E4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9" s="525" t="str">
        <f>IF('DLL Schedule'!Pay_Num&lt;&gt;"",IF('DLL Schedule'!Sched_Pay+'DLL Schedule'!Extra_Pay&lt;'DLL Schedule'!Beg_Bal,'DLL Schedule'!Sched_Pay+'DLL Schedule'!Extra_Pay,'DLL Schedule'!Beg_Bal),"")</f>
        <v/>
      </c>
      <c r="G449" s="525" t="str">
        <f>IF('DLL Schedule'!Pay_Num&lt;&gt;"",'DLL Schedule'!Total_Pay-'DLL Schedule'!Int,"")</f>
        <v/>
      </c>
      <c r="H449" s="525" t="str">
        <f>IF('DLL Schedule'!Pay_Num&lt;&gt;"",'DLL Schedule'!Beg_Bal*'DLL Schedule'!Interest_Rate/'DLL Schedule'!Num_Pmt_Per_Year,"")</f>
        <v/>
      </c>
      <c r="I449" s="525" t="str">
        <f>IF('DLL Schedule'!Pay_Num&lt;&gt;"",IF('DLL Schedule'!Sched_Pay+'DLL Schedule'!Extra_Pay&lt;'DLL Schedule'!Beg_Bal,'DLL Schedule'!Beg_Bal-'DLL Schedule'!Princ,0),"")</f>
        <v/>
      </c>
      <c r="J449" s="525">
        <f>SUM($H$18:$H449)</f>
        <v>257912.99524975716</v>
      </c>
      <c r="K449" s="499"/>
    </row>
    <row r="450" spans="1:11" ht="12.75" customHeight="1">
      <c r="A450" s="523" t="str">
        <f>IF(AND('DLL Schedule'!Values_Entered=1,A449&lt;&gt;"",I449&gt;0),A449+1,"")</f>
        <v/>
      </c>
      <c r="B450" s="524" t="str">
        <f>IF('DLL Schedule'!Pay_Num&lt;&gt;"",DATE(YEAR('DLL Schedule'!Loan_Start),MONTH('DLL Schedule'!Loan_Start)+('DLL Schedule'!Pay_Num)*12/'DLL Schedule'!Num_Pmt_Per_Year,DAY('DLL Schedule'!Loan_Start)),"")</f>
        <v/>
      </c>
      <c r="C450" s="525" t="str">
        <f>IF('DLL Schedule'!Pay_Num&lt;&gt;"",I449,"")</f>
        <v/>
      </c>
      <c r="D450" s="525" t="str">
        <f>IF('DLL Schedule'!Pay_Num&lt;&gt;"",'DLL Schedule'!Scheduled_Monthly_Payment,"")</f>
        <v/>
      </c>
      <c r="E4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0" s="525" t="str">
        <f>IF('DLL Schedule'!Pay_Num&lt;&gt;"",IF('DLL Schedule'!Sched_Pay+'DLL Schedule'!Extra_Pay&lt;'DLL Schedule'!Beg_Bal,'DLL Schedule'!Sched_Pay+'DLL Schedule'!Extra_Pay,'DLL Schedule'!Beg_Bal),"")</f>
        <v/>
      </c>
      <c r="G450" s="525" t="str">
        <f>IF('DLL Schedule'!Pay_Num&lt;&gt;"",'DLL Schedule'!Total_Pay-'DLL Schedule'!Int,"")</f>
        <v/>
      </c>
      <c r="H450" s="525" t="str">
        <f>IF('DLL Schedule'!Pay_Num&lt;&gt;"",'DLL Schedule'!Beg_Bal*'DLL Schedule'!Interest_Rate/'DLL Schedule'!Num_Pmt_Per_Year,"")</f>
        <v/>
      </c>
      <c r="I450" s="525" t="str">
        <f>IF('DLL Schedule'!Pay_Num&lt;&gt;"",IF('DLL Schedule'!Sched_Pay+'DLL Schedule'!Extra_Pay&lt;'DLL Schedule'!Beg_Bal,'DLL Schedule'!Beg_Bal-'DLL Schedule'!Princ,0),"")</f>
        <v/>
      </c>
      <c r="J450" s="525">
        <f>SUM($H$18:$H450)</f>
        <v>257912.99524975716</v>
      </c>
      <c r="K450" s="499"/>
    </row>
    <row r="451" spans="1:11" ht="12.75" customHeight="1">
      <c r="A451" s="523" t="str">
        <f>IF(AND('DLL Schedule'!Values_Entered=1,A450&lt;&gt;"",I450&gt;0),A450+1,"")</f>
        <v/>
      </c>
      <c r="B451" s="524" t="str">
        <f>IF('DLL Schedule'!Pay_Num&lt;&gt;"",DATE(YEAR('DLL Schedule'!Loan_Start),MONTH('DLL Schedule'!Loan_Start)+('DLL Schedule'!Pay_Num)*12/'DLL Schedule'!Num_Pmt_Per_Year,DAY('DLL Schedule'!Loan_Start)),"")</f>
        <v/>
      </c>
      <c r="C451" s="525" t="str">
        <f>IF('DLL Schedule'!Pay_Num&lt;&gt;"",I450,"")</f>
        <v/>
      </c>
      <c r="D451" s="525" t="str">
        <f>IF('DLL Schedule'!Pay_Num&lt;&gt;"",'DLL Schedule'!Scheduled_Monthly_Payment,"")</f>
        <v/>
      </c>
      <c r="E4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1" s="525" t="str">
        <f>IF('DLL Schedule'!Pay_Num&lt;&gt;"",IF('DLL Schedule'!Sched_Pay+'DLL Schedule'!Extra_Pay&lt;'DLL Schedule'!Beg_Bal,'DLL Schedule'!Sched_Pay+'DLL Schedule'!Extra_Pay,'DLL Schedule'!Beg_Bal),"")</f>
        <v/>
      </c>
      <c r="G451" s="525" t="str">
        <f>IF('DLL Schedule'!Pay_Num&lt;&gt;"",'DLL Schedule'!Total_Pay-'DLL Schedule'!Int,"")</f>
        <v/>
      </c>
      <c r="H451" s="525" t="str">
        <f>IF('DLL Schedule'!Pay_Num&lt;&gt;"",'DLL Schedule'!Beg_Bal*'DLL Schedule'!Interest_Rate/'DLL Schedule'!Num_Pmt_Per_Year,"")</f>
        <v/>
      </c>
      <c r="I451" s="525" t="str">
        <f>IF('DLL Schedule'!Pay_Num&lt;&gt;"",IF('DLL Schedule'!Sched_Pay+'DLL Schedule'!Extra_Pay&lt;'DLL Schedule'!Beg_Bal,'DLL Schedule'!Beg_Bal-'DLL Schedule'!Princ,0),"")</f>
        <v/>
      </c>
      <c r="J451" s="525">
        <f>SUM($H$18:$H451)</f>
        <v>257912.99524975716</v>
      </c>
      <c r="K451" s="499"/>
    </row>
    <row r="452" spans="1:11" ht="12.75" customHeight="1">
      <c r="A452" s="523" t="str">
        <f>IF(AND('DLL Schedule'!Values_Entered=1,A451&lt;&gt;"",I451&gt;0),A451+1,"")</f>
        <v/>
      </c>
      <c r="B452" s="524" t="str">
        <f>IF('DLL Schedule'!Pay_Num&lt;&gt;"",DATE(YEAR('DLL Schedule'!Loan_Start),MONTH('DLL Schedule'!Loan_Start)+('DLL Schedule'!Pay_Num)*12/'DLL Schedule'!Num_Pmt_Per_Year,DAY('DLL Schedule'!Loan_Start)),"")</f>
        <v/>
      </c>
      <c r="C452" s="525" t="str">
        <f>IF('DLL Schedule'!Pay_Num&lt;&gt;"",I451,"")</f>
        <v/>
      </c>
      <c r="D452" s="525" t="str">
        <f>IF('DLL Schedule'!Pay_Num&lt;&gt;"",'DLL Schedule'!Scheduled_Monthly_Payment,"")</f>
        <v/>
      </c>
      <c r="E4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2" s="525" t="str">
        <f>IF('DLL Schedule'!Pay_Num&lt;&gt;"",IF('DLL Schedule'!Sched_Pay+'DLL Schedule'!Extra_Pay&lt;'DLL Schedule'!Beg_Bal,'DLL Schedule'!Sched_Pay+'DLL Schedule'!Extra_Pay,'DLL Schedule'!Beg_Bal),"")</f>
        <v/>
      </c>
      <c r="G452" s="525" t="str">
        <f>IF('DLL Schedule'!Pay_Num&lt;&gt;"",'DLL Schedule'!Total_Pay-'DLL Schedule'!Int,"")</f>
        <v/>
      </c>
      <c r="H452" s="525" t="str">
        <f>IF('DLL Schedule'!Pay_Num&lt;&gt;"",'DLL Schedule'!Beg_Bal*'DLL Schedule'!Interest_Rate/'DLL Schedule'!Num_Pmt_Per_Year,"")</f>
        <v/>
      </c>
      <c r="I452" s="525" t="str">
        <f>IF('DLL Schedule'!Pay_Num&lt;&gt;"",IF('DLL Schedule'!Sched_Pay+'DLL Schedule'!Extra_Pay&lt;'DLL Schedule'!Beg_Bal,'DLL Schedule'!Beg_Bal-'DLL Schedule'!Princ,0),"")</f>
        <v/>
      </c>
      <c r="J452" s="525">
        <f>SUM($H$18:$H452)</f>
        <v>257912.99524975716</v>
      </c>
      <c r="K452" s="499"/>
    </row>
    <row r="453" spans="1:11" ht="12.75" customHeight="1">
      <c r="A453" s="523" t="str">
        <f>IF(AND('DLL Schedule'!Values_Entered=1,A452&lt;&gt;"",I452&gt;0),A452+1,"")</f>
        <v/>
      </c>
      <c r="B453" s="524" t="str">
        <f>IF('DLL Schedule'!Pay_Num&lt;&gt;"",DATE(YEAR('DLL Schedule'!Loan_Start),MONTH('DLL Schedule'!Loan_Start)+('DLL Schedule'!Pay_Num)*12/'DLL Schedule'!Num_Pmt_Per_Year,DAY('DLL Schedule'!Loan_Start)),"")</f>
        <v/>
      </c>
      <c r="C453" s="525" t="str">
        <f>IF('DLL Schedule'!Pay_Num&lt;&gt;"",I452,"")</f>
        <v/>
      </c>
      <c r="D453" s="525" t="str">
        <f>IF('DLL Schedule'!Pay_Num&lt;&gt;"",'DLL Schedule'!Scheduled_Monthly_Payment,"")</f>
        <v/>
      </c>
      <c r="E4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3" s="525" t="str">
        <f>IF('DLL Schedule'!Pay_Num&lt;&gt;"",IF('DLL Schedule'!Sched_Pay+'DLL Schedule'!Extra_Pay&lt;'DLL Schedule'!Beg_Bal,'DLL Schedule'!Sched_Pay+'DLL Schedule'!Extra_Pay,'DLL Schedule'!Beg_Bal),"")</f>
        <v/>
      </c>
      <c r="G453" s="525" t="str">
        <f>IF('DLL Schedule'!Pay_Num&lt;&gt;"",'DLL Schedule'!Total_Pay-'DLL Schedule'!Int,"")</f>
        <v/>
      </c>
      <c r="H453" s="525" t="str">
        <f>IF('DLL Schedule'!Pay_Num&lt;&gt;"",'DLL Schedule'!Beg_Bal*'DLL Schedule'!Interest_Rate/'DLL Schedule'!Num_Pmt_Per_Year,"")</f>
        <v/>
      </c>
      <c r="I453" s="525" t="str">
        <f>IF('DLL Schedule'!Pay_Num&lt;&gt;"",IF('DLL Schedule'!Sched_Pay+'DLL Schedule'!Extra_Pay&lt;'DLL Schedule'!Beg_Bal,'DLL Schedule'!Beg_Bal-'DLL Schedule'!Princ,0),"")</f>
        <v/>
      </c>
      <c r="J453" s="525">
        <f>SUM($H$18:$H453)</f>
        <v>257912.99524975716</v>
      </c>
      <c r="K453" s="499"/>
    </row>
    <row r="454" spans="1:11" ht="12.75" customHeight="1">
      <c r="A454" s="523" t="str">
        <f>IF(AND('DLL Schedule'!Values_Entered=1,A453&lt;&gt;"",I453&gt;0),A453+1,"")</f>
        <v/>
      </c>
      <c r="B454" s="524" t="str">
        <f>IF('DLL Schedule'!Pay_Num&lt;&gt;"",DATE(YEAR('DLL Schedule'!Loan_Start),MONTH('DLL Schedule'!Loan_Start)+('DLL Schedule'!Pay_Num)*12/'DLL Schedule'!Num_Pmt_Per_Year,DAY('DLL Schedule'!Loan_Start)),"")</f>
        <v/>
      </c>
      <c r="C454" s="525" t="str">
        <f>IF('DLL Schedule'!Pay_Num&lt;&gt;"",I453,"")</f>
        <v/>
      </c>
      <c r="D454" s="525" t="str">
        <f>IF('DLL Schedule'!Pay_Num&lt;&gt;"",'DLL Schedule'!Scheduled_Monthly_Payment,"")</f>
        <v/>
      </c>
      <c r="E4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4" s="525" t="str">
        <f>IF('DLL Schedule'!Pay_Num&lt;&gt;"",IF('DLL Schedule'!Sched_Pay+'DLL Schedule'!Extra_Pay&lt;'DLL Schedule'!Beg_Bal,'DLL Schedule'!Sched_Pay+'DLL Schedule'!Extra_Pay,'DLL Schedule'!Beg_Bal),"")</f>
        <v/>
      </c>
      <c r="G454" s="525" t="str">
        <f>IF('DLL Schedule'!Pay_Num&lt;&gt;"",'DLL Schedule'!Total_Pay-'DLL Schedule'!Int,"")</f>
        <v/>
      </c>
      <c r="H454" s="525" t="str">
        <f>IF('DLL Schedule'!Pay_Num&lt;&gt;"",'DLL Schedule'!Beg_Bal*'DLL Schedule'!Interest_Rate/'DLL Schedule'!Num_Pmt_Per_Year,"")</f>
        <v/>
      </c>
      <c r="I454" s="525" t="str">
        <f>IF('DLL Schedule'!Pay_Num&lt;&gt;"",IF('DLL Schedule'!Sched_Pay+'DLL Schedule'!Extra_Pay&lt;'DLL Schedule'!Beg_Bal,'DLL Schedule'!Beg_Bal-'DLL Schedule'!Princ,0),"")</f>
        <v/>
      </c>
      <c r="J454" s="525">
        <f>SUM($H$18:$H454)</f>
        <v>257912.99524975716</v>
      </c>
      <c r="K454" s="499"/>
    </row>
    <row r="455" spans="1:11" ht="12.75" customHeight="1">
      <c r="A455" s="523" t="str">
        <f>IF(AND('DLL Schedule'!Values_Entered=1,A454&lt;&gt;"",I454&gt;0),A454+1,"")</f>
        <v/>
      </c>
      <c r="B455" s="524" t="str">
        <f>IF('DLL Schedule'!Pay_Num&lt;&gt;"",DATE(YEAR('DLL Schedule'!Loan_Start),MONTH('DLL Schedule'!Loan_Start)+('DLL Schedule'!Pay_Num)*12/'DLL Schedule'!Num_Pmt_Per_Year,DAY('DLL Schedule'!Loan_Start)),"")</f>
        <v/>
      </c>
      <c r="C455" s="525" t="str">
        <f>IF('DLL Schedule'!Pay_Num&lt;&gt;"",I454,"")</f>
        <v/>
      </c>
      <c r="D455" s="525" t="str">
        <f>IF('DLL Schedule'!Pay_Num&lt;&gt;"",'DLL Schedule'!Scheduled_Monthly_Payment,"")</f>
        <v/>
      </c>
      <c r="E4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5" s="525" t="str">
        <f>IF('DLL Schedule'!Pay_Num&lt;&gt;"",IF('DLL Schedule'!Sched_Pay+'DLL Schedule'!Extra_Pay&lt;'DLL Schedule'!Beg_Bal,'DLL Schedule'!Sched_Pay+'DLL Schedule'!Extra_Pay,'DLL Schedule'!Beg_Bal),"")</f>
        <v/>
      </c>
      <c r="G455" s="525" t="str">
        <f>IF('DLL Schedule'!Pay_Num&lt;&gt;"",'DLL Schedule'!Total_Pay-'DLL Schedule'!Int,"")</f>
        <v/>
      </c>
      <c r="H455" s="525" t="str">
        <f>IF('DLL Schedule'!Pay_Num&lt;&gt;"",'DLL Schedule'!Beg_Bal*'DLL Schedule'!Interest_Rate/'DLL Schedule'!Num_Pmt_Per_Year,"")</f>
        <v/>
      </c>
      <c r="I455" s="525" t="str">
        <f>IF('DLL Schedule'!Pay_Num&lt;&gt;"",IF('DLL Schedule'!Sched_Pay+'DLL Schedule'!Extra_Pay&lt;'DLL Schedule'!Beg_Bal,'DLL Schedule'!Beg_Bal-'DLL Schedule'!Princ,0),"")</f>
        <v/>
      </c>
      <c r="J455" s="525">
        <f>SUM($H$18:$H455)</f>
        <v>257912.99524975716</v>
      </c>
      <c r="K455" s="499"/>
    </row>
    <row r="456" spans="1:11" ht="12.75" customHeight="1">
      <c r="A456" s="523" t="str">
        <f>IF(AND('DLL Schedule'!Values_Entered=1,A455&lt;&gt;"",I455&gt;0),A455+1,"")</f>
        <v/>
      </c>
      <c r="B456" s="524" t="str">
        <f>IF('DLL Schedule'!Pay_Num&lt;&gt;"",DATE(YEAR('DLL Schedule'!Loan_Start),MONTH('DLL Schedule'!Loan_Start)+('DLL Schedule'!Pay_Num)*12/'DLL Schedule'!Num_Pmt_Per_Year,DAY('DLL Schedule'!Loan_Start)),"")</f>
        <v/>
      </c>
      <c r="C456" s="525" t="str">
        <f>IF('DLL Schedule'!Pay_Num&lt;&gt;"",I455,"")</f>
        <v/>
      </c>
      <c r="D456" s="525" t="str">
        <f>IF('DLL Schedule'!Pay_Num&lt;&gt;"",'DLL Schedule'!Scheduled_Monthly_Payment,"")</f>
        <v/>
      </c>
      <c r="E4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6" s="525" t="str">
        <f>IF('DLL Schedule'!Pay_Num&lt;&gt;"",IF('DLL Schedule'!Sched_Pay+'DLL Schedule'!Extra_Pay&lt;'DLL Schedule'!Beg_Bal,'DLL Schedule'!Sched_Pay+'DLL Schedule'!Extra_Pay,'DLL Schedule'!Beg_Bal),"")</f>
        <v/>
      </c>
      <c r="G456" s="525" t="str">
        <f>IF('DLL Schedule'!Pay_Num&lt;&gt;"",'DLL Schedule'!Total_Pay-'DLL Schedule'!Int,"")</f>
        <v/>
      </c>
      <c r="H456" s="525" t="str">
        <f>IF('DLL Schedule'!Pay_Num&lt;&gt;"",'DLL Schedule'!Beg_Bal*'DLL Schedule'!Interest_Rate/'DLL Schedule'!Num_Pmt_Per_Year,"")</f>
        <v/>
      </c>
      <c r="I456" s="525" t="str">
        <f>IF('DLL Schedule'!Pay_Num&lt;&gt;"",IF('DLL Schedule'!Sched_Pay+'DLL Schedule'!Extra_Pay&lt;'DLL Schedule'!Beg_Bal,'DLL Schedule'!Beg_Bal-'DLL Schedule'!Princ,0),"")</f>
        <v/>
      </c>
      <c r="J456" s="525">
        <f>SUM($H$18:$H456)</f>
        <v>257912.99524975716</v>
      </c>
      <c r="K456" s="499"/>
    </row>
    <row r="457" spans="1:11" ht="12.75" customHeight="1">
      <c r="A457" s="523" t="str">
        <f>IF(AND('DLL Schedule'!Values_Entered=1,A456&lt;&gt;"",I456&gt;0),A456+1,"")</f>
        <v/>
      </c>
      <c r="B457" s="524" t="str">
        <f>IF('DLL Schedule'!Pay_Num&lt;&gt;"",DATE(YEAR('DLL Schedule'!Loan_Start),MONTH('DLL Schedule'!Loan_Start)+('DLL Schedule'!Pay_Num)*12/'DLL Schedule'!Num_Pmt_Per_Year,DAY('DLL Schedule'!Loan_Start)),"")</f>
        <v/>
      </c>
      <c r="C457" s="525" t="str">
        <f>IF('DLL Schedule'!Pay_Num&lt;&gt;"",I456,"")</f>
        <v/>
      </c>
      <c r="D457" s="525" t="str">
        <f>IF('DLL Schedule'!Pay_Num&lt;&gt;"",'DLL Schedule'!Scheduled_Monthly_Payment,"")</f>
        <v/>
      </c>
      <c r="E4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7" s="525" t="str">
        <f>IF('DLL Schedule'!Pay_Num&lt;&gt;"",IF('DLL Schedule'!Sched_Pay+'DLL Schedule'!Extra_Pay&lt;'DLL Schedule'!Beg_Bal,'DLL Schedule'!Sched_Pay+'DLL Schedule'!Extra_Pay,'DLL Schedule'!Beg_Bal),"")</f>
        <v/>
      </c>
      <c r="G457" s="525" t="str">
        <f>IF('DLL Schedule'!Pay_Num&lt;&gt;"",'DLL Schedule'!Total_Pay-'DLL Schedule'!Int,"")</f>
        <v/>
      </c>
      <c r="H457" s="525" t="str">
        <f>IF('DLL Schedule'!Pay_Num&lt;&gt;"",'DLL Schedule'!Beg_Bal*'DLL Schedule'!Interest_Rate/'DLL Schedule'!Num_Pmt_Per_Year,"")</f>
        <v/>
      </c>
      <c r="I457" s="525" t="str">
        <f>IF('DLL Schedule'!Pay_Num&lt;&gt;"",IF('DLL Schedule'!Sched_Pay+'DLL Schedule'!Extra_Pay&lt;'DLL Schedule'!Beg_Bal,'DLL Schedule'!Beg_Bal-'DLL Schedule'!Princ,0),"")</f>
        <v/>
      </c>
      <c r="J457" s="525">
        <f>SUM($H$18:$H457)</f>
        <v>257912.99524975716</v>
      </c>
      <c r="K457" s="499"/>
    </row>
    <row r="458" spans="1:11" ht="12.75" customHeight="1">
      <c r="A458" s="523" t="str">
        <f>IF(AND('DLL Schedule'!Values_Entered=1,A457&lt;&gt;"",I457&gt;0),A457+1,"")</f>
        <v/>
      </c>
      <c r="B458" s="524" t="str">
        <f>IF('DLL Schedule'!Pay_Num&lt;&gt;"",DATE(YEAR('DLL Schedule'!Loan_Start),MONTH('DLL Schedule'!Loan_Start)+('DLL Schedule'!Pay_Num)*12/'DLL Schedule'!Num_Pmt_Per_Year,DAY('DLL Schedule'!Loan_Start)),"")</f>
        <v/>
      </c>
      <c r="C458" s="525" t="str">
        <f>IF('DLL Schedule'!Pay_Num&lt;&gt;"",I457,"")</f>
        <v/>
      </c>
      <c r="D458" s="525" t="str">
        <f>IF('DLL Schedule'!Pay_Num&lt;&gt;"",'DLL Schedule'!Scheduled_Monthly_Payment,"")</f>
        <v/>
      </c>
      <c r="E4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8" s="525" t="str">
        <f>IF('DLL Schedule'!Pay_Num&lt;&gt;"",IF('DLL Schedule'!Sched_Pay+'DLL Schedule'!Extra_Pay&lt;'DLL Schedule'!Beg_Bal,'DLL Schedule'!Sched_Pay+'DLL Schedule'!Extra_Pay,'DLL Schedule'!Beg_Bal),"")</f>
        <v/>
      </c>
      <c r="G458" s="525" t="str">
        <f>IF('DLL Schedule'!Pay_Num&lt;&gt;"",'DLL Schedule'!Total_Pay-'DLL Schedule'!Int,"")</f>
        <v/>
      </c>
      <c r="H458" s="525" t="str">
        <f>IF('DLL Schedule'!Pay_Num&lt;&gt;"",'DLL Schedule'!Beg_Bal*'DLL Schedule'!Interest_Rate/'DLL Schedule'!Num_Pmt_Per_Year,"")</f>
        <v/>
      </c>
      <c r="I458" s="525" t="str">
        <f>IF('DLL Schedule'!Pay_Num&lt;&gt;"",IF('DLL Schedule'!Sched_Pay+'DLL Schedule'!Extra_Pay&lt;'DLL Schedule'!Beg_Bal,'DLL Schedule'!Beg_Bal-'DLL Schedule'!Princ,0),"")</f>
        <v/>
      </c>
      <c r="J458" s="525">
        <f>SUM($H$18:$H458)</f>
        <v>257912.99524975716</v>
      </c>
      <c r="K458" s="499"/>
    </row>
    <row r="459" spans="1:11" ht="12.75" customHeight="1">
      <c r="A459" s="523" t="str">
        <f>IF(AND('DLL Schedule'!Values_Entered=1,A458&lt;&gt;"",I458&gt;0),A458+1,"")</f>
        <v/>
      </c>
      <c r="B459" s="524" t="str">
        <f>IF('DLL Schedule'!Pay_Num&lt;&gt;"",DATE(YEAR('DLL Schedule'!Loan_Start),MONTH('DLL Schedule'!Loan_Start)+('DLL Schedule'!Pay_Num)*12/'DLL Schedule'!Num_Pmt_Per_Year,DAY('DLL Schedule'!Loan_Start)),"")</f>
        <v/>
      </c>
      <c r="C459" s="525" t="str">
        <f>IF('DLL Schedule'!Pay_Num&lt;&gt;"",I458,"")</f>
        <v/>
      </c>
      <c r="D459" s="525" t="str">
        <f>IF('DLL Schedule'!Pay_Num&lt;&gt;"",'DLL Schedule'!Scheduled_Monthly_Payment,"")</f>
        <v/>
      </c>
      <c r="E4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9" s="525" t="str">
        <f>IF('DLL Schedule'!Pay_Num&lt;&gt;"",IF('DLL Schedule'!Sched_Pay+'DLL Schedule'!Extra_Pay&lt;'DLL Schedule'!Beg_Bal,'DLL Schedule'!Sched_Pay+'DLL Schedule'!Extra_Pay,'DLL Schedule'!Beg_Bal),"")</f>
        <v/>
      </c>
      <c r="G459" s="525" t="str">
        <f>IF('DLL Schedule'!Pay_Num&lt;&gt;"",'DLL Schedule'!Total_Pay-'DLL Schedule'!Int,"")</f>
        <v/>
      </c>
      <c r="H459" s="525" t="str">
        <f>IF('DLL Schedule'!Pay_Num&lt;&gt;"",'DLL Schedule'!Beg_Bal*'DLL Schedule'!Interest_Rate/'DLL Schedule'!Num_Pmt_Per_Year,"")</f>
        <v/>
      </c>
      <c r="I459" s="525" t="str">
        <f>IF('DLL Schedule'!Pay_Num&lt;&gt;"",IF('DLL Schedule'!Sched_Pay+'DLL Schedule'!Extra_Pay&lt;'DLL Schedule'!Beg_Bal,'DLL Schedule'!Beg_Bal-'DLL Schedule'!Princ,0),"")</f>
        <v/>
      </c>
      <c r="J459" s="525">
        <f>SUM($H$18:$H459)</f>
        <v>257912.99524975716</v>
      </c>
      <c r="K459" s="499"/>
    </row>
    <row r="460" spans="1:11" ht="12.75" customHeight="1">
      <c r="A460" s="523" t="str">
        <f>IF(AND('DLL Schedule'!Values_Entered=1,A459&lt;&gt;"",I459&gt;0),A459+1,"")</f>
        <v/>
      </c>
      <c r="B460" s="524" t="str">
        <f>IF('DLL Schedule'!Pay_Num&lt;&gt;"",DATE(YEAR('DLL Schedule'!Loan_Start),MONTH('DLL Schedule'!Loan_Start)+('DLL Schedule'!Pay_Num)*12/'DLL Schedule'!Num_Pmt_Per_Year,DAY('DLL Schedule'!Loan_Start)),"")</f>
        <v/>
      </c>
      <c r="C460" s="525" t="str">
        <f>IF('DLL Schedule'!Pay_Num&lt;&gt;"",I459,"")</f>
        <v/>
      </c>
      <c r="D460" s="525" t="str">
        <f>IF('DLL Schedule'!Pay_Num&lt;&gt;"",'DLL Schedule'!Scheduled_Monthly_Payment,"")</f>
        <v/>
      </c>
      <c r="E4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0" s="525" t="str">
        <f>IF('DLL Schedule'!Pay_Num&lt;&gt;"",IF('DLL Schedule'!Sched_Pay+'DLL Schedule'!Extra_Pay&lt;'DLL Schedule'!Beg_Bal,'DLL Schedule'!Sched_Pay+'DLL Schedule'!Extra_Pay,'DLL Schedule'!Beg_Bal),"")</f>
        <v/>
      </c>
      <c r="G460" s="525" t="str">
        <f>IF('DLL Schedule'!Pay_Num&lt;&gt;"",'DLL Schedule'!Total_Pay-'DLL Schedule'!Int,"")</f>
        <v/>
      </c>
      <c r="H460" s="525" t="str">
        <f>IF('DLL Schedule'!Pay_Num&lt;&gt;"",'DLL Schedule'!Beg_Bal*'DLL Schedule'!Interest_Rate/'DLL Schedule'!Num_Pmt_Per_Year,"")</f>
        <v/>
      </c>
      <c r="I460" s="525" t="str">
        <f>IF('DLL Schedule'!Pay_Num&lt;&gt;"",IF('DLL Schedule'!Sched_Pay+'DLL Schedule'!Extra_Pay&lt;'DLL Schedule'!Beg_Bal,'DLL Schedule'!Beg_Bal-'DLL Schedule'!Princ,0),"")</f>
        <v/>
      </c>
      <c r="J460" s="525">
        <f>SUM($H$18:$H460)</f>
        <v>257912.99524975716</v>
      </c>
      <c r="K460" s="499"/>
    </row>
    <row r="461" spans="1:11" ht="12.75" customHeight="1">
      <c r="A461" s="523" t="str">
        <f>IF(AND('DLL Schedule'!Values_Entered=1,A460&lt;&gt;"",I460&gt;0),A460+1,"")</f>
        <v/>
      </c>
      <c r="B461" s="524" t="str">
        <f>IF('DLL Schedule'!Pay_Num&lt;&gt;"",DATE(YEAR('DLL Schedule'!Loan_Start),MONTH('DLL Schedule'!Loan_Start)+('DLL Schedule'!Pay_Num)*12/'DLL Schedule'!Num_Pmt_Per_Year,DAY('DLL Schedule'!Loan_Start)),"")</f>
        <v/>
      </c>
      <c r="C461" s="525" t="str">
        <f>IF('DLL Schedule'!Pay_Num&lt;&gt;"",I460,"")</f>
        <v/>
      </c>
      <c r="D461" s="525" t="str">
        <f>IF('DLL Schedule'!Pay_Num&lt;&gt;"",'DLL Schedule'!Scheduled_Monthly_Payment,"")</f>
        <v/>
      </c>
      <c r="E4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1" s="525" t="str">
        <f>IF('DLL Schedule'!Pay_Num&lt;&gt;"",IF('DLL Schedule'!Sched_Pay+'DLL Schedule'!Extra_Pay&lt;'DLL Schedule'!Beg_Bal,'DLL Schedule'!Sched_Pay+'DLL Schedule'!Extra_Pay,'DLL Schedule'!Beg_Bal),"")</f>
        <v/>
      </c>
      <c r="G461" s="525" t="str">
        <f>IF('DLL Schedule'!Pay_Num&lt;&gt;"",'DLL Schedule'!Total_Pay-'DLL Schedule'!Int,"")</f>
        <v/>
      </c>
      <c r="H461" s="525" t="str">
        <f>IF('DLL Schedule'!Pay_Num&lt;&gt;"",'DLL Schedule'!Beg_Bal*'DLL Schedule'!Interest_Rate/'DLL Schedule'!Num_Pmt_Per_Year,"")</f>
        <v/>
      </c>
      <c r="I461" s="525" t="str">
        <f>IF('DLL Schedule'!Pay_Num&lt;&gt;"",IF('DLL Schedule'!Sched_Pay+'DLL Schedule'!Extra_Pay&lt;'DLL Schedule'!Beg_Bal,'DLL Schedule'!Beg_Bal-'DLL Schedule'!Princ,0),"")</f>
        <v/>
      </c>
      <c r="J461" s="525">
        <f>SUM($H$18:$H461)</f>
        <v>257912.99524975716</v>
      </c>
      <c r="K461" s="499"/>
    </row>
    <row r="462" spans="1:11" ht="12.75" customHeight="1">
      <c r="A462" s="523" t="str">
        <f>IF(AND('DLL Schedule'!Values_Entered=1,A461&lt;&gt;"",I461&gt;0),A461+1,"")</f>
        <v/>
      </c>
      <c r="B462" s="524" t="str">
        <f>IF('DLL Schedule'!Pay_Num&lt;&gt;"",DATE(YEAR('DLL Schedule'!Loan_Start),MONTH('DLL Schedule'!Loan_Start)+('DLL Schedule'!Pay_Num)*12/'DLL Schedule'!Num_Pmt_Per_Year,DAY('DLL Schedule'!Loan_Start)),"")</f>
        <v/>
      </c>
      <c r="C462" s="525" t="str">
        <f>IF('DLL Schedule'!Pay_Num&lt;&gt;"",I461,"")</f>
        <v/>
      </c>
      <c r="D462" s="525" t="str">
        <f>IF('DLL Schedule'!Pay_Num&lt;&gt;"",'DLL Schedule'!Scheduled_Monthly_Payment,"")</f>
        <v/>
      </c>
      <c r="E4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2" s="525" t="str">
        <f>IF('DLL Schedule'!Pay_Num&lt;&gt;"",IF('DLL Schedule'!Sched_Pay+'DLL Schedule'!Extra_Pay&lt;'DLL Schedule'!Beg_Bal,'DLL Schedule'!Sched_Pay+'DLL Schedule'!Extra_Pay,'DLL Schedule'!Beg_Bal),"")</f>
        <v/>
      </c>
      <c r="G462" s="525" t="str">
        <f>IF('DLL Schedule'!Pay_Num&lt;&gt;"",'DLL Schedule'!Total_Pay-'DLL Schedule'!Int,"")</f>
        <v/>
      </c>
      <c r="H462" s="525" t="str">
        <f>IF('DLL Schedule'!Pay_Num&lt;&gt;"",'DLL Schedule'!Beg_Bal*'DLL Schedule'!Interest_Rate/'DLL Schedule'!Num_Pmt_Per_Year,"")</f>
        <v/>
      </c>
      <c r="I462" s="525" t="str">
        <f>IF('DLL Schedule'!Pay_Num&lt;&gt;"",IF('DLL Schedule'!Sched_Pay+'DLL Schedule'!Extra_Pay&lt;'DLL Schedule'!Beg_Bal,'DLL Schedule'!Beg_Bal-'DLL Schedule'!Princ,0),"")</f>
        <v/>
      </c>
      <c r="J462" s="525">
        <f>SUM($H$18:$H462)</f>
        <v>257912.99524975716</v>
      </c>
      <c r="K462" s="499"/>
    </row>
    <row r="463" spans="1:11" ht="12.75" customHeight="1">
      <c r="A463" s="523" t="str">
        <f>IF(AND('DLL Schedule'!Values_Entered=1,A462&lt;&gt;"",I462&gt;0),A462+1,"")</f>
        <v/>
      </c>
      <c r="B463" s="524" t="str">
        <f>IF('DLL Schedule'!Pay_Num&lt;&gt;"",DATE(YEAR('DLL Schedule'!Loan_Start),MONTH('DLL Schedule'!Loan_Start)+('DLL Schedule'!Pay_Num)*12/'DLL Schedule'!Num_Pmt_Per_Year,DAY('DLL Schedule'!Loan_Start)),"")</f>
        <v/>
      </c>
      <c r="C463" s="525" t="str">
        <f>IF('DLL Schedule'!Pay_Num&lt;&gt;"",I462,"")</f>
        <v/>
      </c>
      <c r="D463" s="525" t="str">
        <f>IF('DLL Schedule'!Pay_Num&lt;&gt;"",'DLL Schedule'!Scheduled_Monthly_Payment,"")</f>
        <v/>
      </c>
      <c r="E4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3" s="525" t="str">
        <f>IF('DLL Schedule'!Pay_Num&lt;&gt;"",IF('DLL Schedule'!Sched_Pay+'DLL Schedule'!Extra_Pay&lt;'DLL Schedule'!Beg_Bal,'DLL Schedule'!Sched_Pay+'DLL Schedule'!Extra_Pay,'DLL Schedule'!Beg_Bal),"")</f>
        <v/>
      </c>
      <c r="G463" s="525" t="str">
        <f>IF('DLL Schedule'!Pay_Num&lt;&gt;"",'DLL Schedule'!Total_Pay-'DLL Schedule'!Int,"")</f>
        <v/>
      </c>
      <c r="H463" s="525" t="str">
        <f>IF('DLL Schedule'!Pay_Num&lt;&gt;"",'DLL Schedule'!Beg_Bal*'DLL Schedule'!Interest_Rate/'DLL Schedule'!Num_Pmt_Per_Year,"")</f>
        <v/>
      </c>
      <c r="I463" s="525" t="str">
        <f>IF('DLL Schedule'!Pay_Num&lt;&gt;"",IF('DLL Schedule'!Sched_Pay+'DLL Schedule'!Extra_Pay&lt;'DLL Schedule'!Beg_Bal,'DLL Schedule'!Beg_Bal-'DLL Schedule'!Princ,0),"")</f>
        <v/>
      </c>
      <c r="J463" s="525">
        <f>SUM($H$18:$H463)</f>
        <v>257912.99524975716</v>
      </c>
      <c r="K463" s="499"/>
    </row>
    <row r="464" spans="1:11" ht="12.75" customHeight="1">
      <c r="A464" s="523" t="str">
        <f>IF(AND('DLL Schedule'!Values_Entered=1,A463&lt;&gt;"",I463&gt;0),A463+1,"")</f>
        <v/>
      </c>
      <c r="B464" s="524" t="str">
        <f>IF('DLL Schedule'!Pay_Num&lt;&gt;"",DATE(YEAR('DLL Schedule'!Loan_Start),MONTH('DLL Schedule'!Loan_Start)+('DLL Schedule'!Pay_Num)*12/'DLL Schedule'!Num_Pmt_Per_Year,DAY('DLL Schedule'!Loan_Start)),"")</f>
        <v/>
      </c>
      <c r="C464" s="525" t="str">
        <f>IF('DLL Schedule'!Pay_Num&lt;&gt;"",I463,"")</f>
        <v/>
      </c>
      <c r="D464" s="525" t="str">
        <f>IF('DLL Schedule'!Pay_Num&lt;&gt;"",'DLL Schedule'!Scheduled_Monthly_Payment,"")</f>
        <v/>
      </c>
      <c r="E4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4" s="525" t="str">
        <f>IF('DLL Schedule'!Pay_Num&lt;&gt;"",IF('DLL Schedule'!Sched_Pay+'DLL Schedule'!Extra_Pay&lt;'DLL Schedule'!Beg_Bal,'DLL Schedule'!Sched_Pay+'DLL Schedule'!Extra_Pay,'DLL Schedule'!Beg_Bal),"")</f>
        <v/>
      </c>
      <c r="G464" s="525" t="str">
        <f>IF('DLL Schedule'!Pay_Num&lt;&gt;"",'DLL Schedule'!Total_Pay-'DLL Schedule'!Int,"")</f>
        <v/>
      </c>
      <c r="H464" s="525" t="str">
        <f>IF('DLL Schedule'!Pay_Num&lt;&gt;"",'DLL Schedule'!Beg_Bal*'DLL Schedule'!Interest_Rate/'DLL Schedule'!Num_Pmt_Per_Year,"")</f>
        <v/>
      </c>
      <c r="I464" s="525" t="str">
        <f>IF('DLL Schedule'!Pay_Num&lt;&gt;"",IF('DLL Schedule'!Sched_Pay+'DLL Schedule'!Extra_Pay&lt;'DLL Schedule'!Beg_Bal,'DLL Schedule'!Beg_Bal-'DLL Schedule'!Princ,0),"")</f>
        <v/>
      </c>
      <c r="J464" s="525">
        <f>SUM($H$18:$H464)</f>
        <v>257912.99524975716</v>
      </c>
      <c r="K464" s="499"/>
    </row>
    <row r="465" spans="1:11" ht="12.75" customHeight="1">
      <c r="A465" s="523" t="str">
        <f>IF(AND('DLL Schedule'!Values_Entered=1,A464&lt;&gt;"",I464&gt;0),A464+1,"")</f>
        <v/>
      </c>
      <c r="B465" s="524" t="str">
        <f>IF('DLL Schedule'!Pay_Num&lt;&gt;"",DATE(YEAR('DLL Schedule'!Loan_Start),MONTH('DLL Schedule'!Loan_Start)+('DLL Schedule'!Pay_Num)*12/'DLL Schedule'!Num_Pmt_Per_Year,DAY('DLL Schedule'!Loan_Start)),"")</f>
        <v/>
      </c>
      <c r="C465" s="525" t="str">
        <f>IF('DLL Schedule'!Pay_Num&lt;&gt;"",I464,"")</f>
        <v/>
      </c>
      <c r="D465" s="525" t="str">
        <f>IF('DLL Schedule'!Pay_Num&lt;&gt;"",'DLL Schedule'!Scheduled_Monthly_Payment,"")</f>
        <v/>
      </c>
      <c r="E4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5" s="525" t="str">
        <f>IF('DLL Schedule'!Pay_Num&lt;&gt;"",IF('DLL Schedule'!Sched_Pay+'DLL Schedule'!Extra_Pay&lt;'DLL Schedule'!Beg_Bal,'DLL Schedule'!Sched_Pay+'DLL Schedule'!Extra_Pay,'DLL Schedule'!Beg_Bal),"")</f>
        <v/>
      </c>
      <c r="G465" s="525" t="str">
        <f>IF('DLL Schedule'!Pay_Num&lt;&gt;"",'DLL Schedule'!Total_Pay-'DLL Schedule'!Int,"")</f>
        <v/>
      </c>
      <c r="H465" s="525" t="str">
        <f>IF('DLL Schedule'!Pay_Num&lt;&gt;"",'DLL Schedule'!Beg_Bal*'DLL Schedule'!Interest_Rate/'DLL Schedule'!Num_Pmt_Per_Year,"")</f>
        <v/>
      </c>
      <c r="I465" s="525" t="str">
        <f>IF('DLL Schedule'!Pay_Num&lt;&gt;"",IF('DLL Schedule'!Sched_Pay+'DLL Schedule'!Extra_Pay&lt;'DLL Schedule'!Beg_Bal,'DLL Schedule'!Beg_Bal-'DLL Schedule'!Princ,0),"")</f>
        <v/>
      </c>
      <c r="J465" s="525">
        <f>SUM($H$18:$H465)</f>
        <v>257912.99524975716</v>
      </c>
      <c r="K465" s="499"/>
    </row>
    <row r="466" spans="1:11" ht="12.75" customHeight="1">
      <c r="A466" s="523" t="str">
        <f>IF(AND('DLL Schedule'!Values_Entered=1,A465&lt;&gt;"",I465&gt;0),A465+1,"")</f>
        <v/>
      </c>
      <c r="B466" s="524" t="str">
        <f>IF('DLL Schedule'!Pay_Num&lt;&gt;"",DATE(YEAR('DLL Schedule'!Loan_Start),MONTH('DLL Schedule'!Loan_Start)+('DLL Schedule'!Pay_Num)*12/'DLL Schedule'!Num_Pmt_Per_Year,DAY('DLL Schedule'!Loan_Start)),"")</f>
        <v/>
      </c>
      <c r="C466" s="525" t="str">
        <f>IF('DLL Schedule'!Pay_Num&lt;&gt;"",I465,"")</f>
        <v/>
      </c>
      <c r="D466" s="525" t="str">
        <f>IF('DLL Schedule'!Pay_Num&lt;&gt;"",'DLL Schedule'!Scheduled_Monthly_Payment,"")</f>
        <v/>
      </c>
      <c r="E4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6" s="525" t="str">
        <f>IF('DLL Schedule'!Pay_Num&lt;&gt;"",IF('DLL Schedule'!Sched_Pay+'DLL Schedule'!Extra_Pay&lt;'DLL Schedule'!Beg_Bal,'DLL Schedule'!Sched_Pay+'DLL Schedule'!Extra_Pay,'DLL Schedule'!Beg_Bal),"")</f>
        <v/>
      </c>
      <c r="G466" s="525" t="str">
        <f>IF('DLL Schedule'!Pay_Num&lt;&gt;"",'DLL Schedule'!Total_Pay-'DLL Schedule'!Int,"")</f>
        <v/>
      </c>
      <c r="H466" s="525" t="str">
        <f>IF('DLL Schedule'!Pay_Num&lt;&gt;"",'DLL Schedule'!Beg_Bal*'DLL Schedule'!Interest_Rate/'DLL Schedule'!Num_Pmt_Per_Year,"")</f>
        <v/>
      </c>
      <c r="I466" s="525" t="str">
        <f>IF('DLL Schedule'!Pay_Num&lt;&gt;"",IF('DLL Schedule'!Sched_Pay+'DLL Schedule'!Extra_Pay&lt;'DLL Schedule'!Beg_Bal,'DLL Schedule'!Beg_Bal-'DLL Schedule'!Princ,0),"")</f>
        <v/>
      </c>
      <c r="J466" s="525">
        <f>SUM($H$18:$H466)</f>
        <v>257912.99524975716</v>
      </c>
      <c r="K466" s="499"/>
    </row>
    <row r="467" spans="1:11" ht="12.75" customHeight="1">
      <c r="A467" s="523" t="str">
        <f>IF(AND('DLL Schedule'!Values_Entered=1,A466&lt;&gt;"",I466&gt;0),A466+1,"")</f>
        <v/>
      </c>
      <c r="B467" s="524" t="str">
        <f>IF('DLL Schedule'!Pay_Num&lt;&gt;"",DATE(YEAR('DLL Schedule'!Loan_Start),MONTH('DLL Schedule'!Loan_Start)+('DLL Schedule'!Pay_Num)*12/'DLL Schedule'!Num_Pmt_Per_Year,DAY('DLL Schedule'!Loan_Start)),"")</f>
        <v/>
      </c>
      <c r="C467" s="525" t="str">
        <f>IF('DLL Schedule'!Pay_Num&lt;&gt;"",I466,"")</f>
        <v/>
      </c>
      <c r="D467" s="525" t="str">
        <f>IF('DLL Schedule'!Pay_Num&lt;&gt;"",'DLL Schedule'!Scheduled_Monthly_Payment,"")</f>
        <v/>
      </c>
      <c r="E4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7" s="525" t="str">
        <f>IF('DLL Schedule'!Pay_Num&lt;&gt;"",IF('DLL Schedule'!Sched_Pay+'DLL Schedule'!Extra_Pay&lt;'DLL Schedule'!Beg_Bal,'DLL Schedule'!Sched_Pay+'DLL Schedule'!Extra_Pay,'DLL Schedule'!Beg_Bal),"")</f>
        <v/>
      </c>
      <c r="G467" s="525" t="str">
        <f>IF('DLL Schedule'!Pay_Num&lt;&gt;"",'DLL Schedule'!Total_Pay-'DLL Schedule'!Int,"")</f>
        <v/>
      </c>
      <c r="H467" s="525" t="str">
        <f>IF('DLL Schedule'!Pay_Num&lt;&gt;"",'DLL Schedule'!Beg_Bal*'DLL Schedule'!Interest_Rate/'DLL Schedule'!Num_Pmt_Per_Year,"")</f>
        <v/>
      </c>
      <c r="I467" s="525" t="str">
        <f>IF('DLL Schedule'!Pay_Num&lt;&gt;"",IF('DLL Schedule'!Sched_Pay+'DLL Schedule'!Extra_Pay&lt;'DLL Schedule'!Beg_Bal,'DLL Schedule'!Beg_Bal-'DLL Schedule'!Princ,0),"")</f>
        <v/>
      </c>
      <c r="J467" s="525">
        <f>SUM($H$18:$H467)</f>
        <v>257912.99524975716</v>
      </c>
      <c r="K467" s="499"/>
    </row>
    <row r="468" spans="1:11" ht="12.75" customHeight="1">
      <c r="A468" s="523" t="str">
        <f>IF(AND('DLL Schedule'!Values_Entered=1,A467&lt;&gt;"",I467&gt;0),A467+1,"")</f>
        <v/>
      </c>
      <c r="B468" s="524" t="str">
        <f>IF('DLL Schedule'!Pay_Num&lt;&gt;"",DATE(YEAR('DLL Schedule'!Loan_Start),MONTH('DLL Schedule'!Loan_Start)+('DLL Schedule'!Pay_Num)*12/'DLL Schedule'!Num_Pmt_Per_Year,DAY('DLL Schedule'!Loan_Start)),"")</f>
        <v/>
      </c>
      <c r="C468" s="525" t="str">
        <f>IF('DLL Schedule'!Pay_Num&lt;&gt;"",I467,"")</f>
        <v/>
      </c>
      <c r="D468" s="525" t="str">
        <f>IF('DLL Schedule'!Pay_Num&lt;&gt;"",'DLL Schedule'!Scheduled_Monthly_Payment,"")</f>
        <v/>
      </c>
      <c r="E4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8" s="525" t="str">
        <f>IF('DLL Schedule'!Pay_Num&lt;&gt;"",IF('DLL Schedule'!Sched_Pay+'DLL Schedule'!Extra_Pay&lt;'DLL Schedule'!Beg_Bal,'DLL Schedule'!Sched_Pay+'DLL Schedule'!Extra_Pay,'DLL Schedule'!Beg_Bal),"")</f>
        <v/>
      </c>
      <c r="G468" s="525" t="str">
        <f>IF('DLL Schedule'!Pay_Num&lt;&gt;"",'DLL Schedule'!Total_Pay-'DLL Schedule'!Int,"")</f>
        <v/>
      </c>
      <c r="H468" s="525" t="str">
        <f>IF('DLL Schedule'!Pay_Num&lt;&gt;"",'DLL Schedule'!Beg_Bal*'DLL Schedule'!Interest_Rate/'DLL Schedule'!Num_Pmt_Per_Year,"")</f>
        <v/>
      </c>
      <c r="I468" s="525" t="str">
        <f>IF('DLL Schedule'!Pay_Num&lt;&gt;"",IF('DLL Schedule'!Sched_Pay+'DLL Schedule'!Extra_Pay&lt;'DLL Schedule'!Beg_Bal,'DLL Schedule'!Beg_Bal-'DLL Schedule'!Princ,0),"")</f>
        <v/>
      </c>
      <c r="J468" s="525">
        <f>SUM($H$18:$H468)</f>
        <v>257912.99524975716</v>
      </c>
      <c r="K468" s="499"/>
    </row>
    <row r="469" spans="1:11" ht="12.75" customHeight="1">
      <c r="A469" s="523" t="str">
        <f>IF(AND('DLL Schedule'!Values_Entered=1,A468&lt;&gt;"",I468&gt;0),A468+1,"")</f>
        <v/>
      </c>
      <c r="B469" s="524" t="str">
        <f>IF('DLL Schedule'!Pay_Num&lt;&gt;"",DATE(YEAR('DLL Schedule'!Loan_Start),MONTH('DLL Schedule'!Loan_Start)+('DLL Schedule'!Pay_Num)*12/'DLL Schedule'!Num_Pmt_Per_Year,DAY('DLL Schedule'!Loan_Start)),"")</f>
        <v/>
      </c>
      <c r="C469" s="525" t="str">
        <f>IF('DLL Schedule'!Pay_Num&lt;&gt;"",I468,"")</f>
        <v/>
      </c>
      <c r="D469" s="525" t="str">
        <f>IF('DLL Schedule'!Pay_Num&lt;&gt;"",'DLL Schedule'!Scheduled_Monthly_Payment,"")</f>
        <v/>
      </c>
      <c r="E4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9" s="525" t="str">
        <f>IF('DLL Schedule'!Pay_Num&lt;&gt;"",IF('DLL Schedule'!Sched_Pay+'DLL Schedule'!Extra_Pay&lt;'DLL Schedule'!Beg_Bal,'DLL Schedule'!Sched_Pay+'DLL Schedule'!Extra_Pay,'DLL Schedule'!Beg_Bal),"")</f>
        <v/>
      </c>
      <c r="G469" s="525" t="str">
        <f>IF('DLL Schedule'!Pay_Num&lt;&gt;"",'DLL Schedule'!Total_Pay-'DLL Schedule'!Int,"")</f>
        <v/>
      </c>
      <c r="H469" s="525" t="str">
        <f>IF('DLL Schedule'!Pay_Num&lt;&gt;"",'DLL Schedule'!Beg_Bal*'DLL Schedule'!Interest_Rate/'DLL Schedule'!Num_Pmt_Per_Year,"")</f>
        <v/>
      </c>
      <c r="I469" s="525" t="str">
        <f>IF('DLL Schedule'!Pay_Num&lt;&gt;"",IF('DLL Schedule'!Sched_Pay+'DLL Schedule'!Extra_Pay&lt;'DLL Schedule'!Beg_Bal,'DLL Schedule'!Beg_Bal-'DLL Schedule'!Princ,0),"")</f>
        <v/>
      </c>
      <c r="J469" s="525">
        <f>SUM($H$18:$H469)</f>
        <v>257912.99524975716</v>
      </c>
      <c r="K469" s="499"/>
    </row>
    <row r="470" spans="1:11" ht="12.75" customHeight="1">
      <c r="A470" s="523" t="str">
        <f>IF(AND('DLL Schedule'!Values_Entered=1,A469&lt;&gt;"",I469&gt;0),A469+1,"")</f>
        <v/>
      </c>
      <c r="B470" s="524" t="str">
        <f>IF('DLL Schedule'!Pay_Num&lt;&gt;"",DATE(YEAR('DLL Schedule'!Loan_Start),MONTH('DLL Schedule'!Loan_Start)+('DLL Schedule'!Pay_Num)*12/'DLL Schedule'!Num_Pmt_Per_Year,DAY('DLL Schedule'!Loan_Start)),"")</f>
        <v/>
      </c>
      <c r="C470" s="525" t="str">
        <f>IF('DLL Schedule'!Pay_Num&lt;&gt;"",I469,"")</f>
        <v/>
      </c>
      <c r="D470" s="525" t="str">
        <f>IF('DLL Schedule'!Pay_Num&lt;&gt;"",'DLL Schedule'!Scheduled_Monthly_Payment,"")</f>
        <v/>
      </c>
      <c r="E4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0" s="525" t="str">
        <f>IF('DLL Schedule'!Pay_Num&lt;&gt;"",IF('DLL Schedule'!Sched_Pay+'DLL Schedule'!Extra_Pay&lt;'DLL Schedule'!Beg_Bal,'DLL Schedule'!Sched_Pay+'DLL Schedule'!Extra_Pay,'DLL Schedule'!Beg_Bal),"")</f>
        <v/>
      </c>
      <c r="G470" s="525" t="str">
        <f>IF('DLL Schedule'!Pay_Num&lt;&gt;"",'DLL Schedule'!Total_Pay-'DLL Schedule'!Int,"")</f>
        <v/>
      </c>
      <c r="H470" s="525" t="str">
        <f>IF('DLL Schedule'!Pay_Num&lt;&gt;"",'DLL Schedule'!Beg_Bal*'DLL Schedule'!Interest_Rate/'DLL Schedule'!Num_Pmt_Per_Year,"")</f>
        <v/>
      </c>
      <c r="I470" s="525" t="str">
        <f>IF('DLL Schedule'!Pay_Num&lt;&gt;"",IF('DLL Schedule'!Sched_Pay+'DLL Schedule'!Extra_Pay&lt;'DLL Schedule'!Beg_Bal,'DLL Schedule'!Beg_Bal-'DLL Schedule'!Princ,0),"")</f>
        <v/>
      </c>
      <c r="J470" s="525">
        <f>SUM($H$18:$H470)</f>
        <v>257912.99524975716</v>
      </c>
      <c r="K470" s="499"/>
    </row>
    <row r="471" spans="1:11" ht="12.75" customHeight="1">
      <c r="A471" s="523" t="str">
        <f>IF(AND('DLL Schedule'!Values_Entered=1,A470&lt;&gt;"",I470&gt;0),A470+1,"")</f>
        <v/>
      </c>
      <c r="B471" s="524" t="str">
        <f>IF('DLL Schedule'!Pay_Num&lt;&gt;"",DATE(YEAR('DLL Schedule'!Loan_Start),MONTH('DLL Schedule'!Loan_Start)+('DLL Schedule'!Pay_Num)*12/'DLL Schedule'!Num_Pmt_Per_Year,DAY('DLL Schedule'!Loan_Start)),"")</f>
        <v/>
      </c>
      <c r="C471" s="525" t="str">
        <f>IF('DLL Schedule'!Pay_Num&lt;&gt;"",I470,"")</f>
        <v/>
      </c>
      <c r="D471" s="525" t="str">
        <f>IF('DLL Schedule'!Pay_Num&lt;&gt;"",'DLL Schedule'!Scheduled_Monthly_Payment,"")</f>
        <v/>
      </c>
      <c r="E4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1" s="525" t="str">
        <f>IF('DLL Schedule'!Pay_Num&lt;&gt;"",IF('DLL Schedule'!Sched_Pay+'DLL Schedule'!Extra_Pay&lt;'DLL Schedule'!Beg_Bal,'DLL Schedule'!Sched_Pay+'DLL Schedule'!Extra_Pay,'DLL Schedule'!Beg_Bal),"")</f>
        <v/>
      </c>
      <c r="G471" s="525" t="str">
        <f>IF('DLL Schedule'!Pay_Num&lt;&gt;"",'DLL Schedule'!Total_Pay-'DLL Schedule'!Int,"")</f>
        <v/>
      </c>
      <c r="H471" s="525" t="str">
        <f>IF('DLL Schedule'!Pay_Num&lt;&gt;"",'DLL Schedule'!Beg_Bal*'DLL Schedule'!Interest_Rate/'DLL Schedule'!Num_Pmt_Per_Year,"")</f>
        <v/>
      </c>
      <c r="I471" s="525" t="str">
        <f>IF('DLL Schedule'!Pay_Num&lt;&gt;"",IF('DLL Schedule'!Sched_Pay+'DLL Schedule'!Extra_Pay&lt;'DLL Schedule'!Beg_Bal,'DLL Schedule'!Beg_Bal-'DLL Schedule'!Princ,0),"")</f>
        <v/>
      </c>
      <c r="J471" s="525">
        <f>SUM($H$18:$H471)</f>
        <v>257912.99524975716</v>
      </c>
      <c r="K471" s="499"/>
    </row>
    <row r="472" spans="1:11" ht="12.75" customHeight="1">
      <c r="A472" s="523" t="str">
        <f>IF(AND('DLL Schedule'!Values_Entered=1,A471&lt;&gt;"",I471&gt;0),A471+1,"")</f>
        <v/>
      </c>
      <c r="B472" s="524" t="str">
        <f>IF('DLL Schedule'!Pay_Num&lt;&gt;"",DATE(YEAR('DLL Schedule'!Loan_Start),MONTH('DLL Schedule'!Loan_Start)+('DLL Schedule'!Pay_Num)*12/'DLL Schedule'!Num_Pmt_Per_Year,DAY('DLL Schedule'!Loan_Start)),"")</f>
        <v/>
      </c>
      <c r="C472" s="525" t="str">
        <f>IF('DLL Schedule'!Pay_Num&lt;&gt;"",I471,"")</f>
        <v/>
      </c>
      <c r="D472" s="525" t="str">
        <f>IF('DLL Schedule'!Pay_Num&lt;&gt;"",'DLL Schedule'!Scheduled_Monthly_Payment,"")</f>
        <v/>
      </c>
      <c r="E4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2" s="525" t="str">
        <f>IF('DLL Schedule'!Pay_Num&lt;&gt;"",IF('DLL Schedule'!Sched_Pay+'DLL Schedule'!Extra_Pay&lt;'DLL Schedule'!Beg_Bal,'DLL Schedule'!Sched_Pay+'DLL Schedule'!Extra_Pay,'DLL Schedule'!Beg_Bal),"")</f>
        <v/>
      </c>
      <c r="G472" s="525" t="str">
        <f>IF('DLL Schedule'!Pay_Num&lt;&gt;"",'DLL Schedule'!Total_Pay-'DLL Schedule'!Int,"")</f>
        <v/>
      </c>
      <c r="H472" s="525" t="str">
        <f>IF('DLL Schedule'!Pay_Num&lt;&gt;"",'DLL Schedule'!Beg_Bal*'DLL Schedule'!Interest_Rate/'DLL Schedule'!Num_Pmt_Per_Year,"")</f>
        <v/>
      </c>
      <c r="I472" s="525" t="str">
        <f>IF('DLL Schedule'!Pay_Num&lt;&gt;"",IF('DLL Schedule'!Sched_Pay+'DLL Schedule'!Extra_Pay&lt;'DLL Schedule'!Beg_Bal,'DLL Schedule'!Beg_Bal-'DLL Schedule'!Princ,0),"")</f>
        <v/>
      </c>
      <c r="J472" s="525">
        <f>SUM($H$18:$H472)</f>
        <v>257912.99524975716</v>
      </c>
      <c r="K472" s="499"/>
    </row>
    <row r="473" spans="1:11" ht="12.75" customHeight="1">
      <c r="A473" s="523" t="str">
        <f>IF(AND('DLL Schedule'!Values_Entered=1,A472&lt;&gt;"",I472&gt;0),A472+1,"")</f>
        <v/>
      </c>
      <c r="B473" s="524" t="str">
        <f>IF('DLL Schedule'!Pay_Num&lt;&gt;"",DATE(YEAR('DLL Schedule'!Loan_Start),MONTH('DLL Schedule'!Loan_Start)+('DLL Schedule'!Pay_Num)*12/'DLL Schedule'!Num_Pmt_Per_Year,DAY('DLL Schedule'!Loan_Start)),"")</f>
        <v/>
      </c>
      <c r="C473" s="525" t="str">
        <f>IF('DLL Schedule'!Pay_Num&lt;&gt;"",I472,"")</f>
        <v/>
      </c>
      <c r="D473" s="525" t="str">
        <f>IF('DLL Schedule'!Pay_Num&lt;&gt;"",'DLL Schedule'!Scheduled_Monthly_Payment,"")</f>
        <v/>
      </c>
      <c r="E4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3" s="525" t="str">
        <f>IF('DLL Schedule'!Pay_Num&lt;&gt;"",IF('DLL Schedule'!Sched_Pay+'DLL Schedule'!Extra_Pay&lt;'DLL Schedule'!Beg_Bal,'DLL Schedule'!Sched_Pay+'DLL Schedule'!Extra_Pay,'DLL Schedule'!Beg_Bal),"")</f>
        <v/>
      </c>
      <c r="G473" s="525" t="str">
        <f>IF('DLL Schedule'!Pay_Num&lt;&gt;"",'DLL Schedule'!Total_Pay-'DLL Schedule'!Int,"")</f>
        <v/>
      </c>
      <c r="H473" s="525" t="str">
        <f>IF('DLL Schedule'!Pay_Num&lt;&gt;"",'DLL Schedule'!Beg_Bal*'DLL Schedule'!Interest_Rate/'DLL Schedule'!Num_Pmt_Per_Year,"")</f>
        <v/>
      </c>
      <c r="I473" s="525" t="str">
        <f>IF('DLL Schedule'!Pay_Num&lt;&gt;"",IF('DLL Schedule'!Sched_Pay+'DLL Schedule'!Extra_Pay&lt;'DLL Schedule'!Beg_Bal,'DLL Schedule'!Beg_Bal-'DLL Schedule'!Princ,0),"")</f>
        <v/>
      </c>
      <c r="J473" s="525">
        <f>SUM($H$18:$H473)</f>
        <v>257912.99524975716</v>
      </c>
      <c r="K473" s="499"/>
    </row>
    <row r="474" spans="1:11" ht="12.75" customHeight="1">
      <c r="A474" s="523" t="str">
        <f>IF(AND('DLL Schedule'!Values_Entered=1,A473&lt;&gt;"",I473&gt;0),A473+1,"")</f>
        <v/>
      </c>
      <c r="B474" s="524" t="str">
        <f>IF('DLL Schedule'!Pay_Num&lt;&gt;"",DATE(YEAR('DLL Schedule'!Loan_Start),MONTH('DLL Schedule'!Loan_Start)+('DLL Schedule'!Pay_Num)*12/'DLL Schedule'!Num_Pmt_Per_Year,DAY('DLL Schedule'!Loan_Start)),"")</f>
        <v/>
      </c>
      <c r="C474" s="525" t="str">
        <f>IF('DLL Schedule'!Pay_Num&lt;&gt;"",I473,"")</f>
        <v/>
      </c>
      <c r="D474" s="525" t="str">
        <f>IF('DLL Schedule'!Pay_Num&lt;&gt;"",'DLL Schedule'!Scheduled_Monthly_Payment,"")</f>
        <v/>
      </c>
      <c r="E4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4" s="525" t="str">
        <f>IF('DLL Schedule'!Pay_Num&lt;&gt;"",IF('DLL Schedule'!Sched_Pay+'DLL Schedule'!Extra_Pay&lt;'DLL Schedule'!Beg_Bal,'DLL Schedule'!Sched_Pay+'DLL Schedule'!Extra_Pay,'DLL Schedule'!Beg_Bal),"")</f>
        <v/>
      </c>
      <c r="G474" s="525" t="str">
        <f>IF('DLL Schedule'!Pay_Num&lt;&gt;"",'DLL Schedule'!Total_Pay-'DLL Schedule'!Int,"")</f>
        <v/>
      </c>
      <c r="H474" s="525" t="str">
        <f>IF('DLL Schedule'!Pay_Num&lt;&gt;"",'DLL Schedule'!Beg_Bal*'DLL Schedule'!Interest_Rate/'DLL Schedule'!Num_Pmt_Per_Year,"")</f>
        <v/>
      </c>
      <c r="I474" s="525" t="str">
        <f>IF('DLL Schedule'!Pay_Num&lt;&gt;"",IF('DLL Schedule'!Sched_Pay+'DLL Schedule'!Extra_Pay&lt;'DLL Schedule'!Beg_Bal,'DLL Schedule'!Beg_Bal-'DLL Schedule'!Princ,0),"")</f>
        <v/>
      </c>
      <c r="J474" s="525">
        <f>SUM($H$18:$H474)</f>
        <v>257912.99524975716</v>
      </c>
      <c r="K474" s="499"/>
    </row>
    <row r="475" spans="1:11" ht="12.75" customHeight="1">
      <c r="A475" s="523" t="str">
        <f>IF(AND('DLL Schedule'!Values_Entered=1,A474&lt;&gt;"",I474&gt;0),A474+1,"")</f>
        <v/>
      </c>
      <c r="B475" s="524" t="str">
        <f>IF('DLL Schedule'!Pay_Num&lt;&gt;"",DATE(YEAR('DLL Schedule'!Loan_Start),MONTH('DLL Schedule'!Loan_Start)+('DLL Schedule'!Pay_Num)*12/'DLL Schedule'!Num_Pmt_Per_Year,DAY('DLL Schedule'!Loan_Start)),"")</f>
        <v/>
      </c>
      <c r="C475" s="525" t="str">
        <f>IF('DLL Schedule'!Pay_Num&lt;&gt;"",I474,"")</f>
        <v/>
      </c>
      <c r="D475" s="525" t="str">
        <f>IF('DLL Schedule'!Pay_Num&lt;&gt;"",'DLL Schedule'!Scheduled_Monthly_Payment,"")</f>
        <v/>
      </c>
      <c r="E4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5" s="525" t="str">
        <f>IF('DLL Schedule'!Pay_Num&lt;&gt;"",IF('DLL Schedule'!Sched_Pay+'DLL Schedule'!Extra_Pay&lt;'DLL Schedule'!Beg_Bal,'DLL Schedule'!Sched_Pay+'DLL Schedule'!Extra_Pay,'DLL Schedule'!Beg_Bal),"")</f>
        <v/>
      </c>
      <c r="G475" s="525" t="str">
        <f>IF('DLL Schedule'!Pay_Num&lt;&gt;"",'DLL Schedule'!Total_Pay-'DLL Schedule'!Int,"")</f>
        <v/>
      </c>
      <c r="H475" s="525" t="str">
        <f>IF('DLL Schedule'!Pay_Num&lt;&gt;"",'DLL Schedule'!Beg_Bal*'DLL Schedule'!Interest_Rate/'DLL Schedule'!Num_Pmt_Per_Year,"")</f>
        <v/>
      </c>
      <c r="I475" s="525" t="str">
        <f>IF('DLL Schedule'!Pay_Num&lt;&gt;"",IF('DLL Schedule'!Sched_Pay+'DLL Schedule'!Extra_Pay&lt;'DLL Schedule'!Beg_Bal,'DLL Schedule'!Beg_Bal-'DLL Schedule'!Princ,0),"")</f>
        <v/>
      </c>
      <c r="J475" s="525">
        <f>SUM($H$18:$H475)</f>
        <v>257912.99524975716</v>
      </c>
      <c r="K475" s="499"/>
    </row>
    <row r="476" spans="1:11" ht="12.75" customHeight="1">
      <c r="A476" s="523" t="str">
        <f>IF(AND('DLL Schedule'!Values_Entered=1,A475&lt;&gt;"",I475&gt;0),A475+1,"")</f>
        <v/>
      </c>
      <c r="B476" s="524" t="str">
        <f>IF('DLL Schedule'!Pay_Num&lt;&gt;"",DATE(YEAR('DLL Schedule'!Loan_Start),MONTH('DLL Schedule'!Loan_Start)+('DLL Schedule'!Pay_Num)*12/'DLL Schedule'!Num_Pmt_Per_Year,DAY('DLL Schedule'!Loan_Start)),"")</f>
        <v/>
      </c>
      <c r="C476" s="525" t="str">
        <f>IF('DLL Schedule'!Pay_Num&lt;&gt;"",I475,"")</f>
        <v/>
      </c>
      <c r="D476" s="525" t="str">
        <f>IF('DLL Schedule'!Pay_Num&lt;&gt;"",'DLL Schedule'!Scheduled_Monthly_Payment,"")</f>
        <v/>
      </c>
      <c r="E4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6" s="525" t="str">
        <f>IF('DLL Schedule'!Pay_Num&lt;&gt;"",IF('DLL Schedule'!Sched_Pay+'DLL Schedule'!Extra_Pay&lt;'DLL Schedule'!Beg_Bal,'DLL Schedule'!Sched_Pay+'DLL Schedule'!Extra_Pay,'DLL Schedule'!Beg_Bal),"")</f>
        <v/>
      </c>
      <c r="G476" s="525" t="str">
        <f>IF('DLL Schedule'!Pay_Num&lt;&gt;"",'DLL Schedule'!Total_Pay-'DLL Schedule'!Int,"")</f>
        <v/>
      </c>
      <c r="H476" s="525" t="str">
        <f>IF('DLL Schedule'!Pay_Num&lt;&gt;"",'DLL Schedule'!Beg_Bal*'DLL Schedule'!Interest_Rate/'DLL Schedule'!Num_Pmt_Per_Year,"")</f>
        <v/>
      </c>
      <c r="I476" s="525" t="str">
        <f>IF('DLL Schedule'!Pay_Num&lt;&gt;"",IF('DLL Schedule'!Sched_Pay+'DLL Schedule'!Extra_Pay&lt;'DLL Schedule'!Beg_Bal,'DLL Schedule'!Beg_Bal-'DLL Schedule'!Princ,0),"")</f>
        <v/>
      </c>
      <c r="J476" s="525">
        <f>SUM($H$18:$H476)</f>
        <v>257912.99524975716</v>
      </c>
      <c r="K476" s="499"/>
    </row>
    <row r="477" spans="1:11" ht="12.75" customHeight="1">
      <c r="A477" s="523" t="str">
        <f>IF(AND('DLL Schedule'!Values_Entered=1,A476&lt;&gt;"",I476&gt;0),A476+1,"")</f>
        <v/>
      </c>
      <c r="B477" s="524" t="str">
        <f>IF('DLL Schedule'!Pay_Num&lt;&gt;"",DATE(YEAR('DLL Schedule'!Loan_Start),MONTH('DLL Schedule'!Loan_Start)+('DLL Schedule'!Pay_Num)*12/'DLL Schedule'!Num_Pmt_Per_Year,DAY('DLL Schedule'!Loan_Start)),"")</f>
        <v/>
      </c>
      <c r="C477" s="525" t="str">
        <f>IF('DLL Schedule'!Pay_Num&lt;&gt;"",I476,"")</f>
        <v/>
      </c>
      <c r="D477" s="525" t="str">
        <f>IF('DLL Schedule'!Pay_Num&lt;&gt;"",'DLL Schedule'!Scheduled_Monthly_Payment,"")</f>
        <v/>
      </c>
      <c r="E4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7" s="525" t="str">
        <f>IF('DLL Schedule'!Pay_Num&lt;&gt;"",IF('DLL Schedule'!Sched_Pay+'DLL Schedule'!Extra_Pay&lt;'DLL Schedule'!Beg_Bal,'DLL Schedule'!Sched_Pay+'DLL Schedule'!Extra_Pay,'DLL Schedule'!Beg_Bal),"")</f>
        <v/>
      </c>
      <c r="G477" s="525" t="str">
        <f>IF('DLL Schedule'!Pay_Num&lt;&gt;"",'DLL Schedule'!Total_Pay-'DLL Schedule'!Int,"")</f>
        <v/>
      </c>
      <c r="H477" s="525" t="str">
        <f>IF('DLL Schedule'!Pay_Num&lt;&gt;"",'DLL Schedule'!Beg_Bal*'DLL Schedule'!Interest_Rate/'DLL Schedule'!Num_Pmt_Per_Year,"")</f>
        <v/>
      </c>
      <c r="I477" s="525" t="str">
        <f>IF('DLL Schedule'!Pay_Num&lt;&gt;"",IF('DLL Schedule'!Sched_Pay+'DLL Schedule'!Extra_Pay&lt;'DLL Schedule'!Beg_Bal,'DLL Schedule'!Beg_Bal-'DLL Schedule'!Princ,0),"")</f>
        <v/>
      </c>
      <c r="J477" s="525">
        <f>SUM($H$18:$H477)</f>
        <v>257912.99524975716</v>
      </c>
      <c r="K477" s="499"/>
    </row>
    <row r="478" spans="1:11" ht="12.75" customHeight="1">
      <c r="A478" s="523" t="str">
        <f>IF(AND('DLL Schedule'!Values_Entered=1,A477&lt;&gt;"",I477&gt;0),A477+1,"")</f>
        <v/>
      </c>
      <c r="B478" s="524" t="str">
        <f>IF('DLL Schedule'!Pay_Num&lt;&gt;"",DATE(YEAR('DLL Schedule'!Loan_Start),MONTH('DLL Schedule'!Loan_Start)+('DLL Schedule'!Pay_Num)*12/'DLL Schedule'!Num_Pmt_Per_Year,DAY('DLL Schedule'!Loan_Start)),"")</f>
        <v/>
      </c>
      <c r="C478" s="525" t="str">
        <f>IF('DLL Schedule'!Pay_Num&lt;&gt;"",I477,"")</f>
        <v/>
      </c>
      <c r="D478" s="525" t="str">
        <f>IF('DLL Schedule'!Pay_Num&lt;&gt;"",'DLL Schedule'!Scheduled_Monthly_Payment,"")</f>
        <v/>
      </c>
      <c r="E4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8" s="525" t="str">
        <f>IF('DLL Schedule'!Pay_Num&lt;&gt;"",IF('DLL Schedule'!Sched_Pay+'DLL Schedule'!Extra_Pay&lt;'DLL Schedule'!Beg_Bal,'DLL Schedule'!Sched_Pay+'DLL Schedule'!Extra_Pay,'DLL Schedule'!Beg_Bal),"")</f>
        <v/>
      </c>
      <c r="G478" s="525" t="str">
        <f>IF('DLL Schedule'!Pay_Num&lt;&gt;"",'DLL Schedule'!Total_Pay-'DLL Schedule'!Int,"")</f>
        <v/>
      </c>
      <c r="H478" s="525" t="str">
        <f>IF('DLL Schedule'!Pay_Num&lt;&gt;"",'DLL Schedule'!Beg_Bal*'DLL Schedule'!Interest_Rate/'DLL Schedule'!Num_Pmt_Per_Year,"")</f>
        <v/>
      </c>
      <c r="I478" s="525" t="str">
        <f>IF('DLL Schedule'!Pay_Num&lt;&gt;"",IF('DLL Schedule'!Sched_Pay+'DLL Schedule'!Extra_Pay&lt;'DLL Schedule'!Beg_Bal,'DLL Schedule'!Beg_Bal-'DLL Schedule'!Princ,0),"")</f>
        <v/>
      </c>
      <c r="J478" s="525">
        <f>SUM($H$18:$H478)</f>
        <v>257912.99524975716</v>
      </c>
      <c r="K478" s="499"/>
    </row>
    <row r="479" spans="1:11" ht="12.75" customHeight="1">
      <c r="A479" s="523" t="str">
        <f>IF(AND('DLL Schedule'!Values_Entered=1,A478&lt;&gt;"",I478&gt;0),A478+1,"")</f>
        <v/>
      </c>
      <c r="B479" s="524" t="str">
        <f>IF('DLL Schedule'!Pay_Num&lt;&gt;"",DATE(YEAR('DLL Schedule'!Loan_Start),MONTH('DLL Schedule'!Loan_Start)+('DLL Schedule'!Pay_Num)*12/'DLL Schedule'!Num_Pmt_Per_Year,DAY('DLL Schedule'!Loan_Start)),"")</f>
        <v/>
      </c>
      <c r="C479" s="525" t="str">
        <f>IF('DLL Schedule'!Pay_Num&lt;&gt;"",I478,"")</f>
        <v/>
      </c>
      <c r="D479" s="525" t="str">
        <f>IF('DLL Schedule'!Pay_Num&lt;&gt;"",'DLL Schedule'!Scheduled_Monthly_Payment,"")</f>
        <v/>
      </c>
      <c r="E4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9" s="525" t="str">
        <f>IF('DLL Schedule'!Pay_Num&lt;&gt;"",IF('DLL Schedule'!Sched_Pay+'DLL Schedule'!Extra_Pay&lt;'DLL Schedule'!Beg_Bal,'DLL Schedule'!Sched_Pay+'DLL Schedule'!Extra_Pay,'DLL Schedule'!Beg_Bal),"")</f>
        <v/>
      </c>
      <c r="G479" s="525" t="str">
        <f>IF('DLL Schedule'!Pay_Num&lt;&gt;"",'DLL Schedule'!Total_Pay-'DLL Schedule'!Int,"")</f>
        <v/>
      </c>
      <c r="H479" s="525" t="str">
        <f>IF('DLL Schedule'!Pay_Num&lt;&gt;"",'DLL Schedule'!Beg_Bal*'DLL Schedule'!Interest_Rate/'DLL Schedule'!Num_Pmt_Per_Year,"")</f>
        <v/>
      </c>
      <c r="I479" s="525" t="str">
        <f>IF('DLL Schedule'!Pay_Num&lt;&gt;"",IF('DLL Schedule'!Sched_Pay+'DLL Schedule'!Extra_Pay&lt;'DLL Schedule'!Beg_Bal,'DLL Schedule'!Beg_Bal-'DLL Schedule'!Princ,0),"")</f>
        <v/>
      </c>
      <c r="J479" s="525">
        <f>SUM($H$18:$H479)</f>
        <v>257912.99524975716</v>
      </c>
      <c r="K479" s="499"/>
    </row>
    <row r="480" spans="1:11" ht="12.75" customHeight="1">
      <c r="A480" s="523" t="str">
        <f>IF(AND('DLL Schedule'!Values_Entered=1,A479&lt;&gt;"",I479&gt;0),A479+1,"")</f>
        <v/>
      </c>
      <c r="B480" s="524" t="str">
        <f>IF('DLL Schedule'!Pay_Num&lt;&gt;"",DATE(YEAR('DLL Schedule'!Loan_Start),MONTH('DLL Schedule'!Loan_Start)+('DLL Schedule'!Pay_Num)*12/'DLL Schedule'!Num_Pmt_Per_Year,DAY('DLL Schedule'!Loan_Start)),"")</f>
        <v/>
      </c>
      <c r="C480" s="525" t="str">
        <f>IF('DLL Schedule'!Pay_Num&lt;&gt;"",I479,"")</f>
        <v/>
      </c>
      <c r="D480" s="525" t="str">
        <f>IF('DLL Schedule'!Pay_Num&lt;&gt;"",'DLL Schedule'!Scheduled_Monthly_Payment,"")</f>
        <v/>
      </c>
      <c r="E4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0" s="525" t="str">
        <f>IF('DLL Schedule'!Pay_Num&lt;&gt;"",IF('DLL Schedule'!Sched_Pay+'DLL Schedule'!Extra_Pay&lt;'DLL Schedule'!Beg_Bal,'DLL Schedule'!Sched_Pay+'DLL Schedule'!Extra_Pay,'DLL Schedule'!Beg_Bal),"")</f>
        <v/>
      </c>
      <c r="G480" s="525" t="str">
        <f>IF('DLL Schedule'!Pay_Num&lt;&gt;"",'DLL Schedule'!Total_Pay-'DLL Schedule'!Int,"")</f>
        <v/>
      </c>
      <c r="H480" s="525" t="str">
        <f>IF('DLL Schedule'!Pay_Num&lt;&gt;"",'DLL Schedule'!Beg_Bal*'DLL Schedule'!Interest_Rate/'DLL Schedule'!Num_Pmt_Per_Year,"")</f>
        <v/>
      </c>
      <c r="I480" s="525" t="str">
        <f>IF('DLL Schedule'!Pay_Num&lt;&gt;"",IF('DLL Schedule'!Sched_Pay+'DLL Schedule'!Extra_Pay&lt;'DLL Schedule'!Beg_Bal,'DLL Schedule'!Beg_Bal-'DLL Schedule'!Princ,0),"")</f>
        <v/>
      </c>
      <c r="J480" s="525">
        <f>SUM($H$18:$H480)</f>
        <v>257912.99524975716</v>
      </c>
      <c r="K480" s="499"/>
    </row>
    <row r="481" spans="1:11" ht="12.75" customHeight="1">
      <c r="A481" s="523" t="str">
        <f>IF(AND('DLL Schedule'!Values_Entered=1,A480&lt;&gt;"",I480&gt;0),A480+1,"")</f>
        <v/>
      </c>
      <c r="B481" s="524" t="str">
        <f>IF('DLL Schedule'!Pay_Num&lt;&gt;"",DATE(YEAR('DLL Schedule'!Loan_Start),MONTH('DLL Schedule'!Loan_Start)+('DLL Schedule'!Pay_Num)*12/'DLL Schedule'!Num_Pmt_Per_Year,DAY('DLL Schedule'!Loan_Start)),"")</f>
        <v/>
      </c>
      <c r="C481" s="525" t="str">
        <f>IF('DLL Schedule'!Pay_Num&lt;&gt;"",I480,"")</f>
        <v/>
      </c>
      <c r="D481" s="525" t="str">
        <f>IF('DLL Schedule'!Pay_Num&lt;&gt;"",'DLL Schedule'!Scheduled_Monthly_Payment,"")</f>
        <v/>
      </c>
      <c r="E4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1" s="525" t="str">
        <f>IF('DLL Schedule'!Pay_Num&lt;&gt;"",IF('DLL Schedule'!Sched_Pay+'DLL Schedule'!Extra_Pay&lt;'DLL Schedule'!Beg_Bal,'DLL Schedule'!Sched_Pay+'DLL Schedule'!Extra_Pay,'DLL Schedule'!Beg_Bal),"")</f>
        <v/>
      </c>
      <c r="G481" s="525" t="str">
        <f>IF('DLL Schedule'!Pay_Num&lt;&gt;"",'DLL Schedule'!Total_Pay-'DLL Schedule'!Int,"")</f>
        <v/>
      </c>
      <c r="H481" s="525" t="str">
        <f>IF('DLL Schedule'!Pay_Num&lt;&gt;"",'DLL Schedule'!Beg_Bal*'DLL Schedule'!Interest_Rate/'DLL Schedule'!Num_Pmt_Per_Year,"")</f>
        <v/>
      </c>
      <c r="I481" s="525" t="str">
        <f>IF('DLL Schedule'!Pay_Num&lt;&gt;"",IF('DLL Schedule'!Sched_Pay+'DLL Schedule'!Extra_Pay&lt;'DLL Schedule'!Beg_Bal,'DLL Schedule'!Beg_Bal-'DLL Schedule'!Princ,0),"")</f>
        <v/>
      </c>
      <c r="J481" s="525">
        <f>SUM($H$18:$H481)</f>
        <v>257912.99524975716</v>
      </c>
      <c r="K481" s="499"/>
    </row>
    <row r="482" spans="1:11" ht="12.75" customHeight="1">
      <c r="A482" s="523" t="str">
        <f>IF(AND('DLL Schedule'!Values_Entered=1,A481&lt;&gt;"",I481&gt;0),A481+1,"")</f>
        <v/>
      </c>
      <c r="B482" s="524" t="str">
        <f>IF('DLL Schedule'!Pay_Num&lt;&gt;"",DATE(YEAR('DLL Schedule'!Loan_Start),MONTH('DLL Schedule'!Loan_Start)+('DLL Schedule'!Pay_Num)*12/'DLL Schedule'!Num_Pmt_Per_Year,DAY('DLL Schedule'!Loan_Start)),"")</f>
        <v/>
      </c>
      <c r="C482" s="525" t="str">
        <f>IF('DLL Schedule'!Pay_Num&lt;&gt;"",I481,"")</f>
        <v/>
      </c>
      <c r="D482" s="525" t="str">
        <f>IF('DLL Schedule'!Pay_Num&lt;&gt;"",'DLL Schedule'!Scheduled_Monthly_Payment,"")</f>
        <v/>
      </c>
      <c r="E4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2" s="525" t="str">
        <f>IF('DLL Schedule'!Pay_Num&lt;&gt;"",IF('DLL Schedule'!Sched_Pay+'DLL Schedule'!Extra_Pay&lt;'DLL Schedule'!Beg_Bal,'DLL Schedule'!Sched_Pay+'DLL Schedule'!Extra_Pay,'DLL Schedule'!Beg_Bal),"")</f>
        <v/>
      </c>
      <c r="G482" s="525" t="str">
        <f>IF('DLL Schedule'!Pay_Num&lt;&gt;"",'DLL Schedule'!Total_Pay-'DLL Schedule'!Int,"")</f>
        <v/>
      </c>
      <c r="H482" s="525" t="str">
        <f>IF('DLL Schedule'!Pay_Num&lt;&gt;"",'DLL Schedule'!Beg_Bal*'DLL Schedule'!Interest_Rate/'DLL Schedule'!Num_Pmt_Per_Year,"")</f>
        <v/>
      </c>
      <c r="I482" s="525" t="str">
        <f>IF('DLL Schedule'!Pay_Num&lt;&gt;"",IF('DLL Schedule'!Sched_Pay+'DLL Schedule'!Extra_Pay&lt;'DLL Schedule'!Beg_Bal,'DLL Schedule'!Beg_Bal-'DLL Schedule'!Princ,0),"")</f>
        <v/>
      </c>
      <c r="J482" s="525">
        <f>SUM($H$18:$H482)</f>
        <v>257912.99524975716</v>
      </c>
      <c r="K482" s="499"/>
    </row>
    <row r="483" spans="1:11" ht="12.75" customHeight="1">
      <c r="A483" s="523" t="str">
        <f>IF(AND('DLL Schedule'!Values_Entered=1,A482&lt;&gt;"",I482&gt;0),A482+1,"")</f>
        <v/>
      </c>
      <c r="B483" s="524" t="str">
        <f>IF('DLL Schedule'!Pay_Num&lt;&gt;"",DATE(YEAR('DLL Schedule'!Loan_Start),MONTH('DLL Schedule'!Loan_Start)+('DLL Schedule'!Pay_Num)*12/'DLL Schedule'!Num_Pmt_Per_Year,DAY('DLL Schedule'!Loan_Start)),"")</f>
        <v/>
      </c>
      <c r="C483" s="525" t="str">
        <f>IF('DLL Schedule'!Pay_Num&lt;&gt;"",I482,"")</f>
        <v/>
      </c>
      <c r="D483" s="525" t="str">
        <f>IF('DLL Schedule'!Pay_Num&lt;&gt;"",'DLL Schedule'!Scheduled_Monthly_Payment,"")</f>
        <v/>
      </c>
      <c r="E4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3" s="525" t="str">
        <f>IF('DLL Schedule'!Pay_Num&lt;&gt;"",IF('DLL Schedule'!Sched_Pay+'DLL Schedule'!Extra_Pay&lt;'DLL Schedule'!Beg_Bal,'DLL Schedule'!Sched_Pay+'DLL Schedule'!Extra_Pay,'DLL Schedule'!Beg_Bal),"")</f>
        <v/>
      </c>
      <c r="G483" s="525" t="str">
        <f>IF('DLL Schedule'!Pay_Num&lt;&gt;"",'DLL Schedule'!Total_Pay-'DLL Schedule'!Int,"")</f>
        <v/>
      </c>
      <c r="H483" s="525" t="str">
        <f>IF('DLL Schedule'!Pay_Num&lt;&gt;"",'DLL Schedule'!Beg_Bal*'DLL Schedule'!Interest_Rate/'DLL Schedule'!Num_Pmt_Per_Year,"")</f>
        <v/>
      </c>
      <c r="I483" s="525" t="str">
        <f>IF('DLL Schedule'!Pay_Num&lt;&gt;"",IF('DLL Schedule'!Sched_Pay+'DLL Schedule'!Extra_Pay&lt;'DLL Schedule'!Beg_Bal,'DLL Schedule'!Beg_Bal-'DLL Schedule'!Princ,0),"")</f>
        <v/>
      </c>
      <c r="J483" s="525">
        <f>SUM($H$18:$H483)</f>
        <v>257912.99524975716</v>
      </c>
      <c r="K483" s="499"/>
    </row>
    <row r="484" spans="1:11" ht="12.75" customHeight="1">
      <c r="A484" s="523" t="str">
        <f>IF(AND('DLL Schedule'!Values_Entered=1,A483&lt;&gt;"",I483&gt;0),A483+1,"")</f>
        <v/>
      </c>
      <c r="B484" s="524" t="str">
        <f>IF('DLL Schedule'!Pay_Num&lt;&gt;"",DATE(YEAR('DLL Schedule'!Loan_Start),MONTH('DLL Schedule'!Loan_Start)+('DLL Schedule'!Pay_Num)*12/'DLL Schedule'!Num_Pmt_Per_Year,DAY('DLL Schedule'!Loan_Start)),"")</f>
        <v/>
      </c>
      <c r="C484" s="525" t="str">
        <f>IF('DLL Schedule'!Pay_Num&lt;&gt;"",I483,"")</f>
        <v/>
      </c>
      <c r="D484" s="525" t="str">
        <f>IF('DLL Schedule'!Pay_Num&lt;&gt;"",'DLL Schedule'!Scheduled_Monthly_Payment,"")</f>
        <v/>
      </c>
      <c r="E4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4" s="525" t="str">
        <f>IF('DLL Schedule'!Pay_Num&lt;&gt;"",IF('DLL Schedule'!Sched_Pay+'DLL Schedule'!Extra_Pay&lt;'DLL Schedule'!Beg_Bal,'DLL Schedule'!Sched_Pay+'DLL Schedule'!Extra_Pay,'DLL Schedule'!Beg_Bal),"")</f>
        <v/>
      </c>
      <c r="G484" s="525" t="str">
        <f>IF('DLL Schedule'!Pay_Num&lt;&gt;"",'DLL Schedule'!Total_Pay-'DLL Schedule'!Int,"")</f>
        <v/>
      </c>
      <c r="H484" s="525" t="str">
        <f>IF('DLL Schedule'!Pay_Num&lt;&gt;"",'DLL Schedule'!Beg_Bal*'DLL Schedule'!Interest_Rate/'DLL Schedule'!Num_Pmt_Per_Year,"")</f>
        <v/>
      </c>
      <c r="I484" s="525" t="str">
        <f>IF('DLL Schedule'!Pay_Num&lt;&gt;"",IF('DLL Schedule'!Sched_Pay+'DLL Schedule'!Extra_Pay&lt;'DLL Schedule'!Beg_Bal,'DLL Schedule'!Beg_Bal-'DLL Schedule'!Princ,0),"")</f>
        <v/>
      </c>
      <c r="J484" s="525">
        <f>SUM($H$18:$H484)</f>
        <v>257912.99524975716</v>
      </c>
      <c r="K484" s="499"/>
    </row>
    <row r="485" spans="1:11" ht="12.75" customHeight="1">
      <c r="A485" s="523" t="str">
        <f>IF(AND('DLL Schedule'!Values_Entered=1,A484&lt;&gt;"",I484&gt;0),A484+1,"")</f>
        <v/>
      </c>
      <c r="B485" s="524" t="str">
        <f>IF('DLL Schedule'!Pay_Num&lt;&gt;"",DATE(YEAR('DLL Schedule'!Loan_Start),MONTH('DLL Schedule'!Loan_Start)+('DLL Schedule'!Pay_Num)*12/'DLL Schedule'!Num_Pmt_Per_Year,DAY('DLL Schedule'!Loan_Start)),"")</f>
        <v/>
      </c>
      <c r="C485" s="525" t="str">
        <f>IF('DLL Schedule'!Pay_Num&lt;&gt;"",I484,"")</f>
        <v/>
      </c>
      <c r="D485" s="525" t="str">
        <f>IF('DLL Schedule'!Pay_Num&lt;&gt;"",'DLL Schedule'!Scheduled_Monthly_Payment,"")</f>
        <v/>
      </c>
      <c r="E4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5" s="525" t="str">
        <f>IF('DLL Schedule'!Pay_Num&lt;&gt;"",IF('DLL Schedule'!Sched_Pay+'DLL Schedule'!Extra_Pay&lt;'DLL Schedule'!Beg_Bal,'DLL Schedule'!Sched_Pay+'DLL Schedule'!Extra_Pay,'DLL Schedule'!Beg_Bal),"")</f>
        <v/>
      </c>
      <c r="G485" s="525" t="str">
        <f>IF('DLL Schedule'!Pay_Num&lt;&gt;"",'DLL Schedule'!Total_Pay-'DLL Schedule'!Int,"")</f>
        <v/>
      </c>
      <c r="H485" s="525" t="str">
        <f>IF('DLL Schedule'!Pay_Num&lt;&gt;"",'DLL Schedule'!Beg_Bal*'DLL Schedule'!Interest_Rate/'DLL Schedule'!Num_Pmt_Per_Year,"")</f>
        <v/>
      </c>
      <c r="I485" s="525" t="str">
        <f>IF('DLL Schedule'!Pay_Num&lt;&gt;"",IF('DLL Schedule'!Sched_Pay+'DLL Schedule'!Extra_Pay&lt;'DLL Schedule'!Beg_Bal,'DLL Schedule'!Beg_Bal-'DLL Schedule'!Princ,0),"")</f>
        <v/>
      </c>
      <c r="J485" s="525">
        <f>SUM($H$18:$H485)</f>
        <v>257912.99524975716</v>
      </c>
      <c r="K485" s="499"/>
    </row>
    <row r="486" spans="1:11" ht="12.75" customHeight="1">
      <c r="A486" s="523" t="str">
        <f>IF(AND('DLL Schedule'!Values_Entered=1,A485&lt;&gt;"",I485&gt;0),A485+1,"")</f>
        <v/>
      </c>
      <c r="B486" s="524" t="str">
        <f>IF('DLL Schedule'!Pay_Num&lt;&gt;"",DATE(YEAR('DLL Schedule'!Loan_Start),MONTH('DLL Schedule'!Loan_Start)+('DLL Schedule'!Pay_Num)*12/'DLL Schedule'!Num_Pmt_Per_Year,DAY('DLL Schedule'!Loan_Start)),"")</f>
        <v/>
      </c>
      <c r="C486" s="525" t="str">
        <f>IF('DLL Schedule'!Pay_Num&lt;&gt;"",I485,"")</f>
        <v/>
      </c>
      <c r="D486" s="525" t="str">
        <f>IF('DLL Schedule'!Pay_Num&lt;&gt;"",'DLL Schedule'!Scheduled_Monthly_Payment,"")</f>
        <v/>
      </c>
      <c r="E4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6" s="525" t="str">
        <f>IF('DLL Schedule'!Pay_Num&lt;&gt;"",IF('DLL Schedule'!Sched_Pay+'DLL Schedule'!Extra_Pay&lt;'DLL Schedule'!Beg_Bal,'DLL Schedule'!Sched_Pay+'DLL Schedule'!Extra_Pay,'DLL Schedule'!Beg_Bal),"")</f>
        <v/>
      </c>
      <c r="G486" s="525" t="str">
        <f>IF('DLL Schedule'!Pay_Num&lt;&gt;"",'DLL Schedule'!Total_Pay-'DLL Schedule'!Int,"")</f>
        <v/>
      </c>
      <c r="H486" s="525" t="str">
        <f>IF('DLL Schedule'!Pay_Num&lt;&gt;"",'DLL Schedule'!Beg_Bal*'DLL Schedule'!Interest_Rate/'DLL Schedule'!Num_Pmt_Per_Year,"")</f>
        <v/>
      </c>
      <c r="I486" s="525" t="str">
        <f>IF('DLL Schedule'!Pay_Num&lt;&gt;"",IF('DLL Schedule'!Sched_Pay+'DLL Schedule'!Extra_Pay&lt;'DLL Schedule'!Beg_Bal,'DLL Schedule'!Beg_Bal-'DLL Schedule'!Princ,0),"")</f>
        <v/>
      </c>
      <c r="J486" s="525">
        <f>SUM($H$18:$H486)</f>
        <v>257912.99524975716</v>
      </c>
      <c r="K486" s="499"/>
    </row>
    <row r="487" spans="1:11" ht="12.75" customHeight="1">
      <c r="A487" s="523" t="str">
        <f>IF(AND('DLL Schedule'!Values_Entered=1,A486&lt;&gt;"",I486&gt;0),A486+1,"")</f>
        <v/>
      </c>
      <c r="B487" s="524" t="str">
        <f>IF('DLL Schedule'!Pay_Num&lt;&gt;"",DATE(YEAR('DLL Schedule'!Loan_Start),MONTH('DLL Schedule'!Loan_Start)+('DLL Schedule'!Pay_Num)*12/'DLL Schedule'!Num_Pmt_Per_Year,DAY('DLL Schedule'!Loan_Start)),"")</f>
        <v/>
      </c>
      <c r="C487" s="525" t="str">
        <f>IF('DLL Schedule'!Pay_Num&lt;&gt;"",I486,"")</f>
        <v/>
      </c>
      <c r="D487" s="525" t="str">
        <f>IF('DLL Schedule'!Pay_Num&lt;&gt;"",'DLL Schedule'!Scheduled_Monthly_Payment,"")</f>
        <v/>
      </c>
      <c r="E4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7" s="525" t="str">
        <f>IF('DLL Schedule'!Pay_Num&lt;&gt;"",IF('DLL Schedule'!Sched_Pay+'DLL Schedule'!Extra_Pay&lt;'DLL Schedule'!Beg_Bal,'DLL Schedule'!Sched_Pay+'DLL Schedule'!Extra_Pay,'DLL Schedule'!Beg_Bal),"")</f>
        <v/>
      </c>
      <c r="G487" s="525" t="str">
        <f>IF('DLL Schedule'!Pay_Num&lt;&gt;"",'DLL Schedule'!Total_Pay-'DLL Schedule'!Int,"")</f>
        <v/>
      </c>
      <c r="H487" s="525" t="str">
        <f>IF('DLL Schedule'!Pay_Num&lt;&gt;"",'DLL Schedule'!Beg_Bal*'DLL Schedule'!Interest_Rate/'DLL Schedule'!Num_Pmt_Per_Year,"")</f>
        <v/>
      </c>
      <c r="I487" s="525" t="str">
        <f>IF('DLL Schedule'!Pay_Num&lt;&gt;"",IF('DLL Schedule'!Sched_Pay+'DLL Schedule'!Extra_Pay&lt;'DLL Schedule'!Beg_Bal,'DLL Schedule'!Beg_Bal-'DLL Schedule'!Princ,0),"")</f>
        <v/>
      </c>
      <c r="J487" s="525">
        <f>SUM($H$18:$H487)</f>
        <v>257912.99524975716</v>
      </c>
      <c r="K487" s="499"/>
    </row>
    <row r="488" spans="1:11" ht="12.75" customHeight="1">
      <c r="A488" s="523" t="str">
        <f>IF(AND('DLL Schedule'!Values_Entered=1,A487&lt;&gt;"",I487&gt;0),A487+1,"")</f>
        <v/>
      </c>
      <c r="B488" s="524" t="str">
        <f>IF('DLL Schedule'!Pay_Num&lt;&gt;"",DATE(YEAR('DLL Schedule'!Loan_Start),MONTH('DLL Schedule'!Loan_Start)+('DLL Schedule'!Pay_Num)*12/'DLL Schedule'!Num_Pmt_Per_Year,DAY('DLL Schedule'!Loan_Start)),"")</f>
        <v/>
      </c>
      <c r="C488" s="525" t="str">
        <f>IF('DLL Schedule'!Pay_Num&lt;&gt;"",I487,"")</f>
        <v/>
      </c>
      <c r="D488" s="525" t="str">
        <f>IF('DLL Schedule'!Pay_Num&lt;&gt;"",'DLL Schedule'!Scheduled_Monthly_Payment,"")</f>
        <v/>
      </c>
      <c r="E4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8" s="525" t="str">
        <f>IF('DLL Schedule'!Pay_Num&lt;&gt;"",IF('DLL Schedule'!Sched_Pay+'DLL Schedule'!Extra_Pay&lt;'DLL Schedule'!Beg_Bal,'DLL Schedule'!Sched_Pay+'DLL Schedule'!Extra_Pay,'DLL Schedule'!Beg_Bal),"")</f>
        <v/>
      </c>
      <c r="G488" s="525" t="str">
        <f>IF('DLL Schedule'!Pay_Num&lt;&gt;"",'DLL Schedule'!Total_Pay-'DLL Schedule'!Int,"")</f>
        <v/>
      </c>
      <c r="H488" s="525" t="str">
        <f>IF('DLL Schedule'!Pay_Num&lt;&gt;"",'DLL Schedule'!Beg_Bal*'DLL Schedule'!Interest_Rate/'DLL Schedule'!Num_Pmt_Per_Year,"")</f>
        <v/>
      </c>
      <c r="I488" s="525" t="str">
        <f>IF('DLL Schedule'!Pay_Num&lt;&gt;"",IF('DLL Schedule'!Sched_Pay+'DLL Schedule'!Extra_Pay&lt;'DLL Schedule'!Beg_Bal,'DLL Schedule'!Beg_Bal-'DLL Schedule'!Princ,0),"")</f>
        <v/>
      </c>
      <c r="J488" s="525">
        <f>SUM($H$18:$H488)</f>
        <v>257912.99524975716</v>
      </c>
      <c r="K488" s="499"/>
    </row>
    <row r="489" spans="1:11" ht="12.75" customHeight="1">
      <c r="A489" s="523" t="str">
        <f>IF(AND('DLL Schedule'!Values_Entered=1,A488&lt;&gt;"",I488&gt;0),A488+1,"")</f>
        <v/>
      </c>
      <c r="B489" s="524" t="str">
        <f>IF('DLL Schedule'!Pay_Num&lt;&gt;"",DATE(YEAR('DLL Schedule'!Loan_Start),MONTH('DLL Schedule'!Loan_Start)+('DLL Schedule'!Pay_Num)*12/'DLL Schedule'!Num_Pmt_Per_Year,DAY('DLL Schedule'!Loan_Start)),"")</f>
        <v/>
      </c>
      <c r="C489" s="525" t="str">
        <f>IF('DLL Schedule'!Pay_Num&lt;&gt;"",I488,"")</f>
        <v/>
      </c>
      <c r="D489" s="525" t="str">
        <f>IF('DLL Schedule'!Pay_Num&lt;&gt;"",'DLL Schedule'!Scheduled_Monthly_Payment,"")</f>
        <v/>
      </c>
      <c r="E4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9" s="525" t="str">
        <f>IF('DLL Schedule'!Pay_Num&lt;&gt;"",IF('DLL Schedule'!Sched_Pay+'DLL Schedule'!Extra_Pay&lt;'DLL Schedule'!Beg_Bal,'DLL Schedule'!Sched_Pay+'DLL Schedule'!Extra_Pay,'DLL Schedule'!Beg_Bal),"")</f>
        <v/>
      </c>
      <c r="G489" s="525" t="str">
        <f>IF('DLL Schedule'!Pay_Num&lt;&gt;"",'DLL Schedule'!Total_Pay-'DLL Schedule'!Int,"")</f>
        <v/>
      </c>
      <c r="H489" s="525" t="str">
        <f>IF('DLL Schedule'!Pay_Num&lt;&gt;"",'DLL Schedule'!Beg_Bal*'DLL Schedule'!Interest_Rate/'DLL Schedule'!Num_Pmt_Per_Year,"")</f>
        <v/>
      </c>
      <c r="I489" s="525" t="str">
        <f>IF('DLL Schedule'!Pay_Num&lt;&gt;"",IF('DLL Schedule'!Sched_Pay+'DLL Schedule'!Extra_Pay&lt;'DLL Schedule'!Beg_Bal,'DLL Schedule'!Beg_Bal-'DLL Schedule'!Princ,0),"")</f>
        <v/>
      </c>
      <c r="J489" s="525">
        <f>SUM($H$18:$H489)</f>
        <v>257912.99524975716</v>
      </c>
      <c r="K489" s="499"/>
    </row>
    <row r="490" spans="1:11" ht="12.75" customHeight="1">
      <c r="A490" s="523" t="str">
        <f>IF(AND('DLL Schedule'!Values_Entered=1,A489&lt;&gt;"",I489&gt;0),A489+1,"")</f>
        <v/>
      </c>
      <c r="B490" s="524" t="str">
        <f>IF('DLL Schedule'!Pay_Num&lt;&gt;"",DATE(YEAR('DLL Schedule'!Loan_Start),MONTH('DLL Schedule'!Loan_Start)+('DLL Schedule'!Pay_Num)*12/'DLL Schedule'!Num_Pmt_Per_Year,DAY('DLL Schedule'!Loan_Start)),"")</f>
        <v/>
      </c>
      <c r="C490" s="525" t="str">
        <f>IF('DLL Schedule'!Pay_Num&lt;&gt;"",I489,"")</f>
        <v/>
      </c>
      <c r="D490" s="525" t="str">
        <f>IF('DLL Schedule'!Pay_Num&lt;&gt;"",'DLL Schedule'!Scheduled_Monthly_Payment,"")</f>
        <v/>
      </c>
      <c r="E4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0" s="525" t="str">
        <f>IF('DLL Schedule'!Pay_Num&lt;&gt;"",IF('DLL Schedule'!Sched_Pay+'DLL Schedule'!Extra_Pay&lt;'DLL Schedule'!Beg_Bal,'DLL Schedule'!Sched_Pay+'DLL Schedule'!Extra_Pay,'DLL Schedule'!Beg_Bal),"")</f>
        <v/>
      </c>
      <c r="G490" s="525" t="str">
        <f>IF('DLL Schedule'!Pay_Num&lt;&gt;"",'DLL Schedule'!Total_Pay-'DLL Schedule'!Int,"")</f>
        <v/>
      </c>
      <c r="H490" s="525" t="str">
        <f>IF('DLL Schedule'!Pay_Num&lt;&gt;"",'DLL Schedule'!Beg_Bal*'DLL Schedule'!Interest_Rate/'DLL Schedule'!Num_Pmt_Per_Year,"")</f>
        <v/>
      </c>
      <c r="I490" s="525" t="str">
        <f>IF('DLL Schedule'!Pay_Num&lt;&gt;"",IF('DLL Schedule'!Sched_Pay+'DLL Schedule'!Extra_Pay&lt;'DLL Schedule'!Beg_Bal,'DLL Schedule'!Beg_Bal-'DLL Schedule'!Princ,0),"")</f>
        <v/>
      </c>
      <c r="J490" s="525">
        <f>SUM($H$18:$H490)</f>
        <v>257912.99524975716</v>
      </c>
      <c r="K490" s="499"/>
    </row>
    <row r="491" spans="1:11" ht="12.75" customHeight="1">
      <c r="A491" s="523" t="str">
        <f>IF(AND('DLL Schedule'!Values_Entered=1,A490&lt;&gt;"",I490&gt;0),A490+1,"")</f>
        <v/>
      </c>
      <c r="B491" s="524" t="str">
        <f>IF('DLL Schedule'!Pay_Num&lt;&gt;"",DATE(YEAR('DLL Schedule'!Loan_Start),MONTH('DLL Schedule'!Loan_Start)+('DLL Schedule'!Pay_Num)*12/'DLL Schedule'!Num_Pmt_Per_Year,DAY('DLL Schedule'!Loan_Start)),"")</f>
        <v/>
      </c>
      <c r="C491" s="525" t="str">
        <f>IF('DLL Schedule'!Pay_Num&lt;&gt;"",I490,"")</f>
        <v/>
      </c>
      <c r="D491" s="525" t="str">
        <f>IF('DLL Schedule'!Pay_Num&lt;&gt;"",'DLL Schedule'!Scheduled_Monthly_Payment,"")</f>
        <v/>
      </c>
      <c r="E4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1" s="525" t="str">
        <f>IF('DLL Schedule'!Pay_Num&lt;&gt;"",IF('DLL Schedule'!Sched_Pay+'DLL Schedule'!Extra_Pay&lt;'DLL Schedule'!Beg_Bal,'DLL Schedule'!Sched_Pay+'DLL Schedule'!Extra_Pay,'DLL Schedule'!Beg_Bal),"")</f>
        <v/>
      </c>
      <c r="G491" s="525" t="str">
        <f>IF('DLL Schedule'!Pay_Num&lt;&gt;"",'DLL Schedule'!Total_Pay-'DLL Schedule'!Int,"")</f>
        <v/>
      </c>
      <c r="H491" s="525" t="str">
        <f>IF('DLL Schedule'!Pay_Num&lt;&gt;"",'DLL Schedule'!Beg_Bal*'DLL Schedule'!Interest_Rate/'DLL Schedule'!Num_Pmt_Per_Year,"")</f>
        <v/>
      </c>
      <c r="I491" s="525" t="str">
        <f>IF('DLL Schedule'!Pay_Num&lt;&gt;"",IF('DLL Schedule'!Sched_Pay+'DLL Schedule'!Extra_Pay&lt;'DLL Schedule'!Beg_Bal,'DLL Schedule'!Beg_Bal-'DLL Schedule'!Princ,0),"")</f>
        <v/>
      </c>
      <c r="J491" s="525">
        <f>SUM($H$18:$H491)</f>
        <v>257912.99524975716</v>
      </c>
      <c r="K491" s="499"/>
    </row>
    <row r="492" spans="1:11" ht="12.75" customHeight="1">
      <c r="A492" s="523" t="str">
        <f>IF(AND('DLL Schedule'!Values_Entered=1,A491&lt;&gt;"",I491&gt;0),A491+1,"")</f>
        <v/>
      </c>
      <c r="B492" s="524" t="str">
        <f>IF('DLL Schedule'!Pay_Num&lt;&gt;"",DATE(YEAR('DLL Schedule'!Loan_Start),MONTH('DLL Schedule'!Loan_Start)+('DLL Schedule'!Pay_Num)*12/'DLL Schedule'!Num_Pmt_Per_Year,DAY('DLL Schedule'!Loan_Start)),"")</f>
        <v/>
      </c>
      <c r="C492" s="525" t="str">
        <f>IF('DLL Schedule'!Pay_Num&lt;&gt;"",I491,"")</f>
        <v/>
      </c>
      <c r="D492" s="525" t="str">
        <f>IF('DLL Schedule'!Pay_Num&lt;&gt;"",'DLL Schedule'!Scheduled_Monthly_Payment,"")</f>
        <v/>
      </c>
      <c r="E4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2" s="525" t="str">
        <f>IF('DLL Schedule'!Pay_Num&lt;&gt;"",IF('DLL Schedule'!Sched_Pay+'DLL Schedule'!Extra_Pay&lt;'DLL Schedule'!Beg_Bal,'DLL Schedule'!Sched_Pay+'DLL Schedule'!Extra_Pay,'DLL Schedule'!Beg_Bal),"")</f>
        <v/>
      </c>
      <c r="G492" s="525" t="str">
        <f>IF('DLL Schedule'!Pay_Num&lt;&gt;"",'DLL Schedule'!Total_Pay-'DLL Schedule'!Int,"")</f>
        <v/>
      </c>
      <c r="H492" s="525" t="str">
        <f>IF('DLL Schedule'!Pay_Num&lt;&gt;"",'DLL Schedule'!Beg_Bal*'DLL Schedule'!Interest_Rate/'DLL Schedule'!Num_Pmt_Per_Year,"")</f>
        <v/>
      </c>
      <c r="I492" s="525" t="str">
        <f>IF('DLL Schedule'!Pay_Num&lt;&gt;"",IF('DLL Schedule'!Sched_Pay+'DLL Schedule'!Extra_Pay&lt;'DLL Schedule'!Beg_Bal,'DLL Schedule'!Beg_Bal-'DLL Schedule'!Princ,0),"")</f>
        <v/>
      </c>
      <c r="J492" s="525">
        <f>SUM($H$18:$H492)</f>
        <v>257912.99524975716</v>
      </c>
      <c r="K492" s="499"/>
    </row>
    <row r="493" spans="1:11" ht="12.75" customHeight="1">
      <c r="A493" s="523" t="str">
        <f>IF(AND('DLL Schedule'!Values_Entered=1,A492&lt;&gt;"",I492&gt;0),A492+1,"")</f>
        <v/>
      </c>
      <c r="B493" s="524" t="str">
        <f>IF('DLL Schedule'!Pay_Num&lt;&gt;"",DATE(YEAR('DLL Schedule'!Loan_Start),MONTH('DLL Schedule'!Loan_Start)+('DLL Schedule'!Pay_Num)*12/'DLL Schedule'!Num_Pmt_Per_Year,DAY('DLL Schedule'!Loan_Start)),"")</f>
        <v/>
      </c>
      <c r="C493" s="525" t="str">
        <f>IF('DLL Schedule'!Pay_Num&lt;&gt;"",I492,"")</f>
        <v/>
      </c>
      <c r="D493" s="525" t="str">
        <f>IF('DLL Schedule'!Pay_Num&lt;&gt;"",'DLL Schedule'!Scheduled_Monthly_Payment,"")</f>
        <v/>
      </c>
      <c r="E4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3" s="525" t="str">
        <f>IF('DLL Schedule'!Pay_Num&lt;&gt;"",IF('DLL Schedule'!Sched_Pay+'DLL Schedule'!Extra_Pay&lt;'DLL Schedule'!Beg_Bal,'DLL Schedule'!Sched_Pay+'DLL Schedule'!Extra_Pay,'DLL Schedule'!Beg_Bal),"")</f>
        <v/>
      </c>
      <c r="G493" s="525" t="str">
        <f>IF('DLL Schedule'!Pay_Num&lt;&gt;"",'DLL Schedule'!Total_Pay-'DLL Schedule'!Int,"")</f>
        <v/>
      </c>
      <c r="H493" s="525" t="str">
        <f>IF('DLL Schedule'!Pay_Num&lt;&gt;"",'DLL Schedule'!Beg_Bal*'DLL Schedule'!Interest_Rate/'DLL Schedule'!Num_Pmt_Per_Year,"")</f>
        <v/>
      </c>
      <c r="I493" s="525" t="str">
        <f>IF('DLL Schedule'!Pay_Num&lt;&gt;"",IF('DLL Schedule'!Sched_Pay+'DLL Schedule'!Extra_Pay&lt;'DLL Schedule'!Beg_Bal,'DLL Schedule'!Beg_Bal-'DLL Schedule'!Princ,0),"")</f>
        <v/>
      </c>
      <c r="J493" s="525">
        <f>SUM($H$18:$H493)</f>
        <v>257912.99524975716</v>
      </c>
      <c r="K493" s="499"/>
    </row>
    <row r="494" spans="1:11" ht="12.75" customHeight="1">
      <c r="A494" s="523" t="str">
        <f>IF(AND('DLL Schedule'!Values_Entered=1,A493&lt;&gt;"",I493&gt;0),A493+1,"")</f>
        <v/>
      </c>
      <c r="B494" s="524" t="str">
        <f>IF('DLL Schedule'!Pay_Num&lt;&gt;"",DATE(YEAR('DLL Schedule'!Loan_Start),MONTH('DLL Schedule'!Loan_Start)+('DLL Schedule'!Pay_Num)*12/'DLL Schedule'!Num_Pmt_Per_Year,DAY('DLL Schedule'!Loan_Start)),"")</f>
        <v/>
      </c>
      <c r="C494" s="525" t="str">
        <f>IF('DLL Schedule'!Pay_Num&lt;&gt;"",I493,"")</f>
        <v/>
      </c>
      <c r="D494" s="525" t="str">
        <f>IF('DLL Schedule'!Pay_Num&lt;&gt;"",'DLL Schedule'!Scheduled_Monthly_Payment,"")</f>
        <v/>
      </c>
      <c r="E4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4" s="525" t="str">
        <f>IF('DLL Schedule'!Pay_Num&lt;&gt;"",IF('DLL Schedule'!Sched_Pay+'DLL Schedule'!Extra_Pay&lt;'DLL Schedule'!Beg_Bal,'DLL Schedule'!Sched_Pay+'DLL Schedule'!Extra_Pay,'DLL Schedule'!Beg_Bal),"")</f>
        <v/>
      </c>
      <c r="G494" s="525" t="str">
        <f>IF('DLL Schedule'!Pay_Num&lt;&gt;"",'DLL Schedule'!Total_Pay-'DLL Schedule'!Int,"")</f>
        <v/>
      </c>
      <c r="H494" s="525" t="str">
        <f>IF('DLL Schedule'!Pay_Num&lt;&gt;"",'DLL Schedule'!Beg_Bal*'DLL Schedule'!Interest_Rate/'DLL Schedule'!Num_Pmt_Per_Year,"")</f>
        <v/>
      </c>
      <c r="I494" s="525" t="str">
        <f>IF('DLL Schedule'!Pay_Num&lt;&gt;"",IF('DLL Schedule'!Sched_Pay+'DLL Schedule'!Extra_Pay&lt;'DLL Schedule'!Beg_Bal,'DLL Schedule'!Beg_Bal-'DLL Schedule'!Princ,0),"")</f>
        <v/>
      </c>
      <c r="J494" s="525">
        <f>SUM($H$18:$H494)</f>
        <v>257912.99524975716</v>
      </c>
      <c r="K494" s="499"/>
    </row>
    <row r="495" spans="1:11" ht="12.75" customHeight="1">
      <c r="A495" s="523" t="str">
        <f>IF(AND('DLL Schedule'!Values_Entered=1,A494&lt;&gt;"",I494&gt;0),A494+1,"")</f>
        <v/>
      </c>
      <c r="B495" s="524" t="str">
        <f>IF('DLL Schedule'!Pay_Num&lt;&gt;"",DATE(YEAR('DLL Schedule'!Loan_Start),MONTH('DLL Schedule'!Loan_Start)+('DLL Schedule'!Pay_Num)*12/'DLL Schedule'!Num_Pmt_Per_Year,DAY('DLL Schedule'!Loan_Start)),"")</f>
        <v/>
      </c>
      <c r="C495" s="525" t="str">
        <f>IF('DLL Schedule'!Pay_Num&lt;&gt;"",I494,"")</f>
        <v/>
      </c>
      <c r="D495" s="525" t="str">
        <f>IF('DLL Schedule'!Pay_Num&lt;&gt;"",'DLL Schedule'!Scheduled_Monthly_Payment,"")</f>
        <v/>
      </c>
      <c r="E4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5" s="525" t="str">
        <f>IF('DLL Schedule'!Pay_Num&lt;&gt;"",IF('DLL Schedule'!Sched_Pay+'DLL Schedule'!Extra_Pay&lt;'DLL Schedule'!Beg_Bal,'DLL Schedule'!Sched_Pay+'DLL Schedule'!Extra_Pay,'DLL Schedule'!Beg_Bal),"")</f>
        <v/>
      </c>
      <c r="G495" s="525" t="str">
        <f>IF('DLL Schedule'!Pay_Num&lt;&gt;"",'DLL Schedule'!Total_Pay-'DLL Schedule'!Int,"")</f>
        <v/>
      </c>
      <c r="H495" s="525" t="str">
        <f>IF('DLL Schedule'!Pay_Num&lt;&gt;"",'DLL Schedule'!Beg_Bal*'DLL Schedule'!Interest_Rate/'DLL Schedule'!Num_Pmt_Per_Year,"")</f>
        <v/>
      </c>
      <c r="I495" s="525" t="str">
        <f>IF('DLL Schedule'!Pay_Num&lt;&gt;"",IF('DLL Schedule'!Sched_Pay+'DLL Schedule'!Extra_Pay&lt;'DLL Schedule'!Beg_Bal,'DLL Schedule'!Beg_Bal-'DLL Schedule'!Princ,0),"")</f>
        <v/>
      </c>
      <c r="J495" s="525">
        <f>SUM($H$18:$H495)</f>
        <v>257912.99524975716</v>
      </c>
      <c r="K495" s="499"/>
    </row>
    <row r="496" spans="1:11" ht="12.75" customHeight="1">
      <c r="A496" s="523" t="str">
        <f>IF(AND('DLL Schedule'!Values_Entered=1,A495&lt;&gt;"",I495&gt;0),A495+1,"")</f>
        <v/>
      </c>
      <c r="B496" s="524" t="str">
        <f>IF('DLL Schedule'!Pay_Num&lt;&gt;"",DATE(YEAR('DLL Schedule'!Loan_Start),MONTH('DLL Schedule'!Loan_Start)+('DLL Schedule'!Pay_Num)*12/'DLL Schedule'!Num_Pmt_Per_Year,DAY('DLL Schedule'!Loan_Start)),"")</f>
        <v/>
      </c>
      <c r="C496" s="525" t="str">
        <f>IF('DLL Schedule'!Pay_Num&lt;&gt;"",I495,"")</f>
        <v/>
      </c>
      <c r="D496" s="525" t="str">
        <f>IF('DLL Schedule'!Pay_Num&lt;&gt;"",'DLL Schedule'!Scheduled_Monthly_Payment,"")</f>
        <v/>
      </c>
      <c r="E4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6" s="525" t="str">
        <f>IF('DLL Schedule'!Pay_Num&lt;&gt;"",IF('DLL Schedule'!Sched_Pay+'DLL Schedule'!Extra_Pay&lt;'DLL Schedule'!Beg_Bal,'DLL Schedule'!Sched_Pay+'DLL Schedule'!Extra_Pay,'DLL Schedule'!Beg_Bal),"")</f>
        <v/>
      </c>
      <c r="G496" s="525" t="str">
        <f>IF('DLL Schedule'!Pay_Num&lt;&gt;"",'DLL Schedule'!Total_Pay-'DLL Schedule'!Int,"")</f>
        <v/>
      </c>
      <c r="H496" s="525" t="str">
        <f>IF('DLL Schedule'!Pay_Num&lt;&gt;"",'DLL Schedule'!Beg_Bal*'DLL Schedule'!Interest_Rate/'DLL Schedule'!Num_Pmt_Per_Year,"")</f>
        <v/>
      </c>
      <c r="I496" s="525" t="str">
        <f>IF('DLL Schedule'!Pay_Num&lt;&gt;"",IF('DLL Schedule'!Sched_Pay+'DLL Schedule'!Extra_Pay&lt;'DLL Schedule'!Beg_Bal,'DLL Schedule'!Beg_Bal-'DLL Schedule'!Princ,0),"")</f>
        <v/>
      </c>
      <c r="J496" s="525">
        <f>SUM($H$18:$H496)</f>
        <v>257912.99524975716</v>
      </c>
      <c r="K496" s="499"/>
    </row>
    <row r="497" spans="1:11" ht="12.75" customHeight="1">
      <c r="A497" s="523" t="str">
        <f>IF(AND('DLL Schedule'!Values_Entered=1,A496&lt;&gt;"",I496&gt;0),A496+1,"")</f>
        <v/>
      </c>
      <c r="B497" s="524" t="str">
        <f>IF('DLL Schedule'!Pay_Num&lt;&gt;"",DATE(YEAR('DLL Schedule'!Loan_Start),MONTH('DLL Schedule'!Loan_Start)+('DLL Schedule'!Pay_Num)*12/'DLL Schedule'!Num_Pmt_Per_Year,DAY('DLL Schedule'!Loan_Start)),"")</f>
        <v/>
      </c>
      <c r="C497" s="525" t="str">
        <f>IF('DLL Schedule'!Pay_Num&lt;&gt;"",I496,"")</f>
        <v/>
      </c>
      <c r="D497" s="525" t="str">
        <f>IF('DLL Schedule'!Pay_Num&lt;&gt;"",'DLL Schedule'!Scheduled_Monthly_Payment,"")</f>
        <v/>
      </c>
      <c r="E4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7" s="525" t="str">
        <f>IF('DLL Schedule'!Pay_Num&lt;&gt;"",IF('DLL Schedule'!Sched_Pay+'DLL Schedule'!Extra_Pay&lt;'DLL Schedule'!Beg_Bal,'DLL Schedule'!Sched_Pay+'DLL Schedule'!Extra_Pay,'DLL Schedule'!Beg_Bal),"")</f>
        <v/>
      </c>
      <c r="G497" s="525" t="str">
        <f>IF('DLL Schedule'!Pay_Num&lt;&gt;"",'DLL Schedule'!Total_Pay-'DLL Schedule'!Int,"")</f>
        <v/>
      </c>
      <c r="H497" s="525" t="str">
        <f>IF('DLL Schedule'!Pay_Num&lt;&gt;"",'DLL Schedule'!Beg_Bal*'DLL Schedule'!Interest_Rate/'DLL Schedule'!Num_Pmt_Per_Year,"")</f>
        <v/>
      </c>
      <c r="I497" s="525" t="str">
        <f>IF('DLL Schedule'!Pay_Num&lt;&gt;"",IF('DLL Schedule'!Sched_Pay+'DLL Schedule'!Extra_Pay&lt;'DLL Schedule'!Beg_Bal,'DLL Schedule'!Beg_Bal-'DLL Schedule'!Princ,0),"")</f>
        <v/>
      </c>
      <c r="J497" s="525">
        <f>SUM($H$18:$H497)</f>
        <v>257912.99524975716</v>
      </c>
      <c r="K497" s="499"/>
    </row>
    <row r="498" spans="1:11" ht="12.75" customHeight="1">
      <c r="A498" s="499"/>
      <c r="B498" s="499"/>
      <c r="C498" s="499"/>
      <c r="D498" s="499"/>
      <c r="I498" s="499"/>
      <c r="K498" s="499"/>
    </row>
    <row r="499" spans="1:11" ht="12.75" customHeight="1">
      <c r="A499" s="499"/>
      <c r="B499" s="499"/>
      <c r="C499" s="499"/>
      <c r="D499" s="499"/>
      <c r="I499" s="499"/>
      <c r="K499" s="499"/>
    </row>
    <row r="500" spans="1:11" ht="12.75" customHeight="1">
      <c r="A500" s="499"/>
      <c r="B500" s="499"/>
      <c r="C500" s="499"/>
      <c r="D500" s="499"/>
      <c r="I500" s="499"/>
      <c r="K500" s="499"/>
    </row>
    <row r="501" spans="1:11" ht="12.75" customHeight="1">
      <c r="A501" s="499"/>
      <c r="B501" s="499"/>
      <c r="C501" s="499"/>
      <c r="D501" s="499"/>
      <c r="I501" s="499"/>
      <c r="K501" s="499"/>
    </row>
    <row r="502" spans="1:11" ht="12.75" customHeight="1">
      <c r="A502" s="499"/>
      <c r="B502" s="499"/>
      <c r="C502" s="499"/>
      <c r="D502" s="499"/>
      <c r="I502" s="499"/>
      <c r="K502" s="499"/>
    </row>
    <row r="503" spans="1:11" ht="12.75" customHeight="1">
      <c r="A503" s="499"/>
      <c r="B503" s="499"/>
      <c r="C503" s="499"/>
      <c r="D503" s="499"/>
      <c r="I503" s="499"/>
      <c r="K503" s="499"/>
    </row>
    <row r="504" spans="1:11" ht="12.75" customHeight="1">
      <c r="A504" s="499"/>
      <c r="B504" s="499"/>
      <c r="C504" s="499"/>
      <c r="D504" s="499"/>
      <c r="I504" s="499"/>
      <c r="K504" s="499"/>
    </row>
    <row r="505" spans="1:11" ht="12.75" customHeight="1">
      <c r="A505" s="499"/>
      <c r="B505" s="499"/>
      <c r="C505" s="499"/>
      <c r="D505" s="499"/>
      <c r="I505" s="499"/>
      <c r="K505" s="499"/>
    </row>
    <row r="506" spans="1:11" ht="12.75" customHeight="1">
      <c r="A506" s="499"/>
      <c r="B506" s="499"/>
      <c r="C506" s="499"/>
      <c r="D506" s="499"/>
      <c r="I506" s="499"/>
      <c r="K506" s="499"/>
    </row>
    <row r="507" spans="1:11" ht="12.75" customHeight="1">
      <c r="A507" s="499"/>
      <c r="B507" s="499"/>
      <c r="C507" s="499"/>
      <c r="D507" s="499"/>
      <c r="I507" s="499"/>
      <c r="K507" s="499"/>
    </row>
    <row r="508" spans="1:11" ht="12.75" customHeight="1">
      <c r="A508" s="499"/>
      <c r="B508" s="499"/>
      <c r="C508" s="499"/>
      <c r="D508" s="499"/>
      <c r="I508" s="499"/>
      <c r="K508" s="499"/>
    </row>
    <row r="509" spans="1:11" ht="12.75" customHeight="1">
      <c r="A509" s="499"/>
      <c r="B509" s="499"/>
      <c r="C509" s="499"/>
      <c r="D509" s="499"/>
      <c r="I509" s="499"/>
      <c r="K509" s="499"/>
    </row>
    <row r="510" spans="1:11" ht="12.75" customHeight="1">
      <c r="A510" s="499"/>
      <c r="B510" s="499"/>
      <c r="C510" s="499"/>
      <c r="D510" s="499"/>
      <c r="I510" s="499"/>
      <c r="K510" s="499"/>
    </row>
    <row r="511" spans="1:11" ht="12.75" customHeight="1">
      <c r="A511" s="499"/>
      <c r="B511" s="499"/>
      <c r="C511" s="499"/>
      <c r="D511" s="499"/>
      <c r="I511" s="499"/>
      <c r="K511" s="499"/>
    </row>
    <row r="512" spans="1:11" ht="12.75" customHeight="1">
      <c r="A512" s="499"/>
      <c r="B512" s="499"/>
      <c r="C512" s="499"/>
      <c r="D512" s="499"/>
      <c r="I512" s="499"/>
      <c r="K512" s="499"/>
    </row>
    <row r="513" spans="1:11" ht="12.75" customHeight="1">
      <c r="A513" s="499"/>
      <c r="B513" s="499"/>
      <c r="C513" s="499"/>
      <c r="D513" s="499"/>
      <c r="I513" s="499"/>
      <c r="K513" s="499"/>
    </row>
    <row r="514" spans="1:11" ht="12.75" customHeight="1">
      <c r="A514" s="499"/>
      <c r="B514" s="499"/>
      <c r="C514" s="499"/>
      <c r="D514" s="499"/>
      <c r="I514" s="499"/>
      <c r="K514" s="499"/>
    </row>
    <row r="515" spans="1:11" ht="12.75" customHeight="1">
      <c r="A515" s="499"/>
      <c r="B515" s="499"/>
      <c r="C515" s="499"/>
      <c r="D515" s="499"/>
      <c r="I515" s="499"/>
      <c r="K515" s="499"/>
    </row>
    <row r="516" spans="1:11" ht="12.75" customHeight="1">
      <c r="A516" s="499"/>
      <c r="B516" s="499"/>
      <c r="C516" s="499"/>
      <c r="D516" s="499"/>
      <c r="I516" s="499"/>
      <c r="K516" s="499"/>
    </row>
    <row r="517" spans="1:11" ht="12.75" customHeight="1">
      <c r="A517" s="499"/>
      <c r="B517" s="499"/>
      <c r="C517" s="499"/>
      <c r="D517" s="499"/>
      <c r="I517" s="499"/>
      <c r="K517" s="499"/>
    </row>
    <row r="518" spans="1:11" ht="12.75" customHeight="1">
      <c r="A518" s="499"/>
      <c r="B518" s="499"/>
      <c r="C518" s="499"/>
      <c r="D518" s="499"/>
      <c r="I518" s="499"/>
      <c r="K518" s="499"/>
    </row>
    <row r="519" spans="1:11" ht="12.75" customHeight="1">
      <c r="A519" s="499"/>
      <c r="B519" s="499"/>
      <c r="C519" s="499"/>
      <c r="D519" s="499"/>
      <c r="I519" s="499"/>
      <c r="K519" s="499"/>
    </row>
    <row r="520" spans="1:11" ht="12.75" customHeight="1">
      <c r="A520" s="499"/>
      <c r="B520" s="499"/>
      <c r="C520" s="499"/>
      <c r="D520" s="499"/>
      <c r="I520" s="499"/>
      <c r="K520" s="499"/>
    </row>
    <row r="521" spans="1:11" ht="12.75" customHeight="1">
      <c r="A521" s="499"/>
      <c r="B521" s="499"/>
      <c r="C521" s="499"/>
      <c r="D521" s="499"/>
      <c r="I521" s="499"/>
      <c r="K521" s="499"/>
    </row>
    <row r="522" spans="1:11" ht="12.75" customHeight="1">
      <c r="A522" s="499"/>
      <c r="B522" s="499"/>
      <c r="C522" s="499"/>
      <c r="D522" s="499"/>
      <c r="I522" s="499"/>
      <c r="K522" s="499"/>
    </row>
    <row r="523" spans="1:11" ht="12.75" customHeight="1">
      <c r="A523" s="499"/>
      <c r="B523" s="499"/>
      <c r="C523" s="499"/>
      <c r="D523" s="499"/>
      <c r="I523" s="499"/>
      <c r="K523" s="499"/>
    </row>
    <row r="524" spans="1:11" ht="12.75" customHeight="1">
      <c r="A524" s="499"/>
      <c r="B524" s="499"/>
      <c r="C524" s="499"/>
      <c r="D524" s="499"/>
      <c r="I524" s="499"/>
      <c r="K524" s="499"/>
    </row>
    <row r="525" spans="1:11" ht="12.75" customHeight="1">
      <c r="A525" s="499"/>
      <c r="B525" s="499"/>
      <c r="C525" s="499"/>
      <c r="D525" s="499"/>
      <c r="I525" s="499"/>
      <c r="K525" s="499"/>
    </row>
    <row r="526" spans="1:11" ht="12.75" customHeight="1">
      <c r="A526" s="499"/>
      <c r="B526" s="499"/>
      <c r="C526" s="499"/>
      <c r="D526" s="499"/>
      <c r="I526" s="499"/>
      <c r="K526" s="499"/>
    </row>
    <row r="527" spans="1:11" ht="12.75" customHeight="1">
      <c r="A527" s="499"/>
      <c r="B527" s="499"/>
      <c r="C527" s="499"/>
      <c r="D527" s="499"/>
      <c r="I527" s="499"/>
      <c r="K527" s="499"/>
    </row>
    <row r="528" spans="1:11" ht="12.75" customHeight="1">
      <c r="A528" s="499"/>
      <c r="B528" s="499"/>
      <c r="C528" s="499"/>
      <c r="D528" s="499"/>
      <c r="I528" s="499"/>
      <c r="K528" s="499"/>
    </row>
    <row r="529" spans="1:11" ht="12.75" customHeight="1">
      <c r="A529" s="499"/>
      <c r="B529" s="499"/>
      <c r="C529" s="499"/>
      <c r="D529" s="499"/>
      <c r="I529" s="499"/>
      <c r="K529" s="499"/>
    </row>
    <row r="530" spans="1:11" ht="12.75" customHeight="1">
      <c r="A530" s="499"/>
      <c r="B530" s="499"/>
      <c r="C530" s="499"/>
      <c r="D530" s="499"/>
      <c r="I530" s="499"/>
      <c r="K530" s="499"/>
    </row>
    <row r="531" spans="1:11" ht="12.75" customHeight="1">
      <c r="A531" s="499"/>
      <c r="B531" s="499"/>
      <c r="C531" s="499"/>
      <c r="D531" s="499"/>
      <c r="I531" s="499"/>
      <c r="K531" s="499"/>
    </row>
    <row r="532" spans="1:11" ht="12.75" customHeight="1">
      <c r="A532" s="499"/>
      <c r="B532" s="499"/>
      <c r="C532" s="499"/>
      <c r="D532" s="499"/>
      <c r="I532" s="499"/>
      <c r="K532" s="499"/>
    </row>
    <row r="533" spans="1:11" ht="12.75" customHeight="1">
      <c r="A533" s="499"/>
      <c r="B533" s="499"/>
      <c r="C533" s="499"/>
      <c r="D533" s="499"/>
      <c r="I533" s="499"/>
      <c r="K533" s="499"/>
    </row>
    <row r="534" spans="1:11" ht="12.75" customHeight="1">
      <c r="A534" s="499"/>
      <c r="B534" s="499"/>
      <c r="C534" s="499"/>
      <c r="D534" s="499"/>
      <c r="I534" s="499"/>
      <c r="K534" s="499"/>
    </row>
    <row r="535" spans="1:11" ht="12.75" customHeight="1">
      <c r="A535" s="499"/>
      <c r="B535" s="499"/>
      <c r="C535" s="499"/>
      <c r="D535" s="499"/>
      <c r="I535" s="499"/>
      <c r="K535" s="499"/>
    </row>
    <row r="536" spans="1:11" ht="12.75" customHeight="1">
      <c r="A536" s="499"/>
      <c r="B536" s="499"/>
      <c r="C536" s="499"/>
      <c r="D536" s="499"/>
      <c r="I536" s="499"/>
      <c r="K536" s="499"/>
    </row>
    <row r="537" spans="1:11" ht="12.75" customHeight="1">
      <c r="A537" s="499"/>
      <c r="B537" s="499"/>
      <c r="C537" s="499"/>
      <c r="D537" s="499"/>
      <c r="I537" s="499"/>
      <c r="K537" s="499"/>
    </row>
    <row r="538" spans="1:11" ht="12.75" customHeight="1">
      <c r="A538" s="499"/>
      <c r="B538" s="499"/>
      <c r="C538" s="499"/>
      <c r="D538" s="499"/>
      <c r="I538" s="499"/>
      <c r="K538" s="499"/>
    </row>
    <row r="539" spans="1:11" ht="12.75" customHeight="1">
      <c r="A539" s="499"/>
      <c r="B539" s="499"/>
      <c r="C539" s="499"/>
      <c r="D539" s="499"/>
      <c r="I539" s="499"/>
      <c r="K539" s="499"/>
    </row>
    <row r="540" spans="1:11" ht="12.75" customHeight="1">
      <c r="A540" s="499"/>
      <c r="B540" s="499"/>
      <c r="C540" s="499"/>
      <c r="D540" s="499"/>
      <c r="I540" s="499"/>
      <c r="K540" s="499"/>
    </row>
    <row r="541" spans="1:11" ht="12.75" customHeight="1">
      <c r="A541" s="499"/>
      <c r="B541" s="499"/>
      <c r="C541" s="499"/>
      <c r="D541" s="499"/>
      <c r="I541" s="499"/>
      <c r="K541" s="499"/>
    </row>
    <row r="542" spans="1:11" ht="12.75" customHeight="1">
      <c r="A542" s="499"/>
      <c r="B542" s="499"/>
      <c r="C542" s="499"/>
      <c r="D542" s="499"/>
      <c r="I542" s="499"/>
      <c r="K542" s="499"/>
    </row>
    <row r="543" spans="1:11" ht="12.75" customHeight="1">
      <c r="A543" s="499"/>
      <c r="B543" s="499"/>
      <c r="C543" s="499"/>
      <c r="D543" s="499"/>
      <c r="I543" s="499"/>
      <c r="K543" s="499"/>
    </row>
    <row r="544" spans="1:11" ht="12.75" customHeight="1">
      <c r="A544" s="499"/>
      <c r="B544" s="499"/>
      <c r="C544" s="499"/>
      <c r="D544" s="499"/>
      <c r="I544" s="499"/>
      <c r="K544" s="499"/>
    </row>
    <row r="545" spans="1:11" ht="12.75" customHeight="1">
      <c r="A545" s="499"/>
      <c r="B545" s="499"/>
      <c r="C545" s="499"/>
      <c r="D545" s="499"/>
      <c r="I545" s="499"/>
      <c r="K545" s="499"/>
    </row>
    <row r="546" spans="1:11" ht="12.75" customHeight="1">
      <c r="A546" s="499"/>
      <c r="B546" s="499"/>
      <c r="C546" s="499"/>
      <c r="D546" s="499"/>
      <c r="I546" s="499"/>
      <c r="K546" s="499"/>
    </row>
    <row r="547" spans="1:11" ht="12.75" customHeight="1">
      <c r="A547" s="499"/>
      <c r="B547" s="499"/>
      <c r="C547" s="499"/>
      <c r="D547" s="499"/>
      <c r="I547" s="499"/>
      <c r="K547" s="499"/>
    </row>
    <row r="548" spans="1:11" ht="12.75" customHeight="1">
      <c r="A548" s="499"/>
      <c r="B548" s="499"/>
      <c r="C548" s="499"/>
      <c r="D548" s="499"/>
      <c r="I548" s="499"/>
      <c r="K548" s="499"/>
    </row>
    <row r="549" spans="1:11" ht="12.75" customHeight="1">
      <c r="A549" s="499"/>
      <c r="B549" s="499"/>
      <c r="C549" s="499"/>
      <c r="D549" s="499"/>
      <c r="I549" s="499"/>
      <c r="K549" s="499"/>
    </row>
    <row r="550" spans="1:11" ht="12.75" customHeight="1">
      <c r="A550" s="499"/>
      <c r="B550" s="499"/>
      <c r="C550" s="499"/>
      <c r="D550" s="499"/>
      <c r="I550" s="499"/>
      <c r="K550" s="499"/>
    </row>
    <row r="551" spans="1:11" ht="12.75" customHeight="1">
      <c r="A551" s="499"/>
      <c r="B551" s="499"/>
      <c r="C551" s="499"/>
      <c r="D551" s="499"/>
      <c r="I551" s="499"/>
      <c r="K551" s="499"/>
    </row>
    <row r="552" spans="1:11" ht="12.75" customHeight="1">
      <c r="A552" s="499"/>
      <c r="B552" s="499"/>
      <c r="C552" s="499"/>
      <c r="D552" s="499"/>
      <c r="I552" s="499"/>
      <c r="K552" s="499"/>
    </row>
    <row r="553" spans="1:11" ht="12.75" customHeight="1">
      <c r="A553" s="499"/>
      <c r="B553" s="499"/>
      <c r="C553" s="499"/>
      <c r="D553" s="499"/>
      <c r="I553" s="499"/>
      <c r="K553" s="499"/>
    </row>
    <row r="554" spans="1:11" ht="12.75" customHeight="1">
      <c r="A554" s="499"/>
      <c r="B554" s="499"/>
      <c r="C554" s="499"/>
      <c r="D554" s="499"/>
      <c r="I554" s="499"/>
      <c r="K554" s="499"/>
    </row>
    <row r="555" spans="1:11" ht="12.75" customHeight="1">
      <c r="A555" s="499"/>
      <c r="B555" s="499"/>
      <c r="C555" s="499"/>
      <c r="D555" s="499"/>
      <c r="I555" s="499"/>
      <c r="K555" s="499"/>
    </row>
    <row r="556" spans="1:11" ht="12.75" customHeight="1">
      <c r="A556" s="499"/>
      <c r="B556" s="499"/>
      <c r="C556" s="499"/>
      <c r="D556" s="499"/>
      <c r="I556" s="499"/>
      <c r="K556" s="499"/>
    </row>
    <row r="557" spans="1:11" ht="12.75" customHeight="1">
      <c r="A557" s="499"/>
      <c r="B557" s="499"/>
      <c r="C557" s="499"/>
      <c r="D557" s="499"/>
      <c r="I557" s="499"/>
      <c r="K557" s="499"/>
    </row>
    <row r="558" spans="1:11" ht="12.75" customHeight="1">
      <c r="A558" s="499"/>
      <c r="B558" s="499"/>
      <c r="C558" s="499"/>
      <c r="D558" s="499"/>
      <c r="I558" s="499"/>
      <c r="K558" s="499"/>
    </row>
    <row r="559" spans="1:11" ht="12.75" customHeight="1">
      <c r="A559" s="499"/>
      <c r="B559" s="499"/>
      <c r="C559" s="499"/>
      <c r="D559" s="499"/>
      <c r="I559" s="499"/>
      <c r="K559" s="499"/>
    </row>
    <row r="560" spans="1:11" ht="12.75" customHeight="1">
      <c r="A560" s="499"/>
      <c r="B560" s="499"/>
      <c r="C560" s="499"/>
      <c r="D560" s="499"/>
      <c r="I560" s="499"/>
      <c r="K560" s="499"/>
    </row>
    <row r="561" spans="1:11" ht="12.75" customHeight="1">
      <c r="A561" s="499"/>
      <c r="B561" s="499"/>
      <c r="C561" s="499"/>
      <c r="D561" s="499"/>
      <c r="I561" s="499"/>
      <c r="K561" s="499"/>
    </row>
    <row r="562" spans="1:11" ht="12.75" customHeight="1">
      <c r="A562" s="499"/>
      <c r="B562" s="499"/>
      <c r="C562" s="499"/>
      <c r="D562" s="499"/>
      <c r="I562" s="499"/>
      <c r="K562" s="499"/>
    </row>
    <row r="563" spans="1:11" ht="12.75" customHeight="1">
      <c r="A563" s="499"/>
      <c r="B563" s="499"/>
      <c r="C563" s="499"/>
      <c r="D563" s="499"/>
      <c r="I563" s="499"/>
      <c r="K563" s="499"/>
    </row>
    <row r="564" spans="1:11" ht="12.75" customHeight="1">
      <c r="A564" s="499"/>
      <c r="B564" s="499"/>
      <c r="C564" s="499"/>
      <c r="D564" s="499"/>
      <c r="I564" s="499"/>
      <c r="K564" s="499"/>
    </row>
    <row r="565" spans="1:11" ht="12.75" customHeight="1">
      <c r="A565" s="499"/>
      <c r="B565" s="499"/>
      <c r="C565" s="499"/>
      <c r="D565" s="499"/>
      <c r="I565" s="499"/>
      <c r="K565" s="499"/>
    </row>
    <row r="566" spans="1:11" ht="12.75" customHeight="1">
      <c r="A566" s="499"/>
      <c r="B566" s="499"/>
      <c r="C566" s="499"/>
      <c r="D566" s="499"/>
      <c r="I566" s="499"/>
      <c r="K566" s="499"/>
    </row>
    <row r="567" spans="1:11" ht="12.75" customHeight="1">
      <c r="A567" s="499"/>
      <c r="B567" s="499"/>
      <c r="C567" s="499"/>
      <c r="D567" s="499"/>
      <c r="I567" s="499"/>
      <c r="K567" s="499"/>
    </row>
    <row r="568" spans="1:11" ht="12.75" customHeight="1">
      <c r="A568" s="499"/>
      <c r="B568" s="499"/>
      <c r="C568" s="499"/>
      <c r="D568" s="499"/>
      <c r="I568" s="499"/>
      <c r="K568" s="499"/>
    </row>
    <row r="569" spans="1:11" ht="12.75" customHeight="1">
      <c r="A569" s="499"/>
      <c r="B569" s="499"/>
      <c r="C569" s="499"/>
      <c r="D569" s="499"/>
      <c r="I569" s="499"/>
      <c r="K569" s="499"/>
    </row>
    <row r="570" spans="1:11" ht="12.75" customHeight="1">
      <c r="A570" s="499"/>
      <c r="B570" s="499"/>
      <c r="C570" s="499"/>
      <c r="D570" s="499"/>
      <c r="I570" s="499"/>
      <c r="K570" s="499"/>
    </row>
    <row r="571" spans="1:11" ht="12.75" customHeight="1">
      <c r="A571" s="499"/>
      <c r="B571" s="499"/>
      <c r="C571" s="499"/>
      <c r="D571" s="499"/>
      <c r="I571" s="499"/>
      <c r="K571" s="499"/>
    </row>
    <row r="572" spans="1:11" ht="12.75" customHeight="1">
      <c r="A572" s="499"/>
      <c r="B572" s="499"/>
      <c r="C572" s="499"/>
      <c r="D572" s="499"/>
      <c r="I572" s="499"/>
      <c r="K572" s="499"/>
    </row>
    <row r="573" spans="1:11" ht="12.75" customHeight="1">
      <c r="A573" s="499"/>
      <c r="B573" s="499"/>
      <c r="C573" s="499"/>
      <c r="D573" s="499"/>
      <c r="I573" s="499"/>
      <c r="K573" s="499"/>
    </row>
    <row r="574" spans="1:11" ht="12.75" customHeight="1">
      <c r="A574" s="499"/>
      <c r="B574" s="499"/>
      <c r="C574" s="499"/>
      <c r="D574" s="499"/>
      <c r="I574" s="499"/>
      <c r="K574" s="499"/>
    </row>
    <row r="575" spans="1:11" ht="12.75" customHeight="1">
      <c r="A575" s="499"/>
      <c r="B575" s="499"/>
      <c r="C575" s="499"/>
      <c r="D575" s="499"/>
      <c r="I575" s="499"/>
      <c r="K575" s="499"/>
    </row>
    <row r="576" spans="1:11" ht="12.75" customHeight="1">
      <c r="A576" s="499"/>
      <c r="B576" s="499"/>
      <c r="C576" s="499"/>
      <c r="D576" s="499"/>
      <c r="I576" s="499"/>
      <c r="K576" s="499"/>
    </row>
    <row r="577" spans="1:11" ht="12.75" customHeight="1">
      <c r="A577" s="499"/>
      <c r="B577" s="499"/>
      <c r="C577" s="499"/>
      <c r="D577" s="499"/>
      <c r="I577" s="499"/>
      <c r="K577" s="499"/>
    </row>
    <row r="578" spans="1:11" ht="12.75" customHeight="1">
      <c r="A578" s="499"/>
      <c r="B578" s="499"/>
      <c r="C578" s="499"/>
      <c r="D578" s="499"/>
      <c r="I578" s="499"/>
      <c r="K578" s="499"/>
    </row>
    <row r="579" spans="1:11" ht="12.75" customHeight="1">
      <c r="A579" s="499"/>
      <c r="B579" s="499"/>
      <c r="C579" s="499"/>
      <c r="D579" s="499"/>
      <c r="I579" s="499"/>
      <c r="K579" s="499"/>
    </row>
    <row r="580" spans="1:11" ht="12.75" customHeight="1">
      <c r="A580" s="499"/>
      <c r="B580" s="499"/>
      <c r="C580" s="499"/>
      <c r="D580" s="499"/>
      <c r="I580" s="499"/>
      <c r="K580" s="499"/>
    </row>
    <row r="581" spans="1:11" ht="12.75" customHeight="1">
      <c r="A581" s="499"/>
      <c r="B581" s="499"/>
      <c r="C581" s="499"/>
      <c r="D581" s="499"/>
      <c r="I581" s="499"/>
      <c r="K581" s="499"/>
    </row>
    <row r="582" spans="1:11" ht="12.75" customHeight="1">
      <c r="A582" s="499"/>
      <c r="B582" s="499"/>
      <c r="C582" s="499"/>
      <c r="D582" s="499"/>
      <c r="I582" s="499"/>
      <c r="K582" s="499"/>
    </row>
    <row r="583" spans="1:11" ht="12.75" customHeight="1">
      <c r="A583" s="499"/>
      <c r="B583" s="499"/>
      <c r="C583" s="499"/>
      <c r="D583" s="499"/>
      <c r="I583" s="499"/>
      <c r="K583" s="499"/>
    </row>
    <row r="584" spans="1:11" ht="12.75" customHeight="1">
      <c r="A584" s="499"/>
      <c r="B584" s="499"/>
      <c r="C584" s="499"/>
      <c r="D584" s="499"/>
      <c r="I584" s="499"/>
      <c r="K584" s="499"/>
    </row>
    <row r="585" spans="1:11" ht="12.75" customHeight="1">
      <c r="A585" s="499"/>
      <c r="B585" s="499"/>
      <c r="C585" s="499"/>
      <c r="D585" s="499"/>
      <c r="I585" s="499"/>
      <c r="K585" s="499"/>
    </row>
    <row r="586" spans="1:11" ht="12.75" customHeight="1">
      <c r="A586" s="499"/>
      <c r="B586" s="499"/>
      <c r="C586" s="499"/>
      <c r="D586" s="499"/>
      <c r="I586" s="499"/>
      <c r="K586" s="499"/>
    </row>
    <row r="587" spans="1:11" ht="12.75" customHeight="1">
      <c r="A587" s="499"/>
      <c r="B587" s="499"/>
      <c r="C587" s="499"/>
      <c r="D587" s="499"/>
      <c r="I587" s="499"/>
      <c r="K587" s="499"/>
    </row>
    <row r="588" spans="1:11" ht="12.75" customHeight="1">
      <c r="A588" s="499"/>
      <c r="B588" s="499"/>
      <c r="C588" s="499"/>
      <c r="D588" s="499"/>
      <c r="I588" s="499"/>
      <c r="K588" s="499"/>
    </row>
    <row r="589" spans="1:11" ht="12.75" customHeight="1">
      <c r="A589" s="499"/>
      <c r="B589" s="499"/>
      <c r="C589" s="499"/>
      <c r="D589" s="499"/>
      <c r="I589" s="499"/>
      <c r="K589" s="499"/>
    </row>
    <row r="590" spans="1:11" ht="12.75" customHeight="1">
      <c r="A590" s="499"/>
      <c r="B590" s="499"/>
      <c r="C590" s="499"/>
      <c r="D590" s="499"/>
      <c r="I590" s="499"/>
      <c r="K590" s="499"/>
    </row>
    <row r="591" spans="1:11" ht="12.75" customHeight="1">
      <c r="A591" s="499"/>
      <c r="B591" s="499"/>
      <c r="C591" s="499"/>
      <c r="D591" s="499"/>
      <c r="I591" s="499"/>
      <c r="K591" s="499"/>
    </row>
    <row r="592" spans="1:11" ht="12.75" customHeight="1">
      <c r="A592" s="499"/>
      <c r="B592" s="499"/>
      <c r="C592" s="499"/>
      <c r="D592" s="499"/>
      <c r="I592" s="499"/>
      <c r="K592" s="499"/>
    </row>
    <row r="593" spans="1:11" ht="12.75" customHeight="1">
      <c r="A593" s="499"/>
      <c r="B593" s="499"/>
      <c r="C593" s="499"/>
      <c r="D593" s="499"/>
      <c r="I593" s="499"/>
      <c r="K593" s="499"/>
    </row>
    <row r="594" spans="1:11" ht="12.75" customHeight="1">
      <c r="A594" s="499"/>
      <c r="B594" s="499"/>
      <c r="C594" s="499"/>
      <c r="D594" s="499"/>
      <c r="I594" s="499"/>
      <c r="K594" s="499"/>
    </row>
    <row r="595" spans="1:11" ht="12.75" customHeight="1">
      <c r="A595" s="499"/>
      <c r="B595" s="499"/>
      <c r="C595" s="499"/>
      <c r="D595" s="499"/>
      <c r="I595" s="499"/>
      <c r="K595" s="499"/>
    </row>
    <row r="596" spans="1:11" ht="12.75" customHeight="1">
      <c r="A596" s="499"/>
      <c r="B596" s="499"/>
      <c r="C596" s="499"/>
      <c r="D596" s="499"/>
      <c r="I596" s="499"/>
      <c r="K596" s="499"/>
    </row>
    <row r="597" spans="1:11" ht="12.75" customHeight="1">
      <c r="A597" s="499"/>
      <c r="B597" s="499"/>
      <c r="C597" s="499"/>
      <c r="D597" s="499"/>
      <c r="I597" s="499"/>
      <c r="K597" s="499"/>
    </row>
    <row r="598" spans="1:11" ht="12.75" customHeight="1">
      <c r="A598" s="499"/>
      <c r="B598" s="499"/>
      <c r="C598" s="499"/>
      <c r="D598" s="499"/>
      <c r="I598" s="499"/>
      <c r="K598" s="499"/>
    </row>
    <row r="599" spans="1:11" ht="12.75" customHeight="1">
      <c r="A599" s="499"/>
      <c r="B599" s="499"/>
      <c r="C599" s="499"/>
      <c r="D599" s="499"/>
      <c r="I599" s="499"/>
      <c r="K599" s="499"/>
    </row>
    <row r="600" spans="1:11" ht="12.75" customHeight="1">
      <c r="A600" s="499"/>
      <c r="B600" s="499"/>
      <c r="C600" s="499"/>
      <c r="D600" s="499"/>
      <c r="I600" s="499"/>
      <c r="K600" s="499"/>
    </row>
    <row r="601" spans="1:11" ht="12.75" customHeight="1">
      <c r="A601" s="499"/>
      <c r="B601" s="499"/>
      <c r="C601" s="499"/>
      <c r="D601" s="499"/>
      <c r="I601" s="499"/>
      <c r="K601" s="499"/>
    </row>
    <row r="602" spans="1:11" ht="12.75" customHeight="1">
      <c r="A602" s="499"/>
      <c r="B602" s="499"/>
      <c r="C602" s="499"/>
      <c r="D602" s="499"/>
      <c r="I602" s="499"/>
      <c r="K602" s="499"/>
    </row>
    <row r="603" spans="1:11" ht="12.75" customHeight="1">
      <c r="A603" s="499"/>
      <c r="B603" s="499"/>
      <c r="C603" s="499"/>
      <c r="D603" s="499"/>
      <c r="I603" s="499"/>
      <c r="K603" s="499"/>
    </row>
    <row r="604" spans="1:11" ht="12.75" customHeight="1">
      <c r="A604" s="499"/>
      <c r="B604" s="499"/>
      <c r="C604" s="499"/>
      <c r="D604" s="499"/>
      <c r="I604" s="499"/>
      <c r="K604" s="499"/>
    </row>
    <row r="605" spans="1:11" ht="12.75" customHeight="1">
      <c r="A605" s="499"/>
      <c r="B605" s="499"/>
      <c r="C605" s="499"/>
      <c r="D605" s="499"/>
      <c r="I605" s="499"/>
      <c r="K605" s="499"/>
    </row>
    <row r="606" spans="1:11" ht="12.75" customHeight="1">
      <c r="A606" s="499"/>
      <c r="B606" s="499"/>
      <c r="C606" s="499"/>
      <c r="D606" s="499"/>
      <c r="I606" s="499"/>
      <c r="K606" s="499"/>
    </row>
    <row r="607" spans="1:11" ht="12.75" customHeight="1">
      <c r="A607" s="499"/>
      <c r="B607" s="499"/>
      <c r="C607" s="499"/>
      <c r="D607" s="499"/>
      <c r="I607" s="499"/>
      <c r="K607" s="499"/>
    </row>
    <row r="608" spans="1:11" ht="12.75" customHeight="1">
      <c r="A608" s="499"/>
      <c r="B608" s="499"/>
      <c r="C608" s="499"/>
      <c r="D608" s="499"/>
      <c r="I608" s="499"/>
      <c r="K608" s="499"/>
    </row>
    <row r="609" spans="1:11" ht="12.75" customHeight="1">
      <c r="A609" s="499"/>
      <c r="B609" s="499"/>
      <c r="C609" s="499"/>
      <c r="D609" s="499"/>
      <c r="I609" s="499"/>
      <c r="K609" s="499"/>
    </row>
    <row r="610" spans="1:11" ht="12.75" customHeight="1">
      <c r="A610" s="499"/>
      <c r="B610" s="499"/>
      <c r="C610" s="499"/>
      <c r="D610" s="499"/>
      <c r="I610" s="499"/>
      <c r="K610" s="499"/>
    </row>
    <row r="611" spans="1:11" ht="12.75" customHeight="1">
      <c r="A611" s="499"/>
      <c r="B611" s="499"/>
      <c r="C611" s="499"/>
      <c r="D611" s="499"/>
      <c r="I611" s="499"/>
      <c r="K611" s="499"/>
    </row>
    <row r="612" spans="1:11" ht="12.75" customHeight="1">
      <c r="A612" s="499"/>
      <c r="B612" s="499"/>
      <c r="C612" s="499"/>
      <c r="D612" s="499"/>
      <c r="I612" s="499"/>
      <c r="K612" s="499"/>
    </row>
    <row r="613" spans="1:11" ht="12.75" customHeight="1">
      <c r="A613" s="499"/>
      <c r="B613" s="499"/>
      <c r="C613" s="499"/>
      <c r="D613" s="499"/>
      <c r="I613" s="499"/>
      <c r="K613" s="499"/>
    </row>
    <row r="614" spans="1:11" ht="12.75" customHeight="1">
      <c r="A614" s="499"/>
      <c r="B614" s="499"/>
      <c r="C614" s="499"/>
      <c r="D614" s="499"/>
      <c r="I614" s="499"/>
      <c r="K614" s="499"/>
    </row>
    <row r="615" spans="1:11" ht="12.75" customHeight="1">
      <c r="A615" s="499"/>
      <c r="B615" s="499"/>
      <c r="C615" s="499"/>
      <c r="D615" s="499"/>
      <c r="I615" s="499"/>
      <c r="K615" s="499"/>
    </row>
    <row r="616" spans="1:11" ht="12.75" customHeight="1">
      <c r="A616" s="499"/>
      <c r="B616" s="499"/>
      <c r="C616" s="499"/>
      <c r="D616" s="499"/>
      <c r="I616" s="499"/>
      <c r="K616" s="499"/>
    </row>
    <row r="617" spans="1:11" ht="12.75" customHeight="1">
      <c r="A617" s="499"/>
      <c r="B617" s="499"/>
      <c r="C617" s="499"/>
      <c r="D617" s="499"/>
      <c r="I617" s="499"/>
      <c r="K617" s="499"/>
    </row>
    <row r="618" spans="1:11" ht="12.75" customHeight="1">
      <c r="A618" s="499"/>
      <c r="B618" s="499"/>
      <c r="C618" s="499"/>
      <c r="D618" s="499"/>
      <c r="I618" s="499"/>
      <c r="K618" s="499"/>
    </row>
    <row r="619" spans="1:11" ht="12.75" customHeight="1">
      <c r="A619" s="499"/>
      <c r="B619" s="499"/>
      <c r="C619" s="499"/>
      <c r="D619" s="499"/>
      <c r="I619" s="499"/>
      <c r="K619" s="499"/>
    </row>
    <row r="620" spans="1:11" ht="12.75" customHeight="1">
      <c r="A620" s="499"/>
      <c r="B620" s="499"/>
      <c r="C620" s="499"/>
      <c r="D620" s="499"/>
      <c r="I620" s="499"/>
      <c r="K620" s="499"/>
    </row>
    <row r="621" spans="1:11" ht="12.75" customHeight="1">
      <c r="A621" s="499"/>
      <c r="B621" s="499"/>
      <c r="C621" s="499"/>
      <c r="D621" s="499"/>
      <c r="I621" s="499"/>
      <c r="K621" s="499"/>
    </row>
    <row r="622" spans="1:11" ht="12.75" customHeight="1">
      <c r="A622" s="499"/>
      <c r="B622" s="499"/>
      <c r="C622" s="499"/>
      <c r="D622" s="499"/>
      <c r="I622" s="499"/>
      <c r="K622" s="499"/>
    </row>
    <row r="623" spans="1:11" ht="12.75" customHeight="1">
      <c r="A623" s="499"/>
      <c r="B623" s="499"/>
      <c r="C623" s="499"/>
      <c r="D623" s="499"/>
      <c r="I623" s="499"/>
      <c r="K623" s="499"/>
    </row>
    <row r="624" spans="1:11" ht="12.75" customHeight="1">
      <c r="A624" s="499"/>
      <c r="B624" s="499"/>
      <c r="C624" s="499"/>
      <c r="D624" s="499"/>
      <c r="I624" s="499"/>
      <c r="K624" s="499"/>
    </row>
    <row r="625" spans="1:11" ht="12.75" customHeight="1">
      <c r="A625" s="499"/>
      <c r="B625" s="499"/>
      <c r="C625" s="499"/>
      <c r="D625" s="499"/>
      <c r="I625" s="499"/>
      <c r="K625" s="499"/>
    </row>
    <row r="626" spans="1:11" ht="12.75" customHeight="1">
      <c r="A626" s="499"/>
      <c r="B626" s="499"/>
      <c r="C626" s="499"/>
      <c r="D626" s="499"/>
      <c r="I626" s="499"/>
      <c r="K626" s="499"/>
    </row>
    <row r="627" spans="1:11" ht="12.75" customHeight="1">
      <c r="A627" s="499"/>
      <c r="B627" s="499"/>
      <c r="C627" s="499"/>
      <c r="D627" s="499"/>
      <c r="I627" s="499"/>
      <c r="K627" s="499"/>
    </row>
    <row r="628" spans="1:11" ht="12.75" customHeight="1">
      <c r="A628" s="499"/>
      <c r="B628" s="499"/>
      <c r="C628" s="499"/>
      <c r="D628" s="499"/>
      <c r="I628" s="499"/>
      <c r="K628" s="499"/>
    </row>
    <row r="629" spans="1:11" ht="12.75" customHeight="1">
      <c r="A629" s="499"/>
      <c r="B629" s="499"/>
      <c r="C629" s="499"/>
      <c r="D629" s="499"/>
      <c r="I629" s="499"/>
      <c r="K629" s="499"/>
    </row>
    <row r="630" spans="1:11" ht="12.75" customHeight="1">
      <c r="A630" s="499"/>
      <c r="B630" s="499"/>
      <c r="C630" s="499"/>
      <c r="D630" s="499"/>
      <c r="I630" s="499"/>
      <c r="K630" s="499"/>
    </row>
    <row r="631" spans="1:11" ht="12.75" customHeight="1">
      <c r="A631" s="499"/>
      <c r="B631" s="499"/>
      <c r="C631" s="499"/>
      <c r="D631" s="499"/>
      <c r="I631" s="499"/>
      <c r="K631" s="499"/>
    </row>
    <row r="632" spans="1:11" ht="12.75" customHeight="1">
      <c r="A632" s="499"/>
      <c r="B632" s="499"/>
      <c r="C632" s="499"/>
      <c r="D632" s="499"/>
      <c r="I632" s="499"/>
      <c r="K632" s="499"/>
    </row>
    <row r="633" spans="1:11" ht="12.75" customHeight="1">
      <c r="A633" s="499"/>
      <c r="B633" s="499"/>
      <c r="C633" s="499"/>
      <c r="D633" s="499"/>
      <c r="I633" s="499"/>
      <c r="K633" s="499"/>
    </row>
    <row r="634" spans="1:11" ht="12.75" customHeight="1">
      <c r="A634" s="499"/>
      <c r="B634" s="499"/>
      <c r="C634" s="499"/>
      <c r="D634" s="499"/>
      <c r="I634" s="499"/>
      <c r="K634" s="499"/>
    </row>
    <row r="635" spans="1:11" ht="12.75" customHeight="1">
      <c r="A635" s="499"/>
      <c r="B635" s="499"/>
      <c r="C635" s="499"/>
      <c r="D635" s="499"/>
      <c r="I635" s="499"/>
      <c r="K635" s="499"/>
    </row>
    <row r="636" spans="1:11" ht="12.75" customHeight="1">
      <c r="A636" s="499"/>
      <c r="B636" s="499"/>
      <c r="C636" s="499"/>
      <c r="D636" s="499"/>
      <c r="I636" s="499"/>
      <c r="K636" s="499"/>
    </row>
    <row r="637" spans="1:11" ht="12.75" customHeight="1">
      <c r="A637" s="499"/>
      <c r="B637" s="499"/>
      <c r="C637" s="499"/>
      <c r="D637" s="499"/>
      <c r="I637" s="499"/>
      <c r="K637" s="499"/>
    </row>
    <row r="638" spans="1:11" ht="12.75" customHeight="1">
      <c r="A638" s="499"/>
      <c r="B638" s="499"/>
      <c r="C638" s="499"/>
      <c r="D638" s="499"/>
      <c r="I638" s="499"/>
      <c r="K638" s="499"/>
    </row>
    <row r="639" spans="1:11" ht="12.75" customHeight="1">
      <c r="A639" s="499"/>
      <c r="B639" s="499"/>
      <c r="C639" s="499"/>
      <c r="D639" s="499"/>
      <c r="I639" s="499"/>
      <c r="K639" s="499"/>
    </row>
    <row r="640" spans="1:11" ht="12.75" customHeight="1">
      <c r="A640" s="499"/>
      <c r="B640" s="499"/>
      <c r="C640" s="499"/>
      <c r="D640" s="499"/>
      <c r="I640" s="499"/>
      <c r="K640" s="499"/>
    </row>
    <row r="641" spans="1:11" ht="12.75" customHeight="1">
      <c r="A641" s="499"/>
      <c r="B641" s="499"/>
      <c r="C641" s="499"/>
      <c r="D641" s="499"/>
      <c r="I641" s="499"/>
      <c r="K641" s="499"/>
    </row>
    <row r="642" spans="1:11" ht="12.75" customHeight="1">
      <c r="A642" s="499"/>
      <c r="B642" s="499"/>
      <c r="C642" s="499"/>
      <c r="D642" s="499"/>
      <c r="I642" s="499"/>
      <c r="K642" s="499"/>
    </row>
    <row r="643" spans="1:11" ht="12.75" customHeight="1">
      <c r="A643" s="499"/>
      <c r="B643" s="499"/>
      <c r="C643" s="499"/>
      <c r="D643" s="499"/>
      <c r="I643" s="499"/>
      <c r="K643" s="499"/>
    </row>
    <row r="644" spans="1:11" ht="12.75" customHeight="1">
      <c r="A644" s="499"/>
      <c r="B644" s="499"/>
      <c r="C644" s="499"/>
      <c r="D644" s="499"/>
      <c r="I644" s="499"/>
      <c r="K644" s="499"/>
    </row>
    <row r="645" spans="1:11" ht="12.75" customHeight="1">
      <c r="A645" s="499"/>
      <c r="B645" s="499"/>
      <c r="C645" s="499"/>
      <c r="D645" s="499"/>
      <c r="I645" s="499"/>
      <c r="K645" s="499"/>
    </row>
    <row r="646" spans="1:11" ht="12.75" customHeight="1">
      <c r="A646" s="499"/>
      <c r="B646" s="499"/>
      <c r="C646" s="499"/>
      <c r="D646" s="499"/>
      <c r="I646" s="499"/>
      <c r="K646" s="499"/>
    </row>
    <row r="647" spans="1:11" ht="12.75" customHeight="1">
      <c r="A647" s="499"/>
      <c r="B647" s="499"/>
      <c r="C647" s="499"/>
      <c r="D647" s="499"/>
      <c r="I647" s="499"/>
      <c r="K647" s="499"/>
    </row>
    <row r="648" spans="1:11" ht="12.75" customHeight="1">
      <c r="A648" s="499"/>
      <c r="B648" s="499"/>
      <c r="C648" s="499"/>
      <c r="D648" s="499"/>
      <c r="I648" s="499"/>
      <c r="K648" s="499"/>
    </row>
    <row r="649" spans="1:11" ht="12.75" customHeight="1">
      <c r="A649" s="499"/>
      <c r="B649" s="499"/>
      <c r="C649" s="499"/>
      <c r="D649" s="499"/>
      <c r="I649" s="499"/>
      <c r="K649" s="499"/>
    </row>
    <row r="650" spans="1:11" ht="12.75" customHeight="1">
      <c r="A650" s="499"/>
      <c r="B650" s="499"/>
      <c r="C650" s="499"/>
      <c r="D650" s="499"/>
      <c r="I650" s="499"/>
      <c r="K650" s="499"/>
    </row>
    <row r="651" spans="1:11" ht="12.75" customHeight="1">
      <c r="A651" s="499"/>
      <c r="B651" s="499"/>
      <c r="C651" s="499"/>
      <c r="D651" s="499"/>
      <c r="I651" s="499"/>
      <c r="K651" s="499"/>
    </row>
    <row r="652" spans="1:11" ht="12.75" customHeight="1">
      <c r="A652" s="499"/>
      <c r="B652" s="499"/>
      <c r="C652" s="499"/>
      <c r="D652" s="499"/>
      <c r="I652" s="499"/>
      <c r="K652" s="499"/>
    </row>
    <row r="653" spans="1:11" ht="12.75" customHeight="1">
      <c r="A653" s="499"/>
      <c r="B653" s="499"/>
      <c r="C653" s="499"/>
      <c r="D653" s="499"/>
      <c r="I653" s="499"/>
      <c r="K653" s="499"/>
    </row>
    <row r="654" spans="1:11" ht="12.75" customHeight="1">
      <c r="A654" s="499"/>
      <c r="B654" s="499"/>
      <c r="C654" s="499"/>
      <c r="D654" s="499"/>
      <c r="I654" s="499"/>
      <c r="K654" s="499"/>
    </row>
    <row r="655" spans="1:11" ht="12.75" customHeight="1">
      <c r="A655" s="499"/>
      <c r="B655" s="499"/>
      <c r="C655" s="499"/>
      <c r="D655" s="499"/>
      <c r="I655" s="499"/>
      <c r="K655" s="499"/>
    </row>
    <row r="656" spans="1:11" ht="12.75" customHeight="1">
      <c r="A656" s="499"/>
      <c r="B656" s="499"/>
      <c r="C656" s="499"/>
      <c r="D656" s="499"/>
      <c r="I656" s="499"/>
      <c r="K656" s="499"/>
    </row>
    <row r="657" spans="1:11" ht="12.75" customHeight="1">
      <c r="A657" s="499"/>
      <c r="B657" s="499"/>
      <c r="C657" s="499"/>
      <c r="D657" s="499"/>
      <c r="I657" s="499"/>
      <c r="K657" s="499"/>
    </row>
    <row r="658" spans="1:11" ht="12.75" customHeight="1">
      <c r="A658" s="499"/>
      <c r="B658" s="499"/>
      <c r="C658" s="499"/>
      <c r="D658" s="499"/>
      <c r="I658" s="499"/>
      <c r="K658" s="499"/>
    </row>
    <row r="659" spans="1:11" ht="12.75" customHeight="1">
      <c r="A659" s="499"/>
      <c r="B659" s="499"/>
      <c r="C659" s="499"/>
      <c r="D659" s="499"/>
      <c r="I659" s="499"/>
      <c r="K659" s="499"/>
    </row>
    <row r="660" spans="1:11" ht="12.75" customHeight="1">
      <c r="A660" s="499"/>
      <c r="B660" s="499"/>
      <c r="C660" s="499"/>
      <c r="D660" s="499"/>
      <c r="I660" s="499"/>
      <c r="K660" s="499"/>
    </row>
    <row r="661" spans="1:11" ht="12.75" customHeight="1">
      <c r="A661" s="499"/>
      <c r="B661" s="499"/>
      <c r="C661" s="499"/>
      <c r="D661" s="499"/>
      <c r="I661" s="499"/>
      <c r="K661" s="499"/>
    </row>
    <row r="662" spans="1:11" ht="12.75" customHeight="1">
      <c r="A662" s="499"/>
      <c r="B662" s="499"/>
      <c r="C662" s="499"/>
      <c r="D662" s="499"/>
      <c r="I662" s="499"/>
      <c r="K662" s="499"/>
    </row>
    <row r="663" spans="1:11" ht="12.75" customHeight="1">
      <c r="A663" s="499"/>
      <c r="B663" s="499"/>
      <c r="C663" s="499"/>
      <c r="D663" s="499"/>
      <c r="I663" s="499"/>
      <c r="K663" s="499"/>
    </row>
    <row r="664" spans="1:11" ht="12.75" customHeight="1">
      <c r="A664" s="499"/>
      <c r="B664" s="499"/>
      <c r="C664" s="499"/>
      <c r="D664" s="499"/>
      <c r="I664" s="499"/>
      <c r="K664" s="499"/>
    </row>
    <row r="665" spans="1:11" ht="12.75" customHeight="1">
      <c r="A665" s="499"/>
      <c r="B665" s="499"/>
      <c r="C665" s="499"/>
      <c r="D665" s="499"/>
      <c r="I665" s="499"/>
      <c r="K665" s="499"/>
    </row>
    <row r="666" spans="1:11" ht="12.75" customHeight="1">
      <c r="A666" s="499"/>
      <c r="B666" s="499"/>
      <c r="C666" s="499"/>
      <c r="D666" s="499"/>
      <c r="I666" s="499"/>
      <c r="K666" s="499"/>
    </row>
    <row r="667" spans="1:11" ht="12.75" customHeight="1">
      <c r="A667" s="499"/>
      <c r="B667" s="499"/>
      <c r="C667" s="499"/>
      <c r="D667" s="499"/>
      <c r="I667" s="499"/>
      <c r="K667" s="499"/>
    </row>
    <row r="668" spans="1:11" ht="12.75" customHeight="1">
      <c r="A668" s="499"/>
      <c r="B668" s="499"/>
      <c r="C668" s="499"/>
      <c r="D668" s="499"/>
      <c r="I668" s="499"/>
      <c r="K668" s="499"/>
    </row>
    <row r="669" spans="1:11" ht="12.75" customHeight="1">
      <c r="A669" s="499"/>
      <c r="B669" s="499"/>
      <c r="C669" s="499"/>
      <c r="D669" s="499"/>
      <c r="I669" s="499"/>
      <c r="K669" s="499"/>
    </row>
    <row r="670" spans="1:11" ht="12.75" customHeight="1">
      <c r="A670" s="499"/>
      <c r="B670" s="499"/>
      <c r="C670" s="499"/>
      <c r="D670" s="499"/>
      <c r="I670" s="499"/>
      <c r="K670" s="499"/>
    </row>
    <row r="671" spans="1:11" ht="12.75" customHeight="1">
      <c r="A671" s="499"/>
      <c r="B671" s="499"/>
      <c r="C671" s="499"/>
      <c r="D671" s="499"/>
      <c r="I671" s="499"/>
      <c r="K671" s="499"/>
    </row>
    <row r="672" spans="1:11" ht="12.75" customHeight="1">
      <c r="A672" s="499"/>
      <c r="B672" s="499"/>
      <c r="C672" s="499"/>
      <c r="D672" s="499"/>
      <c r="I672" s="499"/>
      <c r="K672" s="499"/>
    </row>
    <row r="673" spans="1:11" ht="12.75" customHeight="1">
      <c r="A673" s="499"/>
      <c r="B673" s="499"/>
      <c r="C673" s="499"/>
      <c r="D673" s="499"/>
      <c r="I673" s="499"/>
      <c r="K673" s="499"/>
    </row>
    <row r="674" spans="1:11" ht="12.75" customHeight="1">
      <c r="A674" s="499"/>
      <c r="B674" s="499"/>
      <c r="C674" s="499"/>
      <c r="D674" s="499"/>
      <c r="I674" s="499"/>
      <c r="K674" s="499"/>
    </row>
    <row r="675" spans="1:11" ht="12.75" customHeight="1">
      <c r="A675" s="499"/>
      <c r="B675" s="499"/>
      <c r="C675" s="499"/>
      <c r="D675" s="499"/>
      <c r="I675" s="499"/>
      <c r="K675" s="499"/>
    </row>
    <row r="676" spans="1:11" ht="12.75" customHeight="1">
      <c r="A676" s="499"/>
      <c r="B676" s="499"/>
      <c r="C676" s="499"/>
      <c r="D676" s="499"/>
      <c r="I676" s="499"/>
      <c r="K676" s="499"/>
    </row>
    <row r="677" spans="1:11" ht="12.75" customHeight="1">
      <c r="A677" s="499"/>
      <c r="B677" s="499"/>
      <c r="C677" s="499"/>
      <c r="D677" s="499"/>
      <c r="I677" s="499"/>
      <c r="K677" s="499"/>
    </row>
    <row r="678" spans="1:11" ht="12.75" customHeight="1">
      <c r="A678" s="499"/>
      <c r="B678" s="499"/>
      <c r="C678" s="499"/>
      <c r="D678" s="499"/>
      <c r="I678" s="499"/>
      <c r="K678" s="499"/>
    </row>
    <row r="679" spans="1:11" ht="12.75" customHeight="1">
      <c r="A679" s="499"/>
      <c r="B679" s="499"/>
      <c r="C679" s="499"/>
      <c r="D679" s="499"/>
      <c r="I679" s="499"/>
      <c r="K679" s="499"/>
    </row>
    <row r="680" spans="1:11" ht="12.75" customHeight="1">
      <c r="A680" s="499"/>
      <c r="B680" s="499"/>
      <c r="C680" s="499"/>
      <c r="D680" s="499"/>
      <c r="I680" s="499"/>
      <c r="K680" s="499"/>
    </row>
    <row r="681" spans="1:11" ht="12.75" customHeight="1">
      <c r="A681" s="499"/>
      <c r="B681" s="499"/>
      <c r="C681" s="499"/>
      <c r="D681" s="499"/>
      <c r="I681" s="499"/>
      <c r="K681" s="499"/>
    </row>
    <row r="682" spans="1:11" ht="12.75" customHeight="1">
      <c r="A682" s="499"/>
      <c r="B682" s="499"/>
      <c r="C682" s="499"/>
      <c r="D682" s="499"/>
      <c r="I682" s="499"/>
      <c r="K682" s="499"/>
    </row>
    <row r="683" spans="1:11" ht="12.75" customHeight="1">
      <c r="A683" s="499"/>
      <c r="B683" s="499"/>
      <c r="C683" s="499"/>
      <c r="D683" s="499"/>
      <c r="I683" s="499"/>
      <c r="K683" s="499"/>
    </row>
    <row r="684" spans="1:11" ht="12.75" customHeight="1">
      <c r="A684" s="499"/>
      <c r="B684" s="499"/>
      <c r="C684" s="499"/>
      <c r="D684" s="499"/>
      <c r="I684" s="499"/>
      <c r="K684" s="499"/>
    </row>
    <row r="685" spans="1:11" ht="12.75" customHeight="1">
      <c r="A685" s="499"/>
      <c r="B685" s="499"/>
      <c r="C685" s="499"/>
      <c r="D685" s="499"/>
      <c r="I685" s="499"/>
      <c r="K685" s="499"/>
    </row>
    <row r="686" spans="1:11" ht="12.75" customHeight="1">
      <c r="A686" s="499"/>
      <c r="B686" s="499"/>
      <c r="C686" s="499"/>
      <c r="D686" s="499"/>
      <c r="I686" s="499"/>
      <c r="K686" s="499"/>
    </row>
    <row r="687" spans="1:11" ht="12.75" customHeight="1">
      <c r="A687" s="499"/>
      <c r="B687" s="499"/>
      <c r="C687" s="499"/>
      <c r="D687" s="499"/>
      <c r="I687" s="499"/>
      <c r="K687" s="499"/>
    </row>
    <row r="688" spans="1:11" ht="12.75" customHeight="1">
      <c r="A688" s="499"/>
      <c r="B688" s="499"/>
      <c r="C688" s="499"/>
      <c r="D688" s="499"/>
      <c r="I688" s="499"/>
      <c r="K688" s="499"/>
    </row>
    <row r="689" spans="1:11" ht="12.75" customHeight="1">
      <c r="A689" s="499"/>
      <c r="B689" s="499"/>
      <c r="C689" s="499"/>
      <c r="D689" s="499"/>
      <c r="I689" s="499"/>
      <c r="K689" s="499"/>
    </row>
    <row r="690" spans="1:11" ht="12.75" customHeight="1">
      <c r="A690" s="499"/>
      <c r="B690" s="499"/>
      <c r="C690" s="499"/>
      <c r="D690" s="499"/>
      <c r="I690" s="499"/>
      <c r="K690" s="499"/>
    </row>
    <row r="691" spans="1:11" ht="12.75" customHeight="1">
      <c r="A691" s="499"/>
      <c r="B691" s="499"/>
      <c r="C691" s="499"/>
      <c r="D691" s="499"/>
      <c r="I691" s="499"/>
      <c r="K691" s="499"/>
    </row>
    <row r="692" spans="1:11" ht="12.75" customHeight="1">
      <c r="A692" s="499"/>
      <c r="B692" s="499"/>
      <c r="C692" s="499"/>
      <c r="D692" s="499"/>
      <c r="I692" s="499"/>
      <c r="K692" s="499"/>
    </row>
    <row r="693" spans="1:11" ht="12.75" customHeight="1">
      <c r="A693" s="499"/>
      <c r="B693" s="499"/>
      <c r="C693" s="499"/>
      <c r="D693" s="499"/>
      <c r="I693" s="499"/>
      <c r="K693" s="499"/>
    </row>
    <row r="694" spans="1:11" ht="12.75" customHeight="1">
      <c r="A694" s="499"/>
      <c r="B694" s="499"/>
      <c r="C694" s="499"/>
      <c r="D694" s="499"/>
      <c r="I694" s="499"/>
      <c r="K694" s="499"/>
    </row>
    <row r="695" spans="1:11" ht="12.75" customHeight="1">
      <c r="A695" s="499"/>
      <c r="B695" s="499"/>
      <c r="C695" s="499"/>
      <c r="D695" s="499"/>
      <c r="I695" s="499"/>
      <c r="K695" s="499"/>
    </row>
    <row r="696" spans="1:11" ht="12.75" customHeight="1">
      <c r="A696" s="499"/>
      <c r="B696" s="499"/>
      <c r="C696" s="499"/>
      <c r="D696" s="499"/>
      <c r="I696" s="499"/>
      <c r="K696" s="499"/>
    </row>
    <row r="697" spans="1:11" ht="12.75" customHeight="1">
      <c r="A697" s="499"/>
      <c r="B697" s="499"/>
      <c r="C697" s="499"/>
      <c r="D697" s="499"/>
      <c r="I697" s="499"/>
      <c r="K697" s="499"/>
    </row>
    <row r="698" spans="1:11" ht="15.75" customHeight="1"/>
    <row r="699" spans="1:11" ht="15.75" customHeight="1"/>
    <row r="700" spans="1:11" ht="15.75" customHeight="1"/>
    <row r="701" spans="1:11" ht="15.75" customHeight="1"/>
    <row r="702" spans="1:11" ht="15.75" customHeight="1"/>
    <row r="703" spans="1:11" ht="15.75" customHeight="1"/>
    <row r="704" spans="1:11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D4"/>
    <mergeCell ref="H4:J4"/>
    <mergeCell ref="C12:D12"/>
  </mergeCells>
  <dataValidations count="2">
    <dataValidation type="date" operator="greaterThanOrEqual" allowBlank="1" showInputMessage="1" showErrorMessage="1" prompt="Date - Please enter a valid date greater than or equal to January 1, 1900." sqref="D9" xr:uid="{7D91E56D-CF0F-44CA-8AA5-82C94A823EDA}">
      <formula1>1</formula1>
    </dataValidation>
    <dataValidation type="decimal" allowBlank="1" showInputMessage="1" showErrorMessage="1" prompt="Years - Please enter a whole number of years from 1 to 40." sqref="D7" xr:uid="{C8D698B3-58DF-44FB-BD29-8842DE257D46}">
      <formula1>1</formula1>
      <formula2>40</formula2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DF86-2F67-41AE-AEB5-CC554E75EF40}">
  <sheetPr>
    <tabColor theme="6" tint="-0.499984740745262"/>
  </sheetPr>
  <dimension ref="A1:N1000"/>
  <sheetViews>
    <sheetView workbookViewId="0">
      <selection activeCell="L33" sqref="L33"/>
    </sheetView>
  </sheetViews>
  <sheetFormatPr defaultColWidth="14.42578125" defaultRowHeight="15" customHeight="1"/>
  <cols>
    <col min="1" max="4" width="8.85546875" style="500" customWidth="1"/>
    <col min="5" max="5" width="7.5703125" style="500" customWidth="1"/>
    <col min="6" max="6" width="17.140625" style="500" customWidth="1"/>
    <col min="7" max="7" width="21.85546875" style="500" customWidth="1"/>
    <col min="8" max="8" width="24.42578125" style="500" customWidth="1"/>
    <col min="9" max="9" width="13.5703125" style="500" customWidth="1"/>
    <col min="10" max="10" width="8.85546875" style="500" customWidth="1"/>
    <col min="11" max="11" width="11.42578125" style="500" customWidth="1"/>
    <col min="12" max="12" width="18.7109375" style="500" customWidth="1"/>
    <col min="13" max="14" width="8.85546875" style="500" customWidth="1"/>
    <col min="15" max="16384" width="14.42578125" style="500"/>
  </cols>
  <sheetData>
    <row r="1" spans="1:14">
      <c r="A1" s="499"/>
      <c r="E1" s="499"/>
      <c r="F1" s="526">
        <f t="shared" ref="F1:H1" si="0">SUM(F3:F62)</f>
        <v>1390037.0102497595</v>
      </c>
      <c r="G1" s="527">
        <f t="shared" si="0"/>
        <v>345097.50911999989</v>
      </c>
      <c r="H1" s="527">
        <f t="shared" si="0"/>
        <v>671491.04793749971</v>
      </c>
      <c r="I1" s="499"/>
      <c r="J1" s="499"/>
      <c r="K1" s="499"/>
      <c r="L1" s="499"/>
      <c r="M1" s="499"/>
      <c r="N1" s="499"/>
    </row>
    <row r="2" spans="1:14">
      <c r="A2" s="499"/>
      <c r="E2" s="499"/>
      <c r="F2" s="528" t="s">
        <v>738</v>
      </c>
      <c r="G2" s="528" t="s">
        <v>739</v>
      </c>
      <c r="H2" s="528" t="s">
        <v>740</v>
      </c>
      <c r="I2" s="528" t="s">
        <v>57</v>
      </c>
      <c r="J2" s="499"/>
      <c r="K2" s="529"/>
      <c r="L2" s="499"/>
      <c r="M2" s="499"/>
      <c r="N2" s="499"/>
    </row>
    <row r="3" spans="1:14">
      <c r="A3" s="499"/>
      <c r="E3" s="529">
        <v>1</v>
      </c>
      <c r="F3" s="530">
        <f>'DLL Schedule'!J5</f>
        <v>23167.283504162628</v>
      </c>
      <c r="G3" s="530">
        <f>'Financial Worksheet'!$B$4/(5*12)</f>
        <v>5751.6251520000014</v>
      </c>
      <c r="H3" s="530">
        <f>('Updated Chargers Revenue Calcul'!$J$24/12)*1.125^INT((E3-1)/12)</f>
        <v>8721.2159999999985</v>
      </c>
      <c r="I3" s="530">
        <f>(G3+H3)-F3</f>
        <v>-8694.4423521626268</v>
      </c>
      <c r="J3" s="499"/>
      <c r="K3" s="499"/>
      <c r="L3" s="499"/>
      <c r="M3" s="499"/>
      <c r="N3" s="499"/>
    </row>
    <row r="4" spans="1:14">
      <c r="A4" s="499"/>
      <c r="E4" s="529">
        <v>2</v>
      </c>
      <c r="F4" s="530">
        <f t="shared" ref="F4:F62" si="1">F3</f>
        <v>23167.283504162628</v>
      </c>
      <c r="G4" s="530">
        <f>'Financial Worksheet'!$B$4/(5*12)</f>
        <v>5751.6251520000014</v>
      </c>
      <c r="H4" s="530">
        <f>('Updated Chargers Revenue Calcul'!$J$24/12)*1.125^INT((E4-1)/12)</f>
        <v>8721.2159999999985</v>
      </c>
      <c r="I4" s="530">
        <f t="shared" ref="I4:I62" si="2">(G4+H4)-F4</f>
        <v>-8694.4423521626268</v>
      </c>
      <c r="J4" s="499"/>
      <c r="K4" s="499"/>
      <c r="L4" s="499"/>
      <c r="M4" s="499"/>
      <c r="N4" s="499"/>
    </row>
    <row r="5" spans="1:14">
      <c r="A5" s="499"/>
      <c r="E5" s="529">
        <v>3</v>
      </c>
      <c r="F5" s="530">
        <f t="shared" si="1"/>
        <v>23167.283504162628</v>
      </c>
      <c r="G5" s="530">
        <f>'Financial Worksheet'!$B$4/(5*12)</f>
        <v>5751.6251520000014</v>
      </c>
      <c r="H5" s="530">
        <f>('Updated Chargers Revenue Calcul'!$J$24/12)*1.125^INT((E5-1)/12)</f>
        <v>8721.2159999999985</v>
      </c>
      <c r="I5" s="530">
        <f t="shared" si="2"/>
        <v>-8694.4423521626268</v>
      </c>
      <c r="J5" s="499"/>
      <c r="K5" s="499"/>
      <c r="L5" s="499"/>
      <c r="M5" s="499"/>
      <c r="N5" s="499"/>
    </row>
    <row r="6" spans="1:14">
      <c r="A6" s="499"/>
      <c r="E6" s="529">
        <f t="shared" ref="E6:E62" si="3">E5+1</f>
        <v>4</v>
      </c>
      <c r="F6" s="530">
        <f t="shared" si="1"/>
        <v>23167.283504162628</v>
      </c>
      <c r="G6" s="530">
        <f>'Financial Worksheet'!$B$4/(5*12)</f>
        <v>5751.6251520000014</v>
      </c>
      <c r="H6" s="530">
        <f>('Updated Chargers Revenue Calcul'!$J$24/12)*1.125^INT((E6-1)/12)</f>
        <v>8721.2159999999985</v>
      </c>
      <c r="I6" s="530">
        <f t="shared" si="2"/>
        <v>-8694.4423521626268</v>
      </c>
      <c r="J6" s="499"/>
      <c r="K6" s="499"/>
      <c r="L6" s="499"/>
      <c r="M6" s="499"/>
      <c r="N6" s="499"/>
    </row>
    <row r="7" spans="1:14">
      <c r="A7" s="499"/>
      <c r="E7" s="529">
        <f t="shared" si="3"/>
        <v>5</v>
      </c>
      <c r="F7" s="530">
        <f t="shared" si="1"/>
        <v>23167.283504162628</v>
      </c>
      <c r="G7" s="530">
        <f>'Financial Worksheet'!$B$4/(5*12)</f>
        <v>5751.6251520000014</v>
      </c>
      <c r="H7" s="530">
        <f>('Updated Chargers Revenue Calcul'!$J$24/12)*1.125^INT((E7-1)/12)</f>
        <v>8721.2159999999985</v>
      </c>
      <c r="I7" s="530">
        <f t="shared" si="2"/>
        <v>-8694.4423521626268</v>
      </c>
      <c r="J7" s="499"/>
      <c r="K7" s="499"/>
      <c r="L7" s="499"/>
      <c r="M7" s="499"/>
      <c r="N7" s="499"/>
    </row>
    <row r="8" spans="1:14">
      <c r="A8" s="499"/>
      <c r="E8" s="529">
        <f t="shared" si="3"/>
        <v>6</v>
      </c>
      <c r="F8" s="530">
        <f t="shared" si="1"/>
        <v>23167.283504162628</v>
      </c>
      <c r="G8" s="530">
        <f>'Financial Worksheet'!$B$4/(5*12)</f>
        <v>5751.6251520000014</v>
      </c>
      <c r="H8" s="530">
        <f>('Updated Chargers Revenue Calcul'!$J$24/12)*1.125^INT((E8-1)/12)</f>
        <v>8721.2159999999985</v>
      </c>
      <c r="I8" s="530">
        <f t="shared" si="2"/>
        <v>-8694.4423521626268</v>
      </c>
      <c r="J8" s="499"/>
      <c r="K8" s="499"/>
      <c r="L8" s="499"/>
      <c r="M8" s="499"/>
      <c r="N8" s="499"/>
    </row>
    <row r="9" spans="1:14">
      <c r="A9" s="499"/>
      <c r="E9" s="529">
        <f t="shared" si="3"/>
        <v>7</v>
      </c>
      <c r="F9" s="530">
        <f t="shared" si="1"/>
        <v>23167.283504162628</v>
      </c>
      <c r="G9" s="530">
        <f>'Financial Worksheet'!$B$4/(5*12)</f>
        <v>5751.6251520000014</v>
      </c>
      <c r="H9" s="530">
        <f>('Updated Chargers Revenue Calcul'!$J$24/12)*1.125^INT((E9-1)/12)</f>
        <v>8721.2159999999985</v>
      </c>
      <c r="I9" s="530">
        <f t="shared" si="2"/>
        <v>-8694.4423521626268</v>
      </c>
      <c r="J9" s="499"/>
      <c r="K9" s="499"/>
      <c r="L9" s="499"/>
      <c r="M9" s="499"/>
      <c r="N9" s="499"/>
    </row>
    <row r="10" spans="1:14">
      <c r="A10" s="499"/>
      <c r="E10" s="529">
        <f t="shared" si="3"/>
        <v>8</v>
      </c>
      <c r="F10" s="530">
        <f t="shared" si="1"/>
        <v>23167.283504162628</v>
      </c>
      <c r="G10" s="530">
        <f>'Financial Worksheet'!$B$4/(5*12)</f>
        <v>5751.6251520000014</v>
      </c>
      <c r="H10" s="530">
        <f>('Updated Chargers Revenue Calcul'!$J$24/12)*1.125^INT((E10-1)/12)</f>
        <v>8721.2159999999985</v>
      </c>
      <c r="I10" s="530">
        <f t="shared" si="2"/>
        <v>-8694.4423521626268</v>
      </c>
      <c r="J10" s="499"/>
      <c r="K10" s="499"/>
      <c r="L10" s="499"/>
      <c r="M10" s="499"/>
      <c r="N10" s="499"/>
    </row>
    <row r="11" spans="1:14">
      <c r="A11" s="499"/>
      <c r="E11" s="529">
        <f t="shared" si="3"/>
        <v>9</v>
      </c>
      <c r="F11" s="530">
        <f t="shared" si="1"/>
        <v>23167.283504162628</v>
      </c>
      <c r="G11" s="530">
        <f>'Financial Worksheet'!$B$4/(5*12)</f>
        <v>5751.6251520000014</v>
      </c>
      <c r="H11" s="530">
        <f>('Updated Chargers Revenue Calcul'!$J$24/12)*1.125^INT((E11-1)/12)</f>
        <v>8721.2159999999985</v>
      </c>
      <c r="I11" s="530">
        <f t="shared" si="2"/>
        <v>-8694.4423521626268</v>
      </c>
      <c r="J11" s="499"/>
      <c r="K11" s="499"/>
      <c r="L11" s="499"/>
      <c r="M11" s="499"/>
      <c r="N11" s="499"/>
    </row>
    <row r="12" spans="1:14">
      <c r="A12" s="499"/>
      <c r="E12" s="529">
        <f t="shared" si="3"/>
        <v>10</v>
      </c>
      <c r="F12" s="530">
        <f t="shared" si="1"/>
        <v>23167.283504162628</v>
      </c>
      <c r="G12" s="530">
        <f>'Financial Worksheet'!$B$4/(5*12)</f>
        <v>5751.6251520000014</v>
      </c>
      <c r="H12" s="530">
        <f>('Updated Chargers Revenue Calcul'!$J$24/12)*1.125^INT((E12-1)/12)</f>
        <v>8721.2159999999985</v>
      </c>
      <c r="I12" s="530">
        <f t="shared" si="2"/>
        <v>-8694.4423521626268</v>
      </c>
      <c r="J12" s="499"/>
      <c r="K12" s="499"/>
      <c r="L12" s="499"/>
      <c r="M12" s="499"/>
      <c r="N12" s="499"/>
    </row>
    <row r="13" spans="1:14">
      <c r="A13" s="499"/>
      <c r="E13" s="529">
        <f t="shared" si="3"/>
        <v>11</v>
      </c>
      <c r="F13" s="530">
        <f t="shared" si="1"/>
        <v>23167.283504162628</v>
      </c>
      <c r="G13" s="530">
        <f>'Financial Worksheet'!$B$4/(5*12)</f>
        <v>5751.6251520000014</v>
      </c>
      <c r="H13" s="530">
        <f>('Updated Chargers Revenue Calcul'!$J$24/12)*1.125^INT((E13-1)/12)</f>
        <v>8721.2159999999985</v>
      </c>
      <c r="I13" s="530">
        <f t="shared" si="2"/>
        <v>-8694.4423521626268</v>
      </c>
      <c r="J13" s="499"/>
      <c r="K13" s="499"/>
      <c r="L13" s="499"/>
      <c r="M13" s="499"/>
      <c r="N13" s="499"/>
    </row>
    <row r="14" spans="1:14">
      <c r="A14" s="499"/>
      <c r="E14" s="529">
        <f t="shared" si="3"/>
        <v>12</v>
      </c>
      <c r="F14" s="530">
        <f t="shared" si="1"/>
        <v>23167.283504162628</v>
      </c>
      <c r="G14" s="530">
        <f>'Financial Worksheet'!$B$4/(5*12)</f>
        <v>5751.6251520000014</v>
      </c>
      <c r="H14" s="530">
        <f>('Updated Chargers Revenue Calcul'!$J$24/12)*1.125^INT((E14-1)/12)</f>
        <v>8721.2159999999985</v>
      </c>
      <c r="I14" s="530">
        <f t="shared" si="2"/>
        <v>-8694.4423521626268</v>
      </c>
      <c r="J14" s="499"/>
      <c r="K14" s="499"/>
      <c r="L14" s="499"/>
      <c r="M14" s="499"/>
      <c r="N14" s="499"/>
    </row>
    <row r="15" spans="1:14">
      <c r="A15" s="499"/>
      <c r="E15" s="529">
        <f t="shared" si="3"/>
        <v>13</v>
      </c>
      <c r="F15" s="530">
        <f t="shared" si="1"/>
        <v>23167.283504162628</v>
      </c>
      <c r="G15" s="530">
        <f>'Financial Worksheet'!$B$4/(5*12)</f>
        <v>5751.6251520000014</v>
      </c>
      <c r="H15" s="530">
        <f>('Updated Chargers Revenue Calcul'!$J$24/12)*1.125^INT((E15-1)/12)</f>
        <v>9811.3679999999986</v>
      </c>
      <c r="I15" s="530">
        <f t="shared" si="2"/>
        <v>-7604.2903521626286</v>
      </c>
      <c r="J15" s="499"/>
      <c r="K15" s="499"/>
      <c r="L15" s="499"/>
      <c r="M15" s="499"/>
      <c r="N15" s="499"/>
    </row>
    <row r="16" spans="1:14">
      <c r="A16" s="499"/>
      <c r="E16" s="529">
        <f t="shared" si="3"/>
        <v>14</v>
      </c>
      <c r="F16" s="530">
        <f t="shared" si="1"/>
        <v>23167.283504162628</v>
      </c>
      <c r="G16" s="530">
        <f>'Financial Worksheet'!$B$4/(5*12)</f>
        <v>5751.6251520000014</v>
      </c>
      <c r="H16" s="530">
        <f>('Updated Chargers Revenue Calcul'!$J$24/12)*1.125^INT((E16-1)/12)</f>
        <v>9811.3679999999986</v>
      </c>
      <c r="I16" s="530">
        <f t="shared" si="2"/>
        <v>-7604.2903521626286</v>
      </c>
      <c r="J16" s="499"/>
      <c r="K16" s="499"/>
      <c r="L16" s="499"/>
      <c r="M16" s="499"/>
      <c r="N16" s="499"/>
    </row>
    <row r="17" spans="1:14">
      <c r="A17" s="499"/>
      <c r="E17" s="529">
        <f t="shared" si="3"/>
        <v>15</v>
      </c>
      <c r="F17" s="530">
        <f t="shared" si="1"/>
        <v>23167.283504162628</v>
      </c>
      <c r="G17" s="530">
        <f>'Financial Worksheet'!$B$4/(5*12)</f>
        <v>5751.6251520000014</v>
      </c>
      <c r="H17" s="530">
        <f>('Updated Chargers Revenue Calcul'!$J$24/12)*1.125^INT((E17-1)/12)</f>
        <v>9811.3679999999986</v>
      </c>
      <c r="I17" s="530">
        <f t="shared" si="2"/>
        <v>-7604.2903521626286</v>
      </c>
      <c r="J17" s="499"/>
      <c r="K17" s="499"/>
      <c r="L17" s="499"/>
      <c r="M17" s="499"/>
      <c r="N17" s="499"/>
    </row>
    <row r="18" spans="1:14">
      <c r="A18" s="499"/>
      <c r="E18" s="529">
        <f t="shared" si="3"/>
        <v>16</v>
      </c>
      <c r="F18" s="530">
        <f t="shared" si="1"/>
        <v>23167.283504162628</v>
      </c>
      <c r="G18" s="530">
        <f>'Financial Worksheet'!$B$4/(5*12)</f>
        <v>5751.6251520000014</v>
      </c>
      <c r="H18" s="530">
        <f>('Updated Chargers Revenue Calcul'!$J$24/12)*1.125^INT((E18-1)/12)</f>
        <v>9811.3679999999986</v>
      </c>
      <c r="I18" s="530">
        <f t="shared" si="2"/>
        <v>-7604.2903521626286</v>
      </c>
      <c r="J18" s="499"/>
      <c r="K18" s="499"/>
      <c r="L18" s="499"/>
      <c r="M18" s="499"/>
      <c r="N18" s="499"/>
    </row>
    <row r="19" spans="1:14">
      <c r="A19" s="499"/>
      <c r="E19" s="529">
        <f t="shared" si="3"/>
        <v>17</v>
      </c>
      <c r="F19" s="530">
        <f t="shared" si="1"/>
        <v>23167.283504162628</v>
      </c>
      <c r="G19" s="530">
        <f>'Financial Worksheet'!$B$4/(5*12)</f>
        <v>5751.6251520000014</v>
      </c>
      <c r="H19" s="530">
        <f>('Updated Chargers Revenue Calcul'!$J$24/12)*1.125^INT((E19-1)/12)</f>
        <v>9811.3679999999986</v>
      </c>
      <c r="I19" s="530">
        <f t="shared" si="2"/>
        <v>-7604.2903521626286</v>
      </c>
      <c r="J19" s="499"/>
      <c r="K19" s="499"/>
      <c r="L19" s="499"/>
      <c r="M19" s="499"/>
      <c r="N19" s="499"/>
    </row>
    <row r="20" spans="1:14">
      <c r="A20" s="499"/>
      <c r="E20" s="529">
        <f t="shared" si="3"/>
        <v>18</v>
      </c>
      <c r="F20" s="530">
        <f t="shared" si="1"/>
        <v>23167.283504162628</v>
      </c>
      <c r="G20" s="530">
        <f>'Financial Worksheet'!$B$4/(5*12)</f>
        <v>5751.6251520000014</v>
      </c>
      <c r="H20" s="530">
        <f>('Updated Chargers Revenue Calcul'!$J$24/12)*1.125^INT((E20-1)/12)</f>
        <v>9811.3679999999986</v>
      </c>
      <c r="I20" s="530">
        <f t="shared" si="2"/>
        <v>-7604.2903521626286</v>
      </c>
      <c r="J20" s="499"/>
      <c r="K20" s="499"/>
      <c r="L20" s="499"/>
      <c r="M20" s="499"/>
      <c r="N20" s="499"/>
    </row>
    <row r="21" spans="1:14" ht="15.75" customHeight="1">
      <c r="A21" s="499"/>
      <c r="E21" s="529">
        <f t="shared" si="3"/>
        <v>19</v>
      </c>
      <c r="F21" s="530">
        <f t="shared" si="1"/>
        <v>23167.283504162628</v>
      </c>
      <c r="G21" s="530">
        <f>'Financial Worksheet'!$B$4/(5*12)</f>
        <v>5751.6251520000014</v>
      </c>
      <c r="H21" s="530">
        <f>('Updated Chargers Revenue Calcul'!$J$24/12)*1.125^INT((E21-1)/12)</f>
        <v>9811.3679999999986</v>
      </c>
      <c r="I21" s="530">
        <f t="shared" si="2"/>
        <v>-7604.2903521626286</v>
      </c>
      <c r="J21" s="499"/>
      <c r="K21" s="499"/>
      <c r="L21" s="499"/>
      <c r="M21" s="499"/>
      <c r="N21" s="499"/>
    </row>
    <row r="22" spans="1:14" ht="15.75" customHeight="1">
      <c r="A22" s="499"/>
      <c r="E22" s="529">
        <f t="shared" si="3"/>
        <v>20</v>
      </c>
      <c r="F22" s="530">
        <f t="shared" si="1"/>
        <v>23167.283504162628</v>
      </c>
      <c r="G22" s="530">
        <f>'Financial Worksheet'!$B$4/(5*12)</f>
        <v>5751.6251520000014</v>
      </c>
      <c r="H22" s="530">
        <f>('Updated Chargers Revenue Calcul'!$J$24/12)*1.125^INT((E22-1)/12)</f>
        <v>9811.3679999999986</v>
      </c>
      <c r="I22" s="530">
        <f t="shared" si="2"/>
        <v>-7604.2903521626286</v>
      </c>
      <c r="J22" s="499"/>
      <c r="K22" s="499"/>
      <c r="L22" s="499"/>
      <c r="M22" s="499"/>
      <c r="N22" s="499"/>
    </row>
    <row r="23" spans="1:14" ht="15.75" customHeight="1">
      <c r="A23" s="499"/>
      <c r="E23" s="529">
        <f t="shared" si="3"/>
        <v>21</v>
      </c>
      <c r="F23" s="530">
        <f t="shared" si="1"/>
        <v>23167.283504162628</v>
      </c>
      <c r="G23" s="530">
        <f>'Financial Worksheet'!$B$4/(5*12)</f>
        <v>5751.6251520000014</v>
      </c>
      <c r="H23" s="530">
        <f>('Updated Chargers Revenue Calcul'!$J$24/12)*1.125^INT((E23-1)/12)</f>
        <v>9811.3679999999986</v>
      </c>
      <c r="I23" s="530">
        <f t="shared" si="2"/>
        <v>-7604.2903521626286</v>
      </c>
      <c r="J23" s="499"/>
      <c r="K23" s="499"/>
      <c r="L23" s="499"/>
      <c r="M23" s="499"/>
      <c r="N23" s="499"/>
    </row>
    <row r="24" spans="1:14" ht="15.75" customHeight="1">
      <c r="A24" s="499"/>
      <c r="E24" s="529">
        <f t="shared" si="3"/>
        <v>22</v>
      </c>
      <c r="F24" s="530">
        <f t="shared" si="1"/>
        <v>23167.283504162628</v>
      </c>
      <c r="G24" s="530">
        <f>'Financial Worksheet'!$B$4/(5*12)</f>
        <v>5751.6251520000014</v>
      </c>
      <c r="H24" s="530">
        <f>('Updated Chargers Revenue Calcul'!$J$24/12)*1.125^INT((E24-1)/12)</f>
        <v>9811.3679999999986</v>
      </c>
      <c r="I24" s="530">
        <f t="shared" si="2"/>
        <v>-7604.2903521626286</v>
      </c>
      <c r="J24" s="499"/>
      <c r="K24" s="499"/>
      <c r="L24" s="499"/>
      <c r="M24" s="499"/>
      <c r="N24" s="499"/>
    </row>
    <row r="25" spans="1:14" ht="15.75" customHeight="1">
      <c r="A25" s="499"/>
      <c r="E25" s="531">
        <f t="shared" si="3"/>
        <v>23</v>
      </c>
      <c r="F25" s="526">
        <f t="shared" si="1"/>
        <v>23167.283504162628</v>
      </c>
      <c r="G25" s="530">
        <f>'Financial Worksheet'!$B$4/(5*12)</f>
        <v>5751.6251520000014</v>
      </c>
      <c r="H25" s="530">
        <f>('Updated Chargers Revenue Calcul'!$J$24/12)*1.125^INT((E25-1)/12)</f>
        <v>9811.3679999999986</v>
      </c>
      <c r="I25" s="530">
        <f t="shared" si="2"/>
        <v>-7604.2903521626286</v>
      </c>
      <c r="J25" s="532"/>
      <c r="K25" s="533"/>
      <c r="L25" s="533"/>
      <c r="M25" s="499"/>
      <c r="N25" s="499"/>
    </row>
    <row r="26" spans="1:14" ht="15.75" customHeight="1">
      <c r="A26" s="499"/>
      <c r="E26" s="529">
        <f t="shared" si="3"/>
        <v>24</v>
      </c>
      <c r="F26" s="530">
        <f t="shared" si="1"/>
        <v>23167.283504162628</v>
      </c>
      <c r="G26" s="530">
        <f>'Financial Worksheet'!$B$4/(5*12)</f>
        <v>5751.6251520000014</v>
      </c>
      <c r="H26" s="530">
        <f>('Updated Chargers Revenue Calcul'!$J$24/12)*1.125^INT((E26-1)/12)</f>
        <v>9811.3679999999986</v>
      </c>
      <c r="I26" s="530">
        <f t="shared" si="2"/>
        <v>-7604.2903521626286</v>
      </c>
      <c r="J26" s="499"/>
      <c r="K26" s="499"/>
      <c r="L26" s="499"/>
      <c r="M26" s="499"/>
      <c r="N26" s="499"/>
    </row>
    <row r="27" spans="1:14" ht="15.75" customHeight="1">
      <c r="A27" s="499"/>
      <c r="E27" s="529">
        <f t="shared" si="3"/>
        <v>25</v>
      </c>
      <c r="F27" s="530">
        <f t="shared" si="1"/>
        <v>23167.283504162628</v>
      </c>
      <c r="G27" s="530">
        <f>'Financial Worksheet'!$B$4/(5*12)</f>
        <v>5751.6251520000014</v>
      </c>
      <c r="H27" s="530">
        <f>('Updated Chargers Revenue Calcul'!$J$24/12)*1.125^INT((E27-1)/12)</f>
        <v>11037.788999999999</v>
      </c>
      <c r="I27" s="530">
        <f t="shared" si="2"/>
        <v>-6377.8693521626265</v>
      </c>
      <c r="J27" s="499"/>
      <c r="K27" s="499"/>
      <c r="L27" s="499"/>
      <c r="M27" s="499"/>
      <c r="N27" s="499"/>
    </row>
    <row r="28" spans="1:14" ht="15.75" customHeight="1">
      <c r="A28" s="499"/>
      <c r="E28" s="529">
        <f t="shared" si="3"/>
        <v>26</v>
      </c>
      <c r="F28" s="530">
        <f t="shared" si="1"/>
        <v>23167.283504162628</v>
      </c>
      <c r="G28" s="530">
        <f>'Financial Worksheet'!$B$4/(5*12)</f>
        <v>5751.6251520000014</v>
      </c>
      <c r="H28" s="530">
        <f>('Updated Chargers Revenue Calcul'!$J$24/12)*1.125^INT((E28-1)/12)</f>
        <v>11037.788999999999</v>
      </c>
      <c r="I28" s="530">
        <f t="shared" si="2"/>
        <v>-6377.8693521626265</v>
      </c>
      <c r="J28" s="499"/>
      <c r="K28" s="499"/>
      <c r="L28" s="499"/>
      <c r="M28" s="499"/>
      <c r="N28" s="499"/>
    </row>
    <row r="29" spans="1:14" ht="15.75" customHeight="1">
      <c r="A29" s="499"/>
      <c r="E29" s="529">
        <f t="shared" si="3"/>
        <v>27</v>
      </c>
      <c r="F29" s="530">
        <f t="shared" si="1"/>
        <v>23167.283504162628</v>
      </c>
      <c r="G29" s="530">
        <f>'Financial Worksheet'!$B$4/(5*12)</f>
        <v>5751.6251520000014</v>
      </c>
      <c r="H29" s="530">
        <f>('Updated Chargers Revenue Calcul'!$J$24/12)*1.125^INT((E29-1)/12)</f>
        <v>11037.788999999999</v>
      </c>
      <c r="I29" s="530">
        <f t="shared" si="2"/>
        <v>-6377.8693521626265</v>
      </c>
      <c r="J29" s="499"/>
      <c r="K29" s="499"/>
      <c r="L29" s="499"/>
      <c r="M29" s="499"/>
      <c r="N29" s="499"/>
    </row>
    <row r="30" spans="1:14" ht="15.75" customHeight="1">
      <c r="A30" s="499"/>
      <c r="E30" s="529">
        <f t="shared" si="3"/>
        <v>28</v>
      </c>
      <c r="F30" s="530">
        <f t="shared" si="1"/>
        <v>23167.283504162628</v>
      </c>
      <c r="G30" s="530">
        <f>'Financial Worksheet'!$B$4/(5*12)</f>
        <v>5751.6251520000014</v>
      </c>
      <c r="H30" s="530">
        <f>('Updated Chargers Revenue Calcul'!$J$24/12)*1.125^INT((E30-1)/12)</f>
        <v>11037.788999999999</v>
      </c>
      <c r="I30" s="530">
        <f t="shared" si="2"/>
        <v>-6377.8693521626265</v>
      </c>
      <c r="J30" s="499"/>
      <c r="K30" s="499"/>
      <c r="L30" s="499"/>
      <c r="M30" s="499"/>
      <c r="N30" s="499"/>
    </row>
    <row r="31" spans="1:14" ht="15.75" customHeight="1">
      <c r="A31" s="499"/>
      <c r="E31" s="529">
        <f t="shared" si="3"/>
        <v>29</v>
      </c>
      <c r="F31" s="530">
        <f t="shared" si="1"/>
        <v>23167.283504162628</v>
      </c>
      <c r="G31" s="530">
        <f>'Financial Worksheet'!$B$4/(5*12)</f>
        <v>5751.6251520000014</v>
      </c>
      <c r="H31" s="530">
        <f>('Updated Chargers Revenue Calcul'!$J$24/12)*1.125^INT((E31-1)/12)</f>
        <v>11037.788999999999</v>
      </c>
      <c r="I31" s="530">
        <f t="shared" si="2"/>
        <v>-6377.8693521626265</v>
      </c>
      <c r="J31" s="499"/>
      <c r="K31" s="499"/>
      <c r="L31" s="499"/>
      <c r="M31" s="499"/>
      <c r="N31" s="499"/>
    </row>
    <row r="32" spans="1:14" ht="15.75" customHeight="1">
      <c r="A32" s="499"/>
      <c r="E32" s="529">
        <f t="shared" si="3"/>
        <v>30</v>
      </c>
      <c r="F32" s="530">
        <f t="shared" si="1"/>
        <v>23167.283504162628</v>
      </c>
      <c r="G32" s="530">
        <f>'Financial Worksheet'!$B$4/(5*12)</f>
        <v>5751.6251520000014</v>
      </c>
      <c r="H32" s="530">
        <f>('Updated Chargers Revenue Calcul'!$J$24/12)*1.125^INT((E32-1)/12)</f>
        <v>11037.788999999999</v>
      </c>
      <c r="I32" s="530">
        <f t="shared" si="2"/>
        <v>-6377.8693521626265</v>
      </c>
      <c r="J32" s="499"/>
      <c r="K32" s="499"/>
      <c r="L32" s="499"/>
      <c r="M32" s="499"/>
      <c r="N32" s="499"/>
    </row>
    <row r="33" spans="1:14" ht="15.75" customHeight="1">
      <c r="A33" s="499"/>
      <c r="E33" s="529">
        <f t="shared" si="3"/>
        <v>31</v>
      </c>
      <c r="F33" s="530">
        <f t="shared" si="1"/>
        <v>23167.283504162628</v>
      </c>
      <c r="G33" s="530">
        <f>'Financial Worksheet'!$B$4/(5*12)</f>
        <v>5751.6251520000014</v>
      </c>
      <c r="H33" s="530">
        <f>('Updated Chargers Revenue Calcul'!$J$24/12)*1.125^INT((E33-1)/12)</f>
        <v>11037.788999999999</v>
      </c>
      <c r="I33" s="530">
        <f t="shared" si="2"/>
        <v>-6377.8693521626265</v>
      </c>
      <c r="J33" s="499"/>
      <c r="K33" s="499"/>
      <c r="L33" s="499"/>
      <c r="M33" s="499"/>
      <c r="N33" s="499"/>
    </row>
    <row r="34" spans="1:14" ht="15.75" customHeight="1">
      <c r="A34" s="499"/>
      <c r="E34" s="529">
        <f t="shared" si="3"/>
        <v>32</v>
      </c>
      <c r="F34" s="530">
        <f t="shared" si="1"/>
        <v>23167.283504162628</v>
      </c>
      <c r="G34" s="530">
        <f>'Financial Worksheet'!$B$4/(5*12)</f>
        <v>5751.6251520000014</v>
      </c>
      <c r="H34" s="530">
        <f>('Updated Chargers Revenue Calcul'!$J$24/12)*1.125^INT((E34-1)/12)</f>
        <v>11037.788999999999</v>
      </c>
      <c r="I34" s="530">
        <f t="shared" si="2"/>
        <v>-6377.8693521626265</v>
      </c>
      <c r="J34" s="499"/>
      <c r="K34" s="499"/>
      <c r="L34" s="499"/>
      <c r="M34" s="499"/>
      <c r="N34" s="499"/>
    </row>
    <row r="35" spans="1:14" ht="15.75" customHeight="1">
      <c r="A35" s="499"/>
      <c r="E35" s="529">
        <f t="shared" si="3"/>
        <v>33</v>
      </c>
      <c r="F35" s="530">
        <f t="shared" si="1"/>
        <v>23167.283504162628</v>
      </c>
      <c r="G35" s="530">
        <f>'Financial Worksheet'!$B$4/(5*12)</f>
        <v>5751.6251520000014</v>
      </c>
      <c r="H35" s="530">
        <f>('Updated Chargers Revenue Calcul'!$J$24/12)*1.125^INT((E35-1)/12)</f>
        <v>11037.788999999999</v>
      </c>
      <c r="I35" s="530">
        <f t="shared" si="2"/>
        <v>-6377.8693521626265</v>
      </c>
      <c r="J35" s="499"/>
      <c r="K35" s="499"/>
      <c r="L35" s="499"/>
      <c r="M35" s="499"/>
      <c r="N35" s="499"/>
    </row>
    <row r="36" spans="1:14" ht="15.75" customHeight="1">
      <c r="A36" s="499"/>
      <c r="E36" s="529">
        <f t="shared" si="3"/>
        <v>34</v>
      </c>
      <c r="F36" s="530">
        <f t="shared" si="1"/>
        <v>23167.283504162628</v>
      </c>
      <c r="G36" s="530">
        <f>'Financial Worksheet'!$B$4/(5*12)</f>
        <v>5751.6251520000014</v>
      </c>
      <c r="H36" s="530">
        <f>('Updated Chargers Revenue Calcul'!$J$24/12)*1.125^INT((E36-1)/12)</f>
        <v>11037.788999999999</v>
      </c>
      <c r="I36" s="530">
        <f t="shared" si="2"/>
        <v>-6377.8693521626265</v>
      </c>
      <c r="J36" s="499"/>
      <c r="K36" s="499"/>
      <c r="L36" s="499"/>
      <c r="M36" s="499"/>
      <c r="N36" s="499"/>
    </row>
    <row r="37" spans="1:14" ht="15.75" customHeight="1">
      <c r="A37" s="499"/>
      <c r="E37" s="529">
        <f t="shared" si="3"/>
        <v>35</v>
      </c>
      <c r="F37" s="530">
        <f t="shared" si="1"/>
        <v>23167.283504162628</v>
      </c>
      <c r="G37" s="530">
        <f>'Financial Worksheet'!$B$4/(5*12)</f>
        <v>5751.6251520000014</v>
      </c>
      <c r="H37" s="530">
        <f>('Updated Chargers Revenue Calcul'!$J$24/12)*1.125^INT((E37-1)/12)</f>
        <v>11037.788999999999</v>
      </c>
      <c r="I37" s="530">
        <f t="shared" si="2"/>
        <v>-6377.8693521626265</v>
      </c>
      <c r="J37" s="499"/>
      <c r="K37" s="499"/>
      <c r="L37" s="499"/>
      <c r="M37" s="499"/>
      <c r="N37" s="499"/>
    </row>
    <row r="38" spans="1:14" ht="15.75" customHeight="1">
      <c r="A38" s="499"/>
      <c r="E38" s="529">
        <f t="shared" si="3"/>
        <v>36</v>
      </c>
      <c r="F38" s="530">
        <f t="shared" si="1"/>
        <v>23167.283504162628</v>
      </c>
      <c r="G38" s="530">
        <f>'Financial Worksheet'!$B$4/(5*12)</f>
        <v>5751.6251520000014</v>
      </c>
      <c r="H38" s="530">
        <f>('Updated Chargers Revenue Calcul'!$J$24/12)*1.125^INT((E38-1)/12)</f>
        <v>11037.788999999999</v>
      </c>
      <c r="I38" s="530">
        <f t="shared" si="2"/>
        <v>-6377.8693521626265</v>
      </c>
      <c r="J38" s="499"/>
      <c r="K38" s="499"/>
      <c r="L38" s="499"/>
      <c r="M38" s="499"/>
      <c r="N38" s="499"/>
    </row>
    <row r="39" spans="1:14" ht="15.75" customHeight="1">
      <c r="A39" s="499"/>
      <c r="E39" s="529">
        <f t="shared" si="3"/>
        <v>37</v>
      </c>
      <c r="F39" s="530">
        <f t="shared" si="1"/>
        <v>23167.283504162628</v>
      </c>
      <c r="G39" s="530">
        <f>'Financial Worksheet'!$B$4/(5*12)</f>
        <v>5751.6251520000014</v>
      </c>
      <c r="H39" s="530">
        <f>('Updated Chargers Revenue Calcul'!$J$24/12)*1.125^INT((E39-1)/12)</f>
        <v>12417.512624999998</v>
      </c>
      <c r="I39" s="530">
        <f t="shared" si="2"/>
        <v>-4998.1457271626277</v>
      </c>
      <c r="J39" s="499"/>
      <c r="K39" s="499"/>
      <c r="L39" s="499"/>
      <c r="M39" s="499"/>
      <c r="N39" s="499"/>
    </row>
    <row r="40" spans="1:14" ht="15.75" customHeight="1">
      <c r="A40" s="499"/>
      <c r="E40" s="529">
        <f t="shared" si="3"/>
        <v>38</v>
      </c>
      <c r="F40" s="530">
        <f t="shared" si="1"/>
        <v>23167.283504162628</v>
      </c>
      <c r="G40" s="530">
        <f>'Financial Worksheet'!$B$4/(5*12)</f>
        <v>5751.6251520000014</v>
      </c>
      <c r="H40" s="530">
        <f>('Updated Chargers Revenue Calcul'!$J$24/12)*1.125^INT((E40-1)/12)</f>
        <v>12417.512624999998</v>
      </c>
      <c r="I40" s="530">
        <f t="shared" si="2"/>
        <v>-4998.1457271626277</v>
      </c>
      <c r="J40" s="499"/>
      <c r="K40" s="499"/>
      <c r="L40" s="499"/>
      <c r="M40" s="499"/>
      <c r="N40" s="499"/>
    </row>
    <row r="41" spans="1:14" ht="15.75" customHeight="1">
      <c r="A41" s="499"/>
      <c r="E41" s="529">
        <f t="shared" si="3"/>
        <v>39</v>
      </c>
      <c r="F41" s="530">
        <f t="shared" si="1"/>
        <v>23167.283504162628</v>
      </c>
      <c r="G41" s="530">
        <f>'Financial Worksheet'!$B$4/(5*12)</f>
        <v>5751.6251520000014</v>
      </c>
      <c r="H41" s="530">
        <f>('Updated Chargers Revenue Calcul'!$J$24/12)*1.125^INT((E41-1)/12)</f>
        <v>12417.512624999998</v>
      </c>
      <c r="I41" s="530">
        <f t="shared" si="2"/>
        <v>-4998.1457271626277</v>
      </c>
      <c r="J41" s="499"/>
      <c r="K41" s="534"/>
      <c r="L41" s="534"/>
      <c r="M41" s="499"/>
      <c r="N41" s="499"/>
    </row>
    <row r="42" spans="1:14" ht="15.75" customHeight="1">
      <c r="A42" s="499"/>
      <c r="E42" s="529">
        <f t="shared" si="3"/>
        <v>40</v>
      </c>
      <c r="F42" s="530">
        <f t="shared" si="1"/>
        <v>23167.283504162628</v>
      </c>
      <c r="G42" s="530">
        <f>'Financial Worksheet'!$B$4/(5*12)</f>
        <v>5751.6251520000014</v>
      </c>
      <c r="H42" s="530">
        <f>('Updated Chargers Revenue Calcul'!$J$24/12)*1.125^INT((E42-1)/12)</f>
        <v>12417.512624999998</v>
      </c>
      <c r="I42" s="530">
        <f t="shared" si="2"/>
        <v>-4998.1457271626277</v>
      </c>
      <c r="J42" s="499"/>
      <c r="K42" s="499"/>
      <c r="L42" s="499"/>
      <c r="M42" s="499"/>
      <c r="N42" s="499"/>
    </row>
    <row r="43" spans="1:14" ht="15.75" customHeight="1">
      <c r="A43" s="499"/>
      <c r="E43" s="529">
        <f t="shared" si="3"/>
        <v>41</v>
      </c>
      <c r="F43" s="530">
        <f t="shared" si="1"/>
        <v>23167.283504162628</v>
      </c>
      <c r="G43" s="530">
        <f>'Financial Worksheet'!$B$4/(5*12)</f>
        <v>5751.6251520000014</v>
      </c>
      <c r="H43" s="530">
        <f>('Updated Chargers Revenue Calcul'!$J$24/12)*1.125^INT((E43-1)/12)</f>
        <v>12417.512624999998</v>
      </c>
      <c r="I43" s="530">
        <f t="shared" si="2"/>
        <v>-4998.1457271626277</v>
      </c>
      <c r="J43" s="499"/>
      <c r="K43" s="499"/>
      <c r="L43" s="499"/>
      <c r="M43" s="499"/>
      <c r="N43" s="499"/>
    </row>
    <row r="44" spans="1:14" ht="15.75" customHeight="1">
      <c r="A44" s="499"/>
      <c r="E44" s="529">
        <f t="shared" si="3"/>
        <v>42</v>
      </c>
      <c r="F44" s="530">
        <f t="shared" si="1"/>
        <v>23167.283504162628</v>
      </c>
      <c r="G44" s="530">
        <f>'Financial Worksheet'!$B$4/(5*12)</f>
        <v>5751.6251520000014</v>
      </c>
      <c r="H44" s="530">
        <f>('Updated Chargers Revenue Calcul'!$J$24/12)*1.125^INT((E44-1)/12)</f>
        <v>12417.512624999998</v>
      </c>
      <c r="I44" s="530">
        <f t="shared" si="2"/>
        <v>-4998.1457271626277</v>
      </c>
      <c r="J44" s="499"/>
      <c r="K44" s="499"/>
      <c r="L44" s="499"/>
      <c r="M44" s="499"/>
      <c r="N44" s="499"/>
    </row>
    <row r="45" spans="1:14" ht="15.75" customHeight="1">
      <c r="A45" s="499"/>
      <c r="E45" s="529">
        <f t="shared" si="3"/>
        <v>43</v>
      </c>
      <c r="F45" s="530">
        <f t="shared" si="1"/>
        <v>23167.283504162628</v>
      </c>
      <c r="G45" s="530">
        <f>'Financial Worksheet'!$B$4/(5*12)</f>
        <v>5751.6251520000014</v>
      </c>
      <c r="H45" s="530">
        <f>('Updated Chargers Revenue Calcul'!$J$24/12)*1.125^INT((E45-1)/12)</f>
        <v>12417.512624999998</v>
      </c>
      <c r="I45" s="530">
        <f t="shared" si="2"/>
        <v>-4998.1457271626277</v>
      </c>
      <c r="J45" s="499"/>
      <c r="K45" s="499"/>
      <c r="L45" s="499"/>
      <c r="M45" s="499"/>
      <c r="N45" s="499"/>
    </row>
    <row r="46" spans="1:14" ht="15.75" customHeight="1">
      <c r="A46" s="499"/>
      <c r="E46" s="529">
        <f t="shared" si="3"/>
        <v>44</v>
      </c>
      <c r="F46" s="530">
        <f t="shared" si="1"/>
        <v>23167.283504162628</v>
      </c>
      <c r="G46" s="530">
        <f>'Financial Worksheet'!$B$4/(5*12)</f>
        <v>5751.6251520000014</v>
      </c>
      <c r="H46" s="530">
        <f>('Updated Chargers Revenue Calcul'!$J$24/12)*1.125^INT((E46-1)/12)</f>
        <v>12417.512624999998</v>
      </c>
      <c r="I46" s="530">
        <f t="shared" si="2"/>
        <v>-4998.1457271626277</v>
      </c>
      <c r="J46" s="499"/>
      <c r="K46" s="499"/>
      <c r="L46" s="499"/>
      <c r="M46" s="499"/>
      <c r="N46" s="499"/>
    </row>
    <row r="47" spans="1:14" ht="15.75" customHeight="1">
      <c r="A47" s="499"/>
      <c r="E47" s="529">
        <f t="shared" si="3"/>
        <v>45</v>
      </c>
      <c r="F47" s="530">
        <f t="shared" si="1"/>
        <v>23167.283504162628</v>
      </c>
      <c r="G47" s="530">
        <f>'Financial Worksheet'!$B$4/(5*12)</f>
        <v>5751.6251520000014</v>
      </c>
      <c r="H47" s="530">
        <f>('Updated Chargers Revenue Calcul'!$J$24/12)*1.125^INT((E47-1)/12)</f>
        <v>12417.512624999998</v>
      </c>
      <c r="I47" s="530">
        <f t="shared" si="2"/>
        <v>-4998.1457271626277</v>
      </c>
      <c r="J47" s="499"/>
      <c r="K47" s="499"/>
      <c r="L47" s="499"/>
      <c r="M47" s="499"/>
      <c r="N47" s="499"/>
    </row>
    <row r="48" spans="1:14" ht="15.75" customHeight="1">
      <c r="A48" s="499"/>
      <c r="E48" s="529">
        <f t="shared" si="3"/>
        <v>46</v>
      </c>
      <c r="F48" s="530">
        <f t="shared" si="1"/>
        <v>23167.283504162628</v>
      </c>
      <c r="G48" s="530">
        <f>'Financial Worksheet'!$B$4/(5*12)</f>
        <v>5751.6251520000014</v>
      </c>
      <c r="H48" s="530">
        <f>('Updated Chargers Revenue Calcul'!$J$24/12)*1.125^INT((E48-1)/12)</f>
        <v>12417.512624999998</v>
      </c>
      <c r="I48" s="530">
        <f t="shared" si="2"/>
        <v>-4998.1457271626277</v>
      </c>
      <c r="J48" s="499"/>
      <c r="K48" s="499"/>
      <c r="L48" s="499"/>
      <c r="M48" s="499"/>
      <c r="N48" s="499"/>
    </row>
    <row r="49" spans="1:14" ht="15.75" customHeight="1">
      <c r="A49" s="499"/>
      <c r="E49" s="529">
        <f t="shared" si="3"/>
        <v>47</v>
      </c>
      <c r="F49" s="530">
        <f t="shared" si="1"/>
        <v>23167.283504162628</v>
      </c>
      <c r="G49" s="530">
        <f>'Financial Worksheet'!$B$4/(5*12)</f>
        <v>5751.6251520000014</v>
      </c>
      <c r="H49" s="530">
        <f>('Updated Chargers Revenue Calcul'!$J$24/12)*1.125^INT((E49-1)/12)</f>
        <v>12417.512624999998</v>
      </c>
      <c r="I49" s="530">
        <f t="shared" si="2"/>
        <v>-4998.1457271626277</v>
      </c>
      <c r="J49" s="499"/>
      <c r="K49" s="499"/>
      <c r="L49" s="499"/>
      <c r="M49" s="499"/>
      <c r="N49" s="499"/>
    </row>
    <row r="50" spans="1:14" ht="15.75" customHeight="1">
      <c r="A50" s="499"/>
      <c r="E50" s="529">
        <f t="shared" si="3"/>
        <v>48</v>
      </c>
      <c r="F50" s="530">
        <f t="shared" si="1"/>
        <v>23167.283504162628</v>
      </c>
      <c r="G50" s="530">
        <f>'Financial Worksheet'!$B$4/(5*12)</f>
        <v>5751.6251520000014</v>
      </c>
      <c r="H50" s="530">
        <f>('Updated Chargers Revenue Calcul'!$J$24/12)*1.125^INT((E50-1)/12)</f>
        <v>12417.512624999998</v>
      </c>
      <c r="I50" s="530">
        <f t="shared" si="2"/>
        <v>-4998.1457271626277</v>
      </c>
      <c r="J50" s="499"/>
      <c r="K50" s="499"/>
      <c r="L50" s="499"/>
      <c r="M50" s="499"/>
      <c r="N50" s="499"/>
    </row>
    <row r="51" spans="1:14" ht="15.75" customHeight="1">
      <c r="A51" s="499"/>
      <c r="E51" s="529">
        <f t="shared" si="3"/>
        <v>49</v>
      </c>
      <c r="F51" s="530">
        <f t="shared" si="1"/>
        <v>23167.283504162628</v>
      </c>
      <c r="G51" s="530">
        <f>'Financial Worksheet'!$B$4/(5*12)</f>
        <v>5751.6251520000014</v>
      </c>
      <c r="H51" s="530">
        <f>('Updated Chargers Revenue Calcul'!$J$24/12)*1.125^INT((E51-1)/12)</f>
        <v>13969.701703124998</v>
      </c>
      <c r="I51" s="530">
        <f t="shared" si="2"/>
        <v>-3445.9566490376274</v>
      </c>
      <c r="J51" s="499"/>
      <c r="K51" s="499"/>
      <c r="L51" s="499"/>
      <c r="M51" s="499"/>
      <c r="N51" s="499"/>
    </row>
    <row r="52" spans="1:14" ht="15.75" customHeight="1">
      <c r="A52" s="499"/>
      <c r="E52" s="529">
        <f t="shared" si="3"/>
        <v>50</v>
      </c>
      <c r="F52" s="530">
        <f t="shared" si="1"/>
        <v>23167.283504162628</v>
      </c>
      <c r="G52" s="530">
        <f>'Financial Worksheet'!$B$4/(5*12)</f>
        <v>5751.6251520000014</v>
      </c>
      <c r="H52" s="530">
        <f>('Updated Chargers Revenue Calcul'!$J$24/12)*1.125^INT((E52-1)/12)</f>
        <v>13969.701703124998</v>
      </c>
      <c r="I52" s="530">
        <f t="shared" si="2"/>
        <v>-3445.9566490376274</v>
      </c>
      <c r="J52" s="499"/>
      <c r="K52" s="499"/>
      <c r="L52" s="499"/>
      <c r="M52" s="499"/>
      <c r="N52" s="499"/>
    </row>
    <row r="53" spans="1:14" ht="15.75" customHeight="1">
      <c r="A53" s="499"/>
      <c r="E53" s="529">
        <f t="shared" si="3"/>
        <v>51</v>
      </c>
      <c r="F53" s="530">
        <f t="shared" si="1"/>
        <v>23167.283504162628</v>
      </c>
      <c r="G53" s="530">
        <f>'Financial Worksheet'!$B$4/(5*12)</f>
        <v>5751.6251520000014</v>
      </c>
      <c r="H53" s="530">
        <f>('Updated Chargers Revenue Calcul'!$J$24/12)*1.125^INT((E53-1)/12)</f>
        <v>13969.701703124998</v>
      </c>
      <c r="I53" s="530">
        <f t="shared" si="2"/>
        <v>-3445.9566490376274</v>
      </c>
      <c r="J53" s="499"/>
      <c r="K53" s="499"/>
      <c r="L53" s="499"/>
      <c r="M53" s="499"/>
      <c r="N53" s="499"/>
    </row>
    <row r="54" spans="1:14" ht="15.75" customHeight="1">
      <c r="A54" s="499"/>
      <c r="E54" s="529">
        <f t="shared" si="3"/>
        <v>52</v>
      </c>
      <c r="F54" s="530">
        <f t="shared" si="1"/>
        <v>23167.283504162628</v>
      </c>
      <c r="G54" s="530">
        <f>'Financial Worksheet'!$B$4/(5*12)</f>
        <v>5751.6251520000014</v>
      </c>
      <c r="H54" s="530">
        <f>('Updated Chargers Revenue Calcul'!$J$24/12)*1.125^INT((E54-1)/12)</f>
        <v>13969.701703124998</v>
      </c>
      <c r="I54" s="530">
        <f t="shared" si="2"/>
        <v>-3445.9566490376274</v>
      </c>
      <c r="J54" s="499"/>
      <c r="K54" s="499"/>
      <c r="L54" s="499"/>
      <c r="M54" s="499"/>
      <c r="N54" s="499"/>
    </row>
    <row r="55" spans="1:14" ht="15.75" customHeight="1">
      <c r="A55" s="499"/>
      <c r="E55" s="529">
        <f t="shared" si="3"/>
        <v>53</v>
      </c>
      <c r="F55" s="530">
        <f t="shared" si="1"/>
        <v>23167.283504162628</v>
      </c>
      <c r="G55" s="530">
        <f>'Financial Worksheet'!$B$4/(5*12)</f>
        <v>5751.6251520000014</v>
      </c>
      <c r="H55" s="530">
        <f>('Updated Chargers Revenue Calcul'!$J$24/12)*1.125^INT((E55-1)/12)</f>
        <v>13969.701703124998</v>
      </c>
      <c r="I55" s="530">
        <f t="shared" si="2"/>
        <v>-3445.9566490376274</v>
      </c>
      <c r="J55" s="499"/>
      <c r="K55" s="499"/>
      <c r="L55" s="499"/>
      <c r="M55" s="499"/>
      <c r="N55" s="499"/>
    </row>
    <row r="56" spans="1:14" ht="15.75" customHeight="1">
      <c r="A56" s="499"/>
      <c r="E56" s="529">
        <f t="shared" si="3"/>
        <v>54</v>
      </c>
      <c r="F56" s="530">
        <f t="shared" si="1"/>
        <v>23167.283504162628</v>
      </c>
      <c r="G56" s="530">
        <f>'Financial Worksheet'!$B$4/(5*12)</f>
        <v>5751.6251520000014</v>
      </c>
      <c r="H56" s="530">
        <f>('Updated Chargers Revenue Calcul'!$J$24/12)*1.125^INT((E56-1)/12)</f>
        <v>13969.701703124998</v>
      </c>
      <c r="I56" s="530">
        <f t="shared" si="2"/>
        <v>-3445.9566490376274</v>
      </c>
      <c r="J56" s="499"/>
      <c r="K56" s="499"/>
      <c r="L56" s="499"/>
      <c r="M56" s="499"/>
      <c r="N56" s="499"/>
    </row>
    <row r="57" spans="1:14" ht="15.75" customHeight="1">
      <c r="A57" s="499"/>
      <c r="E57" s="529">
        <f t="shared" si="3"/>
        <v>55</v>
      </c>
      <c r="F57" s="530">
        <f t="shared" si="1"/>
        <v>23167.283504162628</v>
      </c>
      <c r="G57" s="530">
        <f>'Financial Worksheet'!$B$4/(5*12)</f>
        <v>5751.6251520000014</v>
      </c>
      <c r="H57" s="530">
        <f>('Updated Chargers Revenue Calcul'!$J$24/12)*1.125^INT((E57-1)/12)</f>
        <v>13969.701703124998</v>
      </c>
      <c r="I57" s="530">
        <f t="shared" si="2"/>
        <v>-3445.9566490376274</v>
      </c>
      <c r="J57" s="499"/>
      <c r="K57" s="499"/>
      <c r="L57" s="499"/>
      <c r="M57" s="499"/>
      <c r="N57" s="499"/>
    </row>
    <row r="58" spans="1:14" ht="15.75" customHeight="1">
      <c r="A58" s="499"/>
      <c r="E58" s="529">
        <f t="shared" si="3"/>
        <v>56</v>
      </c>
      <c r="F58" s="530">
        <f t="shared" si="1"/>
        <v>23167.283504162628</v>
      </c>
      <c r="G58" s="530">
        <f>'Financial Worksheet'!$B$4/(5*12)</f>
        <v>5751.6251520000014</v>
      </c>
      <c r="H58" s="530">
        <f>('Updated Chargers Revenue Calcul'!$J$24/12)*1.125^INT((E58-1)/12)</f>
        <v>13969.701703124998</v>
      </c>
      <c r="I58" s="530">
        <f t="shared" si="2"/>
        <v>-3445.9566490376274</v>
      </c>
      <c r="J58" s="499"/>
      <c r="K58" s="499"/>
      <c r="L58" s="499"/>
      <c r="M58" s="499"/>
      <c r="N58" s="499"/>
    </row>
    <row r="59" spans="1:14" ht="15.75" customHeight="1">
      <c r="A59" s="499"/>
      <c r="E59" s="529">
        <f t="shared" si="3"/>
        <v>57</v>
      </c>
      <c r="F59" s="530">
        <f t="shared" si="1"/>
        <v>23167.283504162628</v>
      </c>
      <c r="G59" s="530">
        <f>'Financial Worksheet'!$B$4/(5*12)</f>
        <v>5751.6251520000014</v>
      </c>
      <c r="H59" s="530">
        <f>('Updated Chargers Revenue Calcul'!$J$24/12)*1.125^INT((E59-1)/12)</f>
        <v>13969.701703124998</v>
      </c>
      <c r="I59" s="530">
        <f t="shared" si="2"/>
        <v>-3445.9566490376274</v>
      </c>
      <c r="J59" s="499"/>
      <c r="K59" s="499"/>
      <c r="L59" s="499"/>
      <c r="M59" s="499"/>
      <c r="N59" s="499"/>
    </row>
    <row r="60" spans="1:14" ht="15.75" customHeight="1">
      <c r="A60" s="499"/>
      <c r="E60" s="529">
        <f t="shared" si="3"/>
        <v>58</v>
      </c>
      <c r="F60" s="530">
        <f t="shared" si="1"/>
        <v>23167.283504162628</v>
      </c>
      <c r="G60" s="530">
        <f>'Financial Worksheet'!$B$4/(5*12)</f>
        <v>5751.6251520000014</v>
      </c>
      <c r="H60" s="530">
        <f>('Updated Chargers Revenue Calcul'!$J$24/12)*1.125^INT((E60-1)/12)</f>
        <v>13969.701703124998</v>
      </c>
      <c r="I60" s="530">
        <f t="shared" si="2"/>
        <v>-3445.9566490376274</v>
      </c>
      <c r="J60" s="499"/>
      <c r="K60" s="499"/>
      <c r="L60" s="499"/>
      <c r="M60" s="499"/>
      <c r="N60" s="499"/>
    </row>
    <row r="61" spans="1:14" ht="15.75" customHeight="1">
      <c r="A61" s="499"/>
      <c r="E61" s="529">
        <f t="shared" si="3"/>
        <v>59</v>
      </c>
      <c r="F61" s="530">
        <f t="shared" si="1"/>
        <v>23167.283504162628</v>
      </c>
      <c r="G61" s="530">
        <f>'Financial Worksheet'!$B$4/(5*12)</f>
        <v>5751.6251520000014</v>
      </c>
      <c r="H61" s="530">
        <f>('Updated Chargers Revenue Calcul'!$J$24/12)*1.125^INT((E61-1)/12)</f>
        <v>13969.701703124998</v>
      </c>
      <c r="I61" s="530">
        <f t="shared" si="2"/>
        <v>-3445.9566490376274</v>
      </c>
      <c r="J61" s="499"/>
      <c r="K61" s="499"/>
      <c r="L61" s="499"/>
      <c r="M61" s="499"/>
      <c r="N61" s="499"/>
    </row>
    <row r="62" spans="1:14" ht="15.75" customHeight="1">
      <c r="A62" s="499"/>
      <c r="E62" s="529">
        <f t="shared" si="3"/>
        <v>60</v>
      </c>
      <c r="F62" s="530">
        <f t="shared" si="1"/>
        <v>23167.283504162628</v>
      </c>
      <c r="G62" s="530">
        <f>'Financial Worksheet'!$B$4/(5*12)</f>
        <v>5751.6251520000014</v>
      </c>
      <c r="H62" s="530">
        <f>('Updated Chargers Revenue Calcul'!$J$24/12)*1.125^INT((E62-1)/12)</f>
        <v>13969.701703124998</v>
      </c>
      <c r="I62" s="530">
        <f t="shared" si="2"/>
        <v>-3445.9566490376274</v>
      </c>
      <c r="J62" s="499"/>
      <c r="K62" s="499"/>
      <c r="L62" s="499"/>
      <c r="M62" s="499"/>
      <c r="N62" s="499"/>
    </row>
    <row r="63" spans="1:14" ht="15.75" customHeight="1">
      <c r="A63" s="499"/>
      <c r="E63" s="499"/>
      <c r="F63" s="499"/>
      <c r="G63" s="499"/>
      <c r="H63" s="499"/>
      <c r="I63" s="499"/>
      <c r="J63" s="499"/>
      <c r="K63" s="499"/>
      <c r="L63" s="499"/>
      <c r="M63" s="499"/>
      <c r="N63" s="499"/>
    </row>
    <row r="64" spans="1:14" ht="15.75" customHeight="1">
      <c r="A64" s="499"/>
      <c r="E64" s="499"/>
      <c r="F64" s="499"/>
      <c r="G64" s="499"/>
      <c r="H64" s="499"/>
      <c r="I64" s="499"/>
      <c r="J64" s="499"/>
      <c r="K64" s="499"/>
      <c r="L64" s="499"/>
      <c r="M64" s="499"/>
      <c r="N64" s="499"/>
    </row>
    <row r="65" spans="1:14" ht="15.75" customHeight="1">
      <c r="A65" s="499"/>
      <c r="E65" s="499"/>
      <c r="F65" s="499"/>
      <c r="G65" s="499"/>
      <c r="H65" s="499"/>
      <c r="I65" s="499"/>
      <c r="J65" s="499"/>
      <c r="K65" s="499"/>
      <c r="L65" s="499"/>
      <c r="M65" s="499"/>
      <c r="N65" s="499"/>
    </row>
    <row r="66" spans="1:14" ht="15.75" customHeight="1">
      <c r="A66" s="499"/>
      <c r="E66" s="499"/>
      <c r="F66" s="499"/>
      <c r="G66" s="499"/>
      <c r="H66" s="499"/>
      <c r="I66" s="499"/>
      <c r="J66" s="499"/>
      <c r="K66" s="499"/>
      <c r="L66" s="499"/>
      <c r="M66" s="499"/>
      <c r="N66" s="499"/>
    </row>
    <row r="67" spans="1:14" ht="15.75" customHeight="1">
      <c r="A67" s="499"/>
      <c r="E67" s="499"/>
      <c r="F67" s="499"/>
      <c r="G67" s="499"/>
      <c r="H67" s="499"/>
      <c r="I67" s="499"/>
      <c r="J67" s="499"/>
      <c r="K67" s="499"/>
      <c r="L67" s="499"/>
      <c r="M67" s="499"/>
      <c r="N67" s="499"/>
    </row>
    <row r="68" spans="1:14" ht="15.75" customHeight="1">
      <c r="A68" s="499"/>
      <c r="E68" s="499"/>
      <c r="F68" s="499"/>
      <c r="G68" s="499"/>
      <c r="H68" s="499"/>
      <c r="I68" s="499"/>
      <c r="J68" s="499"/>
      <c r="K68" s="499"/>
      <c r="L68" s="499"/>
      <c r="M68" s="499"/>
      <c r="N68" s="499"/>
    </row>
    <row r="69" spans="1:14" ht="15.75" customHeight="1">
      <c r="A69" s="499"/>
      <c r="E69" s="499"/>
      <c r="F69" s="499"/>
      <c r="G69" s="499"/>
      <c r="H69" s="499"/>
      <c r="I69" s="499"/>
      <c r="J69" s="499"/>
      <c r="K69" s="499"/>
      <c r="L69" s="499"/>
      <c r="M69" s="499"/>
      <c r="N69" s="499"/>
    </row>
    <row r="70" spans="1:14" ht="15.75" customHeight="1">
      <c r="A70" s="499"/>
      <c r="E70" s="499"/>
      <c r="F70" s="499"/>
      <c r="G70" s="499"/>
      <c r="H70" s="499"/>
      <c r="I70" s="499"/>
      <c r="J70" s="499"/>
      <c r="K70" s="499"/>
      <c r="L70" s="499"/>
      <c r="M70" s="499"/>
      <c r="N70" s="499"/>
    </row>
    <row r="71" spans="1:14" ht="15.75" customHeight="1">
      <c r="A71" s="499"/>
      <c r="E71" s="499"/>
      <c r="F71" s="499"/>
      <c r="G71" s="499"/>
      <c r="H71" s="499"/>
      <c r="I71" s="499"/>
      <c r="J71" s="499"/>
      <c r="K71" s="499"/>
      <c r="L71" s="499"/>
      <c r="M71" s="499"/>
      <c r="N71" s="499"/>
    </row>
    <row r="72" spans="1:14" ht="15.75" customHeight="1">
      <c r="A72" s="499"/>
      <c r="E72" s="499"/>
      <c r="F72" s="499"/>
      <c r="G72" s="499"/>
      <c r="H72" s="499"/>
      <c r="I72" s="499"/>
      <c r="J72" s="499"/>
      <c r="K72" s="499"/>
      <c r="L72" s="499"/>
      <c r="M72" s="499"/>
      <c r="N72" s="499"/>
    </row>
    <row r="73" spans="1:14" ht="15.75" customHeight="1">
      <c r="A73" s="499"/>
      <c r="E73" s="499"/>
      <c r="F73" s="499"/>
      <c r="G73" s="499"/>
      <c r="H73" s="499"/>
      <c r="I73" s="499"/>
      <c r="J73" s="499"/>
      <c r="K73" s="499"/>
      <c r="L73" s="499"/>
      <c r="M73" s="499"/>
      <c r="N73" s="499"/>
    </row>
    <row r="74" spans="1:14" ht="15.75" customHeight="1">
      <c r="A74" s="499"/>
      <c r="E74" s="499"/>
      <c r="F74" s="499"/>
      <c r="G74" s="499"/>
      <c r="H74" s="499"/>
      <c r="I74" s="499"/>
      <c r="J74" s="499"/>
      <c r="K74" s="499"/>
      <c r="L74" s="499"/>
      <c r="M74" s="499"/>
      <c r="N74" s="499"/>
    </row>
    <row r="75" spans="1:14" ht="15.75" customHeight="1">
      <c r="A75" s="499"/>
      <c r="E75" s="499"/>
      <c r="F75" s="499"/>
      <c r="G75" s="499"/>
      <c r="H75" s="499"/>
      <c r="I75" s="499"/>
      <c r="J75" s="499"/>
      <c r="K75" s="499"/>
      <c r="L75" s="499"/>
      <c r="M75" s="499"/>
      <c r="N75" s="499"/>
    </row>
    <row r="76" spans="1:14" ht="15.75" customHeight="1">
      <c r="A76" s="499"/>
      <c r="E76" s="499"/>
      <c r="F76" s="499"/>
      <c r="G76" s="499"/>
      <c r="H76" s="499"/>
      <c r="I76" s="499"/>
      <c r="J76" s="499"/>
      <c r="K76" s="499"/>
      <c r="L76" s="499"/>
      <c r="M76" s="499"/>
      <c r="N76" s="499"/>
    </row>
    <row r="77" spans="1:14" ht="15.75" customHeight="1">
      <c r="A77" s="499"/>
      <c r="E77" s="499"/>
      <c r="F77" s="499"/>
      <c r="G77" s="499"/>
      <c r="H77" s="499"/>
      <c r="I77" s="499"/>
      <c r="J77" s="499"/>
      <c r="K77" s="499"/>
      <c r="L77" s="499"/>
      <c r="M77" s="499"/>
      <c r="N77" s="499"/>
    </row>
    <row r="78" spans="1:14" ht="15.75" customHeight="1">
      <c r="A78" s="499"/>
      <c r="E78" s="499"/>
      <c r="F78" s="499"/>
      <c r="G78" s="499"/>
      <c r="H78" s="499"/>
      <c r="I78" s="499"/>
      <c r="J78" s="499"/>
      <c r="K78" s="499"/>
      <c r="L78" s="499"/>
      <c r="M78" s="499"/>
      <c r="N78" s="499"/>
    </row>
    <row r="79" spans="1:14" ht="15.75" customHeight="1">
      <c r="A79" s="499"/>
      <c r="E79" s="499"/>
      <c r="F79" s="499"/>
      <c r="G79" s="499"/>
      <c r="H79" s="499"/>
      <c r="I79" s="499"/>
      <c r="J79" s="499"/>
      <c r="K79" s="499"/>
      <c r="L79" s="499"/>
      <c r="M79" s="499"/>
      <c r="N79" s="499"/>
    </row>
    <row r="80" spans="1:14" ht="15.75" customHeight="1">
      <c r="A80" s="499"/>
      <c r="E80" s="499"/>
      <c r="F80" s="499"/>
      <c r="G80" s="499"/>
      <c r="H80" s="499"/>
      <c r="I80" s="499"/>
      <c r="J80" s="499"/>
      <c r="K80" s="499"/>
      <c r="L80" s="499"/>
      <c r="M80" s="499"/>
      <c r="N80" s="499"/>
    </row>
    <row r="81" spans="1:14" ht="15.75" customHeight="1">
      <c r="A81" s="499"/>
      <c r="E81" s="499"/>
      <c r="F81" s="499"/>
      <c r="G81" s="499"/>
      <c r="H81" s="499"/>
      <c r="I81" s="499"/>
      <c r="J81" s="499"/>
      <c r="K81" s="499"/>
      <c r="L81" s="499"/>
      <c r="M81" s="499"/>
      <c r="N81" s="499"/>
    </row>
    <row r="82" spans="1:14" ht="15.75" customHeight="1">
      <c r="A82" s="499"/>
      <c r="E82" s="499"/>
      <c r="F82" s="499"/>
      <c r="G82" s="499"/>
      <c r="H82" s="499"/>
      <c r="I82" s="499"/>
      <c r="J82" s="499"/>
      <c r="K82" s="499"/>
      <c r="L82" s="499"/>
      <c r="M82" s="499"/>
      <c r="N82" s="499"/>
    </row>
    <row r="83" spans="1:14" ht="15.75" customHeight="1">
      <c r="A83" s="499"/>
      <c r="E83" s="499"/>
      <c r="F83" s="499"/>
      <c r="G83" s="499"/>
      <c r="H83" s="499"/>
      <c r="I83" s="499"/>
      <c r="J83" s="499"/>
      <c r="K83" s="499"/>
      <c r="L83" s="499"/>
      <c r="M83" s="499"/>
      <c r="N83" s="499"/>
    </row>
    <row r="84" spans="1:14" ht="15.75" customHeight="1">
      <c r="A84" s="499"/>
      <c r="E84" s="499"/>
      <c r="F84" s="499"/>
      <c r="G84" s="499"/>
      <c r="H84" s="499"/>
      <c r="I84" s="499"/>
      <c r="J84" s="499"/>
      <c r="K84" s="499"/>
      <c r="L84" s="499"/>
      <c r="M84" s="499"/>
      <c r="N84" s="499"/>
    </row>
    <row r="85" spans="1:14" ht="15.75" customHeight="1">
      <c r="A85" s="499"/>
      <c r="E85" s="499"/>
      <c r="F85" s="499"/>
      <c r="G85" s="499"/>
      <c r="H85" s="499"/>
      <c r="I85" s="499"/>
      <c r="J85" s="499"/>
      <c r="K85" s="499"/>
      <c r="L85" s="499"/>
      <c r="M85" s="499"/>
      <c r="N85" s="499"/>
    </row>
    <row r="86" spans="1:14" ht="15.75" customHeight="1">
      <c r="A86" s="499"/>
      <c r="E86" s="499"/>
      <c r="F86" s="499"/>
      <c r="G86" s="499"/>
      <c r="H86" s="499"/>
      <c r="I86" s="499"/>
      <c r="J86" s="499"/>
      <c r="K86" s="499"/>
      <c r="L86" s="499"/>
      <c r="M86" s="499"/>
      <c r="N86" s="499"/>
    </row>
    <row r="87" spans="1:14" ht="15.75" customHeight="1">
      <c r="A87" s="499"/>
      <c r="E87" s="499"/>
      <c r="F87" s="499"/>
      <c r="G87" s="499"/>
      <c r="H87" s="499"/>
      <c r="I87" s="499"/>
      <c r="J87" s="499"/>
      <c r="K87" s="499"/>
      <c r="L87" s="499"/>
      <c r="M87" s="499"/>
      <c r="N87" s="499"/>
    </row>
    <row r="88" spans="1:14" ht="15.75" customHeight="1">
      <c r="A88" s="499"/>
      <c r="E88" s="499"/>
      <c r="F88" s="499"/>
      <c r="G88" s="499"/>
      <c r="H88" s="499"/>
      <c r="I88" s="499"/>
      <c r="J88" s="499"/>
      <c r="K88" s="499"/>
      <c r="L88" s="499"/>
      <c r="M88" s="499"/>
      <c r="N88" s="499"/>
    </row>
    <row r="89" spans="1:14" ht="15.75" customHeight="1">
      <c r="A89" s="499"/>
      <c r="E89" s="499"/>
      <c r="F89" s="499"/>
      <c r="G89" s="499"/>
      <c r="H89" s="499"/>
      <c r="I89" s="499"/>
      <c r="J89" s="499"/>
      <c r="K89" s="499"/>
      <c r="L89" s="499"/>
      <c r="M89" s="499"/>
      <c r="N89" s="499"/>
    </row>
    <row r="90" spans="1:14" ht="15.75" customHeight="1">
      <c r="A90" s="499"/>
      <c r="E90" s="499"/>
      <c r="F90" s="499"/>
      <c r="G90" s="499"/>
      <c r="H90" s="499"/>
      <c r="I90" s="499"/>
      <c r="J90" s="499"/>
      <c r="K90" s="499"/>
      <c r="L90" s="499"/>
      <c r="M90" s="499"/>
      <c r="N90" s="499"/>
    </row>
    <row r="91" spans="1:14" ht="15.75" customHeight="1">
      <c r="A91" s="499"/>
      <c r="E91" s="499"/>
      <c r="F91" s="499"/>
      <c r="G91" s="499"/>
      <c r="H91" s="499"/>
      <c r="I91" s="499"/>
      <c r="J91" s="499"/>
      <c r="K91" s="499"/>
      <c r="L91" s="499"/>
      <c r="M91" s="499"/>
      <c r="N91" s="499"/>
    </row>
    <row r="92" spans="1:14" ht="15.75" customHeight="1">
      <c r="A92" s="499"/>
      <c r="E92" s="499"/>
      <c r="F92" s="499"/>
      <c r="G92" s="499"/>
      <c r="H92" s="499"/>
      <c r="I92" s="499"/>
      <c r="J92" s="499"/>
      <c r="K92" s="499"/>
      <c r="L92" s="499"/>
      <c r="M92" s="499"/>
      <c r="N92" s="499"/>
    </row>
    <row r="93" spans="1:14" ht="15.75" customHeight="1">
      <c r="A93" s="499"/>
      <c r="E93" s="499"/>
      <c r="F93" s="499"/>
      <c r="G93" s="499"/>
      <c r="H93" s="499"/>
      <c r="I93" s="499"/>
      <c r="J93" s="499"/>
      <c r="K93" s="499"/>
      <c r="L93" s="499"/>
      <c r="M93" s="499"/>
      <c r="N93" s="499"/>
    </row>
    <row r="94" spans="1:14" ht="15.75" customHeight="1">
      <c r="A94" s="499"/>
      <c r="E94" s="499"/>
      <c r="F94" s="499"/>
      <c r="G94" s="499"/>
      <c r="H94" s="499"/>
      <c r="I94" s="499"/>
      <c r="J94" s="499"/>
      <c r="K94" s="499"/>
      <c r="L94" s="499"/>
      <c r="M94" s="499"/>
      <c r="N94" s="499"/>
    </row>
    <row r="95" spans="1:14" ht="15.75" customHeight="1">
      <c r="A95" s="499"/>
      <c r="E95" s="499"/>
      <c r="F95" s="499"/>
      <c r="G95" s="499"/>
      <c r="H95" s="499"/>
      <c r="I95" s="499"/>
      <c r="J95" s="499"/>
      <c r="K95" s="499"/>
      <c r="L95" s="499"/>
      <c r="M95" s="499"/>
      <c r="N95" s="499"/>
    </row>
    <row r="96" spans="1:14" ht="15.75" customHeight="1">
      <c r="A96" s="499"/>
      <c r="E96" s="499"/>
      <c r="F96" s="499"/>
      <c r="G96" s="499"/>
      <c r="H96" s="499"/>
      <c r="I96" s="499"/>
      <c r="J96" s="499"/>
      <c r="K96" s="499"/>
      <c r="L96" s="499"/>
      <c r="M96" s="499"/>
      <c r="N96" s="499"/>
    </row>
    <row r="97" spans="1:14" ht="15.75" customHeight="1">
      <c r="A97" s="499"/>
      <c r="E97" s="499"/>
      <c r="F97" s="499"/>
      <c r="G97" s="499"/>
      <c r="H97" s="499"/>
      <c r="I97" s="499"/>
      <c r="J97" s="499"/>
      <c r="K97" s="499"/>
      <c r="L97" s="499"/>
      <c r="M97" s="499"/>
      <c r="N97" s="499"/>
    </row>
    <row r="98" spans="1:14" ht="15.75" customHeight="1">
      <c r="A98" s="499"/>
      <c r="E98" s="499"/>
      <c r="F98" s="499"/>
      <c r="G98" s="499"/>
      <c r="H98" s="499"/>
      <c r="I98" s="499"/>
      <c r="J98" s="499"/>
      <c r="K98" s="499"/>
      <c r="L98" s="499"/>
      <c r="M98" s="499"/>
      <c r="N98" s="499"/>
    </row>
    <row r="99" spans="1:14" ht="15.75" customHeight="1">
      <c r="A99" s="499"/>
      <c r="E99" s="499"/>
      <c r="F99" s="499"/>
      <c r="G99" s="499"/>
      <c r="H99" s="499"/>
      <c r="I99" s="499"/>
      <c r="J99" s="499"/>
      <c r="K99" s="499"/>
      <c r="L99" s="499"/>
      <c r="M99" s="499"/>
      <c r="N99" s="499"/>
    </row>
    <row r="100" spans="1:14" ht="15.75" customHeight="1">
      <c r="A100" s="499"/>
      <c r="E100" s="499"/>
      <c r="F100" s="499"/>
      <c r="G100" s="499"/>
      <c r="H100" s="499"/>
      <c r="I100" s="499"/>
      <c r="J100" s="499"/>
      <c r="K100" s="499"/>
      <c r="L100" s="499"/>
      <c r="M100" s="499"/>
      <c r="N100" s="499"/>
    </row>
    <row r="101" spans="1:14" ht="15.75" customHeight="1">
      <c r="A101" s="499"/>
      <c r="E101" s="499"/>
      <c r="F101" s="499"/>
      <c r="G101" s="499"/>
      <c r="H101" s="499"/>
      <c r="I101" s="499"/>
      <c r="J101" s="499"/>
      <c r="K101" s="499"/>
      <c r="L101" s="499"/>
      <c r="M101" s="499"/>
      <c r="N101" s="499"/>
    </row>
    <row r="102" spans="1:14" ht="15.75" customHeight="1">
      <c r="A102" s="499"/>
      <c r="E102" s="499"/>
      <c r="F102" s="499"/>
      <c r="G102" s="499"/>
      <c r="H102" s="499"/>
      <c r="I102" s="499"/>
      <c r="J102" s="499"/>
      <c r="K102" s="499"/>
      <c r="L102" s="499"/>
      <c r="M102" s="499"/>
      <c r="N102" s="499"/>
    </row>
    <row r="103" spans="1:14" ht="15.75" customHeight="1">
      <c r="A103" s="499"/>
      <c r="E103" s="499"/>
      <c r="F103" s="499"/>
      <c r="G103" s="499"/>
      <c r="H103" s="499"/>
      <c r="I103" s="499"/>
      <c r="J103" s="499"/>
      <c r="K103" s="499"/>
      <c r="L103" s="499"/>
      <c r="M103" s="499"/>
      <c r="N103" s="499"/>
    </row>
    <row r="104" spans="1:14" ht="15.75" customHeight="1">
      <c r="A104" s="499"/>
      <c r="E104" s="499"/>
      <c r="F104" s="499"/>
      <c r="G104" s="499"/>
      <c r="H104" s="499"/>
      <c r="I104" s="499"/>
      <c r="J104" s="499"/>
      <c r="K104" s="499"/>
      <c r="L104" s="499"/>
      <c r="M104" s="499"/>
      <c r="N104" s="499"/>
    </row>
    <row r="105" spans="1:14" ht="15.75" customHeight="1">
      <c r="A105" s="499"/>
      <c r="E105" s="499"/>
      <c r="F105" s="499"/>
      <c r="G105" s="499"/>
      <c r="H105" s="499"/>
      <c r="I105" s="499"/>
      <c r="J105" s="499"/>
      <c r="K105" s="499"/>
      <c r="L105" s="499"/>
      <c r="M105" s="499"/>
      <c r="N105" s="499"/>
    </row>
    <row r="106" spans="1:14" ht="15.75" customHeight="1">
      <c r="A106" s="499"/>
      <c r="E106" s="499"/>
      <c r="F106" s="499"/>
      <c r="G106" s="499"/>
      <c r="H106" s="499"/>
      <c r="I106" s="499"/>
      <c r="J106" s="499"/>
      <c r="K106" s="499"/>
      <c r="L106" s="499"/>
      <c r="M106" s="499"/>
      <c r="N106" s="499"/>
    </row>
    <row r="107" spans="1:14" ht="15.75" customHeight="1">
      <c r="A107" s="499"/>
      <c r="E107" s="499"/>
      <c r="F107" s="499"/>
      <c r="G107" s="499"/>
      <c r="H107" s="499"/>
      <c r="I107" s="499"/>
      <c r="J107" s="499"/>
      <c r="K107" s="499"/>
      <c r="L107" s="499"/>
      <c r="M107" s="499"/>
      <c r="N107" s="499"/>
    </row>
    <row r="108" spans="1:14" ht="15.75" customHeight="1">
      <c r="A108" s="499"/>
      <c r="E108" s="499"/>
      <c r="F108" s="499"/>
      <c r="G108" s="499"/>
      <c r="H108" s="499"/>
      <c r="I108" s="499"/>
      <c r="J108" s="499"/>
      <c r="K108" s="499"/>
      <c r="L108" s="499"/>
      <c r="M108" s="499"/>
      <c r="N108" s="499"/>
    </row>
    <row r="109" spans="1:14" ht="15.75" customHeight="1">
      <c r="A109" s="499"/>
      <c r="E109" s="499"/>
      <c r="F109" s="499"/>
      <c r="G109" s="499"/>
      <c r="H109" s="499"/>
      <c r="I109" s="499"/>
      <c r="J109" s="499"/>
      <c r="K109" s="499"/>
      <c r="L109" s="499"/>
      <c r="M109" s="499"/>
      <c r="N109" s="499"/>
    </row>
    <row r="110" spans="1:14" ht="15.75" customHeight="1">
      <c r="A110" s="499"/>
      <c r="E110" s="499"/>
      <c r="F110" s="499"/>
      <c r="G110" s="499"/>
      <c r="H110" s="499"/>
      <c r="I110" s="499"/>
      <c r="J110" s="499"/>
      <c r="K110" s="499"/>
      <c r="L110" s="499"/>
      <c r="M110" s="499"/>
      <c r="N110" s="499"/>
    </row>
    <row r="111" spans="1:14" ht="15.75" customHeight="1">
      <c r="A111" s="499"/>
      <c r="E111" s="499"/>
      <c r="F111" s="499"/>
      <c r="G111" s="499"/>
      <c r="H111" s="499"/>
      <c r="I111" s="499"/>
      <c r="J111" s="499"/>
      <c r="K111" s="499"/>
      <c r="L111" s="499"/>
      <c r="M111" s="499"/>
      <c r="N111" s="499"/>
    </row>
    <row r="112" spans="1:14" ht="15.75" customHeight="1">
      <c r="A112" s="499"/>
      <c r="E112" s="499"/>
      <c r="F112" s="499"/>
      <c r="G112" s="499"/>
      <c r="H112" s="499"/>
      <c r="I112" s="499"/>
      <c r="J112" s="499"/>
      <c r="K112" s="499"/>
      <c r="L112" s="499"/>
      <c r="M112" s="499"/>
      <c r="N112" s="499"/>
    </row>
    <row r="113" spans="1:14" ht="15.75" customHeight="1">
      <c r="A113" s="499"/>
      <c r="E113" s="499"/>
      <c r="F113" s="499"/>
      <c r="G113" s="499"/>
      <c r="H113" s="499"/>
      <c r="I113" s="499"/>
      <c r="J113" s="499"/>
      <c r="K113" s="499"/>
      <c r="L113" s="499"/>
      <c r="M113" s="499"/>
      <c r="N113" s="499"/>
    </row>
    <row r="114" spans="1:14" ht="15.75" customHeight="1">
      <c r="A114" s="499"/>
      <c r="E114" s="499"/>
      <c r="F114" s="499"/>
      <c r="G114" s="499"/>
      <c r="H114" s="499"/>
      <c r="I114" s="499"/>
      <c r="J114" s="499"/>
      <c r="K114" s="499"/>
      <c r="L114" s="499"/>
      <c r="M114" s="499"/>
      <c r="N114" s="499"/>
    </row>
    <row r="115" spans="1:14" ht="15.75" customHeight="1">
      <c r="A115" s="499"/>
      <c r="E115" s="499"/>
      <c r="F115" s="499"/>
      <c r="G115" s="499"/>
      <c r="H115" s="499"/>
      <c r="I115" s="499"/>
      <c r="J115" s="499"/>
      <c r="K115" s="499"/>
      <c r="L115" s="499"/>
      <c r="M115" s="499"/>
      <c r="N115" s="499"/>
    </row>
    <row r="116" spans="1:14" ht="15.75" customHeight="1">
      <c r="A116" s="499"/>
      <c r="E116" s="499"/>
      <c r="F116" s="499"/>
      <c r="G116" s="499"/>
      <c r="H116" s="499"/>
      <c r="I116" s="499"/>
      <c r="J116" s="499"/>
      <c r="K116" s="499"/>
      <c r="L116" s="499"/>
      <c r="M116" s="499"/>
      <c r="N116" s="499"/>
    </row>
    <row r="117" spans="1:14" ht="15.75" customHeight="1">
      <c r="A117" s="499"/>
      <c r="E117" s="499"/>
      <c r="F117" s="499"/>
      <c r="G117" s="499"/>
      <c r="H117" s="499"/>
      <c r="I117" s="499"/>
      <c r="J117" s="499"/>
      <c r="K117" s="499"/>
      <c r="L117" s="499"/>
      <c r="M117" s="499"/>
      <c r="N117" s="499"/>
    </row>
    <row r="118" spans="1:14" ht="15.75" customHeight="1">
      <c r="A118" s="499"/>
      <c r="E118" s="499"/>
      <c r="F118" s="499"/>
      <c r="G118" s="499"/>
      <c r="H118" s="499"/>
      <c r="I118" s="499"/>
      <c r="J118" s="499"/>
      <c r="K118" s="499"/>
      <c r="L118" s="499"/>
      <c r="M118" s="499"/>
      <c r="N118" s="499"/>
    </row>
    <row r="119" spans="1:14" ht="15.75" customHeight="1">
      <c r="A119" s="499"/>
      <c r="E119" s="499"/>
      <c r="F119" s="499"/>
      <c r="G119" s="499"/>
      <c r="H119" s="499"/>
      <c r="I119" s="499"/>
      <c r="J119" s="499"/>
      <c r="K119" s="499"/>
      <c r="L119" s="499"/>
      <c r="M119" s="499"/>
      <c r="N119" s="499"/>
    </row>
    <row r="120" spans="1:14" ht="15.75" customHeight="1">
      <c r="A120" s="499"/>
      <c r="E120" s="499"/>
      <c r="F120" s="499"/>
      <c r="G120" s="499"/>
      <c r="H120" s="499"/>
      <c r="I120" s="499"/>
      <c r="J120" s="499"/>
      <c r="K120" s="499"/>
      <c r="L120" s="499"/>
      <c r="M120" s="499"/>
      <c r="N120" s="499"/>
    </row>
    <row r="121" spans="1:14" ht="15.75" customHeight="1">
      <c r="A121" s="499"/>
      <c r="E121" s="499"/>
      <c r="F121" s="499"/>
      <c r="G121" s="499"/>
      <c r="H121" s="499"/>
      <c r="I121" s="499"/>
      <c r="J121" s="499"/>
      <c r="K121" s="499"/>
      <c r="L121" s="499"/>
      <c r="M121" s="499"/>
      <c r="N121" s="499"/>
    </row>
    <row r="122" spans="1:14" ht="15.75" customHeight="1">
      <c r="A122" s="499"/>
      <c r="E122" s="499"/>
      <c r="F122" s="499"/>
      <c r="G122" s="499"/>
      <c r="H122" s="499"/>
      <c r="I122" s="499"/>
      <c r="J122" s="499"/>
      <c r="K122" s="499"/>
      <c r="L122" s="499"/>
      <c r="M122" s="499"/>
      <c r="N122" s="499"/>
    </row>
    <row r="123" spans="1:14" ht="15.75" customHeight="1">
      <c r="A123" s="499"/>
      <c r="E123" s="499"/>
      <c r="F123" s="499"/>
      <c r="G123" s="499"/>
      <c r="H123" s="499"/>
      <c r="I123" s="499"/>
      <c r="J123" s="499"/>
      <c r="K123" s="499"/>
      <c r="L123" s="499"/>
      <c r="M123" s="499"/>
      <c r="N123" s="499"/>
    </row>
    <row r="124" spans="1:14" ht="15.75" customHeight="1">
      <c r="A124" s="499"/>
      <c r="E124" s="499"/>
      <c r="F124" s="499"/>
      <c r="G124" s="499"/>
      <c r="H124" s="499"/>
      <c r="I124" s="499"/>
      <c r="J124" s="499"/>
      <c r="K124" s="499"/>
      <c r="L124" s="499"/>
      <c r="M124" s="499"/>
      <c r="N124" s="499"/>
    </row>
    <row r="125" spans="1:14" ht="15.75" customHeight="1">
      <c r="A125" s="499"/>
      <c r="E125" s="499"/>
      <c r="F125" s="499"/>
      <c r="G125" s="499"/>
      <c r="H125" s="499"/>
      <c r="I125" s="499"/>
      <c r="J125" s="499"/>
      <c r="K125" s="499"/>
      <c r="L125" s="499"/>
      <c r="M125" s="499"/>
      <c r="N125" s="499"/>
    </row>
    <row r="126" spans="1:14" ht="15.75" customHeight="1">
      <c r="A126" s="499"/>
      <c r="E126" s="499"/>
      <c r="F126" s="499"/>
      <c r="G126" s="499"/>
      <c r="H126" s="499"/>
      <c r="I126" s="499"/>
      <c r="J126" s="499"/>
      <c r="K126" s="499"/>
      <c r="L126" s="499"/>
      <c r="M126" s="499"/>
      <c r="N126" s="499"/>
    </row>
    <row r="127" spans="1:14" ht="15.75" customHeight="1">
      <c r="A127" s="499"/>
      <c r="E127" s="499"/>
      <c r="F127" s="499"/>
      <c r="G127" s="499"/>
      <c r="H127" s="499"/>
      <c r="I127" s="499"/>
      <c r="J127" s="499"/>
      <c r="K127" s="499"/>
      <c r="L127" s="499"/>
      <c r="M127" s="499"/>
      <c r="N127" s="499"/>
    </row>
    <row r="128" spans="1:14" ht="15.75" customHeight="1">
      <c r="A128" s="499"/>
      <c r="E128" s="499"/>
      <c r="F128" s="499"/>
      <c r="G128" s="499"/>
      <c r="H128" s="499"/>
      <c r="I128" s="499"/>
      <c r="J128" s="499"/>
      <c r="K128" s="499"/>
      <c r="L128" s="499"/>
      <c r="M128" s="499"/>
      <c r="N128" s="499"/>
    </row>
    <row r="129" spans="1:14" ht="15.75" customHeight="1">
      <c r="A129" s="499"/>
      <c r="E129" s="499"/>
      <c r="F129" s="499"/>
      <c r="G129" s="499"/>
      <c r="H129" s="499"/>
      <c r="I129" s="499"/>
      <c r="J129" s="499"/>
      <c r="K129" s="499"/>
      <c r="L129" s="499"/>
      <c r="M129" s="499"/>
      <c r="N129" s="499"/>
    </row>
    <row r="130" spans="1:14" ht="15.75" customHeight="1">
      <c r="A130" s="499"/>
      <c r="E130" s="499"/>
      <c r="F130" s="499"/>
      <c r="G130" s="499"/>
      <c r="H130" s="499"/>
      <c r="I130" s="499"/>
      <c r="J130" s="499"/>
      <c r="K130" s="499"/>
      <c r="L130" s="499"/>
      <c r="M130" s="499"/>
      <c r="N130" s="499"/>
    </row>
    <row r="131" spans="1:14" ht="15.75" customHeight="1">
      <c r="A131" s="499"/>
      <c r="E131" s="499"/>
      <c r="F131" s="499"/>
      <c r="G131" s="499"/>
      <c r="H131" s="499"/>
      <c r="I131" s="499"/>
      <c r="J131" s="499"/>
      <c r="K131" s="499"/>
      <c r="L131" s="499"/>
      <c r="M131" s="499"/>
      <c r="N131" s="499"/>
    </row>
    <row r="132" spans="1:14" ht="15.75" customHeight="1">
      <c r="A132" s="499"/>
      <c r="E132" s="499"/>
      <c r="F132" s="499"/>
      <c r="G132" s="499"/>
      <c r="H132" s="499"/>
      <c r="I132" s="499"/>
      <c r="J132" s="499"/>
      <c r="K132" s="499"/>
      <c r="L132" s="499"/>
      <c r="M132" s="499"/>
      <c r="N132" s="499"/>
    </row>
    <row r="133" spans="1:14" ht="15.75" customHeight="1">
      <c r="A133" s="499"/>
      <c r="E133" s="499"/>
      <c r="F133" s="499"/>
      <c r="G133" s="499"/>
      <c r="H133" s="499"/>
      <c r="I133" s="499"/>
      <c r="J133" s="499"/>
      <c r="K133" s="499"/>
      <c r="L133" s="499"/>
      <c r="M133" s="499"/>
      <c r="N133" s="499"/>
    </row>
    <row r="134" spans="1:14" ht="15.75" customHeight="1">
      <c r="A134" s="499"/>
      <c r="E134" s="499"/>
      <c r="F134" s="499"/>
      <c r="G134" s="499"/>
      <c r="H134" s="499"/>
      <c r="I134" s="499"/>
      <c r="J134" s="499"/>
      <c r="K134" s="499"/>
      <c r="L134" s="499"/>
      <c r="M134" s="499"/>
      <c r="N134" s="499"/>
    </row>
    <row r="135" spans="1:14" ht="15.75" customHeight="1">
      <c r="A135" s="499"/>
      <c r="E135" s="499"/>
      <c r="F135" s="499"/>
      <c r="G135" s="499"/>
      <c r="H135" s="499"/>
      <c r="I135" s="499"/>
      <c r="J135" s="499"/>
      <c r="K135" s="499"/>
      <c r="L135" s="499"/>
      <c r="M135" s="499"/>
      <c r="N135" s="499"/>
    </row>
    <row r="136" spans="1:14" ht="15.75" customHeight="1">
      <c r="A136" s="499"/>
      <c r="E136" s="499"/>
      <c r="F136" s="499"/>
      <c r="G136" s="499"/>
      <c r="H136" s="499"/>
      <c r="I136" s="499"/>
      <c r="J136" s="499"/>
      <c r="K136" s="499"/>
      <c r="L136" s="499"/>
      <c r="M136" s="499"/>
      <c r="N136" s="499"/>
    </row>
    <row r="137" spans="1:14" ht="15.75" customHeight="1">
      <c r="A137" s="499"/>
      <c r="E137" s="499"/>
      <c r="F137" s="499"/>
      <c r="G137" s="499"/>
      <c r="H137" s="499"/>
      <c r="I137" s="499"/>
      <c r="J137" s="499"/>
      <c r="K137" s="499"/>
      <c r="L137" s="499"/>
      <c r="M137" s="499"/>
      <c r="N137" s="499"/>
    </row>
    <row r="138" spans="1:14" ht="15.75" customHeight="1">
      <c r="A138" s="499"/>
      <c r="E138" s="499"/>
      <c r="F138" s="499"/>
      <c r="G138" s="499"/>
      <c r="H138" s="499"/>
      <c r="I138" s="499"/>
      <c r="J138" s="499"/>
      <c r="K138" s="499"/>
      <c r="L138" s="499"/>
      <c r="M138" s="499"/>
      <c r="N138" s="499"/>
    </row>
    <row r="139" spans="1:14" ht="15.75" customHeight="1">
      <c r="A139" s="499"/>
      <c r="E139" s="499"/>
      <c r="F139" s="499"/>
      <c r="G139" s="499"/>
      <c r="H139" s="499"/>
      <c r="I139" s="499"/>
      <c r="J139" s="499"/>
      <c r="K139" s="499"/>
      <c r="L139" s="499"/>
      <c r="M139" s="499"/>
      <c r="N139" s="499"/>
    </row>
    <row r="140" spans="1:14" ht="15.75" customHeight="1">
      <c r="A140" s="499"/>
      <c r="E140" s="499"/>
      <c r="F140" s="499"/>
      <c r="G140" s="499"/>
      <c r="H140" s="499"/>
      <c r="I140" s="499"/>
      <c r="J140" s="499"/>
      <c r="K140" s="499"/>
      <c r="L140" s="499"/>
      <c r="M140" s="499"/>
      <c r="N140" s="499"/>
    </row>
    <row r="141" spans="1:14" ht="15.75" customHeight="1">
      <c r="A141" s="499"/>
      <c r="E141" s="499"/>
      <c r="F141" s="499"/>
      <c r="G141" s="499"/>
      <c r="H141" s="499"/>
      <c r="I141" s="499"/>
      <c r="J141" s="499"/>
      <c r="K141" s="499"/>
      <c r="L141" s="499"/>
      <c r="M141" s="499"/>
      <c r="N141" s="499"/>
    </row>
    <row r="142" spans="1:14" ht="15.75" customHeight="1">
      <c r="A142" s="499"/>
      <c r="E142" s="499"/>
      <c r="F142" s="499"/>
      <c r="G142" s="499"/>
      <c r="H142" s="499"/>
      <c r="I142" s="499"/>
      <c r="J142" s="499"/>
      <c r="K142" s="499"/>
      <c r="L142" s="499"/>
      <c r="M142" s="499"/>
      <c r="N142" s="499"/>
    </row>
    <row r="143" spans="1:14" ht="15.75" customHeight="1">
      <c r="A143" s="499"/>
      <c r="E143" s="499"/>
      <c r="F143" s="499"/>
      <c r="G143" s="499"/>
      <c r="H143" s="499"/>
      <c r="I143" s="499"/>
      <c r="J143" s="499"/>
      <c r="K143" s="499"/>
      <c r="L143" s="499"/>
      <c r="M143" s="499"/>
      <c r="N143" s="499"/>
    </row>
    <row r="144" spans="1:14" ht="15.75" customHeight="1">
      <c r="A144" s="499"/>
      <c r="E144" s="499"/>
      <c r="F144" s="499"/>
      <c r="G144" s="499"/>
      <c r="H144" s="499"/>
      <c r="I144" s="499"/>
      <c r="J144" s="499"/>
      <c r="K144" s="499"/>
      <c r="L144" s="499"/>
      <c r="M144" s="499"/>
      <c r="N144" s="499"/>
    </row>
    <row r="145" spans="1:14" ht="15.75" customHeight="1">
      <c r="A145" s="499"/>
      <c r="E145" s="499"/>
      <c r="F145" s="499"/>
      <c r="G145" s="499"/>
      <c r="H145" s="499"/>
      <c r="I145" s="499"/>
      <c r="J145" s="499"/>
      <c r="K145" s="499"/>
      <c r="L145" s="499"/>
      <c r="M145" s="499"/>
      <c r="N145" s="499"/>
    </row>
    <row r="146" spans="1:14" ht="15.75" customHeight="1">
      <c r="A146" s="499"/>
      <c r="E146" s="499"/>
      <c r="F146" s="499"/>
      <c r="G146" s="499"/>
      <c r="H146" s="499"/>
      <c r="I146" s="499"/>
      <c r="J146" s="499"/>
      <c r="K146" s="499"/>
      <c r="L146" s="499"/>
      <c r="M146" s="499"/>
      <c r="N146" s="499"/>
    </row>
    <row r="147" spans="1:14" ht="15.75" customHeight="1">
      <c r="A147" s="499"/>
      <c r="E147" s="499"/>
      <c r="F147" s="499"/>
      <c r="G147" s="499"/>
      <c r="H147" s="499"/>
      <c r="I147" s="499"/>
      <c r="J147" s="499"/>
      <c r="K147" s="499"/>
      <c r="L147" s="499"/>
      <c r="M147" s="499"/>
      <c r="N147" s="499"/>
    </row>
    <row r="148" spans="1:14" ht="15.75" customHeight="1">
      <c r="A148" s="499"/>
      <c r="E148" s="499"/>
      <c r="F148" s="499"/>
      <c r="G148" s="499"/>
      <c r="H148" s="499"/>
      <c r="I148" s="499"/>
      <c r="J148" s="499"/>
      <c r="K148" s="499"/>
      <c r="L148" s="499"/>
      <c r="M148" s="499"/>
      <c r="N148" s="499"/>
    </row>
    <row r="149" spans="1:14" ht="15.75" customHeight="1">
      <c r="A149" s="499"/>
      <c r="E149" s="499"/>
      <c r="F149" s="499"/>
      <c r="G149" s="499"/>
      <c r="H149" s="499"/>
      <c r="I149" s="499"/>
      <c r="J149" s="499"/>
      <c r="K149" s="499"/>
      <c r="L149" s="499"/>
      <c r="M149" s="499"/>
      <c r="N149" s="499"/>
    </row>
    <row r="150" spans="1:14" ht="15.75" customHeight="1">
      <c r="A150" s="499"/>
      <c r="E150" s="499"/>
      <c r="F150" s="499"/>
      <c r="G150" s="499"/>
      <c r="H150" s="499"/>
      <c r="I150" s="499"/>
      <c r="J150" s="499"/>
      <c r="K150" s="499"/>
      <c r="L150" s="499"/>
      <c r="M150" s="499"/>
      <c r="N150" s="499"/>
    </row>
    <row r="151" spans="1:14" ht="15.75" customHeight="1">
      <c r="A151" s="499"/>
      <c r="E151" s="499"/>
      <c r="F151" s="499"/>
      <c r="G151" s="499"/>
      <c r="H151" s="499"/>
      <c r="I151" s="499"/>
      <c r="J151" s="499"/>
      <c r="K151" s="499"/>
      <c r="L151" s="499"/>
      <c r="M151" s="499"/>
      <c r="N151" s="499"/>
    </row>
    <row r="152" spans="1:14" ht="15.75" customHeight="1">
      <c r="A152" s="499"/>
      <c r="E152" s="499"/>
      <c r="F152" s="499"/>
      <c r="G152" s="499"/>
      <c r="H152" s="499"/>
      <c r="I152" s="499"/>
      <c r="J152" s="499"/>
      <c r="K152" s="499"/>
      <c r="L152" s="499"/>
      <c r="M152" s="499"/>
      <c r="N152" s="499"/>
    </row>
    <row r="153" spans="1:14" ht="15.75" customHeight="1">
      <c r="A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</row>
    <row r="154" spans="1:14" ht="15.75" customHeight="1">
      <c r="A154" s="499"/>
      <c r="E154" s="499"/>
      <c r="F154" s="499"/>
      <c r="G154" s="499"/>
      <c r="H154" s="499"/>
      <c r="I154" s="499"/>
      <c r="J154" s="499"/>
      <c r="K154" s="499"/>
      <c r="L154" s="499"/>
      <c r="M154" s="499"/>
      <c r="N154" s="499"/>
    </row>
    <row r="155" spans="1:14" ht="15.75" customHeight="1">
      <c r="A155" s="499"/>
      <c r="E155" s="499"/>
      <c r="F155" s="499"/>
      <c r="G155" s="499"/>
      <c r="H155" s="499"/>
      <c r="I155" s="499"/>
      <c r="J155" s="499"/>
      <c r="K155" s="499"/>
      <c r="L155" s="499"/>
      <c r="M155" s="499"/>
      <c r="N155" s="499"/>
    </row>
    <row r="156" spans="1:14" ht="15.75" customHeight="1">
      <c r="A156" s="499"/>
      <c r="E156" s="499"/>
      <c r="F156" s="499"/>
      <c r="G156" s="499"/>
      <c r="H156" s="499"/>
      <c r="I156" s="499"/>
      <c r="J156" s="499"/>
      <c r="K156" s="499"/>
      <c r="L156" s="499"/>
      <c r="M156" s="499"/>
      <c r="N156" s="499"/>
    </row>
    <row r="157" spans="1:14" ht="15.75" customHeight="1">
      <c r="A157" s="499"/>
      <c r="E157" s="499"/>
      <c r="F157" s="499"/>
      <c r="G157" s="499"/>
      <c r="H157" s="499"/>
      <c r="I157" s="499"/>
      <c r="J157" s="499"/>
      <c r="K157" s="499"/>
      <c r="L157" s="499"/>
      <c r="M157" s="499"/>
      <c r="N157" s="499"/>
    </row>
    <row r="158" spans="1:14" ht="15.75" customHeight="1">
      <c r="A158" s="499"/>
      <c r="E158" s="499"/>
      <c r="F158" s="499"/>
      <c r="G158" s="499"/>
      <c r="H158" s="499"/>
      <c r="I158" s="499"/>
      <c r="J158" s="499"/>
      <c r="K158" s="499"/>
      <c r="L158" s="499"/>
      <c r="M158" s="499"/>
      <c r="N158" s="499"/>
    </row>
    <row r="159" spans="1:14" ht="15.75" customHeight="1">
      <c r="A159" s="499"/>
      <c r="E159" s="499"/>
      <c r="F159" s="499"/>
      <c r="G159" s="499"/>
      <c r="H159" s="499"/>
      <c r="I159" s="499"/>
      <c r="J159" s="499"/>
      <c r="K159" s="499"/>
      <c r="L159" s="499"/>
      <c r="M159" s="499"/>
      <c r="N159" s="499"/>
    </row>
    <row r="160" spans="1:14" ht="15.75" customHeight="1">
      <c r="A160" s="499"/>
      <c r="E160" s="499"/>
      <c r="F160" s="499"/>
      <c r="G160" s="499"/>
      <c r="H160" s="499"/>
      <c r="I160" s="499"/>
      <c r="J160" s="499"/>
      <c r="K160" s="499"/>
      <c r="L160" s="499"/>
      <c r="M160" s="499"/>
      <c r="N160" s="499"/>
    </row>
    <row r="161" spans="1:14" ht="15.75" customHeight="1">
      <c r="A161" s="499"/>
      <c r="E161" s="499"/>
      <c r="F161" s="499"/>
      <c r="G161" s="499"/>
      <c r="H161" s="499"/>
      <c r="I161" s="499"/>
      <c r="J161" s="499"/>
      <c r="K161" s="499"/>
      <c r="L161" s="499"/>
      <c r="M161" s="499"/>
      <c r="N161" s="499"/>
    </row>
    <row r="162" spans="1:14" ht="15.75" customHeight="1">
      <c r="A162" s="499"/>
      <c r="E162" s="499"/>
      <c r="F162" s="499"/>
      <c r="G162" s="499"/>
      <c r="H162" s="499"/>
      <c r="I162" s="499"/>
      <c r="J162" s="499"/>
      <c r="K162" s="499"/>
      <c r="L162" s="499"/>
      <c r="M162" s="499"/>
      <c r="N162" s="499"/>
    </row>
    <row r="163" spans="1:14" ht="15.75" customHeight="1">
      <c r="A163" s="499"/>
      <c r="E163" s="499"/>
      <c r="F163" s="499"/>
      <c r="G163" s="499"/>
      <c r="H163" s="499"/>
      <c r="I163" s="499"/>
      <c r="J163" s="499"/>
      <c r="K163" s="499"/>
      <c r="L163" s="499"/>
      <c r="M163" s="499"/>
      <c r="N163" s="499"/>
    </row>
    <row r="164" spans="1:14" ht="15.75" customHeight="1">
      <c r="A164" s="499"/>
      <c r="E164" s="499"/>
      <c r="F164" s="499"/>
      <c r="G164" s="499"/>
      <c r="H164" s="499"/>
      <c r="I164" s="499"/>
      <c r="J164" s="499"/>
      <c r="K164" s="499"/>
      <c r="L164" s="499"/>
      <c r="M164" s="499"/>
      <c r="N164" s="499"/>
    </row>
    <row r="165" spans="1:14" ht="15.75" customHeight="1">
      <c r="A165" s="499"/>
      <c r="E165" s="499"/>
      <c r="F165" s="499"/>
      <c r="G165" s="499"/>
      <c r="H165" s="499"/>
      <c r="I165" s="499"/>
      <c r="J165" s="499"/>
      <c r="K165" s="499"/>
      <c r="L165" s="499"/>
      <c r="M165" s="499"/>
      <c r="N165" s="499"/>
    </row>
    <row r="166" spans="1:14" ht="15.75" customHeight="1">
      <c r="A166" s="499"/>
      <c r="E166" s="499"/>
      <c r="F166" s="499"/>
      <c r="G166" s="499"/>
      <c r="H166" s="499"/>
      <c r="I166" s="499"/>
      <c r="J166" s="499"/>
      <c r="K166" s="499"/>
      <c r="L166" s="499"/>
      <c r="M166" s="499"/>
      <c r="N166" s="499"/>
    </row>
    <row r="167" spans="1:14" ht="15.75" customHeight="1">
      <c r="A167" s="499"/>
      <c r="E167" s="499"/>
      <c r="F167" s="499"/>
      <c r="G167" s="499"/>
      <c r="H167" s="499"/>
      <c r="I167" s="499"/>
      <c r="J167" s="499"/>
      <c r="K167" s="499"/>
      <c r="L167" s="499"/>
      <c r="M167" s="499"/>
      <c r="N167" s="499"/>
    </row>
    <row r="168" spans="1:14" ht="15.75" customHeight="1">
      <c r="A168" s="499"/>
      <c r="E168" s="499"/>
      <c r="F168" s="499"/>
      <c r="G168" s="499"/>
      <c r="H168" s="499"/>
      <c r="I168" s="499"/>
      <c r="J168" s="499"/>
      <c r="K168" s="499"/>
      <c r="L168" s="499"/>
      <c r="M168" s="499"/>
      <c r="N168" s="499"/>
    </row>
    <row r="169" spans="1:14" ht="15.75" customHeight="1">
      <c r="A169" s="499"/>
      <c r="E169" s="499"/>
      <c r="F169" s="499"/>
      <c r="G169" s="499"/>
      <c r="H169" s="499"/>
      <c r="I169" s="499"/>
      <c r="J169" s="499"/>
      <c r="K169" s="499"/>
      <c r="L169" s="499"/>
      <c r="M169" s="499"/>
      <c r="N169" s="499"/>
    </row>
    <row r="170" spans="1:14" ht="15.75" customHeight="1">
      <c r="A170" s="499"/>
      <c r="E170" s="499"/>
      <c r="F170" s="499"/>
      <c r="G170" s="499"/>
      <c r="H170" s="499"/>
      <c r="I170" s="499"/>
      <c r="J170" s="499"/>
      <c r="K170" s="499"/>
      <c r="L170" s="499"/>
      <c r="M170" s="499"/>
      <c r="N170" s="499"/>
    </row>
    <row r="171" spans="1:14" ht="15.75" customHeight="1">
      <c r="A171" s="499"/>
      <c r="E171" s="499"/>
      <c r="F171" s="499"/>
      <c r="G171" s="499"/>
      <c r="H171" s="499"/>
      <c r="I171" s="499"/>
      <c r="J171" s="499"/>
      <c r="K171" s="499"/>
      <c r="L171" s="499"/>
      <c r="M171" s="499"/>
      <c r="N171" s="499"/>
    </row>
    <row r="172" spans="1:14" ht="15.75" customHeight="1">
      <c r="A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</row>
    <row r="173" spans="1:14" ht="15.75" customHeight="1">
      <c r="A173" s="499"/>
      <c r="E173" s="499"/>
      <c r="F173" s="499"/>
      <c r="G173" s="499"/>
      <c r="H173" s="499"/>
      <c r="I173" s="499"/>
      <c r="J173" s="499"/>
      <c r="K173" s="499"/>
      <c r="L173" s="499"/>
      <c r="M173" s="499"/>
      <c r="N173" s="499"/>
    </row>
    <row r="174" spans="1:14" ht="15.75" customHeight="1">
      <c r="A174" s="499"/>
      <c r="E174" s="499"/>
      <c r="F174" s="499"/>
      <c r="G174" s="499"/>
      <c r="H174" s="499"/>
      <c r="I174" s="499"/>
      <c r="J174" s="499"/>
      <c r="K174" s="499"/>
      <c r="L174" s="499"/>
      <c r="M174" s="499"/>
      <c r="N174" s="499"/>
    </row>
    <row r="175" spans="1:14" ht="15.75" customHeight="1">
      <c r="A175" s="499"/>
      <c r="E175" s="499"/>
      <c r="F175" s="499"/>
      <c r="G175" s="499"/>
      <c r="H175" s="499"/>
      <c r="I175" s="499"/>
      <c r="J175" s="499"/>
      <c r="K175" s="499"/>
      <c r="L175" s="499"/>
      <c r="M175" s="499"/>
      <c r="N175" s="499"/>
    </row>
    <row r="176" spans="1:14" ht="15.75" customHeight="1">
      <c r="A176" s="499"/>
      <c r="E176" s="499"/>
      <c r="F176" s="499"/>
      <c r="G176" s="499"/>
      <c r="H176" s="499"/>
      <c r="I176" s="499"/>
      <c r="J176" s="499"/>
      <c r="K176" s="499"/>
      <c r="L176" s="499"/>
      <c r="M176" s="499"/>
      <c r="N176" s="499"/>
    </row>
    <row r="177" spans="1:14" ht="15.75" customHeight="1">
      <c r="A177" s="499"/>
      <c r="E177" s="499"/>
      <c r="F177" s="499"/>
      <c r="G177" s="499"/>
      <c r="H177" s="499"/>
      <c r="I177" s="499"/>
      <c r="J177" s="499"/>
      <c r="K177" s="499"/>
      <c r="L177" s="499"/>
      <c r="M177" s="499"/>
      <c r="N177" s="499"/>
    </row>
    <row r="178" spans="1:14" ht="15.75" customHeight="1">
      <c r="A178" s="499"/>
      <c r="E178" s="499"/>
      <c r="F178" s="499"/>
      <c r="G178" s="499"/>
      <c r="H178" s="499"/>
      <c r="I178" s="499"/>
      <c r="J178" s="499"/>
      <c r="K178" s="499"/>
      <c r="L178" s="499"/>
      <c r="M178" s="499"/>
      <c r="N178" s="499"/>
    </row>
    <row r="179" spans="1:14" ht="15.75" customHeight="1">
      <c r="A179" s="499"/>
      <c r="E179" s="499"/>
      <c r="F179" s="499"/>
      <c r="G179" s="499"/>
      <c r="H179" s="499"/>
      <c r="I179" s="499"/>
      <c r="J179" s="499"/>
      <c r="K179" s="499"/>
      <c r="L179" s="499"/>
      <c r="M179" s="499"/>
      <c r="N179" s="499"/>
    </row>
    <row r="180" spans="1:14" ht="15.75" customHeight="1">
      <c r="A180" s="499"/>
      <c r="E180" s="499"/>
      <c r="F180" s="499"/>
      <c r="G180" s="499"/>
      <c r="H180" s="499"/>
      <c r="I180" s="499"/>
      <c r="J180" s="499"/>
      <c r="K180" s="499"/>
      <c r="L180" s="499"/>
      <c r="M180" s="499"/>
      <c r="N180" s="499"/>
    </row>
    <row r="181" spans="1:14" ht="15.75" customHeight="1">
      <c r="A181" s="499"/>
      <c r="E181" s="499"/>
      <c r="F181" s="499"/>
      <c r="G181" s="499"/>
      <c r="H181" s="499"/>
      <c r="I181" s="499"/>
      <c r="J181" s="499"/>
      <c r="K181" s="499"/>
      <c r="L181" s="499"/>
      <c r="M181" s="499"/>
      <c r="N181" s="499"/>
    </row>
    <row r="182" spans="1:14" ht="15.75" customHeight="1">
      <c r="A182" s="499"/>
      <c r="E182" s="499"/>
      <c r="F182" s="499"/>
      <c r="G182" s="499"/>
      <c r="H182" s="499"/>
      <c r="I182" s="499"/>
      <c r="J182" s="499"/>
      <c r="K182" s="499"/>
      <c r="L182" s="499"/>
      <c r="M182" s="499"/>
      <c r="N182" s="499"/>
    </row>
    <row r="183" spans="1:14" ht="15.75" customHeight="1">
      <c r="A183" s="499"/>
      <c r="E183" s="499"/>
      <c r="F183" s="499"/>
      <c r="G183" s="499"/>
      <c r="H183" s="499"/>
      <c r="I183" s="499"/>
      <c r="J183" s="499"/>
      <c r="K183" s="499"/>
      <c r="L183" s="499"/>
      <c r="M183" s="499"/>
      <c r="N183" s="499"/>
    </row>
    <row r="184" spans="1:14" ht="15.75" customHeight="1">
      <c r="A184" s="499"/>
      <c r="E184" s="499"/>
      <c r="F184" s="499"/>
      <c r="G184" s="499"/>
      <c r="H184" s="499"/>
      <c r="I184" s="499"/>
      <c r="J184" s="499"/>
      <c r="K184" s="499"/>
      <c r="L184" s="499"/>
      <c r="M184" s="499"/>
      <c r="N184" s="499"/>
    </row>
    <row r="185" spans="1:14" ht="15.75" customHeight="1">
      <c r="A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</row>
    <row r="186" spans="1:14" ht="15.75" customHeight="1">
      <c r="A186" s="499"/>
      <c r="E186" s="499"/>
      <c r="F186" s="499"/>
      <c r="G186" s="499"/>
      <c r="H186" s="499"/>
      <c r="I186" s="499"/>
      <c r="J186" s="499"/>
      <c r="K186" s="499"/>
      <c r="L186" s="499"/>
      <c r="M186" s="499"/>
      <c r="N186" s="499"/>
    </row>
    <row r="187" spans="1:14" ht="15.75" customHeight="1">
      <c r="A187" s="499"/>
      <c r="E187" s="499"/>
      <c r="F187" s="499"/>
      <c r="G187" s="499"/>
      <c r="H187" s="499"/>
      <c r="I187" s="499"/>
      <c r="J187" s="499"/>
      <c r="K187" s="499"/>
      <c r="L187" s="499"/>
      <c r="M187" s="499"/>
      <c r="N187" s="499"/>
    </row>
    <row r="188" spans="1:14" ht="15.75" customHeight="1">
      <c r="A188" s="499"/>
      <c r="E188" s="499"/>
      <c r="F188" s="499"/>
      <c r="G188" s="499"/>
      <c r="H188" s="499"/>
      <c r="I188" s="499"/>
      <c r="J188" s="499"/>
      <c r="K188" s="499"/>
      <c r="L188" s="499"/>
      <c r="M188" s="499"/>
      <c r="N188" s="499"/>
    </row>
    <row r="189" spans="1:14" ht="15.75" customHeight="1">
      <c r="A189" s="499"/>
      <c r="E189" s="499"/>
      <c r="F189" s="499"/>
      <c r="G189" s="499"/>
      <c r="H189" s="499"/>
      <c r="I189" s="499"/>
      <c r="J189" s="499"/>
      <c r="K189" s="499"/>
      <c r="L189" s="499"/>
      <c r="M189" s="499"/>
      <c r="N189" s="499"/>
    </row>
    <row r="190" spans="1:14" ht="15.75" customHeight="1">
      <c r="A190" s="499"/>
      <c r="E190" s="499"/>
      <c r="F190" s="499"/>
      <c r="G190" s="499"/>
      <c r="H190" s="499"/>
      <c r="I190" s="499"/>
      <c r="J190" s="499"/>
      <c r="K190" s="499"/>
      <c r="L190" s="499"/>
      <c r="M190" s="499"/>
      <c r="N190" s="499"/>
    </row>
    <row r="191" spans="1:14" ht="15.75" customHeight="1">
      <c r="A191" s="499"/>
      <c r="E191" s="499"/>
      <c r="F191" s="499"/>
      <c r="G191" s="499"/>
      <c r="H191" s="499"/>
      <c r="I191" s="499"/>
      <c r="J191" s="499"/>
      <c r="K191" s="499"/>
      <c r="L191" s="499"/>
      <c r="M191" s="499"/>
      <c r="N191" s="499"/>
    </row>
    <row r="192" spans="1:14" ht="15.75" customHeight="1">
      <c r="A192" s="499"/>
      <c r="E192" s="499"/>
      <c r="F192" s="499"/>
      <c r="G192" s="499"/>
      <c r="H192" s="499"/>
      <c r="I192" s="499"/>
      <c r="J192" s="499"/>
      <c r="K192" s="499"/>
      <c r="L192" s="499"/>
      <c r="M192" s="499"/>
      <c r="N192" s="499"/>
    </row>
    <row r="193" spans="1:14" ht="15.75" customHeight="1">
      <c r="A193" s="499"/>
      <c r="E193" s="499"/>
      <c r="F193" s="499"/>
      <c r="G193" s="499"/>
      <c r="H193" s="499"/>
      <c r="I193" s="499"/>
      <c r="J193" s="499"/>
      <c r="K193" s="499"/>
      <c r="L193" s="499"/>
      <c r="M193" s="499"/>
      <c r="N193" s="499"/>
    </row>
    <row r="194" spans="1:14" ht="15.75" customHeight="1">
      <c r="A194" s="499"/>
      <c r="E194" s="499"/>
      <c r="F194" s="499"/>
      <c r="G194" s="499"/>
      <c r="H194" s="499"/>
      <c r="I194" s="499"/>
      <c r="J194" s="499"/>
      <c r="K194" s="499"/>
      <c r="L194" s="499"/>
      <c r="M194" s="499"/>
      <c r="N194" s="499"/>
    </row>
    <row r="195" spans="1:14" ht="15.75" customHeight="1">
      <c r="A195" s="499"/>
      <c r="E195" s="499"/>
      <c r="F195" s="499"/>
      <c r="G195" s="499"/>
      <c r="H195" s="499"/>
      <c r="I195" s="499"/>
      <c r="J195" s="499"/>
      <c r="K195" s="499"/>
      <c r="L195" s="499"/>
      <c r="M195" s="499"/>
      <c r="N195" s="499"/>
    </row>
    <row r="196" spans="1:14" ht="15.75" customHeight="1">
      <c r="A196" s="499"/>
      <c r="E196" s="499"/>
      <c r="F196" s="499"/>
      <c r="G196" s="499"/>
      <c r="H196" s="499"/>
      <c r="I196" s="499"/>
      <c r="J196" s="499"/>
      <c r="K196" s="499"/>
      <c r="L196" s="499"/>
      <c r="M196" s="499"/>
      <c r="N196" s="499"/>
    </row>
    <row r="197" spans="1:14" ht="15.75" customHeight="1">
      <c r="A197" s="499"/>
      <c r="E197" s="499"/>
      <c r="F197" s="499"/>
      <c r="G197" s="499"/>
      <c r="H197" s="499"/>
      <c r="I197" s="499"/>
      <c r="J197" s="499"/>
      <c r="K197" s="499"/>
      <c r="L197" s="499"/>
      <c r="M197" s="499"/>
      <c r="N197" s="499"/>
    </row>
    <row r="198" spans="1:14" ht="15.75" customHeight="1">
      <c r="A198" s="499"/>
      <c r="E198" s="499"/>
      <c r="F198" s="499"/>
      <c r="G198" s="499"/>
      <c r="H198" s="499"/>
      <c r="I198" s="499"/>
      <c r="J198" s="499"/>
      <c r="K198" s="499"/>
      <c r="L198" s="499"/>
      <c r="M198" s="499"/>
      <c r="N198" s="499"/>
    </row>
    <row r="199" spans="1:14" ht="15.75" customHeight="1">
      <c r="A199" s="499"/>
      <c r="E199" s="499"/>
      <c r="F199" s="499"/>
      <c r="G199" s="499"/>
      <c r="H199" s="499"/>
      <c r="I199" s="499"/>
      <c r="J199" s="499"/>
      <c r="K199" s="499"/>
      <c r="L199" s="499"/>
      <c r="M199" s="499"/>
      <c r="N199" s="499"/>
    </row>
    <row r="200" spans="1:14" ht="15.75" customHeight="1">
      <c r="A200" s="499"/>
      <c r="E200" s="499"/>
      <c r="F200" s="499"/>
      <c r="G200" s="499"/>
      <c r="H200" s="499"/>
      <c r="I200" s="499"/>
      <c r="J200" s="499"/>
      <c r="K200" s="499"/>
      <c r="L200" s="499"/>
      <c r="M200" s="499"/>
      <c r="N200" s="499"/>
    </row>
    <row r="201" spans="1:14" ht="15.75" customHeight="1">
      <c r="A201" s="499"/>
      <c r="E201" s="499"/>
      <c r="F201" s="499"/>
      <c r="G201" s="499"/>
      <c r="H201" s="499"/>
      <c r="I201" s="499"/>
      <c r="J201" s="499"/>
      <c r="K201" s="499"/>
      <c r="L201" s="499"/>
      <c r="M201" s="499"/>
      <c r="N201" s="499"/>
    </row>
    <row r="202" spans="1:14" ht="15.75" customHeight="1">
      <c r="A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</row>
    <row r="203" spans="1:14" ht="15.75" customHeight="1">
      <c r="A203" s="499"/>
      <c r="E203" s="499"/>
      <c r="F203" s="499"/>
      <c r="G203" s="499"/>
      <c r="H203" s="499"/>
      <c r="I203" s="499"/>
      <c r="J203" s="499"/>
      <c r="K203" s="499"/>
      <c r="L203" s="499"/>
      <c r="M203" s="499"/>
      <c r="N203" s="499"/>
    </row>
    <row r="204" spans="1:14" ht="15.75" customHeight="1">
      <c r="A204" s="499"/>
      <c r="E204" s="499"/>
      <c r="F204" s="499"/>
      <c r="G204" s="499"/>
      <c r="H204" s="499"/>
      <c r="I204" s="499"/>
      <c r="J204" s="499"/>
      <c r="K204" s="499"/>
      <c r="L204" s="499"/>
      <c r="M204" s="499"/>
      <c r="N204" s="499"/>
    </row>
    <row r="205" spans="1:14" ht="15.75" customHeight="1">
      <c r="A205" s="499"/>
      <c r="E205" s="499"/>
      <c r="F205" s="499"/>
      <c r="G205" s="499"/>
      <c r="H205" s="499"/>
      <c r="I205" s="499"/>
      <c r="J205" s="499"/>
      <c r="K205" s="499"/>
      <c r="L205" s="499"/>
      <c r="M205" s="499"/>
      <c r="N205" s="499"/>
    </row>
    <row r="206" spans="1:14" ht="15.75" customHeight="1">
      <c r="A206" s="499"/>
      <c r="E206" s="499"/>
      <c r="F206" s="499"/>
      <c r="G206" s="499"/>
      <c r="H206" s="499"/>
      <c r="I206" s="499"/>
      <c r="J206" s="499"/>
      <c r="K206" s="499"/>
      <c r="L206" s="499"/>
      <c r="M206" s="499"/>
      <c r="N206" s="499"/>
    </row>
    <row r="207" spans="1:14" ht="15.75" customHeight="1">
      <c r="A207" s="499"/>
      <c r="E207" s="499"/>
      <c r="F207" s="499"/>
      <c r="G207" s="499"/>
      <c r="H207" s="499"/>
      <c r="I207" s="499"/>
      <c r="J207" s="499"/>
      <c r="K207" s="499"/>
      <c r="L207" s="499"/>
      <c r="M207" s="499"/>
      <c r="N207" s="499"/>
    </row>
    <row r="208" spans="1:14" ht="15.75" customHeight="1">
      <c r="A208" s="499"/>
      <c r="E208" s="499"/>
      <c r="F208" s="499"/>
      <c r="G208" s="499"/>
      <c r="H208" s="499"/>
      <c r="I208" s="499"/>
      <c r="J208" s="499"/>
      <c r="K208" s="499"/>
      <c r="L208" s="499"/>
      <c r="M208" s="499"/>
      <c r="N208" s="499"/>
    </row>
    <row r="209" spans="1:14" ht="15.75" customHeight="1">
      <c r="A209" s="499"/>
      <c r="E209" s="499"/>
      <c r="F209" s="499"/>
      <c r="G209" s="499"/>
      <c r="H209" s="499"/>
      <c r="I209" s="499"/>
      <c r="J209" s="499"/>
      <c r="K209" s="499"/>
      <c r="L209" s="499"/>
      <c r="M209" s="499"/>
      <c r="N209" s="499"/>
    </row>
    <row r="210" spans="1:14" ht="15.75" customHeight="1">
      <c r="A210" s="499"/>
      <c r="E210" s="499"/>
      <c r="F210" s="499"/>
      <c r="G210" s="499"/>
      <c r="H210" s="499"/>
      <c r="I210" s="499"/>
      <c r="J210" s="499"/>
      <c r="K210" s="499"/>
      <c r="L210" s="499"/>
      <c r="M210" s="499"/>
      <c r="N210" s="499"/>
    </row>
    <row r="211" spans="1:14" ht="15.75" customHeight="1">
      <c r="A211" s="499"/>
      <c r="E211" s="499"/>
      <c r="F211" s="499"/>
      <c r="G211" s="499"/>
      <c r="H211" s="499"/>
      <c r="I211" s="499"/>
      <c r="J211" s="499"/>
      <c r="K211" s="499"/>
      <c r="L211" s="499"/>
      <c r="M211" s="499"/>
      <c r="N211" s="499"/>
    </row>
    <row r="212" spans="1:14" ht="15.75" customHeight="1">
      <c r="A212" s="499"/>
      <c r="E212" s="499"/>
      <c r="F212" s="499"/>
      <c r="G212" s="499"/>
      <c r="H212" s="499"/>
      <c r="I212" s="499"/>
      <c r="J212" s="499"/>
      <c r="K212" s="499"/>
      <c r="L212" s="499"/>
      <c r="M212" s="499"/>
      <c r="N212" s="499"/>
    </row>
    <row r="213" spans="1:14" ht="15.75" customHeight="1">
      <c r="A213" s="499"/>
      <c r="E213" s="499"/>
      <c r="F213" s="499"/>
      <c r="G213" s="499"/>
      <c r="H213" s="499"/>
      <c r="I213" s="499"/>
      <c r="J213" s="499"/>
      <c r="K213" s="499"/>
      <c r="L213" s="499"/>
      <c r="M213" s="499"/>
      <c r="N213" s="499"/>
    </row>
    <row r="214" spans="1:14" ht="15.75" customHeight="1">
      <c r="A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</row>
    <row r="215" spans="1:14" ht="15.75" customHeight="1">
      <c r="A215" s="499"/>
      <c r="E215" s="499"/>
      <c r="F215" s="499"/>
      <c r="G215" s="499"/>
      <c r="H215" s="499"/>
      <c r="I215" s="499"/>
      <c r="J215" s="499"/>
      <c r="K215" s="499"/>
      <c r="L215" s="499"/>
      <c r="M215" s="499"/>
      <c r="N215" s="499"/>
    </row>
    <row r="216" spans="1:14" ht="15.75" customHeight="1">
      <c r="A216" s="499"/>
      <c r="E216" s="499"/>
      <c r="F216" s="499"/>
      <c r="G216" s="499"/>
      <c r="H216" s="499"/>
      <c r="I216" s="499"/>
      <c r="J216" s="499"/>
      <c r="K216" s="499"/>
      <c r="L216" s="499"/>
      <c r="M216" s="499"/>
      <c r="N216" s="499"/>
    </row>
    <row r="217" spans="1:14" ht="15.75" customHeight="1">
      <c r="A217" s="499"/>
      <c r="E217" s="499"/>
      <c r="F217" s="499"/>
      <c r="G217" s="499"/>
      <c r="H217" s="499"/>
      <c r="I217" s="499"/>
      <c r="J217" s="499"/>
      <c r="K217" s="499"/>
      <c r="L217" s="499"/>
      <c r="M217" s="499"/>
      <c r="N217" s="499"/>
    </row>
    <row r="218" spans="1:14" ht="15.75" customHeight="1">
      <c r="A218" s="499"/>
      <c r="E218" s="499"/>
      <c r="F218" s="499"/>
      <c r="G218" s="499"/>
      <c r="H218" s="499"/>
      <c r="I218" s="499"/>
      <c r="J218" s="499"/>
      <c r="K218" s="499"/>
      <c r="L218" s="499"/>
      <c r="M218" s="499"/>
      <c r="N218" s="499"/>
    </row>
    <row r="219" spans="1:14" ht="15.75" customHeight="1">
      <c r="A219" s="499"/>
      <c r="E219" s="499"/>
      <c r="F219" s="499"/>
      <c r="G219" s="499"/>
      <c r="H219" s="499"/>
      <c r="I219" s="499"/>
      <c r="J219" s="499"/>
      <c r="K219" s="499"/>
      <c r="L219" s="499"/>
      <c r="M219" s="499"/>
      <c r="N219" s="499"/>
    </row>
    <row r="220" spans="1:14" ht="15.75" customHeight="1">
      <c r="A220" s="499"/>
      <c r="E220" s="499"/>
      <c r="F220" s="499"/>
      <c r="G220" s="499"/>
      <c r="H220" s="499"/>
      <c r="I220" s="499"/>
      <c r="J220" s="499"/>
      <c r="K220" s="499"/>
      <c r="L220" s="499"/>
      <c r="M220" s="499"/>
      <c r="N220" s="499"/>
    </row>
    <row r="221" spans="1:14" ht="15.75" customHeight="1">
      <c r="A221" s="499"/>
      <c r="E221" s="499"/>
      <c r="F221" s="499"/>
      <c r="G221" s="499"/>
      <c r="H221" s="499"/>
      <c r="I221" s="499"/>
      <c r="J221" s="499"/>
      <c r="K221" s="499"/>
      <c r="L221" s="499"/>
      <c r="M221" s="499"/>
      <c r="N221" s="499"/>
    </row>
    <row r="222" spans="1:14" ht="15.75" customHeight="1">
      <c r="A222" s="499"/>
      <c r="E222" s="499"/>
      <c r="F222" s="499"/>
      <c r="G222" s="499"/>
      <c r="H222" s="499"/>
      <c r="I222" s="499"/>
      <c r="J222" s="499"/>
      <c r="K222" s="499"/>
      <c r="L222" s="499"/>
      <c r="M222" s="499"/>
      <c r="N222" s="499"/>
    </row>
    <row r="223" spans="1:14" ht="15.75" customHeight="1">
      <c r="A223" s="499"/>
      <c r="E223" s="499"/>
      <c r="F223" s="499"/>
      <c r="G223" s="499"/>
      <c r="H223" s="499"/>
      <c r="I223" s="499"/>
      <c r="J223" s="499"/>
      <c r="K223" s="499"/>
      <c r="L223" s="499"/>
      <c r="M223" s="499"/>
      <c r="N223" s="499"/>
    </row>
    <row r="224" spans="1:14" ht="15.75" customHeight="1">
      <c r="A224" s="499"/>
      <c r="E224" s="499"/>
      <c r="F224" s="499"/>
      <c r="G224" s="499"/>
      <c r="H224" s="499"/>
      <c r="I224" s="499"/>
      <c r="J224" s="499"/>
      <c r="K224" s="499"/>
      <c r="L224" s="499"/>
      <c r="M224" s="499"/>
      <c r="N224" s="499"/>
    </row>
    <row r="225" spans="1:14" ht="15.75" customHeight="1">
      <c r="A225" s="499"/>
      <c r="E225" s="499"/>
      <c r="F225" s="499"/>
      <c r="G225" s="499"/>
      <c r="H225" s="499"/>
      <c r="I225" s="499"/>
      <c r="J225" s="499"/>
      <c r="K225" s="499"/>
      <c r="L225" s="499"/>
      <c r="M225" s="499"/>
      <c r="N225" s="499"/>
    </row>
    <row r="226" spans="1:14" ht="15.75" customHeight="1">
      <c r="A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</row>
    <row r="227" spans="1:14" ht="15.75" customHeight="1">
      <c r="A227" s="499"/>
      <c r="E227" s="499"/>
      <c r="F227" s="499"/>
      <c r="G227" s="499"/>
      <c r="H227" s="499"/>
      <c r="I227" s="499"/>
      <c r="J227" s="499"/>
      <c r="K227" s="499"/>
      <c r="L227" s="499"/>
      <c r="M227" s="499"/>
      <c r="N227" s="499"/>
    </row>
    <row r="228" spans="1:14" ht="15.75" customHeight="1">
      <c r="A228" s="499"/>
      <c r="E228" s="499"/>
      <c r="F228" s="499"/>
      <c r="G228" s="499"/>
      <c r="H228" s="499"/>
      <c r="I228" s="499"/>
      <c r="J228" s="499"/>
      <c r="K228" s="499"/>
      <c r="L228" s="499"/>
      <c r="M228" s="499"/>
      <c r="N228" s="499"/>
    </row>
    <row r="229" spans="1:14" ht="15.75" customHeight="1">
      <c r="A229" s="499"/>
      <c r="E229" s="499"/>
      <c r="F229" s="499"/>
      <c r="G229" s="499"/>
      <c r="H229" s="499"/>
      <c r="I229" s="499"/>
      <c r="J229" s="499"/>
      <c r="K229" s="499"/>
      <c r="L229" s="499"/>
      <c r="M229" s="499"/>
      <c r="N229" s="499"/>
    </row>
    <row r="230" spans="1:14" ht="15.75" customHeight="1">
      <c r="A230" s="499"/>
      <c r="E230" s="499"/>
      <c r="F230" s="499"/>
      <c r="G230" s="499"/>
      <c r="H230" s="499"/>
      <c r="I230" s="499"/>
      <c r="J230" s="499"/>
      <c r="K230" s="499"/>
      <c r="L230" s="499"/>
      <c r="M230" s="499"/>
      <c r="N230" s="499"/>
    </row>
    <row r="231" spans="1:14" ht="15.75" customHeight="1">
      <c r="A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</row>
    <row r="232" spans="1:14" ht="15.75" customHeight="1">
      <c r="A232" s="499"/>
      <c r="E232" s="499"/>
      <c r="F232" s="499"/>
      <c r="G232" s="499"/>
      <c r="H232" s="499"/>
      <c r="I232" s="499"/>
      <c r="J232" s="499"/>
      <c r="K232" s="499"/>
      <c r="L232" s="499"/>
      <c r="M232" s="499"/>
      <c r="N232" s="499"/>
    </row>
    <row r="233" spans="1:14" ht="15.75" customHeight="1">
      <c r="A233" s="499"/>
      <c r="E233" s="499"/>
      <c r="F233" s="499"/>
      <c r="G233" s="499"/>
      <c r="H233" s="499"/>
      <c r="I233" s="499"/>
      <c r="J233" s="499"/>
      <c r="K233" s="499"/>
      <c r="L233" s="499"/>
      <c r="M233" s="499"/>
      <c r="N233" s="499"/>
    </row>
    <row r="234" spans="1:14" ht="15.75" customHeight="1">
      <c r="A234" s="499"/>
      <c r="E234" s="499"/>
      <c r="F234" s="499"/>
      <c r="G234" s="499"/>
      <c r="H234" s="499"/>
      <c r="I234" s="499"/>
      <c r="J234" s="499"/>
      <c r="K234" s="499"/>
      <c r="L234" s="499"/>
      <c r="M234" s="499"/>
      <c r="N234" s="499"/>
    </row>
    <row r="235" spans="1:14" ht="15.75" customHeight="1">
      <c r="A235" s="499"/>
      <c r="E235" s="499"/>
      <c r="F235" s="499"/>
      <c r="G235" s="499"/>
      <c r="H235" s="499"/>
      <c r="I235" s="499"/>
      <c r="J235" s="499"/>
      <c r="K235" s="499"/>
      <c r="L235" s="499"/>
      <c r="M235" s="499"/>
      <c r="N235" s="499"/>
    </row>
    <row r="236" spans="1:14" ht="15.75" customHeight="1">
      <c r="A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</row>
    <row r="237" spans="1:14" ht="15.75" customHeight="1">
      <c r="A237" s="499"/>
      <c r="E237" s="499"/>
      <c r="F237" s="499"/>
      <c r="G237" s="499"/>
      <c r="H237" s="499"/>
      <c r="I237" s="499"/>
      <c r="J237" s="499"/>
      <c r="K237" s="499"/>
      <c r="L237" s="499"/>
      <c r="M237" s="499"/>
      <c r="N237" s="499"/>
    </row>
    <row r="238" spans="1:14" ht="15.75" customHeight="1">
      <c r="A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</row>
    <row r="239" spans="1:14" ht="15.75" customHeight="1">
      <c r="A239" s="499"/>
      <c r="E239" s="499"/>
      <c r="F239" s="499"/>
      <c r="G239" s="499"/>
      <c r="H239" s="499"/>
      <c r="I239" s="499"/>
      <c r="J239" s="499"/>
      <c r="K239" s="499"/>
      <c r="L239" s="499"/>
      <c r="M239" s="499"/>
      <c r="N239" s="499"/>
    </row>
    <row r="240" spans="1:14" ht="15.75" customHeight="1">
      <c r="A240" s="499"/>
      <c r="E240" s="499"/>
      <c r="F240" s="499"/>
      <c r="G240" s="499"/>
      <c r="H240" s="499"/>
      <c r="I240" s="499"/>
      <c r="J240" s="499"/>
      <c r="K240" s="499"/>
      <c r="L240" s="499"/>
      <c r="M240" s="499"/>
      <c r="N240" s="499"/>
    </row>
    <row r="241" spans="1:14" ht="15.75" customHeight="1">
      <c r="A241" s="499"/>
      <c r="E241" s="499"/>
      <c r="F241" s="499"/>
      <c r="G241" s="499"/>
      <c r="H241" s="499"/>
      <c r="I241" s="499"/>
      <c r="J241" s="499"/>
      <c r="K241" s="499"/>
      <c r="L241" s="499"/>
      <c r="M241" s="499"/>
      <c r="N241" s="499"/>
    </row>
    <row r="242" spans="1:14" ht="15.75" customHeight="1">
      <c r="A242" s="499"/>
      <c r="E242" s="499"/>
      <c r="F242" s="499"/>
      <c r="G242" s="499"/>
      <c r="H242" s="499"/>
      <c r="I242" s="499"/>
      <c r="J242" s="499"/>
      <c r="K242" s="499"/>
      <c r="L242" s="499"/>
      <c r="M242" s="499"/>
      <c r="N242" s="499"/>
    </row>
    <row r="243" spans="1:14" ht="15.75" customHeight="1">
      <c r="A243" s="499"/>
      <c r="E243" s="499"/>
      <c r="F243" s="499"/>
      <c r="G243" s="499"/>
      <c r="H243" s="499"/>
      <c r="I243" s="499"/>
      <c r="J243" s="499"/>
      <c r="K243" s="499"/>
      <c r="L243" s="499"/>
      <c r="M243" s="499"/>
      <c r="N243" s="499"/>
    </row>
    <row r="244" spans="1:14" ht="15.75" customHeight="1">
      <c r="A244" s="499"/>
      <c r="E244" s="499"/>
      <c r="F244" s="499"/>
      <c r="G244" s="499"/>
      <c r="H244" s="499"/>
      <c r="I244" s="499"/>
      <c r="J244" s="499"/>
      <c r="K244" s="499"/>
      <c r="L244" s="499"/>
      <c r="M244" s="499"/>
      <c r="N244" s="499"/>
    </row>
    <row r="245" spans="1:14" ht="15.75" customHeight="1">
      <c r="A245" s="499"/>
      <c r="E245" s="499"/>
      <c r="F245" s="499"/>
      <c r="G245" s="499"/>
      <c r="H245" s="499"/>
      <c r="I245" s="499"/>
      <c r="J245" s="499"/>
      <c r="K245" s="499"/>
      <c r="L245" s="499"/>
      <c r="M245" s="499"/>
      <c r="N245" s="499"/>
    </row>
    <row r="246" spans="1:14" ht="15.75" customHeight="1">
      <c r="A246" s="499"/>
      <c r="E246" s="499"/>
      <c r="F246" s="499"/>
      <c r="G246" s="499"/>
      <c r="H246" s="499"/>
      <c r="I246" s="499"/>
      <c r="J246" s="499"/>
      <c r="K246" s="499"/>
      <c r="L246" s="499"/>
      <c r="M246" s="499"/>
      <c r="N246" s="499"/>
    </row>
    <row r="247" spans="1:14" ht="15.75" customHeight="1">
      <c r="A247" s="499"/>
      <c r="E247" s="499"/>
      <c r="F247" s="499"/>
      <c r="G247" s="499"/>
      <c r="H247" s="499"/>
      <c r="I247" s="499"/>
      <c r="J247" s="499"/>
      <c r="K247" s="499"/>
      <c r="L247" s="499"/>
      <c r="M247" s="499"/>
      <c r="N247" s="499"/>
    </row>
    <row r="248" spans="1:14" ht="15.75" customHeight="1">
      <c r="A248" s="499"/>
      <c r="E248" s="499"/>
      <c r="F248" s="499"/>
      <c r="G248" s="499"/>
      <c r="H248" s="499"/>
      <c r="I248" s="499"/>
      <c r="J248" s="499"/>
      <c r="K248" s="499"/>
      <c r="L248" s="499"/>
      <c r="M248" s="499"/>
      <c r="N248" s="499"/>
    </row>
    <row r="249" spans="1:14" ht="15.75" customHeight="1">
      <c r="A249" s="499"/>
      <c r="E249" s="499"/>
      <c r="F249" s="499"/>
      <c r="G249" s="499"/>
      <c r="H249" s="499"/>
      <c r="I249" s="499"/>
      <c r="J249" s="499"/>
      <c r="K249" s="499"/>
      <c r="L249" s="499"/>
      <c r="M249" s="499"/>
      <c r="N249" s="499"/>
    </row>
    <row r="250" spans="1:14" ht="15.75" customHeight="1">
      <c r="A250" s="499"/>
      <c r="E250" s="499"/>
      <c r="F250" s="499"/>
      <c r="G250" s="499"/>
      <c r="H250" s="499"/>
      <c r="I250" s="499"/>
      <c r="J250" s="499"/>
      <c r="K250" s="499"/>
      <c r="L250" s="499"/>
      <c r="M250" s="499"/>
      <c r="N250" s="499"/>
    </row>
    <row r="251" spans="1:14" ht="15.75" customHeight="1">
      <c r="A251" s="499"/>
      <c r="E251" s="499"/>
      <c r="F251" s="499"/>
      <c r="G251" s="499"/>
      <c r="H251" s="499"/>
      <c r="I251" s="499"/>
      <c r="J251" s="499"/>
      <c r="K251" s="499"/>
      <c r="L251" s="499"/>
      <c r="M251" s="499"/>
      <c r="N251" s="499"/>
    </row>
    <row r="252" spans="1:14" ht="15.75" customHeight="1">
      <c r="A252" s="499"/>
      <c r="E252" s="499"/>
      <c r="F252" s="499"/>
      <c r="G252" s="499"/>
      <c r="H252" s="499"/>
      <c r="I252" s="499"/>
      <c r="J252" s="499"/>
      <c r="K252" s="499"/>
      <c r="L252" s="499"/>
      <c r="M252" s="499"/>
      <c r="N252" s="499"/>
    </row>
    <row r="253" spans="1:14" ht="15.75" customHeight="1">
      <c r="A253" s="499"/>
      <c r="E253" s="499"/>
      <c r="F253" s="499"/>
      <c r="G253" s="499"/>
      <c r="H253" s="499"/>
      <c r="I253" s="499"/>
      <c r="J253" s="499"/>
      <c r="K253" s="499"/>
      <c r="L253" s="499"/>
      <c r="M253" s="499"/>
      <c r="N253" s="499"/>
    </row>
    <row r="254" spans="1:14" ht="15.75" customHeight="1">
      <c r="A254" s="499"/>
      <c r="E254" s="499"/>
      <c r="F254" s="499"/>
      <c r="G254" s="499"/>
      <c r="H254" s="499"/>
      <c r="I254" s="499"/>
      <c r="J254" s="499"/>
      <c r="K254" s="499"/>
      <c r="L254" s="499"/>
      <c r="M254" s="499"/>
      <c r="N254" s="499"/>
    </row>
    <row r="255" spans="1:14" ht="15.75" customHeight="1">
      <c r="A255" s="499"/>
      <c r="E255" s="499"/>
      <c r="F255" s="499"/>
      <c r="G255" s="499"/>
      <c r="H255" s="499"/>
      <c r="I255" s="499"/>
      <c r="J255" s="499"/>
      <c r="K255" s="499"/>
      <c r="L255" s="499"/>
      <c r="M255" s="499"/>
      <c r="N255" s="499"/>
    </row>
    <row r="256" spans="1:14" ht="15.75" customHeight="1">
      <c r="A256" s="499"/>
      <c r="E256" s="499"/>
      <c r="F256" s="499"/>
      <c r="G256" s="499"/>
      <c r="H256" s="499"/>
      <c r="I256" s="499"/>
      <c r="J256" s="499"/>
      <c r="K256" s="499"/>
      <c r="L256" s="499"/>
      <c r="M256" s="499"/>
      <c r="N256" s="499"/>
    </row>
    <row r="257" spans="1:14" ht="15.75" customHeight="1">
      <c r="A257" s="499"/>
      <c r="E257" s="499"/>
      <c r="F257" s="499"/>
      <c r="G257" s="499"/>
      <c r="H257" s="499"/>
      <c r="I257" s="499"/>
      <c r="J257" s="499"/>
      <c r="K257" s="499"/>
      <c r="L257" s="499"/>
      <c r="M257" s="499"/>
      <c r="N257" s="499"/>
    </row>
    <row r="258" spans="1:14" ht="15.75" customHeight="1">
      <c r="A258" s="499"/>
      <c r="E258" s="499"/>
      <c r="F258" s="499"/>
      <c r="G258" s="499"/>
      <c r="H258" s="499"/>
      <c r="I258" s="499"/>
      <c r="J258" s="499"/>
      <c r="K258" s="499"/>
      <c r="L258" s="499"/>
      <c r="M258" s="499"/>
      <c r="N258" s="499"/>
    </row>
    <row r="259" spans="1:14" ht="15.75" customHeight="1">
      <c r="A259" s="499"/>
      <c r="E259" s="499"/>
      <c r="F259" s="499"/>
      <c r="G259" s="499"/>
      <c r="H259" s="499"/>
      <c r="I259" s="499"/>
      <c r="J259" s="499"/>
      <c r="K259" s="499"/>
      <c r="L259" s="499"/>
      <c r="M259" s="499"/>
      <c r="N259" s="499"/>
    </row>
    <row r="260" spans="1:14" ht="15.75" customHeight="1">
      <c r="A260" s="499"/>
      <c r="E260" s="499"/>
      <c r="F260" s="499"/>
      <c r="G260" s="499"/>
      <c r="H260" s="499"/>
      <c r="I260" s="499"/>
      <c r="J260" s="499"/>
      <c r="K260" s="499"/>
      <c r="L260" s="499"/>
      <c r="M260" s="499"/>
      <c r="N260" s="499"/>
    </row>
    <row r="261" spans="1:14" ht="15.75" customHeight="1">
      <c r="A261" s="499"/>
      <c r="E261" s="499"/>
      <c r="F261" s="499"/>
      <c r="G261" s="499"/>
      <c r="H261" s="499"/>
      <c r="I261" s="499"/>
      <c r="J261" s="499"/>
      <c r="K261" s="499"/>
      <c r="L261" s="499"/>
      <c r="M261" s="499"/>
      <c r="N261" s="499"/>
    </row>
    <row r="262" spans="1:14" ht="15.75" customHeight="1">
      <c r="A262" s="499"/>
      <c r="E262" s="499"/>
      <c r="F262" s="499"/>
      <c r="G262" s="499"/>
      <c r="H262" s="499"/>
      <c r="I262" s="499"/>
      <c r="J262" s="499"/>
      <c r="K262" s="499"/>
      <c r="L262" s="499"/>
      <c r="M262" s="499"/>
      <c r="N262" s="499"/>
    </row>
    <row r="263" spans="1:14" ht="15.75" customHeight="1"/>
    <row r="264" spans="1:14" ht="15.75" customHeight="1"/>
    <row r="265" spans="1:14" ht="15.75" customHeight="1"/>
    <row r="266" spans="1:14" ht="15.75" customHeight="1"/>
    <row r="267" spans="1:14" ht="15.75" customHeight="1"/>
    <row r="268" spans="1:14" ht="15.75" customHeight="1"/>
    <row r="269" spans="1:14" ht="15.75" customHeight="1"/>
    <row r="270" spans="1:14" ht="15.75" customHeight="1"/>
    <row r="271" spans="1:14" ht="15.75" customHeight="1"/>
    <row r="272" spans="1:14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1"/>
  <sheetViews>
    <sheetView zoomScale="70" zoomScaleNormal="70" workbookViewId="0">
      <selection activeCell="R33" sqref="R33"/>
    </sheetView>
  </sheetViews>
  <sheetFormatPr defaultColWidth="8.7109375" defaultRowHeight="15"/>
  <cols>
    <col min="1" max="1" width="43.140625" customWidth="1"/>
    <col min="2" max="2" width="23" customWidth="1"/>
    <col min="3" max="8" width="15.28515625" customWidth="1"/>
    <col min="9" max="9" width="19.5703125" customWidth="1"/>
    <col min="10" max="15" width="18.42578125" customWidth="1"/>
    <col min="16" max="16" width="15" customWidth="1"/>
    <col min="17" max="17" width="14.140625" customWidth="1"/>
    <col min="18" max="18" width="21.28515625" customWidth="1"/>
    <col min="19" max="22" width="14.140625" customWidth="1"/>
    <col min="24" max="24" width="19.42578125" customWidth="1"/>
    <col min="25" max="25" width="15.42578125" customWidth="1"/>
    <col min="26" max="26" width="31.5703125" customWidth="1"/>
    <col min="28" max="28" width="29.5703125" customWidth="1"/>
  </cols>
  <sheetData>
    <row r="1" spans="1:26" ht="52.5" customHeight="1">
      <c r="A1" s="59"/>
      <c r="B1" s="70" t="s">
        <v>98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2"/>
      <c r="X1" s="73" t="s">
        <v>99</v>
      </c>
    </row>
    <row r="2" spans="1:26" ht="15" customHeight="1">
      <c r="A2" s="59"/>
      <c r="B2" s="74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60"/>
      <c r="S2" s="60"/>
      <c r="T2" s="60"/>
      <c r="U2" s="60"/>
      <c r="V2" s="60"/>
      <c r="W2" s="59"/>
    </row>
    <row r="3" spans="1:26" ht="27.75" customHeight="1">
      <c r="A3" s="2" t="s">
        <v>100</v>
      </c>
      <c r="B3" s="76" t="s">
        <v>101</v>
      </c>
      <c r="C3" s="77"/>
      <c r="D3" s="79"/>
      <c r="E3" s="79"/>
      <c r="F3" s="79"/>
      <c r="G3" s="79"/>
      <c r="H3" s="79"/>
      <c r="I3" s="78" t="s">
        <v>102</v>
      </c>
      <c r="J3" s="79"/>
      <c r="K3" s="79"/>
      <c r="L3" s="79"/>
      <c r="M3" s="79"/>
      <c r="N3" s="79"/>
      <c r="O3" s="79"/>
      <c r="P3" s="80" t="s">
        <v>103</v>
      </c>
      <c r="Q3" s="77"/>
      <c r="R3" s="60"/>
      <c r="S3" s="60"/>
      <c r="T3" s="60"/>
      <c r="U3" s="60"/>
      <c r="V3" s="60"/>
      <c r="W3" s="59"/>
      <c r="X3" s="81" t="s">
        <v>104</v>
      </c>
      <c r="Y3" s="80" t="s">
        <v>105</v>
      </c>
      <c r="Z3" s="82" t="s">
        <v>106</v>
      </c>
    </row>
    <row r="4" spans="1:26" ht="27.75" customHeight="1">
      <c r="A4" s="83"/>
      <c r="B4" s="84" t="s">
        <v>107</v>
      </c>
      <c r="C4" s="85" t="str">
        <f>"L3 ("&amp;'INPUT SHEET'!O10&amp;" kW)"</f>
        <v>L3 (60 kW)</v>
      </c>
      <c r="D4" s="85" t="str">
        <f>"L3 ("&amp;'INPUT SHEET'!P10&amp;" kW)"</f>
        <v>L3 (120 kW)</v>
      </c>
      <c r="E4" s="85" t="str">
        <f>"L3 ("&amp;'INPUT SHEET'!Q10&amp;" kW)"</f>
        <v>L3 (160 kW)</v>
      </c>
      <c r="F4" s="85" t="str">
        <f>"L3 ("&amp;'INPUT SHEET'!R10&amp;" kW)"</f>
        <v>L3 (180 kW)</v>
      </c>
      <c r="G4" s="85" t="str">
        <f>"L3 ("&amp;'INPUT SHEET'!S10&amp;" kW)"</f>
        <v>L3 (240 kW)</v>
      </c>
      <c r="H4" s="85" t="str">
        <f>"L3 ("&amp;'INPUT SHEET'!T10&amp;" kW)"</f>
        <v>L3 (360 kW)</v>
      </c>
      <c r="I4" s="78" t="s">
        <v>13</v>
      </c>
      <c r="J4" s="78" t="str">
        <f>"L3 ("&amp;'INPUT SHEET'!O10&amp;" kW)"</f>
        <v>L3 (60 kW)</v>
      </c>
      <c r="K4" s="78" t="str">
        <f>"L3 ("&amp;'INPUT SHEET'!P10&amp;" kW)"</f>
        <v>L3 (120 kW)</v>
      </c>
      <c r="L4" s="78" t="str">
        <f>"L3 ("&amp;'INPUT SHEET'!Q10&amp;" kW)"</f>
        <v>L3 (160 kW)</v>
      </c>
      <c r="M4" s="78" t="str">
        <f>"L3 ("&amp;'INPUT SHEET'!R10&amp;" kW)"</f>
        <v>L3 (180 kW)</v>
      </c>
      <c r="N4" s="78" t="str">
        <f>"L3 ("&amp;'INPUT SHEET'!S10&amp;" kW)"</f>
        <v>L3 (240 kW)</v>
      </c>
      <c r="O4" s="78" t="str">
        <f>"L3 ("&amp;'INPUT SHEET'!T10&amp;" kW)"</f>
        <v>L3 (360 kW)</v>
      </c>
      <c r="P4" s="85" t="s">
        <v>13</v>
      </c>
      <c r="Q4" s="85" t="str">
        <f>"L3 ("&amp;'INPUT SHEET'!O10&amp;" kW)"</f>
        <v>L3 (60 kW)</v>
      </c>
      <c r="R4" s="85" t="str">
        <f>"L3 ("&amp;'INPUT SHEET'!P10&amp;" kW)"</f>
        <v>L3 (120 kW)</v>
      </c>
      <c r="S4" s="85" t="str">
        <f>"L3 ("&amp;'INPUT SHEET'!Q10&amp;" kW)"</f>
        <v>L3 (160 kW)</v>
      </c>
      <c r="T4" s="85" t="str">
        <f>"L3 ("&amp;'INPUT SHEET'!R10&amp;" kW)"</f>
        <v>L3 (180 kW)</v>
      </c>
      <c r="U4" s="85" t="str">
        <f>"L3 ("&amp;'INPUT SHEET'!S10&amp;" kW)"</f>
        <v>L3 (240 kW)</v>
      </c>
      <c r="V4" s="85" t="str">
        <f>"L3 ("&amp;'INPUT SHEET'!T10&amp;" kW)"</f>
        <v>L3 (360 kW)</v>
      </c>
      <c r="W4" s="59"/>
      <c r="X4" s="86" t="s">
        <v>13</v>
      </c>
      <c r="Y4" s="86" t="s">
        <v>13</v>
      </c>
      <c r="Z4" s="86" t="s">
        <v>13</v>
      </c>
    </row>
    <row r="5" spans="1:26" ht="15" customHeight="1">
      <c r="A5" s="1" t="s">
        <v>108</v>
      </c>
      <c r="B5" s="87">
        <f>'INPUT SHEET'!N8</f>
        <v>2</v>
      </c>
      <c r="C5" s="88">
        <f>'INPUT SHEET'!O8</f>
        <v>0</v>
      </c>
      <c r="D5" s="88">
        <f>'INPUT SHEET'!P8</f>
        <v>0</v>
      </c>
      <c r="E5" s="88">
        <f>'INPUT SHEET'!Q8</f>
        <v>0</v>
      </c>
      <c r="F5" s="88">
        <f>'INPUT SHEET'!R8</f>
        <v>0</v>
      </c>
      <c r="G5" s="88">
        <f>'INPUT SHEET'!S8</f>
        <v>4</v>
      </c>
      <c r="H5" s="88">
        <f>'INPUT SHEET'!T8</f>
        <v>0</v>
      </c>
      <c r="I5" s="88">
        <f t="shared" ref="I5:K6" si="0">B5</f>
        <v>2</v>
      </c>
      <c r="J5" s="88">
        <f t="shared" si="0"/>
        <v>0</v>
      </c>
      <c r="K5" s="88">
        <f t="shared" si="0"/>
        <v>0</v>
      </c>
      <c r="L5" s="88">
        <f t="shared" ref="L5:O6" si="1">E5</f>
        <v>0</v>
      </c>
      <c r="M5" s="88">
        <f t="shared" si="1"/>
        <v>0</v>
      </c>
      <c r="N5" s="88">
        <f t="shared" si="1"/>
        <v>4</v>
      </c>
      <c r="O5" s="88">
        <f t="shared" si="1"/>
        <v>0</v>
      </c>
      <c r="P5" s="88">
        <f t="shared" ref="P5:R6" si="2">B5</f>
        <v>2</v>
      </c>
      <c r="Q5" s="88">
        <f t="shared" si="2"/>
        <v>0</v>
      </c>
      <c r="R5" s="88">
        <f t="shared" si="2"/>
        <v>0</v>
      </c>
      <c r="S5" s="88">
        <f t="shared" ref="S5:V6" si="3">E5</f>
        <v>0</v>
      </c>
      <c r="T5" s="88">
        <f t="shared" si="3"/>
        <v>0</v>
      </c>
      <c r="U5" s="88">
        <f t="shared" si="3"/>
        <v>4</v>
      </c>
      <c r="V5" s="88">
        <f t="shared" si="3"/>
        <v>0</v>
      </c>
      <c r="W5" s="59"/>
      <c r="X5" s="87">
        <f>B5</f>
        <v>2</v>
      </c>
      <c r="Y5" s="87">
        <f>B5</f>
        <v>2</v>
      </c>
      <c r="Z5" s="87">
        <f>B5</f>
        <v>2</v>
      </c>
    </row>
    <row r="6" spans="1:26" ht="15" customHeight="1">
      <c r="A6" s="1" t="s">
        <v>109</v>
      </c>
      <c r="B6" s="87">
        <f>'INPUT SHEET'!N9</f>
        <v>4</v>
      </c>
      <c r="C6" s="88">
        <f>'INPUT SHEET'!O9</f>
        <v>0</v>
      </c>
      <c r="D6" s="88">
        <f>'INPUT SHEET'!P9</f>
        <v>0</v>
      </c>
      <c r="E6" s="88">
        <f>'INPUT SHEET'!Q9</f>
        <v>0</v>
      </c>
      <c r="F6" s="88">
        <f>'INPUT SHEET'!R9</f>
        <v>0</v>
      </c>
      <c r="G6" s="88">
        <f>'INPUT SHEET'!S9</f>
        <v>4</v>
      </c>
      <c r="H6" s="88">
        <f>'INPUT SHEET'!T9</f>
        <v>0</v>
      </c>
      <c r="I6" s="88">
        <f t="shared" si="0"/>
        <v>4</v>
      </c>
      <c r="J6" s="88">
        <f t="shared" si="0"/>
        <v>0</v>
      </c>
      <c r="K6" s="88">
        <f t="shared" si="0"/>
        <v>0</v>
      </c>
      <c r="L6" s="88">
        <f t="shared" si="1"/>
        <v>0</v>
      </c>
      <c r="M6" s="88">
        <f t="shared" si="1"/>
        <v>0</v>
      </c>
      <c r="N6" s="88">
        <f t="shared" si="1"/>
        <v>4</v>
      </c>
      <c r="O6" s="88">
        <f t="shared" si="1"/>
        <v>0</v>
      </c>
      <c r="P6" s="88">
        <f t="shared" si="2"/>
        <v>4</v>
      </c>
      <c r="Q6" s="88">
        <f t="shared" si="2"/>
        <v>0</v>
      </c>
      <c r="R6" s="88">
        <f t="shared" si="2"/>
        <v>0</v>
      </c>
      <c r="S6" s="88">
        <f t="shared" si="3"/>
        <v>0</v>
      </c>
      <c r="T6" s="88">
        <f t="shared" si="3"/>
        <v>0</v>
      </c>
      <c r="U6" s="88">
        <f t="shared" si="3"/>
        <v>4</v>
      </c>
      <c r="V6" s="88">
        <f t="shared" si="3"/>
        <v>0</v>
      </c>
      <c r="W6" s="59"/>
      <c r="X6" s="87">
        <f>B6</f>
        <v>4</v>
      </c>
      <c r="Y6" s="87">
        <f>B6</f>
        <v>4</v>
      </c>
      <c r="Z6" s="87">
        <f>B6</f>
        <v>4</v>
      </c>
    </row>
    <row r="7" spans="1:26" ht="15" customHeight="1">
      <c r="A7" s="1" t="s">
        <v>110</v>
      </c>
      <c r="B7" s="87">
        <v>12</v>
      </c>
      <c r="C7" s="88">
        <v>12</v>
      </c>
      <c r="D7" s="88">
        <v>12</v>
      </c>
      <c r="E7" s="88">
        <v>12</v>
      </c>
      <c r="F7" s="88">
        <v>12</v>
      </c>
      <c r="G7" s="88">
        <v>12</v>
      </c>
      <c r="H7" s="88">
        <v>12</v>
      </c>
      <c r="I7" s="88">
        <v>12</v>
      </c>
      <c r="J7" s="88">
        <v>12</v>
      </c>
      <c r="K7" s="88">
        <v>12</v>
      </c>
      <c r="L7" s="88">
        <v>12</v>
      </c>
      <c r="M7" s="88">
        <v>12</v>
      </c>
      <c r="N7" s="88">
        <v>12</v>
      </c>
      <c r="O7" s="88">
        <v>12</v>
      </c>
      <c r="P7" s="88">
        <v>12</v>
      </c>
      <c r="Q7" s="88">
        <v>12</v>
      </c>
      <c r="R7" s="88">
        <v>12</v>
      </c>
      <c r="S7" s="88">
        <v>12</v>
      </c>
      <c r="T7" s="88">
        <v>12</v>
      </c>
      <c r="U7" s="88">
        <v>12</v>
      </c>
      <c r="V7" s="88">
        <v>12</v>
      </c>
      <c r="W7" s="59"/>
      <c r="X7" s="87">
        <v>12</v>
      </c>
      <c r="Y7" s="87">
        <v>12</v>
      </c>
      <c r="Z7" s="87">
        <v>12</v>
      </c>
    </row>
    <row r="8" spans="1:26" ht="15" customHeight="1">
      <c r="A8" s="89" t="s">
        <v>111</v>
      </c>
      <c r="B8" s="90">
        <v>0.2</v>
      </c>
      <c r="C8" s="91">
        <v>0.2</v>
      </c>
      <c r="D8" s="91">
        <v>0.2</v>
      </c>
      <c r="E8" s="91">
        <v>0.2</v>
      </c>
      <c r="F8" s="91">
        <v>0.2</v>
      </c>
      <c r="G8" s="91">
        <v>0.2</v>
      </c>
      <c r="H8" s="91">
        <v>0.2</v>
      </c>
      <c r="I8" s="91">
        <f t="shared" ref="I8:Z8" si="4">I20</f>
        <v>0.45</v>
      </c>
      <c r="J8" s="91">
        <f t="shared" si="4"/>
        <v>0.5</v>
      </c>
      <c r="K8" s="91">
        <f t="shared" ref="K8:O8" si="5">K20</f>
        <v>0.5</v>
      </c>
      <c r="L8" s="91">
        <f t="shared" si="5"/>
        <v>0.5</v>
      </c>
      <c r="M8" s="91">
        <f t="shared" si="5"/>
        <v>0.5</v>
      </c>
      <c r="N8" s="91">
        <f t="shared" si="5"/>
        <v>0.5</v>
      </c>
      <c r="O8" s="91">
        <f t="shared" si="5"/>
        <v>0.5</v>
      </c>
      <c r="P8" s="91">
        <f t="shared" si="4"/>
        <v>0.6</v>
      </c>
      <c r="Q8" s="91">
        <f t="shared" si="4"/>
        <v>0.7</v>
      </c>
      <c r="R8" s="91">
        <f t="shared" ref="R8:V8" si="6">R20</f>
        <v>0.7</v>
      </c>
      <c r="S8" s="91">
        <f t="shared" si="6"/>
        <v>0.7</v>
      </c>
      <c r="T8" s="91">
        <f t="shared" si="6"/>
        <v>0.7</v>
      </c>
      <c r="U8" s="91">
        <f t="shared" si="6"/>
        <v>0.7</v>
      </c>
      <c r="V8" s="91">
        <f t="shared" si="6"/>
        <v>0.7</v>
      </c>
      <c r="W8" s="92">
        <f t="shared" si="4"/>
        <v>0</v>
      </c>
      <c r="X8" s="91">
        <f t="shared" si="4"/>
        <v>0.2</v>
      </c>
      <c r="Y8" s="91">
        <f t="shared" si="4"/>
        <v>0.45</v>
      </c>
      <c r="Z8" s="91">
        <f t="shared" si="4"/>
        <v>0.6</v>
      </c>
    </row>
    <row r="9" spans="1:26" ht="15" customHeight="1">
      <c r="A9" s="1" t="s">
        <v>112</v>
      </c>
      <c r="B9" s="87">
        <f t="shared" ref="B9:Q9" si="7">B6*B8</f>
        <v>0.8</v>
      </c>
      <c r="C9" s="87">
        <f t="shared" si="7"/>
        <v>0</v>
      </c>
      <c r="D9" s="87">
        <f t="shared" ref="D9:H9" si="8">D6*D8</f>
        <v>0</v>
      </c>
      <c r="E9" s="87">
        <f t="shared" si="8"/>
        <v>0</v>
      </c>
      <c r="F9" s="87">
        <f t="shared" si="8"/>
        <v>0</v>
      </c>
      <c r="G9" s="87">
        <f t="shared" si="8"/>
        <v>0.8</v>
      </c>
      <c r="H9" s="87">
        <f t="shared" si="8"/>
        <v>0</v>
      </c>
      <c r="I9" s="87">
        <f t="shared" si="7"/>
        <v>1.8</v>
      </c>
      <c r="J9" s="87">
        <f t="shared" si="7"/>
        <v>0</v>
      </c>
      <c r="K9" s="87">
        <f t="shared" ref="K9:O9" si="9">K6*K8</f>
        <v>0</v>
      </c>
      <c r="L9" s="87">
        <f t="shared" si="9"/>
        <v>0</v>
      </c>
      <c r="M9" s="87">
        <f t="shared" si="9"/>
        <v>0</v>
      </c>
      <c r="N9" s="87">
        <f t="shared" si="9"/>
        <v>2</v>
      </c>
      <c r="O9" s="87">
        <f t="shared" si="9"/>
        <v>0</v>
      </c>
      <c r="P9" s="87">
        <f t="shared" si="7"/>
        <v>2.4</v>
      </c>
      <c r="Q9" s="87">
        <f t="shared" si="7"/>
        <v>0</v>
      </c>
      <c r="R9" s="87">
        <f t="shared" ref="R9:V9" si="10">R6*R8</f>
        <v>0</v>
      </c>
      <c r="S9" s="87">
        <f t="shared" si="10"/>
        <v>0</v>
      </c>
      <c r="T9" s="87">
        <f t="shared" si="10"/>
        <v>0</v>
      </c>
      <c r="U9" s="87">
        <f t="shared" si="10"/>
        <v>2.8</v>
      </c>
      <c r="V9" s="87">
        <f t="shared" si="10"/>
        <v>0</v>
      </c>
      <c r="W9" s="59"/>
      <c r="X9" s="87">
        <f>X6*X8</f>
        <v>0.8</v>
      </c>
      <c r="Y9" s="87">
        <f>Y6*Y8</f>
        <v>1.8</v>
      </c>
      <c r="Z9" s="87">
        <f>Z6*Z8</f>
        <v>2.4</v>
      </c>
    </row>
    <row r="10" spans="1:26" ht="15" customHeight="1">
      <c r="A10" s="89" t="s">
        <v>113</v>
      </c>
      <c r="B10" s="90">
        <f t="shared" ref="B10:Z10" si="11">B21</f>
        <v>0.5</v>
      </c>
      <c r="C10" s="90">
        <f t="shared" si="11"/>
        <v>0.5</v>
      </c>
      <c r="D10" s="90">
        <f t="shared" ref="D10:H10" si="12">D21</f>
        <v>0.5</v>
      </c>
      <c r="E10" s="90">
        <f t="shared" si="12"/>
        <v>0.5</v>
      </c>
      <c r="F10" s="90">
        <f t="shared" si="12"/>
        <v>0.5</v>
      </c>
      <c r="G10" s="90">
        <f t="shared" si="12"/>
        <v>0.5</v>
      </c>
      <c r="H10" s="90">
        <f t="shared" si="12"/>
        <v>0.5</v>
      </c>
      <c r="I10" s="90">
        <f t="shared" si="11"/>
        <v>0.75</v>
      </c>
      <c r="J10" s="90">
        <f t="shared" si="11"/>
        <v>0.75</v>
      </c>
      <c r="K10" s="90">
        <f t="shared" ref="K10:O10" si="13">K21</f>
        <v>0.75</v>
      </c>
      <c r="L10" s="90">
        <f t="shared" si="13"/>
        <v>0.75</v>
      </c>
      <c r="M10" s="90">
        <f t="shared" si="13"/>
        <v>0.75</v>
      </c>
      <c r="N10" s="90">
        <f t="shared" si="13"/>
        <v>0.75</v>
      </c>
      <c r="O10" s="90">
        <f t="shared" si="13"/>
        <v>0.75</v>
      </c>
      <c r="P10" s="90">
        <f t="shared" si="11"/>
        <v>0.85</v>
      </c>
      <c r="Q10" s="90">
        <f t="shared" si="11"/>
        <v>0.85</v>
      </c>
      <c r="R10" s="90">
        <f t="shared" ref="R10:V10" si="14">R21</f>
        <v>0.85</v>
      </c>
      <c r="S10" s="90">
        <f t="shared" si="14"/>
        <v>0.85</v>
      </c>
      <c r="T10" s="90">
        <f t="shared" si="14"/>
        <v>0.85</v>
      </c>
      <c r="U10" s="90">
        <f t="shared" si="14"/>
        <v>0.85</v>
      </c>
      <c r="V10" s="90">
        <f t="shared" si="14"/>
        <v>0.85</v>
      </c>
      <c r="W10" s="93">
        <f t="shared" si="11"/>
        <v>0</v>
      </c>
      <c r="X10" s="90">
        <f t="shared" si="11"/>
        <v>0.5</v>
      </c>
      <c r="Y10" s="90">
        <f t="shared" si="11"/>
        <v>0.75</v>
      </c>
      <c r="Z10" s="90">
        <f t="shared" si="11"/>
        <v>0.85</v>
      </c>
    </row>
    <row r="11" spans="1:26" ht="15" customHeight="1">
      <c r="A11" s="1" t="s">
        <v>114</v>
      </c>
      <c r="B11" s="87">
        <f t="shared" ref="B11:Q11" si="15">B10*B7</f>
        <v>6</v>
      </c>
      <c r="C11" s="87">
        <f t="shared" si="15"/>
        <v>6</v>
      </c>
      <c r="D11" s="87">
        <f t="shared" ref="D11:H11" si="16">D10*D7</f>
        <v>6</v>
      </c>
      <c r="E11" s="87">
        <f t="shared" si="16"/>
        <v>6</v>
      </c>
      <c r="F11" s="87">
        <f t="shared" si="16"/>
        <v>6</v>
      </c>
      <c r="G11" s="87">
        <f t="shared" si="16"/>
        <v>6</v>
      </c>
      <c r="H11" s="87">
        <f t="shared" si="16"/>
        <v>6</v>
      </c>
      <c r="I11" s="87">
        <f t="shared" si="15"/>
        <v>9</v>
      </c>
      <c r="J11" s="87">
        <f t="shared" si="15"/>
        <v>9</v>
      </c>
      <c r="K11" s="87">
        <f t="shared" ref="K11:O11" si="17">K10*K7</f>
        <v>9</v>
      </c>
      <c r="L11" s="87">
        <f t="shared" si="17"/>
        <v>9</v>
      </c>
      <c r="M11" s="87">
        <f t="shared" si="17"/>
        <v>9</v>
      </c>
      <c r="N11" s="87">
        <f t="shared" si="17"/>
        <v>9</v>
      </c>
      <c r="O11" s="87">
        <f t="shared" si="17"/>
        <v>9</v>
      </c>
      <c r="P11" s="87">
        <f t="shared" si="15"/>
        <v>10.199999999999999</v>
      </c>
      <c r="Q11" s="87">
        <f t="shared" si="15"/>
        <v>10.199999999999999</v>
      </c>
      <c r="R11" s="87">
        <f t="shared" ref="R11:V11" si="18">R10*R7</f>
        <v>10.199999999999999</v>
      </c>
      <c r="S11" s="87">
        <f t="shared" si="18"/>
        <v>10.199999999999999</v>
      </c>
      <c r="T11" s="87">
        <f t="shared" si="18"/>
        <v>10.199999999999999</v>
      </c>
      <c r="U11" s="87">
        <f t="shared" si="18"/>
        <v>10.199999999999999</v>
      </c>
      <c r="V11" s="87">
        <f t="shared" si="18"/>
        <v>10.199999999999999</v>
      </c>
      <c r="W11" s="87"/>
      <c r="X11" s="87">
        <f>X10*X7</f>
        <v>6</v>
      </c>
      <c r="Y11" s="87">
        <f>Y10*Y7</f>
        <v>9</v>
      </c>
      <c r="Z11" s="87">
        <f>Z10*Z7</f>
        <v>10.199999999999999</v>
      </c>
    </row>
    <row r="12" spans="1:26" ht="15" customHeight="1">
      <c r="A12" s="1" t="s">
        <v>115</v>
      </c>
      <c r="B12" s="94">
        <f>'INPUT SHEET'!N10*'INPUT SHEET'!$N$11</f>
        <v>7.056</v>
      </c>
      <c r="C12" s="95">
        <f>'INPUT SHEET'!O10*'INPUT SHEET'!$N$11</f>
        <v>58.8</v>
      </c>
      <c r="D12" s="95">
        <f>'INPUT SHEET'!P10*'INPUT SHEET'!$N$11</f>
        <v>117.6</v>
      </c>
      <c r="E12" s="95">
        <f>'INPUT SHEET'!Q10*'INPUT SHEET'!$N$11</f>
        <v>156.80000000000001</v>
      </c>
      <c r="F12" s="95">
        <f>'INPUT SHEET'!R10*'INPUT SHEET'!$N$11</f>
        <v>176.4</v>
      </c>
      <c r="G12" s="95">
        <f>'INPUT SHEET'!S10*'INPUT SHEET'!$N$11</f>
        <v>235.2</v>
      </c>
      <c r="H12" s="95">
        <f>'INPUT SHEET'!T10*'INPUT SHEET'!$N$11</f>
        <v>352.8</v>
      </c>
      <c r="I12" s="95">
        <f>B12</f>
        <v>7.056</v>
      </c>
      <c r="J12" s="95">
        <f>C12</f>
        <v>58.8</v>
      </c>
      <c r="K12" s="95">
        <f>D12</f>
        <v>117.6</v>
      </c>
      <c r="L12" s="95">
        <f t="shared" ref="L12:O12" si="19">E12</f>
        <v>156.80000000000001</v>
      </c>
      <c r="M12" s="95">
        <f t="shared" si="19"/>
        <v>176.4</v>
      </c>
      <c r="N12" s="95">
        <f t="shared" si="19"/>
        <v>235.2</v>
      </c>
      <c r="O12" s="95">
        <f t="shared" si="19"/>
        <v>352.8</v>
      </c>
      <c r="P12" s="95">
        <f>B12</f>
        <v>7.056</v>
      </c>
      <c r="Q12" s="95">
        <f>C12</f>
        <v>58.8</v>
      </c>
      <c r="R12" s="95">
        <f>D12</f>
        <v>117.6</v>
      </c>
      <c r="S12" s="95">
        <f t="shared" ref="S12:V12" si="20">E12</f>
        <v>156.80000000000001</v>
      </c>
      <c r="T12" s="95">
        <f t="shared" si="20"/>
        <v>176.4</v>
      </c>
      <c r="U12" s="95">
        <f t="shared" si="20"/>
        <v>235.2</v>
      </c>
      <c r="V12" s="95">
        <f t="shared" si="20"/>
        <v>352.8</v>
      </c>
      <c r="W12" s="59"/>
      <c r="X12" s="94">
        <f>B12</f>
        <v>7.056</v>
      </c>
      <c r="Y12" s="94">
        <f>B12</f>
        <v>7.056</v>
      </c>
      <c r="Z12" s="94">
        <f>B12</f>
        <v>7.056</v>
      </c>
    </row>
    <row r="13" spans="1:26" ht="15" customHeight="1">
      <c r="A13" s="96" t="s">
        <v>116</v>
      </c>
      <c r="B13" s="97">
        <v>0.65</v>
      </c>
      <c r="C13" s="98">
        <f>B13</f>
        <v>0.65</v>
      </c>
      <c r="D13" s="98">
        <f>C13</f>
        <v>0.65</v>
      </c>
      <c r="E13" s="98">
        <f t="shared" ref="E13:H13" si="21">D13</f>
        <v>0.65</v>
      </c>
      <c r="F13" s="98">
        <f t="shared" si="21"/>
        <v>0.65</v>
      </c>
      <c r="G13" s="98">
        <f t="shared" si="21"/>
        <v>0.65</v>
      </c>
      <c r="H13" s="98">
        <f t="shared" si="21"/>
        <v>0.65</v>
      </c>
      <c r="I13" s="98">
        <f>B13</f>
        <v>0.65</v>
      </c>
      <c r="J13" s="98">
        <f>B13</f>
        <v>0.65</v>
      </c>
      <c r="K13" s="98">
        <f>C13</f>
        <v>0.65</v>
      </c>
      <c r="L13" s="98">
        <f t="shared" ref="L13:O13" si="22">D13</f>
        <v>0.65</v>
      </c>
      <c r="M13" s="98">
        <f t="shared" si="22"/>
        <v>0.65</v>
      </c>
      <c r="N13" s="98">
        <f t="shared" si="22"/>
        <v>0.65</v>
      </c>
      <c r="O13" s="98">
        <f t="shared" si="22"/>
        <v>0.65</v>
      </c>
      <c r="P13" s="98">
        <f>B13</f>
        <v>0.65</v>
      </c>
      <c r="Q13" s="98">
        <f>B13</f>
        <v>0.65</v>
      </c>
      <c r="R13" s="98">
        <f>C13</f>
        <v>0.65</v>
      </c>
      <c r="S13" s="98">
        <f t="shared" ref="S13:V13" si="23">D13</f>
        <v>0.65</v>
      </c>
      <c r="T13" s="98">
        <f t="shared" si="23"/>
        <v>0.65</v>
      </c>
      <c r="U13" s="98">
        <f t="shared" si="23"/>
        <v>0.65</v>
      </c>
      <c r="V13" s="98">
        <f t="shared" si="23"/>
        <v>0.65</v>
      </c>
      <c r="W13" s="59"/>
      <c r="X13" s="97">
        <v>0.65</v>
      </c>
      <c r="Y13" s="97">
        <f>X13</f>
        <v>0.65</v>
      </c>
      <c r="Z13" s="97">
        <f>X13</f>
        <v>0.65</v>
      </c>
    </row>
    <row r="14" spans="1:26" ht="15" customHeight="1">
      <c r="A14" s="1" t="s">
        <v>117</v>
      </c>
      <c r="B14" s="99">
        <f t="shared" ref="B14:Q14" si="24">B13*B12*B9*B11</f>
        <v>22.014720000000004</v>
      </c>
      <c r="C14" s="99">
        <f t="shared" si="24"/>
        <v>0</v>
      </c>
      <c r="D14" s="99">
        <f t="shared" ref="D14:H14" si="25">D13*D12*D9*D11</f>
        <v>0</v>
      </c>
      <c r="E14" s="99">
        <f t="shared" si="25"/>
        <v>0</v>
      </c>
      <c r="F14" s="99">
        <f t="shared" si="25"/>
        <v>0</v>
      </c>
      <c r="G14" s="99">
        <f t="shared" si="25"/>
        <v>733.82400000000007</v>
      </c>
      <c r="H14" s="99">
        <f t="shared" si="25"/>
        <v>0</v>
      </c>
      <c r="I14" s="99">
        <f t="shared" si="24"/>
        <v>74.299680000000009</v>
      </c>
      <c r="J14" s="99">
        <f t="shared" si="24"/>
        <v>0</v>
      </c>
      <c r="K14" s="99">
        <f t="shared" ref="K14:O14" si="26">K13*K12*K9*K11</f>
        <v>0</v>
      </c>
      <c r="L14" s="99">
        <f t="shared" si="26"/>
        <v>0</v>
      </c>
      <c r="M14" s="99">
        <f t="shared" si="26"/>
        <v>0</v>
      </c>
      <c r="N14" s="99">
        <f t="shared" si="26"/>
        <v>2751.84</v>
      </c>
      <c r="O14" s="99">
        <f t="shared" si="26"/>
        <v>0</v>
      </c>
      <c r="P14" s="99">
        <f t="shared" si="24"/>
        <v>112.27507199999999</v>
      </c>
      <c r="Q14" s="99">
        <f t="shared" si="24"/>
        <v>0</v>
      </c>
      <c r="R14" s="99">
        <f t="shared" ref="R14:V14" si="27">R13*R12*R9*R11</f>
        <v>0</v>
      </c>
      <c r="S14" s="99">
        <f t="shared" si="27"/>
        <v>0</v>
      </c>
      <c r="T14" s="99">
        <f t="shared" si="27"/>
        <v>0</v>
      </c>
      <c r="U14" s="99">
        <f t="shared" si="27"/>
        <v>4366.2527999999993</v>
      </c>
      <c r="V14" s="99">
        <f t="shared" si="27"/>
        <v>0</v>
      </c>
      <c r="W14" s="99"/>
      <c r="X14" s="99">
        <f>X13*X12*X9*X11</f>
        <v>22.014720000000004</v>
      </c>
      <c r="Y14" s="99">
        <f>Y13*Y12*Y9*Y11</f>
        <v>74.299680000000009</v>
      </c>
      <c r="Z14" s="99">
        <f>Z13*Z12*Z9*Z11</f>
        <v>112.27507199999999</v>
      </c>
    </row>
    <row r="15" spans="1:26" ht="15" customHeight="1">
      <c r="A15" s="1" t="s">
        <v>118</v>
      </c>
      <c r="B15" s="99">
        <f t="shared" ref="B15:Q15" si="28">B14*30</f>
        <v>660.44160000000011</v>
      </c>
      <c r="C15" s="99">
        <f t="shared" si="28"/>
        <v>0</v>
      </c>
      <c r="D15" s="99">
        <f t="shared" ref="D15:H15" si="29">D14*30</f>
        <v>0</v>
      </c>
      <c r="E15" s="99">
        <f t="shared" si="29"/>
        <v>0</v>
      </c>
      <c r="F15" s="99">
        <f t="shared" si="29"/>
        <v>0</v>
      </c>
      <c r="G15" s="99">
        <f t="shared" si="29"/>
        <v>22014.720000000001</v>
      </c>
      <c r="H15" s="99">
        <f t="shared" si="29"/>
        <v>0</v>
      </c>
      <c r="I15" s="99">
        <f t="shared" si="28"/>
        <v>2228.9904000000001</v>
      </c>
      <c r="J15" s="99">
        <f t="shared" si="28"/>
        <v>0</v>
      </c>
      <c r="K15" s="99">
        <f t="shared" ref="K15:O15" si="30">K14*30</f>
        <v>0</v>
      </c>
      <c r="L15" s="99">
        <f t="shared" si="30"/>
        <v>0</v>
      </c>
      <c r="M15" s="99">
        <f t="shared" si="30"/>
        <v>0</v>
      </c>
      <c r="N15" s="99">
        <f t="shared" si="30"/>
        <v>82555.200000000012</v>
      </c>
      <c r="O15" s="99">
        <f t="shared" si="30"/>
        <v>0</v>
      </c>
      <c r="P15" s="99">
        <f t="shared" si="28"/>
        <v>3368.25216</v>
      </c>
      <c r="Q15" s="99">
        <f t="shared" si="28"/>
        <v>0</v>
      </c>
      <c r="R15" s="99">
        <f t="shared" ref="R15:V15" si="31">R14*30</f>
        <v>0</v>
      </c>
      <c r="S15" s="99">
        <f t="shared" si="31"/>
        <v>0</v>
      </c>
      <c r="T15" s="99">
        <f t="shared" si="31"/>
        <v>0</v>
      </c>
      <c r="U15" s="99">
        <f t="shared" si="31"/>
        <v>130987.58399999997</v>
      </c>
      <c r="V15" s="99">
        <f t="shared" si="31"/>
        <v>0</v>
      </c>
      <c r="W15" s="99"/>
      <c r="X15" s="99">
        <f>X14*30</f>
        <v>660.44160000000011</v>
      </c>
      <c r="Y15" s="99">
        <f>Y14*30</f>
        <v>2228.9904000000001</v>
      </c>
      <c r="Z15" s="99">
        <f>Z14*30</f>
        <v>3368.25216</v>
      </c>
    </row>
    <row r="16" spans="1:26" ht="15" customHeight="1">
      <c r="A16" s="100" t="s">
        <v>119</v>
      </c>
      <c r="B16" s="101">
        <f t="shared" ref="B16:Q16" si="32">B9*B11*B12</f>
        <v>33.868800000000007</v>
      </c>
      <c r="C16" s="101">
        <f t="shared" si="32"/>
        <v>0</v>
      </c>
      <c r="D16" s="101">
        <f t="shared" ref="D16:H16" si="33">D9*D11*D12</f>
        <v>0</v>
      </c>
      <c r="E16" s="101">
        <f t="shared" si="33"/>
        <v>0</v>
      </c>
      <c r="F16" s="101">
        <f t="shared" si="33"/>
        <v>0</v>
      </c>
      <c r="G16" s="101">
        <f t="shared" si="33"/>
        <v>1128.96</v>
      </c>
      <c r="H16" s="101">
        <f t="shared" si="33"/>
        <v>0</v>
      </c>
      <c r="I16" s="101">
        <f t="shared" si="32"/>
        <v>114.30719999999999</v>
      </c>
      <c r="J16" s="101">
        <f t="shared" si="32"/>
        <v>0</v>
      </c>
      <c r="K16" s="101">
        <f t="shared" ref="K16:O16" si="34">K9*K11*K12</f>
        <v>0</v>
      </c>
      <c r="L16" s="101">
        <f t="shared" si="34"/>
        <v>0</v>
      </c>
      <c r="M16" s="101">
        <f t="shared" si="34"/>
        <v>0</v>
      </c>
      <c r="N16" s="101">
        <f t="shared" si="34"/>
        <v>4233.5999999999995</v>
      </c>
      <c r="O16" s="101">
        <f t="shared" si="34"/>
        <v>0</v>
      </c>
      <c r="P16" s="101">
        <f t="shared" si="32"/>
        <v>172.73087999999998</v>
      </c>
      <c r="Q16" s="101">
        <f t="shared" si="32"/>
        <v>0</v>
      </c>
      <c r="R16" s="101">
        <f t="shared" ref="R16:V16" si="35">R9*R11*R12</f>
        <v>0</v>
      </c>
      <c r="S16" s="101">
        <f t="shared" si="35"/>
        <v>0</v>
      </c>
      <c r="T16" s="101">
        <f t="shared" si="35"/>
        <v>0</v>
      </c>
      <c r="U16" s="101">
        <f t="shared" si="35"/>
        <v>6717.311999999999</v>
      </c>
      <c r="V16" s="101">
        <f t="shared" si="35"/>
        <v>0</v>
      </c>
      <c r="W16" s="101"/>
      <c r="X16" s="101">
        <f>X9*X11*X12</f>
        <v>33.868800000000007</v>
      </c>
      <c r="Y16" s="101">
        <f>Y9*Y11*Y12</f>
        <v>114.30719999999999</v>
      </c>
      <c r="Z16" s="101">
        <f>Z9*Z11*Z12</f>
        <v>172.73087999999998</v>
      </c>
    </row>
    <row r="17" spans="1:26" ht="15" customHeight="1">
      <c r="A17" s="102" t="s">
        <v>120</v>
      </c>
      <c r="B17" s="103">
        <v>0.4</v>
      </c>
      <c r="C17" s="103">
        <f>B17</f>
        <v>0.4</v>
      </c>
      <c r="D17" s="103">
        <f>C17</f>
        <v>0.4</v>
      </c>
      <c r="E17" s="103">
        <f t="shared" ref="E17:H17" si="36">D17</f>
        <v>0.4</v>
      </c>
      <c r="F17" s="103">
        <f t="shared" si="36"/>
        <v>0.4</v>
      </c>
      <c r="G17" s="103">
        <f t="shared" si="36"/>
        <v>0.4</v>
      </c>
      <c r="H17" s="103">
        <f t="shared" si="36"/>
        <v>0.4</v>
      </c>
      <c r="I17" s="103">
        <f>B17</f>
        <v>0.4</v>
      </c>
      <c r="J17" s="103">
        <f>B17</f>
        <v>0.4</v>
      </c>
      <c r="K17" s="103">
        <f>C17</f>
        <v>0.4</v>
      </c>
      <c r="L17" s="103">
        <f t="shared" ref="L17:O17" si="37">D17</f>
        <v>0.4</v>
      </c>
      <c r="M17" s="103">
        <f t="shared" si="37"/>
        <v>0.4</v>
      </c>
      <c r="N17" s="103">
        <f t="shared" si="37"/>
        <v>0.4</v>
      </c>
      <c r="O17" s="103">
        <f t="shared" si="37"/>
        <v>0.4</v>
      </c>
      <c r="P17" s="103">
        <f>B17</f>
        <v>0.4</v>
      </c>
      <c r="Q17" s="103">
        <f>B17</f>
        <v>0.4</v>
      </c>
      <c r="R17" s="103">
        <f>C17</f>
        <v>0.4</v>
      </c>
      <c r="S17" s="103">
        <f t="shared" ref="S17:V17" si="38">D17</f>
        <v>0.4</v>
      </c>
      <c r="T17" s="103">
        <f t="shared" si="38"/>
        <v>0.4</v>
      </c>
      <c r="U17" s="103">
        <f t="shared" si="38"/>
        <v>0.4</v>
      </c>
      <c r="V17" s="103">
        <f t="shared" si="38"/>
        <v>0.4</v>
      </c>
      <c r="W17" s="59"/>
      <c r="X17" s="103">
        <v>0.25</v>
      </c>
      <c r="Y17" s="103">
        <f>X17</f>
        <v>0.25</v>
      </c>
      <c r="Z17" s="103">
        <f>X17</f>
        <v>0.25</v>
      </c>
    </row>
    <row r="18" spans="1:26" ht="15" customHeight="1">
      <c r="A18" s="1" t="s">
        <v>121</v>
      </c>
      <c r="B18" s="104">
        <f t="shared" ref="B18:Q18" si="39">B15-(B16*B17*30)</f>
        <v>254.01599999999996</v>
      </c>
      <c r="C18" s="104">
        <f t="shared" si="39"/>
        <v>0</v>
      </c>
      <c r="D18" s="104">
        <f t="shared" ref="D18:H18" si="40">D15-(D16*D17*30)</f>
        <v>0</v>
      </c>
      <c r="E18" s="104">
        <f t="shared" si="40"/>
        <v>0</v>
      </c>
      <c r="F18" s="104">
        <f t="shared" si="40"/>
        <v>0</v>
      </c>
      <c r="G18" s="104">
        <f t="shared" si="40"/>
        <v>8467.1999999999989</v>
      </c>
      <c r="H18" s="104">
        <f t="shared" si="40"/>
        <v>0</v>
      </c>
      <c r="I18" s="104">
        <f t="shared" si="39"/>
        <v>857.30400000000009</v>
      </c>
      <c r="J18" s="104">
        <f t="shared" si="39"/>
        <v>0</v>
      </c>
      <c r="K18" s="104">
        <f t="shared" ref="K18:O18" si="41">K15-(K16*K17*30)</f>
        <v>0</v>
      </c>
      <c r="L18" s="104">
        <f t="shared" si="41"/>
        <v>0</v>
      </c>
      <c r="M18" s="104">
        <f t="shared" si="41"/>
        <v>0</v>
      </c>
      <c r="N18" s="104">
        <f t="shared" si="41"/>
        <v>31752.000000000015</v>
      </c>
      <c r="O18" s="104">
        <f t="shared" si="41"/>
        <v>0</v>
      </c>
      <c r="P18" s="104">
        <f t="shared" si="39"/>
        <v>1295.4816000000001</v>
      </c>
      <c r="Q18" s="104">
        <f t="shared" si="39"/>
        <v>0</v>
      </c>
      <c r="R18" s="104">
        <f t="shared" ref="R18:V18" si="42">R15-(R16*R17*30)</f>
        <v>0</v>
      </c>
      <c r="S18" s="104">
        <f t="shared" si="42"/>
        <v>0</v>
      </c>
      <c r="T18" s="104">
        <f t="shared" si="42"/>
        <v>0</v>
      </c>
      <c r="U18" s="104">
        <f t="shared" si="42"/>
        <v>50379.839999999982</v>
      </c>
      <c r="V18" s="104">
        <f t="shared" si="42"/>
        <v>0</v>
      </c>
      <c r="W18" s="99"/>
      <c r="X18" s="104">
        <f>X15-(X16*X17*30)</f>
        <v>406.42560000000003</v>
      </c>
      <c r="Y18" s="104">
        <f>Y15-(Y16*Y17*30)</f>
        <v>1371.6864</v>
      </c>
      <c r="Z18" s="104">
        <f>Z15-(Z16*Z17*30)</f>
        <v>2072.7705599999999</v>
      </c>
    </row>
    <row r="19" spans="1:26" ht="27" customHeight="1">
      <c r="A19" s="2" t="s">
        <v>122</v>
      </c>
      <c r="B19" s="105">
        <f t="shared" ref="B19:Q19" si="43">B18*12</f>
        <v>3048.1919999999996</v>
      </c>
      <c r="C19" s="105">
        <f t="shared" si="43"/>
        <v>0</v>
      </c>
      <c r="D19" s="105">
        <f t="shared" ref="D19:H19" si="44">D18*12</f>
        <v>0</v>
      </c>
      <c r="E19" s="105">
        <f t="shared" si="44"/>
        <v>0</v>
      </c>
      <c r="F19" s="105">
        <f t="shared" si="44"/>
        <v>0</v>
      </c>
      <c r="G19" s="105">
        <f t="shared" si="44"/>
        <v>101606.39999999999</v>
      </c>
      <c r="H19" s="105">
        <f t="shared" si="44"/>
        <v>0</v>
      </c>
      <c r="I19" s="105">
        <f t="shared" si="43"/>
        <v>10287.648000000001</v>
      </c>
      <c r="J19" s="105">
        <f t="shared" si="43"/>
        <v>0</v>
      </c>
      <c r="K19" s="105">
        <f t="shared" ref="K19:O19" si="45">K18*12</f>
        <v>0</v>
      </c>
      <c r="L19" s="105">
        <f t="shared" si="45"/>
        <v>0</v>
      </c>
      <c r="M19" s="105">
        <f t="shared" si="45"/>
        <v>0</v>
      </c>
      <c r="N19" s="105">
        <f t="shared" si="45"/>
        <v>381024.00000000017</v>
      </c>
      <c r="O19" s="105">
        <f t="shared" si="45"/>
        <v>0</v>
      </c>
      <c r="P19" s="105">
        <f t="shared" si="43"/>
        <v>15545.779200000001</v>
      </c>
      <c r="Q19" s="106">
        <f t="shared" si="43"/>
        <v>0</v>
      </c>
      <c r="R19" s="106">
        <f t="shared" ref="R19:V19" si="46">R18*12</f>
        <v>0</v>
      </c>
      <c r="S19" s="106">
        <f t="shared" si="46"/>
        <v>0</v>
      </c>
      <c r="T19" s="106">
        <f t="shared" si="46"/>
        <v>0</v>
      </c>
      <c r="U19" s="106">
        <f t="shared" si="46"/>
        <v>604558.07999999984</v>
      </c>
      <c r="V19" s="106">
        <f t="shared" si="46"/>
        <v>0</v>
      </c>
      <c r="W19" s="107"/>
      <c r="X19" s="108">
        <f>X18*12</f>
        <v>4877.1072000000004</v>
      </c>
      <c r="Y19" s="105">
        <f>Y18*12</f>
        <v>16460.236799999999</v>
      </c>
      <c r="Z19" s="105">
        <f>Z18*12</f>
        <v>24873.246719999999</v>
      </c>
    </row>
    <row r="20" spans="1:26" ht="47.25" customHeight="1">
      <c r="A20" s="109" t="s">
        <v>123</v>
      </c>
      <c r="B20" s="110">
        <v>0.2</v>
      </c>
      <c r="C20" s="111">
        <v>0.2</v>
      </c>
      <c r="D20" s="111">
        <v>0.2</v>
      </c>
      <c r="E20" s="111">
        <v>0.2</v>
      </c>
      <c r="F20" s="111">
        <v>0.2</v>
      </c>
      <c r="G20" s="111">
        <v>0.2</v>
      </c>
      <c r="H20" s="111">
        <v>0.2</v>
      </c>
      <c r="I20" s="111">
        <v>0.45</v>
      </c>
      <c r="J20" s="111">
        <v>0.5</v>
      </c>
      <c r="K20" s="111">
        <v>0.5</v>
      </c>
      <c r="L20" s="111">
        <v>0.5</v>
      </c>
      <c r="M20" s="111">
        <v>0.5</v>
      </c>
      <c r="N20" s="111">
        <v>0.5</v>
      </c>
      <c r="O20" s="111">
        <v>0.5</v>
      </c>
      <c r="P20" s="111">
        <v>0.6</v>
      </c>
      <c r="Q20" s="111">
        <v>0.7</v>
      </c>
      <c r="R20" s="111">
        <v>0.7</v>
      </c>
      <c r="S20" s="111">
        <v>0.7</v>
      </c>
      <c r="T20" s="111">
        <v>0.7</v>
      </c>
      <c r="U20" s="111">
        <v>0.7</v>
      </c>
      <c r="V20" s="111">
        <v>0.7</v>
      </c>
      <c r="W20" s="59"/>
      <c r="X20" s="110">
        <v>0.2</v>
      </c>
      <c r="Y20" s="110">
        <v>0.45</v>
      </c>
      <c r="Z20" s="110">
        <v>0.6</v>
      </c>
    </row>
    <row r="21" spans="1:26" ht="27.75" customHeight="1">
      <c r="A21" s="109" t="s">
        <v>124</v>
      </c>
      <c r="B21" s="110">
        <v>0.5</v>
      </c>
      <c r="C21" s="112">
        <v>0.5</v>
      </c>
      <c r="D21" s="112">
        <v>0.5</v>
      </c>
      <c r="E21" s="112">
        <v>0.5</v>
      </c>
      <c r="F21" s="112">
        <v>0.5</v>
      </c>
      <c r="G21" s="112">
        <v>0.5</v>
      </c>
      <c r="H21" s="112">
        <v>0.5</v>
      </c>
      <c r="I21" s="110">
        <v>0.75</v>
      </c>
      <c r="J21" s="111">
        <v>0.75</v>
      </c>
      <c r="K21" s="111">
        <v>0.75</v>
      </c>
      <c r="L21" s="111">
        <v>0.75</v>
      </c>
      <c r="M21" s="111">
        <v>0.75</v>
      </c>
      <c r="N21" s="111">
        <v>0.75</v>
      </c>
      <c r="O21" s="111">
        <v>0.75</v>
      </c>
      <c r="P21" s="111">
        <v>0.85</v>
      </c>
      <c r="Q21" s="111">
        <v>0.85</v>
      </c>
      <c r="R21" s="111">
        <v>0.85</v>
      </c>
      <c r="S21" s="111">
        <v>0.85</v>
      </c>
      <c r="T21" s="111">
        <v>0.85</v>
      </c>
      <c r="U21" s="111">
        <v>0.85</v>
      </c>
      <c r="V21" s="111">
        <v>0.85</v>
      </c>
      <c r="W21" s="59"/>
      <c r="X21" s="110">
        <v>0.5</v>
      </c>
      <c r="Y21" s="110">
        <v>0.75</v>
      </c>
      <c r="Z21" s="110">
        <v>0.85</v>
      </c>
    </row>
    <row r="22" spans="1:26" ht="15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41.25" customHeight="1">
      <c r="A23" s="59"/>
      <c r="B23" s="593" t="s">
        <v>125</v>
      </c>
      <c r="C23" s="593"/>
      <c r="D23" s="593"/>
      <c r="E23" s="593"/>
      <c r="F23" s="593"/>
      <c r="G23" s="593"/>
      <c r="H23" s="593"/>
      <c r="I23" s="593"/>
      <c r="J23" s="81" t="s">
        <v>126</v>
      </c>
      <c r="K23" s="81"/>
      <c r="L23" s="81"/>
      <c r="M23" s="81"/>
      <c r="N23" s="81"/>
      <c r="O23" s="81"/>
      <c r="P23" s="76" t="s">
        <v>127</v>
      </c>
      <c r="Q23" s="80" t="s">
        <v>128</v>
      </c>
      <c r="R23" s="82"/>
      <c r="S23" s="82"/>
      <c r="T23" s="82"/>
      <c r="U23" s="82"/>
      <c r="V23" s="82"/>
      <c r="W23" s="59"/>
      <c r="X23" s="59"/>
      <c r="Y23" s="59"/>
      <c r="Z23" s="59"/>
    </row>
    <row r="24" spans="1:26" ht="15" customHeight="1">
      <c r="A24" s="59"/>
      <c r="B24" s="591" t="s">
        <v>129</v>
      </c>
      <c r="C24" s="591"/>
      <c r="D24" s="591"/>
      <c r="E24" s="591"/>
      <c r="F24" s="591"/>
      <c r="G24" s="591"/>
      <c r="H24" s="591"/>
      <c r="I24" s="591"/>
      <c r="J24" s="113">
        <f>SUM(B19:H19)</f>
        <v>104654.59199999999</v>
      </c>
      <c r="K24" s="113"/>
      <c r="L24" s="113"/>
      <c r="M24" s="113"/>
      <c r="N24" s="113"/>
      <c r="O24" s="113"/>
      <c r="P24" s="113">
        <f>SUM(I19:O19)</f>
        <v>391311.64800000016</v>
      </c>
      <c r="Q24" s="113">
        <f>SUM(P19:V19)</f>
        <v>620103.85919999983</v>
      </c>
      <c r="R24" s="486"/>
      <c r="S24" s="486"/>
      <c r="T24" s="486"/>
      <c r="U24" s="486"/>
      <c r="V24" s="486"/>
      <c r="W24" s="59"/>
      <c r="X24" s="59"/>
      <c r="Y24" s="59"/>
      <c r="Z24" s="59"/>
    </row>
    <row r="25" spans="1:26" ht="15" customHeight="1">
      <c r="A25" s="59"/>
      <c r="B25" s="591" t="s">
        <v>130</v>
      </c>
      <c r="C25" s="591"/>
      <c r="D25" s="591"/>
      <c r="E25" s="591"/>
      <c r="F25" s="591"/>
      <c r="G25" s="591"/>
      <c r="H25" s="591"/>
      <c r="I25" s="591"/>
      <c r="J25" s="113">
        <f>J24*3</f>
        <v>313963.77599999995</v>
      </c>
      <c r="K25" s="113"/>
      <c r="L25" s="113"/>
      <c r="M25" s="113"/>
      <c r="N25" s="113"/>
      <c r="O25" s="113"/>
      <c r="P25" s="113">
        <f>P24*3</f>
        <v>1173934.9440000006</v>
      </c>
      <c r="Q25" s="113">
        <f>Q24*3</f>
        <v>1860311.5775999995</v>
      </c>
      <c r="R25" s="486"/>
      <c r="S25" s="486"/>
      <c r="T25" s="486"/>
      <c r="U25" s="486"/>
      <c r="V25" s="486"/>
      <c r="W25" s="59"/>
      <c r="X25" s="59"/>
      <c r="Y25" s="59"/>
      <c r="Z25" s="59"/>
    </row>
    <row r="26" spans="1:26" ht="15" customHeight="1">
      <c r="A26" s="59"/>
      <c r="B26" s="592" t="s">
        <v>131</v>
      </c>
      <c r="C26" s="592"/>
      <c r="D26" s="592"/>
      <c r="E26" s="592"/>
      <c r="F26" s="592"/>
      <c r="G26" s="592"/>
      <c r="H26" s="592"/>
      <c r="I26" s="592"/>
      <c r="J26" s="114">
        <f>J24*5</f>
        <v>523272.95999999996</v>
      </c>
      <c r="K26" s="114"/>
      <c r="L26" s="114"/>
      <c r="M26" s="114"/>
      <c r="N26" s="114"/>
      <c r="O26" s="114"/>
      <c r="P26" s="104">
        <f>P24*5</f>
        <v>1956558.2400000007</v>
      </c>
      <c r="Q26" s="114">
        <f>Q24*5</f>
        <v>3100519.2959999992</v>
      </c>
      <c r="R26" s="486"/>
      <c r="S26" s="486"/>
      <c r="T26" s="486"/>
      <c r="U26" s="486"/>
      <c r="V26" s="486"/>
      <c r="W26" s="59"/>
      <c r="X26" s="59"/>
      <c r="Y26" s="59"/>
      <c r="Z26" s="59"/>
    </row>
    <row r="27" spans="1:26" ht="1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54.75" customHeight="1">
      <c r="A28" s="59"/>
      <c r="B28" s="593" t="s">
        <v>132</v>
      </c>
      <c r="C28" s="593"/>
      <c r="D28" s="593"/>
      <c r="E28" s="593"/>
      <c r="F28" s="593"/>
      <c r="G28" s="593"/>
      <c r="H28" s="593"/>
      <c r="I28" s="593"/>
      <c r="J28" s="81" t="s">
        <v>126</v>
      </c>
      <c r="K28" s="81"/>
      <c r="L28" s="81"/>
      <c r="M28" s="81"/>
      <c r="N28" s="81"/>
      <c r="O28" s="81"/>
      <c r="P28" s="76" t="s">
        <v>127</v>
      </c>
      <c r="Q28" s="80" t="s">
        <v>128</v>
      </c>
      <c r="R28" s="82"/>
      <c r="S28" s="82"/>
      <c r="T28" s="82"/>
      <c r="U28" s="82"/>
      <c r="V28" s="82"/>
      <c r="W28" s="59"/>
      <c r="X28" s="59"/>
      <c r="Y28" s="59"/>
      <c r="Z28" s="59"/>
    </row>
    <row r="29" spans="1:26" ht="15" customHeight="1">
      <c r="A29" s="59"/>
      <c r="B29" s="591" t="s">
        <v>129</v>
      </c>
      <c r="C29" s="591"/>
      <c r="D29" s="591"/>
      <c r="E29" s="591"/>
      <c r="F29" s="591"/>
      <c r="G29" s="591"/>
      <c r="H29" s="591"/>
      <c r="I29" s="591"/>
      <c r="J29" s="113">
        <f>J24+X19</f>
        <v>109531.69919999999</v>
      </c>
      <c r="K29" s="113"/>
      <c r="L29" s="113"/>
      <c r="M29" s="113"/>
      <c r="N29" s="113"/>
      <c r="O29" s="113"/>
      <c r="P29" s="113">
        <f>P24+Y19</f>
        <v>407771.88480000017</v>
      </c>
      <c r="Q29" s="113">
        <f>Q24+Z19</f>
        <v>644977.10591999989</v>
      </c>
      <c r="R29" s="486"/>
      <c r="S29" s="486"/>
      <c r="T29" s="486"/>
      <c r="U29" s="486"/>
      <c r="V29" s="486"/>
      <c r="W29" s="59"/>
      <c r="X29" s="59"/>
      <c r="Y29" s="59"/>
      <c r="Z29" s="59"/>
    </row>
    <row r="30" spans="1:26" ht="15" customHeight="1">
      <c r="A30" s="59"/>
      <c r="B30" s="591" t="s">
        <v>130</v>
      </c>
      <c r="C30" s="591"/>
      <c r="D30" s="591"/>
      <c r="E30" s="591"/>
      <c r="F30" s="591"/>
      <c r="G30" s="591"/>
      <c r="H30" s="591"/>
      <c r="I30" s="591"/>
      <c r="J30" s="113">
        <f>J29*3</f>
        <v>328595.09759999998</v>
      </c>
      <c r="K30" s="113"/>
      <c r="L30" s="113"/>
      <c r="M30" s="113"/>
      <c r="N30" s="113"/>
      <c r="O30" s="113"/>
      <c r="P30" s="113">
        <f>P29*3</f>
        <v>1223315.6544000006</v>
      </c>
      <c r="Q30" s="113">
        <f>Q29*3</f>
        <v>1934931.3177599995</v>
      </c>
      <c r="R30" s="486"/>
      <c r="S30" s="486"/>
      <c r="T30" s="486"/>
      <c r="U30" s="486"/>
      <c r="V30" s="486"/>
      <c r="W30" s="59"/>
      <c r="X30" s="59"/>
      <c r="Y30" s="59"/>
      <c r="Z30" s="59"/>
    </row>
    <row r="31" spans="1:26" ht="15" customHeight="1">
      <c r="A31" s="59"/>
      <c r="B31" s="592" t="s">
        <v>131</v>
      </c>
      <c r="C31" s="592"/>
      <c r="D31" s="592"/>
      <c r="E31" s="592"/>
      <c r="F31" s="592"/>
      <c r="G31" s="592"/>
      <c r="H31" s="592"/>
      <c r="I31" s="592"/>
      <c r="J31" s="114">
        <f>J29*5</f>
        <v>547658.49599999993</v>
      </c>
      <c r="K31" s="114"/>
      <c r="L31" s="114"/>
      <c r="M31" s="114"/>
      <c r="N31" s="114"/>
      <c r="O31" s="114"/>
      <c r="P31" s="114">
        <f>P29*5</f>
        <v>2038859.4240000008</v>
      </c>
      <c r="Q31" s="114">
        <f>Q29*5</f>
        <v>3224885.5295999995</v>
      </c>
      <c r="R31" s="486"/>
      <c r="S31" s="486"/>
      <c r="T31" s="486"/>
      <c r="U31" s="486"/>
      <c r="V31" s="486"/>
      <c r="W31" s="59"/>
      <c r="X31" s="59"/>
      <c r="Y31" s="59"/>
      <c r="Z31" s="59"/>
    </row>
  </sheetData>
  <mergeCells count="8">
    <mergeCell ref="B29:I29"/>
    <mergeCell ref="B30:I30"/>
    <mergeCell ref="B31:I31"/>
    <mergeCell ref="B23:I23"/>
    <mergeCell ref="B24:I24"/>
    <mergeCell ref="B25:I25"/>
    <mergeCell ref="B26:I26"/>
    <mergeCell ref="B28:I2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146"/>
  <sheetViews>
    <sheetView topLeftCell="A103" zoomScale="77" zoomScaleNormal="100" workbookViewId="0">
      <selection activeCell="E143" sqref="E143"/>
    </sheetView>
  </sheetViews>
  <sheetFormatPr defaultColWidth="8.7109375" defaultRowHeight="15"/>
  <cols>
    <col min="2" max="2" width="45.85546875" customWidth="1"/>
    <col min="3" max="3" width="24" customWidth="1"/>
    <col min="4" max="4" width="70" customWidth="1"/>
    <col min="5" max="6" width="12" customWidth="1"/>
    <col min="8" max="8" width="14.140625" customWidth="1"/>
    <col min="9" max="9" width="20" customWidth="1"/>
  </cols>
  <sheetData>
    <row r="1" spans="2:10" ht="15" customHeight="1">
      <c r="B1" s="115" t="s">
        <v>761</v>
      </c>
    </row>
    <row r="2" spans="2:10" ht="15" customHeight="1">
      <c r="B2" s="116" t="s">
        <v>5</v>
      </c>
      <c r="C2" s="116" t="s">
        <v>6</v>
      </c>
      <c r="D2" s="116" t="s">
        <v>7</v>
      </c>
      <c r="E2" s="116" t="s">
        <v>8</v>
      </c>
      <c r="F2" s="116" t="s">
        <v>9</v>
      </c>
      <c r="I2" s="117" t="s">
        <v>133</v>
      </c>
      <c r="J2" t="s">
        <v>134</v>
      </c>
    </row>
    <row r="3" spans="2:10" ht="15" customHeight="1">
      <c r="B3" s="118" t="s">
        <v>135</v>
      </c>
      <c r="C3" s="119" t="s">
        <v>136</v>
      </c>
      <c r="D3" s="119" t="s">
        <v>137</v>
      </c>
      <c r="E3" s="11">
        <v>273.8</v>
      </c>
      <c r="F3" s="11">
        <v>605</v>
      </c>
      <c r="I3" s="119" t="s">
        <v>135</v>
      </c>
    </row>
    <row r="4" spans="2:10" ht="15" customHeight="1">
      <c r="B4" s="118"/>
      <c r="C4" s="119" t="s">
        <v>138</v>
      </c>
      <c r="D4" s="119" t="s">
        <v>139</v>
      </c>
      <c r="E4" s="11">
        <v>235</v>
      </c>
      <c r="F4" s="11">
        <v>605</v>
      </c>
      <c r="I4" s="119" t="s">
        <v>140</v>
      </c>
    </row>
    <row r="5" spans="2:10" ht="15" customHeight="1">
      <c r="B5" s="118"/>
      <c r="C5" s="119" t="s">
        <v>141</v>
      </c>
      <c r="D5" s="119" t="s">
        <v>142</v>
      </c>
      <c r="E5" s="11">
        <v>510.3</v>
      </c>
      <c r="F5" s="11">
        <v>1402.5</v>
      </c>
      <c r="I5" s="119" t="s">
        <v>143</v>
      </c>
    </row>
    <row r="6" spans="2:10" ht="15" customHeight="1">
      <c r="B6" s="118"/>
      <c r="C6" s="119" t="s">
        <v>144</v>
      </c>
      <c r="D6" s="119" t="s">
        <v>145</v>
      </c>
      <c r="E6" s="11">
        <v>510.3</v>
      </c>
      <c r="F6" s="11">
        <v>1402.5</v>
      </c>
      <c r="I6" s="119" t="s">
        <v>146</v>
      </c>
    </row>
    <row r="7" spans="2:10" ht="15" customHeight="1">
      <c r="B7" s="118"/>
      <c r="C7" s="119" t="s">
        <v>147</v>
      </c>
      <c r="D7" s="119" t="s">
        <v>148</v>
      </c>
      <c r="E7" s="11">
        <v>640</v>
      </c>
      <c r="F7" s="11">
        <v>1650</v>
      </c>
      <c r="I7" s="119" t="s">
        <v>149</v>
      </c>
    </row>
    <row r="8" spans="2:10" ht="15" customHeight="1">
      <c r="B8" s="118"/>
      <c r="C8" s="119" t="s">
        <v>150</v>
      </c>
      <c r="D8" s="119" t="s">
        <v>151</v>
      </c>
      <c r="E8" s="11">
        <v>760.78</v>
      </c>
      <c r="F8" s="11">
        <v>1952.5</v>
      </c>
      <c r="I8" s="119" t="s">
        <v>152</v>
      </c>
    </row>
    <row r="9" spans="2:10" ht="15" customHeight="1">
      <c r="B9" s="118"/>
      <c r="C9" s="119" t="s">
        <v>153</v>
      </c>
      <c r="D9" s="119" t="s">
        <v>154</v>
      </c>
      <c r="E9" s="11">
        <v>828.95</v>
      </c>
      <c r="F9" s="11">
        <v>2194.5</v>
      </c>
      <c r="I9" s="119" t="s">
        <v>155</v>
      </c>
    </row>
    <row r="10" spans="2:10" ht="15" customHeight="1">
      <c r="B10" s="118"/>
      <c r="C10" s="119" t="s">
        <v>156</v>
      </c>
      <c r="D10" s="119" t="s">
        <v>148</v>
      </c>
      <c r="E10" s="11">
        <v>595.35</v>
      </c>
      <c r="F10" s="11">
        <v>2255</v>
      </c>
      <c r="I10" s="119" t="s">
        <v>157</v>
      </c>
    </row>
    <row r="11" spans="2:10" ht="15" customHeight="1">
      <c r="B11" s="118"/>
      <c r="C11" s="119" t="s">
        <v>158</v>
      </c>
      <c r="D11" s="119" t="s">
        <v>151</v>
      </c>
      <c r="E11" s="11">
        <v>828.12</v>
      </c>
      <c r="F11" s="11">
        <v>2530</v>
      </c>
      <c r="I11" s="119" t="s">
        <v>159</v>
      </c>
    </row>
    <row r="12" spans="2:10" ht="15" customHeight="1">
      <c r="B12" s="118"/>
      <c r="C12" s="119" t="s">
        <v>160</v>
      </c>
      <c r="D12" s="119" t="s">
        <v>154</v>
      </c>
      <c r="E12" s="11">
        <v>1043.95</v>
      </c>
      <c r="F12" s="11">
        <v>2805</v>
      </c>
      <c r="I12" s="119" t="s">
        <v>161</v>
      </c>
    </row>
    <row r="13" spans="2:10" ht="15" customHeight="1">
      <c r="B13" s="118" t="s">
        <v>140</v>
      </c>
      <c r="C13" s="119" t="s">
        <v>162</v>
      </c>
      <c r="D13" s="119" t="s">
        <v>163</v>
      </c>
      <c r="E13" s="11">
        <v>3600</v>
      </c>
      <c r="F13" s="11">
        <v>13750</v>
      </c>
      <c r="I13" s="119" t="s">
        <v>164</v>
      </c>
    </row>
    <row r="14" spans="2:10" ht="15" customHeight="1">
      <c r="B14" s="118"/>
      <c r="C14" s="119" t="s">
        <v>165</v>
      </c>
      <c r="D14" s="119" t="s">
        <v>166</v>
      </c>
      <c r="E14" s="11">
        <v>3600</v>
      </c>
      <c r="F14" s="11">
        <v>13750</v>
      </c>
      <c r="I14" s="119" t="s">
        <v>167</v>
      </c>
    </row>
    <row r="15" spans="2:10" ht="15" customHeight="1">
      <c r="B15" s="118" t="s">
        <v>143</v>
      </c>
      <c r="C15" s="119" t="s">
        <v>168</v>
      </c>
      <c r="D15" s="119" t="s">
        <v>169</v>
      </c>
      <c r="E15" s="11">
        <v>8100</v>
      </c>
      <c r="F15" s="11">
        <v>28500</v>
      </c>
      <c r="I15" s="119" t="s">
        <v>170</v>
      </c>
    </row>
    <row r="16" spans="2:10" ht="15" customHeight="1">
      <c r="B16" s="118"/>
      <c r="C16" s="119" t="s">
        <v>171</v>
      </c>
      <c r="D16" s="119" t="s">
        <v>172</v>
      </c>
      <c r="E16" s="11">
        <v>8100</v>
      </c>
      <c r="F16" s="11">
        <v>28500</v>
      </c>
      <c r="I16" s="119" t="s">
        <v>173</v>
      </c>
    </row>
    <row r="17" spans="2:6" ht="15" customHeight="1">
      <c r="B17" s="118"/>
      <c r="C17" s="119" t="s">
        <v>174</v>
      </c>
      <c r="D17" s="119" t="s">
        <v>175</v>
      </c>
      <c r="E17" s="11">
        <v>8100</v>
      </c>
      <c r="F17" s="11">
        <v>28500</v>
      </c>
    </row>
    <row r="18" spans="2:6" ht="15" customHeight="1">
      <c r="B18" s="118"/>
      <c r="C18" s="119" t="s">
        <v>176</v>
      </c>
      <c r="D18" s="119" t="s">
        <v>177</v>
      </c>
      <c r="E18" s="11">
        <v>8100</v>
      </c>
      <c r="F18" s="11">
        <v>28500</v>
      </c>
    </row>
    <row r="19" spans="2:6" ht="15" customHeight="1">
      <c r="B19" s="118"/>
      <c r="C19" s="119" t="s">
        <v>178</v>
      </c>
      <c r="D19" s="119" t="s">
        <v>179</v>
      </c>
      <c r="E19" s="11">
        <v>14145</v>
      </c>
      <c r="F19" s="11">
        <v>31350</v>
      </c>
    </row>
    <row r="20" spans="2:6" ht="15" customHeight="1">
      <c r="B20" s="118"/>
      <c r="C20" s="119" t="s">
        <v>180</v>
      </c>
      <c r="D20" s="119" t="s">
        <v>181</v>
      </c>
      <c r="E20" s="11">
        <v>14145</v>
      </c>
      <c r="F20" s="11">
        <v>31350</v>
      </c>
    </row>
    <row r="21" spans="2:6" ht="15" customHeight="1">
      <c r="B21" s="118"/>
      <c r="C21" s="119" t="s">
        <v>182</v>
      </c>
      <c r="D21" s="119" t="s">
        <v>183</v>
      </c>
      <c r="E21" s="11">
        <v>14145</v>
      </c>
      <c r="F21" s="11">
        <v>31350</v>
      </c>
    </row>
    <row r="22" spans="2:6" ht="15" customHeight="1">
      <c r="B22" s="118" t="s">
        <v>146</v>
      </c>
      <c r="C22" s="119" t="s">
        <v>184</v>
      </c>
      <c r="D22" s="119" t="s">
        <v>185</v>
      </c>
      <c r="E22" s="11">
        <v>12588</v>
      </c>
      <c r="F22" s="11">
        <v>54000</v>
      </c>
    </row>
    <row r="23" spans="2:6" ht="15" customHeight="1">
      <c r="B23" s="118"/>
      <c r="C23" s="119" t="s">
        <v>186</v>
      </c>
      <c r="D23" s="119" t="s">
        <v>187</v>
      </c>
      <c r="E23" s="11">
        <v>12588</v>
      </c>
      <c r="F23" s="11">
        <v>54000</v>
      </c>
    </row>
    <row r="24" spans="2:6" ht="15" customHeight="1">
      <c r="B24" s="118"/>
      <c r="C24" s="119" t="s">
        <v>188</v>
      </c>
      <c r="D24" s="119" t="s">
        <v>189</v>
      </c>
      <c r="E24" s="11">
        <v>12588</v>
      </c>
      <c r="F24" s="11">
        <v>54000</v>
      </c>
    </row>
    <row r="25" spans="2:6" ht="15" customHeight="1">
      <c r="B25" s="118"/>
      <c r="C25" s="119" t="s">
        <v>190</v>
      </c>
      <c r="D25" s="119" t="s">
        <v>191</v>
      </c>
      <c r="E25" s="11">
        <v>12588</v>
      </c>
      <c r="F25" s="11">
        <v>54000</v>
      </c>
    </row>
    <row r="26" spans="2:6" ht="15" customHeight="1">
      <c r="B26" s="118"/>
      <c r="C26" s="119" t="s">
        <v>192</v>
      </c>
      <c r="D26" s="119" t="s">
        <v>193</v>
      </c>
      <c r="E26" s="11">
        <v>15950</v>
      </c>
      <c r="F26" s="11">
        <v>59400</v>
      </c>
    </row>
    <row r="27" spans="2:6" ht="15" customHeight="1">
      <c r="B27" s="118"/>
      <c r="C27" s="119" t="s">
        <v>194</v>
      </c>
      <c r="D27" s="119" t="s">
        <v>195</v>
      </c>
      <c r="E27" s="11">
        <v>15950</v>
      </c>
      <c r="F27" s="11">
        <v>59400</v>
      </c>
    </row>
    <row r="28" spans="2:6" ht="15" customHeight="1">
      <c r="B28" s="118"/>
      <c r="C28" s="119" t="s">
        <v>196</v>
      </c>
      <c r="D28" s="119" t="s">
        <v>197</v>
      </c>
      <c r="E28" s="11">
        <v>15950</v>
      </c>
      <c r="F28" s="11">
        <v>59400</v>
      </c>
    </row>
    <row r="29" spans="2:6" ht="15" customHeight="1">
      <c r="B29" s="118"/>
      <c r="C29" s="119" t="s">
        <v>198</v>
      </c>
      <c r="D29" s="119" t="s">
        <v>199</v>
      </c>
      <c r="E29" s="11">
        <v>15950</v>
      </c>
      <c r="F29" s="11">
        <v>59400</v>
      </c>
    </row>
    <row r="30" spans="2:6" ht="15" customHeight="1">
      <c r="B30" s="118"/>
      <c r="C30" s="119" t="s">
        <v>200</v>
      </c>
      <c r="D30" s="119" t="s">
        <v>201</v>
      </c>
      <c r="E30" s="11">
        <v>15950</v>
      </c>
      <c r="F30" s="11">
        <v>59400</v>
      </c>
    </row>
    <row r="31" spans="2:6" ht="15" customHeight="1">
      <c r="B31" s="118" t="s">
        <v>149</v>
      </c>
      <c r="C31" s="119" t="s">
        <v>202</v>
      </c>
      <c r="D31" s="119" t="s">
        <v>203</v>
      </c>
      <c r="E31" s="11"/>
      <c r="F31" s="11">
        <v>57000</v>
      </c>
    </row>
    <row r="32" spans="2:6" ht="15" customHeight="1">
      <c r="B32" s="118"/>
      <c r="C32" s="119" t="s">
        <v>204</v>
      </c>
      <c r="D32" s="119" t="s">
        <v>205</v>
      </c>
      <c r="E32" s="11"/>
      <c r="F32" s="11">
        <v>57000</v>
      </c>
    </row>
    <row r="33" spans="2:6" ht="15" customHeight="1">
      <c r="B33" s="118"/>
      <c r="C33" s="119" t="s">
        <v>206</v>
      </c>
      <c r="D33" s="119" t="s">
        <v>207</v>
      </c>
      <c r="E33" s="11"/>
      <c r="F33" s="11">
        <v>57000</v>
      </c>
    </row>
    <row r="34" spans="2:6" ht="15" customHeight="1">
      <c r="B34" s="118"/>
      <c r="C34" s="119" t="s">
        <v>208</v>
      </c>
      <c r="D34" s="119" t="s">
        <v>209</v>
      </c>
      <c r="E34" s="11"/>
      <c r="F34" s="11">
        <v>57000</v>
      </c>
    </row>
    <row r="35" spans="2:6" ht="15" customHeight="1">
      <c r="B35" s="118"/>
      <c r="C35" s="119" t="s">
        <v>210</v>
      </c>
      <c r="D35" s="119" t="s">
        <v>211</v>
      </c>
      <c r="E35" s="11"/>
      <c r="F35" s="11">
        <v>68000</v>
      </c>
    </row>
    <row r="36" spans="2:6" ht="15" customHeight="1">
      <c r="B36" s="118"/>
      <c r="C36" s="119" t="s">
        <v>212</v>
      </c>
      <c r="D36" s="119" t="s">
        <v>213</v>
      </c>
      <c r="E36" s="11"/>
      <c r="F36" s="11">
        <v>70000</v>
      </c>
    </row>
    <row r="37" spans="2:6" ht="15" customHeight="1">
      <c r="B37" s="118"/>
      <c r="C37" s="119" t="s">
        <v>214</v>
      </c>
      <c r="D37" s="119" t="s">
        <v>215</v>
      </c>
      <c r="E37" s="11">
        <v>17595</v>
      </c>
      <c r="F37" s="11">
        <v>68200</v>
      </c>
    </row>
    <row r="38" spans="2:6" ht="15" customHeight="1">
      <c r="B38" s="118"/>
      <c r="C38" s="119" t="s">
        <v>216</v>
      </c>
      <c r="D38" s="119" t="s">
        <v>217</v>
      </c>
      <c r="E38" s="11">
        <v>17595</v>
      </c>
      <c r="F38" s="11">
        <v>68200</v>
      </c>
    </row>
    <row r="39" spans="2:6" ht="15" customHeight="1">
      <c r="B39" s="118"/>
      <c r="C39" s="119" t="s">
        <v>218</v>
      </c>
      <c r="D39" s="119" t="s">
        <v>219</v>
      </c>
      <c r="E39" s="11">
        <v>17595</v>
      </c>
      <c r="F39" s="11">
        <v>68200</v>
      </c>
    </row>
    <row r="40" spans="2:6" ht="15" customHeight="1">
      <c r="B40" s="118"/>
      <c r="C40" s="119" t="s">
        <v>220</v>
      </c>
      <c r="D40" s="119" t="s">
        <v>221</v>
      </c>
      <c r="E40" s="11"/>
      <c r="F40" s="11">
        <v>68200</v>
      </c>
    </row>
    <row r="41" spans="2:6" ht="15" customHeight="1">
      <c r="B41" s="118"/>
      <c r="C41" s="119" t="s">
        <v>222</v>
      </c>
      <c r="D41" s="119" t="s">
        <v>223</v>
      </c>
      <c r="E41" s="11"/>
      <c r="F41" s="11">
        <v>68200</v>
      </c>
    </row>
    <row r="42" spans="2:6" ht="15" customHeight="1">
      <c r="B42" s="118" t="s">
        <v>152</v>
      </c>
      <c r="C42" s="119" t="s">
        <v>224</v>
      </c>
      <c r="D42" s="119" t="s">
        <v>225</v>
      </c>
      <c r="E42" s="11">
        <v>19500</v>
      </c>
      <c r="F42" s="11">
        <v>62000</v>
      </c>
    </row>
    <row r="43" spans="2:6" ht="15" customHeight="1">
      <c r="B43" s="118"/>
      <c r="C43" s="119" t="s">
        <v>226</v>
      </c>
      <c r="D43" s="119" t="s">
        <v>227</v>
      </c>
      <c r="E43" s="11">
        <v>19500</v>
      </c>
      <c r="F43" s="11">
        <v>62000</v>
      </c>
    </row>
    <row r="44" spans="2:6" ht="15" customHeight="1">
      <c r="B44" s="118"/>
      <c r="C44" s="119" t="s">
        <v>228</v>
      </c>
      <c r="D44" s="119" t="s">
        <v>229</v>
      </c>
      <c r="E44" s="11">
        <v>19500</v>
      </c>
      <c r="F44" s="11">
        <v>62000</v>
      </c>
    </row>
    <row r="45" spans="2:6" ht="15" customHeight="1">
      <c r="B45" s="118"/>
      <c r="C45" s="119" t="s">
        <v>230</v>
      </c>
      <c r="D45" s="119" t="s">
        <v>231</v>
      </c>
      <c r="E45" s="11">
        <v>19500</v>
      </c>
      <c r="F45" s="11">
        <v>62000</v>
      </c>
    </row>
    <row r="46" spans="2:6" ht="15" customHeight="1">
      <c r="B46" s="118"/>
      <c r="C46" s="119" t="s">
        <v>232</v>
      </c>
      <c r="D46" s="119" t="s">
        <v>233</v>
      </c>
      <c r="E46" s="11"/>
      <c r="F46" s="11">
        <v>62000</v>
      </c>
    </row>
    <row r="47" spans="2:6" ht="15" customHeight="1">
      <c r="B47" s="118" t="s">
        <v>155</v>
      </c>
      <c r="C47" s="119" t="s">
        <v>234</v>
      </c>
      <c r="D47" s="119" t="s">
        <v>235</v>
      </c>
      <c r="E47" s="11">
        <v>25000</v>
      </c>
      <c r="F47" s="11">
        <v>80000</v>
      </c>
    </row>
    <row r="48" spans="2:6" ht="15" customHeight="1">
      <c r="B48" s="118"/>
      <c r="C48" s="119" t="s">
        <v>236</v>
      </c>
      <c r="D48" s="119" t="s">
        <v>237</v>
      </c>
      <c r="E48" s="11">
        <v>25000</v>
      </c>
      <c r="F48" s="11">
        <v>80000</v>
      </c>
    </row>
    <row r="49" spans="2:6" ht="15" customHeight="1">
      <c r="B49" s="118"/>
      <c r="C49" s="119" t="s">
        <v>238</v>
      </c>
      <c r="D49" s="119" t="s">
        <v>239</v>
      </c>
      <c r="E49" s="11"/>
      <c r="F49" s="11">
        <v>98000</v>
      </c>
    </row>
    <row r="50" spans="2:6" ht="15" customHeight="1">
      <c r="B50" s="118"/>
      <c r="C50" s="119" t="s">
        <v>240</v>
      </c>
      <c r="D50" s="119" t="s">
        <v>241</v>
      </c>
      <c r="E50" s="11"/>
      <c r="F50" s="11">
        <v>98000</v>
      </c>
    </row>
    <row r="51" spans="2:6" ht="15" customHeight="1">
      <c r="B51" s="118"/>
      <c r="C51" s="119" t="s">
        <v>242</v>
      </c>
      <c r="D51" s="119" t="s">
        <v>243</v>
      </c>
      <c r="E51" s="11">
        <v>24725</v>
      </c>
      <c r="F51" s="11">
        <v>88000</v>
      </c>
    </row>
    <row r="52" spans="2:6" ht="15" customHeight="1">
      <c r="B52" s="118"/>
      <c r="C52" s="119" t="s">
        <v>244</v>
      </c>
      <c r="D52" s="119" t="s">
        <v>245</v>
      </c>
      <c r="E52" s="11">
        <v>24725</v>
      </c>
      <c r="F52" s="11">
        <v>88000</v>
      </c>
    </row>
    <row r="53" spans="2:6" ht="15" customHeight="1">
      <c r="B53" s="118"/>
      <c r="C53" s="119" t="s">
        <v>246</v>
      </c>
      <c r="D53" s="119" t="s">
        <v>247</v>
      </c>
      <c r="E53" s="11">
        <v>24725</v>
      </c>
      <c r="F53" s="11">
        <v>88000</v>
      </c>
    </row>
    <row r="54" spans="2:6" ht="15" customHeight="1">
      <c r="B54" s="118"/>
      <c r="C54" s="119" t="s">
        <v>248</v>
      </c>
      <c r="D54" s="119" t="s">
        <v>249</v>
      </c>
      <c r="E54" s="11">
        <v>24725</v>
      </c>
      <c r="F54" s="11">
        <v>88000</v>
      </c>
    </row>
    <row r="55" spans="2:6" ht="15" customHeight="1">
      <c r="B55" s="118" t="s">
        <v>157</v>
      </c>
      <c r="C55" s="119" t="s">
        <v>250</v>
      </c>
      <c r="D55" s="119" t="s">
        <v>251</v>
      </c>
      <c r="E55" s="11">
        <v>29000</v>
      </c>
      <c r="F55" s="11">
        <v>99000</v>
      </c>
    </row>
    <row r="56" spans="2:6" ht="15" customHeight="1">
      <c r="B56" s="118"/>
      <c r="C56" s="119" t="s">
        <v>252</v>
      </c>
      <c r="D56" s="119" t="s">
        <v>253</v>
      </c>
      <c r="E56" s="11">
        <v>29000</v>
      </c>
      <c r="F56" s="11">
        <v>99000</v>
      </c>
    </row>
    <row r="57" spans="2:6" ht="15" customHeight="1">
      <c r="B57" s="118"/>
      <c r="C57" s="119" t="s">
        <v>254</v>
      </c>
      <c r="D57" s="119" t="s">
        <v>255</v>
      </c>
      <c r="E57" s="11">
        <v>29000</v>
      </c>
      <c r="F57" s="11">
        <v>99000</v>
      </c>
    </row>
    <row r="58" spans="2:6" ht="15" customHeight="1">
      <c r="B58" s="118"/>
      <c r="C58" s="119" t="s">
        <v>256</v>
      </c>
      <c r="D58" s="119" t="s">
        <v>257</v>
      </c>
      <c r="E58" s="11">
        <v>29000</v>
      </c>
      <c r="F58" s="11">
        <v>99000</v>
      </c>
    </row>
    <row r="59" spans="2:6" ht="15" customHeight="1">
      <c r="B59" s="118"/>
      <c r="C59" s="119" t="s">
        <v>258</v>
      </c>
      <c r="D59" s="119" t="s">
        <v>259</v>
      </c>
      <c r="E59" s="11">
        <v>65520</v>
      </c>
      <c r="F59" s="11">
        <v>110000</v>
      </c>
    </row>
    <row r="60" spans="2:6" ht="15" customHeight="1">
      <c r="B60" s="118"/>
      <c r="C60" s="119" t="s">
        <v>260</v>
      </c>
      <c r="D60" s="119" t="s">
        <v>261</v>
      </c>
      <c r="E60" s="11">
        <v>65520</v>
      </c>
      <c r="F60" s="11">
        <v>110000</v>
      </c>
    </row>
    <row r="61" spans="2:6" ht="15" customHeight="1">
      <c r="B61" s="118"/>
      <c r="C61" s="119" t="s">
        <v>262</v>
      </c>
      <c r="D61" s="119" t="s">
        <v>263</v>
      </c>
      <c r="E61" s="11">
        <v>65520</v>
      </c>
      <c r="F61" s="11">
        <v>110000</v>
      </c>
    </row>
    <row r="62" spans="2:6" ht="15" customHeight="1">
      <c r="B62" s="118"/>
      <c r="C62" s="119" t="s">
        <v>264</v>
      </c>
      <c r="D62" s="119" t="s">
        <v>265</v>
      </c>
      <c r="E62" s="11">
        <v>65520</v>
      </c>
      <c r="F62" s="11">
        <v>110000</v>
      </c>
    </row>
    <row r="63" spans="2:6" ht="15" customHeight="1">
      <c r="B63" s="118" t="s">
        <v>159</v>
      </c>
      <c r="C63" s="119" t="s">
        <v>266</v>
      </c>
      <c r="D63" s="119" t="s">
        <v>267</v>
      </c>
      <c r="E63" s="11">
        <v>28750</v>
      </c>
      <c r="F63" s="11">
        <v>81400</v>
      </c>
    </row>
    <row r="64" spans="2:6" ht="15" customHeight="1">
      <c r="B64" s="118"/>
      <c r="C64" s="119" t="s">
        <v>268</v>
      </c>
      <c r="D64" s="119" t="s">
        <v>269</v>
      </c>
      <c r="E64" s="11">
        <v>31000</v>
      </c>
      <c r="F64" s="11">
        <v>90200</v>
      </c>
    </row>
    <row r="65" spans="2:6" ht="15" customHeight="1">
      <c r="B65" s="118"/>
      <c r="C65" s="119" t="s">
        <v>270</v>
      </c>
      <c r="D65" s="119" t="s">
        <v>271</v>
      </c>
      <c r="E65" s="11">
        <v>0</v>
      </c>
      <c r="F65" s="11">
        <v>225000</v>
      </c>
    </row>
    <row r="66" spans="2:6" ht="15" customHeight="1">
      <c r="B66" s="118"/>
      <c r="C66" s="119" t="s">
        <v>272</v>
      </c>
      <c r="D66" s="119" t="s">
        <v>273</v>
      </c>
      <c r="E66" s="11">
        <v>13100</v>
      </c>
      <c r="F66" s="11">
        <v>35200</v>
      </c>
    </row>
    <row r="67" spans="2:6" ht="15" customHeight="1">
      <c r="B67" s="118"/>
      <c r="C67" s="119" t="s">
        <v>274</v>
      </c>
      <c r="D67" s="119" t="s">
        <v>275</v>
      </c>
      <c r="E67" s="11">
        <v>24725</v>
      </c>
      <c r="F67" s="11">
        <v>49500</v>
      </c>
    </row>
    <row r="68" spans="2:6" ht="15" customHeight="1">
      <c r="B68" s="118" t="s">
        <v>161</v>
      </c>
      <c r="C68" s="119" t="s">
        <v>276</v>
      </c>
      <c r="D68" s="119" t="s">
        <v>277</v>
      </c>
      <c r="E68" s="11">
        <v>17500</v>
      </c>
      <c r="F68" s="11">
        <v>68200</v>
      </c>
    </row>
    <row r="69" spans="2:6" ht="15" customHeight="1">
      <c r="B69" s="118"/>
      <c r="C69" s="119" t="s">
        <v>278</v>
      </c>
      <c r="D69" s="119" t="s">
        <v>279</v>
      </c>
      <c r="E69" s="11">
        <v>17500</v>
      </c>
      <c r="F69" s="11">
        <v>68200</v>
      </c>
    </row>
    <row r="70" spans="2:6" ht="15" customHeight="1">
      <c r="B70" s="118"/>
      <c r="C70" s="119" t="s">
        <v>280</v>
      </c>
      <c r="D70" s="119" t="s">
        <v>281</v>
      </c>
      <c r="E70" s="11">
        <v>0</v>
      </c>
      <c r="F70" s="11">
        <v>68200</v>
      </c>
    </row>
    <row r="71" spans="2:6" ht="15" customHeight="1">
      <c r="B71" s="118"/>
      <c r="C71" s="119" t="s">
        <v>282</v>
      </c>
      <c r="D71" s="119" t="s">
        <v>283</v>
      </c>
      <c r="E71" s="11">
        <v>14480</v>
      </c>
      <c r="F71" s="11">
        <v>75900</v>
      </c>
    </row>
    <row r="72" spans="2:6" ht="15" customHeight="1">
      <c r="B72" s="118"/>
      <c r="C72" s="119" t="s">
        <v>284</v>
      </c>
      <c r="D72" s="119" t="s">
        <v>285</v>
      </c>
      <c r="E72" s="11">
        <v>14480</v>
      </c>
      <c r="F72" s="11">
        <v>75900</v>
      </c>
    </row>
    <row r="73" spans="2:6" ht="15" customHeight="1">
      <c r="B73" s="118"/>
      <c r="C73" s="119" t="s">
        <v>286</v>
      </c>
      <c r="D73" s="119" t="s">
        <v>287</v>
      </c>
      <c r="E73" s="11">
        <v>14480</v>
      </c>
      <c r="F73" s="11">
        <v>75900</v>
      </c>
    </row>
    <row r="74" spans="2:6" ht="15" customHeight="1">
      <c r="B74" s="118"/>
      <c r="C74" s="119" t="s">
        <v>288</v>
      </c>
      <c r="D74" s="119" t="s">
        <v>289</v>
      </c>
      <c r="E74" s="11">
        <v>35500</v>
      </c>
      <c r="F74" s="11">
        <v>82500</v>
      </c>
    </row>
    <row r="75" spans="2:6" ht="15" customHeight="1">
      <c r="B75" s="118"/>
      <c r="C75" s="119" t="s">
        <v>290</v>
      </c>
      <c r="D75" s="119" t="s">
        <v>291</v>
      </c>
      <c r="E75" s="11">
        <v>35500</v>
      </c>
      <c r="F75" s="11">
        <v>82500</v>
      </c>
    </row>
    <row r="76" spans="2:6" ht="15" customHeight="1">
      <c r="B76" s="118"/>
      <c r="C76" s="119" t="s">
        <v>292</v>
      </c>
      <c r="D76" s="119" t="s">
        <v>293</v>
      </c>
      <c r="E76" s="11">
        <v>35500</v>
      </c>
      <c r="F76" s="11">
        <v>82500</v>
      </c>
    </row>
    <row r="77" spans="2:6" ht="15" customHeight="1">
      <c r="B77" s="118"/>
      <c r="C77" s="119" t="s">
        <v>294</v>
      </c>
      <c r="D77" s="119" t="s">
        <v>295</v>
      </c>
      <c r="E77" s="11">
        <v>43500</v>
      </c>
      <c r="F77" s="11">
        <v>82500</v>
      </c>
    </row>
    <row r="78" spans="2:6" ht="15" customHeight="1">
      <c r="B78" s="118"/>
      <c r="C78" s="119" t="s">
        <v>296</v>
      </c>
      <c r="D78" s="119" t="s">
        <v>297</v>
      </c>
      <c r="E78" s="11">
        <v>43500</v>
      </c>
      <c r="F78" s="11">
        <v>82500</v>
      </c>
    </row>
    <row r="79" spans="2:6" ht="15" customHeight="1">
      <c r="B79" s="118"/>
      <c r="C79" s="119" t="s">
        <v>298</v>
      </c>
      <c r="D79" s="119" t="s">
        <v>299</v>
      </c>
      <c r="E79" s="11">
        <v>43500</v>
      </c>
      <c r="F79" s="11">
        <v>82500</v>
      </c>
    </row>
    <row r="80" spans="2:6" ht="15" customHeight="1">
      <c r="B80" s="118"/>
      <c r="C80" s="119" t="s">
        <v>300</v>
      </c>
      <c r="D80" s="119" t="s">
        <v>301</v>
      </c>
      <c r="E80" s="11">
        <v>0</v>
      </c>
      <c r="F80" s="11">
        <v>138600</v>
      </c>
    </row>
    <row r="81" spans="2:6" ht="15" customHeight="1">
      <c r="B81" s="118"/>
      <c r="C81" s="119" t="s">
        <v>302</v>
      </c>
      <c r="D81" s="119" t="s">
        <v>303</v>
      </c>
      <c r="E81" s="11">
        <v>0</v>
      </c>
      <c r="F81" s="11">
        <v>138600</v>
      </c>
    </row>
    <row r="82" spans="2:6" ht="15" customHeight="1">
      <c r="B82" s="118"/>
      <c r="C82" s="119" t="s">
        <v>304</v>
      </c>
      <c r="D82" s="119" t="s">
        <v>305</v>
      </c>
      <c r="E82" s="11">
        <v>0</v>
      </c>
      <c r="F82" s="11">
        <v>138600</v>
      </c>
    </row>
    <row r="83" spans="2:6" ht="15" customHeight="1">
      <c r="B83" s="118"/>
      <c r="C83" s="119" t="s">
        <v>306</v>
      </c>
      <c r="D83" s="119" t="s">
        <v>307</v>
      </c>
      <c r="E83" s="11">
        <v>0</v>
      </c>
      <c r="F83" s="11">
        <v>137500</v>
      </c>
    </row>
    <row r="84" spans="2:6" ht="15" customHeight="1">
      <c r="B84" s="118"/>
      <c r="C84" s="119" t="s">
        <v>308</v>
      </c>
      <c r="D84" s="119" t="s">
        <v>309</v>
      </c>
      <c r="E84" s="11">
        <v>0</v>
      </c>
      <c r="F84" s="11">
        <v>137500</v>
      </c>
    </row>
    <row r="85" spans="2:6" ht="15" customHeight="1">
      <c r="B85" s="118"/>
      <c r="C85" s="119" t="s">
        <v>310</v>
      </c>
      <c r="D85" s="119" t="s">
        <v>311</v>
      </c>
      <c r="E85" s="11">
        <v>0</v>
      </c>
      <c r="F85" s="11">
        <v>137500</v>
      </c>
    </row>
    <row r="86" spans="2:6" ht="15" customHeight="1">
      <c r="B86" s="118" t="s">
        <v>164</v>
      </c>
      <c r="C86" s="119" t="s">
        <v>312</v>
      </c>
      <c r="D86" s="119" t="s">
        <v>313</v>
      </c>
      <c r="E86" s="11">
        <v>5800</v>
      </c>
      <c r="F86" s="11">
        <v>16700</v>
      </c>
    </row>
    <row r="87" spans="2:6" ht="15" customHeight="1">
      <c r="B87" s="118"/>
      <c r="C87" s="119" t="s">
        <v>314</v>
      </c>
      <c r="D87" s="119" t="s">
        <v>315</v>
      </c>
      <c r="E87" s="11">
        <v>8250</v>
      </c>
      <c r="F87" s="11">
        <v>23800</v>
      </c>
    </row>
    <row r="88" spans="2:6" ht="15" customHeight="1">
      <c r="B88" s="118"/>
      <c r="C88" s="119" t="s">
        <v>316</v>
      </c>
      <c r="D88" s="119" t="s">
        <v>317</v>
      </c>
      <c r="E88" s="11">
        <v>12500</v>
      </c>
      <c r="F88" s="11">
        <v>35900</v>
      </c>
    </row>
    <row r="89" spans="2:6" ht="15" customHeight="1">
      <c r="B89" s="118"/>
      <c r="C89" s="119" t="s">
        <v>318</v>
      </c>
      <c r="D89" s="119" t="s">
        <v>319</v>
      </c>
      <c r="E89" s="11">
        <v>17500</v>
      </c>
      <c r="F89" s="11">
        <v>50000</v>
      </c>
    </row>
    <row r="90" spans="2:6" ht="15" customHeight="1">
      <c r="B90" s="118" t="s">
        <v>167</v>
      </c>
      <c r="C90" s="119" t="s">
        <v>320</v>
      </c>
      <c r="D90" s="119" t="s">
        <v>321</v>
      </c>
      <c r="E90" s="11">
        <v>142.47</v>
      </c>
      <c r="F90" s="11">
        <v>412.5</v>
      </c>
    </row>
    <row r="91" spans="2:6" ht="15" customHeight="1">
      <c r="B91" s="118"/>
      <c r="C91" s="119" t="s">
        <v>322</v>
      </c>
      <c r="D91" s="119" t="s">
        <v>323</v>
      </c>
      <c r="E91" s="11">
        <v>92.71</v>
      </c>
      <c r="F91" s="11">
        <v>275</v>
      </c>
    </row>
    <row r="92" spans="2:6" ht="15" customHeight="1">
      <c r="B92" s="118"/>
      <c r="C92" s="119" t="s">
        <v>324</v>
      </c>
      <c r="D92" s="119" t="s">
        <v>325</v>
      </c>
      <c r="E92" s="11">
        <v>142.15</v>
      </c>
      <c r="F92" s="11">
        <v>412.5</v>
      </c>
    </row>
    <row r="93" spans="2:6" ht="15" customHeight="1">
      <c r="B93" s="118"/>
      <c r="C93" s="119" t="s">
        <v>326</v>
      </c>
      <c r="D93" s="119" t="s">
        <v>327</v>
      </c>
      <c r="E93" s="11">
        <v>224.6</v>
      </c>
      <c r="F93" s="11">
        <v>632.5</v>
      </c>
    </row>
    <row r="94" spans="2:6" ht="15" customHeight="1">
      <c r="B94" s="118"/>
      <c r="C94" s="119" t="s">
        <v>328</v>
      </c>
      <c r="D94" s="119" t="s">
        <v>329</v>
      </c>
      <c r="E94" s="11">
        <v>44.18</v>
      </c>
      <c r="F94" s="11">
        <v>137.5</v>
      </c>
    </row>
    <row r="95" spans="2:6" ht="15" customHeight="1">
      <c r="B95" s="118" t="s">
        <v>170</v>
      </c>
      <c r="C95" s="119" t="s">
        <v>330</v>
      </c>
      <c r="D95" s="119" t="s">
        <v>331</v>
      </c>
      <c r="E95" s="11"/>
      <c r="F95" s="11">
        <v>884.52</v>
      </c>
    </row>
    <row r="96" spans="2:6" ht="15" customHeight="1">
      <c r="B96" s="118"/>
      <c r="C96" s="119" t="s">
        <v>332</v>
      </c>
      <c r="D96" s="119" t="s">
        <v>333</v>
      </c>
      <c r="E96" s="11"/>
      <c r="F96" s="11">
        <v>1474.2</v>
      </c>
    </row>
    <row r="97" spans="2:6" ht="15" customHeight="1">
      <c r="B97" s="118"/>
      <c r="C97" s="119" t="s">
        <v>334</v>
      </c>
      <c r="D97" s="119" t="s">
        <v>331</v>
      </c>
      <c r="E97" s="11"/>
      <c r="F97" s="11">
        <v>1436.29</v>
      </c>
    </row>
    <row r="98" spans="2:6" ht="15" customHeight="1">
      <c r="B98" s="118"/>
      <c r="C98" s="119" t="s">
        <v>335</v>
      </c>
      <c r="D98" s="119" t="s">
        <v>333</v>
      </c>
      <c r="E98" s="11"/>
      <c r="F98" s="11">
        <v>4308.88</v>
      </c>
    </row>
    <row r="99" spans="2:6" ht="15" customHeight="1">
      <c r="B99" s="118"/>
      <c r="C99" s="119" t="s">
        <v>336</v>
      </c>
      <c r="D99" s="119" t="s">
        <v>331</v>
      </c>
      <c r="E99" s="11"/>
      <c r="F99" s="11">
        <v>2888.52</v>
      </c>
    </row>
    <row r="100" spans="2:6" ht="15" customHeight="1">
      <c r="B100" s="118"/>
      <c r="C100" s="119" t="s">
        <v>337</v>
      </c>
      <c r="D100" s="119" t="s">
        <v>333</v>
      </c>
      <c r="E100" s="11"/>
      <c r="F100" s="11">
        <v>4814.2</v>
      </c>
    </row>
    <row r="101" spans="2:6" ht="15" customHeight="1">
      <c r="B101" s="118"/>
      <c r="C101" s="119" t="s">
        <v>338</v>
      </c>
      <c r="D101" s="119" t="s">
        <v>331</v>
      </c>
      <c r="E101" s="11"/>
      <c r="F101" s="11">
        <v>3590.73</v>
      </c>
    </row>
    <row r="102" spans="2:6" ht="15" customHeight="1">
      <c r="B102" s="118"/>
      <c r="C102" s="119" t="s">
        <v>339</v>
      </c>
      <c r="D102" s="119" t="s">
        <v>333</v>
      </c>
      <c r="E102" s="11"/>
      <c r="F102" s="11">
        <v>5984.55</v>
      </c>
    </row>
    <row r="103" spans="2:6" ht="15" customHeight="1">
      <c r="B103" s="118"/>
      <c r="C103" s="119" t="s">
        <v>340</v>
      </c>
      <c r="D103" s="119" t="s">
        <v>331</v>
      </c>
      <c r="E103" s="11"/>
      <c r="F103" s="11">
        <v>4285.71</v>
      </c>
    </row>
    <row r="104" spans="2:6" ht="15" customHeight="1">
      <c r="B104" s="118"/>
      <c r="C104" s="119" t="s">
        <v>341</v>
      </c>
      <c r="D104" s="119" t="s">
        <v>333</v>
      </c>
      <c r="E104" s="11"/>
      <c r="F104" s="11">
        <v>7142.85</v>
      </c>
    </row>
    <row r="105" spans="2:6" ht="15" customHeight="1">
      <c r="B105" s="118"/>
      <c r="C105" s="119" t="s">
        <v>342</v>
      </c>
      <c r="D105" s="119" t="s">
        <v>331</v>
      </c>
      <c r="E105" s="11"/>
      <c r="F105" s="11">
        <v>3094.74</v>
      </c>
    </row>
    <row r="106" spans="2:6" ht="15" customHeight="1">
      <c r="B106" s="118"/>
      <c r="C106" s="119" t="s">
        <v>343</v>
      </c>
      <c r="D106" s="119" t="s">
        <v>333</v>
      </c>
      <c r="E106" s="11"/>
      <c r="F106" s="11">
        <v>9284.2199999999993</v>
      </c>
    </row>
    <row r="107" spans="2:6" ht="15" customHeight="1">
      <c r="B107" s="118"/>
      <c r="C107" s="119" t="s">
        <v>344</v>
      </c>
      <c r="D107" s="119" t="s">
        <v>331</v>
      </c>
      <c r="E107" s="11"/>
      <c r="F107" s="11">
        <v>4514.3999999999996</v>
      </c>
    </row>
    <row r="108" spans="2:6" ht="15" customHeight="1">
      <c r="B108" s="118"/>
      <c r="C108" s="119" t="s">
        <v>345</v>
      </c>
      <c r="D108" s="119" t="s">
        <v>333</v>
      </c>
      <c r="E108" s="11"/>
      <c r="F108" s="11">
        <v>13543.2</v>
      </c>
    </row>
    <row r="109" spans="2:6" ht="15" customHeight="1">
      <c r="B109" s="118"/>
      <c r="C109" s="119" t="s">
        <v>346</v>
      </c>
      <c r="D109" s="119" t="s">
        <v>331</v>
      </c>
      <c r="E109" s="11"/>
      <c r="F109" s="11">
        <v>12153.24</v>
      </c>
    </row>
    <row r="110" spans="2:6" ht="15" customHeight="1">
      <c r="B110" s="118"/>
      <c r="C110" s="119" t="s">
        <v>347</v>
      </c>
      <c r="D110" s="119" t="s">
        <v>333</v>
      </c>
      <c r="E110" s="11"/>
      <c r="F110" s="11">
        <v>20255.400000000001</v>
      </c>
    </row>
    <row r="111" spans="2:6" ht="15" customHeight="1">
      <c r="B111" s="118" t="s">
        <v>173</v>
      </c>
      <c r="C111" s="119" t="s">
        <v>348</v>
      </c>
      <c r="D111" s="119" t="s">
        <v>349</v>
      </c>
      <c r="E111" s="11"/>
      <c r="F111" s="11">
        <v>2939.11</v>
      </c>
    </row>
    <row r="112" spans="2:6" ht="15" customHeight="1">
      <c r="B112" s="118"/>
      <c r="C112" s="119" t="s">
        <v>350</v>
      </c>
      <c r="D112" s="119" t="s">
        <v>351</v>
      </c>
      <c r="E112" s="11"/>
      <c r="F112" s="11">
        <v>5255.71</v>
      </c>
    </row>
    <row r="113" spans="2:6" ht="15" customHeight="1">
      <c r="B113" s="118"/>
      <c r="C113" s="119" t="s">
        <v>352</v>
      </c>
      <c r="D113" s="119" t="s">
        <v>333</v>
      </c>
      <c r="E113" s="11"/>
      <c r="F113" s="11">
        <v>9888.91</v>
      </c>
    </row>
    <row r="114" spans="2:6" ht="15" customHeight="1">
      <c r="B114" s="118"/>
      <c r="C114" s="119" t="s">
        <v>353</v>
      </c>
      <c r="D114" s="119" t="s">
        <v>349</v>
      </c>
      <c r="E114" s="11"/>
      <c r="F114" s="11">
        <v>2952.72</v>
      </c>
    </row>
    <row r="115" spans="2:6" ht="15" customHeight="1">
      <c r="B115" s="118"/>
      <c r="C115" s="119" t="s">
        <v>354</v>
      </c>
      <c r="D115" s="119" t="s">
        <v>351</v>
      </c>
      <c r="E115" s="11"/>
      <c r="F115" s="11">
        <v>4429.08</v>
      </c>
    </row>
    <row r="116" spans="2:6" ht="15" customHeight="1">
      <c r="B116" s="118"/>
      <c r="C116" s="119" t="s">
        <v>355</v>
      </c>
      <c r="D116" s="119" t="s">
        <v>333</v>
      </c>
      <c r="E116" s="11"/>
      <c r="F116" s="11">
        <v>7381.8</v>
      </c>
    </row>
    <row r="117" spans="2:6" ht="15" customHeight="1">
      <c r="B117" s="118"/>
      <c r="C117" s="119" t="s">
        <v>356</v>
      </c>
      <c r="D117" s="119" t="s">
        <v>349</v>
      </c>
      <c r="E117" s="11"/>
      <c r="F117" s="11">
        <v>3233.52</v>
      </c>
    </row>
    <row r="118" spans="2:6" ht="15" customHeight="1">
      <c r="B118" s="118"/>
      <c r="C118" s="119" t="s">
        <v>357</v>
      </c>
      <c r="D118" s="119" t="s">
        <v>351</v>
      </c>
      <c r="E118" s="11"/>
      <c r="F118" s="11">
        <v>4850.28</v>
      </c>
    </row>
    <row r="119" spans="2:6" ht="15" customHeight="1">
      <c r="B119" s="118"/>
      <c r="C119" s="119" t="s">
        <v>358</v>
      </c>
      <c r="D119" s="119" t="s">
        <v>333</v>
      </c>
      <c r="E119" s="11"/>
      <c r="F119" s="11">
        <v>8083.8</v>
      </c>
    </row>
    <row r="120" spans="2:6" ht="15" customHeight="1">
      <c r="B120" s="118"/>
      <c r="C120" s="119" t="s">
        <v>359</v>
      </c>
      <c r="D120" s="119" t="s">
        <v>349</v>
      </c>
      <c r="E120" s="11"/>
      <c r="F120" s="11">
        <v>3758.4</v>
      </c>
    </row>
    <row r="121" spans="2:6" ht="15" customHeight="1">
      <c r="B121" s="118"/>
      <c r="C121" s="119" t="s">
        <v>360</v>
      </c>
      <c r="D121" s="119" t="s">
        <v>351</v>
      </c>
      <c r="E121" s="11"/>
      <c r="F121" s="11">
        <v>5637.6</v>
      </c>
    </row>
    <row r="122" spans="2:6" ht="15" customHeight="1">
      <c r="B122" s="118"/>
      <c r="C122" s="119" t="s">
        <v>361</v>
      </c>
      <c r="D122" s="119" t="s">
        <v>333</v>
      </c>
      <c r="E122" s="11"/>
      <c r="F122" s="11">
        <v>9396</v>
      </c>
    </row>
    <row r="123" spans="2:6" ht="15" customHeight="1">
      <c r="B123" s="118"/>
      <c r="C123" s="119" t="s">
        <v>362</v>
      </c>
      <c r="D123" s="119" t="s">
        <v>349</v>
      </c>
      <c r="E123" s="11"/>
      <c r="F123" s="11">
        <v>4419.3599999999997</v>
      </c>
    </row>
    <row r="124" spans="2:6" ht="15" customHeight="1">
      <c r="B124" s="118"/>
      <c r="C124" s="119" t="s">
        <v>363</v>
      </c>
      <c r="D124" s="119" t="s">
        <v>351</v>
      </c>
      <c r="E124" s="11"/>
      <c r="F124" s="11">
        <v>8125.92</v>
      </c>
    </row>
    <row r="125" spans="2:6" ht="15" customHeight="1">
      <c r="B125" s="118"/>
      <c r="C125" s="119" t="s">
        <v>364</v>
      </c>
      <c r="D125" s="119" t="s">
        <v>333</v>
      </c>
      <c r="E125" s="11"/>
      <c r="F125" s="11">
        <v>15539.04</v>
      </c>
    </row>
    <row r="126" spans="2:6" ht="15" customHeight="1">
      <c r="B126" s="118"/>
      <c r="C126" s="119" t="s">
        <v>365</v>
      </c>
      <c r="D126" s="119" t="s">
        <v>349</v>
      </c>
      <c r="E126" s="11"/>
      <c r="F126" s="11">
        <v>5621</v>
      </c>
    </row>
    <row r="127" spans="2:6" ht="15" customHeight="1">
      <c r="B127" s="118"/>
      <c r="C127" s="119" t="s">
        <v>366</v>
      </c>
      <c r="D127" s="119" t="s">
        <v>351</v>
      </c>
      <c r="E127" s="11"/>
      <c r="F127" s="11">
        <v>14545.26</v>
      </c>
    </row>
    <row r="128" spans="2:6" ht="15" customHeight="1">
      <c r="B128" s="118"/>
      <c r="C128" s="119" t="s">
        <v>367</v>
      </c>
      <c r="D128" s="119" t="s">
        <v>333</v>
      </c>
      <c r="E128" s="11"/>
      <c r="F128" s="11">
        <v>32393.77</v>
      </c>
    </row>
    <row r="129" spans="2:8" ht="15" customHeight="1">
      <c r="B129" s="118"/>
      <c r="C129" s="119" t="s">
        <v>368</v>
      </c>
      <c r="D129" s="119" t="s">
        <v>349</v>
      </c>
      <c r="E129" s="11"/>
      <c r="F129" s="11">
        <v>9797.76</v>
      </c>
    </row>
    <row r="130" spans="2:8" ht="15" customHeight="1">
      <c r="B130" s="118"/>
      <c r="C130" s="119" t="s">
        <v>369</v>
      </c>
      <c r="D130" s="119" t="s">
        <v>351</v>
      </c>
      <c r="E130" s="11"/>
      <c r="F130" s="11">
        <v>14696.64</v>
      </c>
    </row>
    <row r="131" spans="2:8" ht="15" customHeight="1">
      <c r="B131" s="118"/>
      <c r="C131" s="119" t="s">
        <v>370</v>
      </c>
      <c r="D131" s="119" t="s">
        <v>333</v>
      </c>
      <c r="E131" s="11"/>
      <c r="F131" s="11">
        <v>24494.400000000001</v>
      </c>
    </row>
    <row r="134" spans="2:8">
      <c r="B134" s="469" t="s">
        <v>422</v>
      </c>
      <c r="C134" s="469" t="s">
        <v>55</v>
      </c>
      <c r="D134" s="469" t="s">
        <v>690</v>
      </c>
      <c r="E134" s="470" t="s">
        <v>691</v>
      </c>
      <c r="F134" s="595" t="s">
        <v>692</v>
      </c>
      <c r="G134" s="595"/>
      <c r="H134" s="471" t="s">
        <v>693</v>
      </c>
    </row>
    <row r="135" spans="2:8">
      <c r="B135" t="s">
        <v>694</v>
      </c>
      <c r="C135" s="472">
        <f>SUMIFS('INPUT SHEET'!$I$8:$I$37,'INPUT SHEET'!$D$8:$D$37,"_L2",'INPUT SHEET'!$E$8:$E$37,"*-1")+SUMIFS('INPUT SHEET'!$I$8:$I$37,'INPUT SHEET'!$D$8:$D$37,"_L2",'INPUT SHEET'!$E$8:$E$37,"*-1-ISO")</f>
        <v>0</v>
      </c>
      <c r="D135" s="473">
        <v>416</v>
      </c>
      <c r="E135" s="474">
        <v>320.11</v>
      </c>
      <c r="F135" s="594">
        <f>D135+E135</f>
        <v>736.11</v>
      </c>
      <c r="G135" s="594"/>
      <c r="H135" s="475">
        <v>640.22</v>
      </c>
    </row>
    <row r="136" spans="2:8">
      <c r="B136" t="s">
        <v>695</v>
      </c>
      <c r="C136" s="472">
        <f>SUMIFS('INPUT SHEET'!$I$8:$I$37,'INPUT SHEET'!$D$8:$D$37,"_L2",'INPUT SHEET'!$E$8:$E$37,"*-2")+SUMIFS('INPUT SHEET'!$I$8:$I$37,'INPUT SHEET'!$D$8:$D$37,"_L2",'INPUT SHEET'!$E$8:$E$37,"*-2-ISO")</f>
        <v>2</v>
      </c>
      <c r="D136" s="473">
        <v>416</v>
      </c>
      <c r="E136" s="474">
        <v>320.11</v>
      </c>
      <c r="F136" s="594">
        <f t="shared" ref="F136:F144" si="0">D136+E136</f>
        <v>736.11</v>
      </c>
      <c r="G136" s="594"/>
      <c r="H136" s="475">
        <v>640.22</v>
      </c>
    </row>
    <row r="137" spans="2:8">
      <c r="B137" t="s">
        <v>696</v>
      </c>
      <c r="C137" s="472">
        <v>0</v>
      </c>
      <c r="D137" s="473">
        <v>416</v>
      </c>
      <c r="E137" s="474">
        <v>320.11</v>
      </c>
      <c r="F137" s="594">
        <f t="shared" si="0"/>
        <v>736.11</v>
      </c>
      <c r="G137" s="594"/>
      <c r="H137" s="475">
        <v>640.22</v>
      </c>
    </row>
    <row r="138" spans="2:8">
      <c r="B138" t="s">
        <v>697</v>
      </c>
      <c r="C138" s="472">
        <v>0</v>
      </c>
      <c r="D138" s="473">
        <v>416</v>
      </c>
      <c r="E138" s="474">
        <v>320.11</v>
      </c>
      <c r="F138" s="594">
        <f t="shared" si="0"/>
        <v>736.11</v>
      </c>
      <c r="G138" s="594"/>
      <c r="H138" s="475">
        <v>640.22</v>
      </c>
    </row>
    <row r="139" spans="2:8">
      <c r="B139" t="s">
        <v>698</v>
      </c>
      <c r="C139" s="472">
        <f>SUMIFS('INPUT SHEET'!$I$8:$I$37,'INPUT SHEET'!$D$8:$D$37,"_kW60")+SUMIFS('INPUT SHEET'!$I$8:$I$37,'INPUT SHEET'!$D$8:$D$37,"_Buy_America",'INPUT SHEET'!$E$8:$E$37,"*-60-*")</f>
        <v>0</v>
      </c>
      <c r="D139" s="473">
        <v>962.84</v>
      </c>
      <c r="E139" s="474">
        <v>1476.36</v>
      </c>
      <c r="F139" s="594">
        <f t="shared" si="0"/>
        <v>2439.1999999999998</v>
      </c>
      <c r="G139" s="594"/>
      <c r="H139" s="475">
        <v>2527.1999999999998</v>
      </c>
    </row>
    <row r="140" spans="2:8">
      <c r="B140" t="s">
        <v>699</v>
      </c>
      <c r="C140" s="472">
        <f>SUMIFS('INPUT SHEET'!$I$8:$I$37,'INPUT SHEET'!$D$8:$D$37,"_kW120")+SUMIFS('INPUT SHEET'!$I$8:$I$37,'INPUT SHEET'!$D$8:$D$37,"_Buy_America",'INPUT SHEET'!$E$8:$E$37,"*-120-*")</f>
        <v>0</v>
      </c>
      <c r="D140" s="473">
        <v>1196.9100000000001</v>
      </c>
      <c r="E140" s="474">
        <v>1616.76</v>
      </c>
      <c r="F140" s="594">
        <f t="shared" si="0"/>
        <v>2813.67</v>
      </c>
      <c r="G140" s="594"/>
      <c r="H140" s="475">
        <v>3573.0430000000001</v>
      </c>
    </row>
    <row r="141" spans="2:8">
      <c r="B141" s="151" t="s">
        <v>700</v>
      </c>
      <c r="C141" s="472">
        <f>SUMIFS('INPUT SHEET'!$I$8:$I$37,'INPUT SHEET'!$D$8:$D$37,"_kW160")+SUMIFS('INPUT SHEET'!$I$8:$I$37,'INPUT SHEET'!$D$8:$D$37,"_Buy_America",'INPUT SHEET'!$E$8:$E$37,"*-160-*")</f>
        <v>0</v>
      </c>
      <c r="D141" s="473">
        <f>1428.57</f>
        <v>1428.57</v>
      </c>
      <c r="E141" s="474">
        <v>1879.2</v>
      </c>
      <c r="F141" s="594">
        <f t="shared" si="0"/>
        <v>3307.77</v>
      </c>
      <c r="G141" s="594"/>
      <c r="H141" s="475">
        <v>4153.0320000000002</v>
      </c>
    </row>
    <row r="142" spans="2:8" ht="15.75" customHeight="1">
      <c r="B142" s="567" t="s">
        <v>755</v>
      </c>
      <c r="C142" s="472">
        <f>SUMIFS('INPUT SHEET'!$I$8:$I$37,'INPUT SHEET'!$D$8:$D$37,"_kW180")+SUMIFS('INPUT SHEET'!$I$8:$I$37,'INPUT SHEET'!$D$8:$D$37,"_Buy_America",'INPUT SHEET'!$E$8:$E$37,"*-180-*")</f>
        <v>0</v>
      </c>
      <c r="D142" s="473">
        <v>1856.8439999999998</v>
      </c>
      <c r="E142" s="474">
        <v>2708.64</v>
      </c>
      <c r="F142" s="594">
        <f>D142+E142</f>
        <v>4565.4839999999995</v>
      </c>
      <c r="G142" s="594"/>
      <c r="H142" s="475">
        <f>E142*2</f>
        <v>5417.28</v>
      </c>
    </row>
    <row r="143" spans="2:8">
      <c r="B143" s="567" t="s">
        <v>756</v>
      </c>
      <c r="C143" s="472">
        <f>SUMIFS('INPUT SHEET'!$I$8:$I$37,'INPUT SHEET'!$D$8:$D$37,"_kW240")+SUMIFS('INPUT SHEET'!$I$8:$I$37,'INPUT SHEET'!$D$8:$D$37,"_Buy_America",'INPUT SHEET'!$E$8:$E$37,"*-180-*")</f>
        <v>4</v>
      </c>
      <c r="D143" s="473">
        <v>2708.6400000000003</v>
      </c>
      <c r="E143" s="474">
        <v>6478.7539999999999</v>
      </c>
      <c r="F143" s="594">
        <f>E143+D143</f>
        <v>9187.3940000000002</v>
      </c>
      <c r="G143" s="594"/>
      <c r="H143" s="475">
        <f>E143*1.7</f>
        <v>11013.881799999999</v>
      </c>
    </row>
    <row r="144" spans="2:8">
      <c r="B144" s="151" t="s">
        <v>701</v>
      </c>
      <c r="C144" s="472">
        <f>SUMIFS('INPUT SHEET'!$I$8:$I$37,'INPUT SHEET'!$D$8:$D$37,"_kW360")+SUMIFS('INPUT SHEET'!$I$8:$I$37,'INPUT SHEET'!$D$8:$D$37,"_Buy_America",'INPUT SHEET'!$E$8:$E$37,"*-240-*")</f>
        <v>0</v>
      </c>
      <c r="D144" s="473">
        <v>4051.08</v>
      </c>
      <c r="E144" s="474">
        <v>4898.88</v>
      </c>
      <c r="F144" s="594">
        <f t="shared" si="0"/>
        <v>8949.9599999999991</v>
      </c>
      <c r="G144" s="594"/>
      <c r="H144" s="475">
        <v>9468</v>
      </c>
    </row>
    <row r="145" spans="2:9">
      <c r="B145" s="476" t="s">
        <v>57</v>
      </c>
      <c r="C145" s="477">
        <f>SUM(C135:C144)</f>
        <v>6</v>
      </c>
      <c r="D145" s="477"/>
      <c r="E145" s="478"/>
      <c r="F145" s="479"/>
      <c r="G145" s="480"/>
      <c r="I145" s="472"/>
    </row>
    <row r="146" spans="2:9">
      <c r="D146" s="477"/>
    </row>
  </sheetData>
  <mergeCells count="11">
    <mergeCell ref="F140:G140"/>
    <mergeCell ref="F141:G141"/>
    <mergeCell ref="F142:G142"/>
    <mergeCell ref="F144:G144"/>
    <mergeCell ref="F134:G134"/>
    <mergeCell ref="F135:G135"/>
    <mergeCell ref="F136:G136"/>
    <mergeCell ref="F137:G137"/>
    <mergeCell ref="F138:G138"/>
    <mergeCell ref="F139:G139"/>
    <mergeCell ref="F143:G14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2913-AC08-43CA-8C05-1BFEB8A2917A}">
  <sheetPr>
    <tabColor theme="7"/>
  </sheetPr>
  <dimension ref="B1:Z50"/>
  <sheetViews>
    <sheetView zoomScale="70" zoomScaleNormal="70" workbookViewId="0">
      <selection activeCell="S34" sqref="S34:S41"/>
    </sheetView>
  </sheetViews>
  <sheetFormatPr defaultColWidth="9.140625" defaultRowHeight="15"/>
  <cols>
    <col min="1" max="1" width="9.140625" style="239"/>
    <col min="2" max="2" width="38.7109375" style="151" customWidth="1"/>
    <col min="3" max="3" width="10.7109375" style="137" customWidth="1"/>
    <col min="4" max="4" width="9" style="137" bestFit="1" customWidth="1"/>
    <col min="5" max="5" width="15.42578125" style="137" bestFit="1" customWidth="1"/>
    <col min="6" max="6" width="9.85546875" style="137" bestFit="1" customWidth="1"/>
    <col min="7" max="7" width="13.28515625" style="137" customWidth="1"/>
    <col min="8" max="8" width="14.28515625" style="137" customWidth="1"/>
    <col min="9" max="9" width="12.140625" style="137" customWidth="1"/>
    <col min="10" max="11" width="11.5703125" style="137" customWidth="1"/>
    <col min="12" max="12" width="10.7109375" style="239" customWidth="1"/>
    <col min="13" max="13" width="6.5703125" style="239" bestFit="1" customWidth="1"/>
    <col min="14" max="14" width="9.28515625" style="239" customWidth="1"/>
    <col min="15" max="15" width="18.28515625" style="239" bestFit="1" customWidth="1"/>
    <col min="16" max="16" width="9.140625" style="239"/>
    <col min="17" max="17" width="12" style="239" bestFit="1" customWidth="1"/>
    <col min="18" max="18" width="9.140625" style="239"/>
    <col min="19" max="19" width="58.42578125" style="276" customWidth="1"/>
    <col min="20" max="20" width="9.140625" style="281"/>
    <col min="21" max="21" width="30.5703125" style="239" customWidth="1"/>
    <col min="22" max="16384" width="9.140625" style="239"/>
  </cols>
  <sheetData>
    <row r="1" spans="2:20" ht="15.75" thickBot="1">
      <c r="B1" s="159"/>
      <c r="C1" s="629" t="s">
        <v>13</v>
      </c>
      <c r="D1" s="629"/>
      <c r="E1" s="629"/>
      <c r="F1" s="629"/>
      <c r="G1" s="630" t="s">
        <v>376</v>
      </c>
      <c r="H1" s="630"/>
      <c r="I1" s="630"/>
      <c r="J1" s="630"/>
      <c r="K1" s="630"/>
      <c r="L1" s="630"/>
      <c r="M1" s="242">
        <v>480</v>
      </c>
      <c r="N1" s="242"/>
      <c r="O1" s="242"/>
      <c r="P1" s="242"/>
      <c r="Q1" s="243"/>
    </row>
    <row r="2" spans="2:20" ht="15.75" thickBot="1">
      <c r="B2" s="167" t="s">
        <v>377</v>
      </c>
      <c r="C2" s="164" t="s">
        <v>378</v>
      </c>
      <c r="D2" s="165" t="s">
        <v>379</v>
      </c>
      <c r="E2" s="164" t="s">
        <v>380</v>
      </c>
      <c r="F2" s="165" t="s">
        <v>381</v>
      </c>
      <c r="G2" s="165">
        <v>30</v>
      </c>
      <c r="H2" s="165">
        <v>100</v>
      </c>
      <c r="I2" s="165">
        <v>120</v>
      </c>
      <c r="J2" s="165">
        <v>160</v>
      </c>
      <c r="K2" s="165">
        <v>240</v>
      </c>
      <c r="L2" s="165">
        <v>360</v>
      </c>
      <c r="M2" s="166" t="s">
        <v>382</v>
      </c>
      <c r="O2" s="178" t="s">
        <v>383</v>
      </c>
      <c r="P2" s="179">
        <v>5</v>
      </c>
      <c r="Q2" s="244"/>
      <c r="S2" s="278" t="s">
        <v>422</v>
      </c>
      <c r="T2" s="282" t="s">
        <v>578</v>
      </c>
    </row>
    <row r="3" spans="2:20">
      <c r="B3" s="167" t="s">
        <v>55</v>
      </c>
      <c r="C3" s="168">
        <f>IF(P30&gt;0,IFERROR(P30*INDEX(#REF!,MATCH(F30,#REF!,0))*#REF!,0),0)</f>
        <v>0</v>
      </c>
      <c r="D3" s="169">
        <v>0</v>
      </c>
      <c r="E3" s="168">
        <f>IF(R30&gt;0,IFERROR(R30*INDEX(#REF!,MATCH(H30,#REF!,0))*#REF!,0),0)</f>
        <v>0</v>
      </c>
      <c r="F3" s="169">
        <f>IF(S30&gt;0,IFERROR(S30*INDEX(#REF!,MATCH(I30,#REF!,0))*#REF!,0),0)</f>
        <v>0</v>
      </c>
      <c r="G3" s="170">
        <v>0</v>
      </c>
      <c r="H3" s="171">
        <v>0</v>
      </c>
      <c r="I3" s="171">
        <f>IF(V30&gt;0,IFERROR(V30*INDEX(#REF!,MATCH(L30,#REF!,0))*#REF!,0),0)</f>
        <v>0</v>
      </c>
      <c r="J3" s="171">
        <f>IF(W30&gt;0,IFERROR(W30*INDEX(#REF!,MATCH(M30,#REF!,0))*#REF!,0),0)</f>
        <v>0</v>
      </c>
      <c r="K3" s="171">
        <f>IF(X30&gt;0,IFERROR(X30*INDEX(#REF!,MATCH(N30,#REF!,0))*#REF!,0),0)</f>
        <v>0</v>
      </c>
      <c r="L3" s="171">
        <f>IF(Y30&gt;0,IFERROR(Y30*INDEX(#REF!,MATCH(O30,#REF!,0))*#REF!,0),0)</f>
        <v>0</v>
      </c>
      <c r="Q3" s="244"/>
      <c r="S3" s="279" t="str">
        <f>IF('INPUT SHEET'!E8="","",'INPUT SHEET'!F8)</f>
        <v xml:space="preserve">240kW DCFC All In One Charger - 350A Cable / 1000VDC Dual CCS1 ; Can charge 2 cars simultaneously with 120kW each ; 4G Modem </v>
      </c>
      <c r="T3" s="283">
        <f>IF('INPUT SHEET'!E8="","",'INPUT SHEET'!I8)</f>
        <v>4</v>
      </c>
    </row>
    <row r="4" spans="2:20">
      <c r="B4" s="260" t="s">
        <v>384</v>
      </c>
      <c r="C4" s="168"/>
      <c r="D4" s="169"/>
      <c r="E4" s="168"/>
      <c r="F4" s="261"/>
      <c r="G4" s="170" t="str">
        <f>IF(G3=0,"",_xlfn.IFS(G2=30,40,G2=50,72,G2=60,80,G2=100,130,G2=120,160,G2=160,215,G2=180,240,G2=200,265,G2=240,320,G2=275,385,G2=300,400,G2=360,480)*M1*SQRT(3)/3)</f>
        <v/>
      </c>
      <c r="H4" s="170" t="str">
        <f>IF(H3=0,"",_xlfn.IFS(H2=30,40,H2=50,72,H2=60,80,H2=100,130,H2=120,160,H2=160,215,H2=180,240,H2=200,265,H2=240,320,H2=275,385,H2=300,400,H2=360,480)*M1*SQRT(3)/3)</f>
        <v/>
      </c>
      <c r="I4" s="170" t="str">
        <f>IF(I3=0,"",_xlfn.IFS(I2=30,40,I2=50,72,I2=60,80,I2=100,130,I2=120,160,I2=160,215,I2=180,240,I2=200,265,I2=240,320,I2=275,385,I2=300,400,I2=360,480)*M1*SQRT(3)/3)</f>
        <v/>
      </c>
      <c r="J4" s="170" t="str">
        <f>IF(J3=0,"",_xlfn.IFS(J2=30,40,J2=50,72,J2=60,80,J2=100,130,J2=120,160,J2=160,215,J2=180,240,J2=200,265,J2=240,320,J2=275,385,J2=300,400,J2=360,480)*M1*SQRT(3)/3)</f>
        <v/>
      </c>
      <c r="K4" s="170" t="str">
        <f>IF(K3=0,"",_xlfn.IFS(K2=30,40,K2=50,72,K2=60,80,K2=100,130,K2=120,160,K2=160,215,K2=180,240,K2=200,265,K2=240,320,K2=275,385,K2=300,400,K2=360,480)*M1*SQRT(3)/3)</f>
        <v/>
      </c>
      <c r="L4" s="170" t="str">
        <f>IF(L3=0,"",_xlfn.IFS(L2=30,40,L2=50,72,L2=60,80,L2=100,130,L2=120,160,L2=160,215,L2=180,240,L2=200,265,L2=240,320,L2=275,385,L2=300,400,L2=360,480)*M1*SQRT(3)/3)</f>
        <v/>
      </c>
      <c r="Q4" s="244"/>
      <c r="S4" s="279" t="str">
        <f>IF('INPUT SHEET'!E9="","",'INPUT SHEET'!F9)</f>
        <v>80A Dual Commercial L2 Charger (18' Cable with Modem)</v>
      </c>
      <c r="T4" s="283">
        <f>IF('INPUT SHEET'!E9="","",'INPUT SHEET'!I9)</f>
        <v>2</v>
      </c>
    </row>
    <row r="5" spans="2:20" ht="15.75" thickBot="1">
      <c r="B5" s="260" t="s">
        <v>386</v>
      </c>
      <c r="C5" s="168"/>
      <c r="D5" s="169"/>
      <c r="E5" s="168"/>
      <c r="F5" s="261"/>
      <c r="G5" s="170" t="str">
        <f>IF(G3=0,"",_xlfn.IFS(G2=30,50,G2=50,100,G2=60,100,G2=100,200,G2=120,200,G2=160,300,G2=180,300,G2=200,335,G2=240,400,G2=275,500,G2=300,500,G2=360,600))</f>
        <v/>
      </c>
      <c r="H5" s="170" t="str">
        <f t="shared" ref="H5:L5" si="0">IF(H3=0,"",_xlfn.IFS(H2=30,50,H2=50,100,H2=60,100,H2=100,200,H2=120,200,H2=160,300,H2=180,300,H2=200,335,H2=240,400,H2=275,500,H2=300,500,H2=360,600))</f>
        <v/>
      </c>
      <c r="I5" s="170" t="str">
        <f t="shared" si="0"/>
        <v/>
      </c>
      <c r="J5" s="170" t="str">
        <f t="shared" si="0"/>
        <v/>
      </c>
      <c r="K5" s="170" t="str">
        <f t="shared" si="0"/>
        <v/>
      </c>
      <c r="L5" s="170" t="str">
        <f t="shared" si="0"/>
        <v/>
      </c>
      <c r="Q5" s="244"/>
      <c r="S5" s="279" t="str">
        <f>IF('INPUT SHEET'!E10="","",'INPUT SHEET'!F10)</f>
        <v>Dual Retractor (Post)</v>
      </c>
      <c r="T5" s="283">
        <f>IF('INPUT SHEET'!E10="","",'INPUT SHEET'!I10)</f>
        <v>2</v>
      </c>
    </row>
    <row r="6" spans="2:20" ht="15.75" thickBot="1">
      <c r="B6" s="172" t="s">
        <v>387</v>
      </c>
      <c r="C6" s="168">
        <f>C3*1</f>
        <v>0</v>
      </c>
      <c r="D6" s="169">
        <f>D3*2</f>
        <v>0</v>
      </c>
      <c r="E6" s="168">
        <f t="shared" ref="E6:L6" si="1">E3*1</f>
        <v>0</v>
      </c>
      <c r="F6" s="168">
        <f>F3*2</f>
        <v>0</v>
      </c>
      <c r="G6" s="169">
        <f>G3*1</f>
        <v>0</v>
      </c>
      <c r="H6" s="173">
        <f t="shared" si="1"/>
        <v>0</v>
      </c>
      <c r="I6" s="173">
        <f t="shared" si="1"/>
        <v>0</v>
      </c>
      <c r="J6" s="173">
        <f t="shared" si="1"/>
        <v>0</v>
      </c>
      <c r="K6" s="173">
        <f t="shared" si="1"/>
        <v>0</v>
      </c>
      <c r="L6" s="173">
        <f t="shared" si="1"/>
        <v>0</v>
      </c>
      <c r="M6" s="179">
        <f>SUM(C6:L6)</f>
        <v>0</v>
      </c>
      <c r="Q6" s="244"/>
      <c r="S6" s="279" t="str">
        <f>IF('INPUT SHEET'!E11="","",'INPUT SHEET'!F11)</f>
        <v/>
      </c>
      <c r="T6" s="283" t="str">
        <f>IF('INPUT SHEET'!E11="","",'INPUT SHEET'!I11)</f>
        <v/>
      </c>
    </row>
    <row r="7" spans="2:20" hidden="1">
      <c r="B7" s="174" t="s">
        <v>388</v>
      </c>
      <c r="C7" s="175">
        <v>7.7</v>
      </c>
      <c r="D7" s="176">
        <v>19.2</v>
      </c>
      <c r="E7" s="175">
        <v>7.7</v>
      </c>
      <c r="F7" s="176">
        <v>19.2</v>
      </c>
      <c r="G7" s="176">
        <v>60</v>
      </c>
      <c r="H7" s="177">
        <v>120</v>
      </c>
      <c r="I7" s="177">
        <v>160</v>
      </c>
      <c r="J7" s="177">
        <v>180</v>
      </c>
      <c r="K7" s="177">
        <v>300</v>
      </c>
      <c r="L7" s="177">
        <v>360</v>
      </c>
      <c r="Q7" s="244"/>
      <c r="S7" s="279" t="str">
        <f>IF('INPUT SHEET'!E12="","",'INPUT SHEET'!F12)</f>
        <v/>
      </c>
      <c r="T7" s="283" t="str">
        <f>IF('INPUT SHEET'!E12="","",'INPUT SHEET'!I12)</f>
        <v/>
      </c>
    </row>
    <row r="8" spans="2:20" ht="15.75" thickBot="1">
      <c r="B8" s="631" t="s">
        <v>389</v>
      </c>
      <c r="C8" s="632"/>
      <c r="D8" s="632"/>
      <c r="E8" s="632"/>
      <c r="F8" s="632"/>
      <c r="G8" s="632"/>
      <c r="H8" s="632"/>
      <c r="I8" s="632"/>
      <c r="J8" s="632"/>
      <c r="K8" s="632"/>
      <c r="L8" s="633"/>
      <c r="Q8" s="244"/>
      <c r="S8" s="279" t="str">
        <f>IF('INPUT SHEET'!E13="","",'INPUT SHEET'!F13)</f>
        <v/>
      </c>
      <c r="T8" s="283" t="str">
        <f>IF('INPUT SHEET'!E13="","",'INPUT SHEET'!I13)</f>
        <v/>
      </c>
    </row>
    <row r="9" spans="2:20">
      <c r="B9" s="154" t="s">
        <v>386</v>
      </c>
      <c r="C9" s="155">
        <v>30</v>
      </c>
      <c r="D9" s="155">
        <v>30</v>
      </c>
      <c r="E9" s="155">
        <v>30</v>
      </c>
      <c r="F9" s="155">
        <v>30</v>
      </c>
      <c r="G9" s="155">
        <v>100</v>
      </c>
      <c r="H9" s="156">
        <v>200</v>
      </c>
      <c r="I9" s="156">
        <v>300</v>
      </c>
      <c r="J9" s="156">
        <v>400</v>
      </c>
      <c r="K9" s="156">
        <v>500</v>
      </c>
      <c r="L9" s="156">
        <v>600</v>
      </c>
      <c r="Q9" s="244"/>
      <c r="S9" s="279" t="str">
        <f>IF('INPUT SHEET'!E14="","",'INPUT SHEET'!F14)</f>
        <v/>
      </c>
      <c r="T9" s="283" t="str">
        <f>IF('INPUT SHEET'!E14="","",'INPUT SHEET'!I14)</f>
        <v/>
      </c>
    </row>
    <row r="10" spans="2:20" ht="15.75" thickBot="1">
      <c r="B10" s="157" t="s">
        <v>390</v>
      </c>
      <c r="C10" s="149">
        <f>C3*1</f>
        <v>0</v>
      </c>
      <c r="D10" s="149">
        <f>D3*2</f>
        <v>0</v>
      </c>
      <c r="E10" s="149">
        <f>E3*1</f>
        <v>0</v>
      </c>
      <c r="F10" s="149">
        <f>F3*2</f>
        <v>0</v>
      </c>
      <c r="G10" s="149">
        <f>G3*1</f>
        <v>0</v>
      </c>
      <c r="H10" s="153">
        <f>H3*1</f>
        <v>0</v>
      </c>
      <c r="I10" s="153">
        <f>I3*1</f>
        <v>0</v>
      </c>
      <c r="J10" s="153">
        <f t="shared" ref="J10:K10" si="2">J3*1</f>
        <v>0</v>
      </c>
      <c r="K10" s="153">
        <f t="shared" si="2"/>
        <v>0</v>
      </c>
      <c r="L10" s="153">
        <f>L3*1</f>
        <v>0</v>
      </c>
      <c r="Q10" s="244"/>
      <c r="S10" s="279" t="str">
        <f>IF('INPUT SHEET'!E15="","",'INPUT SHEET'!F15)</f>
        <v/>
      </c>
      <c r="T10" s="283" t="str">
        <f>IF('INPUT SHEET'!E15="","",'INPUT SHEET'!I15)</f>
        <v/>
      </c>
    </row>
    <row r="11" spans="2:20" ht="15.75" thickBot="1">
      <c r="B11" s="157" t="s">
        <v>391</v>
      </c>
      <c r="C11" s="611">
        <v>0</v>
      </c>
      <c r="D11" s="612"/>
      <c r="E11" s="612"/>
      <c r="F11" s="613"/>
      <c r="G11" s="626">
        <v>0</v>
      </c>
      <c r="H11" s="627"/>
      <c r="I11" s="627"/>
      <c r="J11" s="627"/>
      <c r="K11" s="627"/>
      <c r="L11" s="628"/>
      <c r="O11" s="178" t="s">
        <v>392</v>
      </c>
      <c r="P11" s="179">
        <v>30</v>
      </c>
      <c r="Q11" s="244"/>
      <c r="S11" s="279" t="str">
        <f>IF('INPUT SHEET'!E16="","",'INPUT SHEET'!F16)</f>
        <v/>
      </c>
      <c r="T11" s="283" t="str">
        <f>IF('INPUT SHEET'!E16="","",'INPUT SHEET'!I16)</f>
        <v/>
      </c>
    </row>
    <row r="12" spans="2:20" ht="15.75" thickBot="1">
      <c r="B12" s="157" t="s">
        <v>393</v>
      </c>
      <c r="C12" s="611">
        <f>(C6*C7)+(D6*D7)+(E6*E7)+(F6*F7)</f>
        <v>0</v>
      </c>
      <c r="D12" s="612"/>
      <c r="E12" s="612"/>
      <c r="F12" s="613"/>
      <c r="G12" s="626">
        <f>(G3*G7)+(H3*H7)+(I3*I7)+(J3*J7)+(K7*K3)+(L3*L7)</f>
        <v>0</v>
      </c>
      <c r="H12" s="627"/>
      <c r="I12" s="627"/>
      <c r="J12" s="627"/>
      <c r="K12" s="627"/>
      <c r="L12" s="628"/>
      <c r="Q12" s="244"/>
      <c r="S12" s="279" t="str">
        <f>IF('INPUT SHEET'!E17="","",'INPUT SHEET'!F17)</f>
        <v/>
      </c>
      <c r="T12" s="283" t="str">
        <f>IF('INPUT SHEET'!E17="","",'INPUT SHEET'!I17)</f>
        <v/>
      </c>
    </row>
    <row r="13" spans="2:20" ht="15.75" thickBot="1">
      <c r="B13" s="157" t="s">
        <v>394</v>
      </c>
      <c r="C13" s="611">
        <f>'CPM Calcs'!S69</f>
        <v>0</v>
      </c>
      <c r="D13" s="612"/>
      <c r="E13" s="612"/>
      <c r="F13" s="613"/>
      <c r="G13" s="611">
        <v>0</v>
      </c>
      <c r="H13" s="612"/>
      <c r="I13" s="612"/>
      <c r="J13" s="612"/>
      <c r="K13" s="612"/>
      <c r="L13" s="614"/>
      <c r="O13" s="178" t="s">
        <v>395</v>
      </c>
      <c r="P13" s="241">
        <v>0</v>
      </c>
      <c r="Q13" s="244"/>
      <c r="S13" s="279" t="str">
        <f>IF('INPUT SHEET'!E18="","",'INPUT SHEET'!F18)</f>
        <v/>
      </c>
      <c r="T13" s="283" t="str">
        <f>IF('INPUT SHEET'!E18="","",'INPUT SHEET'!I18)</f>
        <v/>
      </c>
    </row>
    <row r="14" spans="2:20">
      <c r="B14" s="157" t="s">
        <v>396</v>
      </c>
      <c r="C14" s="611">
        <f>'CPM Calcs'!S71</f>
        <v>600</v>
      </c>
      <c r="D14" s="612"/>
      <c r="E14" s="612"/>
      <c r="F14" s="613"/>
      <c r="G14" s="611">
        <v>0</v>
      </c>
      <c r="H14" s="612"/>
      <c r="I14" s="612"/>
      <c r="J14" s="612"/>
      <c r="K14" s="612"/>
      <c r="L14" s="614"/>
      <c r="Q14" s="244"/>
      <c r="S14" s="279" t="str">
        <f>IF('INPUT SHEET'!E19="","",'INPUT SHEET'!F19)</f>
        <v/>
      </c>
      <c r="T14" s="283" t="str">
        <f>IF('INPUT SHEET'!E19="","",'INPUT SHEET'!I19)</f>
        <v/>
      </c>
    </row>
    <row r="15" spans="2:20" ht="15.75" thickBot="1">
      <c r="B15" s="157" t="s">
        <v>397</v>
      </c>
      <c r="C15" s="611">
        <f>C14</f>
        <v>600</v>
      </c>
      <c r="D15" s="612"/>
      <c r="E15" s="612"/>
      <c r="F15" s="613"/>
      <c r="G15" s="623">
        <v>0</v>
      </c>
      <c r="H15" s="624"/>
      <c r="I15" s="624"/>
      <c r="J15" s="624"/>
      <c r="K15" s="624"/>
      <c r="L15" s="625"/>
      <c r="Q15" s="244"/>
      <c r="S15" s="279" t="str">
        <f>IF('INPUT SHEET'!E20="","",'INPUT SHEET'!F20)</f>
        <v/>
      </c>
      <c r="T15" s="283" t="str">
        <f>IF('INPUT SHEET'!E20="","",'INPUT SHEET'!I20)</f>
        <v/>
      </c>
    </row>
    <row r="16" spans="2:20">
      <c r="B16" s="157" t="s">
        <v>398</v>
      </c>
      <c r="C16" s="611">
        <f>C13*C14</f>
        <v>0</v>
      </c>
      <c r="D16" s="612"/>
      <c r="E16" s="612"/>
      <c r="F16" s="613"/>
      <c r="G16" s="258"/>
      <c r="H16" s="259"/>
      <c r="I16" s="259"/>
      <c r="J16" s="259"/>
      <c r="K16" s="259"/>
      <c r="L16" s="259"/>
      <c r="Q16" s="244"/>
      <c r="S16" s="279" t="str">
        <f>IF('INPUT SHEET'!E21="","",'INPUT SHEET'!F21)</f>
        <v/>
      </c>
      <c r="T16" s="283" t="str">
        <f>IF('INPUT SHEET'!E21="","",'INPUT SHEET'!I21)</f>
        <v/>
      </c>
    </row>
    <row r="17" spans="2:24">
      <c r="B17" s="157" t="s">
        <v>399</v>
      </c>
      <c r="C17" s="258"/>
      <c r="D17" s="258"/>
      <c r="E17" s="258"/>
      <c r="F17" s="258"/>
      <c r="G17" s="611">
        <f>'CPM Calcs'!R71</f>
        <v>100</v>
      </c>
      <c r="H17" s="612"/>
      <c r="I17" s="612"/>
      <c r="J17" s="612"/>
      <c r="K17" s="612"/>
      <c r="L17" s="614"/>
      <c r="Q17" s="244"/>
      <c r="S17" s="279" t="str">
        <f>IF('INPUT SHEET'!E22="","",'INPUT SHEET'!F22)</f>
        <v/>
      </c>
      <c r="T17" s="283" t="str">
        <f>IF('INPUT SHEET'!E22="","",'INPUT SHEET'!I22)</f>
        <v/>
      </c>
    </row>
    <row r="18" spans="2:24">
      <c r="B18" s="245"/>
      <c r="Q18" s="244"/>
      <c r="S18" s="279" t="str">
        <f>IF('INPUT SHEET'!E23="","",'INPUT SHEET'!F23)</f>
        <v/>
      </c>
      <c r="T18" s="283" t="str">
        <f>IF('INPUT SHEET'!E23="","",'INPUT SHEET'!I23)</f>
        <v/>
      </c>
    </row>
    <row r="19" spans="2:24" ht="22.5" customHeight="1" thickBot="1">
      <c r="B19" s="615" t="s">
        <v>375</v>
      </c>
      <c r="C19" s="616"/>
      <c r="D19" s="616"/>
      <c r="E19" s="616"/>
      <c r="F19" s="616"/>
      <c r="G19" s="616"/>
      <c r="H19" s="616"/>
      <c r="I19" s="616"/>
      <c r="J19" s="616"/>
      <c r="K19" s="616"/>
      <c r="L19" s="616"/>
      <c r="M19" s="616"/>
      <c r="N19" s="616"/>
      <c r="O19" s="616"/>
      <c r="Q19" s="244"/>
      <c r="S19" s="280" t="str">
        <f>IF('INPUT SHEET'!E24="","",'INPUT SHEET'!F24)</f>
        <v/>
      </c>
      <c r="T19" s="284" t="str">
        <f>IF('INPUT SHEET'!E24="","",'INPUT SHEET'!I24)</f>
        <v/>
      </c>
    </row>
    <row r="20" spans="2:24" ht="14.1" customHeight="1">
      <c r="B20" s="615"/>
      <c r="C20" s="616"/>
      <c r="D20" s="616"/>
      <c r="E20" s="616"/>
      <c r="F20" s="616"/>
      <c r="G20" s="616"/>
      <c r="H20" s="616"/>
      <c r="I20" s="616"/>
      <c r="J20" s="616"/>
      <c r="K20" s="616"/>
      <c r="L20" s="616"/>
      <c r="M20" s="616"/>
      <c r="N20" s="616"/>
      <c r="O20" s="616"/>
      <c r="Q20" s="244"/>
    </row>
    <row r="21" spans="2:24" ht="45.95" hidden="1" customHeight="1">
      <c r="B21" s="615"/>
      <c r="C21" s="616"/>
      <c r="D21" s="616"/>
      <c r="E21" s="616"/>
      <c r="F21" s="616"/>
      <c r="G21" s="616"/>
      <c r="H21" s="616"/>
      <c r="I21" s="616"/>
      <c r="J21" s="616"/>
      <c r="K21" s="616"/>
      <c r="L21" s="616"/>
      <c r="M21" s="616"/>
      <c r="N21" s="616"/>
      <c r="O21" s="616"/>
      <c r="P21" s="244"/>
      <c r="Q21" s="244"/>
    </row>
    <row r="22" spans="2:24" ht="45.95" hidden="1" customHeight="1">
      <c r="B22" s="615"/>
      <c r="C22" s="616"/>
      <c r="D22" s="616"/>
      <c r="E22" s="616"/>
      <c r="F22" s="616"/>
      <c r="G22" s="616"/>
      <c r="H22" s="616"/>
      <c r="I22" s="616"/>
      <c r="J22" s="616"/>
      <c r="K22" s="616"/>
      <c r="L22" s="616"/>
      <c r="M22" s="616"/>
      <c r="N22" s="616"/>
      <c r="O22" s="616"/>
      <c r="P22" s="244"/>
      <c r="Q22" s="244"/>
    </row>
    <row r="23" spans="2:24" ht="45.95" hidden="1" customHeight="1">
      <c r="B23" s="615"/>
      <c r="C23" s="616"/>
      <c r="D23" s="616"/>
      <c r="E23" s="616"/>
      <c r="F23" s="616"/>
      <c r="G23" s="616"/>
      <c r="H23" s="616"/>
      <c r="I23" s="616"/>
      <c r="J23" s="616"/>
      <c r="K23" s="616"/>
      <c r="L23" s="616"/>
      <c r="M23" s="616"/>
      <c r="N23" s="616"/>
      <c r="O23" s="616"/>
      <c r="P23" s="244"/>
      <c r="Q23" s="244"/>
    </row>
    <row r="24" spans="2:24" ht="45.95" hidden="1" customHeight="1">
      <c r="B24" s="617"/>
      <c r="C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  <c r="P24" s="246"/>
      <c r="Q24" s="246"/>
    </row>
    <row r="25" spans="2:24" ht="5.45" customHeight="1" thickBot="1">
      <c r="B25" s="247"/>
      <c r="C25" s="152"/>
      <c r="D25" s="152"/>
      <c r="E25" s="152"/>
      <c r="F25" s="152"/>
      <c r="G25" s="152"/>
      <c r="H25" s="152"/>
      <c r="I25" s="152"/>
      <c r="J25" s="152"/>
      <c r="K25" s="152"/>
      <c r="L25" s="248"/>
      <c r="M25" s="248"/>
      <c r="N25" s="248"/>
      <c r="O25" s="248"/>
      <c r="P25" s="248"/>
      <c r="Q25" s="246"/>
    </row>
    <row r="29" spans="2:24">
      <c r="B29" s="274"/>
      <c r="C29" s="158"/>
      <c r="D29" s="619"/>
      <c r="E29" s="619"/>
      <c r="F29" s="619"/>
      <c r="G29" s="619"/>
      <c r="H29" s="619"/>
      <c r="I29" s="619"/>
      <c r="J29" s="619"/>
      <c r="K29" s="619"/>
      <c r="L29" s="619"/>
      <c r="M29" s="619"/>
      <c r="N29" s="619"/>
      <c r="O29" s="158"/>
      <c r="P29" s="158"/>
      <c r="Q29" s="158"/>
      <c r="R29" s="137"/>
      <c r="S29" s="277" t="s">
        <v>400</v>
      </c>
      <c r="T29" s="620">
        <f>'INPUT SHEET'!N17</f>
        <v>0</v>
      </c>
      <c r="U29" s="621"/>
      <c r="V29" s="621"/>
      <c r="W29" s="621"/>
      <c r="X29" s="622"/>
    </row>
    <row r="30" spans="2:24">
      <c r="C30" s="137" t="str">
        <f>IF(D30="","",ROW()-27)</f>
        <v/>
      </c>
      <c r="D30" s="596"/>
      <c r="E30" s="596"/>
      <c r="F30" s="596"/>
      <c r="G30" s="596"/>
      <c r="H30" s="597"/>
      <c r="I30" s="597"/>
      <c r="J30" s="597"/>
      <c r="K30" s="597"/>
      <c r="L30" s="597"/>
      <c r="M30" s="597"/>
      <c r="N30" s="597"/>
      <c r="O30" s="138"/>
      <c r="P30" s="137"/>
      <c r="Q30" s="138"/>
      <c r="R30" s="137"/>
      <c r="S30" s="277" t="s">
        <v>742</v>
      </c>
      <c r="T30" s="610">
        <f>'INPUT SHEET'!N18</f>
        <v>0</v>
      </c>
      <c r="U30" s="610"/>
      <c r="V30" s="610"/>
      <c r="W30" s="610"/>
      <c r="X30" s="610"/>
    </row>
    <row r="31" spans="2:24">
      <c r="C31" s="137" t="str">
        <f t="shared" ref="C31:C35" si="3">IF(D31="","",ROW()-27)</f>
        <v/>
      </c>
      <c r="D31" s="596"/>
      <c r="E31" s="596"/>
      <c r="F31" s="596"/>
      <c r="G31" s="596"/>
      <c r="H31" s="597"/>
      <c r="I31" s="597"/>
      <c r="J31" s="597"/>
      <c r="K31" s="597"/>
      <c r="L31" s="597"/>
      <c r="M31" s="597"/>
      <c r="N31" s="597"/>
      <c r="O31" s="138" t="str">
        <f>IF(F31="","",INDEX(#REF!,MATCH(F31,#REF!,0)))</f>
        <v/>
      </c>
      <c r="P31" s="137"/>
      <c r="Q31" s="138" t="str">
        <f t="shared" ref="Q31:Q35" si="4">IF(P31="","",O31*P31)</f>
        <v/>
      </c>
      <c r="R31" s="137"/>
      <c r="S31" s="277" t="s">
        <v>401</v>
      </c>
      <c r="T31" s="610">
        <f>'INPUT SHEET'!N19</f>
        <v>0</v>
      </c>
      <c r="U31" s="610"/>
      <c r="V31" s="610"/>
      <c r="W31" s="610"/>
      <c r="X31" s="610"/>
    </row>
    <row r="32" spans="2:24">
      <c r="C32" s="137" t="str">
        <f t="shared" si="3"/>
        <v/>
      </c>
      <c r="D32" s="596"/>
      <c r="E32" s="596"/>
      <c r="F32" s="596"/>
      <c r="G32" s="596"/>
      <c r="H32" s="597"/>
      <c r="I32" s="597"/>
      <c r="J32" s="597"/>
      <c r="K32" s="597"/>
      <c r="L32" s="597"/>
      <c r="M32" s="597"/>
      <c r="N32" s="597"/>
      <c r="O32" s="138" t="str">
        <f>IF(F32="","",INDEX(#REF!,MATCH(F32,#REF!,0)))</f>
        <v/>
      </c>
      <c r="P32" s="137"/>
      <c r="Q32" s="138" t="str">
        <f t="shared" si="4"/>
        <v/>
      </c>
      <c r="R32" s="137"/>
      <c r="S32" s="277" t="s">
        <v>402</v>
      </c>
      <c r="T32" s="610"/>
      <c r="U32" s="610"/>
      <c r="V32" s="610"/>
      <c r="W32" s="610"/>
      <c r="X32" s="610"/>
    </row>
    <row r="33" spans="2:26">
      <c r="C33" s="137" t="str">
        <f t="shared" si="3"/>
        <v/>
      </c>
      <c r="D33" s="596"/>
      <c r="E33" s="596"/>
      <c r="F33" s="596"/>
      <c r="G33" s="596"/>
      <c r="H33" s="597"/>
      <c r="I33" s="597"/>
      <c r="J33" s="597"/>
      <c r="K33" s="597"/>
      <c r="L33" s="597"/>
      <c r="M33" s="597"/>
      <c r="N33" s="597"/>
      <c r="O33" s="138" t="str">
        <f>IF(F33="","",INDEX(#REF!,MATCH(F33,#REF!,0)))</f>
        <v/>
      </c>
      <c r="P33" s="137"/>
      <c r="Q33" s="138" t="str">
        <f t="shared" si="4"/>
        <v/>
      </c>
      <c r="R33" s="137"/>
      <c r="S33" s="277" t="s">
        <v>403</v>
      </c>
      <c r="T33" s="610">
        <f>'INPUT SHEET'!N20</f>
        <v>0</v>
      </c>
      <c r="U33" s="610"/>
      <c r="V33" s="610"/>
      <c r="W33" s="610"/>
      <c r="X33" s="610"/>
    </row>
    <row r="34" spans="2:26">
      <c r="C34" s="137" t="str">
        <f t="shared" si="3"/>
        <v/>
      </c>
      <c r="D34" s="596"/>
      <c r="E34" s="596"/>
      <c r="F34" s="596"/>
      <c r="G34" s="596"/>
      <c r="H34" s="597"/>
      <c r="I34" s="597"/>
      <c r="J34" s="597"/>
      <c r="K34" s="597"/>
      <c r="L34" s="597"/>
      <c r="M34" s="597"/>
      <c r="N34" s="597"/>
      <c r="O34" s="138" t="str">
        <f>IF(F34="","",INDEX(#REF!,MATCH(F34,#REF!,0)))</f>
        <v/>
      </c>
      <c r="P34" s="137"/>
      <c r="Q34" s="138" t="str">
        <f t="shared" si="4"/>
        <v/>
      </c>
      <c r="R34" s="137"/>
      <c r="S34" s="598" t="s">
        <v>745</v>
      </c>
      <c r="T34" s="601">
        <f>'INPUT SHEET'!N21</f>
        <v>0</v>
      </c>
      <c r="U34" s="602"/>
      <c r="V34" s="602"/>
      <c r="W34" s="602"/>
      <c r="X34" s="603"/>
    </row>
    <row r="35" spans="2:26">
      <c r="C35" s="137" t="str">
        <f t="shared" si="3"/>
        <v/>
      </c>
      <c r="D35" s="596"/>
      <c r="E35" s="596"/>
      <c r="F35" s="596"/>
      <c r="G35" s="596"/>
      <c r="H35" s="597"/>
      <c r="I35" s="597"/>
      <c r="J35" s="597"/>
      <c r="K35" s="597"/>
      <c r="L35" s="597"/>
      <c r="M35" s="597"/>
      <c r="N35" s="597"/>
      <c r="O35" s="138" t="str">
        <f>IF(F35="","",INDEX(#REF!,MATCH(F35,#REF!,0)))</f>
        <v/>
      </c>
      <c r="P35" s="137"/>
      <c r="Q35" s="138" t="str">
        <f t="shared" si="4"/>
        <v/>
      </c>
      <c r="R35" s="137"/>
      <c r="S35" s="599"/>
      <c r="T35" s="604"/>
      <c r="U35" s="605"/>
      <c r="V35" s="605"/>
      <c r="W35" s="605"/>
      <c r="X35" s="606"/>
    </row>
    <row r="36" spans="2:26">
      <c r="B36" s="274"/>
      <c r="O36" s="138" t="str">
        <f>IF(F36="","",INDEX(#REF!,MATCH(F36,#REF!,0)))</f>
        <v/>
      </c>
      <c r="Q36" s="275"/>
      <c r="R36" s="137"/>
      <c r="S36" s="599"/>
      <c r="T36" s="604"/>
      <c r="U36" s="605"/>
      <c r="V36" s="605"/>
      <c r="W36" s="605"/>
      <c r="X36" s="606"/>
    </row>
    <row r="37" spans="2:26">
      <c r="R37" s="137"/>
      <c r="S37" s="599"/>
      <c r="T37" s="604"/>
      <c r="U37" s="605"/>
      <c r="V37" s="605"/>
      <c r="W37" s="605"/>
      <c r="X37" s="606"/>
    </row>
    <row r="38" spans="2:26">
      <c r="R38" s="137"/>
      <c r="S38" s="599"/>
      <c r="T38" s="604"/>
      <c r="U38" s="605"/>
      <c r="V38" s="605"/>
      <c r="W38" s="605"/>
      <c r="X38" s="606"/>
    </row>
    <row r="39" spans="2:26">
      <c r="R39" s="137"/>
      <c r="S39" s="599"/>
      <c r="T39" s="604"/>
      <c r="U39" s="605"/>
      <c r="V39" s="605"/>
      <c r="W39" s="605"/>
      <c r="X39" s="606"/>
    </row>
    <row r="40" spans="2:26">
      <c r="R40" s="137"/>
      <c r="S40" s="599"/>
      <c r="T40" s="604"/>
      <c r="U40" s="605"/>
      <c r="V40" s="605"/>
      <c r="W40" s="605"/>
      <c r="X40" s="606"/>
    </row>
    <row r="41" spans="2:26">
      <c r="R41" s="137"/>
      <c r="S41" s="600"/>
      <c r="T41" s="607"/>
      <c r="U41" s="608"/>
      <c r="V41" s="608"/>
      <c r="W41" s="608"/>
      <c r="X41" s="609"/>
    </row>
    <row r="42" spans="2:26">
      <c r="R42" s="137"/>
      <c r="S42" s="264"/>
    </row>
    <row r="43" spans="2:26">
      <c r="R43" s="137"/>
      <c r="S43" s="264"/>
      <c r="T43" s="535"/>
    </row>
    <row r="44" spans="2:26">
      <c r="R44" s="137"/>
      <c r="S44" s="264"/>
      <c r="T44" s="535"/>
    </row>
    <row r="45" spans="2:26">
      <c r="R45" s="137"/>
      <c r="S45" s="264"/>
      <c r="T45" s="535"/>
    </row>
    <row r="46" spans="2:26">
      <c r="R46" s="137"/>
      <c r="S46" s="264"/>
      <c r="T46" s="535"/>
      <c r="Z46" s="536"/>
    </row>
    <row r="47" spans="2:26">
      <c r="R47" s="137"/>
      <c r="S47" s="264"/>
    </row>
    <row r="48" spans="2:26">
      <c r="R48" s="137"/>
      <c r="S48" s="264"/>
    </row>
    <row r="49" spans="18:19">
      <c r="R49" s="137"/>
      <c r="S49" s="264"/>
    </row>
    <row r="50" spans="18:19">
      <c r="R50" s="137"/>
      <c r="S50" s="264"/>
    </row>
  </sheetData>
  <mergeCells count="44">
    <mergeCell ref="C12:F12"/>
    <mergeCell ref="G12:L12"/>
    <mergeCell ref="C1:F1"/>
    <mergeCell ref="G1:L1"/>
    <mergeCell ref="B8:L8"/>
    <mergeCell ref="C11:F11"/>
    <mergeCell ref="G11:L11"/>
    <mergeCell ref="C13:F13"/>
    <mergeCell ref="G13:L13"/>
    <mergeCell ref="C14:F14"/>
    <mergeCell ref="G14:L14"/>
    <mergeCell ref="C15:F15"/>
    <mergeCell ref="G15:L15"/>
    <mergeCell ref="D31:E31"/>
    <mergeCell ref="F31:G31"/>
    <mergeCell ref="H31:N31"/>
    <mergeCell ref="T31:X31"/>
    <mergeCell ref="C16:F16"/>
    <mergeCell ref="G17:L17"/>
    <mergeCell ref="B19:O24"/>
    <mergeCell ref="D29:E29"/>
    <mergeCell ref="F29:G29"/>
    <mergeCell ref="H29:N29"/>
    <mergeCell ref="T29:X29"/>
    <mergeCell ref="D30:E30"/>
    <mergeCell ref="F30:G30"/>
    <mergeCell ref="H30:N30"/>
    <mergeCell ref="T30:X30"/>
    <mergeCell ref="D32:E32"/>
    <mergeCell ref="F32:G32"/>
    <mergeCell ref="H32:N32"/>
    <mergeCell ref="T32:X32"/>
    <mergeCell ref="D33:E33"/>
    <mergeCell ref="F33:G33"/>
    <mergeCell ref="H33:N33"/>
    <mergeCell ref="T33:X33"/>
    <mergeCell ref="D34:E34"/>
    <mergeCell ref="F34:G34"/>
    <mergeCell ref="H34:N34"/>
    <mergeCell ref="S34:S41"/>
    <mergeCell ref="T34:X41"/>
    <mergeCell ref="D35:E35"/>
    <mergeCell ref="F35:G35"/>
    <mergeCell ref="H35:N35"/>
  </mergeCells>
  <dataValidations count="3">
    <dataValidation type="list" allowBlank="1" showInputMessage="1" showErrorMessage="1" sqref="G2:L2" xr:uid="{9BCF2F64-DFBA-444D-AF87-4721EB0EBF3F}">
      <formula1>"30,50,60,100,120,160,180,240,360"</formula1>
    </dataValidation>
    <dataValidation type="list" allowBlank="1" showInputMessage="1" showErrorMessage="1" sqref="F30:F35" xr:uid="{572C2C0A-99D3-4FFD-86D2-5B4BF46C6001}">
      <formula1>INDIRECT(D30)</formula1>
    </dataValidation>
    <dataValidation type="list" allowBlank="1" showInputMessage="1" showErrorMessage="1" sqref="D30:D35" xr:uid="{9254B178-F975-49E9-9DBF-F581A7DA915C}">
      <formula1>_CTX_Category_List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5504-CE4C-4987-B02F-DAE66D478F36}">
  <sheetPr>
    <tabColor theme="9" tint="0.59999389629810485"/>
  </sheetPr>
  <dimension ref="B2:P20"/>
  <sheetViews>
    <sheetView zoomScale="90" zoomScaleNormal="90" workbookViewId="0">
      <selection activeCell="I25" sqref="I25"/>
    </sheetView>
  </sheetViews>
  <sheetFormatPr defaultColWidth="9.140625" defaultRowHeight="15"/>
  <cols>
    <col min="1" max="1" width="9.140625" style="239"/>
    <col min="2" max="2" width="73" style="239" customWidth="1"/>
    <col min="3" max="3" width="8.140625" style="137" customWidth="1"/>
    <col min="4" max="4" width="18" style="137" customWidth="1"/>
    <col min="5" max="5" width="11.7109375" style="273" customWidth="1"/>
    <col min="6" max="6" width="12.42578125" style="137" customWidth="1"/>
    <col min="7" max="7" width="12.7109375" style="138" customWidth="1"/>
    <col min="8" max="8" width="0.7109375" style="239" customWidth="1"/>
    <col min="9" max="9" width="11.7109375" style="137" customWidth="1"/>
    <col min="10" max="10" width="24.7109375" style="137" customWidth="1"/>
    <col min="11" max="11" width="12.5703125" style="265" bestFit="1" customWidth="1"/>
    <col min="12" max="12" width="2.28515625" style="239" customWidth="1"/>
    <col min="13" max="13" width="1.7109375" style="239" customWidth="1"/>
    <col min="14" max="14" width="2" style="239" customWidth="1"/>
    <col min="15" max="15" width="18.42578125" style="239" customWidth="1"/>
    <col min="16" max="16" width="11" style="158" customWidth="1"/>
    <col min="17" max="17" width="11.5703125" style="239" customWidth="1"/>
    <col min="18" max="16384" width="9.140625" style="239"/>
  </cols>
  <sheetData>
    <row r="2" spans="2:16" ht="15.75" thickBot="1">
      <c r="B2" s="224" t="s">
        <v>34</v>
      </c>
      <c r="C2" s="166" t="s">
        <v>55</v>
      </c>
      <c r="D2" s="225" t="s">
        <v>404</v>
      </c>
      <c r="E2" s="226" t="s">
        <v>405</v>
      </c>
      <c r="F2" s="225" t="s">
        <v>56</v>
      </c>
      <c r="G2" s="220" t="s">
        <v>57</v>
      </c>
      <c r="I2" s="239"/>
      <c r="J2" s="239"/>
      <c r="P2" s="239"/>
    </row>
    <row r="3" spans="2:16" ht="15.75" thickBot="1">
      <c r="B3" s="221" t="s">
        <v>35</v>
      </c>
      <c r="C3" s="137">
        <v>1</v>
      </c>
      <c r="D3" s="677">
        <v>35852.85</v>
      </c>
      <c r="E3" s="678">
        <v>0.1</v>
      </c>
      <c r="F3" s="677">
        <v>39438.14</v>
      </c>
      <c r="G3" s="679">
        <v>39438.14</v>
      </c>
      <c r="I3" s="239"/>
      <c r="J3" s="180" t="s">
        <v>49</v>
      </c>
      <c r="K3" s="181"/>
    </row>
    <row r="4" spans="2:16" ht="15.75" thickBot="1">
      <c r="B4" s="221" t="s">
        <v>36</v>
      </c>
      <c r="C4" s="137">
        <v>1</v>
      </c>
      <c r="D4" s="677">
        <v>62700</v>
      </c>
      <c r="E4" s="678">
        <v>0.1</v>
      </c>
      <c r="F4" s="677">
        <v>68970</v>
      </c>
      <c r="G4" s="679">
        <v>68970</v>
      </c>
      <c r="I4" s="239"/>
      <c r="J4" s="162" t="s">
        <v>406</v>
      </c>
      <c r="K4" s="267">
        <v>12250</v>
      </c>
    </row>
    <row r="5" spans="2:16" ht="15.75" thickBot="1">
      <c r="B5" s="221" t="s">
        <v>37</v>
      </c>
      <c r="C5" s="137">
        <v>1</v>
      </c>
      <c r="D5" s="677">
        <v>12617</v>
      </c>
      <c r="E5" s="678">
        <v>0.1</v>
      </c>
      <c r="F5" s="677">
        <v>13878.7</v>
      </c>
      <c r="G5" s="679">
        <v>13878.7</v>
      </c>
      <c r="I5" s="239"/>
      <c r="J5" s="162" t="s">
        <v>407</v>
      </c>
      <c r="K5" s="268">
        <f>'INPUT SHEET CPM'!P11</f>
        <v>30</v>
      </c>
    </row>
    <row r="6" spans="2:16" ht="15.75" thickBot="1">
      <c r="B6" s="221" t="s">
        <v>408</v>
      </c>
      <c r="C6" s="137">
        <v>1</v>
      </c>
      <c r="D6" s="677">
        <v>2831.84</v>
      </c>
      <c r="E6" s="678">
        <v>0.1</v>
      </c>
      <c r="F6" s="677">
        <v>3115.02</v>
      </c>
      <c r="G6" s="679">
        <v>3115.02</v>
      </c>
      <c r="I6" s="239"/>
      <c r="J6" s="162" t="s">
        <v>409</v>
      </c>
      <c r="K6" s="268">
        <f>K5/30</f>
        <v>1</v>
      </c>
    </row>
    <row r="7" spans="2:16" ht="15.75" thickBot="1">
      <c r="B7" s="221" t="s">
        <v>410</v>
      </c>
      <c r="C7" s="137">
        <v>1</v>
      </c>
      <c r="D7" s="677">
        <v>9400.3799999999992</v>
      </c>
      <c r="E7" s="678">
        <v>0.1</v>
      </c>
      <c r="F7" s="677">
        <v>10340.42</v>
      </c>
      <c r="G7" s="679">
        <v>10340.42</v>
      </c>
      <c r="I7" s="239"/>
      <c r="J7" s="163" t="s">
        <v>411</v>
      </c>
      <c r="K7" s="269">
        <f>K5*K4</f>
        <v>367500</v>
      </c>
    </row>
    <row r="8" spans="2:16" ht="15.75" thickBot="1">
      <c r="B8" s="221" t="s">
        <v>40</v>
      </c>
      <c r="C8" s="137">
        <v>1</v>
      </c>
      <c r="D8" s="677">
        <v>8713.14</v>
      </c>
      <c r="E8" s="678">
        <v>0.1</v>
      </c>
      <c r="F8" s="677">
        <v>9584.4599999999991</v>
      </c>
      <c r="G8" s="679">
        <v>9584.4599999999991</v>
      </c>
      <c r="I8" s="239"/>
      <c r="J8" s="239"/>
      <c r="K8" s="270"/>
    </row>
    <row r="9" spans="2:16" ht="15.75" thickBot="1">
      <c r="B9" s="221" t="s">
        <v>96</v>
      </c>
      <c r="C9" s="137">
        <v>1</v>
      </c>
      <c r="D9" s="677">
        <v>19030</v>
      </c>
      <c r="E9" s="678">
        <v>0.1</v>
      </c>
      <c r="F9" s="677">
        <v>20933</v>
      </c>
      <c r="G9" s="679">
        <v>20933</v>
      </c>
      <c r="I9" s="239"/>
      <c r="J9" s="239"/>
      <c r="K9" s="270"/>
    </row>
    <row r="10" spans="2:16" ht="15.75" thickBot="1">
      <c r="B10" s="221" t="s">
        <v>42</v>
      </c>
      <c r="C10" s="137">
        <v>1</v>
      </c>
      <c r="D10" s="677">
        <v>3300</v>
      </c>
      <c r="E10" s="678">
        <v>0.1</v>
      </c>
      <c r="F10" s="677">
        <v>3630</v>
      </c>
      <c r="G10" s="679">
        <v>3630</v>
      </c>
      <c r="I10" s="239"/>
      <c r="J10" s="239"/>
      <c r="K10" s="270"/>
    </row>
    <row r="11" spans="2:16" ht="15.75" thickBot="1">
      <c r="B11" s="221" t="s">
        <v>43</v>
      </c>
      <c r="C11" s="137">
        <v>1</v>
      </c>
      <c r="D11" s="677">
        <v>2200</v>
      </c>
      <c r="E11" s="678">
        <v>0.1</v>
      </c>
      <c r="F11" s="677">
        <v>2420</v>
      </c>
      <c r="G11" s="679">
        <v>2420</v>
      </c>
      <c r="I11" s="239"/>
      <c r="J11" s="239"/>
      <c r="K11" s="271"/>
    </row>
    <row r="12" spans="2:16" ht="15.75" thickBot="1">
      <c r="B12" s="221" t="s">
        <v>44</v>
      </c>
      <c r="C12" s="137">
        <v>1</v>
      </c>
      <c r="D12" s="677">
        <v>4081</v>
      </c>
      <c r="E12" s="678">
        <v>0.1</v>
      </c>
      <c r="F12" s="677">
        <v>4489.1000000000004</v>
      </c>
      <c r="G12" s="679">
        <v>4489.1000000000004</v>
      </c>
      <c r="I12" s="239"/>
      <c r="J12" s="239"/>
      <c r="K12" s="271"/>
    </row>
    <row r="13" spans="2:16" ht="15.75" thickBot="1">
      <c r="B13" s="221" t="s">
        <v>45</v>
      </c>
      <c r="C13" s="137">
        <v>1</v>
      </c>
      <c r="D13" s="677">
        <v>13491.09</v>
      </c>
      <c r="E13" s="678">
        <v>0.1</v>
      </c>
      <c r="F13" s="677">
        <v>14840.2</v>
      </c>
      <c r="G13" s="679">
        <v>14840.2</v>
      </c>
      <c r="I13" s="272"/>
      <c r="J13" s="239"/>
      <c r="K13" s="271"/>
    </row>
    <row r="14" spans="2:16">
      <c r="B14" s="221" t="s">
        <v>46</v>
      </c>
      <c r="C14" s="137">
        <v>1</v>
      </c>
      <c r="D14" s="138"/>
      <c r="E14" s="266"/>
      <c r="F14" s="138"/>
      <c r="G14" s="214"/>
      <c r="I14" s="272"/>
      <c r="J14" s="239"/>
      <c r="K14" s="271"/>
    </row>
    <row r="15" spans="2:16">
      <c r="B15" s="222"/>
      <c r="C15" s="160"/>
      <c r="D15" s="161"/>
      <c r="E15" s="223"/>
      <c r="F15" s="161"/>
      <c r="G15" s="215">
        <f>SUM(G3:G13)</f>
        <v>191639.04000000001</v>
      </c>
      <c r="I15" s="239"/>
      <c r="J15" s="239"/>
    </row>
    <row r="16" spans="2:16" ht="15.75" thickBot="1">
      <c r="C16" s="228"/>
      <c r="D16" s="228"/>
      <c r="E16" s="228"/>
      <c r="F16" s="228"/>
      <c r="G16" s="229"/>
      <c r="I16" s="239"/>
    </row>
    <row r="17" spans="2:11" ht="15.75" thickBot="1">
      <c r="B17" s="634" t="s">
        <v>412</v>
      </c>
      <c r="C17" s="635"/>
      <c r="D17" s="635"/>
      <c r="E17" s="635"/>
      <c r="F17" s="635"/>
      <c r="G17" s="636"/>
      <c r="I17" s="239"/>
    </row>
    <row r="18" spans="2:11">
      <c r="B18" s="221" t="s">
        <v>49</v>
      </c>
      <c r="C18" s="137">
        <f>K5</f>
        <v>30</v>
      </c>
      <c r="D18" s="138">
        <f>K4</f>
        <v>12250</v>
      </c>
      <c r="E18" s="266">
        <v>0.1</v>
      </c>
      <c r="F18" s="138">
        <f t="shared" ref="F18" si="0">(D18*E18)+D18</f>
        <v>13475</v>
      </c>
      <c r="G18" s="214">
        <f>F18*C18</f>
        <v>404250</v>
      </c>
      <c r="I18" s="272"/>
      <c r="J18" s="239"/>
    </row>
    <row r="19" spans="2:11">
      <c r="B19" s="222"/>
      <c r="C19" s="160"/>
      <c r="D19" s="161"/>
      <c r="E19" s="223"/>
      <c r="F19" s="161"/>
      <c r="G19" s="215">
        <f>SUM(G18)</f>
        <v>404250</v>
      </c>
      <c r="I19" s="239"/>
      <c r="J19" s="239"/>
      <c r="K19" s="239"/>
    </row>
    <row r="20" spans="2:11" ht="15.75" thickBot="1">
      <c r="B20" s="163"/>
      <c r="C20" s="637" t="s">
        <v>57</v>
      </c>
      <c r="D20" s="637"/>
      <c r="E20" s="637"/>
      <c r="F20" s="637"/>
      <c r="G20" s="227">
        <f>G15+G19</f>
        <v>595889.04</v>
      </c>
    </row>
  </sheetData>
  <mergeCells count="2">
    <mergeCell ref="B17:G17"/>
    <mergeCell ref="C20:F20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7D5C-DF2F-4463-BDDB-D3BF79F686A0}">
  <dimension ref="A4:R97"/>
  <sheetViews>
    <sheetView zoomScale="90" zoomScaleNormal="90" workbookViewId="0">
      <selection activeCell="F12" sqref="F12"/>
    </sheetView>
  </sheetViews>
  <sheetFormatPr defaultColWidth="9.140625" defaultRowHeight="15"/>
  <cols>
    <col min="1" max="1" width="2.28515625" style="239" bestFit="1" customWidth="1"/>
    <col min="2" max="2" width="5.42578125" style="239" customWidth="1"/>
    <col min="3" max="4" width="9.140625" style="239"/>
    <col min="5" max="5" width="9.140625" style="137"/>
    <col min="6" max="12" width="9.140625" style="239"/>
    <col min="13" max="13" width="8.7109375" style="239" customWidth="1"/>
    <col min="14" max="14" width="9.140625" style="137"/>
    <col min="15" max="16" width="9.140625" style="239"/>
    <col min="17" max="17" width="8.28515625" style="239" bestFit="1" customWidth="1"/>
    <col min="18" max="19" width="2.28515625" style="239" bestFit="1" customWidth="1"/>
    <col min="20" max="16384" width="9.140625" style="239"/>
  </cols>
  <sheetData>
    <row r="4" spans="1:18">
      <c r="B4" s="139"/>
      <c r="C4" s="140"/>
      <c r="D4" s="141"/>
      <c r="E4" s="141"/>
      <c r="F4" s="141"/>
      <c r="G4" s="141"/>
      <c r="H4" s="141"/>
      <c r="I4" s="141" t="s">
        <v>640</v>
      </c>
      <c r="J4" s="141"/>
      <c r="K4" s="141"/>
      <c r="L4" s="140"/>
      <c r="M4" s="141"/>
      <c r="N4" s="141"/>
      <c r="O4" s="141"/>
      <c r="P4" s="141"/>
      <c r="Q4" s="142"/>
    </row>
    <row r="5" spans="1:18">
      <c r="B5" s="143"/>
      <c r="C5" s="137"/>
      <c r="E5" s="239"/>
      <c r="L5" s="137"/>
      <c r="N5" s="239"/>
      <c r="Q5" s="144"/>
    </row>
    <row r="6" spans="1:18">
      <c r="B6" s="143"/>
      <c r="C6" s="137" t="s">
        <v>641</v>
      </c>
      <c r="D6" s="239" t="s">
        <v>642</v>
      </c>
      <c r="E6" s="239"/>
      <c r="F6" s="239" t="s">
        <v>643</v>
      </c>
      <c r="H6" s="239" t="s">
        <v>644</v>
      </c>
      <c r="J6" s="239" t="s">
        <v>645</v>
      </c>
      <c r="K6" s="239">
        <f>IF(L6=480,277,120)</f>
        <v>277</v>
      </c>
      <c r="L6" s="137">
        <v>480</v>
      </c>
      <c r="M6" s="239" t="s">
        <v>646</v>
      </c>
      <c r="O6" s="239" t="s">
        <v>647</v>
      </c>
      <c r="P6" s="239">
        <f>O36</f>
        <v>400</v>
      </c>
      <c r="Q6" s="144" t="str">
        <f>IF(O36&lt;=1200,""&amp;O36&amp;"A 3P",""&amp;O36&amp;"A 3P")</f>
        <v>400A 3P</v>
      </c>
    </row>
    <row r="7" spans="1:18">
      <c r="B7" s="143"/>
      <c r="C7" s="137"/>
      <c r="E7" s="239"/>
      <c r="F7" s="239" t="s">
        <v>648</v>
      </c>
      <c r="H7" s="239" t="s">
        <v>649</v>
      </c>
      <c r="J7" s="239" t="s">
        <v>650</v>
      </c>
      <c r="L7" s="137" t="s">
        <v>651</v>
      </c>
      <c r="O7" s="239" t="s">
        <v>652</v>
      </c>
      <c r="P7" s="239">
        <f>O36</f>
        <v>400</v>
      </c>
      <c r="Q7" s="144" t="s">
        <v>653</v>
      </c>
    </row>
    <row r="8" spans="1:18">
      <c r="B8" s="143"/>
      <c r="C8" s="137"/>
      <c r="E8" s="239"/>
      <c r="F8" s="239" t="s">
        <v>654</v>
      </c>
      <c r="H8" s="239" t="s">
        <v>655</v>
      </c>
      <c r="J8" s="239" t="s">
        <v>656</v>
      </c>
      <c r="L8" s="137" t="s">
        <v>657</v>
      </c>
      <c r="O8" s="239" t="s">
        <v>658</v>
      </c>
      <c r="P8" s="249">
        <v>65000</v>
      </c>
      <c r="Q8" s="144"/>
    </row>
    <row r="9" spans="1:18">
      <c r="B9" s="143"/>
      <c r="C9" s="137"/>
      <c r="E9" s="239"/>
      <c r="L9" s="137"/>
      <c r="N9" s="239"/>
      <c r="Q9" s="144"/>
    </row>
    <row r="10" spans="1:18">
      <c r="B10" s="145"/>
      <c r="C10" s="146"/>
      <c r="D10" s="146"/>
      <c r="E10" s="146"/>
      <c r="F10" s="147"/>
      <c r="G10" s="147"/>
      <c r="H10" s="147"/>
      <c r="I10" s="147"/>
      <c r="J10" s="147"/>
      <c r="K10" s="147"/>
      <c r="L10" s="146"/>
      <c r="M10" s="147"/>
      <c r="N10" s="147"/>
      <c r="O10" s="147"/>
      <c r="P10" s="147"/>
      <c r="Q10" s="148"/>
    </row>
    <row r="11" spans="1:18">
      <c r="B11" s="149" t="s">
        <v>659</v>
      </c>
      <c r="C11" s="651" t="s">
        <v>660</v>
      </c>
      <c r="D11" s="651"/>
      <c r="E11" s="262" t="s">
        <v>661</v>
      </c>
      <c r="F11" s="262" t="s">
        <v>662</v>
      </c>
      <c r="G11" s="651" t="s">
        <v>653</v>
      </c>
      <c r="H11" s="651"/>
      <c r="I11" s="656" t="s">
        <v>663</v>
      </c>
      <c r="J11" s="656"/>
      <c r="K11" s="656" t="s">
        <v>664</v>
      </c>
      <c r="L11" s="656"/>
      <c r="M11" s="262" t="s">
        <v>662</v>
      </c>
      <c r="N11" s="262" t="s">
        <v>661</v>
      </c>
      <c r="O11" s="651" t="s">
        <v>660</v>
      </c>
      <c r="P11" s="651"/>
      <c r="Q11" s="149" t="s">
        <v>659</v>
      </c>
    </row>
    <row r="12" spans="1:18">
      <c r="A12" s="216" t="s">
        <v>653</v>
      </c>
      <c r="B12" s="217">
        <v>1</v>
      </c>
      <c r="C12" s="611" t="str">
        <f>IF(MAX('INPUT SHEET CPM'!G3:L3)&gt;=1,"EV CHARGER L3 #1","")</f>
        <v/>
      </c>
      <c r="D12" s="613"/>
      <c r="E12" s="238" t="str">
        <f>IF(MAX('INPUT SHEET CPM'!G3:L3)&gt;=1,MAX('INPUT SHEET CPM'!G5:L5),"")</f>
        <v/>
      </c>
      <c r="F12" s="238" t="str">
        <f>IF(MAX('INPUT SHEET CPM'!G3:L3)&gt;=1,3,"")</f>
        <v/>
      </c>
      <c r="G12" s="250" t="str">
        <f>IF(MAX('INPUT SHEET CPM'!G3:L3)&gt;=1,MAX('INPUT SHEET CPM'!G4:L4),"")</f>
        <v/>
      </c>
      <c r="H12" s="250" t="str">
        <f>IF(MAX('INPUT SHEET CPM'!G3:L3)&gt;=2,MAX('INPUT SHEET CPM'!G4:L4),"")</f>
        <v/>
      </c>
      <c r="I12" s="238"/>
      <c r="J12" s="238"/>
      <c r="K12" s="238"/>
      <c r="L12" s="238"/>
      <c r="M12" s="238">
        <v>3</v>
      </c>
      <c r="N12" s="238">
        <v>200</v>
      </c>
      <c r="O12" s="611" t="str">
        <f>IF(MAX('INPUT SHEET CPM'!G3:L3)&gt;=2,"EV CHARGER L3 #2","")</f>
        <v/>
      </c>
      <c r="P12" s="613"/>
      <c r="Q12" s="217">
        <v>2</v>
      </c>
      <c r="R12" s="239" t="s">
        <v>653</v>
      </c>
    </row>
    <row r="13" spans="1:18">
      <c r="A13" s="216" t="s">
        <v>663</v>
      </c>
      <c r="B13" s="217">
        <f t="shared" ref="B13:B32" si="0">B12+2</f>
        <v>3</v>
      </c>
      <c r="C13" s="645" t="s">
        <v>665</v>
      </c>
      <c r="D13" s="646"/>
      <c r="E13" s="238"/>
      <c r="F13" s="238"/>
      <c r="G13" s="238"/>
      <c r="H13" s="238"/>
      <c r="I13" s="250" t="str">
        <f>IF(MAX('INPUT SHEET CPM'!G3:L3)&gt;=1,MAX('INPUT SHEET CPM'!G4:L4),"")</f>
        <v/>
      </c>
      <c r="J13" s="250" t="str">
        <f>IF(MAX('INPUT SHEET CPM'!G3:L3)&gt;=2,MAX('INPUT SHEET CPM'!G4:L4),"")</f>
        <v/>
      </c>
      <c r="K13" s="238"/>
      <c r="L13" s="238"/>
      <c r="M13" s="238"/>
      <c r="N13" s="238"/>
      <c r="O13" s="645"/>
      <c r="P13" s="646"/>
      <c r="Q13" s="217">
        <f>Q12+2</f>
        <v>4</v>
      </c>
      <c r="R13" s="239" t="s">
        <v>663</v>
      </c>
    </row>
    <row r="14" spans="1:18">
      <c r="A14" s="216" t="s">
        <v>664</v>
      </c>
      <c r="B14" s="217">
        <f t="shared" si="0"/>
        <v>5</v>
      </c>
      <c r="C14" s="645" t="s">
        <v>665</v>
      </c>
      <c r="D14" s="646"/>
      <c r="E14" s="238"/>
      <c r="F14" s="238"/>
      <c r="G14" s="238"/>
      <c r="H14" s="238"/>
      <c r="I14" s="238"/>
      <c r="J14" s="238"/>
      <c r="K14" s="250" t="str">
        <f>IF(MAX('INPUT SHEET CPM'!G3:L3)&gt;=1,MAX('INPUT SHEET CPM'!G4:L4),"")</f>
        <v/>
      </c>
      <c r="L14" s="250" t="str">
        <f>IF(MAX('INPUT SHEET CPM'!G3:L3)&gt;=2,MAX('INPUT SHEET CPM'!G4:L4),"")</f>
        <v/>
      </c>
      <c r="M14" s="238"/>
      <c r="N14" s="238"/>
      <c r="O14" s="645" t="s">
        <v>665</v>
      </c>
      <c r="P14" s="646"/>
      <c r="Q14" s="217">
        <f t="shared" ref="Q14:Q32" si="1">Q13+2</f>
        <v>6</v>
      </c>
      <c r="R14" s="239" t="s">
        <v>664</v>
      </c>
    </row>
    <row r="15" spans="1:18">
      <c r="A15" s="216" t="s">
        <v>653</v>
      </c>
      <c r="B15" s="217">
        <f t="shared" si="0"/>
        <v>7</v>
      </c>
      <c r="C15" s="611" t="str">
        <f>IF(MAX('INPUT SHEET CPM'!G3:L3)&gt;=3,"EV CHARGER L3 #3","")</f>
        <v/>
      </c>
      <c r="D15" s="613"/>
      <c r="E15" s="149" t="str">
        <f>IF(MAX('INPUT SHEET CPM'!G3:L3)&gt;=3,MAX('INPUT SHEET CPM'!G5:L5),"")</f>
        <v/>
      </c>
      <c r="F15" s="238" t="str">
        <f>IF(MAX('INPUT SHEET CPM'!G3:L3)&gt;=3,3,"")</f>
        <v/>
      </c>
      <c r="G15" s="250" t="str">
        <f>IF(MAX('INPUT SHEET CPM'!G3:L3)&gt;=3,MAX('INPUT SHEET CPM'!G4:L4),"")</f>
        <v/>
      </c>
      <c r="H15" s="250" t="str">
        <f>IF(MAX('INPUT SHEET CPM'!G3:L3)&gt;=4,MAX('INPUT SHEET CPM'!G4:L4),"")</f>
        <v/>
      </c>
      <c r="I15" s="238"/>
      <c r="J15" s="238"/>
      <c r="K15" s="238"/>
      <c r="L15" s="238"/>
      <c r="M15" s="238" t="str">
        <f>IF(MAX('INPUT SHEET CPM'!G3:L3)&gt;=4,3,"")</f>
        <v/>
      </c>
      <c r="N15" s="238" t="str">
        <f>IF(MAX('INPUT SHEET CPM'!G3:L3)&gt;=4,MAX('INPUT SHEET CPM'!G5:L5),"")</f>
        <v/>
      </c>
      <c r="O15" s="611" t="str">
        <f>IF(MAX('INPUT SHEET CPM'!G3:L3)&gt;=4,"EV CHARGER L3 #4","")</f>
        <v/>
      </c>
      <c r="P15" s="613"/>
      <c r="Q15" s="217">
        <f t="shared" si="1"/>
        <v>8</v>
      </c>
      <c r="R15" s="239" t="s">
        <v>653</v>
      </c>
    </row>
    <row r="16" spans="1:18">
      <c r="A16" s="216" t="s">
        <v>663</v>
      </c>
      <c r="B16" s="217">
        <f t="shared" si="0"/>
        <v>9</v>
      </c>
      <c r="C16" s="645" t="s">
        <v>665</v>
      </c>
      <c r="D16" s="613"/>
      <c r="E16" s="238"/>
      <c r="F16" s="238"/>
      <c r="G16" s="238"/>
      <c r="H16" s="238"/>
      <c r="I16" s="250" t="str">
        <f>IF(MAX('INPUT SHEET CPM'!G3:L3)&gt;=3,MAX('INPUT SHEET CPM'!G4:L4),"")</f>
        <v/>
      </c>
      <c r="J16" s="250" t="str">
        <f>IF(MAX('INPUT SHEET CPM'!G3:L3)&gt;=4,MAX('INPUT SHEET CPM'!G4:L4),"")</f>
        <v/>
      </c>
      <c r="K16" s="238"/>
      <c r="L16" s="238"/>
      <c r="M16" s="238"/>
      <c r="N16" s="238"/>
      <c r="O16" s="645" t="s">
        <v>665</v>
      </c>
      <c r="P16" s="613"/>
      <c r="Q16" s="217">
        <f t="shared" si="1"/>
        <v>10</v>
      </c>
      <c r="R16" s="239" t="s">
        <v>663</v>
      </c>
    </row>
    <row r="17" spans="1:18">
      <c r="A17" s="216" t="s">
        <v>664</v>
      </c>
      <c r="B17" s="217">
        <f t="shared" si="0"/>
        <v>11</v>
      </c>
      <c r="C17" s="645" t="s">
        <v>665</v>
      </c>
      <c r="D17" s="613"/>
      <c r="E17" s="238"/>
      <c r="F17" s="238"/>
      <c r="G17" s="238"/>
      <c r="H17" s="238"/>
      <c r="I17" s="238"/>
      <c r="J17" s="238"/>
      <c r="K17" s="250" t="str">
        <f>IF(MAX('INPUT SHEET CPM'!G3:L3)&gt;=3,MAX('INPUT SHEET CPM'!G4:L4),"")</f>
        <v/>
      </c>
      <c r="L17" s="250" t="str">
        <f>IF(MAX('INPUT SHEET CPM'!G3:L3)&gt;=4,MAX('INPUT SHEET CPM'!G4:L4),"")</f>
        <v/>
      </c>
      <c r="M17" s="238"/>
      <c r="N17" s="238"/>
      <c r="O17" s="645" t="s">
        <v>665</v>
      </c>
      <c r="P17" s="613"/>
      <c r="Q17" s="217">
        <f t="shared" si="1"/>
        <v>12</v>
      </c>
      <c r="R17" s="239" t="s">
        <v>664</v>
      </c>
    </row>
    <row r="18" spans="1:18">
      <c r="A18" s="216" t="s">
        <v>653</v>
      </c>
      <c r="B18" s="217">
        <f t="shared" si="0"/>
        <v>13</v>
      </c>
      <c r="C18" s="611" t="str">
        <f>IF(MAX('INPUT SHEET CPM'!G3:L3)&gt;=5,"EV CHARGER L3 #5","")</f>
        <v/>
      </c>
      <c r="D18" s="613"/>
      <c r="E18" s="149" t="str">
        <f>IF(MAX('INPUT SHEET CPM'!G3:L3)&gt;=5,MAX('INPUT SHEET CPM'!G5:L5),"")</f>
        <v/>
      </c>
      <c r="F18" s="149" t="str">
        <f>IF(MAX('INPUT SHEET CPM'!G3:L3)&gt;=5,3,"")</f>
        <v/>
      </c>
      <c r="G18" s="250" t="str">
        <f>IF(MAX('INPUT SHEET CPM'!G3:L3)&gt;=5,MAX('INPUT SHEET CPM'!G4:L4),"")</f>
        <v/>
      </c>
      <c r="H18" s="250" t="str">
        <f>IF(MAX('INPUT SHEET CPM'!G3:L3)&gt;=6,MAX('INPUT SHEET CPM'!G4:L4),"")</f>
        <v/>
      </c>
      <c r="I18" s="238"/>
      <c r="J18" s="238"/>
      <c r="K18" s="238"/>
      <c r="L18" s="238"/>
      <c r="M18" s="219" t="str">
        <f>IF(MAX('INPUT SHEET CPM'!G3:L3)&gt;=6,3,"")</f>
        <v/>
      </c>
      <c r="N18" s="238" t="str">
        <f>IF(MAX('INPUT SHEET CPM'!G3:L3)&gt;=6,MAX('INPUT SHEET CPM'!G5:L5),"")</f>
        <v/>
      </c>
      <c r="O18" s="611" t="str">
        <f>IF(MAX('INPUT SHEET CPM'!G3:L3)&gt;=6,"EV CHARGER L3 #6","")</f>
        <v/>
      </c>
      <c r="P18" s="613"/>
      <c r="Q18" s="217">
        <f t="shared" si="1"/>
        <v>14</v>
      </c>
      <c r="R18" s="239" t="s">
        <v>653</v>
      </c>
    </row>
    <row r="19" spans="1:18">
      <c r="A19" s="216" t="s">
        <v>663</v>
      </c>
      <c r="B19" s="217">
        <f t="shared" si="0"/>
        <v>15</v>
      </c>
      <c r="C19" s="645" t="s">
        <v>665</v>
      </c>
      <c r="D19" s="613"/>
      <c r="E19" s="149"/>
      <c r="F19" s="149"/>
      <c r="G19" s="238"/>
      <c r="H19" s="238"/>
      <c r="I19" s="250" t="str">
        <f>IF(MAX('INPUT SHEET CPM'!G3:L3)&gt;=5,MAX('INPUT SHEET CPM'!G4:L4),"")</f>
        <v/>
      </c>
      <c r="J19" s="250" t="str">
        <f>IF(MAX('INPUT SHEET CPM'!G3:L3)&gt;=6,MAX('INPUT SHEET CPM'!G4:L4),"")</f>
        <v/>
      </c>
      <c r="K19" s="238"/>
      <c r="L19" s="238"/>
      <c r="M19" s="149"/>
      <c r="N19" s="149"/>
      <c r="O19" s="645" t="s">
        <v>665</v>
      </c>
      <c r="P19" s="613"/>
      <c r="Q19" s="217">
        <f t="shared" si="1"/>
        <v>16</v>
      </c>
      <c r="R19" s="239" t="s">
        <v>663</v>
      </c>
    </row>
    <row r="20" spans="1:18">
      <c r="A20" s="216" t="s">
        <v>664</v>
      </c>
      <c r="B20" s="217">
        <f t="shared" si="0"/>
        <v>17</v>
      </c>
      <c r="C20" s="645" t="s">
        <v>665</v>
      </c>
      <c r="D20" s="613"/>
      <c r="E20" s="149"/>
      <c r="F20" s="217"/>
      <c r="G20" s="238"/>
      <c r="H20" s="238"/>
      <c r="I20" s="238"/>
      <c r="J20" s="238"/>
      <c r="K20" s="250" t="str">
        <f>IF(MAX('INPUT SHEET CPM'!G3:L3)&gt;=5,MAX('INPUT SHEET CPM'!G4:L4),"")</f>
        <v/>
      </c>
      <c r="L20" s="250" t="str">
        <f>IF(MAX('INPUT SHEET CPM'!G3:L3)&gt;=6,MAX('INPUT SHEET CPM'!G4:L4),"")</f>
        <v/>
      </c>
      <c r="M20" s="149"/>
      <c r="N20" s="149"/>
      <c r="O20" s="645" t="s">
        <v>665</v>
      </c>
      <c r="P20" s="613"/>
      <c r="Q20" s="217">
        <f t="shared" si="1"/>
        <v>18</v>
      </c>
      <c r="R20" s="239" t="s">
        <v>664</v>
      </c>
    </row>
    <row r="21" spans="1:18">
      <c r="A21" s="216" t="s">
        <v>653</v>
      </c>
      <c r="B21" s="217">
        <f t="shared" si="0"/>
        <v>19</v>
      </c>
      <c r="C21" s="611" t="str">
        <f>IF(MAX('INPUT SHEET CPM'!G3:L3)&gt;=7,"EV CHARGER L3 #7","")</f>
        <v/>
      </c>
      <c r="D21" s="613"/>
      <c r="E21" s="149" t="str">
        <f>IF(MAX('INPUT SHEET CPM'!G3:L3)&gt;=7,MAX('INPUT SHEET CPM'!G5:L5),"")</f>
        <v/>
      </c>
      <c r="F21" s="149" t="str">
        <f>IF(MAX('INPUT SHEET CPM'!G3:L3)&gt;=7,3,"")</f>
        <v/>
      </c>
      <c r="G21" s="250" t="str">
        <f>IF(MAX('INPUT SHEET CPM'!G3:L3)&gt;=7,MAX('INPUT SHEET CPM'!G4:L4),"")</f>
        <v/>
      </c>
      <c r="H21" s="250" t="str">
        <f>IF(MAX('INPUT SHEET CPM'!G3:L3)&gt;=8,MAX('INPUT SHEET CPM'!G4:L4),"")</f>
        <v/>
      </c>
      <c r="I21" s="238"/>
      <c r="J21" s="238"/>
      <c r="K21" s="238"/>
      <c r="L21" s="238"/>
      <c r="M21" s="149" t="str">
        <f>IF(MAX('INPUT SHEET CPM'!G3:L3)&gt;=8,3,"")</f>
        <v/>
      </c>
      <c r="N21" s="149" t="str">
        <f>IF(MAX('INPUT SHEET CPM'!G3:L3)&gt;=8,MAX('INPUT SHEET CPM'!G5:L5),"")</f>
        <v/>
      </c>
      <c r="O21" s="611" t="str">
        <f>IF(MAX('INPUT SHEET CPM'!C3:L3)&gt;=8,"EV CHARGER L3 #8","")</f>
        <v/>
      </c>
      <c r="P21" s="613"/>
      <c r="Q21" s="217">
        <f t="shared" si="1"/>
        <v>20</v>
      </c>
      <c r="R21" s="239" t="s">
        <v>653</v>
      </c>
    </row>
    <row r="22" spans="1:18">
      <c r="A22" s="216" t="s">
        <v>663</v>
      </c>
      <c r="B22" s="217">
        <f t="shared" si="0"/>
        <v>21</v>
      </c>
      <c r="C22" s="645" t="s">
        <v>665</v>
      </c>
      <c r="D22" s="613"/>
      <c r="E22" s="149"/>
      <c r="F22" s="149"/>
      <c r="G22" s="238"/>
      <c r="H22" s="238"/>
      <c r="I22" s="250" t="str">
        <f>IF(MAX('INPUT SHEET CPM'!G3:L3)&gt;=7,MAX('INPUT SHEET CPM'!G4:L4),"")</f>
        <v/>
      </c>
      <c r="J22" s="250" t="str">
        <f>IF(MAX('INPUT SHEET CPM'!G3:L3)&gt;=8,MAX('INPUT SHEET CPM'!G4:L4),"")</f>
        <v/>
      </c>
      <c r="K22" s="238"/>
      <c r="L22" s="238"/>
      <c r="M22" s="149"/>
      <c r="N22" s="149"/>
      <c r="O22" s="645" t="s">
        <v>665</v>
      </c>
      <c r="P22" s="613"/>
      <c r="Q22" s="217">
        <f t="shared" si="1"/>
        <v>22</v>
      </c>
      <c r="R22" s="239" t="s">
        <v>663</v>
      </c>
    </row>
    <row r="23" spans="1:18">
      <c r="A23" s="216" t="s">
        <v>664</v>
      </c>
      <c r="B23" s="217">
        <f t="shared" si="0"/>
        <v>23</v>
      </c>
      <c r="C23" s="645" t="s">
        <v>665</v>
      </c>
      <c r="D23" s="613"/>
      <c r="E23" s="149"/>
      <c r="F23" s="217"/>
      <c r="G23" s="238"/>
      <c r="H23" s="238"/>
      <c r="I23" s="238"/>
      <c r="J23" s="238"/>
      <c r="K23" s="250" t="str">
        <f>IF(MAX('INPUT SHEET CPM'!G3:L3)&gt;=7,MAX('INPUT SHEET CPM'!G4:L4),"")</f>
        <v/>
      </c>
      <c r="L23" s="250" t="str">
        <f>IF(MAX('INPUT SHEET CPM'!G3:L3)&gt;=8,MAX('INPUT SHEET CPM'!G4:L4),"")</f>
        <v/>
      </c>
      <c r="M23" s="149"/>
      <c r="N23" s="149"/>
      <c r="O23" s="645" t="s">
        <v>665</v>
      </c>
      <c r="P23" s="613"/>
      <c r="Q23" s="217">
        <f t="shared" si="1"/>
        <v>24</v>
      </c>
      <c r="R23" s="239" t="s">
        <v>664</v>
      </c>
    </row>
    <row r="24" spans="1:18">
      <c r="A24" s="216" t="s">
        <v>653</v>
      </c>
      <c r="B24" s="217">
        <f t="shared" si="0"/>
        <v>25</v>
      </c>
      <c r="C24" s="611" t="str">
        <f>IF(MAX('INPUT SHEET CPM'!G3:L3)&gt;=9,"EV CHARGER L3 #9","")</f>
        <v/>
      </c>
      <c r="D24" s="613"/>
      <c r="E24" s="149" t="str">
        <f>IF(MAX('INPUT SHEET CPM'!G3:L3)&gt;=9,MAX('INPUT SHEET CPM'!G5:L5),"")</f>
        <v/>
      </c>
      <c r="F24" s="149" t="str">
        <f>IF(MAX('INPUT SHEET CPM'!G3:L3)&gt;=9,3,"")</f>
        <v/>
      </c>
      <c r="G24" s="218" t="str">
        <f>IF(MAX('INPUT SHEET CPM'!G3:L3)&gt;=9,MAX('INPUT SHEET CPM'!G4:L4),"")</f>
        <v/>
      </c>
      <c r="H24" s="218" t="str">
        <f>IF(MAX('INPUT SHEET CPM'!G3:L3)&gt;=10,MAX('INPUT SHEET CPM'!G4:L4),"")</f>
        <v/>
      </c>
      <c r="I24" s="219"/>
      <c r="J24" s="219"/>
      <c r="K24" s="219"/>
      <c r="L24" s="218"/>
      <c r="M24" s="149" t="str">
        <f>IF(MAX('INPUT SHEET CPM'!G3:L3)&gt;=10,3,"")</f>
        <v/>
      </c>
      <c r="N24" s="149" t="str">
        <f>IF(MAX('INPUT SHEET CPM'!G3:L3)&gt;=10,MAX('INPUT SHEET CPM'!G5:L5),"")</f>
        <v/>
      </c>
      <c r="O24" s="611" t="str">
        <f>IF(MAX('INPUT SHEET CPM'!G3:L3)&gt;=10,"EV CHARGER L3 #10","")</f>
        <v/>
      </c>
      <c r="P24" s="613"/>
      <c r="Q24" s="217">
        <f t="shared" si="1"/>
        <v>26</v>
      </c>
      <c r="R24" s="239" t="s">
        <v>653</v>
      </c>
    </row>
    <row r="25" spans="1:18">
      <c r="A25" s="216" t="s">
        <v>663</v>
      </c>
      <c r="B25" s="217">
        <f t="shared" si="0"/>
        <v>27</v>
      </c>
      <c r="C25" s="645" t="s">
        <v>665</v>
      </c>
      <c r="D25" s="613"/>
      <c r="E25" s="149"/>
      <c r="F25" s="217"/>
      <c r="G25" s="219"/>
      <c r="H25" s="219"/>
      <c r="I25" s="218" t="str">
        <f>IF(MAX('INPUT SHEET CPM'!G3:L3)&gt;=9,MAX('INPUT SHEET CPM'!G4:L4),"")</f>
        <v/>
      </c>
      <c r="J25" s="218" t="str">
        <f>IF(MAX('INPUT SHEET CPM'!G3:L3)&gt;=10,MAX('INPUT SHEET CPM'!G4:L4),"")</f>
        <v/>
      </c>
      <c r="K25" s="219"/>
      <c r="L25" s="219"/>
      <c r="M25" s="149"/>
      <c r="N25" s="149"/>
      <c r="O25" s="645" t="s">
        <v>665</v>
      </c>
      <c r="P25" s="613"/>
      <c r="Q25" s="217">
        <f t="shared" si="1"/>
        <v>28</v>
      </c>
      <c r="R25" s="239" t="s">
        <v>663</v>
      </c>
    </row>
    <row r="26" spans="1:18">
      <c r="A26" s="216" t="s">
        <v>664</v>
      </c>
      <c r="B26" s="217">
        <f t="shared" si="0"/>
        <v>29</v>
      </c>
      <c r="C26" s="645" t="s">
        <v>665</v>
      </c>
      <c r="D26" s="613"/>
      <c r="E26" s="149"/>
      <c r="F26" s="217"/>
      <c r="G26" s="218"/>
      <c r="H26" s="219"/>
      <c r="I26" s="219"/>
      <c r="J26" s="219"/>
      <c r="K26" s="218" t="str">
        <f>IF(MAX('INPUT SHEET CPM'!G3:L3)&gt;=9,MAX('INPUT SHEET CPM'!G4:L4),"")</f>
        <v/>
      </c>
      <c r="L26" s="218" t="str">
        <f>IF(MAX('INPUT SHEET CPM'!G3:L3)&gt;=10,MAX('INPUT SHEET CPM'!G4:L4),"")</f>
        <v/>
      </c>
      <c r="M26" s="218"/>
      <c r="N26" s="149"/>
      <c r="O26" s="645" t="s">
        <v>665</v>
      </c>
      <c r="P26" s="613"/>
      <c r="Q26" s="217">
        <f t="shared" si="1"/>
        <v>30</v>
      </c>
      <c r="R26" s="239" t="s">
        <v>664</v>
      </c>
    </row>
    <row r="27" spans="1:18">
      <c r="A27" s="216" t="s">
        <v>653</v>
      </c>
      <c r="B27" s="217">
        <f t="shared" si="0"/>
        <v>31</v>
      </c>
      <c r="C27" s="611" t="str">
        <f>IF(MAX('INPUT SHEET CPM'!G3:L3)&gt;=11,"EV CHARGER L3 #11","")</f>
        <v/>
      </c>
      <c r="D27" s="613"/>
      <c r="E27" s="149" t="str">
        <f>IF(MAX('INPUT SHEET CPM'!G3:L3)&gt;=11,MAX('INPUT SHEET CPM'!G5:L5),"")</f>
        <v/>
      </c>
      <c r="F27" s="149" t="str">
        <f>IF(MAX('INPUT SHEET CPM'!G3:L3)&gt;=11,3,"")</f>
        <v/>
      </c>
      <c r="G27" s="218" t="str">
        <f>IF(MAX('INPUT SHEET CPM'!G3:L3)&gt;=11,MAX('INPUT SHEET CPM'!G4:L4),"")</f>
        <v/>
      </c>
      <c r="H27" s="218" t="str">
        <f>IF(MAX('INPUT SHEET CPM'!G3:L3)&gt;=12,MAX('INPUT SHEET CPM'!G4:L4),"")</f>
        <v/>
      </c>
      <c r="I27" s="219"/>
      <c r="J27" s="219"/>
      <c r="K27" s="219"/>
      <c r="L27" s="218"/>
      <c r="M27" s="217" t="str">
        <f>IF(MAX('INPUT SHEET CPM'!G3:L3)&gt;=12,3,"")</f>
        <v/>
      </c>
      <c r="N27" s="149" t="str">
        <f>IF(MAX('INPUT SHEET CPM'!G3:L3)&gt;=12,MAX('INPUT SHEET CPM'!G5:L5),"")</f>
        <v/>
      </c>
      <c r="O27" s="611" t="str">
        <f>IF(MAX('INPUT SHEET CPM'!G3:L3)&gt;=12,"EV CHARGER L3 #12","")</f>
        <v/>
      </c>
      <c r="P27" s="613"/>
      <c r="Q27" s="217">
        <f t="shared" si="1"/>
        <v>32</v>
      </c>
      <c r="R27" s="239" t="s">
        <v>653</v>
      </c>
    </row>
    <row r="28" spans="1:18">
      <c r="A28" s="216" t="s">
        <v>663</v>
      </c>
      <c r="B28" s="217">
        <f t="shared" si="0"/>
        <v>33</v>
      </c>
      <c r="C28" s="645" t="s">
        <v>665</v>
      </c>
      <c r="D28" s="613"/>
      <c r="E28" s="149"/>
      <c r="F28" s="217"/>
      <c r="G28" s="219"/>
      <c r="H28" s="219"/>
      <c r="I28" s="218" t="str">
        <f>IF(MAX('INPUT SHEET CPM'!G3:L3)&gt;=11,MAX('INPUT SHEET CPM'!G4:L4),"")</f>
        <v/>
      </c>
      <c r="J28" s="218" t="str">
        <f>IF(MAX('INPUT SHEET CPM'!G3:L3)&gt;=12,MAX('INPUT SHEET CPM'!G4:L4),"")</f>
        <v/>
      </c>
      <c r="K28" s="219"/>
      <c r="L28" s="219"/>
      <c r="M28" s="217"/>
      <c r="N28" s="149"/>
      <c r="O28" s="645" t="s">
        <v>665</v>
      </c>
      <c r="P28" s="613"/>
      <c r="Q28" s="217">
        <f t="shared" si="1"/>
        <v>34</v>
      </c>
      <c r="R28" s="239" t="s">
        <v>663</v>
      </c>
    </row>
    <row r="29" spans="1:18">
      <c r="A29" s="216" t="s">
        <v>664</v>
      </c>
      <c r="B29" s="217">
        <f t="shared" si="0"/>
        <v>35</v>
      </c>
      <c r="C29" s="645" t="s">
        <v>665</v>
      </c>
      <c r="D29" s="613"/>
      <c r="E29" s="149"/>
      <c r="F29" s="217"/>
      <c r="G29" s="218"/>
      <c r="H29" s="218"/>
      <c r="I29" s="218"/>
      <c r="J29" s="219"/>
      <c r="K29" s="218" t="str">
        <f>IF(MAX('INPUT SHEET CPM'!G3:L3)&gt;=11,MAX('INPUT SHEET CPM'!G4:L4),"")</f>
        <v/>
      </c>
      <c r="L29" s="218" t="str">
        <f>IF(MAX('INPUT SHEET CPM'!G3:L3)&gt;=12,MAX('INPUT SHEET CPM'!G4:L4),"")</f>
        <v/>
      </c>
      <c r="M29" s="217"/>
      <c r="N29" s="149"/>
      <c r="O29" s="645" t="s">
        <v>665</v>
      </c>
      <c r="P29" s="613"/>
      <c r="Q29" s="217">
        <f t="shared" si="1"/>
        <v>36</v>
      </c>
      <c r="R29" s="239" t="s">
        <v>664</v>
      </c>
    </row>
    <row r="30" spans="1:18">
      <c r="A30" s="216" t="s">
        <v>653</v>
      </c>
      <c r="B30" s="217">
        <f t="shared" si="0"/>
        <v>37</v>
      </c>
      <c r="C30" s="611" t="str">
        <f>IF(MAX('INPUT SHEET CPM'!G3:L3)&gt;=13,"EV CHARGER L3 #13","")</f>
        <v/>
      </c>
      <c r="D30" s="613"/>
      <c r="E30" s="149" t="str">
        <f>IF(MAX('INPUT SHEET CPM'!G3:L3)&gt;=13,MAX('INPUT SHEET CPM'!G5:L5),"")</f>
        <v/>
      </c>
      <c r="F30" s="217" t="str">
        <f>IF(MAX('INPUT SHEET CPM'!G3:L3)&gt;=13,3,"")</f>
        <v/>
      </c>
      <c r="G30" s="250" t="str">
        <f>IF(MAX('INPUT SHEET CPM'!G3:L3)&gt;=14,MAX('INPUT SHEET CPM'!G4:L4),"")</f>
        <v/>
      </c>
      <c r="H30" s="250" t="str">
        <f>IF(MAX('INPUT SHEET CPM'!G3:L3)&gt;=14,MAX('INPUT SHEET CPM'!G4:L4),"")</f>
        <v/>
      </c>
      <c r="I30" s="218"/>
      <c r="J30" s="218"/>
      <c r="K30" s="217"/>
      <c r="L30" s="217"/>
      <c r="M30" s="217" t="str">
        <f>IF(MAX('INPUT SHEET CPM'!G3:L3)&gt;=14,3,"")</f>
        <v/>
      </c>
      <c r="N30" s="149" t="str">
        <f>IF(MAX('INPUT SHEET CPM'!G3:L3)&gt;=14,MAX('INPUT SHEET CPM'!G5:L5),"")</f>
        <v/>
      </c>
      <c r="O30" s="611" t="str">
        <f>IF(MAX('INPUT SHEET CPM'!G3:L3)&gt;=14,"EV CHARGER L3 #14","")</f>
        <v/>
      </c>
      <c r="P30" s="613"/>
      <c r="Q30" s="217">
        <f t="shared" si="1"/>
        <v>38</v>
      </c>
      <c r="R30" s="239" t="s">
        <v>653</v>
      </c>
    </row>
    <row r="31" spans="1:18">
      <c r="A31" s="216" t="s">
        <v>663</v>
      </c>
      <c r="B31" s="217">
        <f t="shared" si="0"/>
        <v>39</v>
      </c>
      <c r="C31" s="611"/>
      <c r="D31" s="613"/>
      <c r="E31" s="149"/>
      <c r="F31" s="217"/>
      <c r="G31" s="217"/>
      <c r="H31" s="217"/>
      <c r="I31" s="218" t="str">
        <f>IF(MAX('INPUT SHEET CPM'!G3:L3)&gt;=13,MAX('INPUT SHEET CPM'!G4:L4),"")</f>
        <v/>
      </c>
      <c r="J31" s="218" t="str">
        <f>IF(MAX('INPUT SHEET CPM'!G3:L3)&gt;=14,MAX('INPUT SHEET CPM'!G4:L4),"")</f>
        <v/>
      </c>
      <c r="K31" s="218"/>
      <c r="L31" s="218"/>
      <c r="M31" s="217"/>
      <c r="N31" s="149"/>
      <c r="O31" s="611"/>
      <c r="P31" s="613"/>
      <c r="Q31" s="217">
        <f t="shared" si="1"/>
        <v>40</v>
      </c>
      <c r="R31" s="239" t="s">
        <v>663</v>
      </c>
    </row>
    <row r="32" spans="1:18">
      <c r="A32" s="216" t="s">
        <v>664</v>
      </c>
      <c r="B32" s="217">
        <f t="shared" si="0"/>
        <v>41</v>
      </c>
      <c r="C32" s="611"/>
      <c r="D32" s="613"/>
      <c r="E32" s="217"/>
      <c r="F32" s="217"/>
      <c r="G32" s="217"/>
      <c r="H32" s="217"/>
      <c r="I32" s="219"/>
      <c r="J32" s="219"/>
      <c r="K32" s="218" t="str">
        <f>IF(MAX('INPUT SHEET CPM'!G3:L3)&gt;=13,MAX('INPUT SHEET CPM'!G4:L4),"")</f>
        <v/>
      </c>
      <c r="L32" s="218" t="str">
        <f>IF(MAX('INPUT SHEET CPM'!G3:L3)&gt;=14,MAX('INPUT SHEET CPM'!G4:L4),"")</f>
        <v/>
      </c>
      <c r="M32" s="217"/>
      <c r="N32" s="217"/>
      <c r="O32" s="611"/>
      <c r="P32" s="613"/>
      <c r="Q32" s="217">
        <f t="shared" si="1"/>
        <v>42</v>
      </c>
      <c r="R32" s="239" t="s">
        <v>664</v>
      </c>
    </row>
    <row r="33" spans="2:17">
      <c r="B33" s="139"/>
      <c r="C33" s="141"/>
      <c r="D33" s="141"/>
      <c r="E33" s="647" t="s">
        <v>666</v>
      </c>
      <c r="F33" s="647"/>
      <c r="G33" s="648">
        <f>SUM(G12:H32)</f>
        <v>0</v>
      </c>
      <c r="H33" s="655"/>
      <c r="I33" s="648">
        <f>SUM(I12:J32)</f>
        <v>0</v>
      </c>
      <c r="J33" s="655"/>
      <c r="K33" s="648">
        <f>SUM(K12:L32)</f>
        <v>0</v>
      </c>
      <c r="L33" s="655"/>
      <c r="M33" s="141" t="s">
        <v>667</v>
      </c>
      <c r="N33" s="141"/>
      <c r="O33" s="649">
        <f>G33+I33+K33</f>
        <v>0</v>
      </c>
      <c r="P33" s="650"/>
      <c r="Q33" s="142"/>
    </row>
    <row r="34" spans="2:17">
      <c r="B34" s="143"/>
      <c r="E34" s="641" t="s">
        <v>668</v>
      </c>
      <c r="F34" s="641"/>
      <c r="G34" s="642">
        <f>G33*1.25</f>
        <v>0</v>
      </c>
      <c r="H34" s="653"/>
      <c r="I34" s="642">
        <f>I33*1.25</f>
        <v>0</v>
      </c>
      <c r="J34" s="653"/>
      <c r="K34" s="642">
        <f>K33*1.25</f>
        <v>0</v>
      </c>
      <c r="L34" s="653"/>
      <c r="M34" s="239" t="s">
        <v>669</v>
      </c>
      <c r="N34" s="239"/>
      <c r="O34" s="596">
        <f>O33*1.25</f>
        <v>0</v>
      </c>
      <c r="P34" s="596"/>
      <c r="Q34" s="144"/>
    </row>
    <row r="35" spans="2:17">
      <c r="B35" s="143"/>
      <c r="E35" s="641" t="s">
        <v>670</v>
      </c>
      <c r="F35" s="641"/>
      <c r="G35" s="644">
        <f>IF(MAX(G34,I34,K34)=G34,G34,0)</f>
        <v>0</v>
      </c>
      <c r="H35" s="654"/>
      <c r="I35" s="644">
        <f>IF(MAX(G34,I34,K34)=I34,I34,0)</f>
        <v>0</v>
      </c>
      <c r="J35" s="654"/>
      <c r="K35" s="644">
        <f>IF(MAX(G34,I34,K34)=K34,K34,0)</f>
        <v>0</v>
      </c>
      <c r="L35" s="654"/>
      <c r="M35" s="239" t="s">
        <v>671</v>
      </c>
      <c r="N35" s="239"/>
      <c r="O35" s="596">
        <f>ROUND(O34/(L6*SQRT(3)),1)</f>
        <v>0</v>
      </c>
      <c r="P35" s="596"/>
      <c r="Q35" s="144"/>
    </row>
    <row r="36" spans="2:17">
      <c r="B36" s="145"/>
      <c r="C36" s="147"/>
      <c r="D36" s="147"/>
      <c r="E36" s="638" t="s">
        <v>672</v>
      </c>
      <c r="F36" s="638"/>
      <c r="G36" s="639" t="str">
        <f>IF(G35&gt;0,ROUND(G35/277,1),"")</f>
        <v/>
      </c>
      <c r="H36" s="652"/>
      <c r="I36" s="639" t="str">
        <f>IF(I35&gt;0,ROUND(I35/277,1),"")</f>
        <v/>
      </c>
      <c r="J36" s="652"/>
      <c r="K36" s="639" t="str">
        <f>IF(K35&gt;0,ROUND(K35/277,1),"")</f>
        <v/>
      </c>
      <c r="L36" s="652"/>
      <c r="M36" s="147" t="s">
        <v>673</v>
      </c>
      <c r="N36" s="147"/>
      <c r="O36" s="640">
        <f>_xlfn.IFS(O35&lt;=400,400,O35&lt;=600,600,O35&lt;=800,800,O35&lt;=1000,1000,O35&lt;=1200,1200,O35&lt;=1600,1600,O35&lt;=2000,2000,O35&lt;=3200,3200,O35&lt;=4000,4000,O35&lt;=5000,5000,O35&lt;=10000,10000,TRUE,"EXCEEDS 10,000A")</f>
        <v>400</v>
      </c>
      <c r="P36" s="640"/>
      <c r="Q36" s="148"/>
    </row>
    <row r="37" spans="2:17">
      <c r="E37" s="239"/>
      <c r="G37" s="150"/>
      <c r="H37" s="150"/>
      <c r="I37" s="150"/>
      <c r="J37" s="150"/>
      <c r="K37" s="150"/>
      <c r="N37" s="239"/>
      <c r="O37" s="596"/>
      <c r="P37" s="596"/>
    </row>
    <row r="38" spans="2:17">
      <c r="C38" s="596"/>
      <c r="D38" s="596"/>
      <c r="O38" s="596"/>
      <c r="P38" s="596"/>
    </row>
    <row r="39" spans="2:17">
      <c r="C39" s="596"/>
      <c r="D39" s="596"/>
      <c r="O39" s="596"/>
      <c r="P39" s="596"/>
    </row>
    <row r="41" spans="2:17">
      <c r="B41" s="139"/>
      <c r="C41" s="140"/>
      <c r="D41" s="141"/>
      <c r="E41" s="141"/>
      <c r="F41" s="141"/>
      <c r="G41" s="141"/>
      <c r="H41" s="141"/>
      <c r="I41" s="141" t="s">
        <v>640</v>
      </c>
      <c r="J41" s="141"/>
      <c r="K41" s="141"/>
      <c r="L41" s="140"/>
      <c r="M41" s="141"/>
      <c r="N41" s="141"/>
      <c r="O41" s="141"/>
      <c r="P41" s="141"/>
      <c r="Q41" s="142"/>
    </row>
    <row r="42" spans="2:17">
      <c r="B42" s="143"/>
      <c r="C42" s="137"/>
      <c r="E42" s="239"/>
      <c r="L42" s="137"/>
      <c r="N42" s="239"/>
      <c r="Q42" s="144"/>
    </row>
    <row r="43" spans="2:17">
      <c r="B43" s="143"/>
      <c r="C43" s="137" t="s">
        <v>641</v>
      </c>
      <c r="D43" s="239" t="s">
        <v>674</v>
      </c>
      <c r="E43" s="239"/>
      <c r="F43" s="239" t="s">
        <v>643</v>
      </c>
      <c r="H43" s="239" t="s">
        <v>644</v>
      </c>
      <c r="J43" s="239" t="s">
        <v>645</v>
      </c>
      <c r="K43" s="239">
        <v>120</v>
      </c>
      <c r="L43" s="137">
        <v>208</v>
      </c>
      <c r="M43" s="239" t="s">
        <v>646</v>
      </c>
      <c r="O43" s="239" t="s">
        <v>647</v>
      </c>
      <c r="P43" s="239">
        <v>300</v>
      </c>
      <c r="Q43" s="144" t="s">
        <v>675</v>
      </c>
    </row>
    <row r="44" spans="2:17">
      <c r="B44" s="143"/>
      <c r="C44" s="137"/>
      <c r="E44" s="239"/>
      <c r="F44" s="239" t="s">
        <v>648</v>
      </c>
      <c r="H44" s="239" t="s">
        <v>649</v>
      </c>
      <c r="J44" s="239" t="s">
        <v>650</v>
      </c>
      <c r="L44" s="137" t="s">
        <v>651</v>
      </c>
      <c r="O44" s="239" t="s">
        <v>652</v>
      </c>
      <c r="P44" s="239">
        <v>300</v>
      </c>
      <c r="Q44" s="144" t="s">
        <v>653</v>
      </c>
    </row>
    <row r="45" spans="2:17">
      <c r="B45" s="143"/>
      <c r="C45" s="137"/>
      <c r="E45" s="239"/>
      <c r="F45" s="239" t="s">
        <v>654</v>
      </c>
      <c r="H45" s="239" t="s">
        <v>655</v>
      </c>
      <c r="J45" s="239" t="s">
        <v>656</v>
      </c>
      <c r="L45" s="137" t="s">
        <v>657</v>
      </c>
      <c r="O45" s="239" t="s">
        <v>658</v>
      </c>
      <c r="P45" s="249">
        <v>22000</v>
      </c>
      <c r="Q45" s="144"/>
    </row>
    <row r="46" spans="2:17">
      <c r="B46" s="143"/>
      <c r="C46" s="137"/>
      <c r="E46" s="239"/>
      <c r="N46" s="239"/>
      <c r="Q46" s="144"/>
    </row>
    <row r="47" spans="2:17">
      <c r="B47" s="145"/>
      <c r="C47" s="146"/>
      <c r="D47" s="146"/>
      <c r="E47" s="146"/>
      <c r="F47" s="147"/>
      <c r="G47" s="147"/>
      <c r="H47" s="147"/>
      <c r="I47" s="147"/>
      <c r="J47" s="147"/>
      <c r="K47" s="147"/>
      <c r="L47" s="146"/>
      <c r="M47" s="147"/>
      <c r="N47" s="147"/>
      <c r="O47" s="147"/>
      <c r="P47" s="147"/>
      <c r="Q47" s="148"/>
    </row>
    <row r="48" spans="2:17">
      <c r="B48" s="149" t="s">
        <v>659</v>
      </c>
      <c r="C48" s="651" t="s">
        <v>660</v>
      </c>
      <c r="D48" s="651"/>
      <c r="E48" s="149" t="s">
        <v>661</v>
      </c>
      <c r="F48" s="149" t="s">
        <v>662</v>
      </c>
      <c r="G48" s="651" t="s">
        <v>653</v>
      </c>
      <c r="H48" s="651"/>
      <c r="I48" s="651" t="s">
        <v>663</v>
      </c>
      <c r="J48" s="651"/>
      <c r="K48" s="651" t="s">
        <v>664</v>
      </c>
      <c r="L48" s="651"/>
      <c r="M48" s="149" t="s">
        <v>662</v>
      </c>
      <c r="N48" s="149" t="s">
        <v>661</v>
      </c>
      <c r="O48" s="651" t="s">
        <v>660</v>
      </c>
      <c r="P48" s="651"/>
      <c r="Q48" s="149" t="s">
        <v>659</v>
      </c>
    </row>
    <row r="49" spans="1:18">
      <c r="A49" s="216" t="s">
        <v>653</v>
      </c>
      <c r="B49" s="217">
        <v>1</v>
      </c>
      <c r="C49" s="611" t="s">
        <v>676</v>
      </c>
      <c r="D49" s="613"/>
      <c r="E49" s="238">
        <v>40</v>
      </c>
      <c r="F49" s="238">
        <v>2</v>
      </c>
      <c r="G49" s="250" t="str">
        <f>IF(MAX('INPUT SHEET CPM'!G3:L3)&gt;=1,MAX('INPUT SHEET CPM'!G4:L4),"")</f>
        <v/>
      </c>
      <c r="H49" s="250" t="s">
        <v>385</v>
      </c>
      <c r="I49" s="238"/>
      <c r="J49" s="238"/>
      <c r="K49" s="238"/>
      <c r="L49" s="238"/>
      <c r="M49" s="238">
        <v>2</v>
      </c>
      <c r="N49" s="238">
        <v>40</v>
      </c>
      <c r="O49" s="611" t="s">
        <v>677</v>
      </c>
      <c r="P49" s="613"/>
      <c r="Q49" s="217">
        <v>2</v>
      </c>
      <c r="R49" s="239" t="s">
        <v>653</v>
      </c>
    </row>
    <row r="50" spans="1:18">
      <c r="A50" s="216" t="s">
        <v>663</v>
      </c>
      <c r="B50" s="217">
        <f t="shared" ref="B50:B67" si="2">B49+2</f>
        <v>3</v>
      </c>
      <c r="C50" s="645" t="s">
        <v>665</v>
      </c>
      <c r="D50" s="646"/>
      <c r="E50" s="238"/>
      <c r="F50" s="238"/>
      <c r="G50" s="238"/>
      <c r="H50" s="238"/>
      <c r="I50" s="250" t="s">
        <v>385</v>
      </c>
      <c r="J50" s="250" t="s">
        <v>385</v>
      </c>
      <c r="K50" s="238"/>
      <c r="L50" s="238"/>
      <c r="M50" s="238"/>
      <c r="N50" s="238"/>
      <c r="O50" s="645" t="s">
        <v>665</v>
      </c>
      <c r="P50" s="646"/>
      <c r="Q50" s="217">
        <f t="shared" ref="Q50:Q67" si="3">Q49+2</f>
        <v>4</v>
      </c>
      <c r="R50" s="239" t="s">
        <v>663</v>
      </c>
    </row>
    <row r="51" spans="1:18">
      <c r="A51" s="216" t="s">
        <v>664</v>
      </c>
      <c r="B51" s="217">
        <f t="shared" si="2"/>
        <v>5</v>
      </c>
      <c r="C51" s="645" t="s">
        <v>678</v>
      </c>
      <c r="D51" s="646"/>
      <c r="E51" s="238">
        <v>40</v>
      </c>
      <c r="F51" s="238">
        <v>2</v>
      </c>
      <c r="G51" s="238"/>
      <c r="H51" s="238"/>
      <c r="I51" s="238"/>
      <c r="J51" s="238"/>
      <c r="K51" s="250" t="s">
        <v>385</v>
      </c>
      <c r="L51" s="250" t="s">
        <v>385</v>
      </c>
      <c r="M51" s="238">
        <v>2</v>
      </c>
      <c r="N51" s="238">
        <v>40</v>
      </c>
      <c r="O51" s="645" t="s">
        <v>679</v>
      </c>
      <c r="P51" s="646"/>
      <c r="Q51" s="217">
        <f t="shared" si="3"/>
        <v>6</v>
      </c>
      <c r="R51" s="239" t="s">
        <v>664</v>
      </c>
    </row>
    <row r="52" spans="1:18">
      <c r="A52" s="216" t="s">
        <v>653</v>
      </c>
      <c r="B52" s="217">
        <f t="shared" si="2"/>
        <v>7</v>
      </c>
      <c r="C52" s="645" t="s">
        <v>665</v>
      </c>
      <c r="D52" s="646"/>
      <c r="E52" s="149"/>
      <c r="F52" s="238"/>
      <c r="G52" s="218" t="s">
        <v>385</v>
      </c>
      <c r="H52" s="218" t="s">
        <v>385</v>
      </c>
      <c r="I52" s="219"/>
      <c r="J52" s="219"/>
      <c r="K52" s="219"/>
      <c r="L52" s="218"/>
      <c r="M52" s="238"/>
      <c r="N52" s="238"/>
      <c r="O52" s="645" t="s">
        <v>665</v>
      </c>
      <c r="P52" s="646"/>
      <c r="Q52" s="217">
        <f t="shared" si="3"/>
        <v>8</v>
      </c>
      <c r="R52" s="239" t="s">
        <v>653</v>
      </c>
    </row>
    <row r="53" spans="1:18">
      <c r="A53" s="216" t="s">
        <v>663</v>
      </c>
      <c r="B53" s="217">
        <f t="shared" si="2"/>
        <v>9</v>
      </c>
      <c r="C53" s="645" t="s">
        <v>680</v>
      </c>
      <c r="D53" s="646"/>
      <c r="E53" s="238">
        <v>40</v>
      </c>
      <c r="F53" s="238">
        <v>2</v>
      </c>
      <c r="G53" s="219"/>
      <c r="H53" s="219"/>
      <c r="I53" s="218" t="s">
        <v>385</v>
      </c>
      <c r="J53" s="218" t="s">
        <v>385</v>
      </c>
      <c r="K53" s="219"/>
      <c r="L53" s="219"/>
      <c r="M53" s="238">
        <v>2</v>
      </c>
      <c r="N53" s="238">
        <v>40</v>
      </c>
      <c r="O53" s="645" t="s">
        <v>681</v>
      </c>
      <c r="P53" s="646"/>
      <c r="Q53" s="217">
        <f t="shared" si="3"/>
        <v>10</v>
      </c>
      <c r="R53" s="239" t="s">
        <v>663</v>
      </c>
    </row>
    <row r="54" spans="1:18">
      <c r="A54" s="216" t="s">
        <v>664</v>
      </c>
      <c r="B54" s="217">
        <f t="shared" si="2"/>
        <v>11</v>
      </c>
      <c r="C54" s="645" t="s">
        <v>665</v>
      </c>
      <c r="D54" s="646"/>
      <c r="E54" s="238"/>
      <c r="F54" s="238"/>
      <c r="G54" s="218"/>
      <c r="H54" s="219"/>
      <c r="I54" s="219"/>
      <c r="J54" s="219"/>
      <c r="K54" s="218" t="s">
        <v>385</v>
      </c>
      <c r="L54" s="218" t="s">
        <v>385</v>
      </c>
      <c r="M54" s="238"/>
      <c r="N54" s="238"/>
      <c r="O54" s="645" t="s">
        <v>665</v>
      </c>
      <c r="P54" s="646"/>
      <c r="Q54" s="217">
        <f t="shared" si="3"/>
        <v>12</v>
      </c>
      <c r="R54" s="239" t="s">
        <v>664</v>
      </c>
    </row>
    <row r="55" spans="1:18">
      <c r="A55" s="216" t="s">
        <v>653</v>
      </c>
      <c r="B55" s="217">
        <f t="shared" si="2"/>
        <v>13</v>
      </c>
      <c r="C55" s="611" t="s">
        <v>682</v>
      </c>
      <c r="D55" s="613"/>
      <c r="E55" s="149">
        <v>40</v>
      </c>
      <c r="F55" s="149">
        <v>2</v>
      </c>
      <c r="G55" s="218" t="s">
        <v>385</v>
      </c>
      <c r="H55" s="218" t="s">
        <v>385</v>
      </c>
      <c r="I55" s="219"/>
      <c r="J55" s="219"/>
      <c r="K55" s="219"/>
      <c r="L55" s="218"/>
      <c r="M55" s="219">
        <v>2</v>
      </c>
      <c r="N55" s="238">
        <v>40</v>
      </c>
      <c r="O55" s="611" t="s">
        <v>683</v>
      </c>
      <c r="P55" s="613"/>
      <c r="Q55" s="217">
        <f t="shared" si="3"/>
        <v>14</v>
      </c>
      <c r="R55" s="239" t="s">
        <v>653</v>
      </c>
    </row>
    <row r="56" spans="1:18">
      <c r="A56" s="216" t="s">
        <v>663</v>
      </c>
      <c r="B56" s="217">
        <f t="shared" si="2"/>
        <v>15</v>
      </c>
      <c r="C56" s="645" t="s">
        <v>665</v>
      </c>
      <c r="D56" s="646"/>
      <c r="E56" s="149"/>
      <c r="F56" s="149"/>
      <c r="G56" s="219"/>
      <c r="H56" s="219"/>
      <c r="I56" s="218" t="s">
        <v>385</v>
      </c>
      <c r="J56" s="218" t="s">
        <v>385</v>
      </c>
      <c r="K56" s="219"/>
      <c r="L56" s="219"/>
      <c r="M56" s="149"/>
      <c r="N56" s="149"/>
      <c r="O56" s="645" t="s">
        <v>665</v>
      </c>
      <c r="P56" s="646"/>
      <c r="Q56" s="217">
        <f t="shared" si="3"/>
        <v>16</v>
      </c>
      <c r="R56" s="239" t="s">
        <v>663</v>
      </c>
    </row>
    <row r="57" spans="1:18">
      <c r="A57" s="216" t="s">
        <v>664</v>
      </c>
      <c r="B57" s="217">
        <f t="shared" si="2"/>
        <v>17</v>
      </c>
      <c r="C57" s="645" t="s">
        <v>684</v>
      </c>
      <c r="D57" s="646"/>
      <c r="E57" s="149">
        <v>40</v>
      </c>
      <c r="F57" s="149">
        <v>2</v>
      </c>
      <c r="G57" s="218"/>
      <c r="H57" s="219"/>
      <c r="I57" s="218"/>
      <c r="J57" s="219"/>
      <c r="K57" s="218" t="s">
        <v>385</v>
      </c>
      <c r="L57" s="218" t="s">
        <v>385</v>
      </c>
      <c r="M57" s="149">
        <v>2</v>
      </c>
      <c r="N57" s="149">
        <v>40</v>
      </c>
      <c r="O57" s="645" t="s">
        <v>685</v>
      </c>
      <c r="P57" s="646"/>
      <c r="Q57" s="217">
        <f t="shared" si="3"/>
        <v>18</v>
      </c>
      <c r="R57" s="239" t="s">
        <v>664</v>
      </c>
    </row>
    <row r="58" spans="1:18">
      <c r="A58" s="216" t="s">
        <v>653</v>
      </c>
      <c r="B58" s="217">
        <f t="shared" si="2"/>
        <v>19</v>
      </c>
      <c r="C58" s="645" t="s">
        <v>665</v>
      </c>
      <c r="D58" s="646"/>
      <c r="E58" s="149"/>
      <c r="F58" s="149"/>
      <c r="G58" s="250" t="s">
        <v>385</v>
      </c>
      <c r="H58" s="250" t="s">
        <v>385</v>
      </c>
      <c r="I58" s="238"/>
      <c r="J58" s="238"/>
      <c r="K58" s="238"/>
      <c r="L58" s="238"/>
      <c r="M58" s="149"/>
      <c r="N58" s="149"/>
      <c r="O58" s="645" t="s">
        <v>665</v>
      </c>
      <c r="P58" s="613"/>
      <c r="Q58" s="217">
        <f t="shared" si="3"/>
        <v>20</v>
      </c>
      <c r="R58" s="239" t="s">
        <v>653</v>
      </c>
    </row>
    <row r="59" spans="1:18">
      <c r="A59" s="216" t="s">
        <v>663</v>
      </c>
      <c r="B59" s="217">
        <f t="shared" si="2"/>
        <v>21</v>
      </c>
      <c r="C59" s="645" t="s">
        <v>686</v>
      </c>
      <c r="D59" s="646"/>
      <c r="E59" s="149">
        <v>40</v>
      </c>
      <c r="F59" s="149">
        <v>2</v>
      </c>
      <c r="G59" s="238"/>
      <c r="H59" s="238"/>
      <c r="I59" s="250" t="s">
        <v>385</v>
      </c>
      <c r="J59" s="250" t="s">
        <v>385</v>
      </c>
      <c r="K59" s="238"/>
      <c r="L59" s="238"/>
      <c r="M59" s="149">
        <v>2</v>
      </c>
      <c r="N59" s="149">
        <v>40</v>
      </c>
      <c r="O59" s="645" t="s">
        <v>687</v>
      </c>
      <c r="P59" s="646"/>
      <c r="Q59" s="217">
        <f t="shared" si="3"/>
        <v>22</v>
      </c>
      <c r="R59" s="239" t="s">
        <v>663</v>
      </c>
    </row>
    <row r="60" spans="1:18">
      <c r="A60" s="216" t="s">
        <v>664</v>
      </c>
      <c r="B60" s="217">
        <f t="shared" si="2"/>
        <v>23</v>
      </c>
      <c r="C60" s="645" t="s">
        <v>665</v>
      </c>
      <c r="D60" s="646"/>
      <c r="E60" s="149"/>
      <c r="F60" s="217"/>
      <c r="G60" s="238"/>
      <c r="H60" s="238"/>
      <c r="I60" s="238"/>
      <c r="J60" s="238"/>
      <c r="K60" s="250" t="s">
        <v>385</v>
      </c>
      <c r="L60" s="250" t="s">
        <v>385</v>
      </c>
      <c r="M60" s="217"/>
      <c r="N60" s="149"/>
      <c r="O60" s="645" t="s">
        <v>665</v>
      </c>
      <c r="P60" s="646"/>
      <c r="Q60" s="217">
        <f t="shared" si="3"/>
        <v>24</v>
      </c>
      <c r="R60" s="239" t="s">
        <v>664</v>
      </c>
    </row>
    <row r="61" spans="1:18">
      <c r="A61" s="216" t="s">
        <v>653</v>
      </c>
      <c r="B61" s="217">
        <f t="shared" si="2"/>
        <v>25</v>
      </c>
      <c r="C61" s="645" t="s">
        <v>665</v>
      </c>
      <c r="D61" s="646"/>
      <c r="E61" s="149"/>
      <c r="F61" s="149"/>
      <c r="G61" s="218" t="s">
        <v>385</v>
      </c>
      <c r="H61" s="218" t="s">
        <v>385</v>
      </c>
      <c r="I61" s="219"/>
      <c r="J61" s="219"/>
      <c r="K61" s="219"/>
      <c r="L61" s="218"/>
      <c r="M61" s="149"/>
      <c r="N61" s="149"/>
      <c r="O61" s="645" t="s">
        <v>665</v>
      </c>
      <c r="P61" s="646"/>
      <c r="Q61" s="217">
        <f t="shared" si="3"/>
        <v>26</v>
      </c>
      <c r="R61" s="239" t="s">
        <v>653</v>
      </c>
    </row>
    <row r="62" spans="1:18">
      <c r="A62" s="216" t="s">
        <v>663</v>
      </c>
      <c r="B62" s="217">
        <f t="shared" si="2"/>
        <v>27</v>
      </c>
      <c r="C62" s="645"/>
      <c r="D62" s="646"/>
      <c r="E62" s="149"/>
      <c r="F62" s="217"/>
      <c r="G62" s="219"/>
      <c r="H62" s="219"/>
      <c r="I62" s="218" t="s">
        <v>385</v>
      </c>
      <c r="J62" s="218" t="s">
        <v>385</v>
      </c>
      <c r="K62" s="219"/>
      <c r="L62" s="219"/>
      <c r="M62" s="217"/>
      <c r="N62" s="149"/>
      <c r="O62" s="645"/>
      <c r="P62" s="646"/>
      <c r="Q62" s="217">
        <f t="shared" si="3"/>
        <v>28</v>
      </c>
      <c r="R62" s="239" t="s">
        <v>663</v>
      </c>
    </row>
    <row r="63" spans="1:18">
      <c r="A63" s="216" t="s">
        <v>664</v>
      </c>
      <c r="B63" s="217">
        <f>B62+2</f>
        <v>29</v>
      </c>
      <c r="C63" s="645"/>
      <c r="D63" s="646"/>
      <c r="E63" s="149"/>
      <c r="F63" s="217"/>
      <c r="G63" s="218"/>
      <c r="H63" s="219"/>
      <c r="I63" s="219"/>
      <c r="J63" s="219"/>
      <c r="K63" s="218" t="s">
        <v>385</v>
      </c>
      <c r="L63" s="218" t="s">
        <v>385</v>
      </c>
      <c r="M63" s="217"/>
      <c r="N63" s="149"/>
      <c r="O63" s="645"/>
      <c r="P63" s="646"/>
      <c r="Q63" s="217">
        <f>Q62+2</f>
        <v>30</v>
      </c>
      <c r="R63" s="239" t="s">
        <v>664</v>
      </c>
    </row>
    <row r="64" spans="1:18">
      <c r="A64" s="216" t="s">
        <v>653</v>
      </c>
      <c r="B64" s="217">
        <f t="shared" si="2"/>
        <v>31</v>
      </c>
      <c r="C64" s="611" t="s">
        <v>385</v>
      </c>
      <c r="D64" s="613"/>
      <c r="E64" s="149" t="s">
        <v>385</v>
      </c>
      <c r="F64" s="149" t="s">
        <v>385</v>
      </c>
      <c r="G64" s="218" t="s">
        <v>385</v>
      </c>
      <c r="H64" s="218" t="s">
        <v>385</v>
      </c>
      <c r="I64" s="219"/>
      <c r="J64" s="219"/>
      <c r="K64" s="219"/>
      <c r="L64" s="218"/>
      <c r="M64" s="217"/>
      <c r="N64" s="149"/>
      <c r="O64" s="611" t="s">
        <v>385</v>
      </c>
      <c r="P64" s="613"/>
      <c r="Q64" s="217">
        <f t="shared" si="3"/>
        <v>32</v>
      </c>
      <c r="R64" s="239" t="s">
        <v>653</v>
      </c>
    </row>
    <row r="65" spans="1:18">
      <c r="A65" s="216" t="s">
        <v>663</v>
      </c>
      <c r="B65" s="217">
        <f t="shared" si="2"/>
        <v>33</v>
      </c>
      <c r="C65" s="645" t="s">
        <v>385</v>
      </c>
      <c r="D65" s="646"/>
      <c r="E65" s="149"/>
      <c r="F65" s="217"/>
      <c r="G65" s="219"/>
      <c r="H65" s="219"/>
      <c r="I65" s="218" t="s">
        <v>385</v>
      </c>
      <c r="J65" s="218" t="s">
        <v>385</v>
      </c>
      <c r="K65" s="219"/>
      <c r="L65" s="219"/>
      <c r="M65" s="217"/>
      <c r="N65" s="149"/>
      <c r="O65" s="645" t="s">
        <v>385</v>
      </c>
      <c r="P65" s="646"/>
      <c r="Q65" s="217">
        <f t="shared" si="3"/>
        <v>34</v>
      </c>
      <c r="R65" s="239" t="s">
        <v>663</v>
      </c>
    </row>
    <row r="66" spans="1:18">
      <c r="A66" s="216" t="s">
        <v>664</v>
      </c>
      <c r="B66" s="217">
        <f t="shared" si="2"/>
        <v>35</v>
      </c>
      <c r="C66" s="645" t="s">
        <v>385</v>
      </c>
      <c r="D66" s="646"/>
      <c r="E66" s="149"/>
      <c r="F66" s="217"/>
      <c r="G66" s="218"/>
      <c r="H66" s="218"/>
      <c r="I66" s="218"/>
      <c r="J66" s="219"/>
      <c r="K66" s="218" t="s">
        <v>385</v>
      </c>
      <c r="L66" s="218" t="s">
        <v>385</v>
      </c>
      <c r="M66" s="217"/>
      <c r="N66" s="149"/>
      <c r="O66" s="645" t="s">
        <v>385</v>
      </c>
      <c r="P66" s="646"/>
      <c r="Q66" s="217">
        <f t="shared" si="3"/>
        <v>36</v>
      </c>
      <c r="R66" s="239" t="s">
        <v>664</v>
      </c>
    </row>
    <row r="67" spans="1:18">
      <c r="A67" s="216" t="s">
        <v>653</v>
      </c>
      <c r="B67" s="217">
        <f t="shared" si="2"/>
        <v>37</v>
      </c>
      <c r="C67" s="611" t="s">
        <v>385</v>
      </c>
      <c r="D67" s="613"/>
      <c r="E67" s="149"/>
      <c r="F67" s="217"/>
      <c r="G67" s="250" t="s">
        <v>385</v>
      </c>
      <c r="H67" s="250" t="s">
        <v>385</v>
      </c>
      <c r="I67" s="218"/>
      <c r="J67" s="218"/>
      <c r="K67" s="217"/>
      <c r="L67" s="217"/>
      <c r="M67" s="217"/>
      <c r="N67" s="149"/>
      <c r="O67" s="611" t="s">
        <v>385</v>
      </c>
      <c r="P67" s="613"/>
      <c r="Q67" s="217">
        <f t="shared" si="3"/>
        <v>38</v>
      </c>
      <c r="R67" s="239" t="s">
        <v>653</v>
      </c>
    </row>
    <row r="68" spans="1:18">
      <c r="A68" s="216" t="s">
        <v>663</v>
      </c>
      <c r="B68" s="217">
        <f>B67+2</f>
        <v>39</v>
      </c>
      <c r="C68" s="645" t="s">
        <v>385</v>
      </c>
      <c r="D68" s="646"/>
      <c r="E68" s="149"/>
      <c r="F68" s="217"/>
      <c r="G68" s="217"/>
      <c r="H68" s="217"/>
      <c r="I68" s="218" t="s">
        <v>385</v>
      </c>
      <c r="J68" s="218" t="s">
        <v>385</v>
      </c>
      <c r="K68" s="218"/>
      <c r="L68" s="218"/>
      <c r="M68" s="217"/>
      <c r="N68" s="149"/>
      <c r="O68" s="645" t="s">
        <v>385</v>
      </c>
      <c r="P68" s="646"/>
      <c r="Q68" s="217">
        <f>Q67+2</f>
        <v>40</v>
      </c>
      <c r="R68" s="239" t="s">
        <v>663</v>
      </c>
    </row>
    <row r="69" spans="1:18">
      <c r="A69" s="216" t="s">
        <v>664</v>
      </c>
      <c r="B69" s="217">
        <f>B68+2</f>
        <v>41</v>
      </c>
      <c r="C69" s="645" t="s">
        <v>385</v>
      </c>
      <c r="D69" s="646"/>
      <c r="E69" s="217"/>
      <c r="F69" s="217"/>
      <c r="G69" s="217"/>
      <c r="H69" s="217"/>
      <c r="I69" s="219"/>
      <c r="J69" s="219"/>
      <c r="K69" s="218" t="s">
        <v>385</v>
      </c>
      <c r="L69" s="218" t="s">
        <v>385</v>
      </c>
      <c r="M69" s="217"/>
      <c r="N69" s="217"/>
      <c r="O69" s="645" t="s">
        <v>385</v>
      </c>
      <c r="P69" s="646"/>
      <c r="Q69" s="217"/>
      <c r="R69" s="239" t="s">
        <v>664</v>
      </c>
    </row>
    <row r="70" spans="1:18">
      <c r="A70" s="216" t="s">
        <v>653</v>
      </c>
      <c r="B70" s="217">
        <f>B69+2</f>
        <v>43</v>
      </c>
      <c r="C70" s="645"/>
      <c r="D70" s="646"/>
      <c r="E70" s="149"/>
      <c r="F70" s="149"/>
      <c r="G70" s="218"/>
      <c r="H70" s="218"/>
      <c r="I70" s="219"/>
      <c r="J70" s="219"/>
      <c r="K70" s="219"/>
      <c r="L70" s="218"/>
      <c r="M70" s="149"/>
      <c r="N70" s="149"/>
      <c r="O70" s="645"/>
      <c r="P70" s="646"/>
      <c r="Q70" s="217"/>
      <c r="R70" s="239" t="s">
        <v>653</v>
      </c>
    </row>
    <row r="71" spans="1:18">
      <c r="A71" s="216" t="s">
        <v>663</v>
      </c>
      <c r="B71" s="217">
        <f>B70+2</f>
        <v>45</v>
      </c>
      <c r="C71" s="611"/>
      <c r="D71" s="613"/>
      <c r="E71" s="149"/>
      <c r="F71" s="149"/>
      <c r="G71" s="218"/>
      <c r="H71" s="218"/>
      <c r="I71" s="218"/>
      <c r="J71" s="218"/>
      <c r="K71" s="219"/>
      <c r="L71" s="219"/>
      <c r="M71" s="149"/>
      <c r="N71" s="149"/>
      <c r="O71" s="611"/>
      <c r="P71" s="613"/>
      <c r="Q71" s="217"/>
      <c r="R71" s="239" t="s">
        <v>663</v>
      </c>
    </row>
    <row r="72" spans="1:18">
      <c r="A72" s="216" t="s">
        <v>664</v>
      </c>
      <c r="B72" s="217">
        <f>B71+2</f>
        <v>47</v>
      </c>
      <c r="C72" s="645"/>
      <c r="D72" s="646"/>
      <c r="E72" s="149"/>
      <c r="F72" s="149"/>
      <c r="G72" s="219"/>
      <c r="H72" s="219"/>
      <c r="I72" s="219"/>
      <c r="J72" s="219"/>
      <c r="K72" s="218"/>
      <c r="L72" s="218"/>
      <c r="M72" s="149"/>
      <c r="N72" s="149"/>
      <c r="O72" s="645"/>
      <c r="P72" s="646"/>
      <c r="Q72" s="217"/>
      <c r="R72" s="239" t="s">
        <v>664</v>
      </c>
    </row>
    <row r="73" spans="1:18">
      <c r="A73" s="216"/>
      <c r="B73" s="217"/>
      <c r="C73" s="645"/>
      <c r="D73" s="646"/>
      <c r="E73" s="149"/>
      <c r="F73" s="149"/>
      <c r="G73" s="219"/>
      <c r="H73" s="219"/>
      <c r="I73" s="218"/>
      <c r="J73" s="218"/>
      <c r="K73" s="219"/>
      <c r="L73" s="219"/>
      <c r="M73" s="149"/>
      <c r="N73" s="149"/>
      <c r="O73" s="645"/>
      <c r="P73" s="646"/>
      <c r="Q73" s="217"/>
    </row>
    <row r="74" spans="1:18">
      <c r="A74" s="216"/>
      <c r="B74" s="139"/>
      <c r="C74" s="141"/>
      <c r="D74" s="141"/>
      <c r="E74" s="647" t="s">
        <v>666</v>
      </c>
      <c r="F74" s="647"/>
      <c r="G74" s="648">
        <f>SUM(G49:H73)</f>
        <v>0</v>
      </c>
      <c r="H74" s="648"/>
      <c r="I74" s="648">
        <f>SUM(I49:J73)</f>
        <v>0</v>
      </c>
      <c r="J74" s="648"/>
      <c r="K74" s="648">
        <f>SUM(K49:L73)</f>
        <v>0</v>
      </c>
      <c r="L74" s="648"/>
      <c r="M74" s="141" t="s">
        <v>667</v>
      </c>
      <c r="N74" s="141"/>
      <c r="O74" s="649">
        <f>SUM(G49:L73)</f>
        <v>0</v>
      </c>
      <c r="P74" s="650"/>
      <c r="Q74" s="142"/>
    </row>
    <row r="75" spans="1:18">
      <c r="B75" s="143"/>
      <c r="E75" s="641" t="s">
        <v>668</v>
      </c>
      <c r="F75" s="641"/>
      <c r="G75" s="642">
        <f>G74*1.25</f>
        <v>0</v>
      </c>
      <c r="H75" s="642"/>
      <c r="I75" s="642">
        <f>I74*1.25</f>
        <v>0</v>
      </c>
      <c r="J75" s="642"/>
      <c r="K75" s="642">
        <f>K74*1.25</f>
        <v>0</v>
      </c>
      <c r="L75" s="642"/>
      <c r="M75" s="239" t="s">
        <v>669</v>
      </c>
      <c r="N75" s="239"/>
      <c r="O75" s="643">
        <f>O74</f>
        <v>0</v>
      </c>
      <c r="P75" s="596"/>
      <c r="Q75" s="144"/>
    </row>
    <row r="76" spans="1:18">
      <c r="B76" s="143"/>
      <c r="E76" s="641" t="s">
        <v>670</v>
      </c>
      <c r="F76" s="641"/>
      <c r="G76" s="644">
        <f>IF(MAX(G75:L75)=G75,G75,0)</f>
        <v>0</v>
      </c>
      <c r="H76" s="644"/>
      <c r="I76" s="644">
        <f>IF(MAX(G75:L75)=I75,I75,0)</f>
        <v>0</v>
      </c>
      <c r="J76" s="644"/>
      <c r="K76" s="644">
        <f>IF(MAX(G75:L75)=K75,K75,0)</f>
        <v>0</v>
      </c>
      <c r="L76" s="644"/>
      <c r="M76" s="239" t="s">
        <v>671</v>
      </c>
      <c r="N76" s="239"/>
      <c r="O76" s="596">
        <f>O75/L43/1.732</f>
        <v>0</v>
      </c>
      <c r="P76" s="596"/>
      <c r="Q76" s="144"/>
    </row>
    <row r="77" spans="1:18">
      <c r="B77" s="145"/>
      <c r="C77" s="147"/>
      <c r="D77" s="147"/>
      <c r="E77" s="638" t="s">
        <v>672</v>
      </c>
      <c r="F77" s="638"/>
      <c r="G77" s="639">
        <f>G76/277</f>
        <v>0</v>
      </c>
      <c r="H77" s="639"/>
      <c r="I77" s="639">
        <f>I76/277</f>
        <v>0</v>
      </c>
      <c r="J77" s="639"/>
      <c r="K77" s="639">
        <f>K76/277</f>
        <v>0</v>
      </c>
      <c r="L77" s="639"/>
      <c r="M77" s="147" t="s">
        <v>673</v>
      </c>
      <c r="N77" s="147"/>
      <c r="O77" s="640">
        <f>_xlfn.IFS(O76&lt;201,200,O76&lt;401,400,O76&lt;601,600,O76&lt;801,800,O76&lt;1001,1000,O76&lt;1201,1200,O76&lt;1601,1600,O76&lt;2001,2000,O76&lt;3001,3000,O76&lt;4001,4000,O76&lt;5001,5000,O76&lt;6001,6000)</f>
        <v>200</v>
      </c>
      <c r="P77" s="640"/>
      <c r="Q77" s="148"/>
    </row>
    <row r="78" spans="1:18">
      <c r="E78" s="239"/>
      <c r="N78" s="239"/>
    </row>
    <row r="79" spans="1:18">
      <c r="E79" s="239"/>
      <c r="N79" s="239"/>
    </row>
    <row r="80" spans="1:18">
      <c r="E80" s="239"/>
      <c r="N80" s="239"/>
    </row>
    <row r="81" s="239" customFormat="1"/>
    <row r="82" s="239" customFormat="1"/>
    <row r="83" s="239" customFormat="1"/>
    <row r="84" s="239" customFormat="1"/>
    <row r="85" s="239" customFormat="1"/>
    <row r="86" s="239" customFormat="1"/>
    <row r="87" s="239" customFormat="1"/>
    <row r="88" s="239" customFormat="1"/>
    <row r="89" s="239" customFormat="1"/>
    <row r="90" s="239" customFormat="1"/>
    <row r="91" s="239" customFormat="1"/>
    <row r="92" s="239" customFormat="1"/>
    <row r="93" s="239" customFormat="1"/>
    <row r="94" s="239" customFormat="1"/>
    <row r="95" s="239" customFormat="1"/>
    <row r="96" s="239" customFormat="1"/>
    <row r="97" s="239" customFormat="1"/>
  </sheetData>
  <mergeCells count="147">
    <mergeCell ref="C11:D11"/>
    <mergeCell ref="G11:H11"/>
    <mergeCell ref="I11:J11"/>
    <mergeCell ref="K11:L11"/>
    <mergeCell ref="O11:P11"/>
    <mergeCell ref="C12:D12"/>
    <mergeCell ref="O12:P12"/>
    <mergeCell ref="C16:D16"/>
    <mergeCell ref="O16:P16"/>
    <mergeCell ref="C17:D17"/>
    <mergeCell ref="O17:P17"/>
    <mergeCell ref="C18:D18"/>
    <mergeCell ref="O18:P18"/>
    <mergeCell ref="C13:D13"/>
    <mergeCell ref="O13:P13"/>
    <mergeCell ref="C14:D14"/>
    <mergeCell ref="O14:P14"/>
    <mergeCell ref="C15:D15"/>
    <mergeCell ref="O15:P15"/>
    <mergeCell ref="C22:D22"/>
    <mergeCell ref="O22:P22"/>
    <mergeCell ref="C23:D23"/>
    <mergeCell ref="O23:P23"/>
    <mergeCell ref="C24:D24"/>
    <mergeCell ref="O24:P24"/>
    <mergeCell ref="C19:D19"/>
    <mergeCell ref="O19:P19"/>
    <mergeCell ref="C20:D20"/>
    <mergeCell ref="O20:P20"/>
    <mergeCell ref="C21:D21"/>
    <mergeCell ref="O21:P21"/>
    <mergeCell ref="C28:D28"/>
    <mergeCell ref="O28:P28"/>
    <mergeCell ref="C29:D29"/>
    <mergeCell ref="O29:P29"/>
    <mergeCell ref="C30:D30"/>
    <mergeCell ref="O30:P30"/>
    <mergeCell ref="C25:D25"/>
    <mergeCell ref="O25:P25"/>
    <mergeCell ref="C26:D26"/>
    <mergeCell ref="O26:P26"/>
    <mergeCell ref="C27:D27"/>
    <mergeCell ref="O27:P27"/>
    <mergeCell ref="C31:D31"/>
    <mergeCell ref="O31:P31"/>
    <mergeCell ref="C32:D32"/>
    <mergeCell ref="O32:P32"/>
    <mergeCell ref="E33:F33"/>
    <mergeCell ref="G33:H33"/>
    <mergeCell ref="I33:J33"/>
    <mergeCell ref="K33:L33"/>
    <mergeCell ref="O33:P33"/>
    <mergeCell ref="E36:F36"/>
    <mergeCell ref="G36:H36"/>
    <mergeCell ref="I36:J36"/>
    <mergeCell ref="K36:L36"/>
    <mergeCell ref="O36:P36"/>
    <mergeCell ref="O37:P37"/>
    <mergeCell ref="E34:F34"/>
    <mergeCell ref="G34:H34"/>
    <mergeCell ref="I34:J34"/>
    <mergeCell ref="K34:L34"/>
    <mergeCell ref="O34:P34"/>
    <mergeCell ref="E35:F35"/>
    <mergeCell ref="G35:H35"/>
    <mergeCell ref="I35:J35"/>
    <mergeCell ref="K35:L35"/>
    <mergeCell ref="O35:P35"/>
    <mergeCell ref="C49:D49"/>
    <mergeCell ref="O49:P49"/>
    <mergeCell ref="C50:D50"/>
    <mergeCell ref="O50:P50"/>
    <mergeCell ref="C51:D51"/>
    <mergeCell ref="O51:P51"/>
    <mergeCell ref="C38:D38"/>
    <mergeCell ref="O38:P38"/>
    <mergeCell ref="C39:D39"/>
    <mergeCell ref="O39:P39"/>
    <mergeCell ref="C48:D48"/>
    <mergeCell ref="G48:H48"/>
    <mergeCell ref="I48:J48"/>
    <mergeCell ref="K48:L48"/>
    <mergeCell ref="O48:P48"/>
    <mergeCell ref="C55:D55"/>
    <mergeCell ref="O55:P55"/>
    <mergeCell ref="C56:D56"/>
    <mergeCell ref="O56:P56"/>
    <mergeCell ref="C57:D57"/>
    <mergeCell ref="O57:P57"/>
    <mergeCell ref="C52:D52"/>
    <mergeCell ref="O52:P52"/>
    <mergeCell ref="C53:D53"/>
    <mergeCell ref="O53:P53"/>
    <mergeCell ref="C54:D54"/>
    <mergeCell ref="O54:P54"/>
    <mergeCell ref="C61:D61"/>
    <mergeCell ref="O61:P61"/>
    <mergeCell ref="C62:D62"/>
    <mergeCell ref="O62:P62"/>
    <mergeCell ref="C63:D63"/>
    <mergeCell ref="O63:P63"/>
    <mergeCell ref="C58:D58"/>
    <mergeCell ref="O58:P58"/>
    <mergeCell ref="C59:D59"/>
    <mergeCell ref="O59:P59"/>
    <mergeCell ref="C60:D60"/>
    <mergeCell ref="O60:P60"/>
    <mergeCell ref="C67:D67"/>
    <mergeCell ref="O67:P67"/>
    <mergeCell ref="C68:D68"/>
    <mergeCell ref="O68:P68"/>
    <mergeCell ref="C69:D69"/>
    <mergeCell ref="O69:P69"/>
    <mergeCell ref="C64:D64"/>
    <mergeCell ref="O64:P64"/>
    <mergeCell ref="C65:D65"/>
    <mergeCell ref="O65:P65"/>
    <mergeCell ref="C66:D66"/>
    <mergeCell ref="O66:P66"/>
    <mergeCell ref="C73:D73"/>
    <mergeCell ref="O73:P73"/>
    <mergeCell ref="E74:F74"/>
    <mergeCell ref="G74:H74"/>
    <mergeCell ref="I74:J74"/>
    <mergeCell ref="K74:L74"/>
    <mergeCell ref="O74:P74"/>
    <mergeCell ref="C70:D70"/>
    <mergeCell ref="O70:P70"/>
    <mergeCell ref="C71:D71"/>
    <mergeCell ref="O71:P71"/>
    <mergeCell ref="C72:D72"/>
    <mergeCell ref="O72:P72"/>
    <mergeCell ref="E77:F77"/>
    <mergeCell ref="G77:H77"/>
    <mergeCell ref="I77:J77"/>
    <mergeCell ref="K77:L77"/>
    <mergeCell ref="O77:P77"/>
    <mergeCell ref="E75:F75"/>
    <mergeCell ref="G75:H75"/>
    <mergeCell ref="I75:J75"/>
    <mergeCell ref="K75:L75"/>
    <mergeCell ref="O75:P75"/>
    <mergeCell ref="E76:F76"/>
    <mergeCell ref="G76:H76"/>
    <mergeCell ref="I76:J76"/>
    <mergeCell ref="K76:L76"/>
    <mergeCell ref="O76:P7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35633-C13D-44E7-9E9B-AF84DE2AC53B}">
  <dimension ref="B1:AN118"/>
  <sheetViews>
    <sheetView topLeftCell="A37" zoomScale="70" zoomScaleNormal="70" workbookViewId="0">
      <selection activeCell="J71" sqref="J71"/>
    </sheetView>
  </sheetViews>
  <sheetFormatPr defaultColWidth="9.140625" defaultRowHeight="15"/>
  <cols>
    <col min="1" max="1" width="9.140625" style="292"/>
    <col min="2" max="2" width="9.140625" style="290"/>
    <col min="3" max="3" width="22.140625" style="290" customWidth="1"/>
    <col min="4" max="4" width="15.85546875" style="290" customWidth="1"/>
    <col min="5" max="5" width="14" style="290" customWidth="1"/>
    <col min="6" max="6" width="18" style="290" customWidth="1"/>
    <col min="7" max="7" width="18" style="290" bestFit="1" customWidth="1"/>
    <col min="8" max="8" width="21.85546875" style="290" customWidth="1"/>
    <col min="9" max="9" width="20.7109375" style="290" customWidth="1"/>
    <col min="10" max="10" width="21.5703125" style="290" customWidth="1"/>
    <col min="11" max="12" width="25" style="290" bestFit="1" customWidth="1"/>
    <col min="13" max="13" width="24" style="291" customWidth="1"/>
    <col min="14" max="14" width="24.28515625" style="290" bestFit="1" customWidth="1"/>
    <col min="15" max="15" width="17.42578125" style="290" customWidth="1"/>
    <col min="16" max="16" width="6.5703125" style="290" customWidth="1"/>
    <col min="17" max="17" width="11.7109375" style="291" customWidth="1"/>
    <col min="18" max="18" width="17.28515625" style="291" customWidth="1"/>
    <col min="19" max="19" width="18.42578125" style="291" customWidth="1"/>
    <col min="20" max="20" width="17.7109375" style="291" customWidth="1"/>
    <col min="21" max="21" width="14.28515625" style="291" customWidth="1"/>
    <col min="22" max="22" width="13.7109375" style="291" customWidth="1"/>
    <col min="23" max="23" width="13.28515625" style="291" customWidth="1"/>
    <col min="24" max="24" width="12.7109375" style="291" bestFit="1" customWidth="1"/>
    <col min="25" max="25" width="17.42578125" style="290" customWidth="1"/>
    <col min="26" max="26" width="18.28515625" style="292" customWidth="1"/>
    <col min="27" max="28" width="9.140625" style="292"/>
    <col min="29" max="29" width="9.28515625" style="292" bestFit="1" customWidth="1"/>
    <col min="30" max="30" width="17.7109375" style="292" bestFit="1" customWidth="1"/>
    <col min="31" max="31" width="10.7109375" style="292" bestFit="1" customWidth="1"/>
    <col min="32" max="32" width="10" style="292" bestFit="1" customWidth="1"/>
    <col min="33" max="33" width="8.7109375" style="292" bestFit="1" customWidth="1"/>
    <col min="34" max="34" width="9.140625" style="292"/>
    <col min="35" max="35" width="10.42578125" style="292" bestFit="1" customWidth="1"/>
    <col min="36" max="36" width="17.7109375" style="292" bestFit="1" customWidth="1"/>
    <col min="37" max="37" width="9.28515625" style="292" bestFit="1" customWidth="1"/>
    <col min="38" max="38" width="12.7109375" style="292" bestFit="1" customWidth="1"/>
    <col min="39" max="39" width="11.42578125" style="292" bestFit="1" customWidth="1"/>
    <col min="40" max="16384" width="9.140625" style="292"/>
  </cols>
  <sheetData>
    <row r="1" spans="2:39" ht="15.75" thickBot="1"/>
    <row r="2" spans="2:39" ht="15.75" thickBot="1">
      <c r="C2" s="663" t="s">
        <v>413</v>
      </c>
      <c r="D2" s="663"/>
      <c r="E2" s="663"/>
      <c r="F2" s="663"/>
      <c r="G2" s="663"/>
      <c r="H2" s="663"/>
      <c r="I2" s="663"/>
      <c r="J2" s="663"/>
      <c r="K2" s="663"/>
      <c r="L2" s="663"/>
      <c r="M2" s="663"/>
      <c r="N2" s="663"/>
      <c r="Q2" s="293"/>
      <c r="R2" s="294"/>
      <c r="S2" s="295" t="s">
        <v>414</v>
      </c>
      <c r="T2" s="294"/>
      <c r="U2" s="294"/>
      <c r="V2" s="294"/>
      <c r="W2" s="296" t="s">
        <v>414</v>
      </c>
      <c r="X2" s="294"/>
      <c r="Y2" s="297"/>
      <c r="AC2" s="292" t="s">
        <v>415</v>
      </c>
    </row>
    <row r="3" spans="2:39" ht="16.5" thickBot="1"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  <c r="N3" s="664"/>
      <c r="O3" s="292"/>
      <c r="P3" s="292"/>
      <c r="Q3" s="298" t="s">
        <v>416</v>
      </c>
      <c r="S3" s="299">
        <v>46101</v>
      </c>
      <c r="U3" s="298" t="s">
        <v>417</v>
      </c>
      <c r="W3" s="299">
        <v>46101</v>
      </c>
      <c r="Y3" s="300"/>
      <c r="AC3" s="665" t="s">
        <v>418</v>
      </c>
      <c r="AD3" s="666"/>
      <c r="AE3" s="667"/>
      <c r="AF3" s="182"/>
      <c r="AG3" s="668" t="s">
        <v>419</v>
      </c>
      <c r="AH3" s="669"/>
      <c r="AI3" s="670"/>
      <c r="AJ3" s="182"/>
      <c r="AK3" s="183" t="s">
        <v>420</v>
      </c>
      <c r="AL3" s="184"/>
      <c r="AM3" s="185" t="s">
        <v>417</v>
      </c>
    </row>
    <row r="4" spans="2:39" ht="15.75" thickBot="1">
      <c r="B4" s="290" t="s">
        <v>421</v>
      </c>
      <c r="C4" s="301" t="s">
        <v>90</v>
      </c>
      <c r="D4" s="302" t="s">
        <v>422</v>
      </c>
      <c r="E4" s="303" t="s">
        <v>423</v>
      </c>
      <c r="F4" s="304" t="s">
        <v>424</v>
      </c>
      <c r="G4" s="305" t="s">
        <v>425</v>
      </c>
      <c r="H4" s="304" t="s">
        <v>426</v>
      </c>
      <c r="I4" s="304" t="s">
        <v>427</v>
      </c>
      <c r="J4" s="304" t="s">
        <v>428</v>
      </c>
      <c r="K4" s="305" t="s">
        <v>429</v>
      </c>
      <c r="L4" s="304" t="s">
        <v>430</v>
      </c>
      <c r="M4" s="306" t="s">
        <v>426</v>
      </c>
      <c r="N4" s="307" t="s">
        <v>427</v>
      </c>
      <c r="O4" s="292"/>
      <c r="P4" s="292"/>
      <c r="Q4" s="308" t="s">
        <v>431</v>
      </c>
      <c r="R4" s="309" t="s">
        <v>55</v>
      </c>
      <c r="S4" s="310" t="s">
        <v>432</v>
      </c>
      <c r="T4" s="309" t="s">
        <v>57</v>
      </c>
      <c r="U4" s="311" t="s">
        <v>433</v>
      </c>
      <c r="V4" s="309" t="s">
        <v>55</v>
      </c>
      <c r="W4" s="310" t="s">
        <v>432</v>
      </c>
      <c r="X4" s="309" t="s">
        <v>57</v>
      </c>
      <c r="Y4" s="312" t="s">
        <v>20</v>
      </c>
      <c r="AC4" s="186" t="s">
        <v>434</v>
      </c>
      <c r="AD4" s="187" t="s">
        <v>435</v>
      </c>
      <c r="AE4" s="188" t="s">
        <v>436</v>
      </c>
      <c r="AF4" s="182"/>
      <c r="AG4" s="189" t="s">
        <v>434</v>
      </c>
      <c r="AH4" s="190" t="s">
        <v>435</v>
      </c>
      <c r="AI4" s="191" t="s">
        <v>436</v>
      </c>
      <c r="AJ4" s="182"/>
      <c r="AK4" s="192" t="s">
        <v>434</v>
      </c>
      <c r="AL4" s="313" t="s">
        <v>437</v>
      </c>
      <c r="AM4" s="193" t="s">
        <v>438</v>
      </c>
    </row>
    <row r="5" spans="2:39" ht="15.75" thickBot="1">
      <c r="C5" s="314" t="s">
        <v>439</v>
      </c>
      <c r="D5" s="315">
        <v>0</v>
      </c>
      <c r="E5" s="316">
        <v>0</v>
      </c>
      <c r="F5" s="315">
        <f>IF(C5="Dual",(E5*2)*2,(E5*2))</f>
        <v>0</v>
      </c>
      <c r="G5" s="317" t="str">
        <f>_xlfn.IFS($Q$3="Cu",_xlfn.IFS(E5&lt;150,"8 AWG",E5&lt;200,"6 AWG",E5&lt;262,"4 AWG",E5&lt;324,"2 AWG",E5&gt;=325,"error"),$Q$3="Al",_xlfn.IFS(E5&lt;150,"6 AWG",E5&lt;200,"4 AWG",E5&lt;262,"2 AWG",E5&lt;324,"1 AWG",E5&gt;=325,"error"))</f>
        <v>8 AWG</v>
      </c>
      <c r="H5" s="318">
        <f>E5</f>
        <v>0</v>
      </c>
      <c r="I5" s="319" t="str">
        <f>_xlfn.IFS(G5=$Q$6,$U$7,G5=$Q$8,$U$7,G5=$Q$9,$U$8,G5=$Q$7,$U$7,G5=$Q$10,$U$8,G5=$Q$11,$U$9,G5=$Q$12,$U$10,G5=$Q$13,$U$10,G5=$Q$14,$U$10,G5=$Q$15,$U$11,G5=$Q$16,$U$11,G5=$Q$17,$U$11,G5=$Q$18,$U$11,G5=$Q$20,$U$12)</f>
        <v>(1")</v>
      </c>
      <c r="J5" s="318">
        <f>H5</f>
        <v>0</v>
      </c>
      <c r="K5" s="317" t="s">
        <v>440</v>
      </c>
      <c r="L5" s="318">
        <f>J5</f>
        <v>0</v>
      </c>
      <c r="M5" s="320">
        <f>L5</f>
        <v>0</v>
      </c>
      <c r="N5" s="321" t="s">
        <v>441</v>
      </c>
      <c r="O5" s="292"/>
      <c r="P5" s="292"/>
      <c r="Q5" s="322" t="s">
        <v>440</v>
      </c>
      <c r="R5" s="323">
        <f>SUMIF($G$5:$G$27,Q5,$F$5:$F$27)+SUMIF($G$33:$G$38,Q5,$F$33:$F$38)+SUMIF($G$44:$G$64,Q5,$F$44:$F$64)+SUMIF($K$5:$K$27,Q5,$J$5:$J$27)+SUMIF($K$44:$K$64,Q5,$J$44:$J$64)+SUMIF($K$33:$K$38,Q5,$J$33:$J$38)</f>
        <v>0</v>
      </c>
      <c r="S5" s="324">
        <f>_xlfn.IFS($Q$3="Cu",IF( AE6="","",AE6/1000),$Q$3="Al",IF(AI5="","",AI5/1000))</f>
        <v>0.30329</v>
      </c>
      <c r="T5" s="325">
        <f t="shared" ref="T5:T17" si="0">IF(S5="",0,R5*S5)</f>
        <v>0</v>
      </c>
      <c r="U5" s="326" t="s">
        <v>442</v>
      </c>
      <c r="V5" s="327">
        <f>SUMIF($N$5:$N$27,U5,$M$5:$M$27)+SUMIF($I$33:I$38,U5,H$33:H$38)+SUMIF(I$5:I$27,U5,H$5:H$27)+SUMIF(I$44:I$64,U5,H$44:H$64)+SUMIF(N$44:N$64,U5,M$44:M$64)</f>
        <v>0</v>
      </c>
      <c r="W5" s="328">
        <f>IF($U$3="PVC",AM6,AL6)/100</f>
        <v>0.2445</v>
      </c>
      <c r="X5" s="329">
        <f>V5*W5</f>
        <v>0</v>
      </c>
      <c r="Y5" s="330">
        <f>T5+X5</f>
        <v>0</v>
      </c>
      <c r="AC5" s="230" t="s">
        <v>443</v>
      </c>
      <c r="AD5" s="231" t="s">
        <v>444</v>
      </c>
      <c r="AE5" s="232">
        <v>289.60000000000002</v>
      </c>
      <c r="AF5" s="182"/>
      <c r="AG5" s="197">
        <v>10</v>
      </c>
      <c r="AH5" s="198" t="s">
        <v>445</v>
      </c>
      <c r="AI5" s="196">
        <v>280</v>
      </c>
      <c r="AJ5" s="182"/>
      <c r="AK5" s="200" t="s">
        <v>446</v>
      </c>
      <c r="AL5" s="233"/>
      <c r="AM5" s="201"/>
    </row>
    <row r="6" spans="2:39" ht="17.25" customHeight="1" thickBot="1">
      <c r="C6" s="314"/>
      <c r="D6" s="315"/>
      <c r="E6" s="316"/>
      <c r="F6" s="315"/>
      <c r="G6" s="317"/>
      <c r="H6" s="318"/>
      <c r="I6" s="319"/>
      <c r="J6" s="318"/>
      <c r="K6" s="317"/>
      <c r="L6" s="318"/>
      <c r="M6" s="320"/>
      <c r="N6" s="321"/>
      <c r="O6" s="292"/>
      <c r="P6" s="292"/>
      <c r="Q6" s="326" t="s">
        <v>447</v>
      </c>
      <c r="R6" s="323">
        <f t="shared" ref="R6:R26" si="1">SUMIF($G$5:$G$27,Q6,$F$5:$F$27)+SUMIF($G$33:$G$38,Q6,$F$33:$F$38)+SUMIF($G$44:$G$91,Q6,$F$44:$F$91)+SUMIF($K$5:$K$27,Q6,$J$5:$J$27)+SUMIF($K$44:$K$91,Q6,$J$44:$J$91)+SUMIF($K$33:$K$38,Q6,$J$33:$J$38)</f>
        <v>0</v>
      </c>
      <c r="S6" s="324">
        <f t="shared" ref="S6:S8" si="2">_xlfn.IFS($Q$3="Cu",IF( AE7="","",AE7/1000),$Q$3="Al",IF(AI6="","",AI6/1000))</f>
        <v>0.56613000000000002</v>
      </c>
      <c r="T6" s="325">
        <f t="shared" si="0"/>
        <v>0</v>
      </c>
      <c r="U6" s="326" t="s">
        <v>441</v>
      </c>
      <c r="V6" s="327">
        <f>SUMIF($N$5:$N$27,U6,$M$5:$M$27)+SUMIF($I$33:I$38,U6,H$33:H$38)+SUMIF(I$5:I$27,U6,H$5:H$27)+SUMIF(I$44:I$64,U6,H$44:H$64)+SUMIF(N$44:N$64,U6,M$44:M$64)</f>
        <v>15</v>
      </c>
      <c r="W6" s="328">
        <f t="shared" ref="W6:W14" si="3">IF($U$3="PVC",AM7,AL7)/100</f>
        <v>0.29120000000000001</v>
      </c>
      <c r="X6" s="291">
        <f t="shared" ref="X6:X14" si="4">V6*W6</f>
        <v>4.3680000000000003</v>
      </c>
      <c r="Y6" s="330">
        <f t="shared" ref="Y6:Y26" si="5">T6+X6</f>
        <v>4.3680000000000003</v>
      </c>
      <c r="AC6" s="230" t="s">
        <v>448</v>
      </c>
      <c r="AD6" s="231" t="s">
        <v>444</v>
      </c>
      <c r="AE6" s="232">
        <v>303.29000000000002</v>
      </c>
      <c r="AF6" s="182"/>
      <c r="AG6" s="197">
        <v>8</v>
      </c>
      <c r="AH6" s="198" t="s">
        <v>445</v>
      </c>
      <c r="AI6" s="199" t="s">
        <v>385</v>
      </c>
      <c r="AJ6" s="182"/>
      <c r="AK6" s="200" t="s">
        <v>449</v>
      </c>
      <c r="AL6" s="234">
        <v>46.62</v>
      </c>
      <c r="AM6" s="202">
        <v>24.45</v>
      </c>
    </row>
    <row r="7" spans="2:39" ht="15.75" thickBot="1">
      <c r="C7" s="314"/>
      <c r="D7" s="315"/>
      <c r="E7" s="316"/>
      <c r="F7" s="315"/>
      <c r="G7" s="317"/>
      <c r="H7" s="318"/>
      <c r="I7" s="319"/>
      <c r="J7" s="318"/>
      <c r="K7" s="317"/>
      <c r="L7" s="318"/>
      <c r="M7" s="320"/>
      <c r="N7" s="321"/>
      <c r="O7" s="292"/>
      <c r="P7" s="292"/>
      <c r="Q7" s="326" t="s">
        <v>450</v>
      </c>
      <c r="R7" s="323">
        <f t="shared" si="1"/>
        <v>15</v>
      </c>
      <c r="S7" s="324">
        <f t="shared" si="2"/>
        <v>0.87103999999999993</v>
      </c>
      <c r="T7" s="325">
        <f t="shared" si="0"/>
        <v>13.065599999999998</v>
      </c>
      <c r="U7" s="326" t="s">
        <v>451</v>
      </c>
      <c r="V7" s="327">
        <f>SUMIF($N$5:$N$27,U7,$M$5:$M$27)+SUMIF($I$33:I$38,U7,H$33:H$38)+SUMIF(I$5:I$27,U7,H$5:H$27)+SUMIF(I$44:I$64,U7,H$44:H$64)+SUMIF(N$44:N$64,U7,M$44:M$64)</f>
        <v>0</v>
      </c>
      <c r="W7" s="328">
        <f t="shared" si="3"/>
        <v>0.4698</v>
      </c>
      <c r="X7" s="291">
        <f t="shared" si="4"/>
        <v>0</v>
      </c>
      <c r="Y7" s="330">
        <f t="shared" si="5"/>
        <v>13.065599999999998</v>
      </c>
      <c r="AC7" s="194" t="s">
        <v>452</v>
      </c>
      <c r="AD7" s="231" t="s">
        <v>444</v>
      </c>
      <c r="AE7" s="232">
        <v>566.13</v>
      </c>
      <c r="AF7" s="182"/>
      <c r="AG7" s="197">
        <v>6</v>
      </c>
      <c r="AH7" s="231" t="s">
        <v>445</v>
      </c>
      <c r="AI7" s="232">
        <v>306.36</v>
      </c>
      <c r="AJ7" s="182"/>
      <c r="AK7" s="203" t="s">
        <v>453</v>
      </c>
      <c r="AL7" s="234">
        <v>79.72</v>
      </c>
      <c r="AM7" s="202">
        <v>29.12</v>
      </c>
    </row>
    <row r="8" spans="2:39" ht="15.75" thickBot="1">
      <c r="C8" s="314"/>
      <c r="D8" s="315"/>
      <c r="E8" s="316"/>
      <c r="F8" s="315"/>
      <c r="G8" s="317"/>
      <c r="H8" s="318"/>
      <c r="I8" s="319"/>
      <c r="J8" s="318"/>
      <c r="K8" s="317"/>
      <c r="L8" s="318"/>
      <c r="M8" s="320"/>
      <c r="N8" s="321"/>
      <c r="O8" s="292"/>
      <c r="P8" s="292"/>
      <c r="Q8" s="326" t="s">
        <v>454</v>
      </c>
      <c r="R8" s="323">
        <f t="shared" si="1"/>
        <v>0</v>
      </c>
      <c r="S8" s="324">
        <f t="shared" si="2"/>
        <v>1.3329300000000002</v>
      </c>
      <c r="T8" s="325">
        <f t="shared" si="0"/>
        <v>0</v>
      </c>
      <c r="U8" s="326" t="s">
        <v>455</v>
      </c>
      <c r="V8" s="327">
        <f>SUMIF($N$5:$N$27,U8,$M$5:$M$27)+SUMIF($I$33:I$38,U8,H$33:H$38)+SUMIF(I$5:I$27,U8,H$5:H$27)+SUMIF(I$44:I$64,U8,H$44:H$64)+SUMIF(N$44:N$64,U8,M$44:M$64)</f>
        <v>0</v>
      </c>
      <c r="W8" s="328">
        <f t="shared" si="3"/>
        <v>0.61549999999999994</v>
      </c>
      <c r="X8" s="291">
        <f t="shared" si="4"/>
        <v>0</v>
      </c>
      <c r="Y8" s="330">
        <f t="shared" si="5"/>
        <v>0</v>
      </c>
      <c r="AC8" s="194" t="s">
        <v>456</v>
      </c>
      <c r="AD8" s="231" t="s">
        <v>444</v>
      </c>
      <c r="AE8" s="232">
        <v>871.04</v>
      </c>
      <c r="AF8" s="182"/>
      <c r="AG8" s="197">
        <v>4</v>
      </c>
      <c r="AH8" s="231" t="s">
        <v>445</v>
      </c>
      <c r="AI8" s="232">
        <v>379.98</v>
      </c>
      <c r="AJ8" s="182"/>
      <c r="AK8" s="204">
        <v>1</v>
      </c>
      <c r="AL8" s="234">
        <v>139.78</v>
      </c>
      <c r="AM8" s="202">
        <v>46.98</v>
      </c>
    </row>
    <row r="9" spans="2:39" ht="15.75" thickBot="1">
      <c r="C9" s="314"/>
      <c r="D9" s="315"/>
      <c r="E9" s="316"/>
      <c r="F9" s="315"/>
      <c r="G9" s="317"/>
      <c r="H9" s="318"/>
      <c r="I9" s="319"/>
      <c r="J9" s="318"/>
      <c r="K9" s="317"/>
      <c r="L9" s="318"/>
      <c r="M9" s="320"/>
      <c r="N9" s="321"/>
      <c r="O9" s="292"/>
      <c r="P9" s="292"/>
      <c r="Q9" s="326" t="s">
        <v>457</v>
      </c>
      <c r="R9" s="323">
        <f t="shared" si="1"/>
        <v>0</v>
      </c>
      <c r="S9" s="324">
        <f t="shared" ref="S9:S26" si="6">_xlfn.IFS($Q$3="Cu",IF( AE11="","",AE11/1000),$Q$3="Al",IF(AI10="","",AI10/1000))</f>
        <v>2.1044</v>
      </c>
      <c r="T9" s="325">
        <f t="shared" si="0"/>
        <v>0</v>
      </c>
      <c r="U9" s="326" t="s">
        <v>458</v>
      </c>
      <c r="V9" s="327">
        <f>SUMIF($N$5:$N$27,U9,$M$5:$M$27)+SUMIF($I$33:I$38,U9,H$33:H$38)+SUMIF(I$5:I$27,U9,H$5:H$27)+SUMIF(I$44:I$64,U9,H$44:H$64)+SUMIF(N$44:N$64,U9,M$44:M$64)</f>
        <v>0</v>
      </c>
      <c r="W9" s="328">
        <f t="shared" si="3"/>
        <v>0.71290000000000009</v>
      </c>
      <c r="X9" s="291">
        <f t="shared" si="4"/>
        <v>0</v>
      </c>
      <c r="Y9" s="330">
        <f t="shared" si="5"/>
        <v>0</v>
      </c>
      <c r="AC9" s="194" t="s">
        <v>459</v>
      </c>
      <c r="AD9" s="231" t="s">
        <v>444</v>
      </c>
      <c r="AE9" s="232">
        <v>1332.93</v>
      </c>
      <c r="AF9" s="182"/>
      <c r="AG9" s="197" t="s">
        <v>460</v>
      </c>
      <c r="AH9" s="231" t="s">
        <v>445</v>
      </c>
      <c r="AI9" s="232">
        <v>366.81</v>
      </c>
      <c r="AJ9" s="182"/>
      <c r="AK9" s="203" t="s">
        <v>461</v>
      </c>
      <c r="AL9" s="234">
        <v>226.49</v>
      </c>
      <c r="AM9" s="202">
        <v>61.55</v>
      </c>
    </row>
    <row r="10" spans="2:39" ht="15.75" thickBot="1">
      <c r="C10" s="314"/>
      <c r="D10" s="315"/>
      <c r="E10" s="316"/>
      <c r="F10" s="315"/>
      <c r="G10" s="317"/>
      <c r="H10" s="318"/>
      <c r="I10" s="319"/>
      <c r="J10" s="318"/>
      <c r="K10" s="317"/>
      <c r="L10" s="318"/>
      <c r="M10" s="320"/>
      <c r="N10" s="321"/>
      <c r="O10" s="292"/>
      <c r="P10" s="292"/>
      <c r="Q10" s="326" t="s">
        <v>462</v>
      </c>
      <c r="R10" s="323">
        <f t="shared" si="1"/>
        <v>0</v>
      </c>
      <c r="S10" s="324">
        <f t="shared" si="6"/>
        <v>2.3983300000000001</v>
      </c>
      <c r="T10" s="325">
        <f>IF(S10="",0,R10*S10)</f>
        <v>0</v>
      </c>
      <c r="U10" s="326" t="s">
        <v>463</v>
      </c>
      <c r="V10" s="327">
        <f>SUMIF($N$5:$N$27,U10,$M$5:$M$27)+SUMIF($I$33:I$38,U10,H$33:H$38)+SUMIF(I$5:I$27,U10,H$5:H$27)+SUMIF(I$44:I$64,U10,H$44:H$64)+SUMIF(N$44:N$64,U10,M$44:M$64)</f>
        <v>15</v>
      </c>
      <c r="W10" s="328">
        <f t="shared" si="3"/>
        <v>0.88969999999999994</v>
      </c>
      <c r="X10" s="291">
        <f t="shared" si="4"/>
        <v>13.345499999999999</v>
      </c>
      <c r="Y10" s="330">
        <f t="shared" si="5"/>
        <v>13.345499999999999</v>
      </c>
      <c r="AC10" s="197" t="s">
        <v>460</v>
      </c>
      <c r="AD10" s="231" t="s">
        <v>464</v>
      </c>
      <c r="AE10" s="232">
        <v>1681.26</v>
      </c>
      <c r="AF10" s="182"/>
      <c r="AG10" s="197">
        <v>2</v>
      </c>
      <c r="AH10" s="231" t="s">
        <v>445</v>
      </c>
      <c r="AI10" s="232">
        <v>482.1</v>
      </c>
      <c r="AJ10" s="182"/>
      <c r="AK10" s="203" t="s">
        <v>465</v>
      </c>
      <c r="AL10" s="234">
        <v>276.41000000000003</v>
      </c>
      <c r="AM10" s="202">
        <v>71.290000000000006</v>
      </c>
    </row>
    <row r="11" spans="2:39" ht="15.75" thickBot="1">
      <c r="C11" s="314"/>
      <c r="D11" s="315"/>
      <c r="E11" s="316"/>
      <c r="F11" s="315"/>
      <c r="G11" s="317"/>
      <c r="H11" s="318"/>
      <c r="I11" s="319"/>
      <c r="J11" s="318"/>
      <c r="K11" s="317"/>
      <c r="L11" s="318"/>
      <c r="M11" s="320"/>
      <c r="N11" s="321"/>
      <c r="O11" s="292"/>
      <c r="P11" s="292"/>
      <c r="Q11" s="331" t="s">
        <v>466</v>
      </c>
      <c r="R11" s="323">
        <f t="shared" si="1"/>
        <v>0</v>
      </c>
      <c r="S11" s="324">
        <f t="shared" si="6"/>
        <v>2.9530400000000001</v>
      </c>
      <c r="T11" s="325">
        <f t="shared" si="0"/>
        <v>0</v>
      </c>
      <c r="U11" s="326" t="s">
        <v>467</v>
      </c>
      <c r="V11" s="327">
        <f>SUMIF($N$5:$N$27,U11,$M$5:$M$27)+SUMIF($I$33:I$38,U11,H$33:H$38)+SUMIF(I$5:I$27,U11,H$5:H$27)+SUMIF(I$44:I$64,U11,H$44:H$64)+SUMIF(N$44:N$64,U11,M$44:M$64)</f>
        <v>0</v>
      </c>
      <c r="W11" s="328">
        <f t="shared" si="3"/>
        <v>1.3959999999999999</v>
      </c>
      <c r="X11" s="291">
        <f t="shared" si="4"/>
        <v>0</v>
      </c>
      <c r="Y11" s="330">
        <f t="shared" si="5"/>
        <v>0</v>
      </c>
      <c r="AC11" s="194" t="s">
        <v>468</v>
      </c>
      <c r="AD11" s="231" t="s">
        <v>464</v>
      </c>
      <c r="AE11" s="232">
        <v>2104.4</v>
      </c>
      <c r="AF11" s="182"/>
      <c r="AG11" s="197">
        <v>1</v>
      </c>
      <c r="AH11" s="231" t="s">
        <v>445</v>
      </c>
      <c r="AI11" s="232">
        <v>667.33</v>
      </c>
      <c r="AJ11" s="182"/>
      <c r="AK11" s="204">
        <v>2</v>
      </c>
      <c r="AL11" s="234">
        <v>315.97000000000003</v>
      </c>
      <c r="AM11" s="202">
        <v>88.97</v>
      </c>
    </row>
    <row r="12" spans="2:39" ht="15.75" thickBot="1">
      <c r="C12" s="314"/>
      <c r="D12" s="315"/>
      <c r="E12" s="316"/>
      <c r="F12" s="315"/>
      <c r="G12" s="317"/>
      <c r="H12" s="318"/>
      <c r="I12" s="319"/>
      <c r="J12" s="318"/>
      <c r="K12" s="317"/>
      <c r="L12" s="318"/>
      <c r="M12" s="320"/>
      <c r="N12" s="321"/>
      <c r="O12" s="292"/>
      <c r="P12" s="292"/>
      <c r="Q12" s="331" t="s">
        <v>469</v>
      </c>
      <c r="R12" s="323">
        <f t="shared" si="1"/>
        <v>0</v>
      </c>
      <c r="S12" s="324">
        <f t="shared" si="6"/>
        <v>3.6375799999999998</v>
      </c>
      <c r="T12" s="325">
        <f t="shared" si="0"/>
        <v>0</v>
      </c>
      <c r="U12" s="326" t="s">
        <v>470</v>
      </c>
      <c r="V12" s="327">
        <f>SUMIF($N$5:$N$27,U12,$M$5:$M$27)+SUMIF($I$33:I$38,U12,H$33:H$38)+SUMIF(I$5:I$27,U12,H$5:H$27)+SUMIF(I$44:I$64,U12,H$44:H$64)+SUMIF(N$44:N$64,U12,M$44:M$64)</f>
        <v>0</v>
      </c>
      <c r="W12" s="328">
        <f t="shared" si="3"/>
        <v>1.7033</v>
      </c>
      <c r="X12" s="329">
        <f>V12*W12</f>
        <v>0</v>
      </c>
      <c r="Y12" s="330">
        <f>T12+X12</f>
        <v>0</v>
      </c>
      <c r="AC12" s="194" t="s">
        <v>471</v>
      </c>
      <c r="AD12" s="231" t="s">
        <v>464</v>
      </c>
      <c r="AE12" s="232">
        <v>2398.33</v>
      </c>
      <c r="AF12" s="182"/>
      <c r="AG12" s="197" t="s">
        <v>472</v>
      </c>
      <c r="AH12" s="231" t="s">
        <v>445</v>
      </c>
      <c r="AI12" s="232">
        <v>750.45</v>
      </c>
      <c r="AJ12" s="182"/>
      <c r="AK12" s="203" t="s">
        <v>473</v>
      </c>
      <c r="AL12" s="234">
        <v>491.85</v>
      </c>
      <c r="AM12" s="202">
        <v>139.6</v>
      </c>
    </row>
    <row r="13" spans="2:39" ht="15.75" thickBot="1">
      <c r="C13" s="314"/>
      <c r="D13" s="315"/>
      <c r="E13" s="316"/>
      <c r="F13" s="315"/>
      <c r="G13" s="317"/>
      <c r="H13" s="318"/>
      <c r="I13" s="319"/>
      <c r="J13" s="318"/>
      <c r="K13" s="317"/>
      <c r="L13" s="318"/>
      <c r="M13" s="320"/>
      <c r="N13" s="321"/>
      <c r="O13" s="292"/>
      <c r="P13" s="292"/>
      <c r="Q13" s="331" t="s">
        <v>474</v>
      </c>
      <c r="R13" s="323">
        <f>SUMIF($G$5:$G$27,Q13,$F$5:$F$27)+SUMIF($G$33:$G$38,Q13,$F$33:$F$38)+SUMIF($G$44:$G$64,Q13,$F$44:$F$64)+SUMIF($K$5:$K$27,Q13,$J$5:$J$27)+SUMIF($K$44:$K$64,Q13,$J$44:$J$64)+SUMIF($K$33:$K$38,Q13,$J$33:$J$38)</f>
        <v>45</v>
      </c>
      <c r="S13" s="324">
        <f t="shared" si="6"/>
        <v>4.5658000000000003</v>
      </c>
      <c r="T13" s="325">
        <f t="shared" si="0"/>
        <v>205.46100000000001</v>
      </c>
      <c r="U13" s="326" t="s">
        <v>475</v>
      </c>
      <c r="V13" s="327">
        <f>SUMIF($N$5:$N$27,U13,$M$5:$M$27)+SUMIF($I$33:I$38,U13,H$33:H$38)+SUMIF(I$5:I$27,U13,H$5:H$27)+SUMIF(I$44:I$64,U13,H$44:H$64)+SUMIF(N$44:N$64,U13,M$44:M$64)</f>
        <v>0</v>
      </c>
      <c r="W13" s="328">
        <f t="shared" si="3"/>
        <v>2.25</v>
      </c>
      <c r="X13" s="291">
        <f>V13*W13</f>
        <v>0</v>
      </c>
      <c r="Y13" s="330">
        <f t="shared" si="5"/>
        <v>205.46100000000001</v>
      </c>
      <c r="AC13" s="205" t="s">
        <v>472</v>
      </c>
      <c r="AD13" s="231" t="s">
        <v>464</v>
      </c>
      <c r="AE13" s="232">
        <v>2953.04</v>
      </c>
      <c r="AF13" s="182"/>
      <c r="AG13" s="206" t="s">
        <v>476</v>
      </c>
      <c r="AH13" s="231" t="s">
        <v>445</v>
      </c>
      <c r="AI13" s="232">
        <v>887.01</v>
      </c>
      <c r="AJ13" s="182"/>
      <c r="AK13" s="204">
        <v>3</v>
      </c>
      <c r="AL13" s="234">
        <v>622.69000000000005</v>
      </c>
      <c r="AM13" s="202">
        <v>170.33</v>
      </c>
    </row>
    <row r="14" spans="2:39" ht="15.75" thickBot="1">
      <c r="C14" s="314"/>
      <c r="D14" s="315"/>
      <c r="E14" s="316"/>
      <c r="F14" s="315"/>
      <c r="G14" s="317"/>
      <c r="H14" s="318"/>
      <c r="I14" s="319"/>
      <c r="J14" s="318"/>
      <c r="K14" s="317"/>
      <c r="L14" s="318"/>
      <c r="M14" s="320"/>
      <c r="N14" s="321"/>
      <c r="O14" s="292"/>
      <c r="P14" s="292"/>
      <c r="Q14" s="331" t="s">
        <v>477</v>
      </c>
      <c r="R14" s="323">
        <f t="shared" si="1"/>
        <v>0</v>
      </c>
      <c r="S14" s="324">
        <f t="shared" si="6"/>
        <v>5.7304499999999994</v>
      </c>
      <c r="T14" s="325">
        <f t="shared" si="0"/>
        <v>0</v>
      </c>
      <c r="U14" s="326" t="s">
        <v>478</v>
      </c>
      <c r="V14" s="327">
        <f>SUMIF($N$5:$N$27,U14,$M$5:$M$27)+SUMIF($I$33:I$38,U14,H$33:H$38)+SUMIF(I$5:I$27,U14,H$5:H$27)+SUMIF(I$44:I$64,U14,H$44:H$64)+SUMIF(N$44:N$64,U14,M$44:M$64)</f>
        <v>0</v>
      </c>
      <c r="W14" s="328">
        <f t="shared" si="3"/>
        <v>2.3163999999999998</v>
      </c>
      <c r="X14" s="291">
        <f t="shared" si="4"/>
        <v>0</v>
      </c>
      <c r="Y14" s="330">
        <f t="shared" si="5"/>
        <v>0</v>
      </c>
      <c r="AC14" s="205" t="s">
        <v>476</v>
      </c>
      <c r="AD14" s="231" t="s">
        <v>464</v>
      </c>
      <c r="AE14" s="232">
        <v>3637.58</v>
      </c>
      <c r="AF14" s="182"/>
      <c r="AG14" s="206" t="s">
        <v>479</v>
      </c>
      <c r="AH14" s="231" t="s">
        <v>445</v>
      </c>
      <c r="AI14" s="232">
        <v>1099.56</v>
      </c>
      <c r="AJ14" s="182"/>
      <c r="AK14" s="203" t="s">
        <v>480</v>
      </c>
      <c r="AL14" s="234">
        <v>822.39</v>
      </c>
      <c r="AM14" s="202">
        <v>225</v>
      </c>
    </row>
    <row r="15" spans="2:39" ht="15.75" thickBot="1">
      <c r="C15" s="314"/>
      <c r="D15" s="315"/>
      <c r="E15" s="316"/>
      <c r="F15" s="315"/>
      <c r="G15" s="317"/>
      <c r="H15" s="318"/>
      <c r="I15" s="319"/>
      <c r="J15" s="318"/>
      <c r="K15" s="317"/>
      <c r="L15" s="318"/>
      <c r="M15" s="320"/>
      <c r="N15" s="321"/>
      <c r="O15" s="292"/>
      <c r="P15" s="292"/>
      <c r="Q15" s="331" t="s">
        <v>481</v>
      </c>
      <c r="R15" s="323">
        <f t="shared" si="1"/>
        <v>0</v>
      </c>
      <c r="S15" s="324">
        <f t="shared" si="6"/>
        <v>6.6401599999999998</v>
      </c>
      <c r="T15" s="325">
        <f t="shared" si="0"/>
        <v>0</v>
      </c>
      <c r="U15" s="326" t="s">
        <v>482</v>
      </c>
      <c r="V15" s="327">
        <f>SUMIF($N$5:$N$27,U15,$M$5:$M$27)+SUMIF($I$33:I$38,U15,H$33:H$38)+SUMIF(I$5:I$27,U15,H$5:H$27)+SUMIF(I$44:I$64,U15,H$44:H$64)+SUMIF(N$44:N$64,U15,M$44:M$64)</f>
        <v>0</v>
      </c>
      <c r="W15" s="328">
        <f>IF($U$3="PVC",AM16,AL16)/100</f>
        <v>3.3106</v>
      </c>
      <c r="X15" s="291">
        <f>V15*W15</f>
        <v>0</v>
      </c>
      <c r="Y15" s="330">
        <f t="shared" si="5"/>
        <v>0</v>
      </c>
      <c r="AC15" s="205" t="s">
        <v>479</v>
      </c>
      <c r="AD15" s="231" t="s">
        <v>464</v>
      </c>
      <c r="AE15" s="232">
        <v>4565.8</v>
      </c>
      <c r="AF15" s="182"/>
      <c r="AG15" s="206" t="s">
        <v>483</v>
      </c>
      <c r="AH15" s="231" t="s">
        <v>445</v>
      </c>
      <c r="AI15" s="232">
        <v>1227.8</v>
      </c>
      <c r="AJ15" s="182"/>
      <c r="AK15" s="204">
        <v>4</v>
      </c>
      <c r="AL15" s="234">
        <v>827.46</v>
      </c>
      <c r="AM15" s="202">
        <v>231.64</v>
      </c>
    </row>
    <row r="16" spans="2:39" ht="15.75" thickBot="1">
      <c r="C16" s="314"/>
      <c r="D16" s="315"/>
      <c r="E16" s="316"/>
      <c r="F16" s="315"/>
      <c r="G16" s="317"/>
      <c r="H16" s="318"/>
      <c r="I16" s="319"/>
      <c r="J16" s="318"/>
      <c r="K16" s="317"/>
      <c r="L16" s="318"/>
      <c r="M16" s="320"/>
      <c r="N16" s="321"/>
      <c r="O16" s="292"/>
      <c r="P16" s="292"/>
      <c r="Q16" s="331" t="s">
        <v>484</v>
      </c>
      <c r="R16" s="323">
        <f t="shared" si="1"/>
        <v>0</v>
      </c>
      <c r="S16" s="324">
        <f t="shared" si="6"/>
        <v>7.9631999999999996</v>
      </c>
      <c r="T16" s="325">
        <f t="shared" si="0"/>
        <v>0</v>
      </c>
      <c r="Y16" s="330">
        <f t="shared" si="5"/>
        <v>0</v>
      </c>
      <c r="AC16" s="205" t="s">
        <v>483</v>
      </c>
      <c r="AD16" s="231" t="s">
        <v>464</v>
      </c>
      <c r="AE16" s="232">
        <v>5730.45</v>
      </c>
      <c r="AF16" s="182"/>
      <c r="AG16" s="206">
        <v>250</v>
      </c>
      <c r="AH16" s="231" t="s">
        <v>445</v>
      </c>
      <c r="AI16" s="232">
        <v>1496.16</v>
      </c>
      <c r="AJ16" s="182"/>
      <c r="AK16" s="204">
        <v>5</v>
      </c>
      <c r="AL16" s="233"/>
      <c r="AM16" s="251">
        <v>331.06</v>
      </c>
    </row>
    <row r="17" spans="3:40" ht="15.75" thickBot="1">
      <c r="C17" s="314"/>
      <c r="D17" s="315"/>
      <c r="E17" s="316"/>
      <c r="F17" s="315"/>
      <c r="G17" s="317"/>
      <c r="H17" s="318"/>
      <c r="I17" s="319"/>
      <c r="J17" s="318"/>
      <c r="K17" s="317"/>
      <c r="L17" s="318"/>
      <c r="M17" s="320"/>
      <c r="N17" s="321"/>
      <c r="O17" s="292"/>
      <c r="P17" s="292"/>
      <c r="Q17" s="331" t="s">
        <v>485</v>
      </c>
      <c r="R17" s="323">
        <f t="shared" si="1"/>
        <v>0</v>
      </c>
      <c r="S17" s="324">
        <f t="shared" si="6"/>
        <v>9.3241599999999991</v>
      </c>
      <c r="T17" s="325">
        <f t="shared" si="0"/>
        <v>0</v>
      </c>
      <c r="Y17" s="330">
        <f t="shared" si="5"/>
        <v>0</v>
      </c>
      <c r="AC17" s="194" t="s">
        <v>486</v>
      </c>
      <c r="AD17" s="231" t="s">
        <v>464</v>
      </c>
      <c r="AE17" s="232">
        <v>6640.16</v>
      </c>
      <c r="AF17" s="207"/>
      <c r="AG17" s="197">
        <v>300</v>
      </c>
      <c r="AH17" s="231" t="s">
        <v>445</v>
      </c>
      <c r="AI17" s="232">
        <v>2061.37</v>
      </c>
      <c r="AJ17" s="207"/>
      <c r="AK17" s="208">
        <v>6</v>
      </c>
      <c r="AL17" s="235"/>
      <c r="AM17" s="209"/>
    </row>
    <row r="18" spans="3:40" ht="15.75" thickBot="1">
      <c r="C18" s="314"/>
      <c r="D18" s="315"/>
      <c r="E18" s="316"/>
      <c r="F18" s="315"/>
      <c r="G18" s="317"/>
      <c r="H18" s="318"/>
      <c r="I18" s="319"/>
      <c r="J18" s="318"/>
      <c r="K18" s="317"/>
      <c r="L18" s="318"/>
      <c r="M18" s="320"/>
      <c r="N18" s="321"/>
      <c r="O18" s="292"/>
      <c r="P18" s="292"/>
      <c r="Q18" s="331" t="s">
        <v>487</v>
      </c>
      <c r="R18" s="327">
        <f t="shared" si="1"/>
        <v>0</v>
      </c>
      <c r="S18" s="324">
        <f t="shared" si="6"/>
        <v>10.60671</v>
      </c>
      <c r="T18" s="325">
        <f>IF(S18="",0,R18*S18)</f>
        <v>0</v>
      </c>
      <c r="Y18" s="330">
        <f>T18+X18</f>
        <v>0</v>
      </c>
      <c r="AC18" s="194" t="s">
        <v>488</v>
      </c>
      <c r="AD18" s="231" t="s">
        <v>464</v>
      </c>
      <c r="AE18" s="232">
        <v>7963.2</v>
      </c>
      <c r="AF18" s="207"/>
      <c r="AG18" s="197">
        <v>350</v>
      </c>
      <c r="AH18" s="231" t="s">
        <v>445</v>
      </c>
      <c r="AI18" s="232">
        <v>2104.12</v>
      </c>
      <c r="AJ18" s="207"/>
      <c r="AK18" s="207"/>
      <c r="AL18" s="210"/>
      <c r="AM18" s="182"/>
    </row>
    <row r="19" spans="3:40" ht="15.75" thickBot="1">
      <c r="C19" s="314"/>
      <c r="D19" s="315"/>
      <c r="E19" s="316"/>
      <c r="F19" s="315"/>
      <c r="G19" s="317"/>
      <c r="H19" s="318"/>
      <c r="I19" s="319"/>
      <c r="J19" s="318"/>
      <c r="K19" s="317"/>
      <c r="L19" s="318"/>
      <c r="M19" s="320"/>
      <c r="N19" s="321"/>
      <c r="O19" s="292"/>
      <c r="P19" s="292"/>
      <c r="Q19" s="326" t="s">
        <v>489</v>
      </c>
      <c r="R19" s="327">
        <f t="shared" si="1"/>
        <v>0</v>
      </c>
      <c r="S19" s="324">
        <f t="shared" si="6"/>
        <v>11.334</v>
      </c>
      <c r="T19" s="325">
        <f>IF(S19="",0,R19*S19)</f>
        <v>0</v>
      </c>
      <c r="Y19" s="330">
        <f t="shared" si="5"/>
        <v>0</v>
      </c>
      <c r="AC19" s="194" t="s">
        <v>490</v>
      </c>
      <c r="AD19" s="231" t="s">
        <v>464</v>
      </c>
      <c r="AE19" s="232">
        <v>9324.16</v>
      </c>
      <c r="AF19" s="207"/>
      <c r="AG19" s="197">
        <v>400</v>
      </c>
      <c r="AH19" s="231" t="s">
        <v>445</v>
      </c>
      <c r="AI19" s="232">
        <v>2457.9699999999998</v>
      </c>
      <c r="AJ19" s="207"/>
      <c r="AK19" s="207"/>
      <c r="AL19" s="210"/>
      <c r="AM19" s="182"/>
    </row>
    <row r="20" spans="3:40" ht="15.75" thickBot="1">
      <c r="C20" s="314"/>
      <c r="D20" s="315"/>
      <c r="E20" s="316"/>
      <c r="F20" s="315"/>
      <c r="G20" s="317"/>
      <c r="H20" s="318"/>
      <c r="I20" s="319"/>
      <c r="J20" s="318"/>
      <c r="K20" s="317"/>
      <c r="L20" s="318"/>
      <c r="M20" s="320"/>
      <c r="N20" s="321"/>
      <c r="O20" s="292"/>
      <c r="P20" s="292"/>
      <c r="Q20" s="326" t="s">
        <v>491</v>
      </c>
      <c r="R20" s="327">
        <f t="shared" si="1"/>
        <v>0</v>
      </c>
      <c r="S20" s="324">
        <f t="shared" si="6"/>
        <v>13.30059</v>
      </c>
      <c r="T20" s="325">
        <f t="shared" ref="T20:T26" si="7">IF(S20="",0,R20*S20)</f>
        <v>0</v>
      </c>
      <c r="Y20" s="330">
        <f t="shared" si="5"/>
        <v>0</v>
      </c>
      <c r="AC20" s="194" t="s">
        <v>492</v>
      </c>
      <c r="AD20" s="231" t="s">
        <v>464</v>
      </c>
      <c r="AE20" s="232">
        <v>10606.71</v>
      </c>
      <c r="AF20" s="207"/>
      <c r="AG20" s="197">
        <v>450</v>
      </c>
      <c r="AH20" s="198" t="s">
        <v>445</v>
      </c>
      <c r="AI20" s="199" t="s">
        <v>385</v>
      </c>
      <c r="AJ20" s="207"/>
      <c r="AK20" s="207"/>
      <c r="AL20" s="210"/>
      <c r="AM20" s="182"/>
    </row>
    <row r="21" spans="3:40" ht="15.75" thickBot="1">
      <c r="C21" s="314"/>
      <c r="D21" s="315"/>
      <c r="E21" s="316"/>
      <c r="F21" s="315"/>
      <c r="G21" s="317"/>
      <c r="H21" s="318"/>
      <c r="I21" s="319"/>
      <c r="J21" s="318"/>
      <c r="K21" s="317"/>
      <c r="L21" s="318"/>
      <c r="M21" s="320"/>
      <c r="N21" s="321"/>
      <c r="O21" s="292"/>
      <c r="P21" s="292"/>
      <c r="Q21" s="326" t="s">
        <v>493</v>
      </c>
      <c r="R21" s="327">
        <f t="shared" si="1"/>
        <v>0</v>
      </c>
      <c r="S21" s="324">
        <f t="shared" si="6"/>
        <v>16.573820000000001</v>
      </c>
      <c r="T21" s="325">
        <f t="shared" si="7"/>
        <v>0</v>
      </c>
      <c r="Y21" s="330">
        <f t="shared" si="5"/>
        <v>0</v>
      </c>
      <c r="AC21" s="194" t="s">
        <v>494</v>
      </c>
      <c r="AD21" s="231" t="s">
        <v>464</v>
      </c>
      <c r="AE21" s="252">
        <v>11334</v>
      </c>
      <c r="AF21" s="207"/>
      <c r="AG21" s="197">
        <v>500</v>
      </c>
      <c r="AH21" s="231" t="s">
        <v>445</v>
      </c>
      <c r="AI21" s="232">
        <v>2720.4</v>
      </c>
      <c r="AJ21" s="207"/>
      <c r="AK21" s="207"/>
      <c r="AL21" s="210"/>
      <c r="AM21" s="182"/>
    </row>
    <row r="22" spans="3:40" ht="15.75" thickBot="1">
      <c r="C22" s="314"/>
      <c r="D22" s="315"/>
      <c r="E22" s="316"/>
      <c r="F22" s="315"/>
      <c r="G22" s="317"/>
      <c r="H22" s="318"/>
      <c r="I22" s="319"/>
      <c r="J22" s="318"/>
      <c r="K22" s="317"/>
      <c r="L22" s="318"/>
      <c r="M22" s="320"/>
      <c r="N22" s="321"/>
      <c r="O22" s="292"/>
      <c r="P22" s="292"/>
      <c r="Q22" s="326" t="s">
        <v>495</v>
      </c>
      <c r="R22" s="327">
        <f t="shared" si="1"/>
        <v>0</v>
      </c>
      <c r="S22" s="324" t="str">
        <f t="shared" si="6"/>
        <v/>
      </c>
      <c r="T22" s="325">
        <f t="shared" si="7"/>
        <v>0</v>
      </c>
      <c r="Y22" s="330">
        <f t="shared" si="5"/>
        <v>0</v>
      </c>
      <c r="AC22" s="194" t="s">
        <v>496</v>
      </c>
      <c r="AD22" s="236" t="s">
        <v>464</v>
      </c>
      <c r="AE22" s="237">
        <v>13300.59</v>
      </c>
      <c r="AF22" s="207"/>
      <c r="AG22" s="197">
        <v>600</v>
      </c>
      <c r="AH22" s="231" t="s">
        <v>445</v>
      </c>
      <c r="AI22" s="232">
        <v>3443.54</v>
      </c>
      <c r="AJ22" s="207"/>
      <c r="AK22" s="207"/>
      <c r="AL22" s="210"/>
      <c r="AM22" s="182"/>
    </row>
    <row r="23" spans="3:40" ht="15.75" thickBot="1">
      <c r="C23" s="314"/>
      <c r="D23" s="315"/>
      <c r="E23" s="316"/>
      <c r="F23" s="315"/>
      <c r="G23" s="317"/>
      <c r="H23" s="318"/>
      <c r="I23" s="319"/>
      <c r="J23" s="318"/>
      <c r="K23" s="317"/>
      <c r="L23" s="318"/>
      <c r="M23" s="320"/>
      <c r="N23" s="321"/>
      <c r="O23" s="292"/>
      <c r="P23" s="292"/>
      <c r="Q23" s="326" t="s">
        <v>497</v>
      </c>
      <c r="R23" s="323">
        <f t="shared" si="1"/>
        <v>0</v>
      </c>
      <c r="S23" s="324">
        <f t="shared" si="6"/>
        <v>25.920999999999999</v>
      </c>
      <c r="T23" s="325">
        <f t="shared" si="7"/>
        <v>0</v>
      </c>
      <c r="Y23" s="330">
        <f t="shared" si="5"/>
        <v>0</v>
      </c>
      <c r="AC23" s="194" t="s">
        <v>498</v>
      </c>
      <c r="AD23" s="195" t="s">
        <v>444</v>
      </c>
      <c r="AE23" s="196">
        <v>16573.82</v>
      </c>
      <c r="AF23" s="207"/>
      <c r="AG23" s="197">
        <v>700</v>
      </c>
      <c r="AH23" s="231" t="s">
        <v>445</v>
      </c>
      <c r="AI23" s="252">
        <v>4809</v>
      </c>
      <c r="AJ23" s="207"/>
      <c r="AK23" s="207"/>
      <c r="AL23" s="210"/>
      <c r="AM23" s="182"/>
    </row>
    <row r="24" spans="3:40" ht="15.75" thickBot="1">
      <c r="C24" s="314"/>
      <c r="D24" s="315"/>
      <c r="E24" s="316"/>
      <c r="F24" s="315"/>
      <c r="G24" s="317"/>
      <c r="H24" s="318"/>
      <c r="I24" s="319"/>
      <c r="J24" s="318"/>
      <c r="K24" s="317"/>
      <c r="L24" s="318"/>
      <c r="M24" s="320"/>
      <c r="N24" s="321"/>
      <c r="O24" s="292"/>
      <c r="P24" s="292"/>
      <c r="Q24" s="326" t="s">
        <v>499</v>
      </c>
      <c r="R24" s="323">
        <f t="shared" si="1"/>
        <v>0</v>
      </c>
      <c r="S24" s="324" t="str">
        <f t="shared" si="6"/>
        <v/>
      </c>
      <c r="T24" s="325">
        <f t="shared" si="7"/>
        <v>0</v>
      </c>
      <c r="Y24" s="330">
        <f t="shared" si="5"/>
        <v>0</v>
      </c>
      <c r="AC24" s="194" t="s">
        <v>500</v>
      </c>
      <c r="AD24" s="195" t="s">
        <v>444</v>
      </c>
      <c r="AE24" s="201" t="s">
        <v>385</v>
      </c>
      <c r="AF24" s="207"/>
      <c r="AG24" s="197">
        <v>750</v>
      </c>
      <c r="AH24" s="231" t="s">
        <v>445</v>
      </c>
      <c r="AI24" s="252">
        <v>4859</v>
      </c>
      <c r="AJ24" s="207"/>
      <c r="AK24" s="207"/>
      <c r="AL24" s="210"/>
      <c r="AM24" s="182"/>
    </row>
    <row r="25" spans="3:40" ht="15.75" thickBot="1">
      <c r="C25" s="314"/>
      <c r="D25" s="315"/>
      <c r="F25" s="315"/>
      <c r="G25" s="317"/>
      <c r="H25" s="315"/>
      <c r="I25" s="319"/>
      <c r="J25" s="315"/>
      <c r="K25" s="317"/>
      <c r="L25" s="315"/>
      <c r="M25" s="332"/>
      <c r="N25" s="321"/>
      <c r="O25" s="292"/>
      <c r="P25" s="292"/>
      <c r="Q25" s="326" t="s">
        <v>501</v>
      </c>
      <c r="R25" s="323">
        <f t="shared" si="1"/>
        <v>0</v>
      </c>
      <c r="S25" s="324" t="str">
        <f t="shared" si="6"/>
        <v/>
      </c>
      <c r="T25" s="325">
        <f t="shared" si="7"/>
        <v>0</v>
      </c>
      <c r="Y25" s="330">
        <f>T25+X25</f>
        <v>0</v>
      </c>
      <c r="AC25" s="194" t="s">
        <v>502</v>
      </c>
      <c r="AD25" s="195" t="s">
        <v>444</v>
      </c>
      <c r="AE25" s="201">
        <v>25921</v>
      </c>
      <c r="AF25" s="207"/>
      <c r="AG25" s="206">
        <v>800</v>
      </c>
      <c r="AH25" s="198" t="s">
        <v>445</v>
      </c>
      <c r="AI25" s="201" t="s">
        <v>385</v>
      </c>
      <c r="AJ25" s="207"/>
      <c r="AK25" s="207"/>
      <c r="AL25" s="210"/>
      <c r="AM25" s="182"/>
    </row>
    <row r="26" spans="3:40" ht="15.75" thickBot="1">
      <c r="C26" s="314"/>
      <c r="D26" s="315"/>
      <c r="F26" s="315"/>
      <c r="G26" s="317"/>
      <c r="H26" s="315"/>
      <c r="I26" s="319"/>
      <c r="J26" s="315"/>
      <c r="K26" s="317"/>
      <c r="L26" s="315"/>
      <c r="M26" s="332"/>
      <c r="N26" s="321"/>
      <c r="O26" s="292"/>
      <c r="P26" s="292"/>
      <c r="Q26" s="333" t="s">
        <v>503</v>
      </c>
      <c r="R26" s="323">
        <f t="shared" si="1"/>
        <v>0</v>
      </c>
      <c r="S26" s="324">
        <f t="shared" si="6"/>
        <v>34.398000000000003</v>
      </c>
      <c r="T26" s="325">
        <f t="shared" si="7"/>
        <v>0</v>
      </c>
      <c r="Y26" s="330">
        <f t="shared" si="5"/>
        <v>0</v>
      </c>
      <c r="AC26" s="194" t="s">
        <v>504</v>
      </c>
      <c r="AD26" s="195" t="s">
        <v>444</v>
      </c>
      <c r="AE26" s="201" t="s">
        <v>385</v>
      </c>
      <c r="AF26" s="207"/>
      <c r="AG26" s="206">
        <v>900</v>
      </c>
      <c r="AH26" s="198" t="s">
        <v>445</v>
      </c>
      <c r="AI26" s="201">
        <v>7566</v>
      </c>
      <c r="AJ26" s="207"/>
      <c r="AK26" s="207"/>
      <c r="AL26" s="210"/>
      <c r="AM26" s="182"/>
    </row>
    <row r="27" spans="3:40" ht="15.75" thickBot="1">
      <c r="C27" s="314"/>
      <c r="D27" s="315"/>
      <c r="F27" s="315"/>
      <c r="G27" s="317"/>
      <c r="H27" s="315"/>
      <c r="I27" s="319"/>
      <c r="J27" s="315"/>
      <c r="K27" s="317"/>
      <c r="L27" s="315"/>
      <c r="M27" s="332"/>
      <c r="N27" s="321"/>
      <c r="O27" s="292"/>
      <c r="P27" s="292"/>
      <c r="Q27" s="334"/>
      <c r="R27" s="335"/>
      <c r="S27" s="335"/>
      <c r="T27" s="335"/>
      <c r="U27" s="335"/>
      <c r="V27" s="335"/>
      <c r="W27" s="335"/>
      <c r="X27" s="335"/>
      <c r="Y27" s="336">
        <f>SUM(Y5:Y26)+SUM(Y33:Y54)</f>
        <v>236.24010000000001</v>
      </c>
      <c r="AC27" s="194" t="s">
        <v>505</v>
      </c>
      <c r="AD27" s="195" t="s">
        <v>444</v>
      </c>
      <c r="AE27" s="201" t="s">
        <v>385</v>
      </c>
      <c r="AF27" s="207"/>
      <c r="AG27" s="211">
        <v>1000</v>
      </c>
      <c r="AH27" s="236" t="s">
        <v>445</v>
      </c>
      <c r="AI27" s="253">
        <v>6668</v>
      </c>
      <c r="AJ27" s="182"/>
      <c r="AK27" s="207"/>
      <c r="AL27" s="210"/>
      <c r="AM27" s="182"/>
    </row>
    <row r="28" spans="3:40" ht="15.75" thickBot="1">
      <c r="C28" s="337" t="s">
        <v>57</v>
      </c>
      <c r="D28" s="338"/>
      <c r="E28" s="339">
        <f>SUM(E5:E27)</f>
        <v>0</v>
      </c>
      <c r="F28" s="338">
        <f>SUM(F5:F27)</f>
        <v>0</v>
      </c>
      <c r="G28" s="340"/>
      <c r="H28" s="338">
        <f>SUM(H5:H27)</f>
        <v>0</v>
      </c>
      <c r="I28" s="338"/>
      <c r="J28" s="338">
        <f>MAX(J5:J27)</f>
        <v>0</v>
      </c>
      <c r="K28" s="340"/>
      <c r="L28" s="338">
        <f>SUM(L5:L27)</f>
        <v>0</v>
      </c>
      <c r="M28" s="338">
        <f>SUM(M5:M27)</f>
        <v>0</v>
      </c>
      <c r="N28" s="341"/>
      <c r="O28" s="292"/>
      <c r="P28" s="292"/>
      <c r="AC28" s="212">
        <v>1000</v>
      </c>
      <c r="AD28" s="213" t="s">
        <v>444</v>
      </c>
      <c r="AE28" s="254">
        <v>34398</v>
      </c>
      <c r="AG28" s="210"/>
      <c r="AH28" s="207"/>
      <c r="AI28" s="207"/>
    </row>
    <row r="29" spans="3:40" ht="15.75" thickBot="1">
      <c r="H29" s="316"/>
      <c r="I29" s="316"/>
      <c r="P29" s="342"/>
      <c r="Q29" s="343" t="s">
        <v>506</v>
      </c>
      <c r="R29" s="343"/>
    </row>
    <row r="30" spans="3:40" ht="15" customHeight="1" thickBot="1">
      <c r="C30" s="663" t="s">
        <v>507</v>
      </c>
      <c r="D30" s="663"/>
      <c r="E30" s="663"/>
      <c r="F30" s="663"/>
      <c r="G30" s="663"/>
      <c r="H30" s="663"/>
      <c r="I30" s="663"/>
      <c r="J30" s="663"/>
      <c r="K30" s="663"/>
      <c r="L30" s="663"/>
      <c r="M30" s="344"/>
      <c r="N30" s="344"/>
      <c r="O30" s="292"/>
      <c r="P30" s="292"/>
      <c r="Q30" s="293"/>
      <c r="R30" s="294"/>
      <c r="S30" s="295" t="s">
        <v>414</v>
      </c>
      <c r="T30" s="294"/>
      <c r="U30" s="294"/>
      <c r="V30" s="294"/>
      <c r="W30" s="296" t="s">
        <v>414</v>
      </c>
      <c r="X30" s="294"/>
      <c r="Y30" s="297"/>
    </row>
    <row r="31" spans="3:40" ht="15.75" customHeight="1" thickBot="1">
      <c r="C31" s="664"/>
      <c r="D31" s="664"/>
      <c r="E31" s="664"/>
      <c r="F31" s="664"/>
      <c r="G31" s="664"/>
      <c r="H31" s="664"/>
      <c r="I31" s="664"/>
      <c r="J31" s="664"/>
      <c r="K31" s="664"/>
      <c r="L31" s="664"/>
      <c r="M31" s="344"/>
      <c r="N31" s="344"/>
      <c r="Q31" s="298" t="s">
        <v>508</v>
      </c>
      <c r="S31" s="299">
        <v>46101</v>
      </c>
      <c r="U31" s="298" t="s">
        <v>417</v>
      </c>
      <c r="W31" s="299">
        <v>46101</v>
      </c>
      <c r="Y31" s="300"/>
      <c r="AC31" s="345" t="s">
        <v>509</v>
      </c>
      <c r="AE31" s="292" t="s">
        <v>510</v>
      </c>
      <c r="AK31" s="292" t="s">
        <v>511</v>
      </c>
    </row>
    <row r="32" spans="3:40" ht="15" customHeight="1" thickTop="1" thickBot="1">
      <c r="C32" s="301" t="s">
        <v>512</v>
      </c>
      <c r="D32" s="302" t="s">
        <v>513</v>
      </c>
      <c r="E32" s="303" t="s">
        <v>423</v>
      </c>
      <c r="F32" s="304" t="s">
        <v>424</v>
      </c>
      <c r="G32" s="303" t="s">
        <v>425</v>
      </c>
      <c r="H32" s="304" t="s">
        <v>426</v>
      </c>
      <c r="I32" s="304" t="s">
        <v>427</v>
      </c>
      <c r="J32" s="304" t="s">
        <v>428</v>
      </c>
      <c r="K32" s="304" t="s">
        <v>429</v>
      </c>
      <c r="L32" s="302" t="s">
        <v>514</v>
      </c>
      <c r="O32" s="292"/>
      <c r="P32" s="292"/>
      <c r="Q32" s="308" t="s">
        <v>431</v>
      </c>
      <c r="R32" s="309" t="s">
        <v>55</v>
      </c>
      <c r="S32" s="310" t="s">
        <v>432</v>
      </c>
      <c r="T32" s="309" t="s">
        <v>57</v>
      </c>
      <c r="U32" s="311" t="s">
        <v>433</v>
      </c>
      <c r="V32" s="309" t="s">
        <v>55</v>
      </c>
      <c r="W32" s="310" t="s">
        <v>432</v>
      </c>
      <c r="X32" s="309" t="s">
        <v>57</v>
      </c>
      <c r="Y32" s="312" t="s">
        <v>20</v>
      </c>
      <c r="AC32" s="346" t="s">
        <v>515</v>
      </c>
      <c r="AD32" s="347" t="s">
        <v>7</v>
      </c>
      <c r="AE32" s="348" t="s">
        <v>512</v>
      </c>
      <c r="AF32" s="348" t="s">
        <v>371</v>
      </c>
      <c r="AG32" s="349" t="s">
        <v>516</v>
      </c>
      <c r="AI32" s="350">
        <v>20</v>
      </c>
      <c r="AJ32" s="350" t="s">
        <v>517</v>
      </c>
      <c r="AK32" s="351" t="s">
        <v>518</v>
      </c>
      <c r="AL32" s="352">
        <v>14500</v>
      </c>
      <c r="AM32" s="351"/>
      <c r="AN32" s="353" t="s">
        <v>511</v>
      </c>
    </row>
    <row r="33" spans="3:40" ht="15.75" customHeight="1" thickTop="1" thickBot="1">
      <c r="C33" s="314" t="s">
        <v>519</v>
      </c>
      <c r="D33" s="332">
        <v>1</v>
      </c>
      <c r="E33" s="316">
        <v>0</v>
      </c>
      <c r="F33" s="354">
        <f>(E33*4)*L33</f>
        <v>0</v>
      </c>
      <c r="G33" s="355" t="s">
        <v>493</v>
      </c>
      <c r="H33" s="318">
        <f>E33*L33</f>
        <v>0</v>
      </c>
      <c r="I33" s="319" t="str">
        <f>_xlfn.IFS(G33=$Q$6,$U$6,G33=$Q$8,$U$7,G33=$Q$9,$U$8,G33=$Q$7,$U$7,G33=$Q$10,$U$8,G33=$Q$11,$U$9,G33=$Q$12,$U$10,G33=$Q$13,$U$10,G33=$Q$14,$U$10,G33=$Q$15,$U$11,G33=$Q$16,$U$11,G33=$Q$17,$U$11,G33=$Q$18,$U$11,G33=$Q$20,$U$12,G33=$Q$21,$U$14,G33=$Q$23,$U$14)</f>
        <v>(4")</v>
      </c>
      <c r="J33" s="318">
        <f>E33*L33*0</f>
        <v>0</v>
      </c>
      <c r="K33" s="355" t="s">
        <v>454</v>
      </c>
      <c r="L33" s="356" t="s">
        <v>471</v>
      </c>
      <c r="M33" s="291" t="s">
        <v>416</v>
      </c>
      <c r="O33" s="292"/>
      <c r="P33" s="292"/>
      <c r="Q33" s="322" t="s">
        <v>440</v>
      </c>
      <c r="R33" s="323"/>
      <c r="S33" s="324">
        <f>_xlfn.IFS($Q$31="Cu",IF( AE6="","",AE6/1000),$Q$31="Al",IF(AI5="","",AI5/1000))</f>
        <v>0.28000000000000003</v>
      </c>
      <c r="T33" s="325">
        <f t="shared" ref="T33:T37" si="8">IF(S33="",0,R33*S33)</f>
        <v>0</v>
      </c>
      <c r="U33" s="326" t="s">
        <v>442</v>
      </c>
      <c r="V33" s="327"/>
      <c r="W33" s="328">
        <f>IF($U$31="PVC",AM6,AL6)/100</f>
        <v>0.2445</v>
      </c>
      <c r="X33" s="291">
        <f t="shared" ref="X33:X40" si="9">V33*W33</f>
        <v>0</v>
      </c>
      <c r="Y33" s="330">
        <f>T33+X33</f>
        <v>0</v>
      </c>
      <c r="AC33" s="357"/>
      <c r="AD33" s="357"/>
      <c r="AE33" s="358"/>
      <c r="AF33" s="358"/>
      <c r="AG33" s="359"/>
      <c r="AI33" s="360">
        <v>21</v>
      </c>
      <c r="AJ33" s="360" t="s">
        <v>520</v>
      </c>
      <c r="AK33" s="361" t="s">
        <v>521</v>
      </c>
      <c r="AL33" s="362">
        <v>180</v>
      </c>
      <c r="AM33" s="362"/>
      <c r="AN33" s="363" t="s">
        <v>511</v>
      </c>
    </row>
    <row r="34" spans="3:40" ht="25.15" customHeight="1" thickBot="1">
      <c r="C34" s="314" t="s">
        <v>522</v>
      </c>
      <c r="D34" s="332">
        <v>2</v>
      </c>
      <c r="E34" s="316">
        <v>0</v>
      </c>
      <c r="F34" s="354">
        <f>(E34*4)*L34</f>
        <v>0</v>
      </c>
      <c r="G34" s="355" t="s">
        <v>493</v>
      </c>
      <c r="H34" s="318">
        <f>E34*(L34+1)</f>
        <v>0</v>
      </c>
      <c r="I34" s="319" t="str">
        <f>_xlfn.IFS(G34=$Q$6,$U$6,G34=$Q$8,$U$7,G34=$Q$9,$U$8,G34=$Q$7,$U$7,G34=$Q$10,$U$8,G34=$Q$11,$U$9,G34=$Q$12,$U$10,G34=$Q$13,$U$10,G34=$Q$14,$U$10,G34=$Q$15,$U$11,G34=$Q$16,$U$11,G34=$Q$17,$U$11,G34=$Q$18,$U$11,G34=$Q$20,$U$12,G34=$Q$21,$U$14,G34=$Q$23,$U$14)</f>
        <v>(4")</v>
      </c>
      <c r="J34" s="318">
        <f>E34*L34*0</f>
        <v>0</v>
      </c>
      <c r="K34" s="355" t="s">
        <v>454</v>
      </c>
      <c r="L34" s="356" t="s">
        <v>460</v>
      </c>
      <c r="O34" s="292"/>
      <c r="P34" s="292"/>
      <c r="Q34" s="326" t="s">
        <v>447</v>
      </c>
      <c r="R34" s="323"/>
      <c r="S34" s="324" t="str">
        <f t="shared" ref="S34:S54" si="10">_xlfn.IFS($Q$31="Cu",IF( AE7="","",AE7/1000),$Q$31="Al",IF(AI6="","",AI6/1000))</f>
        <v/>
      </c>
      <c r="T34" s="325">
        <f t="shared" si="8"/>
        <v>0</v>
      </c>
      <c r="U34" s="326" t="s">
        <v>441</v>
      </c>
      <c r="V34" s="327"/>
      <c r="W34" s="328">
        <f t="shared" ref="W34:W43" si="11">IF($U$31="PVC",AM7,AL7)/100</f>
        <v>0.29120000000000001</v>
      </c>
      <c r="X34" s="291">
        <f t="shared" si="9"/>
        <v>0</v>
      </c>
      <c r="Y34" s="330">
        <f t="shared" ref="Y34:Y39" si="12">T34+X34</f>
        <v>0</v>
      </c>
      <c r="AC34" s="360">
        <v>1</v>
      </c>
      <c r="AD34" s="360" t="s">
        <v>523</v>
      </c>
      <c r="AE34" s="361" t="s">
        <v>524</v>
      </c>
      <c r="AF34" s="362">
        <v>20426.82</v>
      </c>
      <c r="AG34" s="363" t="s">
        <v>510</v>
      </c>
      <c r="AI34" s="360"/>
      <c r="AJ34" s="360"/>
      <c r="AK34" s="361"/>
      <c r="AL34" s="362"/>
      <c r="AM34" s="362"/>
      <c r="AN34" s="363"/>
    </row>
    <row r="35" spans="3:40" ht="15.75" customHeight="1" thickBot="1">
      <c r="C35" s="314"/>
      <c r="D35" s="332"/>
      <c r="E35" s="316"/>
      <c r="F35" s="318"/>
      <c r="G35" s="355"/>
      <c r="H35" s="318"/>
      <c r="I35" s="319"/>
      <c r="J35" s="318"/>
      <c r="K35" s="355"/>
      <c r="L35" s="356"/>
      <c r="O35" s="292"/>
      <c r="P35" s="292"/>
      <c r="Q35" s="326" t="s">
        <v>450</v>
      </c>
      <c r="R35" s="323"/>
      <c r="S35" s="324">
        <f t="shared" si="10"/>
        <v>0.30636000000000002</v>
      </c>
      <c r="T35" s="325">
        <f t="shared" si="8"/>
        <v>0</v>
      </c>
      <c r="U35" s="326" t="s">
        <v>451</v>
      </c>
      <c r="V35" s="327"/>
      <c r="W35" s="328">
        <f t="shared" si="11"/>
        <v>0.4698</v>
      </c>
      <c r="X35" s="291">
        <f t="shared" si="9"/>
        <v>0</v>
      </c>
      <c r="Y35" s="330">
        <f t="shared" si="12"/>
        <v>0</v>
      </c>
      <c r="AC35" s="360">
        <v>2</v>
      </c>
      <c r="AD35" s="360" t="s">
        <v>523</v>
      </c>
      <c r="AE35" s="361" t="s">
        <v>525</v>
      </c>
      <c r="AF35" s="362">
        <v>31187</v>
      </c>
      <c r="AG35" s="363" t="s">
        <v>510</v>
      </c>
      <c r="AI35" s="360">
        <v>22</v>
      </c>
      <c r="AJ35" s="360" t="s">
        <v>526</v>
      </c>
      <c r="AK35" s="361" t="s">
        <v>524</v>
      </c>
      <c r="AL35" s="362">
        <v>1900</v>
      </c>
      <c r="AM35" s="362"/>
      <c r="AN35" s="363" t="s">
        <v>511</v>
      </c>
    </row>
    <row r="36" spans="3:40" ht="15.75" customHeight="1" thickBot="1">
      <c r="C36" s="314"/>
      <c r="D36" s="332"/>
      <c r="E36" s="316"/>
      <c r="F36" s="318"/>
      <c r="G36" s="355"/>
      <c r="H36" s="318"/>
      <c r="I36" s="319"/>
      <c r="J36" s="318"/>
      <c r="K36" s="355"/>
      <c r="L36" s="356"/>
      <c r="O36" s="292"/>
      <c r="P36" s="292"/>
      <c r="Q36" s="326" t="s">
        <v>454</v>
      </c>
      <c r="R36" s="323"/>
      <c r="S36" s="324">
        <f t="shared" si="10"/>
        <v>0.37998000000000004</v>
      </c>
      <c r="T36" s="325">
        <f t="shared" si="8"/>
        <v>0</v>
      </c>
      <c r="U36" s="326" t="s">
        <v>455</v>
      </c>
      <c r="V36" s="323"/>
      <c r="W36" s="328">
        <f t="shared" si="11"/>
        <v>0.61549999999999994</v>
      </c>
      <c r="X36" s="291">
        <f t="shared" si="9"/>
        <v>0</v>
      </c>
      <c r="Y36" s="330">
        <f t="shared" si="12"/>
        <v>0</v>
      </c>
      <c r="AC36" s="360">
        <v>3</v>
      </c>
      <c r="AD36" s="360" t="s">
        <v>517</v>
      </c>
      <c r="AE36" s="361" t="s">
        <v>527</v>
      </c>
      <c r="AF36" s="362">
        <v>36812.5</v>
      </c>
      <c r="AG36" s="363" t="s">
        <v>510</v>
      </c>
      <c r="AI36" s="360">
        <v>23</v>
      </c>
      <c r="AJ36" s="360" t="s">
        <v>526</v>
      </c>
      <c r="AK36" s="361" t="s">
        <v>528</v>
      </c>
      <c r="AL36" s="362">
        <v>3400</v>
      </c>
      <c r="AM36" s="362"/>
      <c r="AN36" s="363" t="s">
        <v>511</v>
      </c>
    </row>
    <row r="37" spans="3:40" ht="15.75" thickBot="1">
      <c r="C37" s="314"/>
      <c r="D37" s="315"/>
      <c r="E37" s="316"/>
      <c r="F37" s="318"/>
      <c r="G37" s="355"/>
      <c r="H37" s="318"/>
      <c r="I37" s="319"/>
      <c r="J37" s="318"/>
      <c r="K37" s="355"/>
      <c r="L37" s="356"/>
      <c r="O37" s="292"/>
      <c r="P37" s="292"/>
      <c r="Q37" s="326" t="s">
        <v>457</v>
      </c>
      <c r="R37" s="323"/>
      <c r="S37" s="324">
        <f t="shared" si="10"/>
        <v>0.36681000000000002</v>
      </c>
      <c r="T37" s="325">
        <f t="shared" si="8"/>
        <v>0</v>
      </c>
      <c r="U37" s="326" t="s">
        <v>458</v>
      </c>
      <c r="V37" s="323"/>
      <c r="W37" s="328">
        <f t="shared" si="11"/>
        <v>0.71290000000000009</v>
      </c>
      <c r="X37" s="291">
        <f t="shared" si="9"/>
        <v>0</v>
      </c>
      <c r="Y37" s="330">
        <f t="shared" si="12"/>
        <v>0</v>
      </c>
      <c r="AC37" s="360">
        <v>4</v>
      </c>
      <c r="AD37" s="360" t="s">
        <v>517</v>
      </c>
      <c r="AE37" s="361" t="s">
        <v>529</v>
      </c>
      <c r="AF37" s="362">
        <v>43292.68</v>
      </c>
      <c r="AG37" s="363" t="s">
        <v>510</v>
      </c>
      <c r="AI37" s="360"/>
      <c r="AJ37" s="360"/>
      <c r="AK37" s="361"/>
      <c r="AL37" s="361"/>
      <c r="AM37" s="362"/>
      <c r="AN37" s="363"/>
    </row>
    <row r="38" spans="3:40" ht="17.25" customHeight="1" thickBot="1">
      <c r="C38" s="314"/>
      <c r="D38" s="315"/>
      <c r="E38" s="316"/>
      <c r="F38" s="364"/>
      <c r="G38" s="317"/>
      <c r="H38" s="318"/>
      <c r="I38" s="319"/>
      <c r="J38" s="318"/>
      <c r="K38" s="356"/>
      <c r="L38" s="356"/>
      <c r="O38" s="292"/>
      <c r="P38" s="292"/>
      <c r="Q38" s="326" t="s">
        <v>462</v>
      </c>
      <c r="R38" s="323"/>
      <c r="S38" s="324">
        <f t="shared" si="10"/>
        <v>0.48210000000000003</v>
      </c>
      <c r="T38" s="325">
        <f>IF(S38="",0,R38*S38)</f>
        <v>0</v>
      </c>
      <c r="U38" s="326" t="s">
        <v>463</v>
      </c>
      <c r="V38" s="327"/>
      <c r="W38" s="328">
        <f t="shared" si="11"/>
        <v>0.88969999999999994</v>
      </c>
      <c r="X38" s="291">
        <f t="shared" si="9"/>
        <v>0</v>
      </c>
      <c r="Y38" s="330">
        <f t="shared" si="12"/>
        <v>0</v>
      </c>
      <c r="AC38" s="360">
        <v>5</v>
      </c>
      <c r="AD38" s="360" t="s">
        <v>517</v>
      </c>
      <c r="AE38" s="361" t="s">
        <v>530</v>
      </c>
      <c r="AF38" s="362">
        <v>56750</v>
      </c>
      <c r="AG38" s="363" t="s">
        <v>510</v>
      </c>
      <c r="AI38" s="360">
        <v>24</v>
      </c>
      <c r="AJ38" s="360" t="s">
        <v>531</v>
      </c>
      <c r="AK38" s="361" t="s">
        <v>532</v>
      </c>
      <c r="AL38" s="362">
        <v>2970</v>
      </c>
      <c r="AM38" s="290"/>
      <c r="AN38" s="363" t="s">
        <v>511</v>
      </c>
    </row>
    <row r="39" spans="3:40" ht="15.75" thickBot="1">
      <c r="C39" s="337" t="s">
        <v>57</v>
      </c>
      <c r="D39" s="338"/>
      <c r="E39" s="339">
        <f>SUM(E33:E38)</f>
        <v>0</v>
      </c>
      <c r="F39" s="365">
        <f>SUM(F33:F38)</f>
        <v>0</v>
      </c>
      <c r="G39" s="338"/>
      <c r="H39" s="338">
        <f>SUM(H33:H37)</f>
        <v>0</v>
      </c>
      <c r="I39" s="338"/>
      <c r="J39" s="366">
        <f>SUM(J33:J38)</f>
        <v>0</v>
      </c>
      <c r="K39" s="338"/>
      <c r="L39" s="338"/>
      <c r="O39" s="292"/>
      <c r="P39" s="292"/>
      <c r="Q39" s="331" t="s">
        <v>466</v>
      </c>
      <c r="R39" s="323"/>
      <c r="S39" s="324">
        <f t="shared" si="10"/>
        <v>0.66733000000000009</v>
      </c>
      <c r="T39" s="325">
        <f t="shared" ref="T39:T45" si="13">IF(S39="",0,R39*S39)</f>
        <v>0</v>
      </c>
      <c r="U39" s="326" t="s">
        <v>467</v>
      </c>
      <c r="V39" s="327"/>
      <c r="W39" s="328">
        <f t="shared" si="11"/>
        <v>1.3959999999999999</v>
      </c>
      <c r="X39" s="291">
        <f t="shared" si="9"/>
        <v>0</v>
      </c>
      <c r="Y39" s="330">
        <f t="shared" si="12"/>
        <v>0</v>
      </c>
      <c r="AC39" s="360">
        <v>7</v>
      </c>
      <c r="AD39" s="360" t="s">
        <v>517</v>
      </c>
      <c r="AE39" s="361" t="s">
        <v>533</v>
      </c>
      <c r="AF39" s="367">
        <v>60000</v>
      </c>
      <c r="AG39" s="363" t="s">
        <v>510</v>
      </c>
      <c r="AI39" s="360">
        <v>25</v>
      </c>
      <c r="AJ39" s="360" t="s">
        <v>531</v>
      </c>
      <c r="AK39" s="361" t="s">
        <v>534</v>
      </c>
      <c r="AL39" s="362">
        <v>3250</v>
      </c>
      <c r="AM39" s="290"/>
      <c r="AN39" s="363" t="s">
        <v>511</v>
      </c>
    </row>
    <row r="40" spans="3:40" ht="15" customHeight="1" thickBot="1">
      <c r="O40" s="292"/>
      <c r="P40" s="292"/>
      <c r="Q40" s="331" t="s">
        <v>469</v>
      </c>
      <c r="R40" s="323"/>
      <c r="S40" s="324">
        <f t="shared" si="10"/>
        <v>0.75045000000000006</v>
      </c>
      <c r="T40" s="325">
        <f t="shared" si="13"/>
        <v>0</v>
      </c>
      <c r="U40" s="326" t="s">
        <v>470</v>
      </c>
      <c r="V40" s="327"/>
      <c r="W40" s="328">
        <f t="shared" si="11"/>
        <v>1.7033</v>
      </c>
      <c r="X40" s="291">
        <f t="shared" si="9"/>
        <v>0</v>
      </c>
      <c r="Y40" s="330">
        <f>T40+X40</f>
        <v>0</v>
      </c>
      <c r="AC40" s="360">
        <v>8</v>
      </c>
      <c r="AD40" s="360" t="s">
        <v>517</v>
      </c>
      <c r="AE40" s="361">
        <v>2500</v>
      </c>
      <c r="AF40" s="362">
        <v>58540</v>
      </c>
      <c r="AG40" s="363" t="s">
        <v>510</v>
      </c>
      <c r="AI40" s="360">
        <v>26</v>
      </c>
      <c r="AJ40" s="360" t="s">
        <v>531</v>
      </c>
      <c r="AK40" s="361" t="s">
        <v>535</v>
      </c>
      <c r="AL40" s="362">
        <v>5298</v>
      </c>
      <c r="AM40" s="290"/>
      <c r="AN40" s="363" t="s">
        <v>511</v>
      </c>
    </row>
    <row r="41" spans="3:40" ht="15.75" customHeight="1" thickBot="1">
      <c r="C41" s="663" t="s">
        <v>413</v>
      </c>
      <c r="D41" s="663"/>
      <c r="E41" s="663"/>
      <c r="F41" s="663"/>
      <c r="G41" s="663"/>
      <c r="H41" s="663"/>
      <c r="I41" s="663"/>
      <c r="J41" s="663"/>
      <c r="K41" s="663"/>
      <c r="L41" s="663"/>
      <c r="M41" s="663"/>
      <c r="N41" s="663"/>
      <c r="O41" s="292"/>
      <c r="P41" s="292"/>
      <c r="Q41" s="331" t="s">
        <v>474</v>
      </c>
      <c r="R41" s="323"/>
      <c r="S41" s="324">
        <f t="shared" si="10"/>
        <v>0.88700999999999997</v>
      </c>
      <c r="T41" s="325">
        <f t="shared" si="13"/>
        <v>0</v>
      </c>
      <c r="U41" s="326" t="s">
        <v>475</v>
      </c>
      <c r="V41" s="327"/>
      <c r="W41" s="328">
        <f t="shared" si="11"/>
        <v>2.25</v>
      </c>
      <c r="X41" s="291">
        <f>V41*W41</f>
        <v>0</v>
      </c>
      <c r="Y41" s="330">
        <f t="shared" ref="Y41:Y45" si="14">T41+X41</f>
        <v>0</v>
      </c>
      <c r="AC41" s="360">
        <v>9</v>
      </c>
      <c r="AD41" s="360" t="s">
        <v>517</v>
      </c>
      <c r="AE41" s="361" t="s">
        <v>536</v>
      </c>
      <c r="AF41" s="367">
        <v>65000</v>
      </c>
      <c r="AG41" s="363" t="s">
        <v>510</v>
      </c>
      <c r="AI41" s="360">
        <v>27</v>
      </c>
      <c r="AJ41" s="360" t="s">
        <v>531</v>
      </c>
      <c r="AK41" s="361" t="s">
        <v>537</v>
      </c>
      <c r="AL41" s="362">
        <v>6000</v>
      </c>
      <c r="AM41" s="290"/>
      <c r="AN41" s="363" t="s">
        <v>511</v>
      </c>
    </row>
    <row r="42" spans="3:40" ht="15.75" thickBot="1">
      <c r="C42" s="664"/>
      <c r="D42" s="664"/>
      <c r="E42" s="664"/>
      <c r="F42" s="664"/>
      <c r="G42" s="664"/>
      <c r="H42" s="664"/>
      <c r="I42" s="664"/>
      <c r="J42" s="664"/>
      <c r="K42" s="664"/>
      <c r="L42" s="664"/>
      <c r="M42" s="664"/>
      <c r="N42" s="664"/>
      <c r="O42" s="292"/>
      <c r="P42" s="292"/>
      <c r="Q42" s="331" t="s">
        <v>477</v>
      </c>
      <c r="R42" s="323"/>
      <c r="S42" s="324">
        <f t="shared" si="10"/>
        <v>1.0995599999999999</v>
      </c>
      <c r="T42" s="325">
        <f t="shared" si="13"/>
        <v>0</v>
      </c>
      <c r="U42" s="326" t="s">
        <v>478</v>
      </c>
      <c r="V42" s="327"/>
      <c r="W42" s="328">
        <f t="shared" si="11"/>
        <v>2.3163999999999998</v>
      </c>
      <c r="X42" s="291">
        <f t="shared" ref="X42" si="15">V42*W42</f>
        <v>0</v>
      </c>
      <c r="Y42" s="330">
        <f t="shared" si="14"/>
        <v>0</v>
      </c>
      <c r="AC42" s="360">
        <v>10</v>
      </c>
      <c r="AD42" s="360" t="s">
        <v>517</v>
      </c>
      <c r="AE42" s="361" t="s">
        <v>538</v>
      </c>
      <c r="AF42" s="367">
        <v>67500</v>
      </c>
      <c r="AG42" s="363" t="s">
        <v>510</v>
      </c>
      <c r="AI42" s="360">
        <v>28</v>
      </c>
      <c r="AJ42" s="360" t="s">
        <v>531</v>
      </c>
      <c r="AK42" s="361" t="s">
        <v>539</v>
      </c>
      <c r="AL42" s="362">
        <v>7144</v>
      </c>
      <c r="AM42" s="290"/>
      <c r="AN42" s="363" t="s">
        <v>511</v>
      </c>
    </row>
    <row r="43" spans="3:40" ht="15.75" thickBot="1">
      <c r="C43" s="301" t="s">
        <v>87</v>
      </c>
      <c r="D43" s="302" t="s">
        <v>422</v>
      </c>
      <c r="E43" s="303" t="s">
        <v>423</v>
      </c>
      <c r="F43" s="304" t="s">
        <v>424</v>
      </c>
      <c r="G43" s="305" t="s">
        <v>425</v>
      </c>
      <c r="H43" s="304" t="s">
        <v>426</v>
      </c>
      <c r="I43" s="304" t="s">
        <v>427</v>
      </c>
      <c r="J43" s="304" t="s">
        <v>428</v>
      </c>
      <c r="K43" s="305" t="s">
        <v>429</v>
      </c>
      <c r="L43" s="304" t="s">
        <v>430</v>
      </c>
      <c r="M43" s="306" t="s">
        <v>426</v>
      </c>
      <c r="N43" s="307" t="s">
        <v>427</v>
      </c>
      <c r="O43" s="292"/>
      <c r="P43" s="292"/>
      <c r="Q43" s="331" t="s">
        <v>481</v>
      </c>
      <c r="R43" s="323"/>
      <c r="S43" s="324">
        <f t="shared" si="10"/>
        <v>1.2278</v>
      </c>
      <c r="T43" s="325">
        <f t="shared" si="13"/>
        <v>0</v>
      </c>
      <c r="U43" s="326" t="s">
        <v>482</v>
      </c>
      <c r="V43" s="323"/>
      <c r="W43" s="328">
        <f t="shared" si="11"/>
        <v>3.3106</v>
      </c>
      <c r="X43" s="291">
        <f>V43*W43</f>
        <v>0</v>
      </c>
      <c r="Y43" s="330">
        <f t="shared" si="14"/>
        <v>0</v>
      </c>
      <c r="AC43" s="360">
        <v>11</v>
      </c>
      <c r="AD43" s="360" t="s">
        <v>517</v>
      </c>
      <c r="AE43" s="361" t="s">
        <v>540</v>
      </c>
      <c r="AF43" s="367">
        <v>70000</v>
      </c>
      <c r="AG43" s="363" t="s">
        <v>510</v>
      </c>
      <c r="AI43" s="360">
        <v>29</v>
      </c>
      <c r="AJ43" s="360" t="s">
        <v>531</v>
      </c>
      <c r="AK43" s="361" t="s">
        <v>541</v>
      </c>
      <c r="AL43" s="362">
        <v>10493</v>
      </c>
      <c r="AM43" s="290"/>
      <c r="AN43" s="363" t="s">
        <v>511</v>
      </c>
    </row>
    <row r="44" spans="3:40" ht="15.75" thickBot="1">
      <c r="C44" s="314" t="s">
        <v>542</v>
      </c>
      <c r="D44" s="315">
        <v>0</v>
      </c>
      <c r="E44" s="290">
        <v>15</v>
      </c>
      <c r="F44" s="315">
        <f>(E44*3)*IF(OR(C44="50kw",C44="60kw",C44="100kw",C44="120kw",C44="160kw"),1,2)</f>
        <v>45</v>
      </c>
      <c r="G44" s="368" t="str">
        <f>IF($Q$3="Al",_xlfn.IFS(OR(C44="100kW",C44="120kW"), IF($U$3="PVC",$Q$15, $Q$14),OR(C44="50kW",C44="60kW"), IF($U$3="PVC",$Q$10,$Q$9),C44="160kW", $Q$26,C44="300kw",$Q$17,C44="360kw",$Q$20),_xlfn.IFS(OR(C44="100kW",C44="120kW"), IF($U$3="PVC",$Q$13, $Q$13),OR(C44="50kW",C44="60kW"), IF($U$3="PVC",$Q$10,$Q$10),C44="160kW", $Q$21,C44="300kw",$Q$15,C44="360kw",$Q$17))</f>
        <v>3 /0</v>
      </c>
      <c r="H44" s="315">
        <f>E44*IF(OR(C44="50kw",C44="60kw",C44="100kw",C44="120kw",C44="160kw"),1,2)</f>
        <v>15</v>
      </c>
      <c r="I44" s="369" t="str">
        <f>_xlfn.IFS(G44=$Q$6,$U$6,G44=$Q$8,$U$7,G44=$Q$9,$U$8,G44=$Q$7,$U$7,G44=$Q$10,$U$9,G44=$Q$11,$U$9,G44=$Q$12,$U$10,G44=$Q$13,$U$10,G44=$Q$14,$U$10,G44=$Q$15,$U$11,G44=$Q$16,$U$11,G44=$Q$17,$U$11,G44=$Q$18,$U$12,G44=$Q$21,$U$12)</f>
        <v>(2")</v>
      </c>
      <c r="J44" s="315">
        <f>H44</f>
        <v>15</v>
      </c>
      <c r="K44" s="368" t="str">
        <f>IF($Q$3="Al",_xlfn.IFS(OR(C44="100kW",C44="120kW"),$Q$9,OR(C44="50kW", C44="60kW"), $Q$7,C44="160kW", $Q$10,C44="300kW",$Q$11,C44="360kW",$Q$12),_xlfn.IFS(OR(C44="100kW",C44="120kW"),$Q$7,OR(C44="50kW", C44="60kW"), $Q$6,C44="160kW", $Q$8,C44="300kW",$Q$9,C44="360kW",$Q$10))</f>
        <v>6 AWG</v>
      </c>
      <c r="L44" s="315">
        <f t="shared" ref="L44" si="16">E44</f>
        <v>15</v>
      </c>
      <c r="M44" s="332">
        <f>L44</f>
        <v>15</v>
      </c>
      <c r="N44" s="321" t="s">
        <v>441</v>
      </c>
      <c r="O44" s="292"/>
      <c r="P44" s="292"/>
      <c r="Q44" s="331" t="s">
        <v>484</v>
      </c>
      <c r="R44" s="323"/>
      <c r="S44" s="324">
        <f t="shared" si="10"/>
        <v>1.4961600000000002</v>
      </c>
      <c r="T44" s="325">
        <f t="shared" si="13"/>
        <v>0</v>
      </c>
      <c r="Y44" s="330">
        <f t="shared" si="14"/>
        <v>0</v>
      </c>
      <c r="AC44" s="360"/>
      <c r="AD44" s="360"/>
      <c r="AE44" s="361"/>
      <c r="AF44" s="362"/>
      <c r="AG44" s="363"/>
      <c r="AI44" s="360">
        <v>30</v>
      </c>
      <c r="AJ44" s="360" t="s">
        <v>531</v>
      </c>
      <c r="AK44" s="361" t="s">
        <v>543</v>
      </c>
      <c r="AL44" s="362">
        <v>14500</v>
      </c>
      <c r="AM44" s="290"/>
      <c r="AN44" s="363" t="s">
        <v>511</v>
      </c>
    </row>
    <row r="45" spans="3:40" ht="15.75" thickBot="1">
      <c r="C45" s="314"/>
      <c r="D45" s="315"/>
      <c r="F45" s="315"/>
      <c r="G45" s="317"/>
      <c r="H45" s="315"/>
      <c r="I45" s="319"/>
      <c r="J45" s="315"/>
      <c r="K45" s="317"/>
      <c r="L45" s="315"/>
      <c r="M45" s="332"/>
      <c r="N45" s="321"/>
      <c r="O45" s="292"/>
      <c r="P45" s="292"/>
      <c r="Q45" s="331" t="s">
        <v>485</v>
      </c>
      <c r="R45" s="323"/>
      <c r="S45" s="324">
        <f t="shared" si="10"/>
        <v>2.0613699999999997</v>
      </c>
      <c r="T45" s="325">
        <f t="shared" si="13"/>
        <v>0</v>
      </c>
      <c r="Y45" s="330">
        <f t="shared" si="14"/>
        <v>0</v>
      </c>
      <c r="AC45" s="360">
        <v>12</v>
      </c>
      <c r="AD45" s="360" t="s">
        <v>526</v>
      </c>
      <c r="AE45" s="361" t="s">
        <v>544</v>
      </c>
      <c r="AF45" s="362">
        <v>650</v>
      </c>
      <c r="AG45" s="363" t="s">
        <v>510</v>
      </c>
      <c r="AI45" s="360"/>
      <c r="AJ45" s="360"/>
      <c r="AK45" s="361"/>
      <c r="AL45" s="362"/>
      <c r="AM45" s="290"/>
      <c r="AN45" s="363"/>
    </row>
    <row r="46" spans="3:40" ht="15.75" thickBot="1">
      <c r="C46" s="314"/>
      <c r="D46" s="315"/>
      <c r="F46" s="315"/>
      <c r="G46" s="317"/>
      <c r="H46" s="315"/>
      <c r="I46" s="319"/>
      <c r="J46" s="315"/>
      <c r="K46" s="317"/>
      <c r="L46" s="315"/>
      <c r="M46" s="332"/>
      <c r="N46" s="321"/>
      <c r="O46" s="292"/>
      <c r="P46" s="292"/>
      <c r="Q46" s="331" t="s">
        <v>487</v>
      </c>
      <c r="R46" s="232"/>
      <c r="S46" s="324">
        <f t="shared" si="10"/>
        <v>2.10412</v>
      </c>
      <c r="T46" s="325">
        <f>IF(S46="",0,R46*S46)</f>
        <v>0</v>
      </c>
      <c r="Y46" s="330">
        <f>T46+X46</f>
        <v>0</v>
      </c>
      <c r="AC46" s="360">
        <v>13</v>
      </c>
      <c r="AD46" s="360" t="s">
        <v>526</v>
      </c>
      <c r="AE46" s="361" t="s">
        <v>545</v>
      </c>
      <c r="AF46" s="362">
        <v>700</v>
      </c>
      <c r="AG46" s="363" t="s">
        <v>510</v>
      </c>
      <c r="AI46" s="360">
        <v>31</v>
      </c>
      <c r="AJ46" s="360" t="s">
        <v>546</v>
      </c>
      <c r="AK46" s="361" t="s">
        <v>547</v>
      </c>
      <c r="AL46" s="367">
        <v>1000</v>
      </c>
      <c r="AM46" s="290"/>
      <c r="AN46" s="363" t="s">
        <v>511</v>
      </c>
    </row>
    <row r="47" spans="3:40" ht="16.5" customHeight="1" thickBot="1">
      <c r="C47" s="314"/>
      <c r="D47" s="315"/>
      <c r="F47" s="315"/>
      <c r="G47" s="317"/>
      <c r="H47" s="315"/>
      <c r="I47" s="319"/>
      <c r="J47" s="315"/>
      <c r="K47" s="317"/>
      <c r="L47" s="315"/>
      <c r="M47" s="332"/>
      <c r="N47" s="321"/>
      <c r="O47" s="292"/>
      <c r="P47" s="292"/>
      <c r="Q47" s="326" t="s">
        <v>489</v>
      </c>
      <c r="R47" s="327"/>
      <c r="S47" s="324">
        <f>_xlfn.IFS($Q$31="Cu",IF( AE20="","",AE20/1000),$Q$31="Al",IF(AI21="","",AI21/1000))</f>
        <v>2.7204000000000002</v>
      </c>
      <c r="T47" s="325">
        <f>IF(S47="",0,R47*S47)</f>
        <v>0</v>
      </c>
      <c r="Y47" s="330">
        <f t="shared" ref="Y47:Y52" si="17">T47+X47</f>
        <v>0</v>
      </c>
      <c r="AC47" s="360">
        <v>14</v>
      </c>
      <c r="AD47" s="360" t="s">
        <v>526</v>
      </c>
      <c r="AE47" s="361" t="s">
        <v>548</v>
      </c>
      <c r="AF47" s="362">
        <v>1100</v>
      </c>
      <c r="AG47" s="363" t="s">
        <v>510</v>
      </c>
      <c r="AI47" s="360">
        <v>32</v>
      </c>
      <c r="AJ47" s="360" t="s">
        <v>546</v>
      </c>
      <c r="AK47" s="361" t="s">
        <v>548</v>
      </c>
      <c r="AL47" s="367">
        <v>1120</v>
      </c>
      <c r="AM47" s="290"/>
      <c r="AN47" s="363" t="s">
        <v>511</v>
      </c>
    </row>
    <row r="48" spans="3:40" ht="15.75" thickBot="1">
      <c r="C48" s="314"/>
      <c r="D48" s="315"/>
      <c r="F48" s="315"/>
      <c r="G48" s="317"/>
      <c r="H48" s="315"/>
      <c r="I48" s="319"/>
      <c r="J48" s="315"/>
      <c r="K48" s="317"/>
      <c r="L48" s="315"/>
      <c r="M48" s="332"/>
      <c r="N48" s="321"/>
      <c r="O48" s="292"/>
      <c r="P48" s="292"/>
      <c r="Q48" s="326" t="s">
        <v>491</v>
      </c>
      <c r="R48" s="327"/>
      <c r="S48" s="324">
        <f>_xlfn.IFS($Q$31="Cu",IF( AE21="","",AE21/1000),$Q$31="Al",IF(AI21="","",AI21/1000))</f>
        <v>2.7204000000000002</v>
      </c>
      <c r="T48" s="325">
        <f>IF(S48="",0,R48*S48)</f>
        <v>0</v>
      </c>
      <c r="Y48" s="330">
        <f t="shared" si="17"/>
        <v>0</v>
      </c>
      <c r="AC48" s="360">
        <v>15</v>
      </c>
      <c r="AD48" s="360" t="s">
        <v>526</v>
      </c>
      <c r="AE48" s="361" t="s">
        <v>536</v>
      </c>
      <c r="AF48" s="362">
        <v>32500</v>
      </c>
      <c r="AG48" s="363" t="s">
        <v>510</v>
      </c>
      <c r="AI48" s="360">
        <v>33</v>
      </c>
      <c r="AJ48" s="360" t="s">
        <v>546</v>
      </c>
      <c r="AK48" s="361" t="s">
        <v>524</v>
      </c>
      <c r="AL48" s="367">
        <v>1660</v>
      </c>
      <c r="AM48" s="290"/>
      <c r="AN48" s="363" t="s">
        <v>511</v>
      </c>
    </row>
    <row r="49" spans="2:40" ht="15.75" thickBot="1">
      <c r="C49" s="314"/>
      <c r="D49" s="315"/>
      <c r="F49" s="315"/>
      <c r="G49" s="317"/>
      <c r="H49" s="315"/>
      <c r="I49" s="319"/>
      <c r="J49" s="315"/>
      <c r="K49" s="317"/>
      <c r="L49" s="315"/>
      <c r="M49" s="332"/>
      <c r="N49" s="321"/>
      <c r="O49" s="292"/>
      <c r="P49" s="292"/>
      <c r="Q49" s="326" t="s">
        <v>493</v>
      </c>
      <c r="R49" s="327"/>
      <c r="S49" s="324">
        <f t="shared" si="10"/>
        <v>2.7204000000000002</v>
      </c>
      <c r="T49" s="325">
        <f t="shared" ref="T49:T54" si="18">IF(S49="",0,R49*S49)</f>
        <v>0</v>
      </c>
      <c r="Y49" s="330">
        <f t="shared" si="17"/>
        <v>0</v>
      </c>
      <c r="AC49" s="360">
        <v>16</v>
      </c>
      <c r="AD49" s="360"/>
      <c r="AE49" s="361"/>
      <c r="AF49" s="362"/>
      <c r="AG49" s="363"/>
      <c r="AI49" s="360">
        <v>34</v>
      </c>
      <c r="AJ49" s="360" t="s">
        <v>546</v>
      </c>
      <c r="AK49" s="361" t="s">
        <v>528</v>
      </c>
      <c r="AL49" s="362">
        <v>5387</v>
      </c>
      <c r="AM49" s="290" t="s">
        <v>549</v>
      </c>
      <c r="AN49" s="363" t="s">
        <v>511</v>
      </c>
    </row>
    <row r="50" spans="2:40" ht="15.75" thickBot="1">
      <c r="C50" s="314"/>
      <c r="D50" s="315"/>
      <c r="F50" s="315"/>
      <c r="G50" s="317"/>
      <c r="H50" s="315"/>
      <c r="I50" s="319"/>
      <c r="J50" s="315"/>
      <c r="K50" s="317"/>
      <c r="L50" s="315"/>
      <c r="M50" s="332"/>
      <c r="N50" s="321"/>
      <c r="O50" s="292"/>
      <c r="P50" s="292"/>
      <c r="Q50" s="326" t="s">
        <v>495</v>
      </c>
      <c r="R50" s="327"/>
      <c r="S50" s="324">
        <f t="shared" si="10"/>
        <v>3.44354</v>
      </c>
      <c r="T50" s="325">
        <f t="shared" si="18"/>
        <v>0</v>
      </c>
      <c r="Y50" s="330">
        <f t="shared" si="17"/>
        <v>0</v>
      </c>
      <c r="AC50" s="360">
        <v>17</v>
      </c>
      <c r="AD50" s="360" t="s">
        <v>520</v>
      </c>
      <c r="AE50" s="361" t="s">
        <v>550</v>
      </c>
      <c r="AF50" s="362">
        <v>580</v>
      </c>
      <c r="AG50" s="363" t="s">
        <v>510</v>
      </c>
      <c r="AI50" s="360">
        <v>35</v>
      </c>
      <c r="AJ50" s="360" t="s">
        <v>546</v>
      </c>
      <c r="AK50" s="361" t="s">
        <v>525</v>
      </c>
      <c r="AL50" s="367">
        <v>4650</v>
      </c>
      <c r="AM50" s="290"/>
      <c r="AN50" s="363" t="s">
        <v>511</v>
      </c>
    </row>
    <row r="51" spans="2:40" ht="15.75" thickBot="1">
      <c r="C51" s="314"/>
      <c r="D51" s="315"/>
      <c r="E51" s="315"/>
      <c r="F51" s="315"/>
      <c r="G51" s="317"/>
      <c r="H51" s="315"/>
      <c r="I51" s="319"/>
      <c r="J51" s="315"/>
      <c r="K51" s="317"/>
      <c r="L51" s="315"/>
      <c r="M51" s="332"/>
      <c r="N51" s="321"/>
      <c r="O51" s="292"/>
      <c r="P51" s="292"/>
      <c r="Q51" s="326" t="s">
        <v>497</v>
      </c>
      <c r="R51" s="323"/>
      <c r="S51" s="324">
        <f t="shared" si="10"/>
        <v>4.8090000000000002</v>
      </c>
      <c r="T51" s="325">
        <f t="shared" si="18"/>
        <v>0</v>
      </c>
      <c r="Y51" s="330">
        <f t="shared" si="17"/>
        <v>0</v>
      </c>
      <c r="AC51" s="360">
        <v>18</v>
      </c>
      <c r="AD51" s="360" t="s">
        <v>520</v>
      </c>
      <c r="AE51" s="361" t="s">
        <v>551</v>
      </c>
      <c r="AF51" s="362">
        <v>900</v>
      </c>
      <c r="AG51" s="363" t="s">
        <v>510</v>
      </c>
      <c r="AI51" s="360"/>
      <c r="AJ51" s="360"/>
      <c r="AK51" s="361"/>
      <c r="AL51" s="362"/>
      <c r="AM51" s="290"/>
      <c r="AN51" s="363"/>
    </row>
    <row r="52" spans="2:40" ht="15.75" thickBot="1">
      <c r="C52" s="314"/>
      <c r="D52" s="315"/>
      <c r="E52" s="315"/>
      <c r="F52" s="315"/>
      <c r="G52" s="317"/>
      <c r="H52" s="315"/>
      <c r="I52" s="319"/>
      <c r="J52" s="315"/>
      <c r="K52" s="317"/>
      <c r="L52" s="315"/>
      <c r="M52" s="332"/>
      <c r="N52" s="321"/>
      <c r="O52" s="292"/>
      <c r="P52" s="292"/>
      <c r="Q52" s="326" t="s">
        <v>499</v>
      </c>
      <c r="R52" s="323"/>
      <c r="S52" s="324">
        <f t="shared" si="10"/>
        <v>4.859</v>
      </c>
      <c r="T52" s="325">
        <f t="shared" si="18"/>
        <v>0</v>
      </c>
      <c r="Y52" s="330">
        <f t="shared" si="17"/>
        <v>0</v>
      </c>
      <c r="AC52" s="360">
        <v>19</v>
      </c>
      <c r="AD52" s="360" t="s">
        <v>520</v>
      </c>
      <c r="AE52" s="361" t="s">
        <v>552</v>
      </c>
      <c r="AF52" s="362">
        <v>1450</v>
      </c>
      <c r="AG52" s="363" t="s">
        <v>510</v>
      </c>
      <c r="AI52" s="370">
        <v>36</v>
      </c>
      <c r="AJ52" s="360" t="s">
        <v>553</v>
      </c>
      <c r="AK52" s="361" t="s">
        <v>527</v>
      </c>
      <c r="AL52" s="362">
        <v>30000</v>
      </c>
      <c r="AM52" s="290"/>
      <c r="AN52" s="363" t="s">
        <v>511</v>
      </c>
    </row>
    <row r="53" spans="2:40" ht="15.75" thickBot="1">
      <c r="C53" s="314"/>
      <c r="D53" s="315"/>
      <c r="F53" s="315"/>
      <c r="G53" s="317"/>
      <c r="H53" s="315"/>
      <c r="I53" s="319"/>
      <c r="J53" s="315"/>
      <c r="K53" s="317"/>
      <c r="L53" s="315"/>
      <c r="M53" s="332"/>
      <c r="N53" s="321"/>
      <c r="O53" s="292"/>
      <c r="P53" s="292"/>
      <c r="Q53" s="326" t="s">
        <v>501</v>
      </c>
      <c r="R53" s="323"/>
      <c r="S53" s="324" t="str">
        <f t="shared" si="10"/>
        <v/>
      </c>
      <c r="T53" s="325">
        <f t="shared" si="18"/>
        <v>0</v>
      </c>
      <c r="Y53" s="330">
        <f>T53+X53</f>
        <v>0</v>
      </c>
      <c r="AC53" s="360">
        <v>20</v>
      </c>
      <c r="AD53" s="360" t="s">
        <v>520</v>
      </c>
      <c r="AE53" s="361" t="s">
        <v>554</v>
      </c>
      <c r="AF53" s="362">
        <v>3100</v>
      </c>
      <c r="AG53" s="363" t="s">
        <v>510</v>
      </c>
      <c r="AI53" s="371"/>
      <c r="AJ53" s="371"/>
      <c r="AK53" s="372"/>
      <c r="AL53" s="373"/>
      <c r="AM53" s="290"/>
      <c r="AN53" s="374"/>
    </row>
    <row r="54" spans="2:40" ht="15.75" thickBot="1">
      <c r="C54" s="314"/>
      <c r="D54" s="315"/>
      <c r="F54" s="315"/>
      <c r="G54" s="317"/>
      <c r="H54" s="315"/>
      <c r="I54" s="319"/>
      <c r="J54" s="315"/>
      <c r="K54" s="317"/>
      <c r="L54" s="315"/>
      <c r="M54" s="332"/>
      <c r="N54" s="321"/>
      <c r="O54" s="292"/>
      <c r="P54" s="292"/>
      <c r="Q54" s="333" t="s">
        <v>503</v>
      </c>
      <c r="R54" s="323"/>
      <c r="S54" s="324">
        <f t="shared" si="10"/>
        <v>7.5659999999999998</v>
      </c>
      <c r="T54" s="325">
        <f t="shared" si="18"/>
        <v>0</v>
      </c>
      <c r="Y54" s="330">
        <f t="shared" ref="Y54" si="19">T54+X54</f>
        <v>0</v>
      </c>
      <c r="AC54" s="360">
        <v>21</v>
      </c>
      <c r="AD54" s="360" t="s">
        <v>520</v>
      </c>
      <c r="AE54" s="361" t="s">
        <v>528</v>
      </c>
      <c r="AF54" s="362">
        <v>3700</v>
      </c>
      <c r="AG54" s="363" t="s">
        <v>510</v>
      </c>
      <c r="AI54" s="375">
        <v>37</v>
      </c>
      <c r="AJ54" s="375" t="s">
        <v>555</v>
      </c>
      <c r="AK54" s="376" t="s">
        <v>528</v>
      </c>
      <c r="AL54" s="377">
        <v>1786</v>
      </c>
      <c r="AM54" s="377"/>
      <c r="AN54" s="378" t="s">
        <v>511</v>
      </c>
    </row>
    <row r="55" spans="2:40" ht="15.75" thickBot="1">
      <c r="C55" s="314"/>
      <c r="D55" s="315"/>
      <c r="F55" s="315"/>
      <c r="G55" s="317"/>
      <c r="H55" s="315"/>
      <c r="I55" s="319"/>
      <c r="J55" s="315"/>
      <c r="K55" s="317"/>
      <c r="L55" s="315"/>
      <c r="M55" s="332"/>
      <c r="N55" s="321"/>
      <c r="O55" s="292"/>
      <c r="P55" s="292"/>
      <c r="Q55" s="379"/>
      <c r="R55" s="380"/>
      <c r="T55" s="381"/>
      <c r="V55" s="380"/>
      <c r="Y55" s="382"/>
      <c r="AC55" s="375"/>
      <c r="AD55" s="375"/>
      <c r="AE55" s="376"/>
      <c r="AF55" s="377"/>
      <c r="AG55" s="378"/>
    </row>
    <row r="56" spans="2:40">
      <c r="C56" s="314"/>
      <c r="D56" s="315"/>
      <c r="F56" s="315"/>
      <c r="G56" s="317"/>
      <c r="H56" s="315"/>
      <c r="I56" s="319"/>
      <c r="J56" s="315"/>
      <c r="K56" s="317"/>
      <c r="L56" s="315"/>
      <c r="M56" s="332"/>
      <c r="N56" s="321"/>
      <c r="O56" s="292"/>
      <c r="P56" s="292"/>
      <c r="Q56" s="379"/>
      <c r="R56" s="380"/>
      <c r="T56" s="381"/>
      <c r="V56" s="380"/>
      <c r="Y56" s="382"/>
      <c r="AC56" s="291"/>
      <c r="AD56" s="291"/>
      <c r="AE56" s="291"/>
      <c r="AF56" s="383"/>
      <c r="AG56" s="291"/>
    </row>
    <row r="57" spans="2:40">
      <c r="C57" s="314"/>
      <c r="D57" s="315"/>
      <c r="F57" s="315"/>
      <c r="G57" s="317"/>
      <c r="H57" s="315"/>
      <c r="I57" s="319"/>
      <c r="J57" s="315"/>
      <c r="K57" s="317"/>
      <c r="L57" s="315"/>
      <c r="M57" s="332"/>
      <c r="N57" s="321"/>
      <c r="O57" s="292"/>
      <c r="P57" s="292"/>
      <c r="Q57" s="379"/>
      <c r="R57" s="380"/>
      <c r="T57" s="381"/>
      <c r="V57" s="380"/>
      <c r="Y57" s="382"/>
    </row>
    <row r="58" spans="2:40">
      <c r="C58" s="314"/>
      <c r="D58" s="315"/>
      <c r="F58" s="315"/>
      <c r="G58" s="317"/>
      <c r="H58" s="315"/>
      <c r="I58" s="319"/>
      <c r="J58" s="315"/>
      <c r="K58" s="317"/>
      <c r="L58" s="315"/>
      <c r="M58" s="332"/>
      <c r="N58" s="321"/>
      <c r="O58" s="292">
        <v>1</v>
      </c>
      <c r="P58" s="292"/>
      <c r="Q58" s="379"/>
      <c r="R58" s="380"/>
      <c r="T58" s="381"/>
      <c r="V58" s="380"/>
      <c r="Y58" s="382"/>
    </row>
    <row r="59" spans="2:40">
      <c r="C59" s="314"/>
      <c r="D59" s="315"/>
      <c r="F59" s="315"/>
      <c r="G59" s="317"/>
      <c r="H59" s="315"/>
      <c r="I59" s="319"/>
      <c r="J59" s="315"/>
      <c r="K59" s="317"/>
      <c r="L59" s="315"/>
      <c r="M59" s="332"/>
      <c r="N59" s="321"/>
      <c r="O59" s="292"/>
      <c r="P59" s="292"/>
      <c r="Q59" s="379"/>
      <c r="R59" s="380"/>
      <c r="T59" s="381"/>
      <c r="V59" s="380"/>
      <c r="Y59" s="382"/>
    </row>
    <row r="60" spans="2:40" ht="15" customHeight="1">
      <c r="C60" s="314"/>
      <c r="D60" s="315"/>
      <c r="F60" s="315"/>
      <c r="G60" s="317"/>
      <c r="H60" s="315"/>
      <c r="I60" s="319"/>
      <c r="J60" s="315"/>
      <c r="K60" s="317"/>
      <c r="L60" s="315"/>
      <c r="M60" s="332"/>
      <c r="N60" s="321"/>
      <c r="Q60" s="379"/>
      <c r="R60" s="380"/>
      <c r="T60" s="381"/>
      <c r="V60" s="380"/>
      <c r="Y60" s="382"/>
    </row>
    <row r="61" spans="2:40" ht="15.75" customHeight="1">
      <c r="C61" s="314"/>
      <c r="D61" s="315"/>
      <c r="F61" s="315"/>
      <c r="G61" s="317"/>
      <c r="H61" s="315"/>
      <c r="I61" s="319"/>
      <c r="J61" s="315"/>
      <c r="K61" s="317"/>
      <c r="L61" s="315"/>
      <c r="M61" s="332"/>
      <c r="N61" s="321"/>
      <c r="Q61" s="379"/>
      <c r="R61" s="380"/>
      <c r="T61" s="381"/>
      <c r="V61" s="380"/>
      <c r="Y61" s="382"/>
    </row>
    <row r="62" spans="2:40" ht="15" customHeight="1">
      <c r="C62" s="314"/>
      <c r="D62" s="315"/>
      <c r="F62" s="315"/>
      <c r="G62" s="317"/>
      <c r="H62" s="315"/>
      <c r="I62" s="319"/>
      <c r="J62" s="315"/>
      <c r="K62" s="317"/>
      <c r="L62" s="315"/>
      <c r="M62" s="332"/>
      <c r="N62" s="321"/>
      <c r="Q62" s="379"/>
      <c r="R62" s="384"/>
      <c r="T62" s="325"/>
      <c r="V62" s="384"/>
      <c r="Y62" s="385"/>
    </row>
    <row r="63" spans="2:40" ht="15" customHeight="1">
      <c r="C63" s="314"/>
      <c r="D63" s="315"/>
      <c r="F63" s="315"/>
      <c r="G63" s="317"/>
      <c r="H63" s="315"/>
      <c r="I63" s="319"/>
      <c r="J63" s="315"/>
      <c r="K63" s="317"/>
      <c r="L63" s="315"/>
      <c r="M63" s="332"/>
      <c r="N63" s="321"/>
      <c r="Q63" s="379"/>
      <c r="R63" s="384"/>
      <c r="T63" s="325"/>
      <c r="V63" s="384"/>
      <c r="Y63" s="385"/>
    </row>
    <row r="64" spans="2:40" ht="15.75" thickBot="1">
      <c r="B64" s="386"/>
      <c r="C64" s="387"/>
      <c r="D64" s="388"/>
      <c r="E64" s="389"/>
      <c r="F64" s="315"/>
      <c r="G64" s="317"/>
      <c r="H64" s="388"/>
      <c r="I64" s="319"/>
      <c r="J64" s="388"/>
      <c r="K64" s="317"/>
      <c r="L64" s="388"/>
      <c r="M64" s="390"/>
      <c r="N64" s="391"/>
    </row>
    <row r="65" spans="3:26" ht="21" customHeight="1" thickBot="1">
      <c r="C65" s="337" t="s">
        <v>57</v>
      </c>
      <c r="D65" s="338"/>
      <c r="E65" s="340">
        <f>SUM(E44:E64)</f>
        <v>15</v>
      </c>
      <c r="F65" s="338">
        <f>SUM(F44:F64)</f>
        <v>45</v>
      </c>
      <c r="G65" s="340"/>
      <c r="H65" s="338">
        <f>SUM(H44:H64)</f>
        <v>15</v>
      </c>
      <c r="I65" s="338"/>
      <c r="J65" s="338">
        <f>SUM(J44:J64)</f>
        <v>15</v>
      </c>
      <c r="K65" s="340"/>
      <c r="L65" s="338">
        <f>SUM(L44:L64)</f>
        <v>15</v>
      </c>
      <c r="M65" s="338">
        <f>SUM(M44:M64)</f>
        <v>15</v>
      </c>
      <c r="N65" s="341"/>
      <c r="Q65" s="671" t="s">
        <v>556</v>
      </c>
      <c r="R65" s="672"/>
      <c r="S65" s="672"/>
      <c r="T65" s="672"/>
      <c r="U65" s="672"/>
      <c r="V65" s="672"/>
      <c r="W65" s="672"/>
      <c r="X65" s="672"/>
      <c r="Y65" s="672"/>
      <c r="Z65" s="673"/>
    </row>
    <row r="66" spans="3:26" ht="21.75" customHeight="1" thickBot="1">
      <c r="Q66" s="674"/>
      <c r="R66" s="675"/>
      <c r="S66" s="675"/>
      <c r="T66" s="675"/>
      <c r="U66" s="675"/>
      <c r="V66" s="675"/>
      <c r="W66" s="675"/>
      <c r="X66" s="675"/>
      <c r="Y66" s="675"/>
      <c r="Z66" s="676"/>
    </row>
    <row r="67" spans="3:26" ht="21.75" customHeight="1">
      <c r="C67" s="657" t="s">
        <v>557</v>
      </c>
      <c r="D67" s="658"/>
      <c r="E67" s="658"/>
      <c r="F67" s="658"/>
      <c r="G67" s="658"/>
      <c r="H67" s="658"/>
      <c r="I67" s="658"/>
      <c r="J67" s="658"/>
      <c r="K67" s="658"/>
      <c r="L67" s="658"/>
      <c r="M67" s="658"/>
      <c r="N67" s="659"/>
      <c r="Q67" s="392"/>
      <c r="R67" s="393"/>
      <c r="S67" s="393"/>
      <c r="T67" s="393"/>
      <c r="U67" s="393"/>
      <c r="V67" s="393"/>
      <c r="W67" s="393"/>
      <c r="X67" s="393"/>
      <c r="Y67" s="393"/>
      <c r="Z67" s="394"/>
    </row>
    <row r="68" spans="3:26" ht="15.75" customHeight="1" thickBot="1">
      <c r="C68" s="660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2"/>
      <c r="O68" s="292"/>
      <c r="P68" s="292"/>
      <c r="Q68" s="395"/>
      <c r="R68" s="309" t="s">
        <v>558</v>
      </c>
      <c r="S68" s="309" t="s">
        <v>559</v>
      </c>
      <c r="T68" s="309" t="s">
        <v>560</v>
      </c>
      <c r="U68" s="309" t="s">
        <v>561</v>
      </c>
      <c r="V68" s="309" t="s">
        <v>562</v>
      </c>
      <c r="W68" s="309" t="s">
        <v>563</v>
      </c>
      <c r="X68" s="309" t="s">
        <v>563</v>
      </c>
      <c r="Y68" s="309" t="s">
        <v>564</v>
      </c>
      <c r="Z68" s="312" t="s">
        <v>565</v>
      </c>
    </row>
    <row r="69" spans="3:26">
      <c r="C69" s="396" t="s">
        <v>566</v>
      </c>
      <c r="D69" s="397" t="s">
        <v>567</v>
      </c>
      <c r="E69" s="398" t="s">
        <v>568</v>
      </c>
      <c r="F69" s="398" t="s">
        <v>569</v>
      </c>
      <c r="G69" s="398" t="s">
        <v>570</v>
      </c>
      <c r="H69" s="398" t="s">
        <v>571</v>
      </c>
      <c r="I69" s="397" t="s">
        <v>572</v>
      </c>
      <c r="J69" s="398" t="s">
        <v>573</v>
      </c>
      <c r="K69" s="398" t="s">
        <v>574</v>
      </c>
      <c r="L69" s="398" t="s">
        <v>575</v>
      </c>
      <c r="M69" s="399" t="s">
        <v>576</v>
      </c>
      <c r="N69" s="398" t="s">
        <v>577</v>
      </c>
      <c r="O69" s="292"/>
      <c r="P69" s="292"/>
      <c r="Q69" s="395" t="s">
        <v>578</v>
      </c>
      <c r="R69" s="400">
        <v>1</v>
      </c>
      <c r="S69" s="400">
        <v>0</v>
      </c>
      <c r="T69" s="400">
        <v>0</v>
      </c>
      <c r="U69" s="400">
        <v>0</v>
      </c>
      <c r="V69" s="400">
        <v>0</v>
      </c>
      <c r="W69" s="400">
        <v>0</v>
      </c>
      <c r="X69" s="400">
        <v>0</v>
      </c>
      <c r="Y69" s="400">
        <v>0</v>
      </c>
      <c r="Z69" s="401">
        <v>0</v>
      </c>
    </row>
    <row r="70" spans="3:26">
      <c r="C70" s="402" t="s">
        <v>578</v>
      </c>
      <c r="D70" s="403">
        <v>400</v>
      </c>
      <c r="E70" s="403">
        <v>400</v>
      </c>
      <c r="F70" s="403">
        <v>1</v>
      </c>
      <c r="G70" s="404">
        <v>6</v>
      </c>
      <c r="H70" s="404">
        <v>4</v>
      </c>
      <c r="I70" s="403">
        <f>MAX(D44:D64)+MAX(D33:D38)</f>
        <v>2</v>
      </c>
      <c r="J70" s="404">
        <v>6</v>
      </c>
      <c r="K70" s="403">
        <f>(IF(U3="PVC",0,_xlfn.IFS(MAX(D44:D64)=0,(MAX(J5:J27)/5)/(5/(MAX(D5:D27))),MAX(D5:D27)=0,(MAX(J44:J64)/5)/(5/(MAX(D44:D64))),MAX(D44:D64)&gt;0,(MAX(J44:J64)/5)/(5/(MAX(D44:D64)))+(MAX(J5:J27)/5)/(5/(MAX(D5:D27)))))*5)</f>
        <v>0</v>
      </c>
      <c r="L70" s="403">
        <f>K70*2</f>
        <v>0</v>
      </c>
      <c r="M70" s="326">
        <f>K70*(MAX(D5:D27)+MAX(D44:D64))</f>
        <v>0</v>
      </c>
      <c r="N70" s="403">
        <f>L70</f>
        <v>0</v>
      </c>
      <c r="O70" s="292"/>
      <c r="P70" s="292"/>
      <c r="Q70" s="395" t="s">
        <v>432</v>
      </c>
      <c r="R70" s="405">
        <v>36813</v>
      </c>
      <c r="S70" s="406">
        <v>5387</v>
      </c>
      <c r="T70" s="383">
        <v>1200</v>
      </c>
      <c r="U70" s="406">
        <v>1700</v>
      </c>
      <c r="V70" s="383">
        <v>5298</v>
      </c>
      <c r="W70" s="406">
        <v>800</v>
      </c>
      <c r="X70" s="406">
        <v>60</v>
      </c>
      <c r="Y70" s="405">
        <v>30000</v>
      </c>
      <c r="Z70" s="407">
        <v>2055.31</v>
      </c>
    </row>
    <row r="71" spans="3:26" ht="15.75" thickBot="1">
      <c r="C71" s="408" t="s">
        <v>432</v>
      </c>
      <c r="D71" s="409">
        <v>0.109</v>
      </c>
      <c r="E71" s="410">
        <v>9.9000000000000005E-2</v>
      </c>
      <c r="F71" s="409">
        <v>182.73</v>
      </c>
      <c r="G71" s="409">
        <v>6.9290000000000003</v>
      </c>
      <c r="H71" s="410">
        <v>75</v>
      </c>
      <c r="I71" s="409">
        <v>34.869999999999997</v>
      </c>
      <c r="J71" s="409">
        <v>55</v>
      </c>
      <c r="K71" s="409">
        <v>5.6</v>
      </c>
      <c r="L71" s="409">
        <v>1.75</v>
      </c>
      <c r="M71" s="411">
        <v>0.34</v>
      </c>
      <c r="N71" s="409">
        <f>115/110</f>
        <v>1.0454545454545454</v>
      </c>
      <c r="O71" s="292"/>
      <c r="P71" s="292"/>
      <c r="Q71" s="395" t="s">
        <v>512</v>
      </c>
      <c r="R71" s="291">
        <v>100</v>
      </c>
      <c r="S71" s="291">
        <v>600</v>
      </c>
      <c r="T71" s="291">
        <v>300</v>
      </c>
      <c r="U71" s="291">
        <v>300</v>
      </c>
      <c r="V71" s="291">
        <v>150</v>
      </c>
      <c r="W71" s="291">
        <v>300</v>
      </c>
      <c r="X71" s="291">
        <v>40</v>
      </c>
      <c r="Y71" s="291">
        <v>1000</v>
      </c>
      <c r="Z71" s="300" t="s">
        <v>552</v>
      </c>
    </row>
    <row r="72" spans="3:26" ht="15.75" thickBot="1">
      <c r="C72" s="412" t="s">
        <v>57</v>
      </c>
      <c r="D72" s="413">
        <f>D70*D71</f>
        <v>43.6</v>
      </c>
      <c r="E72" s="413">
        <f t="shared" ref="E72:K72" si="20">E71*E70</f>
        <v>39.6</v>
      </c>
      <c r="F72" s="413">
        <f t="shared" si="20"/>
        <v>182.73</v>
      </c>
      <c r="G72" s="413">
        <f t="shared" si="20"/>
        <v>41.573999999999998</v>
      </c>
      <c r="H72" s="413">
        <f>H71*H70</f>
        <v>300</v>
      </c>
      <c r="I72" s="413">
        <f t="shared" si="20"/>
        <v>69.739999999999995</v>
      </c>
      <c r="J72" s="413">
        <f t="shared" si="20"/>
        <v>330</v>
      </c>
      <c r="K72" s="413">
        <f t="shared" si="20"/>
        <v>0</v>
      </c>
      <c r="L72" s="413">
        <f>L70*L71</f>
        <v>0</v>
      </c>
      <c r="M72" s="413">
        <f>M70*M71</f>
        <v>0</v>
      </c>
      <c r="N72" s="413">
        <f>N70*N71</f>
        <v>0</v>
      </c>
      <c r="O72" s="292"/>
      <c r="P72" s="292"/>
      <c r="Q72" s="395" t="s">
        <v>516</v>
      </c>
      <c r="R72" s="291">
        <v>480</v>
      </c>
      <c r="S72" s="291">
        <v>208</v>
      </c>
      <c r="T72" s="291">
        <v>208</v>
      </c>
      <c r="U72" s="291">
        <v>208</v>
      </c>
      <c r="V72" s="291">
        <v>208</v>
      </c>
      <c r="W72" s="291">
        <v>480</v>
      </c>
      <c r="X72" s="291">
        <v>208</v>
      </c>
      <c r="Y72" s="291">
        <v>208</v>
      </c>
      <c r="Z72" s="300">
        <v>208</v>
      </c>
    </row>
    <row r="73" spans="3:26" ht="15.75" thickBot="1">
      <c r="C73" s="402" t="s">
        <v>566</v>
      </c>
      <c r="D73" s="397" t="s">
        <v>579</v>
      </c>
      <c r="E73" s="397" t="s">
        <v>580</v>
      </c>
      <c r="F73" s="397" t="s">
        <v>580</v>
      </c>
      <c r="G73" s="397" t="s">
        <v>581</v>
      </c>
      <c r="H73" s="397" t="s">
        <v>582</v>
      </c>
      <c r="I73" s="397" t="s">
        <v>583</v>
      </c>
      <c r="J73" s="397" t="s">
        <v>584</v>
      </c>
      <c r="K73" s="397" t="s">
        <v>585</v>
      </c>
      <c r="L73" s="398" t="s">
        <v>586</v>
      </c>
      <c r="M73" s="414" t="s">
        <v>587</v>
      </c>
      <c r="N73" s="397" t="s">
        <v>588</v>
      </c>
      <c r="O73" s="292"/>
      <c r="P73" s="292"/>
      <c r="Q73" s="415" t="s">
        <v>57</v>
      </c>
      <c r="R73" s="416">
        <f t="shared" ref="R73:Z73" si="21">R70*R69</f>
        <v>36813</v>
      </c>
      <c r="S73" s="417">
        <f t="shared" si="21"/>
        <v>0</v>
      </c>
      <c r="T73" s="417">
        <f t="shared" si="21"/>
        <v>0</v>
      </c>
      <c r="U73" s="417">
        <f t="shared" si="21"/>
        <v>0</v>
      </c>
      <c r="V73" s="416">
        <f t="shared" si="21"/>
        <v>0</v>
      </c>
      <c r="W73" s="416">
        <f t="shared" si="21"/>
        <v>0</v>
      </c>
      <c r="X73" s="418">
        <f t="shared" si="21"/>
        <v>0</v>
      </c>
      <c r="Y73" s="416">
        <f t="shared" si="21"/>
        <v>0</v>
      </c>
      <c r="Z73" s="419">
        <f t="shared" si="21"/>
        <v>0</v>
      </c>
    </row>
    <row r="74" spans="3:26" ht="15.75" thickBot="1">
      <c r="C74" s="408" t="s">
        <v>578</v>
      </c>
      <c r="D74" s="403">
        <f>SUM(IF(V5&gt;1,V5/300,0),IF(V6&gt;1,V6/200,0),IF(V7&gt;1,V7/125,0),IF(V8&gt;1,V8/100,0),IF(V9&gt;1,V9/90,0),IF(V10&gt;1,V10/60,0),IF(V11&gt;1,V11/50,0),IF(V12&gt;1,V12/40,0),IF(V13&gt;1,V13/35,0),IF(V14&gt;1,V14/30,0),IF(V15&gt;1,V15/10,0))</f>
        <v>0.32500000000000001</v>
      </c>
      <c r="E74" s="403">
        <v>1</v>
      </c>
      <c r="F74" s="403">
        <v>1</v>
      </c>
      <c r="G74" s="403">
        <f>(H65/10)+H39/10+(H28/10)</f>
        <v>1.5</v>
      </c>
      <c r="H74" s="404">
        <v>1</v>
      </c>
      <c r="I74" s="403">
        <f>I70</f>
        <v>2</v>
      </c>
      <c r="J74" s="420">
        <v>2</v>
      </c>
      <c r="K74" s="403">
        <v>1</v>
      </c>
      <c r="L74" s="403">
        <v>0</v>
      </c>
      <c r="M74" s="326">
        <f>L65+L28</f>
        <v>15</v>
      </c>
      <c r="N74" s="397">
        <f>MAX(D44:D64)*6+(MAX(D5:D27)*4)+(MAX(D33:D38)*4)</f>
        <v>8</v>
      </c>
      <c r="O74" s="292"/>
      <c r="P74" s="292"/>
      <c r="Y74" s="292"/>
    </row>
    <row r="75" spans="3:26" ht="15.75" thickBot="1">
      <c r="C75" s="421" t="s">
        <v>432</v>
      </c>
      <c r="D75" s="410">
        <v>18.8</v>
      </c>
      <c r="E75" s="409">
        <v>7.22</v>
      </c>
      <c r="F75" s="403">
        <v>11.06</v>
      </c>
      <c r="G75" s="409">
        <v>1.3</v>
      </c>
      <c r="H75" s="410">
        <v>2500</v>
      </c>
      <c r="I75" s="409">
        <v>7.22</v>
      </c>
      <c r="J75" s="409">
        <v>337.73</v>
      </c>
      <c r="K75" s="409">
        <v>125.57</v>
      </c>
      <c r="L75" s="409">
        <v>1500</v>
      </c>
      <c r="M75" s="411">
        <f>0.1</f>
        <v>0.1</v>
      </c>
      <c r="N75" s="403">
        <v>5</v>
      </c>
      <c r="O75" s="292"/>
      <c r="P75" s="292"/>
      <c r="Y75" s="422">
        <f>SUM(S73:Z73)</f>
        <v>0</v>
      </c>
    </row>
    <row r="76" spans="3:26" ht="15.75" thickBot="1">
      <c r="C76" s="412" t="s">
        <v>57</v>
      </c>
      <c r="D76" s="413">
        <f>D75*D74</f>
        <v>6.11</v>
      </c>
      <c r="E76" s="423">
        <f>E75*E74</f>
        <v>7.22</v>
      </c>
      <c r="F76" s="413">
        <f t="shared" ref="F76:H76" si="22">F75*F74</f>
        <v>11.06</v>
      </c>
      <c r="G76" s="413">
        <f t="shared" si="22"/>
        <v>1.9500000000000002</v>
      </c>
      <c r="H76" s="413">
        <f t="shared" si="22"/>
        <v>2500</v>
      </c>
      <c r="I76" s="413">
        <f>I75*I74</f>
        <v>14.44</v>
      </c>
      <c r="J76" s="413">
        <f>J75*J74</f>
        <v>675.46</v>
      </c>
      <c r="K76" s="413">
        <f>K75*K74</f>
        <v>125.57</v>
      </c>
      <c r="L76" s="413">
        <f t="shared" ref="L76:M76" si="23">L75*L74</f>
        <v>0</v>
      </c>
      <c r="M76" s="413">
        <f t="shared" si="23"/>
        <v>1.5</v>
      </c>
      <c r="N76" s="413">
        <f>N74*N75</f>
        <v>40</v>
      </c>
      <c r="O76" s="292"/>
      <c r="P76" s="292"/>
      <c r="Y76" s="240"/>
    </row>
    <row r="77" spans="3:26">
      <c r="C77" s="402" t="s">
        <v>566</v>
      </c>
      <c r="D77" s="397" t="s">
        <v>589</v>
      </c>
      <c r="E77" s="397" t="s">
        <v>590</v>
      </c>
      <c r="F77" s="397" t="s">
        <v>591</v>
      </c>
      <c r="G77" s="397" t="s">
        <v>592</v>
      </c>
      <c r="H77" s="397" t="s">
        <v>593</v>
      </c>
      <c r="I77" s="397" t="s">
        <v>594</v>
      </c>
      <c r="J77" s="397" t="s">
        <v>595</v>
      </c>
      <c r="K77" s="397" t="s">
        <v>596</v>
      </c>
      <c r="L77" s="398" t="s">
        <v>597</v>
      </c>
      <c r="M77" s="414" t="s">
        <v>598</v>
      </c>
      <c r="N77" s="397" t="s">
        <v>599</v>
      </c>
      <c r="O77" s="292"/>
      <c r="P77" s="292"/>
      <c r="Y77" s="240"/>
    </row>
    <row r="78" spans="3:26">
      <c r="C78" s="402" t="s">
        <v>578</v>
      </c>
      <c r="D78" s="403">
        <v>6</v>
      </c>
      <c r="E78" s="403">
        <v>6</v>
      </c>
      <c r="F78" s="403">
        <v>22</v>
      </c>
      <c r="G78" s="403">
        <v>0</v>
      </c>
      <c r="H78" s="403">
        <v>1</v>
      </c>
      <c r="I78" s="403">
        <v>1</v>
      </c>
      <c r="J78" s="403">
        <v>20</v>
      </c>
      <c r="K78" s="403">
        <v>50</v>
      </c>
      <c r="L78" s="404">
        <v>4</v>
      </c>
      <c r="M78" s="424">
        <f>(MAX(D44:D64)+MAX(D5:D27))</f>
        <v>0</v>
      </c>
      <c r="N78" s="404">
        <v>0</v>
      </c>
      <c r="O78" s="292"/>
      <c r="P78" s="292"/>
      <c r="Y78" s="240"/>
    </row>
    <row r="79" spans="3:26" ht="15.75" thickBot="1">
      <c r="C79" s="408" t="s">
        <v>432</v>
      </c>
      <c r="D79" s="409">
        <v>55</v>
      </c>
      <c r="E79" s="409">
        <v>10</v>
      </c>
      <c r="F79" s="409">
        <v>19</v>
      </c>
      <c r="G79" s="409">
        <v>160</v>
      </c>
      <c r="H79" s="409">
        <v>535.16</v>
      </c>
      <c r="I79" s="409">
        <v>217.5</v>
      </c>
      <c r="J79" s="409">
        <v>8.6300000000000008</v>
      </c>
      <c r="K79" s="409">
        <v>1.18</v>
      </c>
      <c r="L79" s="409">
        <v>177</v>
      </c>
      <c r="M79" s="411">
        <v>70.58</v>
      </c>
      <c r="N79" s="409">
        <v>2000</v>
      </c>
      <c r="P79" s="292"/>
      <c r="Y79" s="240"/>
    </row>
    <row r="80" spans="3:26" ht="15.75" thickBot="1">
      <c r="C80" s="412" t="s">
        <v>57</v>
      </c>
      <c r="D80" s="413">
        <f t="shared" ref="D80:N80" si="24">D79*D78</f>
        <v>330</v>
      </c>
      <c r="E80" s="413">
        <f t="shared" si="24"/>
        <v>60</v>
      </c>
      <c r="F80" s="413">
        <f t="shared" si="24"/>
        <v>418</v>
      </c>
      <c r="G80" s="413">
        <f t="shared" si="24"/>
        <v>0</v>
      </c>
      <c r="H80" s="413">
        <f t="shared" si="24"/>
        <v>535.16</v>
      </c>
      <c r="I80" s="413">
        <f t="shared" si="24"/>
        <v>217.5</v>
      </c>
      <c r="J80" s="413">
        <f>J79*J78</f>
        <v>172.60000000000002</v>
      </c>
      <c r="K80" s="413">
        <f>K79*K78</f>
        <v>59</v>
      </c>
      <c r="L80" s="413">
        <f t="shared" si="24"/>
        <v>708</v>
      </c>
      <c r="M80" s="413">
        <f>M79*M78</f>
        <v>0</v>
      </c>
      <c r="N80" s="413">
        <f t="shared" si="24"/>
        <v>0</v>
      </c>
      <c r="P80" s="292"/>
      <c r="Y80" s="240"/>
    </row>
    <row r="81" spans="3:25" ht="19.5" customHeight="1" thickBot="1">
      <c r="C81" s="425" t="s">
        <v>600</v>
      </c>
      <c r="D81" s="426">
        <f>SUM(D72,D76,D80)</f>
        <v>379.71</v>
      </c>
      <c r="E81" s="426">
        <f t="shared" ref="E81:M81" si="25">SUM(E72,E76,E80)</f>
        <v>106.82</v>
      </c>
      <c r="F81" s="427">
        <f>SUM(F72,F76,F80)</f>
        <v>611.79</v>
      </c>
      <c r="G81" s="427">
        <f>SUM(G72,G76,G80)</f>
        <v>43.524000000000001</v>
      </c>
      <c r="H81" s="426">
        <f>SUM(H72,H76,H80)</f>
        <v>3335.16</v>
      </c>
      <c r="I81" s="428">
        <f>SUM(I72,I76,I80)</f>
        <v>301.68</v>
      </c>
      <c r="J81" s="426">
        <f t="shared" si="25"/>
        <v>1178.06</v>
      </c>
      <c r="K81" s="428">
        <f>SUM(K76,K80,K72)</f>
        <v>184.57</v>
      </c>
      <c r="L81" s="426">
        <f t="shared" si="25"/>
        <v>708</v>
      </c>
      <c r="M81" s="426">
        <f t="shared" si="25"/>
        <v>1.5</v>
      </c>
      <c r="N81" s="429">
        <f>SUM(N72,N76,N80)</f>
        <v>40</v>
      </c>
      <c r="P81" s="292"/>
      <c r="Y81" s="240"/>
    </row>
    <row r="82" spans="3:25" ht="15.75" thickBot="1">
      <c r="G82" s="291"/>
      <c r="M82" s="290"/>
      <c r="N82" s="422">
        <f>SUM(D81:N81)</f>
        <v>6890.8140000000003</v>
      </c>
      <c r="Y82" s="240"/>
    </row>
    <row r="83" spans="3:25" ht="15.75" thickBot="1">
      <c r="G83" s="291"/>
      <c r="M83" s="290"/>
      <c r="Y83" s="240"/>
    </row>
    <row r="84" spans="3:25" ht="15.75" thickBot="1">
      <c r="I84" s="309"/>
      <c r="J84" s="430"/>
      <c r="K84" s="430"/>
      <c r="L84" s="431" t="s">
        <v>601</v>
      </c>
      <c r="M84" s="432" t="s">
        <v>578</v>
      </c>
      <c r="N84" s="433" t="s">
        <v>602</v>
      </c>
      <c r="O84" s="433" t="s">
        <v>603</v>
      </c>
      <c r="Y84" s="240"/>
    </row>
    <row r="85" spans="3:25">
      <c r="C85" s="434" t="s">
        <v>7</v>
      </c>
      <c r="D85" s="435" t="s">
        <v>578</v>
      </c>
      <c r="E85" s="435" t="s">
        <v>432</v>
      </c>
      <c r="F85" s="436" t="s">
        <v>57</v>
      </c>
      <c r="I85" s="437" t="s">
        <v>59</v>
      </c>
      <c r="J85" s="433" t="s">
        <v>603</v>
      </c>
      <c r="K85" s="438"/>
      <c r="L85" s="439" t="s">
        <v>604</v>
      </c>
      <c r="M85" s="332">
        <v>0</v>
      </c>
      <c r="N85" s="440">
        <v>1000</v>
      </c>
      <c r="O85" s="441">
        <f>M85*N85</f>
        <v>0</v>
      </c>
      <c r="Y85" s="240"/>
    </row>
    <row r="86" spans="3:25">
      <c r="C86" s="397" t="s">
        <v>605</v>
      </c>
      <c r="D86" s="403">
        <f>MAX(D5:D27)+MAX(D44:D64)</f>
        <v>0</v>
      </c>
      <c r="E86" s="442">
        <v>40</v>
      </c>
      <c r="F86" s="442">
        <f>D86*E86</f>
        <v>0</v>
      </c>
      <c r="I86" s="439">
        <v>1000</v>
      </c>
      <c r="J86" s="441">
        <f>SUM(H94:H110)</f>
        <v>11394.63</v>
      </c>
      <c r="K86" s="405"/>
      <c r="L86" s="439" t="s">
        <v>606</v>
      </c>
      <c r="M86" s="443">
        <v>0</v>
      </c>
      <c r="N86" s="441">
        <v>1663</v>
      </c>
      <c r="O86" s="441">
        <f t="shared" ref="O86:O89" si="26">M86*N86</f>
        <v>0</v>
      </c>
      <c r="Y86" s="240"/>
    </row>
    <row r="87" spans="3:25">
      <c r="C87" s="397" t="s">
        <v>607</v>
      </c>
      <c r="D87" s="403">
        <f>MAX(D5:D27)+(MAX(D44:D64)/2)</f>
        <v>0</v>
      </c>
      <c r="E87" s="442">
        <v>56.1</v>
      </c>
      <c r="F87" s="442">
        <f>D87*E87</f>
        <v>0</v>
      </c>
      <c r="I87" s="439"/>
      <c r="J87" s="441"/>
      <c r="K87" s="405"/>
      <c r="L87" s="439" t="s">
        <v>608</v>
      </c>
      <c r="M87" s="443">
        <v>0</v>
      </c>
      <c r="N87" s="441">
        <v>495</v>
      </c>
      <c r="O87" s="441">
        <f t="shared" si="26"/>
        <v>0</v>
      </c>
      <c r="Y87" s="240"/>
    </row>
    <row r="88" spans="3:25">
      <c r="C88" s="444"/>
      <c r="D88" s="403"/>
      <c r="E88" s="445"/>
      <c r="F88" s="445"/>
      <c r="I88" s="439"/>
      <c r="J88" s="441"/>
      <c r="K88" s="405"/>
      <c r="L88" s="439" t="s">
        <v>609</v>
      </c>
      <c r="M88" s="332">
        <v>0</v>
      </c>
      <c r="N88" s="441">
        <v>0</v>
      </c>
      <c r="O88" s="441">
        <f t="shared" si="26"/>
        <v>0</v>
      </c>
      <c r="Y88" s="240"/>
    </row>
    <row r="89" spans="3:25">
      <c r="C89" s="444"/>
      <c r="D89" s="403"/>
      <c r="E89" s="445"/>
      <c r="F89" s="445"/>
      <c r="I89" s="439"/>
      <c r="J89" s="441"/>
      <c r="K89" s="405"/>
      <c r="L89" s="439" t="s">
        <v>610</v>
      </c>
      <c r="M89" s="332">
        <v>0</v>
      </c>
      <c r="N89" s="441">
        <v>105</v>
      </c>
      <c r="O89" s="441">
        <f t="shared" si="26"/>
        <v>0</v>
      </c>
      <c r="Y89" s="240"/>
    </row>
    <row r="90" spans="3:25">
      <c r="C90" s="444"/>
      <c r="D90" s="403"/>
      <c r="E90" s="446"/>
      <c r="F90" s="445"/>
      <c r="I90" s="439"/>
      <c r="J90" s="441"/>
      <c r="K90" s="405"/>
      <c r="L90" s="439" t="s">
        <v>611</v>
      </c>
      <c r="M90" s="441"/>
      <c r="N90" s="440"/>
      <c r="O90" s="441">
        <f>M90*N90</f>
        <v>0</v>
      </c>
      <c r="Y90" s="292"/>
    </row>
    <row r="91" spans="3:25" ht="15.75" thickBot="1">
      <c r="C91" s="414" t="s">
        <v>612</v>
      </c>
      <c r="D91" s="326">
        <f>MAX(D5:D27)*2+(MAX(D44:D64)*4)</f>
        <v>0</v>
      </c>
      <c r="E91" s="447">
        <v>110</v>
      </c>
      <c r="F91" s="442">
        <f t="shared" ref="F91" si="27">D91*E91</f>
        <v>0</v>
      </c>
      <c r="I91" s="448"/>
      <c r="J91" s="390"/>
      <c r="K91" s="405"/>
      <c r="L91" s="448"/>
      <c r="M91" s="390"/>
      <c r="N91" s="390"/>
      <c r="O91" s="390"/>
      <c r="Y91" s="292"/>
    </row>
    <row r="92" spans="3:25" ht="15.75" thickBot="1">
      <c r="C92" s="421"/>
      <c r="D92" s="449"/>
      <c r="E92" s="450"/>
      <c r="F92" s="450">
        <f>(D92*E92)</f>
        <v>0</v>
      </c>
      <c r="G92" s="422">
        <f>SUM(F86:F92)</f>
        <v>0</v>
      </c>
      <c r="I92" s="451">
        <f>SUM(I86:I91)</f>
        <v>1000</v>
      </c>
      <c r="J92" s="451">
        <f>SUM(J86:J91)</f>
        <v>11394.63</v>
      </c>
      <c r="K92" s="405"/>
      <c r="L92" s="451"/>
      <c r="M92" s="451"/>
      <c r="N92" s="451"/>
      <c r="O92" s="451">
        <f>SUM(O85:O91)</f>
        <v>0</v>
      </c>
      <c r="S92" s="292"/>
      <c r="T92" s="292"/>
      <c r="Y92" s="292"/>
    </row>
    <row r="93" spans="3:25" ht="15.75" thickBot="1">
      <c r="L93" s="291"/>
      <c r="M93" s="438"/>
      <c r="R93" s="292"/>
      <c r="S93" s="292"/>
      <c r="T93" s="292"/>
      <c r="Y93" s="292"/>
    </row>
    <row r="94" spans="3:25">
      <c r="C94" s="434" t="s">
        <v>7</v>
      </c>
      <c r="D94" s="303" t="s">
        <v>578</v>
      </c>
      <c r="E94" s="435" t="s">
        <v>432</v>
      </c>
      <c r="F94" s="452" t="s">
        <v>613</v>
      </c>
      <c r="G94" s="435" t="s">
        <v>614</v>
      </c>
      <c r="H94" s="436" t="s">
        <v>57</v>
      </c>
      <c r="L94" s="431" t="s">
        <v>615</v>
      </c>
      <c r="M94" s="432" t="s">
        <v>578</v>
      </c>
      <c r="N94" s="433" t="s">
        <v>602</v>
      </c>
      <c r="O94" s="433" t="s">
        <v>603</v>
      </c>
      <c r="R94" s="292"/>
      <c r="S94" s="292"/>
      <c r="T94" s="292"/>
      <c r="Y94" s="292"/>
    </row>
    <row r="95" spans="3:25" ht="15.75" thickBot="1">
      <c r="C95" s="397" t="s">
        <v>616</v>
      </c>
      <c r="D95" s="420">
        <f>(((MAX(E44:E64,E5:E27))*2 )+ 60)</f>
        <v>90</v>
      </c>
      <c r="E95" s="442">
        <v>0.3</v>
      </c>
      <c r="F95" s="420">
        <v>30</v>
      </c>
      <c r="G95" s="420">
        <f>400</f>
        <v>400</v>
      </c>
      <c r="H95" s="442">
        <f>(D95*E95*F95)+(IF(D95&gt;0,400))</f>
        <v>1210</v>
      </c>
      <c r="L95" s="439" t="s">
        <v>617</v>
      </c>
      <c r="M95" s="332">
        <f>IF(U3="PVC",MAX(D44:D64) *1+MAX(D5:D27)*0.5+MAX(D33:D38)*1.5,0)+15</f>
        <v>18</v>
      </c>
      <c r="N95" s="441">
        <v>193.54</v>
      </c>
      <c r="O95" s="441">
        <f>M95*N95</f>
        <v>3483.72</v>
      </c>
      <c r="R95" s="292"/>
      <c r="S95" s="292"/>
      <c r="T95" s="292"/>
      <c r="Y95" s="292"/>
    </row>
    <row r="96" spans="3:25">
      <c r="C96" s="414" t="s">
        <v>618</v>
      </c>
      <c r="D96" s="326">
        <v>1</v>
      </c>
      <c r="E96" s="447">
        <f>_xlfn.IFS(F96&lt;7,433,F96&gt;=30,2957/30,F96&gt;=7,1103/7)</f>
        <v>98.566666666666663</v>
      </c>
      <c r="F96" s="326">
        <v>30</v>
      </c>
      <c r="G96" s="326">
        <f>IF(X3="PVC",1,0)</f>
        <v>0</v>
      </c>
      <c r="H96" s="409">
        <f>D96*E96*F96</f>
        <v>2957</v>
      </c>
      <c r="I96" s="431">
        <v>0</v>
      </c>
      <c r="J96" s="433">
        <v>0</v>
      </c>
      <c r="L96" s="439" t="s">
        <v>619</v>
      </c>
      <c r="M96" s="443">
        <f>IF(U3="PVC",MAX(D44:D64)*3 +MAX(D5:D27)*2+MAX(D33:D38)*2,0)</f>
        <v>4</v>
      </c>
      <c r="N96" s="441">
        <v>25.65</v>
      </c>
      <c r="O96" s="441">
        <f>M96*N96</f>
        <v>102.6</v>
      </c>
      <c r="R96" s="292"/>
      <c r="S96" s="292"/>
      <c r="T96" s="292"/>
      <c r="Y96" s="292"/>
    </row>
    <row r="97" spans="3:25" ht="15.75" thickBot="1">
      <c r="C97" s="453" t="s">
        <v>620</v>
      </c>
      <c r="D97" s="326">
        <v>0</v>
      </c>
      <c r="E97" s="447">
        <v>520</v>
      </c>
      <c r="F97" s="411">
        <v>1</v>
      </c>
      <c r="G97" s="326">
        <f>IF(X3="PVC",1,0)</f>
        <v>0</v>
      </c>
      <c r="H97" s="409">
        <f>D97*E97*F97</f>
        <v>0</v>
      </c>
      <c r="I97" s="439" t="s">
        <v>621</v>
      </c>
      <c r="J97" s="441">
        <v>2000</v>
      </c>
      <c r="L97" s="439" t="s">
        <v>622</v>
      </c>
      <c r="M97" s="443">
        <v>2</v>
      </c>
      <c r="N97" s="441">
        <v>169</v>
      </c>
      <c r="O97" s="441">
        <f>M97*N97</f>
        <v>338</v>
      </c>
      <c r="R97" s="292"/>
      <c r="S97" s="292"/>
      <c r="T97" s="292"/>
      <c r="Y97" s="292"/>
    </row>
    <row r="98" spans="3:25" ht="15.75" thickBot="1">
      <c r="C98" s="454" t="s">
        <v>623</v>
      </c>
      <c r="D98" s="333">
        <v>0</v>
      </c>
      <c r="E98" s="455">
        <f>_xlfn.IFS(F98&lt;7,563,F98&gt;=30,4503/30,F98&gt;=7,2146/7)</f>
        <v>563</v>
      </c>
      <c r="F98" s="333">
        <v>2</v>
      </c>
      <c r="G98" s="333">
        <f>IF(X3="PVC",1,0)+400*0</f>
        <v>0</v>
      </c>
      <c r="H98" s="450">
        <f>(D98*E98*F98)+G98</f>
        <v>0</v>
      </c>
      <c r="I98" s="448"/>
      <c r="J98" s="390"/>
      <c r="L98" s="451"/>
      <c r="M98" s="451"/>
      <c r="N98" s="451"/>
      <c r="O98" s="451">
        <f>SUM(O95:O97)</f>
        <v>3924.3199999999997</v>
      </c>
      <c r="R98" s="292"/>
      <c r="S98" s="292"/>
      <c r="T98" s="292"/>
      <c r="Y98" s="292"/>
    </row>
    <row r="99" spans="3:25" ht="15.75" thickBot="1">
      <c r="C99" s="397" t="s">
        <v>624</v>
      </c>
      <c r="D99" s="420">
        <v>0</v>
      </c>
      <c r="E99" s="442">
        <v>5.18</v>
      </c>
      <c r="F99" s="420">
        <v>30</v>
      </c>
      <c r="G99" s="420">
        <v>0</v>
      </c>
      <c r="H99" s="409">
        <f>D99*E99*F99</f>
        <v>0</v>
      </c>
      <c r="I99" s="451">
        <f>SUM(I97:I98)</f>
        <v>0</v>
      </c>
      <c r="J99" s="451">
        <f>SUM(J97:J98)</f>
        <v>2000</v>
      </c>
      <c r="R99" s="292"/>
      <c r="S99" s="292"/>
      <c r="T99" s="292"/>
      <c r="Y99" s="291"/>
    </row>
    <row r="100" spans="3:25">
      <c r="C100" s="397" t="s">
        <v>625</v>
      </c>
      <c r="D100" s="420">
        <v>1</v>
      </c>
      <c r="E100" s="442">
        <v>185</v>
      </c>
      <c r="F100" s="420">
        <v>15</v>
      </c>
      <c r="G100" s="420">
        <f>IF(X3="PVC",1,0)+400*0</f>
        <v>0</v>
      </c>
      <c r="H100" s="442">
        <f>(D100*E100*F100)+G100</f>
        <v>2775</v>
      </c>
      <c r="L100" s="431" t="s">
        <v>39</v>
      </c>
      <c r="M100" s="432" t="s">
        <v>578</v>
      </c>
      <c r="N100" s="433" t="s">
        <v>602</v>
      </c>
      <c r="O100" s="433" t="s">
        <v>603</v>
      </c>
      <c r="R100" s="292"/>
      <c r="S100" s="292"/>
      <c r="T100" s="292"/>
      <c r="Y100" s="291"/>
    </row>
    <row r="101" spans="3:25">
      <c r="C101" s="397" t="s">
        <v>626</v>
      </c>
      <c r="D101" s="420">
        <v>1</v>
      </c>
      <c r="E101" s="442">
        <f>267</f>
        <v>267</v>
      </c>
      <c r="F101" s="420">
        <v>1</v>
      </c>
      <c r="G101" s="420">
        <v>65</v>
      </c>
      <c r="H101" s="442">
        <f>D101*E101*F101+(IF(D101&gt;0,65))</f>
        <v>332</v>
      </c>
      <c r="L101" s="439" t="s">
        <v>627</v>
      </c>
      <c r="M101" s="332">
        <f>IF(U3="PVC",MAX(E44:E64)+MAX(E5:E27)+MAX(E33:E38),0)+20</f>
        <v>35</v>
      </c>
      <c r="N101" s="441">
        <v>40.81</v>
      </c>
      <c r="O101" s="441">
        <f>M101*N101</f>
        <v>1428.3500000000001</v>
      </c>
      <c r="R101" s="292"/>
    </row>
    <row r="102" spans="3:25">
      <c r="C102" s="397" t="s">
        <v>628</v>
      </c>
      <c r="D102" s="420">
        <v>0</v>
      </c>
      <c r="E102" s="442">
        <v>1000</v>
      </c>
      <c r="F102" s="420">
        <v>1</v>
      </c>
      <c r="G102" s="420">
        <v>0</v>
      </c>
      <c r="H102" s="442">
        <f>D102*E102*F102+(IF(D102&gt;0,0))</f>
        <v>0</v>
      </c>
      <c r="L102" s="439" t="s">
        <v>629</v>
      </c>
      <c r="M102" s="456">
        <f>((MAX(D5:D27)*2+MAX(D44:D64))/10)</f>
        <v>0</v>
      </c>
      <c r="N102" s="441">
        <f>1500</f>
        <v>1500</v>
      </c>
      <c r="O102" s="441">
        <f>M102*N102</f>
        <v>0</v>
      </c>
      <c r="R102" s="292"/>
    </row>
    <row r="103" spans="3:25" ht="15.75" thickBot="1">
      <c r="C103" s="397" t="s">
        <v>630</v>
      </c>
      <c r="D103" s="420">
        <v>1</v>
      </c>
      <c r="E103" s="442">
        <v>169</v>
      </c>
      <c r="F103" s="420">
        <v>1</v>
      </c>
      <c r="G103" s="420">
        <v>0</v>
      </c>
      <c r="H103" s="442">
        <f>D103*E103*F103+(IF(D103&gt;0,0))</f>
        <v>169</v>
      </c>
      <c r="L103" s="439"/>
      <c r="M103" s="443"/>
      <c r="N103" s="441"/>
      <c r="O103" s="441">
        <f t="shared" ref="O103" si="28">M103*N103</f>
        <v>0</v>
      </c>
      <c r="R103" s="292"/>
      <c r="S103" s="292"/>
      <c r="T103" s="292"/>
    </row>
    <row r="104" spans="3:25" ht="15.75" thickBot="1">
      <c r="C104" s="255" t="s">
        <v>631</v>
      </c>
      <c r="D104" s="256">
        <v>1</v>
      </c>
      <c r="E104" s="257">
        <v>155</v>
      </c>
      <c r="F104" s="256">
        <v>1</v>
      </c>
      <c r="G104" s="256">
        <v>0</v>
      </c>
      <c r="H104" s="257">
        <f>(D104*E104*F104)+(IF(D104&gt;0,G104,0))</f>
        <v>155</v>
      </c>
      <c r="L104" s="451"/>
      <c r="M104" s="451"/>
      <c r="N104" s="451"/>
      <c r="O104" s="451">
        <f>SUM(O101:O103)</f>
        <v>1428.3500000000001</v>
      </c>
      <c r="R104" s="292"/>
      <c r="S104" s="292"/>
      <c r="T104" s="292"/>
    </row>
    <row r="105" spans="3:25" ht="15.75" thickBot="1">
      <c r="C105" s="255" t="s">
        <v>632</v>
      </c>
      <c r="D105" s="256">
        <v>1</v>
      </c>
      <c r="E105" s="257">
        <v>175</v>
      </c>
      <c r="F105" s="256">
        <v>1</v>
      </c>
      <c r="G105" s="256">
        <v>0</v>
      </c>
      <c r="H105" s="257">
        <f>(D105*E105*F105)+(IF(D105&gt;0,G105,0))</f>
        <v>175</v>
      </c>
      <c r="R105" s="292"/>
      <c r="S105" s="292"/>
      <c r="T105" s="292"/>
    </row>
    <row r="106" spans="3:25">
      <c r="C106" s="255" t="s">
        <v>633</v>
      </c>
      <c r="D106" s="256">
        <v>1</v>
      </c>
      <c r="E106" s="263">
        <v>220</v>
      </c>
      <c r="F106" s="256">
        <v>1</v>
      </c>
      <c r="G106" s="256">
        <v>0</v>
      </c>
      <c r="H106" s="263">
        <f t="shared" ref="H106:H110" si="29">(D106*E106*F106)+(IF(D106&gt;0,G106,0))</f>
        <v>220</v>
      </c>
      <c r="L106" s="431" t="s">
        <v>96</v>
      </c>
      <c r="M106" s="432" t="s">
        <v>578</v>
      </c>
      <c r="N106" s="433" t="s">
        <v>602</v>
      </c>
      <c r="O106" s="433" t="s">
        <v>603</v>
      </c>
      <c r="R106" s="292"/>
      <c r="S106" s="292"/>
      <c r="T106" s="292"/>
    </row>
    <row r="107" spans="3:25">
      <c r="C107" s="255" t="s">
        <v>634</v>
      </c>
      <c r="D107" s="256">
        <v>1</v>
      </c>
      <c r="E107" s="263">
        <v>796.63</v>
      </c>
      <c r="F107" s="256">
        <v>1</v>
      </c>
      <c r="G107" s="256">
        <v>0</v>
      </c>
      <c r="H107" s="263">
        <f t="shared" si="29"/>
        <v>796.63</v>
      </c>
      <c r="L107" s="439" t="s">
        <v>635</v>
      </c>
      <c r="M107" s="332">
        <f>IF(U3="PVC",IF(COUNTIF(D44:D64,"&gt;=4")&gt;0,2,1)+IF(COUNTIF(D5:D27,"&gt;=4")&gt;0,2,1))</f>
        <v>2</v>
      </c>
      <c r="N107" s="441">
        <v>4900</v>
      </c>
      <c r="O107" s="441">
        <f>M107*N107</f>
        <v>9800</v>
      </c>
      <c r="R107" s="292"/>
      <c r="S107" s="292"/>
      <c r="T107" s="292"/>
    </row>
    <row r="108" spans="3:25">
      <c r="C108" s="255" t="s">
        <v>636</v>
      </c>
      <c r="D108" s="256">
        <v>1</v>
      </c>
      <c r="E108" s="263">
        <v>45</v>
      </c>
      <c r="F108" s="256">
        <v>1</v>
      </c>
      <c r="G108" s="256">
        <v>0</v>
      </c>
      <c r="H108" s="263">
        <f t="shared" si="29"/>
        <v>45</v>
      </c>
      <c r="L108" s="439" t="s">
        <v>637</v>
      </c>
      <c r="M108" s="443">
        <f>IF(U3="PVC",IF(COUNTIF(D44:D64,"&gt;=1")&gt;0,1)+IF(COUNTIF(D5:D27,"&gt;=1")&gt;0,1))</f>
        <v>0</v>
      </c>
      <c r="N108" s="441">
        <v>5200</v>
      </c>
      <c r="O108" s="441">
        <f t="shared" ref="O108" si="30">M108*N108</f>
        <v>0</v>
      </c>
      <c r="R108" s="292"/>
      <c r="S108" s="292"/>
      <c r="T108" s="292"/>
    </row>
    <row r="109" spans="3:25" ht="15.75" thickBot="1">
      <c r="C109" s="255" t="s">
        <v>638</v>
      </c>
      <c r="D109" s="256">
        <v>1</v>
      </c>
      <c r="E109" s="263">
        <v>750</v>
      </c>
      <c r="F109" s="256">
        <v>1</v>
      </c>
      <c r="G109" s="256">
        <v>0</v>
      </c>
      <c r="H109" s="263">
        <f t="shared" si="29"/>
        <v>750</v>
      </c>
      <c r="L109" s="439"/>
      <c r="M109" s="443"/>
      <c r="N109" s="441"/>
      <c r="O109" s="441"/>
      <c r="R109" s="292"/>
      <c r="S109" s="292"/>
      <c r="T109" s="292"/>
    </row>
    <row r="110" spans="3:25" ht="15.75" thickBot="1">
      <c r="C110" s="255" t="s">
        <v>639</v>
      </c>
      <c r="D110" s="256">
        <v>1</v>
      </c>
      <c r="E110" s="263">
        <v>1410</v>
      </c>
      <c r="F110" s="256">
        <v>1</v>
      </c>
      <c r="G110" s="256">
        <v>400</v>
      </c>
      <c r="H110" s="263">
        <f t="shared" si="29"/>
        <v>1810</v>
      </c>
      <c r="L110" s="451"/>
      <c r="M110" s="451"/>
      <c r="N110" s="451"/>
      <c r="O110" s="451">
        <f>SUM(O107:O109)</f>
        <v>9800</v>
      </c>
      <c r="R110" s="292"/>
      <c r="S110" s="292"/>
      <c r="T110" s="292"/>
    </row>
    <row r="111" spans="3:25" ht="15.75" thickBot="1">
      <c r="H111" s="451">
        <f>SUM(H95:H110)</f>
        <v>11394.63</v>
      </c>
      <c r="R111" s="292"/>
      <c r="S111" s="292"/>
      <c r="T111" s="292"/>
    </row>
    <row r="112" spans="3:25">
      <c r="R112" s="292"/>
      <c r="S112" s="292"/>
      <c r="T112" s="292"/>
    </row>
    <row r="113" spans="18:26">
      <c r="R113" s="292"/>
      <c r="S113" s="292"/>
      <c r="T113" s="292"/>
    </row>
    <row r="114" spans="18:26">
      <c r="R114" s="292"/>
      <c r="S114" s="292"/>
      <c r="T114" s="292"/>
    </row>
    <row r="115" spans="18:26">
      <c r="R115" s="292"/>
      <c r="S115" s="292"/>
      <c r="T115" s="292"/>
      <c r="Z115" s="290"/>
    </row>
    <row r="116" spans="18:26">
      <c r="R116" s="292"/>
      <c r="S116" s="292"/>
      <c r="T116" s="292"/>
    </row>
    <row r="117" spans="18:26">
      <c r="R117" s="292"/>
      <c r="S117" s="292"/>
      <c r="T117" s="292"/>
    </row>
    <row r="118" spans="18:26">
      <c r="R118" s="292"/>
      <c r="S118" s="292"/>
      <c r="T118" s="292"/>
    </row>
  </sheetData>
  <mergeCells count="7">
    <mergeCell ref="C67:N68"/>
    <mergeCell ref="C2:N3"/>
    <mergeCell ref="AC3:AE3"/>
    <mergeCell ref="AG3:AI3"/>
    <mergeCell ref="C30:L31"/>
    <mergeCell ref="C41:N42"/>
    <mergeCell ref="Q65:Z66"/>
  </mergeCells>
  <dataValidations count="6">
    <dataValidation type="list" allowBlank="1" showInputMessage="1" showErrorMessage="1" sqref="C44:C49" xr:uid="{BE2B2978-7D45-4EDA-8F48-0DCB9E466EC8}">
      <formula1>"50kW,60kW,100kW,120kW,160kW,300kW,360kW"</formula1>
    </dataValidation>
    <dataValidation type="list" allowBlank="1" showInputMessage="1" showErrorMessage="1" sqref="C50:C55" xr:uid="{E96CCABF-056D-4BCB-9F57-253A1F1CF9C0}">
      <formula1>"50kW,60kW,100kW,120kW,160kW,180kW,240kW,300kW,360kW"</formula1>
    </dataValidation>
    <dataValidation type="list" allowBlank="1" showInputMessage="1" showErrorMessage="1" sqref="G33:G37 K33:K37 K44:K64" xr:uid="{2233C8DC-E335-4A14-8727-7623C7027A9C}">
      <formula1>$Q$5:$Q$26</formula1>
    </dataValidation>
    <dataValidation type="list" allowBlank="1" showInputMessage="1" showErrorMessage="1" sqref="Q3 Q31" xr:uid="{9081D955-ADD7-44CC-B921-07DD55E21CB8}">
      <formula1>"Cu, Al"</formula1>
    </dataValidation>
    <dataValidation type="list" allowBlank="1" showInputMessage="1" showErrorMessage="1" sqref="C5:C24" xr:uid="{4C6DC97D-D24A-4C94-8F08-BEE8B7DF90D6}">
      <formula1>"Dual, Single"</formula1>
    </dataValidation>
    <dataValidation type="list" allowBlank="1" showInputMessage="1" showErrorMessage="1" sqref="U3 U31" xr:uid="{EA470D80-2DC1-4BBF-8867-2330B06BABE3}">
      <formula1>"PVC,EMT"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37</vt:i4>
      </vt:variant>
    </vt:vector>
  </HeadingPairs>
  <TitlesOfParts>
    <vt:vector size="49" baseType="lpstr">
      <vt:lpstr>INPUT SHEET</vt:lpstr>
      <vt:lpstr>Proposal</vt:lpstr>
      <vt:lpstr>Internal Summary</vt:lpstr>
      <vt:lpstr>Financial Worksheet</vt:lpstr>
      <vt:lpstr>DLL Schedule</vt:lpstr>
      <vt:lpstr>Cashflow</vt:lpstr>
      <vt:lpstr>Updated Chargers Revenue Calcul</vt:lpstr>
      <vt:lpstr>CTX Price Book</vt:lpstr>
      <vt:lpstr>INPUT SHEET CPM</vt:lpstr>
      <vt:lpstr>Costs Internal</vt:lpstr>
      <vt:lpstr>EV_SUB 2P  208V</vt:lpstr>
      <vt:lpstr>CPM Calcs</vt:lpstr>
      <vt:lpstr>_Buy_America</vt:lpstr>
      <vt:lpstr>_CTX_Category_List</vt:lpstr>
      <vt:lpstr>_CTX_Service_Plans</vt:lpstr>
      <vt:lpstr>_CTX_Warranty</vt:lpstr>
      <vt:lpstr>_Distributed_System</vt:lpstr>
      <vt:lpstr>_kW120</vt:lpstr>
      <vt:lpstr>_kW160</vt:lpstr>
      <vt:lpstr>_kW180</vt:lpstr>
      <vt:lpstr>_kW240</vt:lpstr>
      <vt:lpstr>_kW30</vt:lpstr>
      <vt:lpstr>_kW360</vt:lpstr>
      <vt:lpstr>_kW60</vt:lpstr>
      <vt:lpstr>_L2</vt:lpstr>
      <vt:lpstr>_L2_Accessories</vt:lpstr>
      <vt:lpstr>_Pick_First</vt:lpstr>
      <vt:lpstr>_V2G</vt:lpstr>
      <vt:lpstr>'DLL Schedule'!Beg_Bal</vt:lpstr>
      <vt:lpstr>'DLL Schedule'!Cum_Int</vt:lpstr>
      <vt:lpstr>'DLL Schedule'!Data</vt:lpstr>
      <vt:lpstr>'DLL Schedule'!End_Bal</vt:lpstr>
      <vt:lpstr>'DLL Schedule'!Extra_Pay</vt:lpstr>
      <vt:lpstr>'DLL Schedule'!Full_Print</vt:lpstr>
      <vt:lpstr>'DLL Schedule'!Int</vt:lpstr>
      <vt:lpstr>'DLL Schedule'!Interest_Rate</vt:lpstr>
      <vt:lpstr>'DLL Schedule'!Loan_Amount</vt:lpstr>
      <vt:lpstr>'DLL Schedule'!Loan_Start</vt:lpstr>
      <vt:lpstr>'DLL Schedule'!Loan_Years</vt:lpstr>
      <vt:lpstr>'DLL Schedule'!Num_Pmt_Per_Year</vt:lpstr>
      <vt:lpstr>'DLL Schedule'!Pay_Date</vt:lpstr>
      <vt:lpstr>'DLL Schedule'!Pay_Num</vt:lpstr>
      <vt:lpstr>'DLL Schedule'!Princ</vt:lpstr>
      <vt:lpstr>'DLL Schedule'!Sched_Pay</vt:lpstr>
      <vt:lpstr>'DLL Schedule'!Scheduled_Extra_Payments</vt:lpstr>
      <vt:lpstr>'DLL Schedule'!Scheduled_Interest_Rate</vt:lpstr>
      <vt:lpstr>'DLL Schedule'!Scheduled_Monthly_Payment</vt:lpstr>
      <vt:lpstr>'DLL Schedule'!Total_Interest</vt:lpstr>
      <vt:lpstr>'DLL Schedule'!Total_Pay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 Mathew</cp:lastModifiedBy>
  <cp:revision>2</cp:revision>
  <dcterms:created xsi:type="dcterms:W3CDTF">2026-06-10T17:42:37Z</dcterms:created>
  <dcterms:modified xsi:type="dcterms:W3CDTF">2026-08-20T19:53:17Z</dcterms:modified>
  <dc:language>en-US</dc:language>
</cp:coreProperties>
</file>