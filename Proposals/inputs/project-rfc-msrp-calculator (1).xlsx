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 Mathew\zerosolitions\rfc-estimator-main\"/>
    </mc:Choice>
  </mc:AlternateContent>
  <xr:revisionPtr revIDLastSave="0" documentId="13_ncr:1_{3DE5E575-F6B6-46E3-8455-C1FD79942363}" xr6:coauthVersionLast="47" xr6:coauthVersionMax="47" xr10:uidLastSave="{00000000-0000-0000-0000-000000000000}"/>
  <bookViews>
    <workbookView xWindow="28680" yWindow="-120" windowWidth="29040" windowHeight="15840" firstSheet="3" activeTab="6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 iterateDelta="1E-4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N9" authorId="0" shapeId="0" xr:uid="{9A7A6A86-CEAB-4381-871D-8F1B6603E1E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L2 ports = sum of Qty for each _L2 line, doubled when the Description contains "Dual" (dual-port charger).</t>
        </r>
      </text>
    </commen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G16" authorId="0" shapeId="0" xr:uid="{25C73309-DD14-404E-8D4B-C70272518F95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INPUT - Length of contract in years (2-5). Drives service years and warranty years for the whole service block.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F135" authorId="0" shapeId="0" xr:uid="{A3E3A2C6-E56E-490C-99DC-5CCB299B85FC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AC chargers = 1 year. Driver for warranty billing on Internal Summary.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F139" authorId="0" shapeId="0" xr:uid="{06312B69-248E-4FCE-8A83-3A21B6C4DDE9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DC chargers = 2 years.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<sst xmlns="http://schemas.openxmlformats.org/spreadsheetml/2006/main" count="1775" uniqueCount="919">
  <si>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</si>
  <si>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</si>
  <si>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</si>
  <si>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</si>
  <si>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</si>
  <si>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</si>
  <si>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</si>
  <si>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</si>
  <si>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</si>
  <si>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</si>
  <si>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</si>
  <si>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</si>
  <si>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</si>
  <si>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</si>
  <si>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</si>
  <si>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</si>
  <si>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</si>
  <si>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</si>
  <si>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</si>
  <si>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</si>
  <si>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</si>
  <si>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</si>
  <si>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</si>
  <si>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</si>
  <si>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</si>
  <si>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</si>
  <si>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</si>
  <si>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</si>
  <si>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</si>
  <si>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</si>
  <si>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</si>
  <si>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</si>
  <si>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</si>
  <si>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</si>
  <si>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</si>
  <si>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</si>
  <si>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</si>
  <si>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</si>
  <si>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</si>
  <si>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</si>
  <si>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</si>
  <si>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</si>
  <si>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</si>
  <si>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</si>
  <si>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</si>
  <si>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</si>
  <si>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</si>
  <si>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</si>
  <si>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</si>
  <si>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</si>
  <si>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</si>
  <si>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</si>
  <si>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</si>
  <si>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</si>
  <si>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</si>
  <si>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</si>
  <si>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</si>
  <si>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</si>
  <si>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</si>
  <si>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</si>
  <si>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</si>
  <si>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</si>
  <si>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</si>
  <si>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</si>
  <si>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</si>
  <si>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</si>
  <si>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</si>
  <si>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</si>
  <si>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</si>
  <si>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</si>
  <si>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</si>
  <si>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</si>
  <si>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Total Charger | EVSE | Evolv</t>
  </si>
  <si>
    <t>Total ZIB Costs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</si>
  <si>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</si>
  <si>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</si>
  <si>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</si>
  <si>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</si>
  <si>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</si>
  <si>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</si>
  <si>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</si>
  <si>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</si>
  <si>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</si>
  <si>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</si>
  <si>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</si>
  <si>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</si>
  <si>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</si>
  <si>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</si>
  <si>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</si>
  <si>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</si>
  <si>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</si>
  <si>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</si>
  <si>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</si>
  <si>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</si>
  <si>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</si>
  <si>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</si>
  <si>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</si>
  <si>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</si>
  <si>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</si>
  <si>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</si>
  <si>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</si>
  <si>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</si>
  <si>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</si>
  <si>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</si>
  <si>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</si>
  <si>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</si>
  <si>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</si>
  <si>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</si>
  <si>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</si>
  <si>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</si>
  <si>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</si>
  <si>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</si>
  <si>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</si>
  <si>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</si>
  <si>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</si>
  <si>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</si>
  <si>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</si>
  <si>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</si>
  <si>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</si>
  <si>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</si>
  <si>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</si>
  <si>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</si>
  <si>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</si>
  <si>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</si>
  <si>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</si>
  <si>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</si>
  <si>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</si>
  <si>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</si>
  <si>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</si>
  <si>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</si>
  <si>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</si>
  <si>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</si>
  <si>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</si>
  <si>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</si>
  <si>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</si>
  <si>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</si>
  <si>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</si>
  <si>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</si>
  <si>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</si>
  <si>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</si>
  <si>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</si>
  <si>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</si>
  <si>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</si>
  <si>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</si>
  <si>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</si>
  <si>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</si>
  <si>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</si>
  <si>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</si>
  <si>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</si>
  <si>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</si>
  <si>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</si>
  <si>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</si>
  <si>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</si>
  <si>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</si>
  <si>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</si>
  <si>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</si>
  <si>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</si>
  <si>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</si>
  <si>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</si>
  <si>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</si>
  <si>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</si>
  <si>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</si>
  <si>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</si>
  <si>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</si>
  <si>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</si>
  <si>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</si>
  <si>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</si>
  <si>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</si>
  <si>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</si>
  <si>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</si>
  <si>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</si>
  <si>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</si>
  <si>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</si>
  <si>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</si>
  <si>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</si>
  <si>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</si>
  <si>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</si>
  <si>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</si>
  <si>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</si>
  <si>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</si>
  <si>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</si>
  <si>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</si>
  <si>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</si>
  <si>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</si>
  <si>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</si>
  <si>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</si>
  <si>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</si>
  <si>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</si>
  <si>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</si>
  <si>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</si>
  <si>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</si>
  <si>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</si>
  <si>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</si>
  <si>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</si>
  <si>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</si>
  <si>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</si>
  <si>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</si>
  <si>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</si>
  <si>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</si>
  <si>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</si>
  <si>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</si>
  <si>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</si>
  <si>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</si>
  <si>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</si>
  <si>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</si>
  <si>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</si>
  <si>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</si>
  <si>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</si>
  <si>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</si>
  <si>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</si>
  <si>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</si>
  <si>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</si>
  <si>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</si>
  <si>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</si>
  <si>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</si>
  <si>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</si>
  <si>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</si>
  <si>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</si>
  <si>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</si>
  <si>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</si>
  <si>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</si>
  <si>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</si>
  <si>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</si>
  <si>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</si>
  <si>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</si>
  <si>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</si>
  <si>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</si>
  <si>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</si>
  <si>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</si>
  <si>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</si>
  <si>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</si>
  <si>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</si>
  <si>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</si>
  <si>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</si>
  <si>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</si>
  <si>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</si>
  <si>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</si>
  <si>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</si>
  <si>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</si>
  <si>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</si>
  <si>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</si>
  <si>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</si>
  <si>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</si>
  <si>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</si>
  <si>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</si>
  <si>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</si>
  <si>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</si>
  <si>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</si>
  <si>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</si>
  <si>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</si>
  <si>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</si>
  <si>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</si>
  <si>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</si>
  <si>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</si>
  <si>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</si>
  <si>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</si>
  <si>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</si>
  <si>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</si>
  <si>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</si>
  <si>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</si>
  <si>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</si>
  <si>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</si>
  <si>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</si>
  <si>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</si>
  <si>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</si>
  <si>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</si>
  <si>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</si>
  <si>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</si>
  <si>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</si>
  <si>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</si>
  <si>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</si>
  <si>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</si>
  <si>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</si>
  <si>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</si>
  <si>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</si>
  <si>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</si>
  <si>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</si>
  <si>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</si>
  <si>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</si>
  <si>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</si>
  <si>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</si>
  <si>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</si>
  <si>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</si>
  <si>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</si>
  <si>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</si>
  <si>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</si>
  <si>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</si>
  <si>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</si>
  <si>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</si>
  <si>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</si>
  <si>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</si>
  <si>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</si>
  <si>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</si>
  <si>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</si>
  <si>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</si>
  <si>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</si>
  <si>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</si>
  <si>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</si>
  <si>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</si>
  <si>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</si>
  <si>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</si>
  <si>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</si>
  <si>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</si>
  <si>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</si>
  <si>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</si>
  <si>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</si>
  <si>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</si>
  <si>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</si>
  <si>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</si>
  <si>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</si>
  <si>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</si>
  <si>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</si>
  <si>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</si>
  <si>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</si>
  <si>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</si>
  <si>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</si>
  <si>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</si>
  <si>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</si>
  <si>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</si>
  <si>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</si>
  <si>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</si>
  <si>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</si>
  <si>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</si>
  <si>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</si>
  <si>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</si>
  <si>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</si>
  <si>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</si>
  <si>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</si>
  <si>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</si>
  <si>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</si>
  <si>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</si>
  <si>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</si>
  <si>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</si>
  <si>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</si>
  <si>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</si>
  <si>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</si>
  <si>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</si>
  <si>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</si>
  <si>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</si>
  <si>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</si>
  <si>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</si>
  <si>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</si>
  <si>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</si>
  <si>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</si>
  <si>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</si>
  <si>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</si>
  <si>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</si>
  <si>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</si>
  <si>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</si>
  <si>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</si>
  <si>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</si>
  <si>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</si>
  <si>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</si>
  <si>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</si>
  <si>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</si>
  <si>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</si>
  <si>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</si>
  <si>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</si>
  <si>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</si>
  <si>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</si>
  <si>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</si>
  <si>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</si>
  <si>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</si>
  <si>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</si>
  <si>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</si>
  <si>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</si>
  <si>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</si>
  <si>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</si>
  <si>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</si>
  <si>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</si>
  <si>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</si>
  <si>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</si>
  <si>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</si>
  <si>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</si>
  <si>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</si>
  <si>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</si>
  <si>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</si>
  <si>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</si>
  <si>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</si>
  <si>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</si>
  <si>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</si>
  <si>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</si>
  <si>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</si>
  <si>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</si>
  <si>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</si>
  <si>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</si>
  <si>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</si>
  <si>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</si>
  <si>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</si>
  <si>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</si>
  <si>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</si>
  <si>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</si>
  <si>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</si>
  <si>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</si>
  <si>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</si>
  <si>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</si>
  <si>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</si>
  <si>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</si>
  <si>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</si>
  <si>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</si>
  <si>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</si>
  <si>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</si>
  <si>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</si>
  <si>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</si>
  <si>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</si>
  <si>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</si>
  <si>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</si>
  <si>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</si>
  <si>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</si>
  <si>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</si>
  <si>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</si>
  <si>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</si>
  <si>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</si>
  <si>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</si>
  <si>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</si>
  <si>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</si>
  <si>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</si>
  <si>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</si>
  <si>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</si>
  <si>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</si>
  <si>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</si>
  <si>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</si>
  <si>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</si>
  <si>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</si>
  <si>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</si>
  <si>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</si>
  <si>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</si>
  <si>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</si>
  <si>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</si>
  <si>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</si>
  <si>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</si>
  <si>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</si>
  <si>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</si>
  <si>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</si>
  <si>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</si>
  <si>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</si>
  <si>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</si>
  <si>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</si>
  <si>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</si>
  <si>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</si>
  <si>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</si>
  <si>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</si>
  <si>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</si>
  <si>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</si>
  <si>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</si>
  <si>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</si>
  <si>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</si>
  <si>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</si>
  <si>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</si>
  <si>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</si>
  <si>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</si>
  <si>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</si>
  <si>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</si>
  <si>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</si>
  <si>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</si>
  <si>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</si>
  <si>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</si>
  <si>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</si>
  <si>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</si>
  <si>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</si>
  <si>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</si>
  <si>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</si>
  <si>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</si>
  <si>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</si>
  <si>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</si>
  <si>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</si>
  <si>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</si>
  <si>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</si>
  <si>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</si>
  <si>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</si>
  <si>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</si>
  <si>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</si>
  <si>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</si>
  <si>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</si>
  <si>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</si>
  <si>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</si>
  <si>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</si>
  <si>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</si>
  <si>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</si>
  <si>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</si>
  <si>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</si>
  <si>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</si>
  <si>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</si>
  <si>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</si>
  <si>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</si>
  <si>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</si>
  <si>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</si>
  <si>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</si>
  <si>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</si>
  <si>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</si>
  <si>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</si>
  <si>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</si>
  <si>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</si>
  <si>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</si>
  <si>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</si>
  <si>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</si>
  <si>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</si>
  <si>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</si>
  <si>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</si>
  <si>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</si>
  <si>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</si>
  <si>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</si>
  <si>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</si>
  <si>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</si>
  <si>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</si>
  <si>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</si>
  <si>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</si>
  <si>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</si>
  <si>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</si>
  <si>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</si>
  <si>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</si>
  <si>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</si>
  <si>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</si>
  <si>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</si>
  <si>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</si>
  <si>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</si>
  <si>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</si>
  <si>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</si>
  <si>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</si>
  <si>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</si>
  <si>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</si>
  <si>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</si>
  <si>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</si>
  <si>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</si>
  <si>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</si>
  <si>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</si>
  <si>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</si>
  <si>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</si>
  <si>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</si>
  <si>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</si>
  <si>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</si>
  <si>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</si>
  <si>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</si>
  <si>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</si>
  <si>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</si>
  <si>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</si>
  <si>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</si>
  <si>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</si>
  <si>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</si>
  <si>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</si>
  <si>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</si>
  <si>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</si>
  <si>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</si>
  <si>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</si>
  <si>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</si>
  <si>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</si>
  <si>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</si>
  <si>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</si>
  <si>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</si>
  <si>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</si>
  <si>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</si>
  <si>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</si>
  <si>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</si>
  <si>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</si>
  <si>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</si>
  <si>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</si>
  <si>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</si>
  <si>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</si>
  <si>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</si>
  <si>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</si>
  <si>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</si>
  <si>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</si>
  <si>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</si>
  <si>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</si>
  <si>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</si>
  <si>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</si>
  <si>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</si>
  <si>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</si>
  <si>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</si>
  <si>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</si>
  <si>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</si>
  <si>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</si>
  <si>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</si>
  <si>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</si>
  <si>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</si>
  <si>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</si>
  <si>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</si>
  <si>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</si>
  <si>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</si>
  <si>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</si>
  <si>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</si>
  <si>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</si>
  <si>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</si>
  <si>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</si>
  <si>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</si>
  <si>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</si>
  <si>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</si>
  <si>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</si>
  <si>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</si>
  <si>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</si>
  <si>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</si>
  <si>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</si>
  <si>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</si>
  <si>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</si>
  <si>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</si>
  <si>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</si>
  <si>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</si>
  <si>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</si>
  <si>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</si>
  <si>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</si>
  <si>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</si>
  <si>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</si>
  <si>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</si>
  <si>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</si>
  <si>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</si>
  <si>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</si>
  <si>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</si>
  <si>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</si>
  <si>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</si>
  <si>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</si>
  <si>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</si>
  <si>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</si>
  <si>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</si>
  <si>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</si>
  <si>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</si>
  <si>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</si>
  <si>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</si>
  <si>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</si>
  <si>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</si>
  <si>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</si>
  <si>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</si>
  <si>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</si>
  <si>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</si>
  <si>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</si>
  <si>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</si>
  <si>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</si>
  <si>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</si>
  <si>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</si>
  <si>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</si>
  <si>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</si>
  <si>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</si>
  <si>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</si>
  <si>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</si>
  <si>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</si>
  <si>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</si>
  <si>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</si>
  <si>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</si>
  <si>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</si>
  <si>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</si>
  <si>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</si>
  <si>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</si>
  <si>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</si>
  <si>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</si>
  <si>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</si>
  <si>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</si>
  <si>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</si>
  <si>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</si>
  <si>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</si>
  <si>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</si>
  <si>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</si>
  <si>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</si>
  <si>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</si>
  <si>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</si>
  <si>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</si>
  <si>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</si>
  <si>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</si>
  <si>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</si>
  <si>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</si>
  <si>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</si>
  <si>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</si>
  <si>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</si>
  <si>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</si>
  <si>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</si>
  <si>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</si>
  <si>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</si>
  <si>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</si>
  <si>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</si>
  <si>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</si>
  <si>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</si>
  <si>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</si>
  <si>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</si>
  <si>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</si>
  <si>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</si>
  <si>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</si>
  <si>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</si>
  <si>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</si>
  <si>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</si>
  <si>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</si>
  <si>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</si>
  <si>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</si>
  <si>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</si>
  <si>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</si>
  <si>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</si>
  <si>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</si>
  <si>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</si>
  <si>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</si>
  <si>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AC Charger - 7.2 kW UP80J-PMP Single</t>
  </si>
  <si>
    <t>DC-60kW CCS1 + CHAdeMO</t>
  </si>
  <si>
    <t>DC-120kW CCS1 + CHAdeMO</t>
  </si>
  <si>
    <t>DC-160kW CCS1 + CHAdeMO</t>
  </si>
  <si>
    <t>DC-360kW CCS1 + CCS1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</si>
  <si>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</si>
  <si>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</si>
  <si>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</si>
  <si>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</si>
  <si>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</si>
  <si>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</si>
  <si>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</si>
  <si>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</si>
  <si>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</si>
  <si>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</si>
  <si>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</si>
  <si>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</si>
  <si>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</si>
  <si>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</si>
  <si>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</si>
  <si>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</si>
  <si>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</si>
  <si>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</si>
  <si>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</si>
  <si>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</si>
  <si>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</si>
  <si>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</si>
  <si>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</si>
  <si>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</si>
  <si>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</si>
  <si>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</si>
  <si>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</si>
  <si>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</si>
  <si>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</si>
  <si>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</si>
  <si>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</si>
  <si>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</si>
  <si>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</si>
  <si>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</si>
  <si>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</si>
  <si>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</si>
  <si>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</si>
  <si>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</si>
  <si>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</si>
  <si>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</si>
  <si>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</si>
  <si>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</si>
  <si>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</si>
  <si>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</si>
  <si>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</si>
  <si>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</si>
  <si>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</si>
  <si>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</si>
  <si>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</si>
  <si>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</si>
  <si>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</si>
  <si>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</si>
  <si>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</si>
  <si>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</si>
  <si>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</si>
  <si>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</si>
  <si>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Environmental Cleanup Fee</t>
  </si>
  <si>
    <t>Annual Charger Revenue</t>
  </si>
  <si>
    <t xml:space="preserve">CTX Price Book </t>
  </si>
  <si>
    <t>Length Of Contract (years)  [INPUT]</t>
  </si>
  <si>
    <t>Service Plan - all chargers (every year)</t>
  </si>
  <si>
    <t>Warranty - AC chargers (after free period)</t>
  </si>
  <si>
    <t>Warranty - DC chargers (after free period)</t>
  </si>
  <si>
    <t>Free Warranty Years</t>
  </si>
  <si>
    <t>Charger (Parts Only Warranty included: 1 yr AC / 2 yrs DC)</t>
  </si>
  <si>
    <t>Per month (days per year ÷ 12)</t>
  </si>
  <si>
    <t>Rows 4-21 above: single-year view. The app-faithful ten-year model starts at row 33.</t>
  </si>
  <si>
    <t>APP-ALIGNED INPUTS — mirrors the RFC Estimator Revenue tab (lib/proposal/model.ts)</t>
  </si>
  <si>
    <t>Charging-curve taper (avg delivered power ÷ port rating)</t>
  </si>
  <si>
    <t>Average delivered kW per port (de-rated, then tapered)</t>
  </si>
  <si>
    <t>Days per year the site is open</t>
  </si>
  <si>
    <t>kWh per day, steady state</t>
  </si>
  <si>
    <t>kWh per year, steady state</t>
  </si>
  <si>
    <t>Card processing fee (share of gross)</t>
  </si>
  <si>
    <t>Peak $/kWh</t>
  </si>
  <si>
    <t>Off-peak $/kWh</t>
  </si>
  <si>
    <t>Super off-peak $/kWh</t>
  </si>
  <si>
    <t>Peak share of energy dispensed</t>
  </si>
  <si>
    <t>Off-peak share</t>
  </si>
  <si>
    <t>Super off-peak share</t>
  </si>
  <si>
    <t>Blended volumetric $/kWh</t>
  </si>
  <si>
    <t>Customer charge ($/month)</t>
  </si>
  <si>
    <t>Demand charge ($/kW-month)</t>
  </si>
  <si>
    <t>Subscription block size (kW) — 0 means no blocks sold</t>
  </si>
  <si>
    <t>Subscription block price ($/block/month)</t>
  </si>
  <si>
    <t>Peak-to-average concurrency factor</t>
  </si>
  <si>
    <t>Safety margin on subscribed kW</t>
  </si>
  <si>
    <t>Size demand on the full port rating? (Yes / No)</t>
  </si>
  <si>
    <t>Yes</t>
  </si>
  <si>
    <t>Demand charge bills from year</t>
  </si>
  <si>
    <t>Year 1 share of steady state</t>
  </si>
  <si>
    <t>Year 2 share of steady state</t>
  </si>
  <si>
    <t>Year 3 share of steady state</t>
  </si>
  <si>
    <t>Annual growth after the ramp</t>
  </si>
  <si>
    <t>Service contract length (years)</t>
  </si>
  <si>
    <t>Warranty + service after the contract ($/yr) — from the CTX Price Book</t>
  </si>
  <si>
    <t>Network fee after the contract ($/yr)</t>
  </si>
  <si>
    <t>SCENARIO ROLL-UP — site level, as the app's ModelContext sees it</t>
  </si>
  <si>
    <t>DC charging positions</t>
  </si>
  <si>
    <t>DC nameplate (kW)</t>
  </si>
  <si>
    <t>Level 2 positions</t>
  </si>
  <si>
    <t>Nameplate kW per Level 2 position</t>
  </si>
  <si>
    <t>Power per DC position (kW, de-rated)</t>
  </si>
  <si>
    <t>Average delivered power (kW, tapered)</t>
  </si>
  <si>
    <t>Site kWh per day, both streams</t>
  </si>
  <si>
    <t>Site kWh per year, steady state</t>
  </si>
  <si>
    <t>Days per year</t>
  </si>
  <si>
    <t>Retail $/kWh (kWh-weighted)</t>
  </si>
  <si>
    <t>Blended utility $/kWh (kWh-weighted)</t>
  </si>
  <si>
    <t>Card processing fee</t>
  </si>
  <si>
    <t>Subscription block size (kW)</t>
  </si>
  <si>
    <t>Subscription block price ($/month)</t>
  </si>
  <si>
    <t>Size demand on the full port rating?</t>
  </si>
  <si>
    <t>Warranty + service after the contract ($/yr)</t>
  </si>
  <si>
    <t>TEN-YEAR PROJECTION — Standard-Low</t>
  </si>
  <si>
    <t>Ramp</t>
  </si>
  <si>
    <t>kWh</t>
  </si>
  <si>
    <t>kWh/day</t>
  </si>
  <si>
    <t>Avg concurrent ports</t>
  </si>
  <si>
    <t>Peak concurrent ports</t>
  </si>
  <si>
    <t>Peak demand kW</t>
  </si>
  <si>
    <t>Subscribed kW</t>
  </si>
  <si>
    <t>Blocks</t>
  </si>
  <si>
    <t>Subscription $/yr</t>
  </si>
  <si>
    <t>Demand charge $/yr</t>
  </si>
  <si>
    <t>Customer charge $/yr</t>
  </si>
  <si>
    <t>Fixed &amp; demand $/yr</t>
  </si>
  <si>
    <t>Energy $/yr</t>
  </si>
  <si>
    <t>Utility cost $/yr</t>
  </si>
  <si>
    <t>Gross revenue</t>
  </si>
  <si>
    <t>Card fees</t>
  </si>
  <si>
    <t>Service &amp; network</t>
  </si>
  <si>
    <t>Charging profit</t>
  </si>
  <si>
    <t>10-year total</t>
  </si>
  <si>
    <t>All-in $/kWh (energy + fixed and demand)</t>
  </si>
  <si>
    <t>TEN-YEAR PROJECTION — Standard-Med</t>
  </si>
  <si>
    <t>TEN-YEAR PROJECTION — Standard-High</t>
  </si>
  <si>
    <t>TEN-YEAR PROJECTION — Fleet-Low</t>
  </si>
  <si>
    <t>TEN-YEAR PROJECTION — Fleet-Med</t>
  </si>
  <si>
    <t>TEN-YEAR PROJECTION — Fleet-High</t>
  </si>
  <si>
    <t>HEADLINE — the figures the app's Revenue tab shows</t>
  </si>
  <si>
    <t>Year 1 · gross revenue</t>
  </si>
  <si>
    <t>Year 1 · charging profit</t>
  </si>
  <si>
    <t>Year 6 · service &amp; network (contract over)</t>
  </si>
  <si>
    <t>Year 10 · charging profit</t>
  </si>
  <si>
    <t>10-year charging profit</t>
  </si>
  <si>
    <t>10-year kWh dispensed</t>
  </si>
  <si>
    <t>All-in $/kWh across the horizon</t>
  </si>
  <si>
    <t>Synced with lib/proposal/model.ts (computeUsage / computeTariff / computeRevenue) on 2026-09-09.</t>
  </si>
  <si>
    <t>Rows 4-21 are the original single-year view, now on the same taper and days-per-year basis. Rows 34-61 are the app's inputs per charger type; rows 65-91 roll them up to site level; the ten-year tables below are the app's Revenue projection.</t>
  </si>
  <si>
    <t>Known and deliberately unchanged: row 12 hard-codes 30/60/80/90/120/180 kW per port and ignores 'INPUT SHEET'!O10:T10; B8:H8 are literal 20% where every other column reads row 20.</t>
  </si>
  <si>
    <t>UTILITY TARIFF — resolved exactly as the app's findRateRow() (lib/proposal/model.ts:233)</t>
  </si>
  <si>
    <t>Set these two to whatever the app's Setup and Intake tabs carry; every Standard column's rates follow.</t>
  </si>
  <si>
    <t>Rate schedule</t>
  </si>
  <si>
    <t>Library row (0 = no match)</t>
  </si>
  <si>
    <t>Rate data status</t>
  </si>
  <si>
    <t>Overage rate ($/kW)</t>
  </si>
  <si>
    <t>RATE LIBRARY — a copy of lib/ref/rateLibrary.ts; regenerate with this script, do not hand-edit</t>
  </si>
  <si>
    <t>Key</t>
  </si>
  <si>
    <t>Customer $/month</t>
  </si>
  <si>
    <t>Demand $/kW-month</t>
  </si>
  <si>
    <t>Block kW</t>
  </si>
  <si>
    <t>Block $/month</t>
  </si>
  <si>
    <t>Overage $/kW</t>
  </si>
  <si>
    <t>Status</t>
  </si>
  <si>
    <t>PG&amp;E — Pacific Gas and Electric</t>
  </si>
  <si>
    <t>BEV-1</t>
  </si>
  <si>
    <t>VERIFIED</t>
  </si>
  <si>
    <t>BEV-2-S</t>
  </si>
  <si>
    <t>BEV-2-P</t>
  </si>
  <si>
    <t>B-20 (non-EV alternative)</t>
  </si>
  <si>
    <t>PARTIAL</t>
  </si>
  <si>
    <t>SCE — Southern California Edison</t>
  </si>
  <si>
    <t>TOU-EV-7</t>
  </si>
  <si>
    <t>NOT PUBLISHED</t>
  </si>
  <si>
    <t>TOU-EV-8</t>
  </si>
  <si>
    <t>TOU-EV-9</t>
  </si>
  <si>
    <t>SDG&amp;E — San Diego Gas &amp; Electric</t>
  </si>
  <si>
    <t>EV-HP (&lt;=150 kW)</t>
  </si>
  <si>
    <t>EV-HP (&gt;150 kW)</t>
  </si>
  <si>
    <t>EV-HP Primary (&gt;150 kW)</t>
  </si>
  <si>
    <t>Liberty Utilities (CalPeco Electric)</t>
  </si>
  <si>
    <t>TOU A-3 EV</t>
  </si>
  <si>
    <t>TOU A-2 EV</t>
  </si>
  <si>
    <t>Pacific Power (PacifiCorp)</t>
  </si>
  <si>
    <t>AT-48 Large General TOU</t>
  </si>
  <si>
    <t>A-32 General Service</t>
  </si>
  <si>
    <t>Bear Valley Electric Service (BVES)</t>
  </si>
  <si>
    <t>TOU-EV-3</t>
  </si>
  <si>
    <t>SMUD — Sacramento Municipal Utility District</t>
  </si>
  <si>
    <t>EV_SR tier EV3 (&gt;20% util)</t>
  </si>
  <si>
    <t>EV_SR tier EV2 (10-20% util)</t>
  </si>
  <si>
    <t>EV_SR tier EV1 (&lt;10% util)</t>
  </si>
  <si>
    <t>CI-TOD4 (non-EV alternative)</t>
  </si>
  <si>
    <t>LADWP — Los Angeles Dept of Water &amp; Power</t>
  </si>
  <si>
    <t>A-2 (2009 base rates)</t>
  </si>
  <si>
    <t>IID — Imperial Irrigation District</t>
  </si>
  <si>
    <t>TOU-GL</t>
  </si>
  <si>
    <t>Silicon Valley Power (Santa Clara)</t>
  </si>
  <si>
    <t>CB-1 TOU</t>
  </si>
  <si>
    <t>Riverside Public Utilities</t>
  </si>
  <si>
    <t>TOU Large General &amp; Industrial</t>
  </si>
  <si>
    <t>Anaheim Public Utilities</t>
  </si>
  <si>
    <t>Anaheim Schedule TOU</t>
  </si>
  <si>
    <t>Glendale Water and Power</t>
  </si>
  <si>
    <t>PC-1-B TOU</t>
  </si>
  <si>
    <t>Burbank Water and Power</t>
  </si>
  <si>
    <t>XL-TOU</t>
  </si>
  <si>
    <t>Pasadena Water and Power</t>
  </si>
  <si>
    <t>L-1 Secondary</t>
  </si>
  <si>
    <t>Roseville Electric Utility</t>
  </si>
  <si>
    <t>GS-4</t>
  </si>
  <si>
    <t>City of Palo Alto Utilities</t>
  </si>
  <si>
    <t>E-7</t>
  </si>
  <si>
    <t>TID — Turlock Irrigation District</t>
  </si>
  <si>
    <t>Schedule HT</t>
  </si>
  <si>
    <t>Alameda Municipal Power</t>
  </si>
  <si>
    <t>Schedule A-3</t>
  </si>
  <si>
    <t>Azusa Light &amp; Water</t>
  </si>
  <si>
    <t>Azusa Schedule TOU</t>
  </si>
  <si>
    <t>TOU-EV-9 PLACEHOLDER &lt;2kV</t>
  </si>
  <si>
    <t>PLACEHOLDER 2021 VINTAGE</t>
  </si>
  <si>
    <t>TOU-EV-9 PLACEHOLDER 2-50kV</t>
  </si>
  <si>
    <t>TOU-EV-8 PLACEHOLDER</t>
  </si>
  <si>
    <t>Redding Electric Utility</t>
  </si>
  <si>
    <t>E2 — Small Commercial (no demand charge)</t>
  </si>
  <si>
    <t>UNVERIFIED — third-party summary</t>
  </si>
  <si>
    <t>E7/E8 — Large Commercial (demand)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</si>
</sst>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8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2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  <xf numFmtId="43" fontId="30" fillId="0" borderId="0" applyFont="0" applyFill="0" applyBorder="0" applyAlignment="0" applyProtection="0"/>
  </cellStyleXfs>
  <cellXfs count="716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59" borderId="115" xfId="0" applyFont="1" applyFill="1" applyBorder="1" applyAlignment="1">
      <alignment horizontal="left" wrapText="1"/>
    </xf>
    <xf numFmtId="169" fontId="6" fillId="59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0" borderId="15" xfId="0" applyNumberFormat="1" applyFill="1" applyBorder="1"/>
    <xf numFmtId="0" fontId="1" fillId="0" borderId="0" xfId="6" applyFont="1" applyAlignment="1">
      <alignment horizontal="left"/>
    </xf>
    <xf numFmtId="0" fontId="17" fillId="0" borderId="15" xfId="0" applyFont="1" applyBorder="1" applyAlignment="1">
      <alignment horizontal="center" wrapText="1"/>
    </xf>
    <xf numFmtId="0" fontId="70" fillId="61" borderId="112" xfId="0" applyFont="1" applyFill="1" applyBorder="1" applyAlignment="1">
      <alignment horizontal="center" vertical="center" wrapText="1"/>
    </xf>
    <xf numFmtId="0" fontId="11" fillId="0" borderId="0" xfId="0" applyFont="1"/>
    <xf numFmtId="169" fontId="0" fillId="0" borderId="0" xfId="0" applyNumberFormat="1"/>
    <xf numFmtId="0" fontId="34" fillId="0" borderId="0" xfId="0" applyFont="1"/>
    <xf numFmtId="0" fontId="76" fillId="29" borderId="0" xfId="0" applyFont="1" applyFill="1" applyAlignment="1">
      <alignment horizontal="center"/>
    </xf>
    <xf numFmtId="0" fontId="34" fillId="0" borderId="15" xfId="0" applyFont="1" applyBorder="1"/>
    <xf numFmtId="0" fontId="76" fillId="0" borderId="0" xfId="0" applyFont="1" applyAlignment="1">
      <alignment horizontal="center"/>
    </xf>
    <xf numFmtId="0" fontId="76" fillId="0" borderId="0" xfId="21" applyNumberFormat="1" applyFont="1" applyAlignment="1">
      <alignment horizontal="center"/>
    </xf>
    <xf numFmtId="0" fontId="80" fillId="0" borderId="119" xfId="0" applyFont="1" applyBorder="1" applyAlignment="1">
      <alignment wrapText="1"/>
    </xf>
    <xf numFmtId="0" fontId="16" fillId="0" borderId="119" xfId="0" applyFont="1" applyBorder="1" applyAlignment="1">
      <alignment wrapText="1"/>
    </xf>
    <xf numFmtId="8" fontId="80" fillId="0" borderId="119" xfId="0" applyNumberFormat="1" applyFont="1" applyBorder="1" applyAlignment="1">
      <alignment horizontal="center" wrapText="1"/>
    </xf>
    <xf numFmtId="0" fontId="28" fillId="2" borderId="26" xfId="0" applyFont="1" applyFill="1" applyBorder="1" applyAlignment="1">
      <alignment horizontal="center" wrapText="1"/>
    </xf>
    <xf numFmtId="1" fontId="28" fillId="2" borderId="26" xfId="0" applyNumberFormat="1" applyFont="1" applyFill="1" applyBorder="1" applyAlignment="1">
      <alignment horizontal="center" wrapText="1"/>
    </xf>
    <xf numFmtId="2" fontId="28" fillId="2" borderId="26" xfId="0" applyNumberFormat="1" applyFont="1" applyFill="1" applyBorder="1" applyAlignment="1">
      <alignment horizontal="center" wrapText="1"/>
    </xf>
    <xf numFmtId="10" fontId="28" fillId="2" borderId="26" xfId="0" applyNumberFormat="1" applyFont="1" applyFill="1" applyBorder="1" applyAlignment="1">
      <alignment horizontal="center" wrapText="1"/>
    </xf>
    <xf numFmtId="164" fontId="28" fillId="2" borderId="26" xfId="0" applyNumberFormat="1" applyFont="1" applyFill="1" applyBorder="1" applyAlignment="1">
      <alignment horizontal="center" wrapText="1"/>
    </xf>
    <xf numFmtId="166" fontId="28" fillId="2" borderId="26" xfId="0" applyNumberFormat="1" applyFont="1" applyFill="1" applyBorder="1" applyAlignment="1">
      <alignment horizontal="center" wrapText="1"/>
    </xf>
    <xf numFmtId="168" fontId="28" fillId="2" borderId="26" xfId="0" applyNumberFormat="1" applyFont="1" applyFill="1" applyBorder="1" applyAlignment="1">
      <alignment horizontal="center" wrapText="1"/>
    </xf>
    <xf numFmtId="0" fontId="27" fillId="9" borderId="23" xfId="0" applyFont="1" applyFill="1" applyBorder="1" applyAlignment="1">
      <alignment horizontal="center" wrapText="1"/>
    </xf>
    <xf numFmtId="1" fontId="27" fillId="9" borderId="23" xfId="0" applyNumberFormat="1" applyFont="1" applyFill="1" applyBorder="1" applyAlignment="1">
      <alignment horizontal="center" wrapText="1"/>
    </xf>
    <xf numFmtId="2" fontId="27" fillId="9" borderId="23" xfId="0" applyNumberFormat="1" applyFont="1" applyFill="1" applyBorder="1" applyAlignment="1">
      <alignment horizontal="center" wrapText="1"/>
    </xf>
    <xf numFmtId="3" fontId="27" fillId="9" borderId="23" xfId="0" applyNumberFormat="1" applyFont="1" applyFill="1" applyBorder="1" applyAlignment="1">
      <alignment horizontal="center" wrapText="1"/>
    </xf>
    <xf numFmtId="10" fontId="27" fillId="9" borderId="23" xfId="0" applyNumberFormat="1" applyFont="1" applyFill="1" applyBorder="1" applyAlignment="1">
      <alignment horizontal="center" wrapText="1"/>
    </xf>
    <xf numFmtId="164" fontId="27" fillId="9" borderId="23" xfId="0" applyNumberFormat="1" applyFont="1" applyFill="1" applyBorder="1" applyAlignment="1">
      <alignment horizontal="center" wrapText="1"/>
    </xf>
    <xf numFmtId="166" fontId="27" fillId="9" borderId="23" xfId="0" applyNumberFormat="1" applyFont="1" applyFill="1" applyBorder="1" applyAlignment="1">
      <alignment horizontal="center" wrapText="1"/>
    </xf>
    <xf numFmtId="168" fontId="27" fillId="9" borderId="23" xfId="0" applyNumberFormat="1" applyFont="1" applyFill="1" applyBorder="1" applyAlignment="1">
      <alignment horizontal="center" wrapText="1"/>
    </xf>
    <xf numFmtId="1" fontId="16" fillId="0" borderId="23" xfId="0" applyNumberFormat="1" applyFont="1" applyBorder="1" applyAlignment="1">
      <alignment horizontal="center" wrapText="1"/>
    </xf>
    <xf numFmtId="3" fontId="16" fillId="0" borderId="23" xfId="0" applyNumberFormat="1" applyFont="1" applyBorder="1" applyAlignment="1">
      <alignment horizontal="center" wrapText="1"/>
    </xf>
    <xf numFmtId="10" fontId="16" fillId="0" borderId="23" xfId="0" applyNumberFormat="1" applyFont="1" applyBorder="1" applyAlignment="1">
      <alignment horizontal="center" wrapText="1"/>
    </xf>
    <xf numFmtId="166" fontId="16" fillId="0" borderId="23" xfId="0" applyNumberFormat="1" applyFont="1" applyBorder="1" applyAlignment="1">
      <alignment horizontal="center" wrapText="1"/>
    </xf>
    <xf numFmtId="168" fontId="16" fillId="0" borderId="23" xfId="0" applyNumberFormat="1" applyFont="1" applyBorder="1" applyAlignment="1">
      <alignment horizontal="center" wrapText="1"/>
    </xf>
    <xf numFmtId="3" fontId="17" fillId="12" borderId="26" xfId="0" applyNumberFormat="1" applyFont="1" applyFill="1" applyBorder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17" fillId="12" borderId="15" xfId="0" applyFont="1" applyFill="1" applyBorder="1" applyAlignment="1">
      <alignment horizontal="left" vertical="center" wrapText="1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0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169" fontId="76" fillId="0" borderId="0" xfId="0" applyNumberFormat="1" applyFon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1" fillId="17" borderId="32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7" xfId="6" applyBorder="1" applyAlignment="1">
      <alignment horizontal="center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5" xfId="6" applyBorder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</cellXfs>
  <cellStyles count="22">
    <cellStyle name="Comma" xfId="21" builtinId="3"/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21" Type="http://schemas.microsoft.com/office/2017/10/relationships/person" Target="persons/pers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topLeftCell="G1" zoomScale="70" zoomScaleNormal="70" workbookViewId="0">
      <pane ySplit="7" topLeftCell="A8" activePane="bottomLeft" state="frozen"/>
      <selection activeCell="C1" sqref="C1"/>
      <selection pane="bottomLeft" activeCell="O11" sqref="O11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604" t="s">
        <v>0</v>
      </c>
      <c r="D2" s="604"/>
      <c r="E2" s="604"/>
      <c r="F2" s="604"/>
      <c r="G2" s="604"/>
      <c r="H2" s="604"/>
      <c r="I2" s="604"/>
      <c r="J2" s="604"/>
      <c r="K2" s="604"/>
    </row>
    <row r="3" spans="2:20" ht="15" customHeight="1" thickBot="1">
      <c r="C3" s="604"/>
      <c r="D3" s="604"/>
      <c r="E3" s="604"/>
      <c r="F3" s="604"/>
      <c r="G3" s="604"/>
      <c r="H3" s="604"/>
      <c r="I3" s="604"/>
      <c r="J3" s="604"/>
      <c r="K3" s="604"/>
    </row>
    <row r="5" spans="2:20" ht="15" customHeight="1">
      <c r="B5" s="4" t="s">
        <v>1</v>
      </c>
      <c r="M5" s="606" t="s">
        <v>3</v>
      </c>
      <c r="N5" s="606"/>
      <c r="O5" s="606"/>
      <c r="P5" s="606"/>
      <c r="Q5" s="606"/>
      <c r="R5" s="606"/>
      <c r="S5" s="606"/>
      <c r="T5" s="606"/>
    </row>
    <row r="6" spans="2:20" ht="15" customHeight="1">
      <c r="B6" s="5" t="s">
        <v>2</v>
      </c>
      <c r="H6" s="6"/>
      <c r="M6" s="606"/>
      <c r="N6" s="606"/>
      <c r="O6" s="606"/>
      <c r="P6" s="606"/>
      <c r="Q6" s="606"/>
      <c r="R6" s="606"/>
      <c r="S6" s="606"/>
      <c r="T6" s="606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365</v>
      </c>
      <c r="K7" s="7" t="s">
        <v>12</v>
      </c>
      <c r="M7" s="457"/>
      <c r="N7" s="490" t="s">
        <v>13</v>
      </c>
      <c r="O7" s="491" t="s">
        <v>693</v>
      </c>
      <c r="P7" s="492" t="s">
        <v>694</v>
      </c>
      <c r="Q7" s="492" t="s">
        <v>695</v>
      </c>
      <c r="R7" s="492" t="s">
        <v>696</v>
      </c>
      <c r="S7" s="492" t="s">
        <v>697</v>
      </c>
      <c r="T7" s="492" t="s">
        <v>698</v>
      </c>
    </row>
    <row r="8" spans="2:20" ht="15" customHeight="1">
      <c r="C8" s="8" t="str">
        <f t="shared" ref="C8:C37" si="0">IF($E8="","",ROW()-7)</f>
        <v/>
      </c>
      <c r="D8" s="9" t="inlineStr">
        <is>
          <t xml:space="preserve">_kW120</t>
        </is>
      </c>
      <c r="E8" s="9" t="inlineStr">
        <is>
          <t xml:space="preserve">TP5-120-480-1</t>
        </is>
      </c>
      <c r="F8" s="10" t="str">
        <f>IF($E8="","",IFERROR(INDEX('CTX Price Book'!$D:$D,MATCH($E8,'CTX Price Book'!$C:$C,0)),"SKU not found"))</f>
        <v/>
      </c>
      <c r="G8" s="11" t="str">
        <f>IF($E8="","",IFERROR(INDEX('CTX Price Book'!$F:$F,MATCH($E8,'CTX Price Book'!$C:$C,0)),""))</f>
        <v/>
      </c>
      <c r="H8" s="12" t="n">
        <v>0.07</v>
      </c>
      <c r="I8" s="13" t="n">
        <v>6</v>
      </c>
      <c r="J8" s="289" t="str">
        <f>IF(E8="","",I8*G8)</f>
        <v/>
      </c>
      <c r="K8" s="11" t="str">
        <f>IF(OR($G8="",$I8=""),"",J8-(H8*J8))</f>
        <v/>
      </c>
      <c r="M8" s="457" t="s">
        <v>14</v>
      </c>
      <c r="N8" s="493">
        <f>SUMIF($D$8:$D$37,"_L2",$I$8:$I$37)</f>
        <v>0</v>
      </c>
      <c r="O8" s="493">
        <f t="shared" ref="O8:T8" si="1">SUMIF($D$8:$D$37,"_kW"&amp;O10,$I$8:$I$37)</f>
        <v>0</v>
      </c>
      <c r="P8" s="493">
        <f t="shared" si="1"/>
        <v>0</v>
      </c>
      <c r="Q8" s="493">
        <f t="shared" si="1"/>
        <v>0</v>
      </c>
      <c r="R8" s="493">
        <f t="shared" si="1"/>
        <v>0</v>
      </c>
      <c r="S8" s="493">
        <f t="shared" si="1"/>
        <v>0</v>
      </c>
      <c r="T8" s="493">
        <f t="shared" si="1"/>
        <v>0</v>
      </c>
    </row>
    <row r="9" spans="2:20" ht="15" customHeight="1">
      <c r="C9" s="8" t="str">
        <f t="shared" si="0"/>
        <v/>
      </c>
      <c r="D9" s="9"/>
      <c r="E9" s="9"/>
      <c r="F9" s="10" t="str">
        <f>IF($E9="","",IFERROR(INDEX('CTX Price Book'!$D:$D,MATCH($E9,'CTX Price Book'!$C:$C,0)),"SKU not found"))</f>
        <v/>
      </c>
      <c r="G9" s="11" t="str">
        <f>IF($E9="","",IFERROR(INDEX('CTX Price Book'!$F:$F,MATCH($E9,'CTX Price Book'!$C:$C,0)),""))</f>
        <v/>
      </c>
      <c r="H9" s="12"/>
      <c r="I9" s="13"/>
      <c r="J9" s="289" t="str">
        <f t="shared" ref="J9:J37" si="2">IF(E9="","",I9*G9)</f>
        <v/>
      </c>
      <c r="K9" s="11" t="str">
        <f t="shared" ref="K9:K37" si="3">IF(OR($G9="",$I9=""),"",J9-(H9*J9))</f>
        <v/>
      </c>
      <c r="M9" s="457" t="s">
        <v>15</v>
      </c>
      <c r="N9" s="494">
        <f>SUMPRODUCT(($D$8:$D$37="_L2")*(1+ISNUMBER(SEARCH("dual",$F$8:$F$37&amp;"")))*IF($I$8:$I$37="",0,$I$8:$I$37))</f>
        <v>0</v>
      </c>
      <c r="O9" s="494">
        <f t="shared" ref="O9:T9" si="4">O8*2</f>
        <v>0</v>
      </c>
      <c r="P9" s="495">
        <f t="shared" si="4"/>
        <v>0</v>
      </c>
      <c r="Q9" s="495">
        <f t="shared" si="4"/>
        <v>0</v>
      </c>
      <c r="R9" s="495">
        <f t="shared" si="4"/>
        <v>0</v>
      </c>
      <c r="S9" s="495">
        <f t="shared" si="4"/>
        <v>0</v>
      </c>
      <c r="T9" s="495">
        <f t="shared" si="4"/>
        <v>0</v>
      </c>
    </row>
    <row r="10" spans="2:20" ht="21" customHeight="1">
      <c r="C10" s="8" t="str">
        <f t="shared" si="0"/>
        <v/>
      </c>
      <c r="D10" s="9"/>
      <c r="E10" s="9"/>
      <c r="F10" s="10" t="str">
        <f>IF($E10="","",IFERROR(INDEX('CTX Price Book'!$D:$D,MATCH($E10,'CTX Price Book'!$C:$C,0)),"SKU not found"))</f>
        <v/>
      </c>
      <c r="G10" s="11" t="str">
        <f>IF($E10="","",IFERROR(INDEX('CTX Price Book'!$F:$F,MATCH($E10,'CTX Price Book'!$C:$C,0)),""))</f>
        <v/>
      </c>
      <c r="H10" s="12"/>
      <c r="I10" s="13"/>
      <c r="J10" s="289" t="str">
        <f t="shared" si="2"/>
        <v/>
      </c>
      <c r="K10" s="11" t="str">
        <f t="shared" si="3"/>
        <v/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 t="n">
        <v>0.98</v>
      </c>
      <c r="O11" s="457">
        <f>N11</f>
        <v>0.98</v>
      </c>
      <c r="P11" s="493">
        <f>N11</f>
        <v>0.98</v>
      </c>
      <c r="Q11" s="493">
        <f>$N$11</f>
        <v>0.98</v>
      </c>
      <c r="R11" s="493">
        <f>$N$11</f>
        <v>0.98</v>
      </c>
      <c r="S11" s="493">
        <f>$N$11</f>
        <v>0.98</v>
      </c>
      <c r="T11" s="493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603" t="s">
        <v>732</v>
      </c>
      <c r="N16" s="603"/>
      <c r="O16" s="603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729</v>
      </c>
      <c r="N17" s="607"/>
      <c r="O17" s="607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731</v>
      </c>
      <c r="N18" s="607"/>
      <c r="O18" s="607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394</v>
      </c>
      <c r="N19" s="610"/>
      <c r="O19" s="611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610"/>
      <c r="O20" s="611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608" t="s">
        <v>746</v>
      </c>
      <c r="N21" s="607"/>
      <c r="O21" s="607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608"/>
      <c r="N22" s="607"/>
      <c r="O22" s="607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608"/>
      <c r="N23" s="607"/>
      <c r="O23" s="607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608"/>
      <c r="N24" s="607"/>
      <c r="O24" s="607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608"/>
      <c r="N25" s="607"/>
      <c r="O25" s="607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608"/>
      <c r="N26" s="607"/>
      <c r="O26" s="607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608" t="s">
        <v>745</v>
      </c>
      <c r="N27" s="609"/>
      <c r="O27" s="609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608"/>
      <c r="N28" s="609"/>
      <c r="O28" s="609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608"/>
      <c r="N29" s="609"/>
      <c r="O29" s="609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608"/>
      <c r="N30" s="609"/>
      <c r="O30" s="609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608"/>
      <c r="N31" s="609"/>
      <c r="O31" s="609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608"/>
      <c r="N32" s="609"/>
      <c r="O32" s="609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608"/>
      <c r="N33" s="609"/>
      <c r="O33" s="609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608"/>
      <c r="N34" s="609"/>
      <c r="O34" s="609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608"/>
      <c r="N35" s="609"/>
      <c r="O35" s="609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608"/>
      <c r="N36" s="609"/>
      <c r="O36" s="609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608"/>
      <c r="N37" s="609"/>
      <c r="O37" s="609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>
        <f>SUM(J8:J37)</f>
        <v>0</v>
      </c>
      <c r="K38" s="16">
        <f>SUM(K8:K37)</f>
        <v>0</v>
      </c>
    </row>
    <row r="40" spans="2:15" ht="15" customHeight="1">
      <c r="B40" s="4" t="s">
        <v>21</v>
      </c>
    </row>
    <row r="41" spans="2:15" ht="15" customHeight="1">
      <c r="B41" s="605" t="s">
        <v>734</v>
      </c>
      <c r="C41" s="605"/>
      <c r="D41" s="605"/>
      <c r="E41" s="605"/>
      <c r="F41" s="605"/>
      <c r="G41" s="605"/>
      <c r="H41" s="605"/>
      <c r="I41" s="605"/>
      <c r="J41" s="605"/>
      <c r="K41" s="605"/>
    </row>
    <row r="42" spans="2:15" ht="15" customHeight="1">
      <c r="B42" s="605"/>
      <c r="C42" s="605"/>
      <c r="D42" s="605"/>
      <c r="E42" s="605"/>
      <c r="F42" s="605"/>
      <c r="G42" s="605"/>
      <c r="H42" s="605"/>
      <c r="I42" s="605"/>
      <c r="J42" s="605"/>
      <c r="K42" s="605"/>
    </row>
    <row r="43" spans="2:15" ht="15" customHeight="1">
      <c r="B43" s="605"/>
      <c r="C43" s="605"/>
      <c r="D43" s="605"/>
      <c r="E43" s="605"/>
      <c r="F43" s="605"/>
      <c r="G43" s="605"/>
      <c r="H43" s="605"/>
      <c r="I43" s="605"/>
      <c r="J43" s="605"/>
      <c r="K43" s="605"/>
    </row>
    <row r="44" spans="2:15" ht="15" customHeight="1">
      <c r="B44" s="605"/>
      <c r="C44" s="605"/>
      <c r="D44" s="605"/>
      <c r="E44" s="605"/>
      <c r="F44" s="605"/>
      <c r="G44" s="605"/>
      <c r="H44" s="605"/>
      <c r="I44" s="605"/>
      <c r="J44" s="605"/>
      <c r="K44" s="605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D3" sqref="D3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615" t="s">
        <v>52</v>
      </c>
      <c r="C1" s="615"/>
      <c r="D1" s="615"/>
      <c r="E1" s="615"/>
      <c r="G1" s="14" t="s">
        <v>53</v>
      </c>
      <c r="H1" s="47">
        <v>1</v>
      </c>
    </row>
    <row r="2" spans="2:8" ht="15" customHeight="1">
      <c r="B2" s="3" t="s">
        <v>755</v>
      </c>
      <c r="C2" s="48" t="s">
        <v>54</v>
      </c>
      <c r="D2" s="48" t="s">
        <v>55</v>
      </c>
      <c r="E2" s="48" t="s">
        <v>56</v>
      </c>
    </row>
    <row r="3" spans="2:8" ht="15" customHeight="1">
      <c r="B3" s="49" t="str">
        <f>IF('INPUT SHEET'!E8="","",'INPUT SHEET'!F8)</f>
        <v/>
      </c>
      <c r="C3" s="50" t="str">
        <f>IF('INPUT SHEET'!E8="","",'INPUT SHEET'!I8)</f>
        <v/>
      </c>
      <c r="D3" s="51" t="str">
        <f>IF('INPUT SHEET'!E8="","",'INPUT SHEET'!K8*$H$1 /'INPUT SHEET'!I8*$H$1)</f>
        <v/>
      </c>
      <c r="E3" s="51" t="str">
        <f>IF(B3="","",C3*D3)</f>
        <v/>
      </c>
    </row>
    <row r="4" spans="2:8" ht="15" customHeight="1">
      <c r="B4" s="49" t="str">
        <f>IF('INPUT SHEET'!E9="","",'INPUT SHEET'!F9)</f>
        <v/>
      </c>
      <c r="C4" s="50" t="str">
        <f>IF('INPUT SHEET'!E9="","",'INPUT SHEET'!I9)</f>
        <v/>
      </c>
      <c r="D4" s="51" t="str">
        <f>IF('INPUT SHEET'!E9="","",'INPUT SHEET'!K9*$H$1 /'INPUT SHEET'!I9*$H$1)</f>
        <v/>
      </c>
      <c r="E4" s="51" t="str">
        <f t="shared" ref="E4:E12" si="0">IF(B4="","",C4*D4)</f>
        <v/>
      </c>
    </row>
    <row r="5" spans="2:8" ht="15" customHeight="1">
      <c r="B5" s="49" t="str">
        <f>IF('INPUT SHEET'!E10="","",'INPUT SHEET'!F10)</f>
        <v/>
      </c>
      <c r="C5" s="50" t="str">
        <f>IF('INPUT SHEET'!E10="","",'INPUT SHEET'!I10)</f>
        <v/>
      </c>
      <c r="D5" s="51" t="str">
        <f>IF('INPUT SHEET'!E10="","",'INPUT SHEET'!K10*$H$1 /'INPUT SHEET'!I10*$H$1)</f>
        <v/>
      </c>
      <c r="E5" s="51" t="str">
        <f t="shared" si="0"/>
        <v/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612" t="s">
        <v>57</v>
      </c>
      <c r="C13" s="612"/>
      <c r="D13" s="612"/>
      <c r="E13" s="52">
        <f>'Internal Summary'!D4</f>
        <v>0</v>
      </c>
    </row>
    <row r="14" spans="2:8">
      <c r="B14" s="3" t="s">
        <v>34</v>
      </c>
      <c r="C14" s="48" t="s">
        <v>54</v>
      </c>
      <c r="D14" s="48" t="s">
        <v>55</v>
      </c>
      <c r="E14" s="48" t="s">
        <v>366</v>
      </c>
    </row>
    <row r="15" spans="2:8">
      <c r="B15" s="53" t="s">
        <v>35</v>
      </c>
      <c r="C15" s="50">
        <f>IF(N(D15)=0,0,1)</f>
        <v>0</v>
      </c>
      <c r="D15" s="51">
        <f>'Internal Summary'!D14</f>
        <v>0</v>
      </c>
      <c r="E15" s="51">
        <f t="shared" ref="E15:E23" si="1">C15*D15</f>
        <v>0</v>
      </c>
    </row>
    <row r="16" spans="2:8">
      <c r="B16" s="53" t="s">
        <v>36</v>
      </c>
      <c r="C16" s="50">
        <f t="shared" ref="C16:C23" si="2">IF(N(D16)=0,0,1)</f>
        <v>0</v>
      </c>
      <c r="D16" s="51">
        <f>'Internal Summary'!D15</f>
        <v>0</v>
      </c>
      <c r="E16" s="51">
        <f t="shared" si="1"/>
        <v>0</v>
      </c>
    </row>
    <row r="17" spans="2:6" ht="15" customHeight="1">
      <c r="B17" s="53" t="s">
        <v>37</v>
      </c>
      <c r="C17" s="50">
        <f t="shared" si="2"/>
        <v>0</v>
      </c>
      <c r="D17" s="51">
        <f>'Internal Summary'!D16</f>
        <v>0</v>
      </c>
      <c r="E17" s="51">
        <f t="shared" si="1"/>
        <v>0</v>
      </c>
    </row>
    <row r="18" spans="2:6" ht="15" customHeight="1">
      <c r="B18" s="53" t="s">
        <v>38</v>
      </c>
      <c r="C18" s="50">
        <f t="shared" si="2"/>
        <v>0</v>
      </c>
      <c r="D18" s="51">
        <f>'Internal Summary'!D17</f>
        <v>0</v>
      </c>
      <c r="E18" s="51">
        <f t="shared" si="1"/>
        <v>0</v>
      </c>
    </row>
    <row r="19" spans="2:6" ht="15" customHeight="1">
      <c r="B19" s="53" t="s">
        <v>58</v>
      </c>
      <c r="C19" s="50">
        <f t="shared" si="2"/>
        <v>0</v>
      </c>
      <c r="D19" s="51">
        <f>'Internal Summary'!D22</f>
        <v>0</v>
      </c>
      <c r="E19" s="51">
        <f t="shared" si="1"/>
        <v>0</v>
      </c>
    </row>
    <row r="20" spans="2:6" ht="15" customHeight="1">
      <c r="B20" s="53" t="s">
        <v>59</v>
      </c>
      <c r="C20" s="50">
        <f t="shared" si="2"/>
        <v>0</v>
      </c>
      <c r="D20" s="51">
        <f>'Internal Summary'!D8</f>
        <v>0</v>
      </c>
      <c r="E20" s="51">
        <f t="shared" si="1"/>
        <v>0</v>
      </c>
    </row>
    <row r="21" spans="2:6" ht="15" customHeight="1">
      <c r="B21" s="53" t="s">
        <v>45</v>
      </c>
      <c r="C21" s="50">
        <f t="shared" si="2"/>
        <v>0</v>
      </c>
      <c r="D21" s="51">
        <f>'Internal Summary'!D24</f>
        <v>0</v>
      </c>
      <c r="E21" s="51">
        <f t="shared" si="1"/>
        <v>0</v>
      </c>
    </row>
    <row r="22" spans="2:6" ht="15" customHeight="1">
      <c r="B22" s="53" t="s">
        <v>60</v>
      </c>
      <c r="C22" s="50">
        <f t="shared" si="2"/>
        <v>0</v>
      </c>
      <c r="D22" s="51">
        <f>'Internal Summary'!D26</f>
        <v>0</v>
      </c>
      <c r="E22" s="51">
        <f t="shared" si="1"/>
        <v>0</v>
      </c>
    </row>
    <row r="23" spans="2:6" ht="15" customHeight="1">
      <c r="B23" s="53" t="s">
        <v>61</v>
      </c>
      <c r="C23" s="50">
        <f t="shared" si="2"/>
        <v>0</v>
      </c>
      <c r="D23" s="51">
        <f>SUM('Internal Summary'!D18:D21,'Internal Summary'!D23,'Internal Summary'!D25:D27) -'Internal Summary'!D26</f>
        <v>0</v>
      </c>
      <c r="E23" s="51">
        <f t="shared" si="1"/>
        <v>0</v>
      </c>
      <c r="F23" s="30"/>
    </row>
    <row r="24" spans="2:6" ht="15" customHeight="1">
      <c r="B24" s="612" t="s">
        <v>62</v>
      </c>
      <c r="C24" s="612"/>
      <c r="D24" s="612"/>
      <c r="E24" s="52">
        <f>SUM(E15:E23)</f>
        <v>0</v>
      </c>
    </row>
    <row r="25" spans="2:6" ht="15" customHeight="1">
      <c r="B25" s="3" t="s">
        <v>63</v>
      </c>
      <c r="C25" s="48" t="s">
        <v>54</v>
      </c>
      <c r="D25" s="48" t="s">
        <v>55</v>
      </c>
      <c r="E25" s="48" t="s">
        <v>56</v>
      </c>
    </row>
    <row r="26" spans="2:6" ht="15" customHeight="1">
      <c r="B26" s="53" t="s">
        <v>64</v>
      </c>
      <c r="C26" s="50">
        <f>'INPUT SHEET'!N9</f>
        <v>0</v>
      </c>
      <c r="D26" s="51">
        <v>39.99</v>
      </c>
      <c r="E26" s="51">
        <f>C26*D26*12</f>
        <v>0</v>
      </c>
    </row>
    <row r="27" spans="2:6" ht="15" customHeight="1">
      <c r="B27" s="53" t="s">
        <v>681</v>
      </c>
      <c r="C27" s="50">
        <f>'Internal Summary'!G4</f>
        <v>5</v>
      </c>
      <c r="E27" s="462">
        <f>C27*E26</f>
        <v>0</v>
      </c>
    </row>
    <row r="28" spans="2:6" ht="15" customHeight="1">
      <c r="B28" s="461"/>
      <c r="C28" s="460"/>
      <c r="D28" s="466" t="s">
        <v>682</v>
      </c>
      <c r="E28" s="465">
        <f>'Internal Summary'!D6</f>
        <v>0</v>
      </c>
    </row>
    <row r="29" spans="2:6" ht="15" customHeight="1">
      <c r="D29" s="463" t="s">
        <v>65</v>
      </c>
      <c r="E29" s="464">
        <f>'Internal Summary'!D6 +E24+E13</f>
        <v>0</v>
      </c>
    </row>
    <row r="30" spans="2:6" ht="15" customHeight="1">
      <c r="D30" s="54" t="s">
        <v>66</v>
      </c>
      <c r="E30" s="56">
        <f>'Internal Summary'!D7</f>
        <v>0</v>
      </c>
    </row>
    <row r="31" spans="2:6" ht="15" customHeight="1">
      <c r="D31" s="54" t="s">
        <v>67</v>
      </c>
      <c r="E31" s="56">
        <f>0</f>
        <v>0</v>
      </c>
    </row>
    <row r="32" spans="2:6" ht="15" customHeight="1">
      <c r="D32" s="54" t="s">
        <v>56</v>
      </c>
      <c r="E32" s="55">
        <f>E29+E30</f>
        <v>0</v>
      </c>
    </row>
    <row r="34" spans="2:5" ht="15" customHeight="1">
      <c r="B34" s="615" t="s">
        <v>68</v>
      </c>
      <c r="C34" s="615"/>
      <c r="D34" s="615"/>
      <c r="E34" s="615"/>
    </row>
    <row r="35" spans="2:5" ht="15" customHeight="1">
      <c r="B35" s="53" t="s">
        <v>69</v>
      </c>
      <c r="C35" s="57">
        <f>'INPUT SHEET CPM'!P11</f>
        <v>30</v>
      </c>
      <c r="D35" s="51">
        <v>2772.5</v>
      </c>
      <c r="E35" s="51">
        <f>C35*D35</f>
        <v>83175</v>
      </c>
    </row>
    <row r="36" spans="2:5" ht="15" customHeight="1">
      <c r="B36" s="612" t="s">
        <v>70</v>
      </c>
      <c r="C36" s="612"/>
      <c r="D36" s="612"/>
      <c r="E36" s="52">
        <f>IF('Internal Summary'!D28&lt;&gt;"", 'Internal Summary'!D28, E35)</f>
        <v>0</v>
      </c>
    </row>
    <row r="37" spans="2:5" ht="15" customHeight="1">
      <c r="B37" s="3" t="s">
        <v>71</v>
      </c>
      <c r="C37" s="48" t="s">
        <v>54</v>
      </c>
      <c r="D37" s="48" t="s">
        <v>55</v>
      </c>
      <c r="E37" s="48" t="s">
        <v>56</v>
      </c>
    </row>
    <row r="38" spans="2:5" ht="15" customHeight="1">
      <c r="B38" s="53" t="s">
        <v>751</v>
      </c>
      <c r="C38" s="50">
        <f>'Internal Summary'!G11</f>
        <v>5</v>
      </c>
      <c r="D38" s="51">
        <f>'Internal Summary'!H11</f>
        <v>0</v>
      </c>
      <c r="E38" s="51">
        <f>C38*D38</f>
        <v>0</v>
      </c>
    </row>
    <row r="39" spans="2:5" ht="15" customHeight="1">
      <c r="B39" s="53" t="s">
        <v>752</v>
      </c>
      <c r="C39" s="50">
        <f>'Internal Summary'!G12</f>
        <v>4</v>
      </c>
      <c r="D39" s="51">
        <f>'Internal Summary'!H12</f>
        <v>0</v>
      </c>
      <c r="E39" s="51">
        <f>C39*D39</f>
        <v>0</v>
      </c>
    </row>
    <row r="40" spans="2:5" ht="15" customHeight="1">
      <c r="B40" s="561" t="s">
        <v>753</v>
      </c>
      <c r="C40" s="560">
        <f>'Internal Summary'!G13</f>
        <v>3</v>
      </c>
      <c r="D40">
        <f>'Internal Summary'!H13</f>
        <v>0</v>
      </c>
      <c r="E40" s="51">
        <f>C40*D40</f>
        <v>0</v>
      </c>
    </row>
    <row r="41" spans="2:5" ht="15" customHeight="1">
      <c r="B41" s="612" t="s">
        <v>56</v>
      </c>
      <c r="C41" s="612"/>
      <c r="D41" s="612"/>
      <c r="E41" s="481">
        <f>'Internal Summary'!D5+E36</f>
        <v>0</v>
      </c>
    </row>
    <row r="42" spans="2:5">
      <c r="B42" t="s">
        <v>742</v>
      </c>
      <c r="C42">
        <f>'Internal Summary'!$G$16</f>
        <v>5</v>
      </c>
    </row>
    <row r="43" spans="2:5">
      <c r="B43" s="613" t="s">
        <v>72</v>
      </c>
      <c r="C43" s="613"/>
      <c r="D43" s="613"/>
      <c r="E43" s="55">
        <f>E32</f>
        <v>0</v>
      </c>
    </row>
    <row r="44" spans="2:5">
      <c r="B44" s="613" t="s">
        <v>73</v>
      </c>
      <c r="C44" s="613"/>
      <c r="D44" s="613"/>
      <c r="E44" s="55">
        <f>E41</f>
        <v>0</v>
      </c>
    </row>
    <row r="45" spans="2:5">
      <c r="B45" s="614" t="s">
        <v>20</v>
      </c>
      <c r="C45" s="614"/>
      <c r="D45" s="614"/>
      <c r="E45" s="58">
        <f>E43+E44</f>
        <v>0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14" sqref="B14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7"/>
      <c r="C1" s="18"/>
    </row>
    <row r="2" spans="1:9" ht="15" customHeight="1" thickBot="1">
      <c r="B2" s="19" t="s">
        <v>367</v>
      </c>
      <c r="C2" s="21" t="s">
        <v>22</v>
      </c>
      <c r="D2" s="20" t="s">
        <v>23</v>
      </c>
      <c r="F2" s="458" t="s">
        <v>63</v>
      </c>
      <c r="G2" s="458" t="s">
        <v>54</v>
      </c>
      <c r="H2" s="458" t="s">
        <v>55</v>
      </c>
      <c r="I2" s="458" t="s">
        <v>56</v>
      </c>
    </row>
    <row r="3" spans="1:9" ht="15" customHeight="1" thickBot="1">
      <c r="A3" s="22" t="s">
        <v>24</v>
      </c>
      <c r="B3" s="120">
        <f>SUM(B4:B7)</f>
        <v>0</v>
      </c>
      <c r="C3" s="126">
        <f>IF((B3)=0,0,1-D3/(B3))</f>
        <v>0</v>
      </c>
      <c r="D3" s="122">
        <f>SUM(D4:D7)</f>
        <v>0</v>
      </c>
      <c r="F3" s="457" t="s">
        <v>64</v>
      </c>
      <c r="G3" s="457">
        <f>SUM('INPUT SHEET'!N9:T9)</f>
        <v>0</v>
      </c>
      <c r="H3" s="457">
        <v>39.99</v>
      </c>
      <c r="I3" s="467">
        <f>H3*G3*12</f>
        <v>0</v>
      </c>
    </row>
    <row r="4" spans="1:9" ht="15" customHeight="1">
      <c r="A4" s="130" t="s">
        <v>25</v>
      </c>
      <c r="B4" s="131">
        <f>'INPUT SHEET'!J38</f>
        <v>0</v>
      </c>
      <c r="C4" s="135">
        <f>IF(B4=0,0,(100 -('INPUT SHEET'!K38/'INPUT SHEET'!J38 *100)))*0.01</f>
        <v>0</v>
      </c>
      <c r="D4" s="132">
        <f>(B4)-((B4)*C4)</f>
        <v>0</v>
      </c>
      <c r="F4" s="457" t="s">
        <v>681</v>
      </c>
      <c r="G4" s="457">
        <v>5</v>
      </c>
      <c r="H4" s="457"/>
      <c r="I4" s="457"/>
    </row>
    <row r="5" spans="1:9" ht="15" customHeight="1">
      <c r="A5" s="482" t="s">
        <v>691</v>
      </c>
      <c r="B5" s="565">
        <f>I14</f>
        <v>0</v>
      </c>
      <c r="C5" s="28">
        <v>0</v>
      </c>
      <c r="D5" s="123">
        <f>(B5)-((B5)*C5)</f>
        <v>0</v>
      </c>
      <c r="H5" s="457" t="s">
        <v>65</v>
      </c>
      <c r="I5" s="459">
        <f>G4*I3</f>
        <v>0</v>
      </c>
    </row>
    <row r="6" spans="1:9" ht="15" customHeight="1">
      <c r="A6" s="26" t="s">
        <v>26</v>
      </c>
      <c r="B6" s="468">
        <f>I5</f>
        <v>0</v>
      </c>
      <c r="C6" s="28">
        <v>0</v>
      </c>
      <c r="D6" s="123">
        <f t="shared" ref="D6:D7" si="0">(B6)-((B6)*C6)</f>
        <v>0</v>
      </c>
    </row>
    <row r="7" spans="1:9" ht="15" customHeight="1" thickBot="1">
      <c r="A7" s="31" t="s">
        <v>28</v>
      </c>
      <c r="B7" s="121">
        <f>D4*7.25%</f>
        <v>0</v>
      </c>
      <c r="C7" s="28">
        <v>0</v>
      </c>
      <c r="D7" s="125">
        <f t="shared" si="0"/>
        <v>0</v>
      </c>
    </row>
    <row r="8" spans="1:9" ht="15" customHeight="1" thickBot="1">
      <c r="A8" s="33" t="s">
        <v>29</v>
      </c>
      <c r="B8" s="23">
        <f>SUM(B9:B12)</f>
        <v>0</v>
      </c>
      <c r="C8" s="24">
        <f>IF((B8)=0,0,1-D8/(B8))</f>
        <v>0</v>
      </c>
      <c r="D8" s="25">
        <f>SUM(D9:D12)</f>
        <v>0</v>
      </c>
    </row>
    <row r="9" spans="1:9">
      <c r="A9" s="130" t="s">
        <v>30</v>
      </c>
      <c r="B9" s="134">
        <v>0</v>
      </c>
      <c r="C9" s="285">
        <v>0</v>
      </c>
      <c r="D9" s="132">
        <f t="shared" ref="D9:D27" si="1">(B9)-((B9)*C9)</f>
        <v>0</v>
      </c>
      <c r="G9" s="616" t="s">
        <v>740</v>
      </c>
      <c r="H9" s="616"/>
      <c r="I9" s="616"/>
    </row>
    <row r="10" spans="1:9">
      <c r="A10" s="26" t="s">
        <v>31</v>
      </c>
      <c r="B10" s="27">
        <v>0</v>
      </c>
      <c r="C10" s="286">
        <v>0</v>
      </c>
      <c r="D10" s="123">
        <f t="shared" si="1"/>
        <v>0</v>
      </c>
      <c r="G10" s="457" t="s">
        <v>54</v>
      </c>
      <c r="H10" s="457" t="s">
        <v>364</v>
      </c>
      <c r="I10" s="574" t="s">
        <v>56</v>
      </c>
    </row>
    <row r="11" spans="1:9">
      <c r="A11" s="26" t="s">
        <v>739</v>
      </c>
      <c r="B11" s="27">
        <v>0</v>
      </c>
      <c r="C11" s="286">
        <v>0</v>
      </c>
      <c r="D11" s="123">
        <f t="shared" si="1"/>
        <v>0</v>
      </c>
      <c r="F11" s="457" t="s">
        <v>751</v>
      </c>
      <c r="G11" s="562">
        <f>$G$16</f>
        <v>5</v>
      </c>
      <c r="H11" s="563">
        <f>SUMPRODUCT('CTX Price Book'!$C$135:$C$144,'CTX Price Book'!$E$135:$E$144)</f>
        <v>0</v>
      </c>
      <c r="I11" s="563">
        <f>G11*H11</f>
        <v>0</v>
      </c>
    </row>
    <row r="12" spans="1:9" ht="15" customHeight="1" thickBot="1">
      <c r="A12" s="31" t="s">
        <v>33</v>
      </c>
      <c r="B12" s="32">
        <v>0</v>
      </c>
      <c r="C12" s="287">
        <v>0</v>
      </c>
      <c r="D12" s="125">
        <f t="shared" si="1"/>
        <v>0</v>
      </c>
      <c r="F12" s="457" t="s">
        <v>752</v>
      </c>
      <c r="G12" s="562">
        <f>MAX(0,$G$16-'CTX Price Book'!$I$135)</f>
        <v>4</v>
      </c>
      <c r="H12" s="563">
        <f>SUMPRODUCT('CTX Price Book'!$C$135:$C$138,'CTX Price Book'!$D$135:$D$138)</f>
        <v>0</v>
      </c>
      <c r="I12" s="563">
        <f>G12*H12</f>
        <v>0</v>
      </c>
    </row>
    <row r="13" spans="1:9" ht="15" customHeight="1" thickBot="1">
      <c r="A13" s="133" t="s">
        <v>34</v>
      </c>
      <c r="B13" s="288">
        <f>SUM(B14:B27)</f>
        <v>0</v>
      </c>
      <c r="C13" s="36">
        <f>IF((B13)=0,0,1-D13/(B13))</f>
        <v>0</v>
      </c>
      <c r="D13" s="124">
        <f>SUM(D14:D27)</f>
        <v>0</v>
      </c>
      <c r="F13" s="457" t="s">
        <v>753</v>
      </c>
      <c r="G13" s="564">
        <f>MAX(0,$G$16-'CTX Price Book'!$I$139)</f>
        <v>3</v>
      </c>
      <c r="H13" s="457">
        <f>SUMPRODUCT('CTX Price Book'!$C$139:$C$144,'CTX Price Book'!$D$139:$D$144)</f>
        <v>0</v>
      </c>
      <c r="I13" s="457">
        <f>G13*H13</f>
        <v>0</v>
      </c>
    </row>
    <row r="14" spans="1:9">
      <c r="A14" s="130" t="s">
        <v>35</v>
      </c>
      <c r="B14" s="27">
        <f>IF(ROUND('Costs Internal'!G15,2)=88919.7, 0, 'Costs Internal'!G3)</f>
        <v>0</v>
      </c>
      <c r="C14" s="28">
        <v>0</v>
      </c>
      <c r="D14" s="136">
        <f t="shared" si="1"/>
        <v>0</v>
      </c>
      <c r="F14" s="607" t="s">
        <v>56</v>
      </c>
      <c r="G14" s="607"/>
      <c r="H14" s="607"/>
      <c r="I14" s="566">
        <f>SUM(I11:I13)</f>
        <v>0</v>
      </c>
    </row>
    <row r="15" spans="1:9" ht="15" customHeight="1">
      <c r="A15" s="26" t="s">
        <v>36</v>
      </c>
      <c r="B15" s="27">
        <f>IF(ROUND('Costs Internal'!G15,2)=88919.7, 0, 'Costs Internal'!G4)</f>
        <v>0</v>
      </c>
      <c r="C15" s="28">
        <v>0</v>
      </c>
      <c r="D15" s="29">
        <f t="shared" si="1"/>
        <v>0</v>
      </c>
    </row>
    <row r="16" spans="1:9" ht="15" customHeight="1">
      <c r="A16" s="26" t="s">
        <v>37</v>
      </c>
      <c r="B16" s="27">
        <f>IF(ROUND('Costs Internal'!G15,2)=88919.7, 0, 'Costs Internal'!G5)</f>
        <v>0</v>
      </c>
      <c r="C16" s="28">
        <v>0</v>
      </c>
      <c r="D16" s="29">
        <f t="shared" si="1"/>
        <v>0</v>
      </c>
      <c r="F16" s="572" t="s">
        <v>750</v>
      </c>
      <c r="G16" s="573">
        <v>5</v>
      </c>
    </row>
    <row r="17" spans="1:14" ht="15" customHeight="1">
      <c r="A17" s="26" t="s">
        <v>38</v>
      </c>
      <c r="B17" s="27">
        <f>IF(ROUND('Costs Internal'!G15,2)=88919.7, 0, 'Costs Internal'!G6)</f>
        <v>0</v>
      </c>
      <c r="C17" s="28">
        <v>0</v>
      </c>
      <c r="D17" s="29">
        <f t="shared" si="1"/>
        <v>0</v>
      </c>
    </row>
    <row r="18" spans="1:14" ht="15" customHeight="1">
      <c r="A18" s="26" t="s">
        <v>39</v>
      </c>
      <c r="B18" s="27">
        <f>IF(ROUND('Costs Internal'!G15,2)=88919.7, 0, 'Costs Internal'!G7)</f>
        <v>0</v>
      </c>
      <c r="C18" s="28">
        <v>0</v>
      </c>
      <c r="D18" s="29">
        <f t="shared" si="1"/>
        <v>0</v>
      </c>
    </row>
    <row r="19" spans="1:14" ht="15" customHeight="1">
      <c r="A19" s="26" t="s">
        <v>40</v>
      </c>
      <c r="B19" s="27">
        <f>IF(ROUND('Costs Internal'!G15,2)=88919.7, 0, 'Costs Internal'!G8)</f>
        <v>0</v>
      </c>
      <c r="C19" s="28">
        <v>0</v>
      </c>
      <c r="D19" s="29">
        <f t="shared" si="1"/>
        <v>0</v>
      </c>
    </row>
    <row r="20" spans="1:14" ht="15" customHeight="1">
      <c r="A20" s="26" t="s">
        <v>41</v>
      </c>
      <c r="B20" s="27">
        <f>IF(ROUND('Costs Internal'!G15,2)=88919.7, 0, 'Costs Internal'!G9)</f>
        <v>0</v>
      </c>
      <c r="C20" s="28">
        <v>0</v>
      </c>
      <c r="D20" s="29">
        <f t="shared" si="1"/>
        <v>0</v>
      </c>
    </row>
    <row r="21" spans="1:14" ht="15" customHeight="1">
      <c r="A21" s="26" t="s">
        <v>747</v>
      </c>
      <c r="B21" s="27">
        <f>IF(ROUND('Costs Internal'!G15,2)=88919.7, 0, 'Costs Internal'!G10)</f>
        <v>0</v>
      </c>
      <c r="C21" s="28">
        <v>0</v>
      </c>
      <c r="D21" s="29">
        <f t="shared" si="1"/>
        <v>0</v>
      </c>
    </row>
    <row r="22" spans="1:14" ht="15" customHeight="1">
      <c r="A22" s="26" t="s">
        <v>43</v>
      </c>
      <c r="B22" s="27">
        <f>IF(ROUND('Costs Internal'!G15,2)=88919.7, 0, 'Costs Internal'!G11)</f>
        <v>0</v>
      </c>
      <c r="C22" s="28">
        <v>0</v>
      </c>
      <c r="D22" s="29">
        <f t="shared" si="1"/>
        <v>0</v>
      </c>
    </row>
    <row r="23" spans="1:14" ht="15" customHeight="1">
      <c r="A23" s="26" t="s">
        <v>44</v>
      </c>
      <c r="B23" s="27">
        <f>IF(ROUND('Costs Internal'!G15,2)=88919.7, 0, 'Costs Internal'!G12)</f>
        <v>0</v>
      </c>
      <c r="C23" s="28">
        <v>0</v>
      </c>
      <c r="D23" s="29">
        <f t="shared" si="1"/>
        <v>0</v>
      </c>
    </row>
    <row r="24" spans="1:14" ht="15" customHeight="1">
      <c r="A24" s="26" t="s">
        <v>45</v>
      </c>
      <c r="B24" s="27">
        <f>IF(ROUND('Costs Internal'!G15,2)=88919.7, 0, 'Costs Internal'!G13)</f>
        <v>0</v>
      </c>
      <c r="C24" s="28">
        <v>0</v>
      </c>
      <c r="D24" s="29">
        <f t="shared" si="1"/>
        <v>0</v>
      </c>
      <c r="N24" t="s">
        <v>741</v>
      </c>
    </row>
    <row r="25" spans="1:14" ht="15" customHeight="1">
      <c r="A25" s="26" t="s">
        <v>46</v>
      </c>
      <c r="B25" s="27">
        <v>0</v>
      </c>
      <c r="C25" s="28">
        <v>0</v>
      </c>
      <c r="D25" s="29">
        <f t="shared" si="1"/>
        <v>0</v>
      </c>
    </row>
    <row r="26" spans="1:14" ht="15" customHeight="1">
      <c r="A26" s="26" t="s">
        <v>47</v>
      </c>
      <c r="B26" s="27">
        <v>0</v>
      </c>
      <c r="C26" s="28">
        <v>0</v>
      </c>
      <c r="D26" s="29">
        <f t="shared" si="1"/>
        <v>0</v>
      </c>
    </row>
    <row r="27" spans="1:14" ht="15" customHeight="1" thickBot="1">
      <c r="A27" s="31" t="s">
        <v>48</v>
      </c>
      <c r="B27" s="32">
        <v>0</v>
      </c>
      <c r="C27" s="28">
        <v>0</v>
      </c>
      <c r="D27" s="127">
        <f t="shared" si="1"/>
        <v>0</v>
      </c>
    </row>
    <row r="28" spans="1:14" ht="15" customHeight="1" thickBot="1">
      <c r="A28" s="34" t="s">
        <v>49</v>
      </c>
      <c r="B28" s="35">
        <f>IF(ROUND('Costs Internal'!G15,2)=88919.7, 0, 'Costs Internal'!G18)</f>
        <v>0</v>
      </c>
      <c r="C28" s="36">
        <v>0</v>
      </c>
      <c r="D28" s="37">
        <f>(B28)-((B28)*C28)</f>
        <v>0</v>
      </c>
    </row>
    <row r="29" spans="1:14" ht="15" customHeight="1">
      <c r="A29" s="38" t="s">
        <v>20</v>
      </c>
      <c r="B29" s="39"/>
      <c r="C29" s="40"/>
      <c r="D29" s="41">
        <f>(B28+B13+B8+B3)</f>
        <v>0</v>
      </c>
      <c r="G29" s="42"/>
    </row>
    <row r="30" spans="1:14" ht="15" customHeight="1">
      <c r="A30" s="43" t="s">
        <v>50</v>
      </c>
      <c r="B30" s="44"/>
      <c r="C30" s="45"/>
      <c r="D30" s="46">
        <f>SUM(D3,D8,D13,D28)</f>
        <v>0</v>
      </c>
    </row>
    <row r="31" spans="1:14" ht="15" customHeight="1"/>
    <row r="32" spans="1:14" ht="15" customHeight="1"/>
    <row r="33" spans="1:9" ht="15" customHeight="1">
      <c r="A33" s="605" t="s">
        <v>51</v>
      </c>
      <c r="B33" s="605"/>
      <c r="C33" s="605"/>
      <c r="D33" s="605"/>
      <c r="E33" s="605"/>
      <c r="F33" s="605"/>
      <c r="G33" s="605"/>
      <c r="H33" s="605"/>
      <c r="I33" s="605"/>
    </row>
    <row r="34" spans="1:9" ht="12.75" customHeight="1">
      <c r="A34" s="605"/>
      <c r="B34" s="605"/>
      <c r="C34" s="605"/>
      <c r="D34" s="605"/>
      <c r="E34" s="605"/>
      <c r="F34" s="605"/>
      <c r="G34" s="605"/>
      <c r="H34" s="605"/>
      <c r="I34" s="605"/>
    </row>
    <row r="35" spans="1:9" ht="5.25" hidden="1" customHeight="1">
      <c r="A35" s="605"/>
      <c r="B35" s="605"/>
      <c r="C35" s="605"/>
      <c r="D35" s="605"/>
      <c r="E35" s="605"/>
      <c r="F35" s="605"/>
      <c r="G35" s="605"/>
      <c r="H35" s="605"/>
      <c r="I35" s="605"/>
    </row>
    <row r="36" spans="1:9" hidden="1">
      <c r="A36" s="605"/>
      <c r="B36" s="605"/>
      <c r="C36" s="605"/>
      <c r="D36" s="605"/>
      <c r="E36" s="605"/>
      <c r="F36" s="605"/>
      <c r="G36" s="605"/>
      <c r="H36" s="605"/>
      <c r="I36" s="605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zoomScale="70" zoomScaleNormal="70" workbookViewId="0">
      <selection activeCell="I16" sqref="I16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7.1406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618" t="str">
        <f>"Projected Profits Over "&amp;$B$10&amp;" Years"</f>
        <v>Projected Profits Over 5 Years</v>
      </c>
      <c r="B2" s="618"/>
      <c r="C2" s="59"/>
      <c r="D2" s="617" t="str">
        <f>$B$10&amp;" Year Cashflow"</f>
        <v>5 Year Cashflow</v>
      </c>
      <c r="E2" s="617"/>
      <c r="F2" s="617"/>
      <c r="G2" s="59"/>
      <c r="H2" s="617" t="str">
        <f>$B$10&amp;" Year Charger Revenue"</f>
        <v>5 Year Charger Revenue</v>
      </c>
      <c r="I2" s="617"/>
      <c r="J2" s="617"/>
      <c r="K2" s="60"/>
      <c r="L2" s="60"/>
    </row>
    <row r="3" spans="1:16">
      <c r="A3" s="554" t="s">
        <v>74</v>
      </c>
      <c r="B3" s="555">
        <f>-B44</f>
        <v>0</v>
      </c>
      <c r="C3" s="59"/>
      <c r="D3" s="617"/>
      <c r="E3" s="617"/>
      <c r="F3" s="617"/>
      <c r="G3" s="59"/>
      <c r="H3" s="617"/>
      <c r="I3" s="617"/>
      <c r="J3" s="617"/>
      <c r="K3" s="60"/>
      <c r="L3" s="60"/>
    </row>
    <row r="4" spans="1:16" ht="34.5" customHeight="1">
      <c r="A4" s="556" t="s">
        <v>75</v>
      </c>
      <c r="B4" s="557">
        <f>($B$10*SUMPRODUCT(E44:J44,E45:J45))+(G47*$B$10*12)</f>
        <v>0</v>
      </c>
      <c r="C4" s="59"/>
      <c r="D4" s="61" t="s">
        <v>76</v>
      </c>
      <c r="E4" s="568" t="s">
        <v>77</v>
      </c>
      <c r="F4" s="61" t="s">
        <v>78</v>
      </c>
      <c r="G4" s="59"/>
      <c r="H4" s="61" t="s">
        <v>76</v>
      </c>
      <c r="I4" s="61" t="s">
        <v>748</v>
      </c>
      <c r="J4" s="61" t="s">
        <v>78</v>
      </c>
      <c r="K4" s="60"/>
      <c r="L4" s="60"/>
    </row>
    <row r="5" spans="1:16" ht="15" customHeight="1">
      <c r="A5" s="556" t="s">
        <v>738</v>
      </c>
      <c r="B5" s="557">
        <v>0</v>
      </c>
      <c r="C5" s="59"/>
      <c r="D5" s="63">
        <v>0</v>
      </c>
      <c r="E5" s="64">
        <f>-B44</f>
        <v>0</v>
      </c>
      <c r="F5" s="64">
        <f>E5</f>
        <v>0</v>
      </c>
      <c r="G5" s="59"/>
      <c r="H5" s="63">
        <v>0</v>
      </c>
      <c r="I5" s="64">
        <f>-B44</f>
        <v>0</v>
      </c>
      <c r="J5" s="64">
        <f>I5</f>
        <v>0</v>
      </c>
      <c r="K5" s="60"/>
      <c r="L5" s="60"/>
    </row>
    <row r="6" spans="1:16" ht="15" customHeight="1">
      <c r="A6" s="556" t="s">
        <v>79</v>
      </c>
      <c r="B6" s="557">
        <f>SUM(I6:I15)</f>
        <v>0</v>
      </c>
      <c r="C6" s="59"/>
      <c r="D6" s="63">
        <f t="shared" ref="D6:D15" si="0">IF((ROW()-5)&lt;=$B$10,ROW()-5,"")</f>
        <v>1</v>
      </c>
      <c r="E6" s="65">
        <f>IF((ROW()-5)&lt;=$B$10, I6+B5+(B4/$B$10), "")</f>
        <v>0</v>
      </c>
      <c r="F6" s="64">
        <f t="shared" ref="F6:F15" si="1">IF((ROW()-5)&lt;=$B$10, F5+E6, "")</f>
        <v>0</v>
      </c>
      <c r="G6" s="59"/>
      <c r="H6" s="63">
        <f t="shared" ref="H6:H15" si="2">IF((ROW()-5)&lt;=$B$10,ROW()-5,"")</f>
        <v>1</v>
      </c>
      <c r="I6" s="64">
        <f>IF((ROW()-5)&lt;=$B$10,'Updated Chargers Revenue Calcul'!S95,"")</f>
        <v>0</v>
      </c>
      <c r="J6" s="64">
        <f t="shared" ref="J6:J15" si="3">IF((ROW()-5)&lt;=$B$10, J5+I6, "")</f>
        <v>0</v>
      </c>
      <c r="K6" s="60"/>
      <c r="L6" s="60"/>
    </row>
    <row r="7" spans="1:16" ht="15" customHeight="1">
      <c r="A7" s="558" t="s">
        <v>80</v>
      </c>
      <c r="B7" s="559">
        <f>B3+(B4+B6)</f>
        <v>0</v>
      </c>
      <c r="C7" s="59"/>
      <c r="D7" s="63">
        <f t="shared" si="0"/>
        <v>2</v>
      </c>
      <c r="E7" s="64">
        <f>IF((ROW()-5)&lt;=$B$10, I7+(B4/$B$10), "")</f>
        <v>0</v>
      </c>
      <c r="F7" s="64">
        <f t="shared" si="1"/>
        <v>0</v>
      </c>
      <c r="G7" s="59"/>
      <c r="H7" s="63">
        <f t="shared" si="2"/>
        <v>2</v>
      </c>
      <c r="I7" s="64">
        <f>IF((ROW()-5)&lt;=$B$10,'Updated Chargers Revenue Calcul'!S96,"")</f>
        <v>0</v>
      </c>
      <c r="J7" s="64">
        <f t="shared" si="3"/>
        <v>0</v>
      </c>
      <c r="K7" s="60"/>
      <c r="L7" s="60"/>
    </row>
    <row r="8" spans="1:16" ht="15" customHeight="1">
      <c r="A8" s="59"/>
      <c r="B8" s="59"/>
      <c r="C8" s="59"/>
      <c r="D8" s="63">
        <f t="shared" si="0"/>
        <v>3</v>
      </c>
      <c r="E8" s="64">
        <f>IF((ROW()-5)&lt;=$B$10, I8+(B4/$B$10), "")</f>
        <v>0</v>
      </c>
      <c r="F8" s="64">
        <f t="shared" si="1"/>
        <v>0</v>
      </c>
      <c r="G8" s="59"/>
      <c r="H8" s="63">
        <f t="shared" si="2"/>
        <v>3</v>
      </c>
      <c r="I8" s="64">
        <f>IF((ROW()-5)&lt;=$B$10,'Updated Chargers Revenue Calcul'!S97,"")</f>
        <v>0</v>
      </c>
      <c r="J8" s="64">
        <f t="shared" si="3"/>
        <v>0</v>
      </c>
      <c r="K8" s="60"/>
      <c r="L8" s="60"/>
    </row>
    <row r="9" spans="1:16" ht="15" customHeight="1">
      <c r="A9" s="537" t="s">
        <v>735</v>
      </c>
      <c r="B9" s="569" t="s">
        <v>737</v>
      </c>
      <c r="C9" s="59"/>
      <c r="D9" s="63">
        <f t="shared" si="0"/>
        <v>4</v>
      </c>
      <c r="E9" s="64">
        <f>IF((ROW()-5)&lt;=$B$10, I9+(B4/$B$10), "")</f>
        <v>0</v>
      </c>
      <c r="F9" s="64">
        <f t="shared" si="1"/>
        <v>0</v>
      </c>
      <c r="G9" s="59"/>
      <c r="H9" s="63">
        <f t="shared" si="2"/>
        <v>4</v>
      </c>
      <c r="I9" s="64">
        <f>IF((ROW()-5)&lt;=$B$10,'Updated Chargers Revenue Calcul'!S98,"")</f>
        <v>0</v>
      </c>
      <c r="J9" s="64">
        <f t="shared" si="3"/>
        <v>0</v>
      </c>
      <c r="K9" s="60"/>
      <c r="L9" s="60"/>
    </row>
    <row r="10" spans="1:16" ht="15" customHeight="1">
      <c r="A10" s="538" t="s">
        <v>736</v>
      </c>
      <c r="B10" s="539">
        <f>IF(B9="10 Year",10,5)</f>
        <v>5</v>
      </c>
      <c r="C10" s="59"/>
      <c r="D10" s="544">
        <f t="shared" si="0"/>
        <v>5</v>
      </c>
      <c r="E10" s="545">
        <f>IF((ROW()-5)&lt;=$B$10, I10+(B4/$B$10), "")</f>
        <v>0</v>
      </c>
      <c r="F10" s="545">
        <f t="shared" si="1"/>
        <v>0</v>
      </c>
      <c r="G10" s="59"/>
      <c r="H10" s="544">
        <f t="shared" si="2"/>
        <v>5</v>
      </c>
      <c r="I10" s="545">
        <f>IF((ROW()-5)&lt;=$B$10,'Updated Chargers Revenue Calcul'!S99,"")</f>
        <v>0</v>
      </c>
      <c r="J10" s="545">
        <f t="shared" si="3"/>
        <v>0</v>
      </c>
      <c r="K10" s="60"/>
      <c r="L10" s="60"/>
    </row>
    <row r="11" spans="1:16" ht="15" customHeight="1">
      <c r="C11" s="59"/>
      <c r="D11" s="546" t="str">
        <f t="shared" si="0"/>
        <v/>
      </c>
      <c r="E11" s="547" t="str">
        <f>IF((ROW()-5)&lt;=$B$10, I11+(B4/$B$10), "")</f>
        <v/>
      </c>
      <c r="F11" s="547" t="str">
        <f t="shared" si="1"/>
        <v/>
      </c>
      <c r="H11" s="546" t="str">
        <f t="shared" si="2"/>
        <v/>
      </c>
      <c r="I11" s="547" t="str">
        <f>IF((ROW()-5)&lt;=$B$10,'Updated Chargers Revenue Calcul'!S100,"")</f>
        <v/>
      </c>
      <c r="J11" s="547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>IF((ROW()-5)&lt;=$B$10,'Updated Chargers Revenue Calcul'!S101,"")</f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>IF((ROW()-5)&lt;=$B$10,'Updated Chargers Revenue Calcul'!S102,"")</f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>IF((ROW()-5)&lt;=$B$10,'Updated Chargers Revenue Calcul'!S103,"")</f>
        <v/>
      </c>
      <c r="J14" s="65" t="str">
        <f t="shared" si="3"/>
        <v/>
      </c>
      <c r="K14" s="59"/>
      <c r="L14" s="59"/>
    </row>
    <row r="15" spans="1:16" ht="20.25" customHeight="1">
      <c r="A15" s="540"/>
      <c r="B15" s="548" t="s">
        <v>83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>IF((ROW()-5)&lt;=$B$10,'Updated Chargers Revenue Calcul'!S104,"")</f>
        <v/>
      </c>
      <c r="J15" s="65" t="str">
        <f t="shared" si="3"/>
        <v/>
      </c>
      <c r="K15" s="59"/>
      <c r="L15" s="59"/>
    </row>
    <row r="16" spans="1:16" ht="15" customHeight="1">
      <c r="A16" s="541" t="s">
        <v>86</v>
      </c>
      <c r="B16" s="549">
        <f>'Internal Summary'!D3</f>
        <v>0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2" t="s">
        <v>25</v>
      </c>
      <c r="B17" s="550">
        <f>'Internal Summary'!D4</f>
        <v>0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2" t="s">
        <v>88</v>
      </c>
      <c r="B18" s="550">
        <f>'Internal Summary'!D5</f>
        <v>0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2" t="s">
        <v>26</v>
      </c>
      <c r="B19" s="550">
        <f>'Internal Summary'!D6</f>
        <v>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2" t="s">
        <v>27</v>
      </c>
      <c r="B20" s="550">
        <f>'Internal Summary'!B5</f>
        <v>0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1" t="s">
        <v>28</v>
      </c>
      <c r="B21" s="549">
        <f>'Internal Summary'!D7</f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2" t="s">
        <v>89</v>
      </c>
      <c r="B22" s="550">
        <f>'Internal Summary'!D8</f>
        <v>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2" t="s">
        <v>30</v>
      </c>
      <c r="B23" s="550">
        <f>'Internal Summary'!D9</f>
        <v>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2" t="s">
        <v>31</v>
      </c>
      <c r="B24" s="550">
        <f>'Internal Summary'!D10</f>
        <v>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2" t="s">
        <v>32</v>
      </c>
      <c r="B25" s="550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1" t="s">
        <v>33</v>
      </c>
      <c r="B26" s="549">
        <f>'Internal Summary'!D12</f>
        <v>0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2" t="s">
        <v>34</v>
      </c>
      <c r="B27" s="550">
        <f>'Internal Summary'!D13</f>
        <v>0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2" t="s">
        <v>35</v>
      </c>
      <c r="B28" s="550">
        <f>'Internal Summary'!D14</f>
        <v>0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2" t="s">
        <v>36</v>
      </c>
      <c r="B29" s="550">
        <f>'Internal Summary'!D15</f>
        <v>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2" t="s">
        <v>37</v>
      </c>
      <c r="B30" s="550">
        <f>'Internal Summary'!D16</f>
        <v>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2" t="s">
        <v>38</v>
      </c>
      <c r="B31" s="550">
        <f>'Internal Summary'!D17</f>
        <v>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2" t="s">
        <v>39</v>
      </c>
      <c r="B32" s="550">
        <f>'Internal Summary'!D18</f>
        <v>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2" t="s">
        <v>40</v>
      </c>
      <c r="B33" s="550">
        <f>'Internal Summary'!D19</f>
        <v>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2" t="s">
        <v>90</v>
      </c>
      <c r="B34" s="550">
        <f>'Internal Summary'!D20</f>
        <v>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2" t="s">
        <v>42</v>
      </c>
      <c r="B35" s="550">
        <f>'Internal Summary'!D21</f>
        <v>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2" t="s">
        <v>58</v>
      </c>
      <c r="B36" s="550">
        <f>'Internal Summary'!D22</f>
        <v>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2" t="s">
        <v>44</v>
      </c>
      <c r="B37" s="550">
        <f>'Internal Summary'!D23</f>
        <v>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2" t="s">
        <v>45</v>
      </c>
      <c r="B38" s="550">
        <f>'Internal Summary'!D24</f>
        <v>0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1" t="s">
        <v>46</v>
      </c>
      <c r="B39" s="549">
        <f>'Internal Summary'!D25</f>
        <v>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3" t="s">
        <v>47</v>
      </c>
      <c r="B40" s="551">
        <f>'Internal Summary'!D26</f>
        <v>0</v>
      </c>
    </row>
    <row r="41" spans="1:16" ht="15" hidden="1" customHeight="1" outlineLevel="1">
      <c r="A41" s="540" t="s">
        <v>48</v>
      </c>
      <c r="B41" s="548">
        <f>'Internal Summary'!D27</f>
        <v>0</v>
      </c>
    </row>
    <row r="42" spans="1:16" ht="15" customHeight="1" collapsed="1">
      <c r="A42" s="541" t="s">
        <v>49</v>
      </c>
      <c r="B42" s="549">
        <f>'Internal Summary'!D28</f>
        <v>0</v>
      </c>
      <c r="D42" s="66" t="s">
        <v>699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2" t="s">
        <v>20</v>
      </c>
      <c r="B43" s="550">
        <f>'Internal Summary'!D29</f>
        <v>0</v>
      </c>
      <c r="D43" s="66" t="s">
        <v>700</v>
      </c>
      <c r="E43" s="487">
        <f>'INPUT SHEET'!O10</f>
        <v>60</v>
      </c>
      <c r="F43" s="487">
        <f>'INPUT SHEET'!P10</f>
        <v>120</v>
      </c>
      <c r="G43" s="487">
        <f>'INPUT SHEET'!Q10</f>
        <v>160</v>
      </c>
      <c r="H43" s="487">
        <f>'INPUT SHEET'!R10</f>
        <v>180</v>
      </c>
      <c r="I43" s="487">
        <f>'INPUT SHEET'!S10</f>
        <v>240</v>
      </c>
      <c r="J43" s="487">
        <f>'INPUT SHEET'!T10</f>
        <v>360</v>
      </c>
    </row>
    <row r="44" spans="1:16" ht="29.25" customHeight="1">
      <c r="A44" s="552" t="s">
        <v>91</v>
      </c>
      <c r="B44" s="553">
        <f>'Internal Summary'!D30</f>
        <v>0</v>
      </c>
      <c r="C44" s="59"/>
      <c r="D44" s="488" t="s">
        <v>11</v>
      </c>
      <c r="E44" s="483">
        <f>'INPUT SHEET'!O8</f>
        <v>0</v>
      </c>
      <c r="F44" s="483">
        <f>'INPUT SHEET'!P8</f>
        <v>0</v>
      </c>
      <c r="G44" s="483">
        <f>'INPUT SHEET'!Q8</f>
        <v>0</v>
      </c>
      <c r="H44" s="483">
        <f>'INPUT SHEET'!R8</f>
        <v>0</v>
      </c>
      <c r="I44" s="483">
        <f>'INPUT SHEET'!S8</f>
        <v>0</v>
      </c>
      <c r="J44" s="483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692</v>
      </c>
      <c r="E45" s="484">
        <f t="shared" ref="E45:J45" si="4">E43*$E$42</f>
        <v>4300.0020000000004</v>
      </c>
      <c r="F45" s="484">
        <f t="shared" si="4"/>
        <v>8600.0040000000008</v>
      </c>
      <c r="G45" s="484">
        <f t="shared" si="4"/>
        <v>11466.672</v>
      </c>
      <c r="H45" s="484">
        <f t="shared" si="4"/>
        <v>12900.006000000001</v>
      </c>
      <c r="I45" s="484">
        <f t="shared" si="4"/>
        <v>17200.008000000002</v>
      </c>
      <c r="J45" s="484">
        <f t="shared" si="4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84</v>
      </c>
      <c r="E46" s="67" t="s">
        <v>85</v>
      </c>
      <c r="F46" s="67" t="s">
        <v>82</v>
      </c>
      <c r="G46" s="62"/>
      <c r="H46" s="59"/>
      <c r="I46" s="59"/>
      <c r="J46" s="59"/>
    </row>
    <row r="47" spans="1:16">
      <c r="D47" s="59" t="s">
        <v>87</v>
      </c>
      <c r="E47" s="62">
        <f>'Updated Chargers Revenue Calcul'!B16*30</f>
        <v>0</v>
      </c>
      <c r="F47" s="69">
        <v>4.4999999999999997E-3</v>
      </c>
      <c r="G47" s="69">
        <f>E47*F47</f>
        <v>0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18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701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619" t="s">
        <v>702</v>
      </c>
      <c r="C4" s="620"/>
      <c r="D4" s="621"/>
      <c r="E4" s="498"/>
      <c r="F4" s="497"/>
      <c r="G4" s="497"/>
      <c r="H4" s="619" t="s">
        <v>703</v>
      </c>
      <c r="I4" s="620"/>
      <c r="J4" s="621"/>
      <c r="K4" s="499"/>
    </row>
    <row r="5" spans="1:11" ht="12.75" customHeight="1">
      <c r="A5" s="498"/>
      <c r="B5" s="504"/>
      <c r="C5" s="505" t="s">
        <v>704</v>
      </c>
      <c r="D5" s="506">
        <f>'Financial Worksheet'!B44</f>
        <v>0</v>
      </c>
      <c r="E5" s="498"/>
      <c r="F5" s="497"/>
      <c r="G5" s="497"/>
      <c r="H5" s="504"/>
      <c r="I5" s="505" t="s">
        <v>705</v>
      </c>
      <c r="J5" s="507" t="str">
        <f>IF('DLL Schedule'!Values_Entered=1,-PMT('DLL Schedule'!Interest_Rate/'DLL Schedule'!Num_Pmt_Per_Year,'DLL Schedule'!Loan_Years*'DLL Schedule'!Num_Pmt_Per_Year,'DLL Schedule'!Loan_Amount),"")</f>
        <v/>
      </c>
      <c r="K5" s="499"/>
    </row>
    <row r="6" spans="1:11" ht="12.75" customHeight="1">
      <c r="A6" s="498"/>
      <c r="B6" s="504"/>
      <c r="C6" s="505" t="s">
        <v>706</v>
      </c>
      <c r="D6" s="508">
        <v>8.3900000000000002E-2</v>
      </c>
      <c r="E6" s="498"/>
      <c r="F6" s="497"/>
      <c r="G6" s="497"/>
      <c r="H6" s="504"/>
      <c r="I6" s="505" t="s">
        <v>707</v>
      </c>
      <c r="J6" s="509" t="str">
        <f>IF('DLL Schedule'!Values_Entered=1,'DLL Schedule'!Loan_Years*'DLL Schedule'!Num_Pmt_Per_Year,"")</f>
        <v/>
      </c>
      <c r="K6" s="499"/>
    </row>
    <row r="7" spans="1:11" ht="12.75" customHeight="1">
      <c r="A7" s="498"/>
      <c r="B7" s="504"/>
      <c r="C7" s="505" t="s">
        <v>708</v>
      </c>
      <c r="D7" s="510">
        <v>5</v>
      </c>
      <c r="E7" s="498"/>
      <c r="F7" s="497"/>
      <c r="G7" s="497"/>
      <c r="H7" s="504"/>
      <c r="I7" s="505" t="s">
        <v>709</v>
      </c>
      <c r="J7" s="509" t="str">
        <f>IF('DLL Schedule'!Values_Entered=1,MATCH(0.01,'DLL Schedule'!End_Bal,-1)+1,"")</f>
        <v/>
      </c>
      <c r="K7" s="499"/>
    </row>
    <row r="8" spans="1:11" ht="12.75" customHeight="1">
      <c r="A8" s="498"/>
      <c r="B8" s="504"/>
      <c r="C8" s="505" t="s">
        <v>710</v>
      </c>
      <c r="D8" s="510">
        <v>12</v>
      </c>
      <c r="E8" s="498"/>
      <c r="F8" s="497"/>
      <c r="G8" s="497"/>
      <c r="H8" s="504"/>
      <c r="I8" s="505" t="s">
        <v>711</v>
      </c>
      <c r="J8" s="507" t="str">
        <f>IF('DLL Schedule'!Values_Entered=1,SUMIF('DLL Schedule'!Beg_Bal,"&gt;0",'DLL Schedule'!Extra_Pay),"")</f>
        <v/>
      </c>
      <c r="K8" s="499"/>
    </row>
    <row r="9" spans="1:11" ht="12.75" customHeight="1">
      <c r="A9" s="498"/>
      <c r="B9" s="504"/>
      <c r="C9" s="505" t="s">
        <v>712</v>
      </c>
      <c r="D9" s="511">
        <v>46235</v>
      </c>
      <c r="E9" s="498"/>
      <c r="F9" s="497"/>
      <c r="G9" s="497"/>
      <c r="H9" s="512"/>
      <c r="I9" s="513" t="s">
        <v>713</v>
      </c>
      <c r="J9" s="507" t="str">
        <f>IF('DLL Schedule'!Values_Entered=1,SUMIF('DLL Schedule'!Beg_Bal,"&gt;0",'DLL Schedule'!Int),"")</f>
        <v/>
      </c>
      <c r="K9" s="499"/>
    </row>
    <row r="10" spans="1:11" ht="12.75" customHeight="1">
      <c r="A10" s="498"/>
      <c r="B10" s="512"/>
      <c r="C10" s="513" t="s">
        <v>714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715</v>
      </c>
      <c r="C12" s="622"/>
      <c r="D12" s="623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716</v>
      </c>
      <c r="B16" s="519" t="s">
        <v>717</v>
      </c>
      <c r="C16" s="519" t="s">
        <v>718</v>
      </c>
      <c r="D16" s="519" t="s">
        <v>719</v>
      </c>
      <c r="E16" s="519" t="s">
        <v>720</v>
      </c>
      <c r="F16" s="519" t="s">
        <v>721</v>
      </c>
      <c r="G16" s="519" t="s">
        <v>722</v>
      </c>
      <c r="H16" s="519" t="s">
        <v>723</v>
      </c>
      <c r="I16" s="519" t="s">
        <v>724</v>
      </c>
      <c r="J16" s="520" t="s">
        <v>725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 t="str">
        <f>IF('DLL Schedule'!Values_Entered=1,1,"")</f>
        <v/>
      </c>
      <c r="B18" s="524" t="str">
        <f>IF('DLL Schedule'!Pay_Num&lt;&gt;"",DATE(YEAR('DLL Schedule'!Loan_Start),MONTH('DLL Schedule'!Loan_Start)+('DLL Schedule'!Pay_Num)*12/'DLL Schedule'!Num_Pmt_Per_Year,DAY('DLL Schedule'!Loan_Start)),"")</f>
        <v/>
      </c>
      <c r="C18" s="525" t="str">
        <f>IF('DLL Schedule'!Values_Entered=1,'DLL Schedule'!Loan_Amount,"")</f>
        <v/>
      </c>
      <c r="D18" s="525" t="str">
        <f>IF('DLL Schedule'!Pay_Num&lt;&gt;"",'DLL Schedule'!Scheduled_Monthly_Payment,"")</f>
        <v/>
      </c>
      <c r="E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" s="525" t="str">
        <f>IF('DLL Schedule'!Pay_Num&lt;&gt;"",IF('DLL Schedule'!Sched_Pay+'DLL Schedule'!Extra_Pay&lt;'DLL Schedule'!Beg_Bal,'DLL Schedule'!Sched_Pay+'DLL Schedule'!Extra_Pay,'DLL Schedule'!Beg_Bal),"")</f>
        <v/>
      </c>
      <c r="G18" s="525" t="str">
        <f>IF('DLL Schedule'!Pay_Num&lt;&gt;"",'DLL Schedule'!Total_Pay-'DLL Schedule'!Int,"")</f>
        <v/>
      </c>
      <c r="H18" s="525" t="str">
        <f>IF('DLL Schedule'!Pay_Num&lt;&gt;"",'DLL Schedule'!Beg_Bal*('DLL Schedule'!Interest_Rate/'DLL Schedule'!Num_Pmt_Per_Year),"")</f>
        <v/>
      </c>
      <c r="I18" s="525" t="str">
        <f>IF('DLL Schedule'!Pay_Num&lt;&gt;"",IF('DLL Schedule'!Sched_Pay+'DLL Schedule'!Extra_Pay&lt;'DLL Schedule'!Beg_Bal,'DLL Schedule'!Beg_Bal-'DLL Schedule'!Princ,0),"")</f>
        <v/>
      </c>
      <c r="J18" s="525">
        <f>SUM($H$18:$H18)</f>
        <v>0</v>
      </c>
      <c r="K18" s="499"/>
    </row>
    <row r="19" spans="1:11" ht="12.75" customHeight="1">
      <c r="A19" s="523" t="str">
        <f>IF(AND('DLL Schedule'!Values_Entered=1,A18&lt;&gt;"",I18&gt;0),A18+1,"")</f>
        <v/>
      </c>
      <c r="B19" s="524" t="str">
        <f>IF('DLL Schedule'!Pay_Num&lt;&gt;"",DATE(YEAR('DLL Schedule'!Loan_Start),MONTH('DLL Schedule'!Loan_Start)+('DLL Schedule'!Pay_Num)*12/'DLL Schedule'!Num_Pmt_Per_Year,DAY('DLL Schedule'!Loan_Start)),"")</f>
        <v/>
      </c>
      <c r="C19" s="525" t="str">
        <f>IF('DLL Schedule'!Pay_Num&lt;&gt;"",I18,"")</f>
        <v/>
      </c>
      <c r="D19" s="525" t="str">
        <f>IF('DLL Schedule'!Pay_Num&lt;&gt;"",'DLL Schedule'!Scheduled_Monthly_Payment,"")</f>
        <v/>
      </c>
      <c r="E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" s="525" t="str">
        <f>IF('DLL Schedule'!Pay_Num&lt;&gt;"",IF('DLL Schedule'!Sched_Pay+'DLL Schedule'!Extra_Pay&lt;'DLL Schedule'!Beg_Bal,'DLL Schedule'!Sched_Pay+'DLL Schedule'!Extra_Pay,'DLL Schedule'!Beg_Bal),"")</f>
        <v/>
      </c>
      <c r="G19" s="525" t="str">
        <f>IF('DLL Schedule'!Pay_Num&lt;&gt;"",'DLL Schedule'!Total_Pay-'DLL Schedule'!Int,"")</f>
        <v/>
      </c>
      <c r="H19" s="525" t="str">
        <f>IF('DLL Schedule'!Pay_Num&lt;&gt;"",'DLL Schedule'!Beg_Bal*'DLL Schedule'!Interest_Rate/'DLL Schedule'!Num_Pmt_Per_Year,"")</f>
        <v/>
      </c>
      <c r="I19" s="525" t="str">
        <f>IF('DLL Schedule'!Pay_Num&lt;&gt;"",IF('DLL Schedule'!Sched_Pay+'DLL Schedule'!Extra_Pay&lt;'DLL Schedule'!Beg_Bal,'DLL Schedule'!Beg_Bal-'DLL Schedule'!Princ,0),"")</f>
        <v/>
      </c>
      <c r="J19" s="525">
        <f>SUM($H$18:$H19)</f>
        <v>0</v>
      </c>
      <c r="K19" s="499"/>
    </row>
    <row r="20" spans="1:11" ht="12.75" customHeight="1">
      <c r="A20" s="523" t="str">
        <f>IF(AND('DLL Schedule'!Values_Entered=1,A19&lt;&gt;"",I19&gt;0),A19+1,"")</f>
        <v/>
      </c>
      <c r="B20" s="524" t="str">
        <f>IF('DLL Schedule'!Pay_Num&lt;&gt;"",DATE(YEAR('DLL Schedule'!Loan_Start),MONTH('DLL Schedule'!Loan_Start)+('DLL Schedule'!Pay_Num)*12/'DLL Schedule'!Num_Pmt_Per_Year,DAY('DLL Schedule'!Loan_Start)),"")</f>
        <v/>
      </c>
      <c r="C20" s="525" t="str">
        <f>IF('DLL Schedule'!Pay_Num&lt;&gt;"",I19,"")</f>
        <v/>
      </c>
      <c r="D20" s="525" t="str">
        <f>IF('DLL Schedule'!Pay_Num&lt;&gt;"",'DLL Schedule'!Scheduled_Monthly_Payment,"")</f>
        <v/>
      </c>
      <c r="E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" s="525" t="str">
        <f>IF('DLL Schedule'!Pay_Num&lt;&gt;"",IF('DLL Schedule'!Sched_Pay+'DLL Schedule'!Extra_Pay&lt;'DLL Schedule'!Beg_Bal,'DLL Schedule'!Sched_Pay+'DLL Schedule'!Extra_Pay,'DLL Schedule'!Beg_Bal),"")</f>
        <v/>
      </c>
      <c r="G20" s="525" t="str">
        <f>IF('DLL Schedule'!Pay_Num&lt;&gt;"",'DLL Schedule'!Total_Pay-'DLL Schedule'!Int,"")</f>
        <v/>
      </c>
      <c r="H20" s="525" t="str">
        <f>IF('DLL Schedule'!Pay_Num&lt;&gt;"",'DLL Schedule'!Beg_Bal*'DLL Schedule'!Interest_Rate/'DLL Schedule'!Num_Pmt_Per_Year,"")</f>
        <v/>
      </c>
      <c r="I20" s="525" t="str">
        <f>IF('DLL Schedule'!Pay_Num&lt;&gt;"",IF('DLL Schedule'!Sched_Pay+'DLL Schedule'!Extra_Pay&lt;'DLL Schedule'!Beg_Bal,'DLL Schedule'!Beg_Bal-'DLL Schedule'!Princ,0),"")</f>
        <v/>
      </c>
      <c r="J20" s="525">
        <f>SUM($H$18:$H20)</f>
        <v>0</v>
      </c>
      <c r="K20" s="499"/>
    </row>
    <row r="21" spans="1:11" ht="12.75" customHeight="1">
      <c r="A21" s="523" t="str">
        <f>IF(AND('DLL Schedule'!Values_Entered=1,A20&lt;&gt;"",I20&gt;0),A20+1,"")</f>
        <v/>
      </c>
      <c r="B21" s="524" t="str">
        <f>IF('DLL Schedule'!Pay_Num&lt;&gt;"",DATE(YEAR('DLL Schedule'!Loan_Start),MONTH('DLL Schedule'!Loan_Start)+('DLL Schedule'!Pay_Num)*12/'DLL Schedule'!Num_Pmt_Per_Year,DAY('DLL Schedule'!Loan_Start)),"")</f>
        <v/>
      </c>
      <c r="C21" s="525" t="str">
        <f>IF('DLL Schedule'!Pay_Num&lt;&gt;"",I20,"")</f>
        <v/>
      </c>
      <c r="D21" s="525" t="str">
        <f>IF('DLL Schedule'!Pay_Num&lt;&gt;"",'DLL Schedule'!Scheduled_Monthly_Payment,"")</f>
        <v/>
      </c>
      <c r="E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" s="525" t="str">
        <f>IF('DLL Schedule'!Pay_Num&lt;&gt;"",IF('DLL Schedule'!Sched_Pay+'DLL Schedule'!Extra_Pay&lt;'DLL Schedule'!Beg_Bal,'DLL Schedule'!Sched_Pay+'DLL Schedule'!Extra_Pay,'DLL Schedule'!Beg_Bal),"")</f>
        <v/>
      </c>
      <c r="G21" s="525" t="str">
        <f>IF('DLL Schedule'!Pay_Num&lt;&gt;"",'DLL Schedule'!Total_Pay-'DLL Schedule'!Int,"")</f>
        <v/>
      </c>
      <c r="H21" s="525" t="str">
        <f>IF('DLL Schedule'!Pay_Num&lt;&gt;"",'DLL Schedule'!Beg_Bal*'DLL Schedule'!Interest_Rate/'DLL Schedule'!Num_Pmt_Per_Year,"")</f>
        <v/>
      </c>
      <c r="I21" s="525" t="str">
        <f>IF('DLL Schedule'!Pay_Num&lt;&gt;"",IF('DLL Schedule'!Sched_Pay+'DLL Schedule'!Extra_Pay&lt;'DLL Schedule'!Beg_Bal,'DLL Schedule'!Beg_Bal-'DLL Schedule'!Princ,0),"")</f>
        <v/>
      </c>
      <c r="J21" s="525">
        <f>SUM($H$18:$H21)</f>
        <v>0</v>
      </c>
      <c r="K21" s="499"/>
    </row>
    <row r="22" spans="1:11" ht="12.75" customHeight="1">
      <c r="A22" s="523" t="str">
        <f>IF(AND('DLL Schedule'!Values_Entered=1,A21&lt;&gt;"",I21&gt;0),A21+1,"")</f>
        <v/>
      </c>
      <c r="B22" s="524" t="str">
        <f>IF('DLL Schedule'!Pay_Num&lt;&gt;"",DATE(YEAR('DLL Schedule'!Loan_Start),MONTH('DLL Schedule'!Loan_Start)+('DLL Schedule'!Pay_Num)*12/'DLL Schedule'!Num_Pmt_Per_Year,DAY('DLL Schedule'!Loan_Start)),"")</f>
        <v/>
      </c>
      <c r="C22" s="525" t="str">
        <f>IF('DLL Schedule'!Pay_Num&lt;&gt;"",I21,"")</f>
        <v/>
      </c>
      <c r="D22" s="525" t="str">
        <f>IF('DLL Schedule'!Pay_Num&lt;&gt;"",'DLL Schedule'!Scheduled_Monthly_Payment,"")</f>
        <v/>
      </c>
      <c r="E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" s="525" t="str">
        <f>IF('DLL Schedule'!Pay_Num&lt;&gt;"",IF('DLL Schedule'!Sched_Pay+'DLL Schedule'!Extra_Pay&lt;'DLL Schedule'!Beg_Bal,'DLL Schedule'!Sched_Pay+'DLL Schedule'!Extra_Pay,'DLL Schedule'!Beg_Bal),"")</f>
        <v/>
      </c>
      <c r="G22" s="525" t="str">
        <f>IF('DLL Schedule'!Pay_Num&lt;&gt;"",'DLL Schedule'!Total_Pay-'DLL Schedule'!Int,"")</f>
        <v/>
      </c>
      <c r="H22" s="525" t="str">
        <f>IF('DLL Schedule'!Pay_Num&lt;&gt;"",'DLL Schedule'!Beg_Bal*'DLL Schedule'!Interest_Rate/'DLL Schedule'!Num_Pmt_Per_Year,"")</f>
        <v/>
      </c>
      <c r="I22" s="525" t="str">
        <f>IF('DLL Schedule'!Pay_Num&lt;&gt;"",IF('DLL Schedule'!Sched_Pay+'DLL Schedule'!Extra_Pay&lt;'DLL Schedule'!Beg_Bal,'DLL Schedule'!Beg_Bal-'DLL Schedule'!Princ,0),"")</f>
        <v/>
      </c>
      <c r="J22" s="525">
        <f>SUM($H$18:$H22)</f>
        <v>0</v>
      </c>
      <c r="K22" s="499"/>
    </row>
    <row r="23" spans="1:11" ht="12.75" customHeight="1">
      <c r="A23" s="523" t="str">
        <f>IF(AND('DLL Schedule'!Values_Entered=1,A22&lt;&gt;"",I22&gt;0),A22+1,"")</f>
        <v/>
      </c>
      <c r="B23" s="524" t="str">
        <f>IF('DLL Schedule'!Pay_Num&lt;&gt;"",DATE(YEAR('DLL Schedule'!Loan_Start),MONTH('DLL Schedule'!Loan_Start)+('DLL Schedule'!Pay_Num)*12/'DLL Schedule'!Num_Pmt_Per_Year,DAY('DLL Schedule'!Loan_Start)),"")</f>
        <v/>
      </c>
      <c r="C23" s="525" t="str">
        <f>IF('DLL Schedule'!Pay_Num&lt;&gt;"",I22,"")</f>
        <v/>
      </c>
      <c r="D23" s="525" t="str">
        <f>IF('DLL Schedule'!Pay_Num&lt;&gt;"",'DLL Schedule'!Scheduled_Monthly_Payment,"")</f>
        <v/>
      </c>
      <c r="E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" s="525" t="str">
        <f>IF('DLL Schedule'!Pay_Num&lt;&gt;"",IF('DLL Schedule'!Sched_Pay+'DLL Schedule'!Extra_Pay&lt;'DLL Schedule'!Beg_Bal,'DLL Schedule'!Sched_Pay+'DLL Schedule'!Extra_Pay,'DLL Schedule'!Beg_Bal),"")</f>
        <v/>
      </c>
      <c r="G23" s="525" t="str">
        <f>IF('DLL Schedule'!Pay_Num&lt;&gt;"",'DLL Schedule'!Total_Pay-'DLL Schedule'!Int,"")</f>
        <v/>
      </c>
      <c r="H23" s="525" t="str">
        <f>IF('DLL Schedule'!Pay_Num&lt;&gt;"",'DLL Schedule'!Beg_Bal*'DLL Schedule'!Interest_Rate/'DLL Schedule'!Num_Pmt_Per_Year,"")</f>
        <v/>
      </c>
      <c r="I23" s="525" t="str">
        <f>IF('DLL Schedule'!Pay_Num&lt;&gt;"",IF('DLL Schedule'!Sched_Pay+'DLL Schedule'!Extra_Pay&lt;'DLL Schedule'!Beg_Bal,'DLL Schedule'!Beg_Bal-'DLL Schedule'!Princ,0),"")</f>
        <v/>
      </c>
      <c r="J23" s="525">
        <f>SUM($H$18:$H23)</f>
        <v>0</v>
      </c>
      <c r="K23" s="499"/>
    </row>
    <row r="24" spans="1:11" ht="12.75" customHeight="1">
      <c r="A24" s="523" t="str">
        <f>IF(AND('DLL Schedule'!Values_Entered=1,A23&lt;&gt;"",I23&gt;0),A23+1,"")</f>
        <v/>
      </c>
      <c r="B24" s="524" t="str">
        <f>IF('DLL Schedule'!Pay_Num&lt;&gt;"",DATE(YEAR('DLL Schedule'!Loan_Start),MONTH('DLL Schedule'!Loan_Start)+('DLL Schedule'!Pay_Num)*12/'DLL Schedule'!Num_Pmt_Per_Year,DAY('DLL Schedule'!Loan_Start)),"")</f>
        <v/>
      </c>
      <c r="C24" s="525" t="str">
        <f>IF('DLL Schedule'!Pay_Num&lt;&gt;"",I23,"")</f>
        <v/>
      </c>
      <c r="D24" s="525" t="str">
        <f>IF('DLL Schedule'!Pay_Num&lt;&gt;"",'DLL Schedule'!Scheduled_Monthly_Payment,"")</f>
        <v/>
      </c>
      <c r="E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" s="525" t="str">
        <f>IF('DLL Schedule'!Pay_Num&lt;&gt;"",IF('DLL Schedule'!Sched_Pay+'DLL Schedule'!Extra_Pay&lt;'DLL Schedule'!Beg_Bal,'DLL Schedule'!Sched_Pay+'DLL Schedule'!Extra_Pay,'DLL Schedule'!Beg_Bal),"")</f>
        <v/>
      </c>
      <c r="G24" s="525" t="str">
        <f>IF('DLL Schedule'!Pay_Num&lt;&gt;"",'DLL Schedule'!Total_Pay-'DLL Schedule'!Int,"")</f>
        <v/>
      </c>
      <c r="H24" s="525" t="str">
        <f>IF('DLL Schedule'!Pay_Num&lt;&gt;"",'DLL Schedule'!Beg_Bal*'DLL Schedule'!Interest_Rate/'DLL Schedule'!Num_Pmt_Per_Year,"")</f>
        <v/>
      </c>
      <c r="I24" s="525" t="str">
        <f>IF('DLL Schedule'!Pay_Num&lt;&gt;"",IF('DLL Schedule'!Sched_Pay+'DLL Schedule'!Extra_Pay&lt;'DLL Schedule'!Beg_Bal,'DLL Schedule'!Beg_Bal-'DLL Schedule'!Princ,0),"")</f>
        <v/>
      </c>
      <c r="J24" s="525">
        <f>SUM($H$18:$H24)</f>
        <v>0</v>
      </c>
      <c r="K24" s="499"/>
    </row>
    <row r="25" spans="1:11" ht="12.75" customHeight="1">
      <c r="A25" s="523" t="str">
        <f>IF(AND('DLL Schedule'!Values_Entered=1,A24&lt;&gt;"",I24&gt;0),A24+1,"")</f>
        <v/>
      </c>
      <c r="B25" s="524" t="str">
        <f>IF('DLL Schedule'!Pay_Num&lt;&gt;"",DATE(YEAR('DLL Schedule'!Loan_Start),MONTH('DLL Schedule'!Loan_Start)+('DLL Schedule'!Pay_Num)*12/'DLL Schedule'!Num_Pmt_Per_Year,DAY('DLL Schedule'!Loan_Start)),"")</f>
        <v/>
      </c>
      <c r="C25" s="525" t="str">
        <f>IF('DLL Schedule'!Pay_Num&lt;&gt;"",I24,"")</f>
        <v/>
      </c>
      <c r="D25" s="525" t="str">
        <f>IF('DLL Schedule'!Pay_Num&lt;&gt;"",'DLL Schedule'!Scheduled_Monthly_Payment,"")</f>
        <v/>
      </c>
      <c r="E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" s="525" t="str">
        <f>IF('DLL Schedule'!Pay_Num&lt;&gt;"",IF('DLL Schedule'!Sched_Pay+'DLL Schedule'!Extra_Pay&lt;'DLL Schedule'!Beg_Bal,'DLL Schedule'!Sched_Pay+'DLL Schedule'!Extra_Pay,'DLL Schedule'!Beg_Bal),"")</f>
        <v/>
      </c>
      <c r="G25" s="525" t="str">
        <f>IF('DLL Schedule'!Pay_Num&lt;&gt;"",'DLL Schedule'!Total_Pay-'DLL Schedule'!Int,"")</f>
        <v/>
      </c>
      <c r="H25" s="525" t="str">
        <f>IF('DLL Schedule'!Pay_Num&lt;&gt;"",'DLL Schedule'!Beg_Bal*'DLL Schedule'!Interest_Rate/'DLL Schedule'!Num_Pmt_Per_Year,"")</f>
        <v/>
      </c>
      <c r="I25" s="525" t="str">
        <f>IF('DLL Schedule'!Pay_Num&lt;&gt;"",IF('DLL Schedule'!Sched_Pay+'DLL Schedule'!Extra_Pay&lt;'DLL Schedule'!Beg_Bal,'DLL Schedule'!Beg_Bal-'DLL Schedule'!Princ,0),"")</f>
        <v/>
      </c>
      <c r="J25" s="525">
        <f>SUM($H$18:$H25)</f>
        <v>0</v>
      </c>
      <c r="K25" s="499"/>
    </row>
    <row r="26" spans="1:11" ht="12.75" customHeight="1">
      <c r="A26" s="523" t="str">
        <f>IF(AND('DLL Schedule'!Values_Entered=1,A25&lt;&gt;"",I25&gt;0),A25+1,"")</f>
        <v/>
      </c>
      <c r="B26" s="524" t="str">
        <f>IF('DLL Schedule'!Pay_Num&lt;&gt;"",DATE(YEAR('DLL Schedule'!Loan_Start),MONTH('DLL Schedule'!Loan_Start)+('DLL Schedule'!Pay_Num)*12/'DLL Schedule'!Num_Pmt_Per_Year,DAY('DLL Schedule'!Loan_Start)),"")</f>
        <v/>
      </c>
      <c r="C26" s="525" t="str">
        <f>IF('DLL Schedule'!Pay_Num&lt;&gt;"",I25,"")</f>
        <v/>
      </c>
      <c r="D26" s="525" t="str">
        <f>IF('DLL Schedule'!Pay_Num&lt;&gt;"",'DLL Schedule'!Scheduled_Monthly_Payment,"")</f>
        <v/>
      </c>
      <c r="E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" s="525" t="str">
        <f>IF('DLL Schedule'!Pay_Num&lt;&gt;"",IF('DLL Schedule'!Sched_Pay+'DLL Schedule'!Extra_Pay&lt;'DLL Schedule'!Beg_Bal,'DLL Schedule'!Sched_Pay+'DLL Schedule'!Extra_Pay,'DLL Schedule'!Beg_Bal),"")</f>
        <v/>
      </c>
      <c r="G26" s="525" t="str">
        <f>IF('DLL Schedule'!Pay_Num&lt;&gt;"",'DLL Schedule'!Total_Pay-'DLL Schedule'!Int,"")</f>
        <v/>
      </c>
      <c r="H26" s="525" t="str">
        <f>IF('DLL Schedule'!Pay_Num&lt;&gt;"",'DLL Schedule'!Beg_Bal*'DLL Schedule'!Interest_Rate/'DLL Schedule'!Num_Pmt_Per_Year,"")</f>
        <v/>
      </c>
      <c r="I26" s="525" t="str">
        <f>IF('DLL Schedule'!Pay_Num&lt;&gt;"",IF('DLL Schedule'!Sched_Pay+'DLL Schedule'!Extra_Pay&lt;'DLL Schedule'!Beg_Bal,'DLL Schedule'!Beg_Bal-'DLL Schedule'!Princ,0),"")</f>
        <v/>
      </c>
      <c r="J26" s="525">
        <f>SUM($H$18:$H26)</f>
        <v>0</v>
      </c>
      <c r="K26" s="499"/>
    </row>
    <row r="27" spans="1:11" ht="12.75" customHeight="1">
      <c r="A27" s="523" t="str">
        <f>IF(AND('DLL Schedule'!Values_Entered=1,A26&lt;&gt;"",I26&gt;0),A26+1,"")</f>
        <v/>
      </c>
      <c r="B27" s="524" t="str">
        <f>IF('DLL Schedule'!Pay_Num&lt;&gt;"",DATE(YEAR('DLL Schedule'!Loan_Start),MONTH('DLL Schedule'!Loan_Start)+('DLL Schedule'!Pay_Num)*12/'DLL Schedule'!Num_Pmt_Per_Year,DAY('DLL Schedule'!Loan_Start)),"")</f>
        <v/>
      </c>
      <c r="C27" s="525" t="str">
        <f>IF('DLL Schedule'!Pay_Num&lt;&gt;"",I26,"")</f>
        <v/>
      </c>
      <c r="D27" s="525" t="str">
        <f>IF('DLL Schedule'!Pay_Num&lt;&gt;"",'DLL Schedule'!Scheduled_Monthly_Payment,"")</f>
        <v/>
      </c>
      <c r="E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" s="525" t="str">
        <f>IF('DLL Schedule'!Pay_Num&lt;&gt;"",IF('DLL Schedule'!Sched_Pay+'DLL Schedule'!Extra_Pay&lt;'DLL Schedule'!Beg_Bal,'DLL Schedule'!Sched_Pay+'DLL Schedule'!Extra_Pay,'DLL Schedule'!Beg_Bal),"")</f>
        <v/>
      </c>
      <c r="G27" s="525" t="str">
        <f>IF('DLL Schedule'!Pay_Num&lt;&gt;"",'DLL Schedule'!Total_Pay-'DLL Schedule'!Int,"")</f>
        <v/>
      </c>
      <c r="H27" s="525" t="str">
        <f>IF('DLL Schedule'!Pay_Num&lt;&gt;"",'DLL Schedule'!Beg_Bal*'DLL Schedule'!Interest_Rate/'DLL Schedule'!Num_Pmt_Per_Year,"")</f>
        <v/>
      </c>
      <c r="I27" s="525" t="str">
        <f>IF('DLL Schedule'!Pay_Num&lt;&gt;"",IF('DLL Schedule'!Sched_Pay+'DLL Schedule'!Extra_Pay&lt;'DLL Schedule'!Beg_Bal,'DLL Schedule'!Beg_Bal-'DLL Schedule'!Princ,0),"")</f>
        <v/>
      </c>
      <c r="J27" s="525">
        <f>SUM($H$18:$H27)</f>
        <v>0</v>
      </c>
      <c r="K27" s="499"/>
    </row>
    <row r="28" spans="1:11" ht="12.75" customHeight="1">
      <c r="A28" s="523" t="str">
        <f>IF(AND('DLL Schedule'!Values_Entered=1,A27&lt;&gt;"",I27&gt;0),A27+1,"")</f>
        <v/>
      </c>
      <c r="B28" s="524" t="str">
        <f>IF('DLL Schedule'!Pay_Num&lt;&gt;"",DATE(YEAR('DLL Schedule'!Loan_Start),MONTH('DLL Schedule'!Loan_Start)+('DLL Schedule'!Pay_Num)*12/'DLL Schedule'!Num_Pmt_Per_Year,DAY('DLL Schedule'!Loan_Start)),"")</f>
        <v/>
      </c>
      <c r="C28" s="525" t="str">
        <f>IF('DLL Schedule'!Pay_Num&lt;&gt;"",I27,"")</f>
        <v/>
      </c>
      <c r="D28" s="525" t="str">
        <f>IF('DLL Schedule'!Pay_Num&lt;&gt;"",'DLL Schedule'!Scheduled_Monthly_Payment,"")</f>
        <v/>
      </c>
      <c r="E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" s="525" t="str">
        <f>IF('DLL Schedule'!Pay_Num&lt;&gt;"",IF('DLL Schedule'!Sched_Pay+'DLL Schedule'!Extra_Pay&lt;'DLL Schedule'!Beg_Bal,'DLL Schedule'!Sched_Pay+'DLL Schedule'!Extra_Pay,'DLL Schedule'!Beg_Bal),"")</f>
        <v/>
      </c>
      <c r="G28" s="525" t="str">
        <f>IF('DLL Schedule'!Pay_Num&lt;&gt;"",'DLL Schedule'!Total_Pay-'DLL Schedule'!Int,"")</f>
        <v/>
      </c>
      <c r="H28" s="525" t="str">
        <f>IF('DLL Schedule'!Pay_Num&lt;&gt;"",'DLL Schedule'!Beg_Bal*'DLL Schedule'!Interest_Rate/'DLL Schedule'!Num_Pmt_Per_Year,"")</f>
        <v/>
      </c>
      <c r="I28" s="525" t="str">
        <f>IF('DLL Schedule'!Pay_Num&lt;&gt;"",IF('DLL Schedule'!Sched_Pay+'DLL Schedule'!Extra_Pay&lt;'DLL Schedule'!Beg_Bal,'DLL Schedule'!Beg_Bal-'DLL Schedule'!Princ,0),"")</f>
        <v/>
      </c>
      <c r="J28" s="525">
        <f>SUM($H$18:$H28)</f>
        <v>0</v>
      </c>
      <c r="K28" s="499"/>
    </row>
    <row r="29" spans="1:11" ht="12.75" customHeight="1">
      <c r="A29" s="523" t="str">
        <f>IF(AND('DLL Schedule'!Values_Entered=1,A28&lt;&gt;"",I28&gt;0),A28+1,"")</f>
        <v/>
      </c>
      <c r="B29" s="524" t="str">
        <f>IF('DLL Schedule'!Pay_Num&lt;&gt;"",DATE(YEAR('DLL Schedule'!Loan_Start),MONTH('DLL Schedule'!Loan_Start)+('DLL Schedule'!Pay_Num)*12/'DLL Schedule'!Num_Pmt_Per_Year,DAY('DLL Schedule'!Loan_Start)),"")</f>
        <v/>
      </c>
      <c r="C29" s="525" t="str">
        <f>IF('DLL Schedule'!Pay_Num&lt;&gt;"",I28,"")</f>
        <v/>
      </c>
      <c r="D29" s="525" t="str">
        <f>IF('DLL Schedule'!Pay_Num&lt;&gt;"",'DLL Schedule'!Scheduled_Monthly_Payment,"")</f>
        <v/>
      </c>
      <c r="E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" s="525" t="str">
        <f>IF('DLL Schedule'!Pay_Num&lt;&gt;"",IF('DLL Schedule'!Sched_Pay+'DLL Schedule'!Extra_Pay&lt;'DLL Schedule'!Beg_Bal,'DLL Schedule'!Sched_Pay+'DLL Schedule'!Extra_Pay,'DLL Schedule'!Beg_Bal),"")</f>
        <v/>
      </c>
      <c r="G29" s="525" t="str">
        <f>IF('DLL Schedule'!Pay_Num&lt;&gt;"",'DLL Schedule'!Total_Pay-'DLL Schedule'!Int,"")</f>
        <v/>
      </c>
      <c r="H29" s="525" t="str">
        <f>IF('DLL Schedule'!Pay_Num&lt;&gt;"",'DLL Schedule'!Beg_Bal*'DLL Schedule'!Interest_Rate/'DLL Schedule'!Num_Pmt_Per_Year,"")</f>
        <v/>
      </c>
      <c r="I29" s="525" t="str">
        <f>IF('DLL Schedule'!Pay_Num&lt;&gt;"",IF('DLL Schedule'!Sched_Pay+'DLL Schedule'!Extra_Pay&lt;'DLL Schedule'!Beg_Bal,'DLL Schedule'!Beg_Bal-'DLL Schedule'!Princ,0),"")</f>
        <v/>
      </c>
      <c r="J29" s="525">
        <f>SUM($H$18:$H29)</f>
        <v>0</v>
      </c>
      <c r="K29" s="499"/>
    </row>
    <row r="30" spans="1:11" ht="12.75" customHeight="1">
      <c r="A30" s="523" t="str">
        <f>IF(AND('DLL Schedule'!Values_Entered=1,A29&lt;&gt;"",I29&gt;0),A29+1,"")</f>
        <v/>
      </c>
      <c r="B30" s="524" t="str">
        <f>IF('DLL Schedule'!Pay_Num&lt;&gt;"",DATE(YEAR('DLL Schedule'!Loan_Start),MONTH('DLL Schedule'!Loan_Start)+('DLL Schedule'!Pay_Num)*12/'DLL Schedule'!Num_Pmt_Per_Year,DAY('DLL Schedule'!Loan_Start)),"")</f>
        <v/>
      </c>
      <c r="C30" s="525" t="str">
        <f>IF('DLL Schedule'!Pay_Num&lt;&gt;"",I29,"")</f>
        <v/>
      </c>
      <c r="D30" s="525" t="str">
        <f>IF('DLL Schedule'!Pay_Num&lt;&gt;"",'DLL Schedule'!Scheduled_Monthly_Payment,"")</f>
        <v/>
      </c>
      <c r="E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" s="525" t="str">
        <f>IF('DLL Schedule'!Pay_Num&lt;&gt;"",IF('DLL Schedule'!Sched_Pay+'DLL Schedule'!Extra_Pay&lt;'DLL Schedule'!Beg_Bal,'DLL Schedule'!Sched_Pay+'DLL Schedule'!Extra_Pay,'DLL Schedule'!Beg_Bal),"")</f>
        <v/>
      </c>
      <c r="G30" s="525" t="str">
        <f>IF('DLL Schedule'!Pay_Num&lt;&gt;"",'DLL Schedule'!Total_Pay-'DLL Schedule'!Int,"")</f>
        <v/>
      </c>
      <c r="H30" s="525" t="str">
        <f>IF('DLL Schedule'!Pay_Num&lt;&gt;"",'DLL Schedule'!Beg_Bal*'DLL Schedule'!Interest_Rate/'DLL Schedule'!Num_Pmt_Per_Year,"")</f>
        <v/>
      </c>
      <c r="I30" s="525" t="str">
        <f>IF('DLL Schedule'!Pay_Num&lt;&gt;"",IF('DLL Schedule'!Sched_Pay+'DLL Schedule'!Extra_Pay&lt;'DLL Schedule'!Beg_Bal,'DLL Schedule'!Beg_Bal-'DLL Schedule'!Princ,0),"")</f>
        <v/>
      </c>
      <c r="J30" s="525">
        <f>SUM($H$18:$H30)</f>
        <v>0</v>
      </c>
      <c r="K30" s="499"/>
    </row>
    <row r="31" spans="1:11" ht="12.75" customHeight="1">
      <c r="A31" s="523" t="str">
        <f>IF(AND('DLL Schedule'!Values_Entered=1,A30&lt;&gt;"",I30&gt;0),A30+1,"")</f>
        <v/>
      </c>
      <c r="B31" s="524" t="str">
        <f>IF('DLL Schedule'!Pay_Num&lt;&gt;"",DATE(YEAR('DLL Schedule'!Loan_Start),MONTH('DLL Schedule'!Loan_Start)+('DLL Schedule'!Pay_Num)*12/'DLL Schedule'!Num_Pmt_Per_Year,DAY('DLL Schedule'!Loan_Start)),"")</f>
        <v/>
      </c>
      <c r="C31" s="525" t="str">
        <f>IF('DLL Schedule'!Pay_Num&lt;&gt;"",I30,"")</f>
        <v/>
      </c>
      <c r="D31" s="525" t="str">
        <f>IF('DLL Schedule'!Pay_Num&lt;&gt;"",'DLL Schedule'!Scheduled_Monthly_Payment,"")</f>
        <v/>
      </c>
      <c r="E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" s="525" t="str">
        <f>IF('DLL Schedule'!Pay_Num&lt;&gt;"",IF('DLL Schedule'!Sched_Pay+'DLL Schedule'!Extra_Pay&lt;'DLL Schedule'!Beg_Bal,'DLL Schedule'!Sched_Pay+'DLL Schedule'!Extra_Pay,'DLL Schedule'!Beg_Bal),"")</f>
        <v/>
      </c>
      <c r="G31" s="525" t="str">
        <f>IF('DLL Schedule'!Pay_Num&lt;&gt;"",'DLL Schedule'!Total_Pay-'DLL Schedule'!Int,"")</f>
        <v/>
      </c>
      <c r="H31" s="525" t="str">
        <f>IF('DLL Schedule'!Pay_Num&lt;&gt;"",'DLL Schedule'!Beg_Bal*'DLL Schedule'!Interest_Rate/'DLL Schedule'!Num_Pmt_Per_Year,"")</f>
        <v/>
      </c>
      <c r="I31" s="525" t="str">
        <f>IF('DLL Schedule'!Pay_Num&lt;&gt;"",IF('DLL Schedule'!Sched_Pay+'DLL Schedule'!Extra_Pay&lt;'DLL Schedule'!Beg_Bal,'DLL Schedule'!Beg_Bal-'DLL Schedule'!Princ,0),"")</f>
        <v/>
      </c>
      <c r="J31" s="525">
        <f>SUM($H$18:$H31)</f>
        <v>0</v>
      </c>
      <c r="K31" s="499"/>
    </row>
    <row r="32" spans="1:11" ht="12.75" customHeight="1">
      <c r="A32" s="523" t="str">
        <f>IF(AND('DLL Schedule'!Values_Entered=1,A31&lt;&gt;"",I31&gt;0),A31+1,"")</f>
        <v/>
      </c>
      <c r="B32" s="524" t="str">
        <f>IF('DLL Schedule'!Pay_Num&lt;&gt;"",DATE(YEAR('DLL Schedule'!Loan_Start),MONTH('DLL Schedule'!Loan_Start)+('DLL Schedule'!Pay_Num)*12/'DLL Schedule'!Num_Pmt_Per_Year,DAY('DLL Schedule'!Loan_Start)),"")</f>
        <v/>
      </c>
      <c r="C32" s="525" t="str">
        <f>IF('DLL Schedule'!Pay_Num&lt;&gt;"",I31,"")</f>
        <v/>
      </c>
      <c r="D32" s="525" t="str">
        <f>IF('DLL Schedule'!Pay_Num&lt;&gt;"",'DLL Schedule'!Scheduled_Monthly_Payment,"")</f>
        <v/>
      </c>
      <c r="E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" s="525" t="str">
        <f>IF('DLL Schedule'!Pay_Num&lt;&gt;"",IF('DLL Schedule'!Sched_Pay+'DLL Schedule'!Extra_Pay&lt;'DLL Schedule'!Beg_Bal,'DLL Schedule'!Sched_Pay+'DLL Schedule'!Extra_Pay,'DLL Schedule'!Beg_Bal),"")</f>
        <v/>
      </c>
      <c r="G32" s="525" t="str">
        <f>IF('DLL Schedule'!Pay_Num&lt;&gt;"",'DLL Schedule'!Total_Pay-'DLL Schedule'!Int,"")</f>
        <v/>
      </c>
      <c r="H32" s="525" t="str">
        <f>IF('DLL Schedule'!Pay_Num&lt;&gt;"",'DLL Schedule'!Beg_Bal*'DLL Schedule'!Interest_Rate/'DLL Schedule'!Num_Pmt_Per_Year,"")</f>
        <v/>
      </c>
      <c r="I32" s="525" t="str">
        <f>IF('DLL Schedule'!Pay_Num&lt;&gt;"",IF('DLL Schedule'!Sched_Pay+'DLL Schedule'!Extra_Pay&lt;'DLL Schedule'!Beg_Bal,'DLL Schedule'!Beg_Bal-'DLL Schedule'!Princ,0),"")</f>
        <v/>
      </c>
      <c r="J32" s="525">
        <f>SUM($H$18:$H32)</f>
        <v>0</v>
      </c>
      <c r="K32" s="499"/>
    </row>
    <row r="33" spans="1:11" ht="12.75" customHeight="1">
      <c r="A33" s="523" t="str">
        <f>IF(AND('DLL Schedule'!Values_Entered=1,A32&lt;&gt;"",I32&gt;0),A32+1,"")</f>
        <v/>
      </c>
      <c r="B33" s="524" t="str">
        <f>IF('DLL Schedule'!Pay_Num&lt;&gt;"",DATE(YEAR('DLL Schedule'!Loan_Start),MONTH('DLL Schedule'!Loan_Start)+('DLL Schedule'!Pay_Num)*12/'DLL Schedule'!Num_Pmt_Per_Year,DAY('DLL Schedule'!Loan_Start)),"")</f>
        <v/>
      </c>
      <c r="C33" s="525" t="str">
        <f>IF('DLL Schedule'!Pay_Num&lt;&gt;"",I32,"")</f>
        <v/>
      </c>
      <c r="D33" s="525" t="str">
        <f>IF('DLL Schedule'!Pay_Num&lt;&gt;"",'DLL Schedule'!Scheduled_Monthly_Payment,"")</f>
        <v/>
      </c>
      <c r="E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" s="525" t="str">
        <f>IF('DLL Schedule'!Pay_Num&lt;&gt;"",IF('DLL Schedule'!Sched_Pay+'DLL Schedule'!Extra_Pay&lt;'DLL Schedule'!Beg_Bal,'DLL Schedule'!Sched_Pay+'DLL Schedule'!Extra_Pay,'DLL Schedule'!Beg_Bal),"")</f>
        <v/>
      </c>
      <c r="G33" s="525" t="str">
        <f>IF('DLL Schedule'!Pay_Num&lt;&gt;"",'DLL Schedule'!Total_Pay-'DLL Schedule'!Int,"")</f>
        <v/>
      </c>
      <c r="H33" s="525" t="str">
        <f>IF('DLL Schedule'!Pay_Num&lt;&gt;"",'DLL Schedule'!Beg_Bal*'DLL Schedule'!Interest_Rate/'DLL Schedule'!Num_Pmt_Per_Year,"")</f>
        <v/>
      </c>
      <c r="I33" s="525" t="str">
        <f>IF('DLL Schedule'!Pay_Num&lt;&gt;"",IF('DLL Schedule'!Sched_Pay+'DLL Schedule'!Extra_Pay&lt;'DLL Schedule'!Beg_Bal,'DLL Schedule'!Beg_Bal-'DLL Schedule'!Princ,0),"")</f>
        <v/>
      </c>
      <c r="J33" s="525">
        <f>SUM($H$18:$H33)</f>
        <v>0</v>
      </c>
      <c r="K33" s="499"/>
    </row>
    <row r="34" spans="1:11" ht="12.75" customHeight="1">
      <c r="A34" s="523" t="str">
        <f>IF(AND('DLL Schedule'!Values_Entered=1,A33&lt;&gt;"",I33&gt;0),A33+1,"")</f>
        <v/>
      </c>
      <c r="B34" s="524" t="str">
        <f>IF('DLL Schedule'!Pay_Num&lt;&gt;"",DATE(YEAR('DLL Schedule'!Loan_Start),MONTH('DLL Schedule'!Loan_Start)+('DLL Schedule'!Pay_Num)*12/'DLL Schedule'!Num_Pmt_Per_Year,DAY('DLL Schedule'!Loan_Start)),"")</f>
        <v/>
      </c>
      <c r="C34" s="525" t="str">
        <f>IF('DLL Schedule'!Pay_Num&lt;&gt;"",I33,"")</f>
        <v/>
      </c>
      <c r="D34" s="525" t="str">
        <f>IF('DLL Schedule'!Pay_Num&lt;&gt;"",'DLL Schedule'!Scheduled_Monthly_Payment,"")</f>
        <v/>
      </c>
      <c r="E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" s="525" t="str">
        <f>IF('DLL Schedule'!Pay_Num&lt;&gt;"",IF('DLL Schedule'!Sched_Pay+'DLL Schedule'!Extra_Pay&lt;'DLL Schedule'!Beg_Bal,'DLL Schedule'!Sched_Pay+'DLL Schedule'!Extra_Pay,'DLL Schedule'!Beg_Bal),"")</f>
        <v/>
      </c>
      <c r="G34" s="525" t="str">
        <f>IF('DLL Schedule'!Pay_Num&lt;&gt;"",'DLL Schedule'!Total_Pay-'DLL Schedule'!Int,"")</f>
        <v/>
      </c>
      <c r="H34" s="525" t="str">
        <f>IF('DLL Schedule'!Pay_Num&lt;&gt;"",'DLL Schedule'!Beg_Bal*'DLL Schedule'!Interest_Rate/'DLL Schedule'!Num_Pmt_Per_Year,"")</f>
        <v/>
      </c>
      <c r="I34" s="525" t="str">
        <f>IF('DLL Schedule'!Pay_Num&lt;&gt;"",IF('DLL Schedule'!Sched_Pay+'DLL Schedule'!Extra_Pay&lt;'DLL Schedule'!Beg_Bal,'DLL Schedule'!Beg_Bal-'DLL Schedule'!Princ,0),"")</f>
        <v/>
      </c>
      <c r="J34" s="525">
        <f>SUM($H$18:$H34)</f>
        <v>0</v>
      </c>
      <c r="K34" s="499"/>
    </row>
    <row r="35" spans="1:11" ht="12.75" customHeight="1">
      <c r="A35" s="523" t="str">
        <f>IF(AND('DLL Schedule'!Values_Entered=1,A34&lt;&gt;"",I34&gt;0),A34+1,"")</f>
        <v/>
      </c>
      <c r="B35" s="524" t="str">
        <f>IF('DLL Schedule'!Pay_Num&lt;&gt;"",DATE(YEAR('DLL Schedule'!Loan_Start),MONTH('DLL Schedule'!Loan_Start)+('DLL Schedule'!Pay_Num)*12/'DLL Schedule'!Num_Pmt_Per_Year,DAY('DLL Schedule'!Loan_Start)),"")</f>
        <v/>
      </c>
      <c r="C35" s="525" t="str">
        <f>IF('DLL Schedule'!Pay_Num&lt;&gt;"",I34,"")</f>
        <v/>
      </c>
      <c r="D35" s="525" t="str">
        <f>IF('DLL Schedule'!Pay_Num&lt;&gt;"",'DLL Schedule'!Scheduled_Monthly_Payment,"")</f>
        <v/>
      </c>
      <c r="E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" s="525" t="str">
        <f>IF('DLL Schedule'!Pay_Num&lt;&gt;"",IF('DLL Schedule'!Sched_Pay+'DLL Schedule'!Extra_Pay&lt;'DLL Schedule'!Beg_Bal,'DLL Schedule'!Sched_Pay+'DLL Schedule'!Extra_Pay,'DLL Schedule'!Beg_Bal),"")</f>
        <v/>
      </c>
      <c r="G35" s="525" t="str">
        <f>IF('DLL Schedule'!Pay_Num&lt;&gt;"",'DLL Schedule'!Total_Pay-'DLL Schedule'!Int,"")</f>
        <v/>
      </c>
      <c r="H35" s="525" t="str">
        <f>IF('DLL Schedule'!Pay_Num&lt;&gt;"",'DLL Schedule'!Beg_Bal*'DLL Schedule'!Interest_Rate/'DLL Schedule'!Num_Pmt_Per_Year,"")</f>
        <v/>
      </c>
      <c r="I35" s="525" t="str">
        <f>IF('DLL Schedule'!Pay_Num&lt;&gt;"",IF('DLL Schedule'!Sched_Pay+'DLL Schedule'!Extra_Pay&lt;'DLL Schedule'!Beg_Bal,'DLL Schedule'!Beg_Bal-'DLL Schedule'!Princ,0),"")</f>
        <v/>
      </c>
      <c r="J35" s="525">
        <f>SUM($H$18:$H35)</f>
        <v>0</v>
      </c>
      <c r="K35" s="499"/>
    </row>
    <row r="36" spans="1:11" ht="12.75" customHeight="1">
      <c r="A36" s="523" t="str">
        <f>IF(AND('DLL Schedule'!Values_Entered=1,A35&lt;&gt;"",I35&gt;0),A35+1,"")</f>
        <v/>
      </c>
      <c r="B36" s="524" t="str">
        <f>IF('DLL Schedule'!Pay_Num&lt;&gt;"",DATE(YEAR('DLL Schedule'!Loan_Start),MONTH('DLL Schedule'!Loan_Start)+('DLL Schedule'!Pay_Num)*12/'DLL Schedule'!Num_Pmt_Per_Year,DAY('DLL Schedule'!Loan_Start)),"")</f>
        <v/>
      </c>
      <c r="C36" s="525" t="str">
        <f>IF('DLL Schedule'!Pay_Num&lt;&gt;"",I35,"")</f>
        <v/>
      </c>
      <c r="D36" s="525" t="str">
        <f>IF('DLL Schedule'!Pay_Num&lt;&gt;"",'DLL Schedule'!Scheduled_Monthly_Payment,"")</f>
        <v/>
      </c>
      <c r="E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" s="525" t="str">
        <f>IF('DLL Schedule'!Pay_Num&lt;&gt;"",IF('DLL Schedule'!Sched_Pay+'DLL Schedule'!Extra_Pay&lt;'DLL Schedule'!Beg_Bal,'DLL Schedule'!Sched_Pay+'DLL Schedule'!Extra_Pay,'DLL Schedule'!Beg_Bal),"")</f>
        <v/>
      </c>
      <c r="G36" s="525" t="str">
        <f>IF('DLL Schedule'!Pay_Num&lt;&gt;"",'DLL Schedule'!Total_Pay-'DLL Schedule'!Int,"")</f>
        <v/>
      </c>
      <c r="H36" s="525" t="str">
        <f>IF('DLL Schedule'!Pay_Num&lt;&gt;"",'DLL Schedule'!Beg_Bal*'DLL Schedule'!Interest_Rate/'DLL Schedule'!Num_Pmt_Per_Year,"")</f>
        <v/>
      </c>
      <c r="I36" s="525" t="str">
        <f>IF('DLL Schedule'!Pay_Num&lt;&gt;"",IF('DLL Schedule'!Sched_Pay+'DLL Schedule'!Extra_Pay&lt;'DLL Schedule'!Beg_Bal,'DLL Schedule'!Beg_Bal-'DLL Schedule'!Princ,0),"")</f>
        <v/>
      </c>
      <c r="J36" s="525">
        <f>SUM($H$18:$H36)</f>
        <v>0</v>
      </c>
      <c r="K36" s="499"/>
    </row>
    <row r="37" spans="1:11" ht="12.75" customHeight="1">
      <c r="A37" s="523" t="str">
        <f>IF(AND('DLL Schedule'!Values_Entered=1,A36&lt;&gt;"",I36&gt;0),A36+1,"")</f>
        <v/>
      </c>
      <c r="B37" s="524" t="str">
        <f>IF('DLL Schedule'!Pay_Num&lt;&gt;"",DATE(YEAR('DLL Schedule'!Loan_Start),MONTH('DLL Schedule'!Loan_Start)+('DLL Schedule'!Pay_Num)*12/'DLL Schedule'!Num_Pmt_Per_Year,DAY('DLL Schedule'!Loan_Start)),"")</f>
        <v/>
      </c>
      <c r="C37" s="525" t="str">
        <f>IF('DLL Schedule'!Pay_Num&lt;&gt;"",I36,"")</f>
        <v/>
      </c>
      <c r="D37" s="525" t="str">
        <f>IF('DLL Schedule'!Pay_Num&lt;&gt;"",'DLL Schedule'!Scheduled_Monthly_Payment,"")</f>
        <v/>
      </c>
      <c r="E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" s="525" t="str">
        <f>IF('DLL Schedule'!Pay_Num&lt;&gt;"",IF('DLL Schedule'!Sched_Pay+'DLL Schedule'!Extra_Pay&lt;'DLL Schedule'!Beg_Bal,'DLL Schedule'!Sched_Pay+'DLL Schedule'!Extra_Pay,'DLL Schedule'!Beg_Bal),"")</f>
        <v/>
      </c>
      <c r="G37" s="525" t="str">
        <f>IF('DLL Schedule'!Pay_Num&lt;&gt;"",'DLL Schedule'!Total_Pay-'DLL Schedule'!Int,"")</f>
        <v/>
      </c>
      <c r="H37" s="525" t="str">
        <f>IF('DLL Schedule'!Pay_Num&lt;&gt;"",'DLL Schedule'!Beg_Bal*'DLL Schedule'!Interest_Rate/'DLL Schedule'!Num_Pmt_Per_Year,"")</f>
        <v/>
      </c>
      <c r="I37" s="525" t="str">
        <f>IF('DLL Schedule'!Pay_Num&lt;&gt;"",IF('DLL Schedule'!Sched_Pay+'DLL Schedule'!Extra_Pay&lt;'DLL Schedule'!Beg_Bal,'DLL Schedule'!Beg_Bal-'DLL Schedule'!Princ,0),"")</f>
        <v/>
      </c>
      <c r="J37" s="525">
        <f>SUM($H$18:$H37)</f>
        <v>0</v>
      </c>
      <c r="K37" s="499"/>
    </row>
    <row r="38" spans="1:11" ht="12.75" customHeight="1">
      <c r="A38" s="523" t="str">
        <f>IF(AND('DLL Schedule'!Values_Entered=1,A37&lt;&gt;"",I37&gt;0),A37+1,"")</f>
        <v/>
      </c>
      <c r="B38" s="524" t="str">
        <f>IF('DLL Schedule'!Pay_Num&lt;&gt;"",DATE(YEAR('DLL Schedule'!Loan_Start),MONTH('DLL Schedule'!Loan_Start)+('DLL Schedule'!Pay_Num)*12/'DLL Schedule'!Num_Pmt_Per_Year,DAY('DLL Schedule'!Loan_Start)),"")</f>
        <v/>
      </c>
      <c r="C38" s="525" t="str">
        <f>IF('DLL Schedule'!Pay_Num&lt;&gt;"",I37,"")</f>
        <v/>
      </c>
      <c r="D38" s="525" t="str">
        <f>IF('DLL Schedule'!Pay_Num&lt;&gt;"",'DLL Schedule'!Scheduled_Monthly_Payment,"")</f>
        <v/>
      </c>
      <c r="E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" s="525" t="str">
        <f>IF('DLL Schedule'!Pay_Num&lt;&gt;"",IF('DLL Schedule'!Sched_Pay+'DLL Schedule'!Extra_Pay&lt;'DLL Schedule'!Beg_Bal,'DLL Schedule'!Sched_Pay+'DLL Schedule'!Extra_Pay,'DLL Schedule'!Beg_Bal),"")</f>
        <v/>
      </c>
      <c r="G38" s="525" t="str">
        <f>IF('DLL Schedule'!Pay_Num&lt;&gt;"",'DLL Schedule'!Total_Pay-'DLL Schedule'!Int,"")</f>
        <v/>
      </c>
      <c r="H38" s="525" t="str">
        <f>IF('DLL Schedule'!Pay_Num&lt;&gt;"",'DLL Schedule'!Beg_Bal*'DLL Schedule'!Interest_Rate/'DLL Schedule'!Num_Pmt_Per_Year,"")</f>
        <v/>
      </c>
      <c r="I38" s="525" t="str">
        <f>IF('DLL Schedule'!Pay_Num&lt;&gt;"",IF('DLL Schedule'!Sched_Pay+'DLL Schedule'!Extra_Pay&lt;'DLL Schedule'!Beg_Bal,'DLL Schedule'!Beg_Bal-'DLL Schedule'!Princ,0),"")</f>
        <v/>
      </c>
      <c r="J38" s="525">
        <f>SUM($H$18:$H38)</f>
        <v>0</v>
      </c>
      <c r="K38" s="499"/>
    </row>
    <row r="39" spans="1:11" ht="12.75" customHeight="1">
      <c r="A39" s="523" t="str">
        <f>IF(AND('DLL Schedule'!Values_Entered=1,A38&lt;&gt;"",I38&gt;0),A38+1,"")</f>
        <v/>
      </c>
      <c r="B39" s="524" t="str">
        <f>IF('DLL Schedule'!Pay_Num&lt;&gt;"",DATE(YEAR('DLL Schedule'!Loan_Start),MONTH('DLL Schedule'!Loan_Start)+('DLL Schedule'!Pay_Num)*12/'DLL Schedule'!Num_Pmt_Per_Year,DAY('DLL Schedule'!Loan_Start)),"")</f>
        <v/>
      </c>
      <c r="C39" s="525" t="str">
        <f>IF('DLL Schedule'!Pay_Num&lt;&gt;"",I38,"")</f>
        <v/>
      </c>
      <c r="D39" s="525" t="str">
        <f>IF('DLL Schedule'!Pay_Num&lt;&gt;"",'DLL Schedule'!Scheduled_Monthly_Payment,"")</f>
        <v/>
      </c>
      <c r="E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" s="525" t="str">
        <f>IF('DLL Schedule'!Pay_Num&lt;&gt;"",IF('DLL Schedule'!Sched_Pay+'DLL Schedule'!Extra_Pay&lt;'DLL Schedule'!Beg_Bal,'DLL Schedule'!Sched_Pay+'DLL Schedule'!Extra_Pay,'DLL Schedule'!Beg_Bal),"")</f>
        <v/>
      </c>
      <c r="G39" s="525" t="str">
        <f>IF('DLL Schedule'!Pay_Num&lt;&gt;"",'DLL Schedule'!Total_Pay-'DLL Schedule'!Int,"")</f>
        <v/>
      </c>
      <c r="H39" s="525" t="str">
        <f>IF('DLL Schedule'!Pay_Num&lt;&gt;"",'DLL Schedule'!Beg_Bal*'DLL Schedule'!Interest_Rate/'DLL Schedule'!Num_Pmt_Per_Year,"")</f>
        <v/>
      </c>
      <c r="I39" s="525" t="str">
        <f>IF('DLL Schedule'!Pay_Num&lt;&gt;"",IF('DLL Schedule'!Sched_Pay+'DLL Schedule'!Extra_Pay&lt;'DLL Schedule'!Beg_Bal,'DLL Schedule'!Beg_Bal-'DLL Schedule'!Princ,0),"")</f>
        <v/>
      </c>
      <c r="J39" s="525">
        <f>SUM($H$18:$H39)</f>
        <v>0</v>
      </c>
      <c r="K39" s="499"/>
    </row>
    <row r="40" spans="1:11" ht="12.75" customHeight="1">
      <c r="A40" s="523" t="str">
        <f>IF(AND('DLL Schedule'!Values_Entered=1,A39&lt;&gt;"",I39&gt;0),A39+1,"")</f>
        <v/>
      </c>
      <c r="B40" s="524" t="str">
        <f>IF('DLL Schedule'!Pay_Num&lt;&gt;"",DATE(YEAR('DLL Schedule'!Loan_Start),MONTH('DLL Schedule'!Loan_Start)+('DLL Schedule'!Pay_Num)*12/'DLL Schedule'!Num_Pmt_Per_Year,DAY('DLL Schedule'!Loan_Start)),"")</f>
        <v/>
      </c>
      <c r="C40" s="525" t="str">
        <f>IF('DLL Schedule'!Pay_Num&lt;&gt;"",I39,"")</f>
        <v/>
      </c>
      <c r="D40" s="525" t="str">
        <f>IF('DLL Schedule'!Pay_Num&lt;&gt;"",'DLL Schedule'!Scheduled_Monthly_Payment,"")</f>
        <v/>
      </c>
      <c r="E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" s="525" t="str">
        <f>IF('DLL Schedule'!Pay_Num&lt;&gt;"",IF('DLL Schedule'!Sched_Pay+'DLL Schedule'!Extra_Pay&lt;'DLL Schedule'!Beg_Bal,'DLL Schedule'!Sched_Pay+'DLL Schedule'!Extra_Pay,'DLL Schedule'!Beg_Bal),"")</f>
        <v/>
      </c>
      <c r="G40" s="525" t="str">
        <f>IF('DLL Schedule'!Pay_Num&lt;&gt;"",'DLL Schedule'!Total_Pay-'DLL Schedule'!Int,"")</f>
        <v/>
      </c>
      <c r="H40" s="525" t="str">
        <f>IF('DLL Schedule'!Pay_Num&lt;&gt;"",'DLL Schedule'!Beg_Bal*'DLL Schedule'!Interest_Rate/'DLL Schedule'!Num_Pmt_Per_Year,"")</f>
        <v/>
      </c>
      <c r="I40" s="525" t="str">
        <f>IF('DLL Schedule'!Pay_Num&lt;&gt;"",IF('DLL Schedule'!Sched_Pay+'DLL Schedule'!Extra_Pay&lt;'DLL Schedule'!Beg_Bal,'DLL Schedule'!Beg_Bal-'DLL Schedule'!Princ,0),"")</f>
        <v/>
      </c>
      <c r="J40" s="525">
        <f>SUM($H$18:$H40)</f>
        <v>0</v>
      </c>
      <c r="K40" s="499"/>
    </row>
    <row r="41" spans="1:11" ht="12.75" customHeight="1">
      <c r="A41" s="523" t="str">
        <f>IF(AND('DLL Schedule'!Values_Entered=1,A40&lt;&gt;"",I40&gt;0),A40+1,"")</f>
        <v/>
      </c>
      <c r="B41" s="524" t="str">
        <f>IF('DLL Schedule'!Pay_Num&lt;&gt;"",DATE(YEAR('DLL Schedule'!Loan_Start),MONTH('DLL Schedule'!Loan_Start)+('DLL Schedule'!Pay_Num)*12/'DLL Schedule'!Num_Pmt_Per_Year,DAY('DLL Schedule'!Loan_Start)),"")</f>
        <v/>
      </c>
      <c r="C41" s="525" t="str">
        <f>IF('DLL Schedule'!Pay_Num&lt;&gt;"",I40,"")</f>
        <v/>
      </c>
      <c r="D41" s="525" t="str">
        <f>IF('DLL Schedule'!Pay_Num&lt;&gt;"",'DLL Schedule'!Scheduled_Monthly_Payment,"")</f>
        <v/>
      </c>
      <c r="E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" s="525" t="str">
        <f>IF('DLL Schedule'!Pay_Num&lt;&gt;"",IF('DLL Schedule'!Sched_Pay+'DLL Schedule'!Extra_Pay&lt;'DLL Schedule'!Beg_Bal,'DLL Schedule'!Sched_Pay+'DLL Schedule'!Extra_Pay,'DLL Schedule'!Beg_Bal),"")</f>
        <v/>
      </c>
      <c r="G41" s="525" t="str">
        <f>IF('DLL Schedule'!Pay_Num&lt;&gt;"",'DLL Schedule'!Total_Pay-'DLL Schedule'!Int,"")</f>
        <v/>
      </c>
      <c r="H41" s="525" t="str">
        <f>IF('DLL Schedule'!Pay_Num&lt;&gt;"",'DLL Schedule'!Beg_Bal*'DLL Schedule'!Interest_Rate/'DLL Schedule'!Num_Pmt_Per_Year,"")</f>
        <v/>
      </c>
      <c r="I41" s="525" t="str">
        <f>IF('DLL Schedule'!Pay_Num&lt;&gt;"",IF('DLL Schedule'!Sched_Pay+'DLL Schedule'!Extra_Pay&lt;'DLL Schedule'!Beg_Bal,'DLL Schedule'!Beg_Bal-'DLL Schedule'!Princ,0),"")</f>
        <v/>
      </c>
      <c r="J41" s="525">
        <f>SUM($H$18:$H41)</f>
        <v>0</v>
      </c>
      <c r="K41" s="499"/>
    </row>
    <row r="42" spans="1:11" ht="12.75" customHeight="1">
      <c r="A42" s="523" t="str">
        <f>IF(AND('DLL Schedule'!Values_Entered=1,A41&lt;&gt;"",I41&gt;0),A41+1,"")</f>
        <v/>
      </c>
      <c r="B42" s="524" t="str">
        <f>IF('DLL Schedule'!Pay_Num&lt;&gt;"",DATE(YEAR('DLL Schedule'!Loan_Start),MONTH('DLL Schedule'!Loan_Start)+('DLL Schedule'!Pay_Num)*12/'DLL Schedule'!Num_Pmt_Per_Year,DAY('DLL Schedule'!Loan_Start)),"")</f>
        <v/>
      </c>
      <c r="C42" s="525" t="str">
        <f>IF('DLL Schedule'!Pay_Num&lt;&gt;"",I41,"")</f>
        <v/>
      </c>
      <c r="D42" s="525" t="str">
        <f>IF('DLL Schedule'!Pay_Num&lt;&gt;"",'DLL Schedule'!Scheduled_Monthly_Payment,"")</f>
        <v/>
      </c>
      <c r="E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" s="525" t="str">
        <f>IF('DLL Schedule'!Pay_Num&lt;&gt;"",IF('DLL Schedule'!Sched_Pay+'DLL Schedule'!Extra_Pay&lt;'DLL Schedule'!Beg_Bal,'DLL Schedule'!Sched_Pay+'DLL Schedule'!Extra_Pay,'DLL Schedule'!Beg_Bal),"")</f>
        <v/>
      </c>
      <c r="G42" s="525" t="str">
        <f>IF('DLL Schedule'!Pay_Num&lt;&gt;"",'DLL Schedule'!Total_Pay-'DLL Schedule'!Int,"")</f>
        <v/>
      </c>
      <c r="H42" s="525" t="str">
        <f>IF('DLL Schedule'!Pay_Num&lt;&gt;"",'DLL Schedule'!Beg_Bal*'DLL Schedule'!Interest_Rate/'DLL Schedule'!Num_Pmt_Per_Year,"")</f>
        <v/>
      </c>
      <c r="I42" s="525" t="str">
        <f>IF('DLL Schedule'!Pay_Num&lt;&gt;"",IF('DLL Schedule'!Sched_Pay+'DLL Schedule'!Extra_Pay&lt;'DLL Schedule'!Beg_Bal,'DLL Schedule'!Beg_Bal-'DLL Schedule'!Princ,0),"")</f>
        <v/>
      </c>
      <c r="J42" s="525">
        <f>SUM($H$18:$H42)</f>
        <v>0</v>
      </c>
      <c r="K42" s="499"/>
    </row>
    <row r="43" spans="1:11" ht="12.75" customHeight="1">
      <c r="A43" s="523" t="str">
        <f>IF(AND('DLL Schedule'!Values_Entered=1,A42&lt;&gt;"",I42&gt;0),A42+1,"")</f>
        <v/>
      </c>
      <c r="B43" s="524" t="str">
        <f>IF('DLL Schedule'!Pay_Num&lt;&gt;"",DATE(YEAR('DLL Schedule'!Loan_Start),MONTH('DLL Schedule'!Loan_Start)+('DLL Schedule'!Pay_Num)*12/'DLL Schedule'!Num_Pmt_Per_Year,DAY('DLL Schedule'!Loan_Start)),"")</f>
        <v/>
      </c>
      <c r="C43" s="525" t="str">
        <f>IF('DLL Schedule'!Pay_Num&lt;&gt;"",I42,"")</f>
        <v/>
      </c>
      <c r="D43" s="525" t="str">
        <f>IF('DLL Schedule'!Pay_Num&lt;&gt;"",'DLL Schedule'!Scheduled_Monthly_Payment,"")</f>
        <v/>
      </c>
      <c r="E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" s="525" t="str">
        <f>IF('DLL Schedule'!Pay_Num&lt;&gt;"",IF('DLL Schedule'!Sched_Pay+'DLL Schedule'!Extra_Pay&lt;'DLL Schedule'!Beg_Bal,'DLL Schedule'!Sched_Pay+'DLL Schedule'!Extra_Pay,'DLL Schedule'!Beg_Bal),"")</f>
        <v/>
      </c>
      <c r="G43" s="525" t="str">
        <f>IF('DLL Schedule'!Pay_Num&lt;&gt;"",'DLL Schedule'!Total_Pay-'DLL Schedule'!Int,"")</f>
        <v/>
      </c>
      <c r="H43" s="525" t="str">
        <f>IF('DLL Schedule'!Pay_Num&lt;&gt;"",'DLL Schedule'!Beg_Bal*'DLL Schedule'!Interest_Rate/'DLL Schedule'!Num_Pmt_Per_Year,"")</f>
        <v/>
      </c>
      <c r="I43" s="525" t="str">
        <f>IF('DLL Schedule'!Pay_Num&lt;&gt;"",IF('DLL Schedule'!Sched_Pay+'DLL Schedule'!Extra_Pay&lt;'DLL Schedule'!Beg_Bal,'DLL Schedule'!Beg_Bal-'DLL Schedule'!Princ,0),"")</f>
        <v/>
      </c>
      <c r="J43" s="525">
        <f>SUM($H$18:$H43)</f>
        <v>0</v>
      </c>
      <c r="K43" s="499"/>
    </row>
    <row r="44" spans="1:11" ht="12.75" customHeight="1">
      <c r="A44" s="523" t="str">
        <f>IF(AND('DLL Schedule'!Values_Entered=1,A43&lt;&gt;"",I43&gt;0),A43+1,"")</f>
        <v/>
      </c>
      <c r="B44" s="524" t="str">
        <f>IF('DLL Schedule'!Pay_Num&lt;&gt;"",DATE(YEAR('DLL Schedule'!Loan_Start),MONTH('DLL Schedule'!Loan_Start)+('DLL Schedule'!Pay_Num)*12/'DLL Schedule'!Num_Pmt_Per_Year,DAY('DLL Schedule'!Loan_Start)),"")</f>
        <v/>
      </c>
      <c r="C44" s="525" t="str">
        <f>IF('DLL Schedule'!Pay_Num&lt;&gt;"",I43,"")</f>
        <v/>
      </c>
      <c r="D44" s="525" t="str">
        <f>IF('DLL Schedule'!Pay_Num&lt;&gt;"",'DLL Schedule'!Scheduled_Monthly_Payment,"")</f>
        <v/>
      </c>
      <c r="E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" s="525" t="str">
        <f>IF('DLL Schedule'!Pay_Num&lt;&gt;"",IF('DLL Schedule'!Sched_Pay+'DLL Schedule'!Extra_Pay&lt;'DLL Schedule'!Beg_Bal,'DLL Schedule'!Sched_Pay+'DLL Schedule'!Extra_Pay,'DLL Schedule'!Beg_Bal),"")</f>
        <v/>
      </c>
      <c r="G44" s="525" t="str">
        <f>IF('DLL Schedule'!Pay_Num&lt;&gt;"",'DLL Schedule'!Total_Pay-'DLL Schedule'!Int,"")</f>
        <v/>
      </c>
      <c r="H44" s="525" t="str">
        <f>IF('DLL Schedule'!Pay_Num&lt;&gt;"",'DLL Schedule'!Beg_Bal*'DLL Schedule'!Interest_Rate/'DLL Schedule'!Num_Pmt_Per_Year,"")</f>
        <v/>
      </c>
      <c r="I44" s="525" t="str">
        <f>IF('DLL Schedule'!Pay_Num&lt;&gt;"",IF('DLL Schedule'!Sched_Pay+'DLL Schedule'!Extra_Pay&lt;'DLL Schedule'!Beg_Bal,'DLL Schedule'!Beg_Bal-'DLL Schedule'!Princ,0),"")</f>
        <v/>
      </c>
      <c r="J44" s="525">
        <f>SUM($H$18:$H44)</f>
        <v>0</v>
      </c>
      <c r="K44" s="499"/>
    </row>
    <row r="45" spans="1:11" ht="12.75" customHeight="1">
      <c r="A45" s="523" t="str">
        <f>IF(AND('DLL Schedule'!Values_Entered=1,A44&lt;&gt;"",I44&gt;0),A44+1,"")</f>
        <v/>
      </c>
      <c r="B45" s="524" t="str">
        <f>IF('DLL Schedule'!Pay_Num&lt;&gt;"",DATE(YEAR('DLL Schedule'!Loan_Start),MONTH('DLL Schedule'!Loan_Start)+('DLL Schedule'!Pay_Num)*12/'DLL Schedule'!Num_Pmt_Per_Year,DAY('DLL Schedule'!Loan_Start)),"")</f>
        <v/>
      </c>
      <c r="C45" s="525" t="str">
        <f>IF('DLL Schedule'!Pay_Num&lt;&gt;"",I44,"")</f>
        <v/>
      </c>
      <c r="D45" s="525" t="str">
        <f>IF('DLL Schedule'!Pay_Num&lt;&gt;"",'DLL Schedule'!Scheduled_Monthly_Payment,"")</f>
        <v/>
      </c>
      <c r="E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" s="525" t="str">
        <f>IF('DLL Schedule'!Pay_Num&lt;&gt;"",IF('DLL Schedule'!Sched_Pay+'DLL Schedule'!Extra_Pay&lt;'DLL Schedule'!Beg_Bal,'DLL Schedule'!Sched_Pay+'DLL Schedule'!Extra_Pay,'DLL Schedule'!Beg_Bal),"")</f>
        <v/>
      </c>
      <c r="G45" s="525" t="str">
        <f>IF('DLL Schedule'!Pay_Num&lt;&gt;"",'DLL Schedule'!Total_Pay-'DLL Schedule'!Int,"")</f>
        <v/>
      </c>
      <c r="H45" s="525" t="str">
        <f>IF('DLL Schedule'!Pay_Num&lt;&gt;"",'DLL Schedule'!Beg_Bal*'DLL Schedule'!Interest_Rate/'DLL Schedule'!Num_Pmt_Per_Year,"")</f>
        <v/>
      </c>
      <c r="I45" s="525" t="str">
        <f>IF('DLL Schedule'!Pay_Num&lt;&gt;"",IF('DLL Schedule'!Sched_Pay+'DLL Schedule'!Extra_Pay&lt;'DLL Schedule'!Beg_Bal,'DLL Schedule'!Beg_Bal-'DLL Schedule'!Princ,0),"")</f>
        <v/>
      </c>
      <c r="J45" s="525">
        <f>SUM($H$18:$H45)</f>
        <v>0</v>
      </c>
      <c r="K45" s="499"/>
    </row>
    <row r="46" spans="1:11" ht="12.75" customHeight="1">
      <c r="A46" s="523" t="str">
        <f>IF(AND('DLL Schedule'!Values_Entered=1,A45&lt;&gt;"",I45&gt;0),A45+1,"")</f>
        <v/>
      </c>
      <c r="B46" s="524" t="str">
        <f>IF('DLL Schedule'!Pay_Num&lt;&gt;"",DATE(YEAR('DLL Schedule'!Loan_Start),MONTH('DLL Schedule'!Loan_Start)+('DLL Schedule'!Pay_Num)*12/'DLL Schedule'!Num_Pmt_Per_Year,DAY('DLL Schedule'!Loan_Start)),"")</f>
        <v/>
      </c>
      <c r="C46" s="525" t="str">
        <f>IF('DLL Schedule'!Pay_Num&lt;&gt;"",I45,"")</f>
        <v/>
      </c>
      <c r="D46" s="525" t="str">
        <f>IF('DLL Schedule'!Pay_Num&lt;&gt;"",'DLL Schedule'!Scheduled_Monthly_Payment,"")</f>
        <v/>
      </c>
      <c r="E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" s="525" t="str">
        <f>IF('DLL Schedule'!Pay_Num&lt;&gt;"",IF('DLL Schedule'!Sched_Pay+'DLL Schedule'!Extra_Pay&lt;'DLL Schedule'!Beg_Bal,'DLL Schedule'!Sched_Pay+'DLL Schedule'!Extra_Pay,'DLL Schedule'!Beg_Bal),"")</f>
        <v/>
      </c>
      <c r="G46" s="525" t="str">
        <f>IF('DLL Schedule'!Pay_Num&lt;&gt;"",'DLL Schedule'!Total_Pay-'DLL Schedule'!Int,"")</f>
        <v/>
      </c>
      <c r="H46" s="525" t="str">
        <f>IF('DLL Schedule'!Pay_Num&lt;&gt;"",'DLL Schedule'!Beg_Bal*'DLL Schedule'!Interest_Rate/'DLL Schedule'!Num_Pmt_Per_Year,"")</f>
        <v/>
      </c>
      <c r="I46" s="525" t="str">
        <f>IF('DLL Schedule'!Pay_Num&lt;&gt;"",IF('DLL Schedule'!Sched_Pay+'DLL Schedule'!Extra_Pay&lt;'DLL Schedule'!Beg_Bal,'DLL Schedule'!Beg_Bal-'DLL Schedule'!Princ,0),"")</f>
        <v/>
      </c>
      <c r="J46" s="525">
        <f>SUM($H$18:$H46)</f>
        <v>0</v>
      </c>
      <c r="K46" s="499"/>
    </row>
    <row r="47" spans="1:11" ht="12.75" customHeight="1">
      <c r="A47" s="523" t="str">
        <f>IF(AND('DLL Schedule'!Values_Entered=1,A46&lt;&gt;"",I46&gt;0),A46+1,"")</f>
        <v/>
      </c>
      <c r="B47" s="524" t="str">
        <f>IF('DLL Schedule'!Pay_Num&lt;&gt;"",DATE(YEAR('DLL Schedule'!Loan_Start),MONTH('DLL Schedule'!Loan_Start)+('DLL Schedule'!Pay_Num)*12/'DLL Schedule'!Num_Pmt_Per_Year,DAY('DLL Schedule'!Loan_Start)),"")</f>
        <v/>
      </c>
      <c r="C47" s="525" t="str">
        <f>IF('DLL Schedule'!Pay_Num&lt;&gt;"",I46,"")</f>
        <v/>
      </c>
      <c r="D47" s="525" t="str">
        <f>IF('DLL Schedule'!Pay_Num&lt;&gt;"",'DLL Schedule'!Scheduled_Monthly_Payment,"")</f>
        <v/>
      </c>
      <c r="E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" s="525" t="str">
        <f>IF('DLL Schedule'!Pay_Num&lt;&gt;"",IF('DLL Schedule'!Sched_Pay+'DLL Schedule'!Extra_Pay&lt;'DLL Schedule'!Beg_Bal,'DLL Schedule'!Sched_Pay+'DLL Schedule'!Extra_Pay,'DLL Schedule'!Beg_Bal),"")</f>
        <v/>
      </c>
      <c r="G47" s="525" t="str">
        <f>IF('DLL Schedule'!Pay_Num&lt;&gt;"",'DLL Schedule'!Total_Pay-'DLL Schedule'!Int,"")</f>
        <v/>
      </c>
      <c r="H47" s="525" t="str">
        <f>IF('DLL Schedule'!Pay_Num&lt;&gt;"",'DLL Schedule'!Beg_Bal*'DLL Schedule'!Interest_Rate/'DLL Schedule'!Num_Pmt_Per_Year,"")</f>
        <v/>
      </c>
      <c r="I47" s="525" t="str">
        <f>IF('DLL Schedule'!Pay_Num&lt;&gt;"",IF('DLL Schedule'!Sched_Pay+'DLL Schedule'!Extra_Pay&lt;'DLL Schedule'!Beg_Bal,'DLL Schedule'!Beg_Bal-'DLL Schedule'!Princ,0),"")</f>
        <v/>
      </c>
      <c r="J47" s="525">
        <f>SUM($H$18:$H47)</f>
        <v>0</v>
      </c>
      <c r="K47" s="499"/>
    </row>
    <row r="48" spans="1:11" ht="12.75" customHeight="1">
      <c r="A48" s="523" t="str">
        <f>IF(AND('DLL Schedule'!Values_Entered=1,A47&lt;&gt;"",I47&gt;0),A47+1,"")</f>
        <v/>
      </c>
      <c r="B48" s="524" t="str">
        <f>IF('DLL Schedule'!Pay_Num&lt;&gt;"",DATE(YEAR('DLL Schedule'!Loan_Start),MONTH('DLL Schedule'!Loan_Start)+('DLL Schedule'!Pay_Num)*12/'DLL Schedule'!Num_Pmt_Per_Year,DAY('DLL Schedule'!Loan_Start)),"")</f>
        <v/>
      </c>
      <c r="C48" s="525" t="str">
        <f>IF('DLL Schedule'!Pay_Num&lt;&gt;"",I47,"")</f>
        <v/>
      </c>
      <c r="D48" s="525" t="str">
        <f>IF('DLL Schedule'!Pay_Num&lt;&gt;"",'DLL Schedule'!Scheduled_Monthly_Payment,"")</f>
        <v/>
      </c>
      <c r="E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" s="525" t="str">
        <f>IF('DLL Schedule'!Pay_Num&lt;&gt;"",IF('DLL Schedule'!Sched_Pay+'DLL Schedule'!Extra_Pay&lt;'DLL Schedule'!Beg_Bal,'DLL Schedule'!Sched_Pay+'DLL Schedule'!Extra_Pay,'DLL Schedule'!Beg_Bal),"")</f>
        <v/>
      </c>
      <c r="G48" s="525" t="str">
        <f>IF('DLL Schedule'!Pay_Num&lt;&gt;"",'DLL Schedule'!Total_Pay-'DLL Schedule'!Int,"")</f>
        <v/>
      </c>
      <c r="H48" s="525" t="str">
        <f>IF('DLL Schedule'!Pay_Num&lt;&gt;"",'DLL Schedule'!Beg_Bal*'DLL Schedule'!Interest_Rate/'DLL Schedule'!Num_Pmt_Per_Year,"")</f>
        <v/>
      </c>
      <c r="I48" s="525" t="str">
        <f>IF('DLL Schedule'!Pay_Num&lt;&gt;"",IF('DLL Schedule'!Sched_Pay+'DLL Schedule'!Extra_Pay&lt;'DLL Schedule'!Beg_Bal,'DLL Schedule'!Beg_Bal-'DLL Schedule'!Princ,0),"")</f>
        <v/>
      </c>
      <c r="J48" s="525">
        <f>SUM($H$18:$H48)</f>
        <v>0</v>
      </c>
      <c r="K48" s="499"/>
    </row>
    <row r="49" spans="1:11" ht="12.75" customHeight="1">
      <c r="A49" s="523" t="str">
        <f>IF(AND('DLL Schedule'!Values_Entered=1,A48&lt;&gt;"",I48&gt;0),A48+1,"")</f>
        <v/>
      </c>
      <c r="B49" s="524" t="str">
        <f>IF('DLL Schedule'!Pay_Num&lt;&gt;"",DATE(YEAR('DLL Schedule'!Loan_Start),MONTH('DLL Schedule'!Loan_Start)+('DLL Schedule'!Pay_Num)*12/'DLL Schedule'!Num_Pmt_Per_Year,DAY('DLL Schedule'!Loan_Start)),"")</f>
        <v/>
      </c>
      <c r="C49" s="525" t="str">
        <f>IF('DLL Schedule'!Pay_Num&lt;&gt;"",I48,"")</f>
        <v/>
      </c>
      <c r="D49" s="525" t="str">
        <f>IF('DLL Schedule'!Pay_Num&lt;&gt;"",'DLL Schedule'!Scheduled_Monthly_Payment,"")</f>
        <v/>
      </c>
      <c r="E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" s="525" t="str">
        <f>IF('DLL Schedule'!Pay_Num&lt;&gt;"",IF('DLL Schedule'!Sched_Pay+'DLL Schedule'!Extra_Pay&lt;'DLL Schedule'!Beg_Bal,'DLL Schedule'!Sched_Pay+'DLL Schedule'!Extra_Pay,'DLL Schedule'!Beg_Bal),"")</f>
        <v/>
      </c>
      <c r="G49" s="525" t="str">
        <f>IF('DLL Schedule'!Pay_Num&lt;&gt;"",'DLL Schedule'!Total_Pay-'DLL Schedule'!Int,"")</f>
        <v/>
      </c>
      <c r="H49" s="525" t="str">
        <f>IF('DLL Schedule'!Pay_Num&lt;&gt;"",'DLL Schedule'!Beg_Bal*'DLL Schedule'!Interest_Rate/'DLL Schedule'!Num_Pmt_Per_Year,"")</f>
        <v/>
      </c>
      <c r="I49" s="525" t="str">
        <f>IF('DLL Schedule'!Pay_Num&lt;&gt;"",IF('DLL Schedule'!Sched_Pay+'DLL Schedule'!Extra_Pay&lt;'DLL Schedule'!Beg_Bal,'DLL Schedule'!Beg_Bal-'DLL Schedule'!Princ,0),"")</f>
        <v/>
      </c>
      <c r="J49" s="525">
        <f>SUM($H$18:$H49)</f>
        <v>0</v>
      </c>
      <c r="K49" s="499"/>
    </row>
    <row r="50" spans="1:11" ht="12.75" customHeight="1">
      <c r="A50" s="523" t="str">
        <f>IF(AND('DLL Schedule'!Values_Entered=1,A49&lt;&gt;"",I49&gt;0),A49+1,"")</f>
        <v/>
      </c>
      <c r="B50" s="524" t="str">
        <f>IF('DLL Schedule'!Pay_Num&lt;&gt;"",DATE(YEAR('DLL Schedule'!Loan_Start),MONTH('DLL Schedule'!Loan_Start)+('DLL Schedule'!Pay_Num)*12/'DLL Schedule'!Num_Pmt_Per_Year,DAY('DLL Schedule'!Loan_Start)),"")</f>
        <v/>
      </c>
      <c r="C50" s="525" t="str">
        <f>IF('DLL Schedule'!Pay_Num&lt;&gt;"",I49,"")</f>
        <v/>
      </c>
      <c r="D50" s="525" t="str">
        <f>IF('DLL Schedule'!Pay_Num&lt;&gt;"",'DLL Schedule'!Scheduled_Monthly_Payment,"")</f>
        <v/>
      </c>
      <c r="E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0" s="525" t="str">
        <f>IF('DLL Schedule'!Pay_Num&lt;&gt;"",IF('DLL Schedule'!Sched_Pay+'DLL Schedule'!Extra_Pay&lt;'DLL Schedule'!Beg_Bal,'DLL Schedule'!Sched_Pay+'DLL Schedule'!Extra_Pay,'DLL Schedule'!Beg_Bal),"")</f>
        <v/>
      </c>
      <c r="G50" s="525" t="str">
        <f>IF('DLL Schedule'!Pay_Num&lt;&gt;"",'DLL Schedule'!Total_Pay-'DLL Schedule'!Int,"")</f>
        <v/>
      </c>
      <c r="H50" s="525" t="str">
        <f>IF('DLL Schedule'!Pay_Num&lt;&gt;"",'DLL Schedule'!Beg_Bal*'DLL Schedule'!Interest_Rate/'DLL Schedule'!Num_Pmt_Per_Year,"")</f>
        <v/>
      </c>
      <c r="I50" s="525" t="str">
        <f>IF('DLL Schedule'!Pay_Num&lt;&gt;"",IF('DLL Schedule'!Sched_Pay+'DLL Schedule'!Extra_Pay&lt;'DLL Schedule'!Beg_Bal,'DLL Schedule'!Beg_Bal-'DLL Schedule'!Princ,0),"")</f>
        <v/>
      </c>
      <c r="J50" s="525">
        <f>SUM($H$18:$H50)</f>
        <v>0</v>
      </c>
      <c r="K50" s="499"/>
    </row>
    <row r="51" spans="1:11" ht="12.75" customHeight="1">
      <c r="A51" s="523" t="str">
        <f>IF(AND('DLL Schedule'!Values_Entered=1,A50&lt;&gt;"",I50&gt;0),A50+1,"")</f>
        <v/>
      </c>
      <c r="B51" s="524" t="str">
        <f>IF('DLL Schedule'!Pay_Num&lt;&gt;"",DATE(YEAR('DLL Schedule'!Loan_Start),MONTH('DLL Schedule'!Loan_Start)+('DLL Schedule'!Pay_Num)*12/'DLL Schedule'!Num_Pmt_Per_Year,DAY('DLL Schedule'!Loan_Start)),"")</f>
        <v/>
      </c>
      <c r="C51" s="525" t="str">
        <f>IF('DLL Schedule'!Pay_Num&lt;&gt;"",I50,"")</f>
        <v/>
      </c>
      <c r="D51" s="525" t="str">
        <f>IF('DLL Schedule'!Pay_Num&lt;&gt;"",'DLL Schedule'!Scheduled_Monthly_Payment,"")</f>
        <v/>
      </c>
      <c r="E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1" s="525" t="str">
        <f>IF('DLL Schedule'!Pay_Num&lt;&gt;"",IF('DLL Schedule'!Sched_Pay+'DLL Schedule'!Extra_Pay&lt;'DLL Schedule'!Beg_Bal,'DLL Schedule'!Sched_Pay+'DLL Schedule'!Extra_Pay,'DLL Schedule'!Beg_Bal),"")</f>
        <v/>
      </c>
      <c r="G51" s="525" t="str">
        <f>IF('DLL Schedule'!Pay_Num&lt;&gt;"",'DLL Schedule'!Total_Pay-'DLL Schedule'!Int,"")</f>
        <v/>
      </c>
      <c r="H51" s="525" t="str">
        <f>IF('DLL Schedule'!Pay_Num&lt;&gt;"",'DLL Schedule'!Beg_Bal*'DLL Schedule'!Interest_Rate/'DLL Schedule'!Num_Pmt_Per_Year,"")</f>
        <v/>
      </c>
      <c r="I51" s="525" t="str">
        <f>IF('DLL Schedule'!Pay_Num&lt;&gt;"",IF('DLL Schedule'!Sched_Pay+'DLL Schedule'!Extra_Pay&lt;'DLL Schedule'!Beg_Bal,'DLL Schedule'!Beg_Bal-'DLL Schedule'!Princ,0),"")</f>
        <v/>
      </c>
      <c r="J51" s="525">
        <f>SUM($H$18:$H51)</f>
        <v>0</v>
      </c>
      <c r="K51" s="499"/>
    </row>
    <row r="52" spans="1:11" ht="12.75" customHeight="1">
      <c r="A52" s="523" t="str">
        <f>IF(AND('DLL Schedule'!Values_Entered=1,A51&lt;&gt;"",I51&gt;0),A51+1,"")</f>
        <v/>
      </c>
      <c r="B52" s="524" t="str">
        <f>IF('DLL Schedule'!Pay_Num&lt;&gt;"",DATE(YEAR('DLL Schedule'!Loan_Start),MONTH('DLL Schedule'!Loan_Start)+('DLL Schedule'!Pay_Num)*12/'DLL Schedule'!Num_Pmt_Per_Year,DAY('DLL Schedule'!Loan_Start)),"")</f>
        <v/>
      </c>
      <c r="C52" s="525" t="str">
        <f>IF('DLL Schedule'!Pay_Num&lt;&gt;"",I51,"")</f>
        <v/>
      </c>
      <c r="D52" s="525" t="str">
        <f>IF('DLL Schedule'!Pay_Num&lt;&gt;"",'DLL Schedule'!Scheduled_Monthly_Payment,"")</f>
        <v/>
      </c>
      <c r="E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2" s="525" t="str">
        <f>IF('DLL Schedule'!Pay_Num&lt;&gt;"",IF('DLL Schedule'!Sched_Pay+'DLL Schedule'!Extra_Pay&lt;'DLL Schedule'!Beg_Bal,'DLL Schedule'!Sched_Pay+'DLL Schedule'!Extra_Pay,'DLL Schedule'!Beg_Bal),"")</f>
        <v/>
      </c>
      <c r="G52" s="525" t="str">
        <f>IF('DLL Schedule'!Pay_Num&lt;&gt;"",'DLL Schedule'!Total_Pay-'DLL Schedule'!Int,"")</f>
        <v/>
      </c>
      <c r="H52" s="525" t="str">
        <f>IF('DLL Schedule'!Pay_Num&lt;&gt;"",'DLL Schedule'!Beg_Bal*'DLL Schedule'!Interest_Rate/'DLL Schedule'!Num_Pmt_Per_Year,"")</f>
        <v/>
      </c>
      <c r="I52" s="525" t="str">
        <f>IF('DLL Schedule'!Pay_Num&lt;&gt;"",IF('DLL Schedule'!Sched_Pay+'DLL Schedule'!Extra_Pay&lt;'DLL Schedule'!Beg_Bal,'DLL Schedule'!Beg_Bal-'DLL Schedule'!Princ,0),"")</f>
        <v/>
      </c>
      <c r="J52" s="525">
        <f>SUM($H$18:$H52)</f>
        <v>0</v>
      </c>
      <c r="K52" s="499"/>
    </row>
    <row r="53" spans="1:11" ht="12.75" customHeight="1">
      <c r="A53" s="523" t="str">
        <f>IF(AND('DLL Schedule'!Values_Entered=1,A52&lt;&gt;"",I52&gt;0),A52+1,"")</f>
        <v/>
      </c>
      <c r="B53" s="524" t="str">
        <f>IF('DLL Schedule'!Pay_Num&lt;&gt;"",DATE(YEAR('DLL Schedule'!Loan_Start),MONTH('DLL Schedule'!Loan_Start)+('DLL Schedule'!Pay_Num)*12/'DLL Schedule'!Num_Pmt_Per_Year,DAY('DLL Schedule'!Loan_Start)),"")</f>
        <v/>
      </c>
      <c r="C53" s="525" t="str">
        <f>IF('DLL Schedule'!Pay_Num&lt;&gt;"",I52,"")</f>
        <v/>
      </c>
      <c r="D53" s="525" t="str">
        <f>IF('DLL Schedule'!Pay_Num&lt;&gt;"",'DLL Schedule'!Scheduled_Monthly_Payment,"")</f>
        <v/>
      </c>
      <c r="E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3" s="525" t="str">
        <f>IF('DLL Schedule'!Pay_Num&lt;&gt;"",IF('DLL Schedule'!Sched_Pay+'DLL Schedule'!Extra_Pay&lt;'DLL Schedule'!Beg_Bal,'DLL Schedule'!Sched_Pay+'DLL Schedule'!Extra_Pay,'DLL Schedule'!Beg_Bal),"")</f>
        <v/>
      </c>
      <c r="G53" s="525" t="str">
        <f>IF('DLL Schedule'!Pay_Num&lt;&gt;"",'DLL Schedule'!Total_Pay-'DLL Schedule'!Int,"")</f>
        <v/>
      </c>
      <c r="H53" s="525" t="str">
        <f>IF('DLL Schedule'!Pay_Num&lt;&gt;"",'DLL Schedule'!Beg_Bal*'DLL Schedule'!Interest_Rate/'DLL Schedule'!Num_Pmt_Per_Year,"")</f>
        <v/>
      </c>
      <c r="I53" s="525" t="str">
        <f>IF('DLL Schedule'!Pay_Num&lt;&gt;"",IF('DLL Schedule'!Sched_Pay+'DLL Schedule'!Extra_Pay&lt;'DLL Schedule'!Beg_Bal,'DLL Schedule'!Beg_Bal-'DLL Schedule'!Princ,0),"")</f>
        <v/>
      </c>
      <c r="J53" s="525">
        <f>SUM($H$18:$H53)</f>
        <v>0</v>
      </c>
      <c r="K53" s="499"/>
    </row>
    <row r="54" spans="1:11" ht="12.75" customHeight="1">
      <c r="A54" s="523" t="str">
        <f>IF(AND('DLL Schedule'!Values_Entered=1,A53&lt;&gt;"",I53&gt;0),A53+1,"")</f>
        <v/>
      </c>
      <c r="B54" s="524" t="str">
        <f>IF('DLL Schedule'!Pay_Num&lt;&gt;"",DATE(YEAR('DLL Schedule'!Loan_Start),MONTH('DLL Schedule'!Loan_Start)+('DLL Schedule'!Pay_Num)*12/'DLL Schedule'!Num_Pmt_Per_Year,DAY('DLL Schedule'!Loan_Start)),"")</f>
        <v/>
      </c>
      <c r="C54" s="525" t="str">
        <f>IF('DLL Schedule'!Pay_Num&lt;&gt;"",I53,"")</f>
        <v/>
      </c>
      <c r="D54" s="525" t="str">
        <f>IF('DLL Schedule'!Pay_Num&lt;&gt;"",'DLL Schedule'!Scheduled_Monthly_Payment,"")</f>
        <v/>
      </c>
      <c r="E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4" s="525" t="str">
        <f>IF('DLL Schedule'!Pay_Num&lt;&gt;"",IF('DLL Schedule'!Sched_Pay+'DLL Schedule'!Extra_Pay&lt;'DLL Schedule'!Beg_Bal,'DLL Schedule'!Sched_Pay+'DLL Schedule'!Extra_Pay,'DLL Schedule'!Beg_Bal),"")</f>
        <v/>
      </c>
      <c r="G54" s="525" t="str">
        <f>IF('DLL Schedule'!Pay_Num&lt;&gt;"",'DLL Schedule'!Total_Pay-'DLL Schedule'!Int,"")</f>
        <v/>
      </c>
      <c r="H54" s="525" t="str">
        <f>IF('DLL Schedule'!Pay_Num&lt;&gt;"",'DLL Schedule'!Beg_Bal*'DLL Schedule'!Interest_Rate/'DLL Schedule'!Num_Pmt_Per_Year,"")</f>
        <v/>
      </c>
      <c r="I54" s="525" t="str">
        <f>IF('DLL Schedule'!Pay_Num&lt;&gt;"",IF('DLL Schedule'!Sched_Pay+'DLL Schedule'!Extra_Pay&lt;'DLL Schedule'!Beg_Bal,'DLL Schedule'!Beg_Bal-'DLL Schedule'!Princ,0),"")</f>
        <v/>
      </c>
      <c r="J54" s="525">
        <f>SUM($H$18:$H54)</f>
        <v>0</v>
      </c>
      <c r="K54" s="499"/>
    </row>
    <row r="55" spans="1:11" ht="12.75" customHeight="1">
      <c r="A55" s="523" t="str">
        <f>IF(AND('DLL Schedule'!Values_Entered=1,A54&lt;&gt;"",I54&gt;0),A54+1,"")</f>
        <v/>
      </c>
      <c r="B55" s="524" t="str">
        <f>IF('DLL Schedule'!Pay_Num&lt;&gt;"",DATE(YEAR('DLL Schedule'!Loan_Start),MONTH('DLL Schedule'!Loan_Start)+('DLL Schedule'!Pay_Num)*12/'DLL Schedule'!Num_Pmt_Per_Year,DAY('DLL Schedule'!Loan_Start)),"")</f>
        <v/>
      </c>
      <c r="C55" s="525" t="str">
        <f>IF('DLL Schedule'!Pay_Num&lt;&gt;"",I54,"")</f>
        <v/>
      </c>
      <c r="D55" s="525" t="str">
        <f>IF('DLL Schedule'!Pay_Num&lt;&gt;"",'DLL Schedule'!Scheduled_Monthly_Payment,"")</f>
        <v/>
      </c>
      <c r="E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5" s="525" t="str">
        <f>IF('DLL Schedule'!Pay_Num&lt;&gt;"",IF('DLL Schedule'!Sched_Pay+'DLL Schedule'!Extra_Pay&lt;'DLL Schedule'!Beg_Bal,'DLL Schedule'!Sched_Pay+'DLL Schedule'!Extra_Pay,'DLL Schedule'!Beg_Bal),"")</f>
        <v/>
      </c>
      <c r="G55" s="525" t="str">
        <f>IF('DLL Schedule'!Pay_Num&lt;&gt;"",'DLL Schedule'!Total_Pay-'DLL Schedule'!Int,"")</f>
        <v/>
      </c>
      <c r="H55" s="525" t="str">
        <f>IF('DLL Schedule'!Pay_Num&lt;&gt;"",'DLL Schedule'!Beg_Bal*'DLL Schedule'!Interest_Rate/'DLL Schedule'!Num_Pmt_Per_Year,"")</f>
        <v/>
      </c>
      <c r="I55" s="525" t="str">
        <f>IF('DLL Schedule'!Pay_Num&lt;&gt;"",IF('DLL Schedule'!Sched_Pay+'DLL Schedule'!Extra_Pay&lt;'DLL Schedule'!Beg_Bal,'DLL Schedule'!Beg_Bal-'DLL Schedule'!Princ,0),"")</f>
        <v/>
      </c>
      <c r="J55" s="525">
        <f>SUM($H$18:$H55)</f>
        <v>0</v>
      </c>
      <c r="K55" s="499"/>
    </row>
    <row r="56" spans="1:11" ht="12.75" customHeight="1">
      <c r="A56" s="523" t="str">
        <f>IF(AND('DLL Schedule'!Values_Entered=1,A55&lt;&gt;"",I55&gt;0),A55+1,"")</f>
        <v/>
      </c>
      <c r="B56" s="524" t="str">
        <f>IF('DLL Schedule'!Pay_Num&lt;&gt;"",DATE(YEAR('DLL Schedule'!Loan_Start),MONTH('DLL Schedule'!Loan_Start)+('DLL Schedule'!Pay_Num)*12/'DLL Schedule'!Num_Pmt_Per_Year,DAY('DLL Schedule'!Loan_Start)),"")</f>
        <v/>
      </c>
      <c r="C56" s="525" t="str">
        <f>IF('DLL Schedule'!Pay_Num&lt;&gt;"",I55,"")</f>
        <v/>
      </c>
      <c r="D56" s="525" t="str">
        <f>IF('DLL Schedule'!Pay_Num&lt;&gt;"",'DLL Schedule'!Scheduled_Monthly_Payment,"")</f>
        <v/>
      </c>
      <c r="E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6" s="525" t="str">
        <f>IF('DLL Schedule'!Pay_Num&lt;&gt;"",IF('DLL Schedule'!Sched_Pay+'DLL Schedule'!Extra_Pay&lt;'DLL Schedule'!Beg_Bal,'DLL Schedule'!Sched_Pay+'DLL Schedule'!Extra_Pay,'DLL Schedule'!Beg_Bal),"")</f>
        <v/>
      </c>
      <c r="G56" s="525" t="str">
        <f>IF('DLL Schedule'!Pay_Num&lt;&gt;"",'DLL Schedule'!Total_Pay-'DLL Schedule'!Int,"")</f>
        <v/>
      </c>
      <c r="H56" s="525" t="str">
        <f>IF('DLL Schedule'!Pay_Num&lt;&gt;"",'DLL Schedule'!Beg_Bal*'DLL Schedule'!Interest_Rate/'DLL Schedule'!Num_Pmt_Per_Year,"")</f>
        <v/>
      </c>
      <c r="I56" s="525" t="str">
        <f>IF('DLL Schedule'!Pay_Num&lt;&gt;"",IF('DLL Schedule'!Sched_Pay+'DLL Schedule'!Extra_Pay&lt;'DLL Schedule'!Beg_Bal,'DLL Schedule'!Beg_Bal-'DLL Schedule'!Princ,0),"")</f>
        <v/>
      </c>
      <c r="J56" s="525">
        <f>SUM($H$18:$H56)</f>
        <v>0</v>
      </c>
      <c r="K56" s="499"/>
    </row>
    <row r="57" spans="1:11" ht="12.75" customHeight="1">
      <c r="A57" s="523" t="str">
        <f>IF(AND('DLL Schedule'!Values_Entered=1,A56&lt;&gt;"",I56&gt;0),A56+1,"")</f>
        <v/>
      </c>
      <c r="B57" s="524" t="str">
        <f>IF('DLL Schedule'!Pay_Num&lt;&gt;"",DATE(YEAR('DLL Schedule'!Loan_Start),MONTH('DLL Schedule'!Loan_Start)+('DLL Schedule'!Pay_Num)*12/'DLL Schedule'!Num_Pmt_Per_Year,DAY('DLL Schedule'!Loan_Start)),"")</f>
        <v/>
      </c>
      <c r="C57" s="525" t="str">
        <f>IF('DLL Schedule'!Pay_Num&lt;&gt;"",I56,"")</f>
        <v/>
      </c>
      <c r="D57" s="525" t="str">
        <f>IF('DLL Schedule'!Pay_Num&lt;&gt;"",'DLL Schedule'!Scheduled_Monthly_Payment,"")</f>
        <v/>
      </c>
      <c r="E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7" s="525" t="str">
        <f>IF('DLL Schedule'!Pay_Num&lt;&gt;"",IF('DLL Schedule'!Sched_Pay+'DLL Schedule'!Extra_Pay&lt;'DLL Schedule'!Beg_Bal,'DLL Schedule'!Sched_Pay+'DLL Schedule'!Extra_Pay,'DLL Schedule'!Beg_Bal),"")</f>
        <v/>
      </c>
      <c r="G57" s="525" t="str">
        <f>IF('DLL Schedule'!Pay_Num&lt;&gt;"",'DLL Schedule'!Total_Pay-'DLL Schedule'!Int,"")</f>
        <v/>
      </c>
      <c r="H57" s="525" t="str">
        <f>IF('DLL Schedule'!Pay_Num&lt;&gt;"",'DLL Schedule'!Beg_Bal*'DLL Schedule'!Interest_Rate/'DLL Schedule'!Num_Pmt_Per_Year,"")</f>
        <v/>
      </c>
      <c r="I57" s="525" t="str">
        <f>IF('DLL Schedule'!Pay_Num&lt;&gt;"",IF('DLL Schedule'!Sched_Pay+'DLL Schedule'!Extra_Pay&lt;'DLL Schedule'!Beg_Bal,'DLL Schedule'!Beg_Bal-'DLL Schedule'!Princ,0),"")</f>
        <v/>
      </c>
      <c r="J57" s="525">
        <f>SUM($H$18:$H57)</f>
        <v>0</v>
      </c>
      <c r="K57" s="499"/>
    </row>
    <row r="58" spans="1:11" ht="12.75" customHeight="1">
      <c r="A58" s="523" t="str">
        <f>IF(AND('DLL Schedule'!Values_Entered=1,A57&lt;&gt;"",I57&gt;0),A57+1,"")</f>
        <v/>
      </c>
      <c r="B58" s="524" t="str">
        <f>IF('DLL Schedule'!Pay_Num&lt;&gt;"",DATE(YEAR('DLL Schedule'!Loan_Start),MONTH('DLL Schedule'!Loan_Start)+('DLL Schedule'!Pay_Num)*12/'DLL Schedule'!Num_Pmt_Per_Year,DAY('DLL Schedule'!Loan_Start)),"")</f>
        <v/>
      </c>
      <c r="C58" s="525" t="str">
        <f>IF('DLL Schedule'!Pay_Num&lt;&gt;"",I57,"")</f>
        <v/>
      </c>
      <c r="D58" s="525" t="str">
        <f>IF('DLL Schedule'!Pay_Num&lt;&gt;"",'DLL Schedule'!Scheduled_Monthly_Payment,"")</f>
        <v/>
      </c>
      <c r="E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8" s="525" t="str">
        <f>IF('DLL Schedule'!Pay_Num&lt;&gt;"",IF('DLL Schedule'!Sched_Pay+'DLL Schedule'!Extra_Pay&lt;'DLL Schedule'!Beg_Bal,'DLL Schedule'!Sched_Pay+'DLL Schedule'!Extra_Pay,'DLL Schedule'!Beg_Bal),"")</f>
        <v/>
      </c>
      <c r="G58" s="525" t="str">
        <f>IF('DLL Schedule'!Pay_Num&lt;&gt;"",'DLL Schedule'!Total_Pay-'DLL Schedule'!Int,"")</f>
        <v/>
      </c>
      <c r="H58" s="525" t="str">
        <f>IF('DLL Schedule'!Pay_Num&lt;&gt;"",'DLL Schedule'!Beg_Bal*'DLL Schedule'!Interest_Rate/'DLL Schedule'!Num_Pmt_Per_Year,"")</f>
        <v/>
      </c>
      <c r="I58" s="525" t="str">
        <f>IF('DLL Schedule'!Pay_Num&lt;&gt;"",IF('DLL Schedule'!Sched_Pay+'DLL Schedule'!Extra_Pay&lt;'DLL Schedule'!Beg_Bal,'DLL Schedule'!Beg_Bal-'DLL Schedule'!Princ,0),"")</f>
        <v/>
      </c>
      <c r="J58" s="525">
        <f>SUM($H$18:$H58)</f>
        <v>0</v>
      </c>
      <c r="K58" s="499"/>
    </row>
    <row r="59" spans="1:11" ht="12.75" customHeight="1">
      <c r="A59" s="523" t="str">
        <f>IF(AND('DLL Schedule'!Values_Entered=1,A58&lt;&gt;"",I58&gt;0),A58+1,"")</f>
        <v/>
      </c>
      <c r="B59" s="524" t="str">
        <f>IF('DLL Schedule'!Pay_Num&lt;&gt;"",DATE(YEAR('DLL Schedule'!Loan_Start),MONTH('DLL Schedule'!Loan_Start)+('DLL Schedule'!Pay_Num)*12/'DLL Schedule'!Num_Pmt_Per_Year,DAY('DLL Schedule'!Loan_Start)),"")</f>
        <v/>
      </c>
      <c r="C59" s="525" t="str">
        <f>IF('DLL Schedule'!Pay_Num&lt;&gt;"",I58,"")</f>
        <v/>
      </c>
      <c r="D59" s="525" t="str">
        <f>IF('DLL Schedule'!Pay_Num&lt;&gt;"",'DLL Schedule'!Scheduled_Monthly_Payment,"")</f>
        <v/>
      </c>
      <c r="E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9" s="525" t="str">
        <f>IF('DLL Schedule'!Pay_Num&lt;&gt;"",IF('DLL Schedule'!Sched_Pay+'DLL Schedule'!Extra_Pay&lt;'DLL Schedule'!Beg_Bal,'DLL Schedule'!Sched_Pay+'DLL Schedule'!Extra_Pay,'DLL Schedule'!Beg_Bal),"")</f>
        <v/>
      </c>
      <c r="G59" s="525" t="str">
        <f>IF('DLL Schedule'!Pay_Num&lt;&gt;"",'DLL Schedule'!Total_Pay-'DLL Schedule'!Int,"")</f>
        <v/>
      </c>
      <c r="H59" s="525" t="str">
        <f>IF('DLL Schedule'!Pay_Num&lt;&gt;"",'DLL Schedule'!Beg_Bal*'DLL Schedule'!Interest_Rate/'DLL Schedule'!Num_Pmt_Per_Year,"")</f>
        <v/>
      </c>
      <c r="I59" s="525" t="str">
        <f>IF('DLL Schedule'!Pay_Num&lt;&gt;"",IF('DLL Schedule'!Sched_Pay+'DLL Schedule'!Extra_Pay&lt;'DLL Schedule'!Beg_Bal,'DLL Schedule'!Beg_Bal-'DLL Schedule'!Princ,0),"")</f>
        <v/>
      </c>
      <c r="J59" s="525">
        <f>SUM($H$18:$H59)</f>
        <v>0</v>
      </c>
      <c r="K59" s="499"/>
    </row>
    <row r="60" spans="1:11" ht="12.75" customHeight="1">
      <c r="A60" s="523" t="str">
        <f>IF(AND('DLL Schedule'!Values_Entered=1,A59&lt;&gt;"",I59&gt;0),A59+1,"")</f>
        <v/>
      </c>
      <c r="B60" s="524" t="str">
        <f>IF('DLL Schedule'!Pay_Num&lt;&gt;"",DATE(YEAR('DLL Schedule'!Loan_Start),MONTH('DLL Schedule'!Loan_Start)+('DLL Schedule'!Pay_Num)*12/'DLL Schedule'!Num_Pmt_Per_Year,DAY('DLL Schedule'!Loan_Start)),"")</f>
        <v/>
      </c>
      <c r="C60" s="525" t="str">
        <f>IF('DLL Schedule'!Pay_Num&lt;&gt;"",I59,"")</f>
        <v/>
      </c>
      <c r="D60" s="525" t="str">
        <f>IF('DLL Schedule'!Pay_Num&lt;&gt;"",'DLL Schedule'!Scheduled_Monthly_Payment,"")</f>
        <v/>
      </c>
      <c r="E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0" s="525" t="str">
        <f>IF('DLL Schedule'!Pay_Num&lt;&gt;"",IF('DLL Schedule'!Sched_Pay+'DLL Schedule'!Extra_Pay&lt;'DLL Schedule'!Beg_Bal,'DLL Schedule'!Sched_Pay+'DLL Schedule'!Extra_Pay,'DLL Schedule'!Beg_Bal),"")</f>
        <v/>
      </c>
      <c r="G60" s="525" t="str">
        <f>IF('DLL Schedule'!Pay_Num&lt;&gt;"",'DLL Schedule'!Total_Pay-'DLL Schedule'!Int,"")</f>
        <v/>
      </c>
      <c r="H60" s="525" t="str">
        <f>IF('DLL Schedule'!Pay_Num&lt;&gt;"",'DLL Schedule'!Beg_Bal*'DLL Schedule'!Interest_Rate/'DLL Schedule'!Num_Pmt_Per_Year,"")</f>
        <v/>
      </c>
      <c r="I60" s="525" t="str">
        <f>IF('DLL Schedule'!Pay_Num&lt;&gt;"",IF('DLL Schedule'!Sched_Pay+'DLL Schedule'!Extra_Pay&lt;'DLL Schedule'!Beg_Bal,'DLL Schedule'!Beg_Bal-'DLL Schedule'!Princ,0),"")</f>
        <v/>
      </c>
      <c r="J60" s="525">
        <f>SUM($H$18:$H60)</f>
        <v>0</v>
      </c>
      <c r="K60" s="499"/>
    </row>
    <row r="61" spans="1:11" ht="12.75" customHeight="1">
      <c r="A61" s="523" t="str">
        <f>IF(AND('DLL Schedule'!Values_Entered=1,A60&lt;&gt;"",I60&gt;0),A60+1,"")</f>
        <v/>
      </c>
      <c r="B61" s="524" t="str">
        <f>IF('DLL Schedule'!Pay_Num&lt;&gt;"",DATE(YEAR('DLL Schedule'!Loan_Start),MONTH('DLL Schedule'!Loan_Start)+('DLL Schedule'!Pay_Num)*12/'DLL Schedule'!Num_Pmt_Per_Year,DAY('DLL Schedule'!Loan_Start)),"")</f>
        <v/>
      </c>
      <c r="C61" s="525" t="str">
        <f>IF('DLL Schedule'!Pay_Num&lt;&gt;"",I60,"")</f>
        <v/>
      </c>
      <c r="D61" s="525" t="str">
        <f>IF('DLL Schedule'!Pay_Num&lt;&gt;"",'DLL Schedule'!Scheduled_Monthly_Payment,"")</f>
        <v/>
      </c>
      <c r="E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1" s="525" t="str">
        <f>IF('DLL Schedule'!Pay_Num&lt;&gt;"",IF('DLL Schedule'!Sched_Pay+'DLL Schedule'!Extra_Pay&lt;'DLL Schedule'!Beg_Bal,'DLL Schedule'!Sched_Pay+'DLL Schedule'!Extra_Pay,'DLL Schedule'!Beg_Bal),"")</f>
        <v/>
      </c>
      <c r="G61" s="525" t="str">
        <f>IF('DLL Schedule'!Pay_Num&lt;&gt;"",'DLL Schedule'!Total_Pay-'DLL Schedule'!Int,"")</f>
        <v/>
      </c>
      <c r="H61" s="525" t="str">
        <f>IF('DLL Schedule'!Pay_Num&lt;&gt;"",'DLL Schedule'!Beg_Bal*'DLL Schedule'!Interest_Rate/'DLL Schedule'!Num_Pmt_Per_Year,"")</f>
        <v/>
      </c>
      <c r="I61" s="525" t="str">
        <f>IF('DLL Schedule'!Pay_Num&lt;&gt;"",IF('DLL Schedule'!Sched_Pay+'DLL Schedule'!Extra_Pay&lt;'DLL Schedule'!Beg_Bal,'DLL Schedule'!Beg_Bal-'DLL Schedule'!Princ,0),"")</f>
        <v/>
      </c>
      <c r="J61" s="525">
        <f>SUM($H$18:$H61)</f>
        <v>0</v>
      </c>
      <c r="K61" s="499"/>
    </row>
    <row r="62" spans="1:11" ht="12.75" customHeight="1">
      <c r="A62" s="523" t="str">
        <f>IF(AND('DLL Schedule'!Values_Entered=1,A61&lt;&gt;"",I61&gt;0),A61+1,"")</f>
        <v/>
      </c>
      <c r="B62" s="524" t="str">
        <f>IF('DLL Schedule'!Pay_Num&lt;&gt;"",DATE(YEAR('DLL Schedule'!Loan_Start),MONTH('DLL Schedule'!Loan_Start)+('DLL Schedule'!Pay_Num)*12/'DLL Schedule'!Num_Pmt_Per_Year,DAY('DLL Schedule'!Loan_Start)),"")</f>
        <v/>
      </c>
      <c r="C62" s="525" t="str">
        <f>IF('DLL Schedule'!Pay_Num&lt;&gt;"",I61,"")</f>
        <v/>
      </c>
      <c r="D62" s="525" t="str">
        <f>IF('DLL Schedule'!Pay_Num&lt;&gt;"",'DLL Schedule'!Scheduled_Monthly_Payment,"")</f>
        <v/>
      </c>
      <c r="E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2" s="525" t="str">
        <f>IF('DLL Schedule'!Pay_Num&lt;&gt;"",IF('DLL Schedule'!Sched_Pay+'DLL Schedule'!Extra_Pay&lt;'DLL Schedule'!Beg_Bal,'DLL Schedule'!Sched_Pay+'DLL Schedule'!Extra_Pay,'DLL Schedule'!Beg_Bal),"")</f>
        <v/>
      </c>
      <c r="G62" s="525" t="str">
        <f>IF('DLL Schedule'!Pay_Num&lt;&gt;"",'DLL Schedule'!Total_Pay-'DLL Schedule'!Int,"")</f>
        <v/>
      </c>
      <c r="H62" s="525" t="str">
        <f>IF('DLL Schedule'!Pay_Num&lt;&gt;"",'DLL Schedule'!Beg_Bal*'DLL Schedule'!Interest_Rate/'DLL Schedule'!Num_Pmt_Per_Year,"")</f>
        <v/>
      </c>
      <c r="I62" s="525" t="str">
        <f>IF('DLL Schedule'!Pay_Num&lt;&gt;"",IF('DLL Schedule'!Sched_Pay+'DLL Schedule'!Extra_Pay&lt;'DLL Schedule'!Beg_Bal,'DLL Schedule'!Beg_Bal-'DLL Schedule'!Princ,0),"")</f>
        <v/>
      </c>
      <c r="J62" s="525">
        <f>SUM($H$18:$H62)</f>
        <v>0</v>
      </c>
      <c r="K62" s="499"/>
    </row>
    <row r="63" spans="1:11" ht="12.75" customHeight="1">
      <c r="A63" s="523" t="str">
        <f>IF(AND('DLL Schedule'!Values_Entered=1,A62&lt;&gt;"",I62&gt;0),A62+1,"")</f>
        <v/>
      </c>
      <c r="B63" s="524" t="str">
        <f>IF('DLL Schedule'!Pay_Num&lt;&gt;"",DATE(YEAR('DLL Schedule'!Loan_Start),MONTH('DLL Schedule'!Loan_Start)+('DLL Schedule'!Pay_Num)*12/'DLL Schedule'!Num_Pmt_Per_Year,DAY('DLL Schedule'!Loan_Start)),"")</f>
        <v/>
      </c>
      <c r="C63" s="525" t="str">
        <f>IF('DLL Schedule'!Pay_Num&lt;&gt;"",I62,"")</f>
        <v/>
      </c>
      <c r="D63" s="525" t="str">
        <f>IF('DLL Schedule'!Pay_Num&lt;&gt;"",'DLL Schedule'!Scheduled_Monthly_Payment,"")</f>
        <v/>
      </c>
      <c r="E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3" s="525" t="str">
        <f>IF('DLL Schedule'!Pay_Num&lt;&gt;"",IF('DLL Schedule'!Sched_Pay+'DLL Schedule'!Extra_Pay&lt;'DLL Schedule'!Beg_Bal,'DLL Schedule'!Sched_Pay+'DLL Schedule'!Extra_Pay,'DLL Schedule'!Beg_Bal),"")</f>
        <v/>
      </c>
      <c r="G63" s="525" t="str">
        <f>IF('DLL Schedule'!Pay_Num&lt;&gt;"",'DLL Schedule'!Total_Pay-'DLL Schedule'!Int,"")</f>
        <v/>
      </c>
      <c r="H63" s="525" t="str">
        <f>IF('DLL Schedule'!Pay_Num&lt;&gt;"",'DLL Schedule'!Beg_Bal*'DLL Schedule'!Interest_Rate/'DLL Schedule'!Num_Pmt_Per_Year,"")</f>
        <v/>
      </c>
      <c r="I63" s="525" t="str">
        <f>IF('DLL Schedule'!Pay_Num&lt;&gt;"",IF('DLL Schedule'!Sched_Pay+'DLL Schedule'!Extra_Pay&lt;'DLL Schedule'!Beg_Bal,'DLL Schedule'!Beg_Bal-'DLL Schedule'!Princ,0),"")</f>
        <v/>
      </c>
      <c r="J63" s="525">
        <f>SUM($H$18:$H63)</f>
        <v>0</v>
      </c>
      <c r="K63" s="499"/>
    </row>
    <row r="64" spans="1:11" ht="12.75" customHeight="1">
      <c r="A64" s="523" t="str">
        <f>IF(AND('DLL Schedule'!Values_Entered=1,A63&lt;&gt;"",I63&gt;0),A63+1,"")</f>
        <v/>
      </c>
      <c r="B64" s="524" t="str">
        <f>IF('DLL Schedule'!Pay_Num&lt;&gt;"",DATE(YEAR('DLL Schedule'!Loan_Start),MONTH('DLL Schedule'!Loan_Start)+('DLL Schedule'!Pay_Num)*12/'DLL Schedule'!Num_Pmt_Per_Year,DAY('DLL Schedule'!Loan_Start)),"")</f>
        <v/>
      </c>
      <c r="C64" s="525" t="str">
        <f>IF('DLL Schedule'!Pay_Num&lt;&gt;"",I63,"")</f>
        <v/>
      </c>
      <c r="D64" s="525" t="str">
        <f>IF('DLL Schedule'!Pay_Num&lt;&gt;"",'DLL Schedule'!Scheduled_Monthly_Payment,"")</f>
        <v/>
      </c>
      <c r="E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4" s="525" t="str">
        <f>IF('DLL Schedule'!Pay_Num&lt;&gt;"",IF('DLL Schedule'!Sched_Pay+'DLL Schedule'!Extra_Pay&lt;'DLL Schedule'!Beg_Bal,'DLL Schedule'!Sched_Pay+'DLL Schedule'!Extra_Pay,'DLL Schedule'!Beg_Bal),"")</f>
        <v/>
      </c>
      <c r="G64" s="525" t="str">
        <f>IF('DLL Schedule'!Pay_Num&lt;&gt;"",'DLL Schedule'!Total_Pay-'DLL Schedule'!Int,"")</f>
        <v/>
      </c>
      <c r="H64" s="525" t="str">
        <f>IF('DLL Schedule'!Pay_Num&lt;&gt;"",'DLL Schedule'!Beg_Bal*'DLL Schedule'!Interest_Rate/'DLL Schedule'!Num_Pmt_Per_Year,"")</f>
        <v/>
      </c>
      <c r="I64" s="525" t="str">
        <f>IF('DLL Schedule'!Pay_Num&lt;&gt;"",IF('DLL Schedule'!Sched_Pay+'DLL Schedule'!Extra_Pay&lt;'DLL Schedule'!Beg_Bal,'DLL Schedule'!Beg_Bal-'DLL Schedule'!Princ,0),"")</f>
        <v/>
      </c>
      <c r="J64" s="525">
        <f>SUM($H$18:$H64)</f>
        <v>0</v>
      </c>
      <c r="K64" s="499"/>
    </row>
    <row r="65" spans="1:11" ht="12.75" customHeight="1">
      <c r="A65" s="523" t="str">
        <f>IF(AND('DLL Schedule'!Values_Entered=1,A64&lt;&gt;"",I64&gt;0),A64+1,"")</f>
        <v/>
      </c>
      <c r="B65" s="524" t="str">
        <f>IF('DLL Schedule'!Pay_Num&lt;&gt;"",DATE(YEAR('DLL Schedule'!Loan_Start),MONTH('DLL Schedule'!Loan_Start)+('DLL Schedule'!Pay_Num)*12/'DLL Schedule'!Num_Pmt_Per_Year,DAY('DLL Schedule'!Loan_Start)),"")</f>
        <v/>
      </c>
      <c r="C65" s="525" t="str">
        <f>IF('DLL Schedule'!Pay_Num&lt;&gt;"",I64,"")</f>
        <v/>
      </c>
      <c r="D65" s="525" t="str">
        <f>IF('DLL Schedule'!Pay_Num&lt;&gt;"",'DLL Schedule'!Scheduled_Monthly_Payment,"")</f>
        <v/>
      </c>
      <c r="E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5" s="525" t="str">
        <f>IF('DLL Schedule'!Pay_Num&lt;&gt;"",IF('DLL Schedule'!Sched_Pay+'DLL Schedule'!Extra_Pay&lt;'DLL Schedule'!Beg_Bal,'DLL Schedule'!Sched_Pay+'DLL Schedule'!Extra_Pay,'DLL Schedule'!Beg_Bal),"")</f>
        <v/>
      </c>
      <c r="G65" s="525" t="str">
        <f>IF('DLL Schedule'!Pay_Num&lt;&gt;"",'DLL Schedule'!Total_Pay-'DLL Schedule'!Int,"")</f>
        <v/>
      </c>
      <c r="H65" s="525" t="str">
        <f>IF('DLL Schedule'!Pay_Num&lt;&gt;"",'DLL Schedule'!Beg_Bal*'DLL Schedule'!Interest_Rate/'DLL Schedule'!Num_Pmt_Per_Year,"")</f>
        <v/>
      </c>
      <c r="I65" s="525" t="str">
        <f>IF('DLL Schedule'!Pay_Num&lt;&gt;"",IF('DLL Schedule'!Sched_Pay+'DLL Schedule'!Extra_Pay&lt;'DLL Schedule'!Beg_Bal,'DLL Schedule'!Beg_Bal-'DLL Schedule'!Princ,0),"")</f>
        <v/>
      </c>
      <c r="J65" s="525">
        <f>SUM($H$18:$H65)</f>
        <v>0</v>
      </c>
      <c r="K65" s="499"/>
    </row>
    <row r="66" spans="1:11" ht="12.75" customHeight="1">
      <c r="A66" s="523" t="str">
        <f>IF(AND('DLL Schedule'!Values_Entered=1,A65&lt;&gt;"",I65&gt;0),A65+1,"")</f>
        <v/>
      </c>
      <c r="B66" s="524" t="str">
        <f>IF('DLL Schedule'!Pay_Num&lt;&gt;"",DATE(YEAR('DLL Schedule'!Loan_Start),MONTH('DLL Schedule'!Loan_Start)+('DLL Schedule'!Pay_Num)*12/'DLL Schedule'!Num_Pmt_Per_Year,DAY('DLL Schedule'!Loan_Start)),"")</f>
        <v/>
      </c>
      <c r="C66" s="525" t="str">
        <f>IF('DLL Schedule'!Pay_Num&lt;&gt;"",I65,"")</f>
        <v/>
      </c>
      <c r="D66" s="525" t="str">
        <f>IF('DLL Schedule'!Pay_Num&lt;&gt;"",'DLL Schedule'!Scheduled_Monthly_Payment,"")</f>
        <v/>
      </c>
      <c r="E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6" s="525" t="str">
        <f>IF('DLL Schedule'!Pay_Num&lt;&gt;"",IF('DLL Schedule'!Sched_Pay+'DLL Schedule'!Extra_Pay&lt;'DLL Schedule'!Beg_Bal,'DLL Schedule'!Sched_Pay+'DLL Schedule'!Extra_Pay,'DLL Schedule'!Beg_Bal),"")</f>
        <v/>
      </c>
      <c r="G66" s="525" t="str">
        <f>IF('DLL Schedule'!Pay_Num&lt;&gt;"",'DLL Schedule'!Total_Pay-'DLL Schedule'!Int,"")</f>
        <v/>
      </c>
      <c r="H66" s="525" t="str">
        <f>IF('DLL Schedule'!Pay_Num&lt;&gt;"",'DLL Schedule'!Beg_Bal*'DLL Schedule'!Interest_Rate/'DLL Schedule'!Num_Pmt_Per_Year,"")</f>
        <v/>
      </c>
      <c r="I66" s="525" t="str">
        <f>IF('DLL Schedule'!Pay_Num&lt;&gt;"",IF('DLL Schedule'!Sched_Pay+'DLL Schedule'!Extra_Pay&lt;'DLL Schedule'!Beg_Bal,'DLL Schedule'!Beg_Bal-'DLL Schedule'!Princ,0),"")</f>
        <v/>
      </c>
      <c r="J66" s="525">
        <f>SUM($H$18:$H66)</f>
        <v>0</v>
      </c>
      <c r="K66" s="499"/>
    </row>
    <row r="67" spans="1:11" ht="12.75" customHeight="1">
      <c r="A67" s="523" t="str">
        <f>IF(AND('DLL Schedule'!Values_Entered=1,A66&lt;&gt;"",I66&gt;0),A66+1,"")</f>
        <v/>
      </c>
      <c r="B67" s="524" t="str">
        <f>IF('DLL Schedule'!Pay_Num&lt;&gt;"",DATE(YEAR('DLL Schedule'!Loan_Start),MONTH('DLL Schedule'!Loan_Start)+('DLL Schedule'!Pay_Num)*12/'DLL Schedule'!Num_Pmt_Per_Year,DAY('DLL Schedule'!Loan_Start)),"")</f>
        <v/>
      </c>
      <c r="C67" s="525" t="str">
        <f>IF('DLL Schedule'!Pay_Num&lt;&gt;"",I66,"")</f>
        <v/>
      </c>
      <c r="D67" s="525" t="str">
        <f>IF('DLL Schedule'!Pay_Num&lt;&gt;"",'DLL Schedule'!Scheduled_Monthly_Payment,"")</f>
        <v/>
      </c>
      <c r="E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7" s="525" t="str">
        <f>IF('DLL Schedule'!Pay_Num&lt;&gt;"",IF('DLL Schedule'!Sched_Pay+'DLL Schedule'!Extra_Pay&lt;'DLL Schedule'!Beg_Bal,'DLL Schedule'!Sched_Pay+'DLL Schedule'!Extra_Pay,'DLL Schedule'!Beg_Bal),"")</f>
        <v/>
      </c>
      <c r="G67" s="525" t="str">
        <f>IF('DLL Schedule'!Pay_Num&lt;&gt;"",'DLL Schedule'!Total_Pay-'DLL Schedule'!Int,"")</f>
        <v/>
      </c>
      <c r="H67" s="525" t="str">
        <f>IF('DLL Schedule'!Pay_Num&lt;&gt;"",'DLL Schedule'!Beg_Bal*'DLL Schedule'!Interest_Rate/'DLL Schedule'!Num_Pmt_Per_Year,"")</f>
        <v/>
      </c>
      <c r="I67" s="525" t="str">
        <f>IF('DLL Schedule'!Pay_Num&lt;&gt;"",IF('DLL Schedule'!Sched_Pay+'DLL Schedule'!Extra_Pay&lt;'DLL Schedule'!Beg_Bal,'DLL Schedule'!Beg_Bal-'DLL Schedule'!Princ,0),"")</f>
        <v/>
      </c>
      <c r="J67" s="525">
        <f>SUM($H$18:$H67)</f>
        <v>0</v>
      </c>
      <c r="K67" s="499"/>
    </row>
    <row r="68" spans="1:11" ht="12.75" customHeight="1">
      <c r="A68" s="523" t="str">
        <f>IF(AND('DLL Schedule'!Values_Entered=1,A67&lt;&gt;"",I67&gt;0),A67+1,"")</f>
        <v/>
      </c>
      <c r="B68" s="524" t="str">
        <f>IF('DLL Schedule'!Pay_Num&lt;&gt;"",DATE(YEAR('DLL Schedule'!Loan_Start),MONTH('DLL Schedule'!Loan_Start)+('DLL Schedule'!Pay_Num)*12/'DLL Schedule'!Num_Pmt_Per_Year,DAY('DLL Schedule'!Loan_Start)),"")</f>
        <v/>
      </c>
      <c r="C68" s="525" t="str">
        <f>IF('DLL Schedule'!Pay_Num&lt;&gt;"",I67,"")</f>
        <v/>
      </c>
      <c r="D68" s="525" t="str">
        <f>IF('DLL Schedule'!Pay_Num&lt;&gt;"",'DLL Schedule'!Scheduled_Monthly_Payment,"")</f>
        <v/>
      </c>
      <c r="E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8" s="525" t="str">
        <f>IF('DLL Schedule'!Pay_Num&lt;&gt;"",IF('DLL Schedule'!Sched_Pay+'DLL Schedule'!Extra_Pay&lt;'DLL Schedule'!Beg_Bal,'DLL Schedule'!Sched_Pay+'DLL Schedule'!Extra_Pay,'DLL Schedule'!Beg_Bal),"")</f>
        <v/>
      </c>
      <c r="G68" s="525" t="str">
        <f>IF('DLL Schedule'!Pay_Num&lt;&gt;"",'DLL Schedule'!Total_Pay-'DLL Schedule'!Int,"")</f>
        <v/>
      </c>
      <c r="H68" s="525" t="str">
        <f>IF('DLL Schedule'!Pay_Num&lt;&gt;"",'DLL Schedule'!Beg_Bal*'DLL Schedule'!Interest_Rate/'DLL Schedule'!Num_Pmt_Per_Year,"")</f>
        <v/>
      </c>
      <c r="I68" s="525" t="str">
        <f>IF('DLL Schedule'!Pay_Num&lt;&gt;"",IF('DLL Schedule'!Sched_Pay+'DLL Schedule'!Extra_Pay&lt;'DLL Schedule'!Beg_Bal,'DLL Schedule'!Beg_Bal-'DLL Schedule'!Princ,0),"")</f>
        <v/>
      </c>
      <c r="J68" s="525">
        <f>SUM($H$18:$H68)</f>
        <v>0</v>
      </c>
      <c r="K68" s="499"/>
    </row>
    <row r="69" spans="1:11" ht="12.75" customHeight="1">
      <c r="A69" s="523" t="str">
        <f>IF(AND('DLL Schedule'!Values_Entered=1,A68&lt;&gt;"",I68&gt;0),A68+1,"")</f>
        <v/>
      </c>
      <c r="B69" s="524" t="str">
        <f>IF('DLL Schedule'!Pay_Num&lt;&gt;"",DATE(YEAR('DLL Schedule'!Loan_Start),MONTH('DLL Schedule'!Loan_Start)+('DLL Schedule'!Pay_Num)*12/'DLL Schedule'!Num_Pmt_Per_Year,DAY('DLL Schedule'!Loan_Start)),"")</f>
        <v/>
      </c>
      <c r="C69" s="525" t="str">
        <f>IF('DLL Schedule'!Pay_Num&lt;&gt;"",I68,"")</f>
        <v/>
      </c>
      <c r="D69" s="525" t="str">
        <f>IF('DLL Schedule'!Pay_Num&lt;&gt;"",'DLL Schedule'!Scheduled_Monthly_Payment,"")</f>
        <v/>
      </c>
      <c r="E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9" s="525" t="str">
        <f>IF('DLL Schedule'!Pay_Num&lt;&gt;"",IF('DLL Schedule'!Sched_Pay+'DLL Schedule'!Extra_Pay&lt;'DLL Schedule'!Beg_Bal,'DLL Schedule'!Sched_Pay+'DLL Schedule'!Extra_Pay,'DLL Schedule'!Beg_Bal),"")</f>
        <v/>
      </c>
      <c r="G69" s="525" t="str">
        <f>IF('DLL Schedule'!Pay_Num&lt;&gt;"",'DLL Schedule'!Total_Pay-'DLL Schedule'!Int,"")</f>
        <v/>
      </c>
      <c r="H69" s="525" t="str">
        <f>IF('DLL Schedule'!Pay_Num&lt;&gt;"",'DLL Schedule'!Beg_Bal*'DLL Schedule'!Interest_Rate/'DLL Schedule'!Num_Pmt_Per_Year,"")</f>
        <v/>
      </c>
      <c r="I69" s="525" t="str">
        <f>IF('DLL Schedule'!Pay_Num&lt;&gt;"",IF('DLL Schedule'!Sched_Pay+'DLL Schedule'!Extra_Pay&lt;'DLL Schedule'!Beg_Bal,'DLL Schedule'!Beg_Bal-'DLL Schedule'!Princ,0),"")</f>
        <v/>
      </c>
      <c r="J69" s="525">
        <f>SUM($H$18:$H69)</f>
        <v>0</v>
      </c>
      <c r="K69" s="499"/>
    </row>
    <row r="70" spans="1:11" ht="12.75" customHeight="1">
      <c r="A70" s="523" t="str">
        <f>IF(AND('DLL Schedule'!Values_Entered=1,A69&lt;&gt;"",I69&gt;0),A69+1,"")</f>
        <v/>
      </c>
      <c r="B70" s="524" t="str">
        <f>IF('DLL Schedule'!Pay_Num&lt;&gt;"",DATE(YEAR('DLL Schedule'!Loan_Start),MONTH('DLL Schedule'!Loan_Start)+('DLL Schedule'!Pay_Num)*12/'DLL Schedule'!Num_Pmt_Per_Year,DAY('DLL Schedule'!Loan_Start)),"")</f>
        <v/>
      </c>
      <c r="C70" s="525" t="str">
        <f>IF('DLL Schedule'!Pay_Num&lt;&gt;"",I69,"")</f>
        <v/>
      </c>
      <c r="D70" s="525" t="str">
        <f>IF('DLL Schedule'!Pay_Num&lt;&gt;"",'DLL Schedule'!Scheduled_Monthly_Payment,"")</f>
        <v/>
      </c>
      <c r="E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0" s="525" t="str">
        <f>IF('DLL Schedule'!Pay_Num&lt;&gt;"",IF('DLL Schedule'!Sched_Pay+'DLL Schedule'!Extra_Pay&lt;'DLL Schedule'!Beg_Bal,'DLL Schedule'!Sched_Pay+'DLL Schedule'!Extra_Pay,'DLL Schedule'!Beg_Bal),"")</f>
        <v/>
      </c>
      <c r="G70" s="525" t="str">
        <f>IF('DLL Schedule'!Pay_Num&lt;&gt;"",'DLL Schedule'!Total_Pay-'DLL Schedule'!Int,"")</f>
        <v/>
      </c>
      <c r="H70" s="525" t="str">
        <f>IF('DLL Schedule'!Pay_Num&lt;&gt;"",'DLL Schedule'!Beg_Bal*'DLL Schedule'!Interest_Rate/'DLL Schedule'!Num_Pmt_Per_Year,"")</f>
        <v/>
      </c>
      <c r="I70" s="525" t="str">
        <f>IF('DLL Schedule'!Pay_Num&lt;&gt;"",IF('DLL Schedule'!Sched_Pay+'DLL Schedule'!Extra_Pay&lt;'DLL Schedule'!Beg_Bal,'DLL Schedule'!Beg_Bal-'DLL Schedule'!Princ,0),"")</f>
        <v/>
      </c>
      <c r="J70" s="525">
        <f>SUM($H$18:$H70)</f>
        <v>0</v>
      </c>
      <c r="K70" s="499"/>
    </row>
    <row r="71" spans="1:11" ht="12.75" customHeight="1">
      <c r="A71" s="523" t="str">
        <f>IF(AND('DLL Schedule'!Values_Entered=1,A70&lt;&gt;"",I70&gt;0),A70+1,"")</f>
        <v/>
      </c>
      <c r="B71" s="524" t="str">
        <f>IF('DLL Schedule'!Pay_Num&lt;&gt;"",DATE(YEAR('DLL Schedule'!Loan_Start),MONTH('DLL Schedule'!Loan_Start)+('DLL Schedule'!Pay_Num)*12/'DLL Schedule'!Num_Pmt_Per_Year,DAY('DLL Schedule'!Loan_Start)),"")</f>
        <v/>
      </c>
      <c r="C71" s="525" t="str">
        <f>IF('DLL Schedule'!Pay_Num&lt;&gt;"",I70,"")</f>
        <v/>
      </c>
      <c r="D71" s="525" t="str">
        <f>IF('DLL Schedule'!Pay_Num&lt;&gt;"",'DLL Schedule'!Scheduled_Monthly_Payment,"")</f>
        <v/>
      </c>
      <c r="E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1" s="525" t="str">
        <f>IF('DLL Schedule'!Pay_Num&lt;&gt;"",IF('DLL Schedule'!Sched_Pay+'DLL Schedule'!Extra_Pay&lt;'DLL Schedule'!Beg_Bal,'DLL Schedule'!Sched_Pay+'DLL Schedule'!Extra_Pay,'DLL Schedule'!Beg_Bal),"")</f>
        <v/>
      </c>
      <c r="G71" s="525" t="str">
        <f>IF('DLL Schedule'!Pay_Num&lt;&gt;"",'DLL Schedule'!Total_Pay-'DLL Schedule'!Int,"")</f>
        <v/>
      </c>
      <c r="H71" s="525" t="str">
        <f>IF('DLL Schedule'!Pay_Num&lt;&gt;"",'DLL Schedule'!Beg_Bal*'DLL Schedule'!Interest_Rate/'DLL Schedule'!Num_Pmt_Per_Year,"")</f>
        <v/>
      </c>
      <c r="I71" s="525" t="str">
        <f>IF('DLL Schedule'!Pay_Num&lt;&gt;"",IF('DLL Schedule'!Sched_Pay+'DLL Schedule'!Extra_Pay&lt;'DLL Schedule'!Beg_Bal,'DLL Schedule'!Beg_Bal-'DLL Schedule'!Princ,0),"")</f>
        <v/>
      </c>
      <c r="J71" s="525">
        <f>SUM($H$18:$H71)</f>
        <v>0</v>
      </c>
      <c r="K71" s="499"/>
    </row>
    <row r="72" spans="1:11" ht="12.75" customHeight="1">
      <c r="A72" s="523" t="str">
        <f>IF(AND('DLL Schedule'!Values_Entered=1,A71&lt;&gt;"",I71&gt;0),A71+1,"")</f>
        <v/>
      </c>
      <c r="B72" s="524" t="str">
        <f>IF('DLL Schedule'!Pay_Num&lt;&gt;"",DATE(YEAR('DLL Schedule'!Loan_Start),MONTH('DLL Schedule'!Loan_Start)+('DLL Schedule'!Pay_Num)*12/'DLL Schedule'!Num_Pmt_Per_Year,DAY('DLL Schedule'!Loan_Start)),"")</f>
        <v/>
      </c>
      <c r="C72" s="525" t="str">
        <f>IF('DLL Schedule'!Pay_Num&lt;&gt;"",I71,"")</f>
        <v/>
      </c>
      <c r="D72" s="525" t="str">
        <f>IF('DLL Schedule'!Pay_Num&lt;&gt;"",'DLL Schedule'!Scheduled_Monthly_Payment,"")</f>
        <v/>
      </c>
      <c r="E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2" s="525" t="str">
        <f>IF('DLL Schedule'!Pay_Num&lt;&gt;"",IF('DLL Schedule'!Sched_Pay+'DLL Schedule'!Extra_Pay&lt;'DLL Schedule'!Beg_Bal,'DLL Schedule'!Sched_Pay+'DLL Schedule'!Extra_Pay,'DLL Schedule'!Beg_Bal),"")</f>
        <v/>
      </c>
      <c r="G72" s="525" t="str">
        <f>IF('DLL Schedule'!Pay_Num&lt;&gt;"",'DLL Schedule'!Total_Pay-'DLL Schedule'!Int,"")</f>
        <v/>
      </c>
      <c r="H72" s="525" t="str">
        <f>IF('DLL Schedule'!Pay_Num&lt;&gt;"",'DLL Schedule'!Beg_Bal*'DLL Schedule'!Interest_Rate/'DLL Schedule'!Num_Pmt_Per_Year,"")</f>
        <v/>
      </c>
      <c r="I72" s="525" t="str">
        <f>IF('DLL Schedule'!Pay_Num&lt;&gt;"",IF('DLL Schedule'!Sched_Pay+'DLL Schedule'!Extra_Pay&lt;'DLL Schedule'!Beg_Bal,'DLL Schedule'!Beg_Bal-'DLL Schedule'!Princ,0),"")</f>
        <v/>
      </c>
      <c r="J72" s="525">
        <f>SUM($H$18:$H72)</f>
        <v>0</v>
      </c>
      <c r="K72" s="499"/>
    </row>
    <row r="73" spans="1:11" ht="12.75" customHeight="1">
      <c r="A73" s="523" t="str">
        <f>IF(AND('DLL Schedule'!Values_Entered=1,A72&lt;&gt;"",I72&gt;0),A72+1,"")</f>
        <v/>
      </c>
      <c r="B73" s="524" t="str">
        <f>IF('DLL Schedule'!Pay_Num&lt;&gt;"",DATE(YEAR('DLL Schedule'!Loan_Start),MONTH('DLL Schedule'!Loan_Start)+('DLL Schedule'!Pay_Num)*12/'DLL Schedule'!Num_Pmt_Per_Year,DAY('DLL Schedule'!Loan_Start)),"")</f>
        <v/>
      </c>
      <c r="C73" s="525" t="str">
        <f>IF('DLL Schedule'!Pay_Num&lt;&gt;"",I72,"")</f>
        <v/>
      </c>
      <c r="D73" s="525" t="str">
        <f>IF('DLL Schedule'!Pay_Num&lt;&gt;"",'DLL Schedule'!Scheduled_Monthly_Payment,"")</f>
        <v/>
      </c>
      <c r="E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3" s="525" t="str">
        <f>IF('DLL Schedule'!Pay_Num&lt;&gt;"",IF('DLL Schedule'!Sched_Pay+'DLL Schedule'!Extra_Pay&lt;'DLL Schedule'!Beg_Bal,'DLL Schedule'!Sched_Pay+'DLL Schedule'!Extra_Pay,'DLL Schedule'!Beg_Bal),"")</f>
        <v/>
      </c>
      <c r="G73" s="525" t="str">
        <f>IF('DLL Schedule'!Pay_Num&lt;&gt;"",'DLL Schedule'!Total_Pay-'DLL Schedule'!Int,"")</f>
        <v/>
      </c>
      <c r="H73" s="525" t="str">
        <f>IF('DLL Schedule'!Pay_Num&lt;&gt;"",'DLL Schedule'!Beg_Bal*'DLL Schedule'!Interest_Rate/'DLL Schedule'!Num_Pmt_Per_Year,"")</f>
        <v/>
      </c>
      <c r="I73" s="525" t="str">
        <f>IF('DLL Schedule'!Pay_Num&lt;&gt;"",IF('DLL Schedule'!Sched_Pay+'DLL Schedule'!Extra_Pay&lt;'DLL Schedule'!Beg_Bal,'DLL Schedule'!Beg_Bal-'DLL Schedule'!Princ,0),"")</f>
        <v/>
      </c>
      <c r="J73" s="525">
        <f>SUM($H$18:$H73)</f>
        <v>0</v>
      </c>
      <c r="K73" s="499"/>
    </row>
    <row r="74" spans="1:11" ht="12.75" customHeight="1">
      <c r="A74" s="523" t="str">
        <f>IF(AND('DLL Schedule'!Values_Entered=1,A73&lt;&gt;"",I73&gt;0),A73+1,"")</f>
        <v/>
      </c>
      <c r="B74" s="524" t="str">
        <f>IF('DLL Schedule'!Pay_Num&lt;&gt;"",DATE(YEAR('DLL Schedule'!Loan_Start),MONTH('DLL Schedule'!Loan_Start)+('DLL Schedule'!Pay_Num)*12/'DLL Schedule'!Num_Pmt_Per_Year,DAY('DLL Schedule'!Loan_Start)),"")</f>
        <v/>
      </c>
      <c r="C74" s="525" t="str">
        <f>IF('DLL Schedule'!Pay_Num&lt;&gt;"",I73,"")</f>
        <v/>
      </c>
      <c r="D74" s="525" t="str">
        <f>IF('DLL Schedule'!Pay_Num&lt;&gt;"",'DLL Schedule'!Scheduled_Monthly_Payment,"")</f>
        <v/>
      </c>
      <c r="E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4" s="525" t="str">
        <f>IF('DLL Schedule'!Pay_Num&lt;&gt;"",IF('DLL Schedule'!Sched_Pay+'DLL Schedule'!Extra_Pay&lt;'DLL Schedule'!Beg_Bal,'DLL Schedule'!Sched_Pay+'DLL Schedule'!Extra_Pay,'DLL Schedule'!Beg_Bal),"")</f>
        <v/>
      </c>
      <c r="G74" s="525" t="str">
        <f>IF('DLL Schedule'!Pay_Num&lt;&gt;"",'DLL Schedule'!Total_Pay-'DLL Schedule'!Int,"")</f>
        <v/>
      </c>
      <c r="H74" s="525" t="str">
        <f>IF('DLL Schedule'!Pay_Num&lt;&gt;"",'DLL Schedule'!Beg_Bal*'DLL Schedule'!Interest_Rate/'DLL Schedule'!Num_Pmt_Per_Year,"")</f>
        <v/>
      </c>
      <c r="I74" s="525" t="str">
        <f>IF('DLL Schedule'!Pay_Num&lt;&gt;"",IF('DLL Schedule'!Sched_Pay+'DLL Schedule'!Extra_Pay&lt;'DLL Schedule'!Beg_Bal,'DLL Schedule'!Beg_Bal-'DLL Schedule'!Princ,0),"")</f>
        <v/>
      </c>
      <c r="J74" s="525">
        <f>SUM($H$18:$H74)</f>
        <v>0</v>
      </c>
      <c r="K74" s="499"/>
    </row>
    <row r="75" spans="1:11" ht="12.75" customHeight="1">
      <c r="A75" s="523" t="str">
        <f>IF(AND('DLL Schedule'!Values_Entered=1,A74&lt;&gt;"",I74&gt;0),A74+1,"")</f>
        <v/>
      </c>
      <c r="B75" s="524" t="str">
        <f>IF('DLL Schedule'!Pay_Num&lt;&gt;"",DATE(YEAR('DLL Schedule'!Loan_Start),MONTH('DLL Schedule'!Loan_Start)+('DLL Schedule'!Pay_Num)*12/'DLL Schedule'!Num_Pmt_Per_Year,DAY('DLL Schedule'!Loan_Start)),"")</f>
        <v/>
      </c>
      <c r="C75" s="525" t="str">
        <f>IF('DLL Schedule'!Pay_Num&lt;&gt;"",I74,"")</f>
        <v/>
      </c>
      <c r="D75" s="525" t="str">
        <f>IF('DLL Schedule'!Pay_Num&lt;&gt;"",'DLL Schedule'!Scheduled_Monthly_Payment,"")</f>
        <v/>
      </c>
      <c r="E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5" s="525" t="str">
        <f>IF('DLL Schedule'!Pay_Num&lt;&gt;"",IF('DLL Schedule'!Sched_Pay+'DLL Schedule'!Extra_Pay&lt;'DLL Schedule'!Beg_Bal,'DLL Schedule'!Sched_Pay+'DLL Schedule'!Extra_Pay,'DLL Schedule'!Beg_Bal),"")</f>
        <v/>
      </c>
      <c r="G75" s="525" t="str">
        <f>IF('DLL Schedule'!Pay_Num&lt;&gt;"",'DLL Schedule'!Total_Pay-'DLL Schedule'!Int,"")</f>
        <v/>
      </c>
      <c r="H75" s="525" t="str">
        <f>IF('DLL Schedule'!Pay_Num&lt;&gt;"",'DLL Schedule'!Beg_Bal*'DLL Schedule'!Interest_Rate/'DLL Schedule'!Num_Pmt_Per_Year,"")</f>
        <v/>
      </c>
      <c r="I75" s="525" t="str">
        <f>IF('DLL Schedule'!Pay_Num&lt;&gt;"",IF('DLL Schedule'!Sched_Pay+'DLL Schedule'!Extra_Pay&lt;'DLL Schedule'!Beg_Bal,'DLL Schedule'!Beg_Bal-'DLL Schedule'!Princ,0),"")</f>
        <v/>
      </c>
      <c r="J75" s="525">
        <f>SUM($H$18:$H75)</f>
        <v>0</v>
      </c>
      <c r="K75" s="499"/>
    </row>
    <row r="76" spans="1:11" ht="12.75" customHeight="1">
      <c r="A76" s="523" t="str">
        <f>IF(AND('DLL Schedule'!Values_Entered=1,A75&lt;&gt;"",I75&gt;0),A75+1,"")</f>
        <v/>
      </c>
      <c r="B76" s="524" t="str">
        <f>IF('DLL Schedule'!Pay_Num&lt;&gt;"",DATE(YEAR('DLL Schedule'!Loan_Start),MONTH('DLL Schedule'!Loan_Start)+('DLL Schedule'!Pay_Num)*12/'DLL Schedule'!Num_Pmt_Per_Year,DAY('DLL Schedule'!Loan_Start)),"")</f>
        <v/>
      </c>
      <c r="C76" s="525" t="str">
        <f>IF('DLL Schedule'!Pay_Num&lt;&gt;"",I75,"")</f>
        <v/>
      </c>
      <c r="D76" s="525" t="str">
        <f>IF('DLL Schedule'!Pay_Num&lt;&gt;"",'DLL Schedule'!Scheduled_Monthly_Payment,"")</f>
        <v/>
      </c>
      <c r="E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6" s="525" t="str">
        <f>IF('DLL Schedule'!Pay_Num&lt;&gt;"",IF('DLL Schedule'!Sched_Pay+'DLL Schedule'!Extra_Pay&lt;'DLL Schedule'!Beg_Bal,'DLL Schedule'!Sched_Pay+'DLL Schedule'!Extra_Pay,'DLL Schedule'!Beg_Bal),"")</f>
        <v/>
      </c>
      <c r="G76" s="525" t="str">
        <f>IF('DLL Schedule'!Pay_Num&lt;&gt;"",'DLL Schedule'!Total_Pay-'DLL Schedule'!Int,"")</f>
        <v/>
      </c>
      <c r="H76" s="525" t="str">
        <f>IF('DLL Schedule'!Pay_Num&lt;&gt;"",'DLL Schedule'!Beg_Bal*'DLL Schedule'!Interest_Rate/'DLL Schedule'!Num_Pmt_Per_Year,"")</f>
        <v/>
      </c>
      <c r="I76" s="525" t="str">
        <f>IF('DLL Schedule'!Pay_Num&lt;&gt;"",IF('DLL Schedule'!Sched_Pay+'DLL Schedule'!Extra_Pay&lt;'DLL Schedule'!Beg_Bal,'DLL Schedule'!Beg_Bal-'DLL Schedule'!Princ,0),"")</f>
        <v/>
      </c>
      <c r="J76" s="525">
        <f>SUM($H$18:$H76)</f>
        <v>0</v>
      </c>
      <c r="K76" s="499"/>
    </row>
    <row r="77" spans="1:11" ht="12.75" customHeight="1">
      <c r="A77" s="523" t="str">
        <f>IF(AND('DLL Schedule'!Values_Entered=1,A76&lt;&gt;"",I76&gt;0),A76+1,"")</f>
        <v/>
      </c>
      <c r="B77" s="524" t="str">
        <f>IF('DLL Schedule'!Pay_Num&lt;&gt;"",DATE(YEAR('DLL Schedule'!Loan_Start),MONTH('DLL Schedule'!Loan_Start)+('DLL Schedule'!Pay_Num)*12/'DLL Schedule'!Num_Pmt_Per_Year,DAY('DLL Schedule'!Loan_Start)),"")</f>
        <v/>
      </c>
      <c r="C77" s="525" t="str">
        <f>IF('DLL Schedule'!Pay_Num&lt;&gt;"",I76,"")</f>
        <v/>
      </c>
      <c r="D77" s="525" t="str">
        <f>IF('DLL Schedule'!Pay_Num&lt;&gt;"",'DLL Schedule'!Scheduled_Monthly_Payment,"")</f>
        <v/>
      </c>
      <c r="E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7" s="525" t="str">
        <f>IF('DLL Schedule'!Pay_Num&lt;&gt;"",IF('DLL Schedule'!Sched_Pay+'DLL Schedule'!Extra_Pay&lt;'DLL Schedule'!Beg_Bal,'DLL Schedule'!Sched_Pay+'DLL Schedule'!Extra_Pay,'DLL Schedule'!Beg_Bal),"")</f>
        <v/>
      </c>
      <c r="G77" s="525" t="str">
        <f>IF('DLL Schedule'!Pay_Num&lt;&gt;"",'DLL Schedule'!Total_Pay-'DLL Schedule'!Int,"")</f>
        <v/>
      </c>
      <c r="H77" s="525" t="str">
        <f>IF('DLL Schedule'!Pay_Num&lt;&gt;"",'DLL Schedule'!Beg_Bal*'DLL Schedule'!Interest_Rate/'DLL Schedule'!Num_Pmt_Per_Year,"")</f>
        <v/>
      </c>
      <c r="I77" s="525" t="str">
        <f>IF('DLL Schedule'!Pay_Num&lt;&gt;"",IF('DLL Schedule'!Sched_Pay+'DLL Schedule'!Extra_Pay&lt;'DLL Schedule'!Beg_Bal,'DLL Schedule'!Beg_Bal-'DLL Schedule'!Princ,0),"")</f>
        <v/>
      </c>
      <c r="J77" s="525">
        <f>SUM($H$18:$H77)</f>
        <v>0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>
        <f>SUM($H$18:$H78)</f>
        <v>0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>
        <f>SUM($H$18:$H79)</f>
        <v>0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>
        <f>SUM($H$18:$H80)</f>
        <v>0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>
        <f>SUM($H$18:$H81)</f>
        <v>0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>
        <f>SUM($H$18:$H82)</f>
        <v>0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>
        <f>SUM($H$18:$H83)</f>
        <v>0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>
        <f>SUM($H$18:$H84)</f>
        <v>0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>
        <f>SUM($H$18:$H85)</f>
        <v>0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>
        <f>SUM($H$18:$H86)</f>
        <v>0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>
        <f>SUM($H$18:$H87)</f>
        <v>0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>
        <f>SUM($H$18:$H88)</f>
        <v>0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>
        <f>SUM($H$18:$H89)</f>
        <v>0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>
        <f>SUM($H$18:$H90)</f>
        <v>0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>
        <f>SUM($H$18:$H91)</f>
        <v>0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>
        <f>SUM($H$18:$H92)</f>
        <v>0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>
        <f>SUM($H$18:$H93)</f>
        <v>0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>
        <f>SUM($H$18:$H94)</f>
        <v>0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>
        <f>SUM($H$18:$H95)</f>
        <v>0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>
        <f>SUM($H$18:$H96)</f>
        <v>0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>
        <f>SUM($H$18:$H97)</f>
        <v>0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>
        <f>SUM($H$18:$H98)</f>
        <v>0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>
        <f>SUM($H$18:$H99)</f>
        <v>0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>
        <f>SUM($H$18:$H100)</f>
        <v>0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>
        <f>SUM($H$18:$H101)</f>
        <v>0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>
        <f>SUM($H$18:$H102)</f>
        <v>0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>
        <f>SUM($H$18:$H103)</f>
        <v>0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>
        <f>SUM($H$18:$H104)</f>
        <v>0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>
        <f>SUM($H$18:$H105)</f>
        <v>0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>
        <f>SUM($H$18:$H106)</f>
        <v>0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>
        <f>SUM($H$18:$H107)</f>
        <v>0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>
        <f>SUM($H$18:$H108)</f>
        <v>0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>
        <f>SUM($H$18:$H109)</f>
        <v>0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>
        <f>SUM($H$18:$H110)</f>
        <v>0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>
        <f>SUM($H$18:$H111)</f>
        <v>0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>
        <f>SUM($H$18:$H112)</f>
        <v>0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>
        <f>SUM($H$18:$H113)</f>
        <v>0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>
        <f>SUM($H$18:$H114)</f>
        <v>0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>
        <f>SUM($H$18:$H115)</f>
        <v>0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>
        <f>SUM($H$18:$H116)</f>
        <v>0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>
        <f>SUM($H$18:$H117)</f>
        <v>0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>
        <f>SUM($H$18:$H118)</f>
        <v>0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>
        <f>SUM($H$18:$H119)</f>
        <v>0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>
        <f>SUM($H$18:$H120)</f>
        <v>0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>
        <f>SUM($H$18:$H121)</f>
        <v>0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>
        <f>SUM($H$18:$H122)</f>
        <v>0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>
        <f>SUM($H$18:$H123)</f>
        <v>0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>
        <f>SUM($H$18:$H124)</f>
        <v>0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>
        <f>SUM($H$18:$H125)</f>
        <v>0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>
        <f>SUM($H$18:$H126)</f>
        <v>0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>
        <f>SUM($H$18:$H127)</f>
        <v>0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>
        <f>SUM($H$18:$H128)</f>
        <v>0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>
        <f>SUM($H$18:$H129)</f>
        <v>0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>
        <f>SUM($H$18:$H130)</f>
        <v>0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>
        <f>SUM($H$18:$H131)</f>
        <v>0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>
        <f>SUM($H$18:$H132)</f>
        <v>0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>
        <f>SUM($H$18:$H133)</f>
        <v>0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>
        <f>SUM($H$18:$H134)</f>
        <v>0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>
        <f>SUM($H$18:$H135)</f>
        <v>0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>
        <f>SUM($H$18:$H136)</f>
        <v>0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>
        <f>SUM($H$18:$H137)</f>
        <v>0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>
        <f>SUM($H$18:$H138)</f>
        <v>0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>
        <f>SUM($H$18:$H139)</f>
        <v>0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>
        <f>SUM($H$18:$H140)</f>
        <v>0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>
        <f>SUM($H$18:$H141)</f>
        <v>0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>
        <f>SUM($H$18:$H142)</f>
        <v>0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>
        <f>SUM($H$18:$H143)</f>
        <v>0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>
        <f>SUM($H$18:$H144)</f>
        <v>0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>
        <f>SUM($H$18:$H145)</f>
        <v>0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>
        <f>SUM($H$18:$H146)</f>
        <v>0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>
        <f>SUM($H$18:$H147)</f>
        <v>0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>
        <f>SUM($H$18:$H148)</f>
        <v>0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>
        <f>SUM($H$18:$H149)</f>
        <v>0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>
        <f>SUM($H$18:$H150)</f>
        <v>0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>
        <f>SUM($H$18:$H151)</f>
        <v>0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>
        <f>SUM($H$18:$H152)</f>
        <v>0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>
        <f>SUM($H$18:$H153)</f>
        <v>0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>
        <f>SUM($H$18:$H154)</f>
        <v>0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>
        <f>SUM($H$18:$H155)</f>
        <v>0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>
        <f>SUM($H$18:$H156)</f>
        <v>0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>
        <f>SUM($H$18:$H157)</f>
        <v>0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>
        <f>SUM($H$18:$H158)</f>
        <v>0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>
        <f>SUM($H$18:$H159)</f>
        <v>0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>
        <f>SUM($H$18:$H160)</f>
        <v>0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>
        <f>SUM($H$18:$H161)</f>
        <v>0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>
        <f>SUM($H$18:$H162)</f>
        <v>0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>
        <f>SUM($H$18:$H163)</f>
        <v>0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>
        <f>SUM($H$18:$H164)</f>
        <v>0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>
        <f>SUM($H$18:$H165)</f>
        <v>0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>
        <f>SUM($H$18:$H166)</f>
        <v>0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>
        <f>SUM($H$18:$H167)</f>
        <v>0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>
        <f>SUM($H$18:$H168)</f>
        <v>0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>
        <f>SUM($H$18:$H169)</f>
        <v>0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>
        <f>SUM($H$18:$H170)</f>
        <v>0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>
        <f>SUM($H$18:$H171)</f>
        <v>0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>
        <f>SUM($H$18:$H172)</f>
        <v>0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>
        <f>SUM($H$18:$H173)</f>
        <v>0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>
        <f>SUM($H$18:$H174)</f>
        <v>0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>
        <f>SUM($H$18:$H175)</f>
        <v>0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>
        <f>SUM($H$18:$H176)</f>
        <v>0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>
        <f>SUM($H$18:$H177)</f>
        <v>0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>
        <f>SUM($H$18:$H178)</f>
        <v>0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>
        <f>SUM($H$18:$H179)</f>
        <v>0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>
        <f>SUM($H$18:$H180)</f>
        <v>0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>
        <f>SUM($H$18:$H181)</f>
        <v>0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>
        <f>SUM($H$18:$H182)</f>
        <v>0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>
        <f>SUM($H$18:$H183)</f>
        <v>0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>
        <f>SUM($H$18:$H184)</f>
        <v>0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>
        <f>SUM($H$18:$H185)</f>
        <v>0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>
        <f>SUM($H$18:$H186)</f>
        <v>0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>
        <f>SUM($H$18:$H187)</f>
        <v>0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>
        <f>SUM($H$18:$H188)</f>
        <v>0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>
        <f>SUM($H$18:$H189)</f>
        <v>0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>
        <f>SUM($H$18:$H190)</f>
        <v>0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>
        <f>SUM($H$18:$H191)</f>
        <v>0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>
        <f>SUM($H$18:$H192)</f>
        <v>0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>
        <f>SUM($H$18:$H193)</f>
        <v>0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>
        <f>SUM($H$18:$H194)</f>
        <v>0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>
        <f>SUM($H$18:$H195)</f>
        <v>0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>
        <f>SUM($H$18:$H196)</f>
        <v>0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>
        <f>SUM($H$18:$H197)</f>
        <v>0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>
        <f>SUM($H$18:$H198)</f>
        <v>0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>
        <f>SUM($H$18:$H199)</f>
        <v>0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>
        <f>SUM($H$18:$H200)</f>
        <v>0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>
        <f>SUM($H$18:$H201)</f>
        <v>0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>
        <f>SUM($H$18:$H202)</f>
        <v>0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>
        <f>SUM($H$18:$H203)</f>
        <v>0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>
        <f>SUM($H$18:$H204)</f>
        <v>0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>
        <f>SUM($H$18:$H205)</f>
        <v>0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>
        <f>SUM($H$18:$H206)</f>
        <v>0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>
        <f>SUM($H$18:$H207)</f>
        <v>0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>
        <f>SUM($H$18:$H208)</f>
        <v>0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>
        <f>SUM($H$18:$H209)</f>
        <v>0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>
        <f>SUM($H$18:$H210)</f>
        <v>0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>
        <f>SUM($H$18:$H211)</f>
        <v>0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>
        <f>SUM($H$18:$H212)</f>
        <v>0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>
        <f>SUM($H$18:$H213)</f>
        <v>0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>
        <f>SUM($H$18:$H214)</f>
        <v>0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>
        <f>SUM($H$18:$H215)</f>
        <v>0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>
        <f>SUM($H$18:$H216)</f>
        <v>0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>
        <f>SUM($H$18:$H217)</f>
        <v>0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>
        <f>SUM($H$18:$H218)</f>
        <v>0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>
        <f>SUM($H$18:$H219)</f>
        <v>0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>
        <f>SUM($H$18:$H220)</f>
        <v>0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>
        <f>SUM($H$18:$H221)</f>
        <v>0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>
        <f>SUM($H$18:$H222)</f>
        <v>0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>
        <f>SUM($H$18:$H223)</f>
        <v>0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>
        <f>SUM($H$18:$H224)</f>
        <v>0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>
        <f>SUM($H$18:$H225)</f>
        <v>0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>
        <f>SUM($H$18:$H226)</f>
        <v>0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>
        <f>SUM($H$18:$H227)</f>
        <v>0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>
        <f>SUM($H$18:$H228)</f>
        <v>0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>
        <f>SUM($H$18:$H229)</f>
        <v>0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>
        <f>SUM($H$18:$H230)</f>
        <v>0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>
        <f>SUM($H$18:$H231)</f>
        <v>0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>
        <f>SUM($H$18:$H232)</f>
        <v>0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>
        <f>SUM($H$18:$H233)</f>
        <v>0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>
        <f>SUM($H$18:$H234)</f>
        <v>0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>
        <f>SUM($H$18:$H235)</f>
        <v>0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>
        <f>SUM($H$18:$H236)</f>
        <v>0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>
        <f>SUM($H$18:$H237)</f>
        <v>0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>
        <f>SUM($H$18:$H238)</f>
        <v>0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>
        <f>SUM($H$18:$H239)</f>
        <v>0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>
        <f>SUM($H$18:$H240)</f>
        <v>0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>
        <f>SUM($H$18:$H241)</f>
        <v>0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>
        <f>SUM($H$18:$H242)</f>
        <v>0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>
        <f>SUM($H$18:$H243)</f>
        <v>0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>
        <f>SUM($H$18:$H244)</f>
        <v>0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>
        <f>SUM($H$18:$H245)</f>
        <v>0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>
        <f>SUM($H$18:$H246)</f>
        <v>0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>
        <f>SUM($H$18:$H247)</f>
        <v>0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>
        <f>SUM($H$18:$H248)</f>
        <v>0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>
        <f>SUM($H$18:$H249)</f>
        <v>0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>
        <f>SUM($H$18:$H250)</f>
        <v>0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>
        <f>SUM($H$18:$H251)</f>
        <v>0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>
        <f>SUM($H$18:$H252)</f>
        <v>0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>
        <f>SUM($H$18:$H253)</f>
        <v>0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>
        <f>SUM($H$18:$H254)</f>
        <v>0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>
        <f>SUM($H$18:$H255)</f>
        <v>0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>
        <f>SUM($H$18:$H256)</f>
        <v>0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>
        <f>SUM($H$18:$H257)</f>
        <v>0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>
        <f>SUM($H$18:$H258)</f>
        <v>0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>
        <f>SUM($H$18:$H259)</f>
        <v>0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>
        <f>SUM($H$18:$H260)</f>
        <v>0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>
        <f>SUM($H$18:$H261)</f>
        <v>0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>
        <f>SUM($H$18:$H262)</f>
        <v>0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>
        <f>SUM($H$18:$H263)</f>
        <v>0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>
        <f>SUM($H$18:$H264)</f>
        <v>0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>
        <f>SUM($H$18:$H265)</f>
        <v>0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>
        <f>SUM($H$18:$H266)</f>
        <v>0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>
        <f>SUM($H$18:$H267)</f>
        <v>0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>
        <f>SUM($H$18:$H268)</f>
        <v>0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>
        <f>SUM($H$18:$H269)</f>
        <v>0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>
        <f>SUM($H$18:$H270)</f>
        <v>0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>
        <f>SUM($H$18:$H271)</f>
        <v>0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>
        <f>SUM($H$18:$H272)</f>
        <v>0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>
        <f>SUM($H$18:$H273)</f>
        <v>0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>
        <f>SUM($H$18:$H274)</f>
        <v>0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>
        <f>SUM($H$18:$H275)</f>
        <v>0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>
        <f>SUM($H$18:$H276)</f>
        <v>0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>
        <f>SUM($H$18:$H277)</f>
        <v>0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>
        <f>SUM($H$18:$H278)</f>
        <v>0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>
        <f>SUM($H$18:$H279)</f>
        <v>0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>
        <f>SUM($H$18:$H280)</f>
        <v>0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>
        <f>SUM($H$18:$H281)</f>
        <v>0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>
        <f>SUM($H$18:$H282)</f>
        <v>0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>
        <f>SUM($H$18:$H283)</f>
        <v>0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>
        <f>SUM($H$18:$H284)</f>
        <v>0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>
        <f>SUM($H$18:$H285)</f>
        <v>0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>
        <f>SUM($H$18:$H286)</f>
        <v>0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>
        <f>SUM($H$18:$H287)</f>
        <v>0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>
        <f>SUM($H$18:$H288)</f>
        <v>0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>
        <f>SUM($H$18:$H289)</f>
        <v>0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>
        <f>SUM($H$18:$H290)</f>
        <v>0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>
        <f>SUM($H$18:$H291)</f>
        <v>0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>
        <f>SUM($H$18:$H292)</f>
        <v>0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>
        <f>SUM($H$18:$H293)</f>
        <v>0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>
        <f>SUM($H$18:$H294)</f>
        <v>0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>
        <f>SUM($H$18:$H295)</f>
        <v>0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>
        <f>SUM($H$18:$H296)</f>
        <v>0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>
        <f>SUM($H$18:$H297)</f>
        <v>0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>
        <f>SUM($H$18:$H298)</f>
        <v>0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>
        <f>SUM($H$18:$H299)</f>
        <v>0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>
        <f>SUM($H$18:$H300)</f>
        <v>0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>
        <f>SUM($H$18:$H301)</f>
        <v>0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>
        <f>SUM($H$18:$H302)</f>
        <v>0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>
        <f>SUM($H$18:$H303)</f>
        <v>0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>
        <f>SUM($H$18:$H304)</f>
        <v>0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>
        <f>SUM($H$18:$H305)</f>
        <v>0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>
        <f>SUM($H$18:$H306)</f>
        <v>0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>
        <f>SUM($H$18:$H307)</f>
        <v>0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>
        <f>SUM($H$18:$H308)</f>
        <v>0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>
        <f>SUM($H$18:$H309)</f>
        <v>0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>
        <f>SUM($H$18:$H310)</f>
        <v>0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>
        <f>SUM($H$18:$H311)</f>
        <v>0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>
        <f>SUM($H$18:$H312)</f>
        <v>0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>
        <f>SUM($H$18:$H313)</f>
        <v>0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>
        <f>SUM($H$18:$H314)</f>
        <v>0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>
        <f>SUM($H$18:$H315)</f>
        <v>0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>
        <f>SUM($H$18:$H316)</f>
        <v>0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>
        <f>SUM($H$18:$H317)</f>
        <v>0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>
        <f>SUM($H$18:$H318)</f>
        <v>0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>
        <f>SUM($H$18:$H319)</f>
        <v>0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>
        <f>SUM($H$18:$H320)</f>
        <v>0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>
        <f>SUM($H$18:$H321)</f>
        <v>0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>
        <f>SUM($H$18:$H322)</f>
        <v>0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>
        <f>SUM($H$18:$H323)</f>
        <v>0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>
        <f>SUM($H$18:$H324)</f>
        <v>0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>
        <f>SUM($H$18:$H325)</f>
        <v>0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>
        <f>SUM($H$18:$H326)</f>
        <v>0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>
        <f>SUM($H$18:$H327)</f>
        <v>0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>
        <f>SUM($H$18:$H328)</f>
        <v>0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>
        <f>SUM($H$18:$H329)</f>
        <v>0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>
        <f>SUM($H$18:$H330)</f>
        <v>0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>
        <f>SUM($H$18:$H331)</f>
        <v>0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>
        <f>SUM($H$18:$H332)</f>
        <v>0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>
        <f>SUM($H$18:$H333)</f>
        <v>0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>
        <f>SUM($H$18:$H334)</f>
        <v>0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>
        <f>SUM($H$18:$H335)</f>
        <v>0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>
        <f>SUM($H$18:$H336)</f>
        <v>0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>
        <f>SUM($H$18:$H337)</f>
        <v>0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>
        <f>SUM($H$18:$H338)</f>
        <v>0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>
        <f>SUM($H$18:$H339)</f>
        <v>0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>
        <f>SUM($H$18:$H340)</f>
        <v>0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>
        <f>SUM($H$18:$H341)</f>
        <v>0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>
        <f>SUM($H$18:$H342)</f>
        <v>0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>
        <f>SUM($H$18:$H343)</f>
        <v>0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>
        <f>SUM($H$18:$H344)</f>
        <v>0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>
        <f>SUM($H$18:$H345)</f>
        <v>0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>
        <f>SUM($H$18:$H346)</f>
        <v>0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>
        <f>SUM($H$18:$H347)</f>
        <v>0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>
        <f>SUM($H$18:$H348)</f>
        <v>0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>
        <f>SUM($H$18:$H349)</f>
        <v>0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>
        <f>SUM($H$18:$H350)</f>
        <v>0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>
        <f>SUM($H$18:$H351)</f>
        <v>0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>
        <f>SUM($H$18:$H352)</f>
        <v>0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>
        <f>SUM($H$18:$H353)</f>
        <v>0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>
        <f>SUM($H$18:$H354)</f>
        <v>0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>
        <f>SUM($H$18:$H355)</f>
        <v>0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>
        <f>SUM($H$18:$H356)</f>
        <v>0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>
        <f>SUM($H$18:$H357)</f>
        <v>0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>
        <f>SUM($H$18:$H358)</f>
        <v>0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>
        <f>SUM($H$18:$H359)</f>
        <v>0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>
        <f>SUM($H$18:$H360)</f>
        <v>0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>
        <f>SUM($H$18:$H361)</f>
        <v>0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>
        <f>SUM($H$18:$H362)</f>
        <v>0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>
        <f>SUM($H$18:$H363)</f>
        <v>0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>
        <f>SUM($H$18:$H364)</f>
        <v>0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>
        <f>SUM($H$18:$H365)</f>
        <v>0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>
        <f>SUM($H$18:$H366)</f>
        <v>0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>
        <f>SUM($H$18:$H367)</f>
        <v>0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>
        <f>SUM($H$18:$H368)</f>
        <v>0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>
        <f>SUM($H$18:$H369)</f>
        <v>0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>
        <f>SUM($H$18:$H370)</f>
        <v>0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>
        <f>SUM($H$18:$H371)</f>
        <v>0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>
        <f>SUM($H$18:$H372)</f>
        <v>0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>
        <f>SUM($H$18:$H373)</f>
        <v>0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>
        <f>SUM($H$18:$H374)</f>
        <v>0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>
        <f>SUM($H$18:$H375)</f>
        <v>0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>
        <f>SUM($H$18:$H376)</f>
        <v>0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>
        <f>SUM($H$18:$H377)</f>
        <v>0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>
        <f>SUM($H$18:$H378)</f>
        <v>0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>
        <f>SUM($H$18:$H379)</f>
        <v>0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>
        <f>SUM($H$18:$H380)</f>
        <v>0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>
        <f>SUM($H$18:$H381)</f>
        <v>0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>
        <f>SUM($H$18:$H382)</f>
        <v>0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>
        <f>SUM($H$18:$H383)</f>
        <v>0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>
        <f>SUM($H$18:$H384)</f>
        <v>0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>
        <f>SUM($H$18:$H385)</f>
        <v>0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>
        <f>SUM($H$18:$H386)</f>
        <v>0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>
        <f>SUM($H$18:$H387)</f>
        <v>0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>
        <f>SUM($H$18:$H388)</f>
        <v>0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>
        <f>SUM($H$18:$H389)</f>
        <v>0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>
        <f>SUM($H$18:$H390)</f>
        <v>0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>
        <f>SUM($H$18:$H391)</f>
        <v>0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>
        <f>SUM($H$18:$H392)</f>
        <v>0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>
        <f>SUM($H$18:$H393)</f>
        <v>0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>
        <f>SUM($H$18:$H394)</f>
        <v>0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>
        <f>SUM($H$18:$H395)</f>
        <v>0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>
        <f>SUM($H$18:$H396)</f>
        <v>0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>
        <f>SUM($H$18:$H397)</f>
        <v>0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>
        <f>SUM($H$18:$H398)</f>
        <v>0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>
        <f>SUM($H$18:$H399)</f>
        <v>0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>
        <f>SUM($H$18:$H400)</f>
        <v>0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>
        <f>SUM($H$18:$H401)</f>
        <v>0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>
        <f>SUM($H$18:$H402)</f>
        <v>0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>
        <f>SUM($H$18:$H403)</f>
        <v>0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>
        <f>SUM($H$18:$H404)</f>
        <v>0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>
        <f>SUM($H$18:$H405)</f>
        <v>0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>
        <f>SUM($H$18:$H406)</f>
        <v>0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>
        <f>SUM($H$18:$H407)</f>
        <v>0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>
        <f>SUM($H$18:$H408)</f>
        <v>0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>
        <f>SUM($H$18:$H409)</f>
        <v>0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>
        <f>SUM($H$18:$H410)</f>
        <v>0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>
        <f>SUM($H$18:$H411)</f>
        <v>0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>
        <f>SUM($H$18:$H412)</f>
        <v>0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>
        <f>SUM($H$18:$H413)</f>
        <v>0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>
        <f>SUM($H$18:$H414)</f>
        <v>0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>
        <f>SUM($H$18:$H415)</f>
        <v>0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>
        <f>SUM($H$18:$H416)</f>
        <v>0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>
        <f>SUM($H$18:$H417)</f>
        <v>0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>
        <f>SUM($H$18:$H418)</f>
        <v>0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>
        <f>SUM($H$18:$H419)</f>
        <v>0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>
        <f>SUM($H$18:$H420)</f>
        <v>0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>
        <f>SUM($H$18:$H421)</f>
        <v>0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>
        <f>SUM($H$18:$H422)</f>
        <v>0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>
        <f>SUM($H$18:$H423)</f>
        <v>0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>
        <f>SUM($H$18:$H424)</f>
        <v>0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>
        <f>SUM($H$18:$H425)</f>
        <v>0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>
        <f>SUM($H$18:$H426)</f>
        <v>0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>
        <f>SUM($H$18:$H427)</f>
        <v>0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>
        <f>SUM($H$18:$H428)</f>
        <v>0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>
        <f>SUM($H$18:$H429)</f>
        <v>0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>
        <f>SUM($H$18:$H430)</f>
        <v>0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>
        <f>SUM($H$18:$H431)</f>
        <v>0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>
        <f>SUM($H$18:$H432)</f>
        <v>0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>
        <f>SUM($H$18:$H433)</f>
        <v>0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>
        <f>SUM($H$18:$H434)</f>
        <v>0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>
        <f>SUM($H$18:$H435)</f>
        <v>0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>
        <f>SUM($H$18:$H436)</f>
        <v>0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>
        <f>SUM($H$18:$H437)</f>
        <v>0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>
        <f>SUM($H$18:$H438)</f>
        <v>0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>
        <f>SUM($H$18:$H439)</f>
        <v>0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>
        <f>SUM($H$18:$H440)</f>
        <v>0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>
        <f>SUM($H$18:$H441)</f>
        <v>0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>
        <f>SUM($H$18:$H442)</f>
        <v>0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>
        <f>SUM($H$18:$H443)</f>
        <v>0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>
        <f>SUM($H$18:$H444)</f>
        <v>0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>
        <f>SUM($H$18:$H445)</f>
        <v>0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>
        <f>SUM($H$18:$H446)</f>
        <v>0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>
        <f>SUM($H$18:$H447)</f>
        <v>0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>
        <f>SUM($H$18:$H448)</f>
        <v>0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>
        <f>SUM($H$18:$H449)</f>
        <v>0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>
        <f>SUM($H$18:$H450)</f>
        <v>0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>
        <f>SUM($H$18:$H451)</f>
        <v>0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>
        <f>SUM($H$18:$H452)</f>
        <v>0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>
        <f>SUM($H$18:$H453)</f>
        <v>0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>
        <f>SUM($H$18:$H454)</f>
        <v>0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>
        <f>SUM($H$18:$H455)</f>
        <v>0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>
        <f>SUM($H$18:$H456)</f>
        <v>0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>
        <f>SUM($H$18:$H457)</f>
        <v>0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>
        <f>SUM($H$18:$H458)</f>
        <v>0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>
        <f>SUM($H$18:$H459)</f>
        <v>0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>
        <f>SUM($H$18:$H460)</f>
        <v>0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>
        <f>SUM($H$18:$H461)</f>
        <v>0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>
        <f>SUM($H$18:$H462)</f>
        <v>0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>
        <f>SUM($H$18:$H463)</f>
        <v>0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>
        <f>SUM($H$18:$H464)</f>
        <v>0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>
        <f>SUM($H$18:$H465)</f>
        <v>0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>
        <f>SUM($H$18:$H466)</f>
        <v>0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>
        <f>SUM($H$18:$H467)</f>
        <v>0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>
        <f>SUM($H$18:$H468)</f>
        <v>0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>
        <f>SUM($H$18:$H469)</f>
        <v>0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>
        <f>SUM($H$18:$H470)</f>
        <v>0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>
        <f>SUM($H$18:$H471)</f>
        <v>0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>
        <f>SUM($H$18:$H472)</f>
        <v>0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>
        <f>SUM($H$18:$H473)</f>
        <v>0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>
        <f>SUM($H$18:$H474)</f>
        <v>0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>
        <f>SUM($H$18:$H475)</f>
        <v>0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>
        <f>SUM($H$18:$H476)</f>
        <v>0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>
        <f>SUM($H$18:$H477)</f>
        <v>0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>
        <f>SUM($H$18:$H478)</f>
        <v>0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>
        <f>SUM($H$18:$H479)</f>
        <v>0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>
        <f>SUM($H$18:$H480)</f>
        <v>0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>
        <f>SUM($H$18:$H481)</f>
        <v>0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>
        <f>SUM($H$18:$H482)</f>
        <v>0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>
        <f>SUM($H$18:$H483)</f>
        <v>0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>
        <f>SUM($H$18:$H484)</f>
        <v>0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>
        <f>SUM($H$18:$H485)</f>
        <v>0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>
        <f>SUM($H$18:$H486)</f>
        <v>0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>
        <f>SUM($H$18:$H487)</f>
        <v>0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>
        <f>SUM($H$18:$H488)</f>
        <v>0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>
        <f>SUM($H$18:$H489)</f>
        <v>0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>
        <f>SUM($H$18:$H490)</f>
        <v>0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>
        <f>SUM($H$18:$H491)</f>
        <v>0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>
        <f>SUM($H$18:$H492)</f>
        <v>0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>
        <f>SUM($H$18:$H493)</f>
        <v>0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>
        <f>SUM($H$18:$H494)</f>
        <v>0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>
        <f>SUM($H$18:$H495)</f>
        <v>0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>
        <f>SUM($H$18:$H496)</f>
        <v>0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>
        <f>SUM($H$18:$H497)</f>
        <v>0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topLeftCell="A10" workbookViewId="0">
      <selection activeCell="L21" sqref="L21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>
        <f t="shared" ref="F1:H1" si="0">SUM(F3:F62)</f>
        <v>0</v>
      </c>
      <c r="G1" s="527">
        <f t="shared" si="0"/>
        <v>0</v>
      </c>
      <c r="H1" s="527">
        <f t="shared" si="0"/>
        <v>0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726</v>
      </c>
      <c r="G2" s="528" t="s">
        <v>727</v>
      </c>
      <c r="H2" s="528" t="s">
        <v>728</v>
      </c>
      <c r="I2" s="528" t="s">
        <v>56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 t="str">
        <f>'DLL Schedule'!J5</f>
        <v/>
      </c>
      <c r="G3" s="530">
        <f>'Financial Worksheet'!$B$4/('Financial Worksheet'!$B$10*12)</f>
        <v>0</v>
      </c>
      <c r="H3" s="530">
        <f>('Updated Chargers Revenue Calcul'!$J$24/12)*1.125^INT((E3-1)/12)</f>
        <v>0</v>
      </c>
      <c r="I3" s="530" t="e">
        <f>(G3+H3)-F3</f>
        <v>#VALUE!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 t="str">
        <f t="shared" ref="F4:F62" si="1">F3</f>
        <v/>
      </c>
      <c r="G4" s="530">
        <f>'Financial Worksheet'!$B$4/('Financial Worksheet'!$B$10*12)</f>
        <v>0</v>
      </c>
      <c r="H4" s="530">
        <f>('Updated Chargers Revenue Calcul'!$J$24/12)*1.125^INT((E4-1)/12)</f>
        <v>0</v>
      </c>
      <c r="I4" s="530" t="e">
        <f t="shared" ref="I4:I62" si="2">(G4+H4)-F4</f>
        <v>#VALUE!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 t="str">
        <f t="shared" si="1"/>
        <v/>
      </c>
      <c r="G5" s="530">
        <f>'Financial Worksheet'!$B$4/('Financial Worksheet'!$B$10*12)</f>
        <v>0</v>
      </c>
      <c r="H5" s="530">
        <f>('Updated Chargers Revenue Calcul'!$J$24/12)*1.125^INT((E5-1)/12)</f>
        <v>0</v>
      </c>
      <c r="I5" s="530" t="e">
        <f t="shared" si="2"/>
        <v>#VALUE!</v>
      </c>
      <c r="J5" s="499"/>
      <c r="K5" s="499"/>
      <c r="L5" s="499"/>
      <c r="M5" s="499"/>
      <c r="N5" s="499"/>
    </row>
    <row r="6" spans="1:14">
      <c r="A6" s="499"/>
      <c r="E6" s="529">
        <f t="shared" ref="E6:E62" si="3">E5+1</f>
        <v>4</v>
      </c>
      <c r="F6" s="530" t="str">
        <f t="shared" si="1"/>
        <v/>
      </c>
      <c r="G6" s="530">
        <f>'Financial Worksheet'!$B$4/('Financial Worksheet'!$B$10*12)</f>
        <v>0</v>
      </c>
      <c r="H6" s="530">
        <f>('Updated Chargers Revenue Calcul'!$J$24/12)*1.125^INT((E6-1)/12)</f>
        <v>0</v>
      </c>
      <c r="I6" s="530" t="e">
        <f t="shared" si="2"/>
        <v>#VALUE!</v>
      </c>
      <c r="J6" s="499"/>
      <c r="K6" s="499"/>
      <c r="L6" s="499"/>
      <c r="M6" s="499"/>
      <c r="N6" s="499"/>
    </row>
    <row r="7" spans="1:14">
      <c r="A7" s="499"/>
      <c r="E7" s="529">
        <f t="shared" si="3"/>
        <v>5</v>
      </c>
      <c r="F7" s="530" t="str">
        <f t="shared" si="1"/>
        <v/>
      </c>
      <c r="G7" s="530">
        <f>'Financial Worksheet'!$B$4/('Financial Worksheet'!$B$10*12)</f>
        <v>0</v>
      </c>
      <c r="H7" s="530">
        <f>('Updated Chargers Revenue Calcul'!$J$24/12)*1.125^INT((E7-1)/12)</f>
        <v>0</v>
      </c>
      <c r="I7" s="530" t="e">
        <f t="shared" si="2"/>
        <v>#VALUE!</v>
      </c>
      <c r="J7" s="499"/>
      <c r="K7" s="499"/>
      <c r="L7" s="499"/>
      <c r="M7" s="499"/>
      <c r="N7" s="499"/>
    </row>
    <row r="8" spans="1:14">
      <c r="A8" s="499"/>
      <c r="E8" s="529">
        <f t="shared" si="3"/>
        <v>6</v>
      </c>
      <c r="F8" s="530" t="str">
        <f t="shared" si="1"/>
        <v/>
      </c>
      <c r="G8" s="530">
        <f>'Financial Worksheet'!$B$4/('Financial Worksheet'!$B$10*12)</f>
        <v>0</v>
      </c>
      <c r="H8" s="530">
        <f>('Updated Chargers Revenue Calcul'!$J$24/12)*1.125^INT((E8-1)/12)</f>
        <v>0</v>
      </c>
      <c r="I8" s="530" t="e">
        <f t="shared" si="2"/>
        <v>#VALUE!</v>
      </c>
      <c r="J8" s="499"/>
      <c r="K8" s="499"/>
      <c r="L8" s="499"/>
      <c r="M8" s="499"/>
      <c r="N8" s="499"/>
    </row>
    <row r="9" spans="1:14">
      <c r="A9" s="499"/>
      <c r="E9" s="529">
        <f t="shared" si="3"/>
        <v>7</v>
      </c>
      <c r="F9" s="530" t="str">
        <f t="shared" si="1"/>
        <v/>
      </c>
      <c r="G9" s="530">
        <f>'Financial Worksheet'!$B$4/('Financial Worksheet'!$B$10*12)</f>
        <v>0</v>
      </c>
      <c r="H9" s="530">
        <f>('Updated Chargers Revenue Calcul'!$J$24/12)*1.125^INT((E9-1)/12)</f>
        <v>0</v>
      </c>
      <c r="I9" s="530" t="e">
        <f t="shared" si="2"/>
        <v>#VALUE!</v>
      </c>
      <c r="J9" s="499"/>
      <c r="K9" s="499"/>
      <c r="L9" s="499"/>
      <c r="M9" s="499"/>
      <c r="N9" s="499"/>
    </row>
    <row r="10" spans="1:14">
      <c r="A10" s="499"/>
      <c r="E10" s="529">
        <f t="shared" si="3"/>
        <v>8</v>
      </c>
      <c r="F10" s="530" t="str">
        <f t="shared" si="1"/>
        <v/>
      </c>
      <c r="G10" s="530">
        <f>'Financial Worksheet'!$B$4/('Financial Worksheet'!$B$10*12)</f>
        <v>0</v>
      </c>
      <c r="H10" s="530">
        <f>('Updated Chargers Revenue Calcul'!$J$24/12)*1.125^INT((E10-1)/12)</f>
        <v>0</v>
      </c>
      <c r="I10" s="530" t="e">
        <f t="shared" si="2"/>
        <v>#VALUE!</v>
      </c>
      <c r="J10" s="499"/>
      <c r="K10" s="499"/>
      <c r="L10" s="499"/>
      <c r="M10" s="499"/>
      <c r="N10" s="499"/>
    </row>
    <row r="11" spans="1:14">
      <c r="A11" s="499"/>
      <c r="E11" s="529">
        <f t="shared" si="3"/>
        <v>9</v>
      </c>
      <c r="F11" s="530" t="str">
        <f t="shared" si="1"/>
        <v/>
      </c>
      <c r="G11" s="530">
        <f>'Financial Worksheet'!$B$4/('Financial Worksheet'!$B$10*12)</f>
        <v>0</v>
      </c>
      <c r="H11" s="530">
        <f>('Updated Chargers Revenue Calcul'!$J$24/12)*1.125^INT((E11-1)/12)</f>
        <v>0</v>
      </c>
      <c r="I11" s="530" t="e">
        <f t="shared" si="2"/>
        <v>#VALUE!</v>
      </c>
      <c r="J11" s="499"/>
      <c r="K11" s="499"/>
      <c r="L11" s="499"/>
      <c r="M11" s="499"/>
      <c r="N11" s="499"/>
    </row>
    <row r="12" spans="1:14">
      <c r="A12" s="499"/>
      <c r="E12" s="529">
        <f t="shared" si="3"/>
        <v>10</v>
      </c>
      <c r="F12" s="530" t="str">
        <f t="shared" si="1"/>
        <v/>
      </c>
      <c r="G12" s="530">
        <f>'Financial Worksheet'!$B$4/('Financial Worksheet'!$B$10*12)</f>
        <v>0</v>
      </c>
      <c r="H12" s="530">
        <f>('Updated Chargers Revenue Calcul'!$J$24/12)*1.125^INT((E12-1)/12)</f>
        <v>0</v>
      </c>
      <c r="I12" s="530" t="e">
        <f t="shared" si="2"/>
        <v>#VALUE!</v>
      </c>
      <c r="J12" s="499"/>
      <c r="K12" s="499"/>
      <c r="L12" s="499"/>
      <c r="M12" s="499"/>
      <c r="N12" s="499"/>
    </row>
    <row r="13" spans="1:14">
      <c r="A13" s="499"/>
      <c r="E13" s="529">
        <f t="shared" si="3"/>
        <v>11</v>
      </c>
      <c r="F13" s="530" t="str">
        <f t="shared" si="1"/>
        <v/>
      </c>
      <c r="G13" s="530">
        <f>'Financial Worksheet'!$B$4/('Financial Worksheet'!$B$10*12)</f>
        <v>0</v>
      </c>
      <c r="H13" s="530">
        <f>('Updated Chargers Revenue Calcul'!$J$24/12)*1.125^INT((E13-1)/12)</f>
        <v>0</v>
      </c>
      <c r="I13" s="530" t="e">
        <f t="shared" si="2"/>
        <v>#VALUE!</v>
      </c>
      <c r="J13" s="499"/>
      <c r="K13" s="499"/>
      <c r="L13" s="499"/>
      <c r="M13" s="499"/>
      <c r="N13" s="499"/>
    </row>
    <row r="14" spans="1:14">
      <c r="A14" s="499"/>
      <c r="E14" s="529">
        <f t="shared" si="3"/>
        <v>12</v>
      </c>
      <c r="F14" s="530" t="str">
        <f t="shared" si="1"/>
        <v/>
      </c>
      <c r="G14" s="530">
        <f>'Financial Worksheet'!$B$4/('Financial Worksheet'!$B$10*12)</f>
        <v>0</v>
      </c>
      <c r="H14" s="530">
        <f>('Updated Chargers Revenue Calcul'!$J$24/12)*1.125^INT((E14-1)/12)</f>
        <v>0</v>
      </c>
      <c r="I14" s="530" t="e">
        <f t="shared" si="2"/>
        <v>#VALUE!</v>
      </c>
      <c r="J14" s="499"/>
      <c r="K14" s="499"/>
      <c r="L14" s="499"/>
      <c r="M14" s="499"/>
      <c r="N14" s="499"/>
    </row>
    <row r="15" spans="1:14">
      <c r="A15" s="499"/>
      <c r="E15" s="529">
        <f t="shared" si="3"/>
        <v>13</v>
      </c>
      <c r="F15" s="530" t="str">
        <f t="shared" si="1"/>
        <v/>
      </c>
      <c r="G15" s="530">
        <f>'Financial Worksheet'!$B$4/('Financial Worksheet'!$B$10*12)</f>
        <v>0</v>
      </c>
      <c r="H15" s="530">
        <f>('Updated Chargers Revenue Calcul'!$J$24/12)*1.125^INT((E15-1)/12)</f>
        <v>0</v>
      </c>
      <c r="I15" s="530" t="e">
        <f t="shared" si="2"/>
        <v>#VALUE!</v>
      </c>
      <c r="J15" s="499"/>
      <c r="K15" s="499"/>
      <c r="L15" s="499"/>
      <c r="M15" s="499"/>
      <c r="N15" s="499"/>
    </row>
    <row r="16" spans="1:14">
      <c r="A16" s="499"/>
      <c r="E16" s="529">
        <f t="shared" si="3"/>
        <v>14</v>
      </c>
      <c r="F16" s="530" t="str">
        <f t="shared" si="1"/>
        <v/>
      </c>
      <c r="G16" s="530">
        <f>'Financial Worksheet'!$B$4/('Financial Worksheet'!$B$10*12)</f>
        <v>0</v>
      </c>
      <c r="H16" s="530">
        <f>('Updated Chargers Revenue Calcul'!$J$24/12)*1.125^INT((E16-1)/12)</f>
        <v>0</v>
      </c>
      <c r="I16" s="530" t="e">
        <f t="shared" si="2"/>
        <v>#VALUE!</v>
      </c>
      <c r="J16" s="499"/>
      <c r="K16" s="499"/>
      <c r="L16" s="499"/>
      <c r="M16" s="499"/>
      <c r="N16" s="499"/>
    </row>
    <row r="17" spans="1:14">
      <c r="A17" s="499"/>
      <c r="E17" s="529">
        <f t="shared" si="3"/>
        <v>15</v>
      </c>
      <c r="F17" s="530" t="str">
        <f t="shared" si="1"/>
        <v/>
      </c>
      <c r="G17" s="530">
        <f>'Financial Worksheet'!$B$4/('Financial Worksheet'!$B$10*12)</f>
        <v>0</v>
      </c>
      <c r="H17" s="530">
        <f>('Updated Chargers Revenue Calcul'!$J$24/12)*1.125^INT((E17-1)/12)</f>
        <v>0</v>
      </c>
      <c r="I17" s="530" t="e">
        <f t="shared" si="2"/>
        <v>#VALUE!</v>
      </c>
      <c r="J17" s="499"/>
      <c r="K17" s="499"/>
      <c r="L17" s="499"/>
      <c r="M17" s="499"/>
      <c r="N17" s="499"/>
    </row>
    <row r="18" spans="1:14">
      <c r="A18" s="499"/>
      <c r="E18" s="529">
        <f t="shared" si="3"/>
        <v>16</v>
      </c>
      <c r="F18" s="530" t="str">
        <f t="shared" si="1"/>
        <v/>
      </c>
      <c r="G18" s="530">
        <f>'Financial Worksheet'!$B$4/('Financial Worksheet'!$B$10*12)</f>
        <v>0</v>
      </c>
      <c r="H18" s="530">
        <f>('Updated Chargers Revenue Calcul'!$J$24/12)*1.125^INT((E18-1)/12)</f>
        <v>0</v>
      </c>
      <c r="I18" s="530" t="e">
        <f t="shared" si="2"/>
        <v>#VALUE!</v>
      </c>
      <c r="J18" s="499"/>
      <c r="K18" s="499"/>
      <c r="L18" s="499"/>
      <c r="M18" s="499"/>
      <c r="N18" s="499"/>
    </row>
    <row r="19" spans="1:14">
      <c r="A19" s="499"/>
      <c r="E19" s="529">
        <f t="shared" si="3"/>
        <v>17</v>
      </c>
      <c r="F19" s="530" t="str">
        <f t="shared" si="1"/>
        <v/>
      </c>
      <c r="G19" s="530">
        <f>'Financial Worksheet'!$B$4/('Financial Worksheet'!$B$10*12)</f>
        <v>0</v>
      </c>
      <c r="H19" s="530">
        <f>('Updated Chargers Revenue Calcul'!$J$24/12)*1.125^INT((E19-1)/12)</f>
        <v>0</v>
      </c>
      <c r="I19" s="530" t="e">
        <f t="shared" si="2"/>
        <v>#VALUE!</v>
      </c>
      <c r="J19" s="499"/>
      <c r="K19" s="499"/>
      <c r="L19" s="499"/>
      <c r="M19" s="499"/>
      <c r="N19" s="499"/>
    </row>
    <row r="20" spans="1:14">
      <c r="A20" s="499"/>
      <c r="E20" s="529">
        <f t="shared" si="3"/>
        <v>18</v>
      </c>
      <c r="F20" s="530" t="str">
        <f t="shared" si="1"/>
        <v/>
      </c>
      <c r="G20" s="530">
        <f>'Financial Worksheet'!$B$4/('Financial Worksheet'!$B$10*12)</f>
        <v>0</v>
      </c>
      <c r="H20" s="530">
        <f>('Updated Chargers Revenue Calcul'!$J$24/12)*1.125^INT((E20-1)/12)</f>
        <v>0</v>
      </c>
      <c r="I20" s="530" t="e">
        <f t="shared" si="2"/>
        <v>#VALUE!</v>
      </c>
      <c r="J20" s="499"/>
      <c r="K20" s="499"/>
      <c r="L20" s="499"/>
      <c r="M20" s="499"/>
      <c r="N20" s="499"/>
    </row>
    <row r="21" spans="1:14" ht="15.75" customHeight="1">
      <c r="A21" s="499"/>
      <c r="E21" s="529">
        <f t="shared" si="3"/>
        <v>19</v>
      </c>
      <c r="F21" s="530" t="str">
        <f t="shared" si="1"/>
        <v/>
      </c>
      <c r="G21" s="530">
        <f>'Financial Worksheet'!$B$4/('Financial Worksheet'!$B$10*12)</f>
        <v>0</v>
      </c>
      <c r="H21" s="530">
        <f>('Updated Chargers Revenue Calcul'!$J$24/12)*1.125^INT((E21-1)/12)</f>
        <v>0</v>
      </c>
      <c r="I21" s="530" t="e">
        <f t="shared" si="2"/>
        <v>#VALUE!</v>
      </c>
      <c r="J21" s="499"/>
      <c r="K21" s="499"/>
      <c r="L21" s="499"/>
      <c r="M21" s="499"/>
      <c r="N21" s="499"/>
    </row>
    <row r="22" spans="1:14" ht="15.75" customHeight="1">
      <c r="A22" s="499"/>
      <c r="E22" s="529">
        <f t="shared" si="3"/>
        <v>20</v>
      </c>
      <c r="F22" s="530" t="str">
        <f t="shared" si="1"/>
        <v/>
      </c>
      <c r="G22" s="530">
        <f>'Financial Worksheet'!$B$4/('Financial Worksheet'!$B$10*12)</f>
        <v>0</v>
      </c>
      <c r="H22" s="530">
        <f>('Updated Chargers Revenue Calcul'!$J$24/12)*1.125^INT((E22-1)/12)</f>
        <v>0</v>
      </c>
      <c r="I22" s="530" t="e">
        <f t="shared" si="2"/>
        <v>#VALUE!</v>
      </c>
      <c r="J22" s="499"/>
      <c r="K22" s="499"/>
      <c r="L22" s="499"/>
      <c r="M22" s="499"/>
      <c r="N22" s="499"/>
    </row>
    <row r="23" spans="1:14" ht="15.75" customHeight="1">
      <c r="A23" s="499"/>
      <c r="E23" s="529">
        <f t="shared" si="3"/>
        <v>21</v>
      </c>
      <c r="F23" s="530" t="str">
        <f t="shared" si="1"/>
        <v/>
      </c>
      <c r="G23" s="530">
        <f>'Financial Worksheet'!$B$4/('Financial Worksheet'!$B$10*12)</f>
        <v>0</v>
      </c>
      <c r="H23" s="530">
        <f>('Updated Chargers Revenue Calcul'!$J$24/12)*1.125^INT((E23-1)/12)</f>
        <v>0</v>
      </c>
      <c r="I23" s="530" t="e">
        <f t="shared" si="2"/>
        <v>#VALUE!</v>
      </c>
      <c r="J23" s="499"/>
      <c r="K23" s="499"/>
      <c r="L23" s="499"/>
      <c r="M23" s="499"/>
      <c r="N23" s="499"/>
    </row>
    <row r="24" spans="1:14" ht="15.75" customHeight="1">
      <c r="A24" s="499"/>
      <c r="E24" s="529">
        <f t="shared" si="3"/>
        <v>22</v>
      </c>
      <c r="F24" s="530" t="str">
        <f t="shared" si="1"/>
        <v/>
      </c>
      <c r="G24" s="530">
        <f>'Financial Worksheet'!$B$4/('Financial Worksheet'!$B$10*12)</f>
        <v>0</v>
      </c>
      <c r="H24" s="530">
        <f>('Updated Chargers Revenue Calcul'!$J$24/12)*1.125^INT((E24-1)/12)</f>
        <v>0</v>
      </c>
      <c r="I24" s="530" t="e">
        <f t="shared" si="2"/>
        <v>#VALUE!</v>
      </c>
      <c r="J24" s="499"/>
      <c r="K24" s="499"/>
      <c r="L24" s="499"/>
      <c r="M24" s="499"/>
      <c r="N24" s="499"/>
    </row>
    <row r="25" spans="1:14" ht="15.75" customHeight="1">
      <c r="A25" s="499"/>
      <c r="E25" s="531">
        <f t="shared" si="3"/>
        <v>23</v>
      </c>
      <c r="F25" s="526" t="str">
        <f t="shared" si="1"/>
        <v/>
      </c>
      <c r="G25" s="530">
        <f>'Financial Worksheet'!$B$4/('Financial Worksheet'!$B$10*12)</f>
        <v>0</v>
      </c>
      <c r="H25" s="530">
        <f>('Updated Chargers Revenue Calcul'!$J$24/12)*1.125^INT((E25-1)/12)</f>
        <v>0</v>
      </c>
      <c r="I25" s="530" t="e">
        <f t="shared" si="2"/>
        <v>#VALUE!</v>
      </c>
      <c r="J25" s="532"/>
      <c r="K25" s="533"/>
      <c r="L25" s="533"/>
      <c r="M25" s="499"/>
      <c r="N25" s="499"/>
    </row>
    <row r="26" spans="1:14" ht="15.75" customHeight="1">
      <c r="A26" s="499"/>
      <c r="E26" s="529">
        <f t="shared" si="3"/>
        <v>24</v>
      </c>
      <c r="F26" s="530" t="str">
        <f t="shared" si="1"/>
        <v/>
      </c>
      <c r="G26" s="530">
        <f>'Financial Worksheet'!$B$4/('Financial Worksheet'!$B$10*12)</f>
        <v>0</v>
      </c>
      <c r="H26" s="530">
        <f>('Updated Chargers Revenue Calcul'!$J$24/12)*1.125^INT((E26-1)/12)</f>
        <v>0</v>
      </c>
      <c r="I26" s="530" t="e">
        <f t="shared" si="2"/>
        <v>#VALUE!</v>
      </c>
      <c r="J26" s="499"/>
      <c r="K26" s="499"/>
      <c r="L26" s="499"/>
      <c r="M26" s="499"/>
      <c r="N26" s="499"/>
    </row>
    <row r="27" spans="1:14" ht="15.75" customHeight="1">
      <c r="A27" s="499"/>
      <c r="E27" s="529">
        <f t="shared" si="3"/>
        <v>25</v>
      </c>
      <c r="F27" s="530" t="str">
        <f t="shared" si="1"/>
        <v/>
      </c>
      <c r="G27" s="530">
        <f>'Financial Worksheet'!$B$4/('Financial Worksheet'!$B$10*12)</f>
        <v>0</v>
      </c>
      <c r="H27" s="530">
        <f>('Updated Chargers Revenue Calcul'!$J$24/12)*1.125^INT((E27-1)/12)</f>
        <v>0</v>
      </c>
      <c r="I27" s="530" t="e">
        <f t="shared" si="2"/>
        <v>#VALUE!</v>
      </c>
      <c r="J27" s="499"/>
      <c r="K27" s="499"/>
      <c r="L27" s="499"/>
      <c r="M27" s="499"/>
      <c r="N27" s="499"/>
    </row>
    <row r="28" spans="1:14" ht="15.75" customHeight="1">
      <c r="A28" s="499"/>
      <c r="E28" s="529">
        <f t="shared" si="3"/>
        <v>26</v>
      </c>
      <c r="F28" s="530" t="str">
        <f t="shared" si="1"/>
        <v/>
      </c>
      <c r="G28" s="530">
        <f>'Financial Worksheet'!$B$4/('Financial Worksheet'!$B$10*12)</f>
        <v>0</v>
      </c>
      <c r="H28" s="530">
        <f>('Updated Chargers Revenue Calcul'!$J$24/12)*1.125^INT((E28-1)/12)</f>
        <v>0</v>
      </c>
      <c r="I28" s="530" t="e">
        <f t="shared" si="2"/>
        <v>#VALUE!</v>
      </c>
      <c r="J28" s="499"/>
      <c r="K28" s="499"/>
      <c r="L28" s="499"/>
      <c r="M28" s="499"/>
      <c r="N28" s="499"/>
    </row>
    <row r="29" spans="1:14" ht="15.75" customHeight="1">
      <c r="A29" s="499"/>
      <c r="E29" s="529">
        <f t="shared" si="3"/>
        <v>27</v>
      </c>
      <c r="F29" s="530" t="str">
        <f t="shared" si="1"/>
        <v/>
      </c>
      <c r="G29" s="530">
        <f>'Financial Worksheet'!$B$4/('Financial Worksheet'!$B$10*12)</f>
        <v>0</v>
      </c>
      <c r="H29" s="530">
        <f>('Updated Chargers Revenue Calcul'!$J$24/12)*1.125^INT((E29-1)/12)</f>
        <v>0</v>
      </c>
      <c r="I29" s="530" t="e">
        <f t="shared" si="2"/>
        <v>#VALUE!</v>
      </c>
      <c r="J29" s="499"/>
      <c r="K29" s="499"/>
      <c r="L29" s="499"/>
      <c r="M29" s="499"/>
      <c r="N29" s="499"/>
    </row>
    <row r="30" spans="1:14" ht="15.75" customHeight="1">
      <c r="A30" s="499"/>
      <c r="E30" s="529">
        <f t="shared" si="3"/>
        <v>28</v>
      </c>
      <c r="F30" s="530" t="str">
        <f t="shared" si="1"/>
        <v/>
      </c>
      <c r="G30" s="530">
        <f>'Financial Worksheet'!$B$4/('Financial Worksheet'!$B$10*12)</f>
        <v>0</v>
      </c>
      <c r="H30" s="530">
        <f>('Updated Chargers Revenue Calcul'!$J$24/12)*1.125^INT((E30-1)/12)</f>
        <v>0</v>
      </c>
      <c r="I30" s="530" t="e">
        <f t="shared" si="2"/>
        <v>#VALUE!</v>
      </c>
      <c r="J30" s="499"/>
      <c r="K30" s="499"/>
      <c r="L30" s="499"/>
      <c r="M30" s="499"/>
      <c r="N30" s="499"/>
    </row>
    <row r="31" spans="1:14" ht="15.75" customHeight="1">
      <c r="A31" s="499"/>
      <c r="E31" s="529">
        <f t="shared" si="3"/>
        <v>29</v>
      </c>
      <c r="F31" s="530" t="str">
        <f t="shared" si="1"/>
        <v/>
      </c>
      <c r="G31" s="530">
        <f>'Financial Worksheet'!$B$4/('Financial Worksheet'!$B$10*12)</f>
        <v>0</v>
      </c>
      <c r="H31" s="530">
        <f>('Updated Chargers Revenue Calcul'!$J$24/12)*1.125^INT((E31-1)/12)</f>
        <v>0</v>
      </c>
      <c r="I31" s="530" t="e">
        <f t="shared" si="2"/>
        <v>#VALUE!</v>
      </c>
      <c r="J31" s="499"/>
      <c r="K31" s="499"/>
      <c r="L31" s="499"/>
      <c r="M31" s="499"/>
      <c r="N31" s="499"/>
    </row>
    <row r="32" spans="1:14" ht="15.75" customHeight="1">
      <c r="A32" s="499"/>
      <c r="E32" s="529">
        <f t="shared" si="3"/>
        <v>30</v>
      </c>
      <c r="F32" s="530" t="str">
        <f t="shared" si="1"/>
        <v/>
      </c>
      <c r="G32" s="530">
        <f>'Financial Worksheet'!$B$4/('Financial Worksheet'!$B$10*12)</f>
        <v>0</v>
      </c>
      <c r="H32" s="530">
        <f>('Updated Chargers Revenue Calcul'!$J$24/12)*1.125^INT((E32-1)/12)</f>
        <v>0</v>
      </c>
      <c r="I32" s="530" t="e">
        <f t="shared" si="2"/>
        <v>#VALUE!</v>
      </c>
      <c r="J32" s="499"/>
      <c r="K32" s="499"/>
      <c r="L32" s="499"/>
      <c r="M32" s="499"/>
      <c r="N32" s="499"/>
    </row>
    <row r="33" spans="1:14" ht="15.75" customHeight="1">
      <c r="A33" s="499"/>
      <c r="E33" s="529">
        <f t="shared" si="3"/>
        <v>31</v>
      </c>
      <c r="F33" s="530" t="str">
        <f t="shared" si="1"/>
        <v/>
      </c>
      <c r="G33" s="530">
        <f>'Financial Worksheet'!$B$4/('Financial Worksheet'!$B$10*12)</f>
        <v>0</v>
      </c>
      <c r="H33" s="530">
        <f>('Updated Chargers Revenue Calcul'!$J$24/12)*1.125^INT((E33-1)/12)</f>
        <v>0</v>
      </c>
      <c r="I33" s="530" t="e">
        <f t="shared" si="2"/>
        <v>#VALUE!</v>
      </c>
      <c r="J33" s="499"/>
      <c r="K33" s="499"/>
      <c r="L33" s="499"/>
      <c r="M33" s="499"/>
      <c r="N33" s="499"/>
    </row>
    <row r="34" spans="1:14" ht="15.75" customHeight="1">
      <c r="A34" s="499"/>
      <c r="E34" s="529">
        <f t="shared" si="3"/>
        <v>32</v>
      </c>
      <c r="F34" s="530" t="str">
        <f t="shared" si="1"/>
        <v/>
      </c>
      <c r="G34" s="530">
        <f>'Financial Worksheet'!$B$4/('Financial Worksheet'!$B$10*12)</f>
        <v>0</v>
      </c>
      <c r="H34" s="530">
        <f>('Updated Chargers Revenue Calcul'!$J$24/12)*1.125^INT((E34-1)/12)</f>
        <v>0</v>
      </c>
      <c r="I34" s="530" t="e">
        <f t="shared" si="2"/>
        <v>#VALUE!</v>
      </c>
      <c r="J34" s="499"/>
      <c r="K34" s="499"/>
      <c r="L34" s="499"/>
      <c r="M34" s="499"/>
      <c r="N34" s="499"/>
    </row>
    <row r="35" spans="1:14" ht="15.75" customHeight="1">
      <c r="A35" s="499"/>
      <c r="E35" s="529">
        <f t="shared" si="3"/>
        <v>33</v>
      </c>
      <c r="F35" s="530" t="str">
        <f t="shared" si="1"/>
        <v/>
      </c>
      <c r="G35" s="530">
        <f>'Financial Worksheet'!$B$4/('Financial Worksheet'!$B$10*12)</f>
        <v>0</v>
      </c>
      <c r="H35" s="530">
        <f>('Updated Chargers Revenue Calcul'!$J$24/12)*1.125^INT((E35-1)/12)</f>
        <v>0</v>
      </c>
      <c r="I35" s="530" t="e">
        <f t="shared" si="2"/>
        <v>#VALUE!</v>
      </c>
      <c r="J35" s="499"/>
      <c r="K35" s="499"/>
      <c r="L35" s="499"/>
      <c r="M35" s="499"/>
      <c r="N35" s="499"/>
    </row>
    <row r="36" spans="1:14" ht="15.75" customHeight="1">
      <c r="A36" s="499"/>
      <c r="E36" s="529">
        <f t="shared" si="3"/>
        <v>34</v>
      </c>
      <c r="F36" s="530" t="str">
        <f t="shared" si="1"/>
        <v/>
      </c>
      <c r="G36" s="530">
        <f>'Financial Worksheet'!$B$4/('Financial Worksheet'!$B$10*12)</f>
        <v>0</v>
      </c>
      <c r="H36" s="530">
        <f>('Updated Chargers Revenue Calcul'!$J$24/12)*1.125^INT((E36-1)/12)</f>
        <v>0</v>
      </c>
      <c r="I36" s="530" t="e">
        <f t="shared" si="2"/>
        <v>#VALUE!</v>
      </c>
      <c r="J36" s="499"/>
      <c r="K36" s="499"/>
      <c r="L36" s="499"/>
      <c r="M36" s="499"/>
      <c r="N36" s="499"/>
    </row>
    <row r="37" spans="1:14" ht="15.75" customHeight="1">
      <c r="A37" s="499"/>
      <c r="E37" s="529">
        <f t="shared" si="3"/>
        <v>35</v>
      </c>
      <c r="F37" s="530" t="str">
        <f t="shared" si="1"/>
        <v/>
      </c>
      <c r="G37" s="530">
        <f>'Financial Worksheet'!$B$4/('Financial Worksheet'!$B$10*12)</f>
        <v>0</v>
      </c>
      <c r="H37" s="530">
        <f>('Updated Chargers Revenue Calcul'!$J$24/12)*1.125^INT((E37-1)/12)</f>
        <v>0</v>
      </c>
      <c r="I37" s="530" t="e">
        <f t="shared" si="2"/>
        <v>#VALUE!</v>
      </c>
      <c r="J37" s="499"/>
      <c r="K37" s="499"/>
      <c r="L37" s="499"/>
      <c r="M37" s="499"/>
      <c r="N37" s="499"/>
    </row>
    <row r="38" spans="1:14" ht="15.75" customHeight="1">
      <c r="A38" s="499"/>
      <c r="E38" s="529">
        <f t="shared" si="3"/>
        <v>36</v>
      </c>
      <c r="F38" s="530" t="str">
        <f t="shared" si="1"/>
        <v/>
      </c>
      <c r="G38" s="530">
        <f>'Financial Worksheet'!$B$4/('Financial Worksheet'!$B$10*12)</f>
        <v>0</v>
      </c>
      <c r="H38" s="530">
        <f>('Updated Chargers Revenue Calcul'!$J$24/12)*1.125^INT((E38-1)/12)</f>
        <v>0</v>
      </c>
      <c r="I38" s="530" t="e">
        <f t="shared" si="2"/>
        <v>#VALUE!</v>
      </c>
      <c r="J38" s="499"/>
      <c r="K38" s="499"/>
      <c r="L38" s="499"/>
      <c r="M38" s="499"/>
      <c r="N38" s="499"/>
    </row>
    <row r="39" spans="1:14" ht="15.75" customHeight="1">
      <c r="A39" s="499"/>
      <c r="E39" s="529">
        <f t="shared" si="3"/>
        <v>37</v>
      </c>
      <c r="F39" s="530" t="str">
        <f t="shared" si="1"/>
        <v/>
      </c>
      <c r="G39" s="530">
        <f>'Financial Worksheet'!$B$4/('Financial Worksheet'!$B$10*12)</f>
        <v>0</v>
      </c>
      <c r="H39" s="530">
        <f>('Updated Chargers Revenue Calcul'!$J$24/12)*1.125^INT((E39-1)/12)</f>
        <v>0</v>
      </c>
      <c r="I39" s="530" t="e">
        <f t="shared" si="2"/>
        <v>#VALUE!</v>
      </c>
      <c r="J39" s="499"/>
      <c r="K39" s="499"/>
      <c r="L39" s="499"/>
      <c r="M39" s="499"/>
      <c r="N39" s="499"/>
    </row>
    <row r="40" spans="1:14" ht="15.75" customHeight="1">
      <c r="A40" s="499"/>
      <c r="E40" s="529">
        <f t="shared" si="3"/>
        <v>38</v>
      </c>
      <c r="F40" s="530" t="str">
        <f t="shared" si="1"/>
        <v/>
      </c>
      <c r="G40" s="530">
        <f>'Financial Worksheet'!$B$4/('Financial Worksheet'!$B$10*12)</f>
        <v>0</v>
      </c>
      <c r="H40" s="530">
        <f>('Updated Chargers Revenue Calcul'!$J$24/12)*1.125^INT((E40-1)/12)</f>
        <v>0</v>
      </c>
      <c r="I40" s="530" t="e">
        <f t="shared" si="2"/>
        <v>#VALUE!</v>
      </c>
      <c r="J40" s="499"/>
      <c r="K40" s="499"/>
      <c r="L40" s="499"/>
      <c r="M40" s="499"/>
      <c r="N40" s="499"/>
    </row>
    <row r="41" spans="1:14" ht="15.75" customHeight="1">
      <c r="A41" s="499"/>
      <c r="E41" s="529">
        <f t="shared" si="3"/>
        <v>39</v>
      </c>
      <c r="F41" s="530" t="str">
        <f t="shared" si="1"/>
        <v/>
      </c>
      <c r="G41" s="530">
        <f>'Financial Worksheet'!$B$4/('Financial Worksheet'!$B$10*12)</f>
        <v>0</v>
      </c>
      <c r="H41" s="530">
        <f>('Updated Chargers Revenue Calcul'!$J$24/12)*1.125^INT((E41-1)/12)</f>
        <v>0</v>
      </c>
      <c r="I41" s="530" t="e">
        <f t="shared" si="2"/>
        <v>#VALUE!</v>
      </c>
      <c r="J41" s="499"/>
      <c r="K41" s="534"/>
      <c r="L41" s="534"/>
      <c r="M41" s="499"/>
      <c r="N41" s="499"/>
    </row>
    <row r="42" spans="1:14" ht="15.75" customHeight="1">
      <c r="A42" s="499"/>
      <c r="E42" s="529">
        <f t="shared" si="3"/>
        <v>40</v>
      </c>
      <c r="F42" s="530" t="str">
        <f t="shared" si="1"/>
        <v/>
      </c>
      <c r="G42" s="530">
        <f>'Financial Worksheet'!$B$4/('Financial Worksheet'!$B$10*12)</f>
        <v>0</v>
      </c>
      <c r="H42" s="530">
        <f>('Updated Chargers Revenue Calcul'!$J$24/12)*1.125^INT((E42-1)/12)</f>
        <v>0</v>
      </c>
      <c r="I42" s="530" t="e">
        <f t="shared" si="2"/>
        <v>#VALUE!</v>
      </c>
      <c r="J42" s="499"/>
      <c r="K42" s="499"/>
      <c r="L42" s="499"/>
      <c r="M42" s="499"/>
      <c r="N42" s="499"/>
    </row>
    <row r="43" spans="1:14" ht="15.75" customHeight="1">
      <c r="A43" s="499"/>
      <c r="E43" s="529">
        <f t="shared" si="3"/>
        <v>41</v>
      </c>
      <c r="F43" s="530" t="str">
        <f t="shared" si="1"/>
        <v/>
      </c>
      <c r="G43" s="530">
        <f>'Financial Worksheet'!$B$4/('Financial Worksheet'!$B$10*12)</f>
        <v>0</v>
      </c>
      <c r="H43" s="530">
        <f>('Updated Chargers Revenue Calcul'!$J$24/12)*1.125^INT((E43-1)/12)</f>
        <v>0</v>
      </c>
      <c r="I43" s="530" t="e">
        <f t="shared" si="2"/>
        <v>#VALUE!</v>
      </c>
      <c r="J43" s="499"/>
      <c r="K43" s="499"/>
      <c r="L43" s="499"/>
      <c r="M43" s="499"/>
      <c r="N43" s="499"/>
    </row>
    <row r="44" spans="1:14" ht="15.75" customHeight="1">
      <c r="A44" s="499"/>
      <c r="E44" s="529">
        <f t="shared" si="3"/>
        <v>42</v>
      </c>
      <c r="F44" s="530" t="str">
        <f t="shared" si="1"/>
        <v/>
      </c>
      <c r="G44" s="530">
        <f>'Financial Worksheet'!$B$4/('Financial Worksheet'!$B$10*12)</f>
        <v>0</v>
      </c>
      <c r="H44" s="530">
        <f>('Updated Chargers Revenue Calcul'!$J$24/12)*1.125^INT((E44-1)/12)</f>
        <v>0</v>
      </c>
      <c r="I44" s="530" t="e">
        <f t="shared" si="2"/>
        <v>#VALUE!</v>
      </c>
      <c r="J44" s="499"/>
      <c r="K44" s="499"/>
      <c r="L44" s="499"/>
      <c r="M44" s="499"/>
      <c r="N44" s="499"/>
    </row>
    <row r="45" spans="1:14" ht="15.75" customHeight="1">
      <c r="A45" s="499"/>
      <c r="E45" s="529">
        <f t="shared" si="3"/>
        <v>43</v>
      </c>
      <c r="F45" s="530" t="str">
        <f t="shared" si="1"/>
        <v/>
      </c>
      <c r="G45" s="530">
        <f>'Financial Worksheet'!$B$4/('Financial Worksheet'!$B$10*12)</f>
        <v>0</v>
      </c>
      <c r="H45" s="530">
        <f>('Updated Chargers Revenue Calcul'!$J$24/12)*1.125^INT((E45-1)/12)</f>
        <v>0</v>
      </c>
      <c r="I45" s="530" t="e">
        <f t="shared" si="2"/>
        <v>#VALUE!</v>
      </c>
      <c r="J45" s="499"/>
      <c r="K45" s="499"/>
      <c r="L45" s="499"/>
      <c r="M45" s="499"/>
      <c r="N45" s="499"/>
    </row>
    <row r="46" spans="1:14" ht="15.75" customHeight="1">
      <c r="A46" s="499"/>
      <c r="E46" s="529">
        <f t="shared" si="3"/>
        <v>44</v>
      </c>
      <c r="F46" s="530" t="str">
        <f t="shared" si="1"/>
        <v/>
      </c>
      <c r="G46" s="530">
        <f>'Financial Worksheet'!$B$4/('Financial Worksheet'!$B$10*12)</f>
        <v>0</v>
      </c>
      <c r="H46" s="530">
        <f>('Updated Chargers Revenue Calcul'!$J$24/12)*1.125^INT((E46-1)/12)</f>
        <v>0</v>
      </c>
      <c r="I46" s="530" t="e">
        <f t="shared" si="2"/>
        <v>#VALUE!</v>
      </c>
      <c r="J46" s="499"/>
      <c r="K46" s="499"/>
      <c r="L46" s="499"/>
      <c r="M46" s="499"/>
      <c r="N46" s="499"/>
    </row>
    <row r="47" spans="1:14" ht="15.75" customHeight="1">
      <c r="A47" s="499"/>
      <c r="E47" s="529">
        <f t="shared" si="3"/>
        <v>45</v>
      </c>
      <c r="F47" s="530" t="str">
        <f t="shared" si="1"/>
        <v/>
      </c>
      <c r="G47" s="530">
        <f>'Financial Worksheet'!$B$4/('Financial Worksheet'!$B$10*12)</f>
        <v>0</v>
      </c>
      <c r="H47" s="530">
        <f>('Updated Chargers Revenue Calcul'!$J$24/12)*1.125^INT((E47-1)/12)</f>
        <v>0</v>
      </c>
      <c r="I47" s="530" t="e">
        <f t="shared" si="2"/>
        <v>#VALUE!</v>
      </c>
      <c r="J47" s="499"/>
      <c r="K47" s="499"/>
      <c r="L47" s="499"/>
      <c r="M47" s="499"/>
      <c r="N47" s="499"/>
    </row>
    <row r="48" spans="1:14" ht="15.75" customHeight="1">
      <c r="A48" s="499"/>
      <c r="E48" s="529">
        <f t="shared" si="3"/>
        <v>46</v>
      </c>
      <c r="F48" s="530" t="str">
        <f t="shared" si="1"/>
        <v/>
      </c>
      <c r="G48" s="530">
        <f>'Financial Worksheet'!$B$4/('Financial Worksheet'!$B$10*12)</f>
        <v>0</v>
      </c>
      <c r="H48" s="530">
        <f>('Updated Chargers Revenue Calcul'!$J$24/12)*1.125^INT((E48-1)/12)</f>
        <v>0</v>
      </c>
      <c r="I48" s="530" t="e">
        <f t="shared" si="2"/>
        <v>#VALUE!</v>
      </c>
      <c r="J48" s="499"/>
      <c r="K48" s="499"/>
      <c r="L48" s="499"/>
      <c r="M48" s="499"/>
      <c r="N48" s="499"/>
    </row>
    <row r="49" spans="1:14" ht="15.75" customHeight="1">
      <c r="A49" s="499"/>
      <c r="E49" s="529">
        <f t="shared" si="3"/>
        <v>47</v>
      </c>
      <c r="F49" s="530" t="str">
        <f t="shared" si="1"/>
        <v/>
      </c>
      <c r="G49" s="530">
        <f>'Financial Worksheet'!$B$4/('Financial Worksheet'!$B$10*12)</f>
        <v>0</v>
      </c>
      <c r="H49" s="530">
        <f>('Updated Chargers Revenue Calcul'!$J$24/12)*1.125^INT((E49-1)/12)</f>
        <v>0</v>
      </c>
      <c r="I49" s="530" t="e">
        <f t="shared" si="2"/>
        <v>#VALUE!</v>
      </c>
      <c r="J49" s="499"/>
      <c r="K49" s="499"/>
      <c r="L49" s="499"/>
      <c r="M49" s="499"/>
      <c r="N49" s="499"/>
    </row>
    <row r="50" spans="1:14" ht="15.75" customHeight="1">
      <c r="A50" s="499"/>
      <c r="E50" s="529">
        <f t="shared" si="3"/>
        <v>48</v>
      </c>
      <c r="F50" s="530" t="str">
        <f t="shared" si="1"/>
        <v/>
      </c>
      <c r="G50" s="530">
        <f>'Financial Worksheet'!$B$4/('Financial Worksheet'!$B$10*12)</f>
        <v>0</v>
      </c>
      <c r="H50" s="530">
        <f>('Updated Chargers Revenue Calcul'!$J$24/12)*1.125^INT((E50-1)/12)</f>
        <v>0</v>
      </c>
      <c r="I50" s="530" t="e">
        <f t="shared" si="2"/>
        <v>#VALUE!</v>
      </c>
      <c r="J50" s="499"/>
      <c r="K50" s="499"/>
      <c r="L50" s="499"/>
      <c r="M50" s="499"/>
      <c r="N50" s="499"/>
    </row>
    <row r="51" spans="1:14" ht="15.75" customHeight="1">
      <c r="A51" s="499"/>
      <c r="E51" s="529">
        <f t="shared" si="3"/>
        <v>49</v>
      </c>
      <c r="F51" s="530" t="str">
        <f t="shared" si="1"/>
        <v/>
      </c>
      <c r="G51" s="530">
        <f>'Financial Worksheet'!$B$4/('Financial Worksheet'!$B$10*12)</f>
        <v>0</v>
      </c>
      <c r="H51" s="530">
        <f>('Updated Chargers Revenue Calcul'!$J$24/12)*1.125^INT((E51-1)/12)</f>
        <v>0</v>
      </c>
      <c r="I51" s="530" t="e">
        <f t="shared" si="2"/>
        <v>#VALUE!</v>
      </c>
      <c r="J51" s="499"/>
      <c r="K51" s="499"/>
      <c r="L51" s="499"/>
      <c r="M51" s="499"/>
      <c r="N51" s="499"/>
    </row>
    <row r="52" spans="1:14" ht="15.75" customHeight="1">
      <c r="A52" s="499"/>
      <c r="E52" s="529">
        <f t="shared" si="3"/>
        <v>50</v>
      </c>
      <c r="F52" s="530" t="str">
        <f t="shared" si="1"/>
        <v/>
      </c>
      <c r="G52" s="530">
        <f>'Financial Worksheet'!$B$4/('Financial Worksheet'!$B$10*12)</f>
        <v>0</v>
      </c>
      <c r="H52" s="530">
        <f>('Updated Chargers Revenue Calcul'!$J$24/12)*1.125^INT((E52-1)/12)</f>
        <v>0</v>
      </c>
      <c r="I52" s="530" t="e">
        <f t="shared" si="2"/>
        <v>#VALUE!</v>
      </c>
      <c r="J52" s="499"/>
      <c r="K52" s="499"/>
      <c r="L52" s="499"/>
      <c r="M52" s="499"/>
      <c r="N52" s="499"/>
    </row>
    <row r="53" spans="1:14" ht="15.75" customHeight="1">
      <c r="A53" s="499"/>
      <c r="E53" s="529">
        <f t="shared" si="3"/>
        <v>51</v>
      </c>
      <c r="F53" s="530" t="str">
        <f t="shared" si="1"/>
        <v/>
      </c>
      <c r="G53" s="530">
        <f>'Financial Worksheet'!$B$4/('Financial Worksheet'!$B$10*12)</f>
        <v>0</v>
      </c>
      <c r="H53" s="530">
        <f>('Updated Chargers Revenue Calcul'!$J$24/12)*1.125^INT((E53-1)/12)</f>
        <v>0</v>
      </c>
      <c r="I53" s="530" t="e">
        <f t="shared" si="2"/>
        <v>#VALUE!</v>
      </c>
      <c r="J53" s="499"/>
      <c r="K53" s="499"/>
      <c r="L53" s="499"/>
      <c r="M53" s="499"/>
      <c r="N53" s="499"/>
    </row>
    <row r="54" spans="1:14" ht="15.75" customHeight="1">
      <c r="A54" s="499"/>
      <c r="E54" s="529">
        <f t="shared" si="3"/>
        <v>52</v>
      </c>
      <c r="F54" s="530" t="str">
        <f t="shared" si="1"/>
        <v/>
      </c>
      <c r="G54" s="530">
        <f>'Financial Worksheet'!$B$4/('Financial Worksheet'!$B$10*12)</f>
        <v>0</v>
      </c>
      <c r="H54" s="530">
        <f>('Updated Chargers Revenue Calcul'!$J$24/12)*1.125^INT((E54-1)/12)</f>
        <v>0</v>
      </c>
      <c r="I54" s="530" t="e">
        <f t="shared" si="2"/>
        <v>#VALUE!</v>
      </c>
      <c r="J54" s="499"/>
      <c r="K54" s="499"/>
      <c r="L54" s="499"/>
      <c r="M54" s="499"/>
      <c r="N54" s="499"/>
    </row>
    <row r="55" spans="1:14" ht="15.75" customHeight="1">
      <c r="A55" s="499"/>
      <c r="E55" s="529">
        <f t="shared" si="3"/>
        <v>53</v>
      </c>
      <c r="F55" s="530" t="str">
        <f t="shared" si="1"/>
        <v/>
      </c>
      <c r="G55" s="530">
        <f>'Financial Worksheet'!$B$4/('Financial Worksheet'!$B$10*12)</f>
        <v>0</v>
      </c>
      <c r="H55" s="530">
        <f>('Updated Chargers Revenue Calcul'!$J$24/12)*1.125^INT((E55-1)/12)</f>
        <v>0</v>
      </c>
      <c r="I55" s="530" t="e">
        <f t="shared" si="2"/>
        <v>#VALUE!</v>
      </c>
      <c r="J55" s="499"/>
      <c r="K55" s="499"/>
      <c r="L55" s="499"/>
      <c r="M55" s="499"/>
      <c r="N55" s="499"/>
    </row>
    <row r="56" spans="1:14" ht="15.75" customHeight="1">
      <c r="A56" s="499"/>
      <c r="E56" s="529">
        <f t="shared" si="3"/>
        <v>54</v>
      </c>
      <c r="F56" s="530" t="str">
        <f t="shared" si="1"/>
        <v/>
      </c>
      <c r="G56" s="530">
        <f>'Financial Worksheet'!$B$4/('Financial Worksheet'!$B$10*12)</f>
        <v>0</v>
      </c>
      <c r="H56" s="530">
        <f>('Updated Chargers Revenue Calcul'!$J$24/12)*1.125^INT((E56-1)/12)</f>
        <v>0</v>
      </c>
      <c r="I56" s="530" t="e">
        <f t="shared" si="2"/>
        <v>#VALUE!</v>
      </c>
      <c r="J56" s="499"/>
      <c r="K56" s="499"/>
      <c r="L56" s="499"/>
      <c r="M56" s="499"/>
      <c r="N56" s="499"/>
    </row>
    <row r="57" spans="1:14" ht="15.75" customHeight="1">
      <c r="A57" s="499"/>
      <c r="E57" s="529">
        <f t="shared" si="3"/>
        <v>55</v>
      </c>
      <c r="F57" s="530" t="str">
        <f t="shared" si="1"/>
        <v/>
      </c>
      <c r="G57" s="530">
        <f>'Financial Worksheet'!$B$4/('Financial Worksheet'!$B$10*12)</f>
        <v>0</v>
      </c>
      <c r="H57" s="530">
        <f>('Updated Chargers Revenue Calcul'!$J$24/12)*1.125^INT((E57-1)/12)</f>
        <v>0</v>
      </c>
      <c r="I57" s="530" t="e">
        <f t="shared" si="2"/>
        <v>#VALUE!</v>
      </c>
      <c r="J57" s="499"/>
      <c r="K57" s="499"/>
      <c r="L57" s="499"/>
      <c r="M57" s="499"/>
      <c r="N57" s="499"/>
    </row>
    <row r="58" spans="1:14" ht="15.75" customHeight="1">
      <c r="A58" s="499"/>
      <c r="E58" s="529">
        <f t="shared" si="3"/>
        <v>56</v>
      </c>
      <c r="F58" s="530" t="str">
        <f t="shared" si="1"/>
        <v/>
      </c>
      <c r="G58" s="530">
        <f>'Financial Worksheet'!$B$4/('Financial Worksheet'!$B$10*12)</f>
        <v>0</v>
      </c>
      <c r="H58" s="530">
        <f>('Updated Chargers Revenue Calcul'!$J$24/12)*1.125^INT((E58-1)/12)</f>
        <v>0</v>
      </c>
      <c r="I58" s="530" t="e">
        <f t="shared" si="2"/>
        <v>#VALUE!</v>
      </c>
      <c r="J58" s="499"/>
      <c r="K58" s="499"/>
      <c r="L58" s="499"/>
      <c r="M58" s="499"/>
      <c r="N58" s="499"/>
    </row>
    <row r="59" spans="1:14" ht="15.75" customHeight="1">
      <c r="A59" s="499"/>
      <c r="E59" s="529">
        <f t="shared" si="3"/>
        <v>57</v>
      </c>
      <c r="F59" s="530" t="str">
        <f t="shared" si="1"/>
        <v/>
      </c>
      <c r="G59" s="530">
        <f>'Financial Worksheet'!$B$4/('Financial Worksheet'!$B$10*12)</f>
        <v>0</v>
      </c>
      <c r="H59" s="530">
        <f>('Updated Chargers Revenue Calcul'!$J$24/12)*1.125^INT((E59-1)/12)</f>
        <v>0</v>
      </c>
      <c r="I59" s="530" t="e">
        <f t="shared" si="2"/>
        <v>#VALUE!</v>
      </c>
      <c r="J59" s="499"/>
      <c r="K59" s="499"/>
      <c r="L59" s="499"/>
      <c r="M59" s="499"/>
      <c r="N59" s="499"/>
    </row>
    <row r="60" spans="1:14" ht="15.75" customHeight="1">
      <c r="A60" s="499"/>
      <c r="E60" s="529">
        <f t="shared" si="3"/>
        <v>58</v>
      </c>
      <c r="F60" s="530" t="str">
        <f t="shared" si="1"/>
        <v/>
      </c>
      <c r="G60" s="530">
        <f>'Financial Worksheet'!$B$4/('Financial Worksheet'!$B$10*12)</f>
        <v>0</v>
      </c>
      <c r="H60" s="530">
        <f>('Updated Chargers Revenue Calcul'!$J$24/12)*1.125^INT((E60-1)/12)</f>
        <v>0</v>
      </c>
      <c r="I60" s="530" t="e">
        <f t="shared" si="2"/>
        <v>#VALUE!</v>
      </c>
      <c r="J60" s="499"/>
      <c r="K60" s="499"/>
      <c r="L60" s="499"/>
      <c r="M60" s="499"/>
      <c r="N60" s="499"/>
    </row>
    <row r="61" spans="1:14" ht="15.75" customHeight="1">
      <c r="A61" s="499"/>
      <c r="E61" s="529">
        <f t="shared" si="3"/>
        <v>59</v>
      </c>
      <c r="F61" s="530" t="str">
        <f t="shared" si="1"/>
        <v/>
      </c>
      <c r="G61" s="530">
        <f>'Financial Worksheet'!$B$4/('Financial Worksheet'!$B$10*12)</f>
        <v>0</v>
      </c>
      <c r="H61" s="530">
        <f>('Updated Chargers Revenue Calcul'!$J$24/12)*1.125^INT((E61-1)/12)</f>
        <v>0</v>
      </c>
      <c r="I61" s="530" t="e">
        <f t="shared" si="2"/>
        <v>#VALUE!</v>
      </c>
      <c r="J61" s="499"/>
      <c r="K61" s="499"/>
      <c r="L61" s="499"/>
      <c r="M61" s="499"/>
      <c r="N61" s="499"/>
    </row>
    <row r="62" spans="1:14" ht="15.75" customHeight="1">
      <c r="A62" s="499"/>
      <c r="E62" s="529">
        <f t="shared" si="3"/>
        <v>60</v>
      </c>
      <c r="F62" s="530" t="str">
        <f t="shared" si="1"/>
        <v/>
      </c>
      <c r="G62" s="530">
        <f>'Financial Worksheet'!$B$4/('Financial Worksheet'!$B$10*12)</f>
        <v>0</v>
      </c>
      <c r="H62" s="530">
        <f>('Updated Chargers Revenue Calcul'!$J$24/12)*1.125^INT((E62-1)/12)</f>
        <v>0</v>
      </c>
      <c r="I62" s="530" t="e">
        <f t="shared" si="2"/>
        <v>#VALUE!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2"/>
  <sheetViews>
    <sheetView tabSelected="1" topLeftCell="A32" zoomScale="70" zoomScaleNormal="70" workbookViewId="0">
      <selection activeCell="J67" sqref="J67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hidden="1" customHeight="1">
      <c r="A1" s="59"/>
      <c r="B1" s="70" t="s">
        <v>92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93</v>
      </c>
    </row>
    <row r="2" spans="1:26" ht="15" hidden="1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hidden="1" customHeight="1">
      <c r="A3" s="2" t="s">
        <v>94</v>
      </c>
      <c r="B3" s="76" t="s">
        <v>95</v>
      </c>
      <c r="C3" s="77"/>
      <c r="D3" s="79"/>
      <c r="E3" s="79"/>
      <c r="F3" s="79"/>
      <c r="G3" s="79"/>
      <c r="H3" s="79"/>
      <c r="I3" s="78" t="s">
        <v>96</v>
      </c>
      <c r="J3" s="79"/>
      <c r="K3" s="79"/>
      <c r="L3" s="79"/>
      <c r="M3" s="79"/>
      <c r="N3" s="79"/>
      <c r="O3" s="79"/>
      <c r="P3" s="80" t="s">
        <v>97</v>
      </c>
      <c r="Q3" s="77"/>
      <c r="R3" s="60"/>
      <c r="S3" s="60"/>
      <c r="T3" s="60"/>
      <c r="U3" s="60"/>
      <c r="V3" s="60"/>
      <c r="W3" s="59"/>
      <c r="X3" s="81" t="s">
        <v>98</v>
      </c>
      <c r="Y3" s="80" t="s">
        <v>99</v>
      </c>
      <c r="Z3" s="82" t="s">
        <v>100</v>
      </c>
    </row>
    <row r="4" spans="1:26" ht="27.75" hidden="1" customHeight="1">
      <c r="A4" s="83"/>
      <c r="B4" s="84" t="s">
        <v>101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hidden="1" customHeight="1">
      <c r="A5" s="1" t="s">
        <v>102</v>
      </c>
      <c r="B5" s="87">
        <f>'INPUT SHEET'!N8</f>
        <v>0</v>
      </c>
      <c r="C5" s="88">
        <f>'INPUT SHEET'!O8</f>
        <v>0</v>
      </c>
      <c r="D5" s="88">
        <f>'INPUT SHEET'!P8</f>
        <v>0</v>
      </c>
      <c r="E5" s="88">
        <f>'INPUT SHEET'!Q8</f>
        <v>0</v>
      </c>
      <c r="F5" s="88">
        <f>'INPUT SHEET'!R8</f>
        <v>0</v>
      </c>
      <c r="G5" s="88">
        <f>'INPUT SHEET'!S8</f>
        <v>0</v>
      </c>
      <c r="H5" s="88">
        <f>'INPUT SHEET'!T8</f>
        <v>0</v>
      </c>
      <c r="I5" s="88">
        <f t="shared" ref="I5:K6" si="0">B5</f>
        <v>0</v>
      </c>
      <c r="J5" s="88">
        <f t="shared" si="0"/>
        <v>0</v>
      </c>
      <c r="K5" s="88">
        <f t="shared" si="0"/>
        <v>0</v>
      </c>
      <c r="L5" s="88">
        <f t="shared" ref="L5:O6" si="1">E5</f>
        <v>0</v>
      </c>
      <c r="M5" s="88">
        <f t="shared" si="1"/>
        <v>0</v>
      </c>
      <c r="N5" s="88">
        <f t="shared" si="1"/>
        <v>0</v>
      </c>
      <c r="O5" s="88">
        <f t="shared" si="1"/>
        <v>0</v>
      </c>
      <c r="P5" s="88">
        <f t="shared" ref="P5:R6" si="2">B5</f>
        <v>0</v>
      </c>
      <c r="Q5" s="88">
        <f t="shared" si="2"/>
        <v>0</v>
      </c>
      <c r="R5" s="88">
        <f t="shared" si="2"/>
        <v>0</v>
      </c>
      <c r="S5" s="88">
        <f t="shared" ref="S5:V6" si="3">E5</f>
        <v>0</v>
      </c>
      <c r="T5" s="88">
        <f t="shared" si="3"/>
        <v>0</v>
      </c>
      <c r="U5" s="88">
        <f t="shared" si="3"/>
        <v>0</v>
      </c>
      <c r="V5" s="88">
        <f t="shared" si="3"/>
        <v>0</v>
      </c>
      <c r="W5" s="59"/>
      <c r="X5" s="87">
        <f>B5</f>
        <v>0</v>
      </c>
      <c r="Y5" s="87">
        <f>B5</f>
        <v>0</v>
      </c>
      <c r="Z5" s="87">
        <f>B5</f>
        <v>0</v>
      </c>
    </row>
    <row r="6" spans="1:26" ht="15" hidden="1" customHeight="1">
      <c r="A6" s="1" t="s">
        <v>103</v>
      </c>
      <c r="B6" s="87">
        <f>'INPUT SHEET'!N9</f>
        <v>0</v>
      </c>
      <c r="C6" s="88">
        <f>'INPUT SHEET'!O9</f>
        <v>0</v>
      </c>
      <c r="D6" s="88">
        <f>'INPUT SHEET'!P9</f>
        <v>0</v>
      </c>
      <c r="E6" s="88">
        <f>'INPUT SHEET'!Q9</f>
        <v>0</v>
      </c>
      <c r="F6" s="88">
        <f>'INPUT SHEET'!R9</f>
        <v>0</v>
      </c>
      <c r="G6" s="88">
        <f>'INPUT SHEET'!S9</f>
        <v>0</v>
      </c>
      <c r="H6" s="88">
        <f>'INPUT SHEET'!T9</f>
        <v>0</v>
      </c>
      <c r="I6" s="88">
        <f t="shared" si="0"/>
        <v>0</v>
      </c>
      <c r="J6" s="88">
        <f t="shared" si="0"/>
        <v>0</v>
      </c>
      <c r="K6" s="88">
        <f t="shared" si="0"/>
        <v>0</v>
      </c>
      <c r="L6" s="88">
        <f t="shared" si="1"/>
        <v>0</v>
      </c>
      <c r="M6" s="88">
        <f t="shared" si="1"/>
        <v>0</v>
      </c>
      <c r="N6" s="88">
        <f t="shared" si="1"/>
        <v>0</v>
      </c>
      <c r="O6" s="88">
        <f t="shared" si="1"/>
        <v>0</v>
      </c>
      <c r="P6" s="88">
        <f t="shared" si="2"/>
        <v>0</v>
      </c>
      <c r="Q6" s="88">
        <f t="shared" si="2"/>
        <v>0</v>
      </c>
      <c r="R6" s="88">
        <f t="shared" si="2"/>
        <v>0</v>
      </c>
      <c r="S6" s="88">
        <f t="shared" si="3"/>
        <v>0</v>
      </c>
      <c r="T6" s="88">
        <f t="shared" si="3"/>
        <v>0</v>
      </c>
      <c r="U6" s="88">
        <f t="shared" si="3"/>
        <v>0</v>
      </c>
      <c r="V6" s="88">
        <f t="shared" si="3"/>
        <v>0</v>
      </c>
      <c r="W6" s="59"/>
      <c r="X6" s="87">
        <f>B6</f>
        <v>0</v>
      </c>
      <c r="Y6" s="87">
        <f>B6</f>
        <v>0</v>
      </c>
      <c r="Z6" s="87">
        <f>B6</f>
        <v>0</v>
      </c>
    </row>
    <row r="7" spans="1:26" ht="15" hidden="1" customHeight="1">
      <c r="A7" s="1" t="s">
        <v>104</v>
      </c>
      <c r="B7" s="87" t="n">
        <v>24</v>
      </c>
      <c r="C7" s="88" t="n">
        <v>24</v>
      </c>
      <c r="D7" s="88" t="n">
        <v>24</v>
      </c>
      <c r="E7" s="88" t="n">
        <v>24</v>
      </c>
      <c r="F7" s="88" t="n">
        <v>24</v>
      </c>
      <c r="G7" s="88" t="n">
        <v>24</v>
      </c>
      <c r="H7" s="88" t="n">
        <v>24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hidden="1" customHeight="1">
      <c r="A8" s="89" t="s">
        <v>105</v>
      </c>
      <c r="B8" s="90" t="n">
        <v>0.2</v>
      </c>
      <c r="C8" s="91" t="n">
        <v>0.2</v>
      </c>
      <c r="D8" s="91" t="n">
        <v>0.2</v>
      </c>
      <c r="E8" s="91" t="n">
        <v>0.2</v>
      </c>
      <c r="F8" s="91" t="n">
        <v>0.2</v>
      </c>
      <c r="G8" s="91" t="n">
        <v>0.2</v>
      </c>
      <c r="H8" s="91" t="n">
        <v>0.2</v>
      </c>
      <c r="I8" s="91">
        <f t="shared" ref="I8:Z8" si="4">I20</f>
        <v>0.45</v>
      </c>
      <c r="J8" s="91">
        <f t="shared" si="4"/>
        <v>0.5</v>
      </c>
      <c r="K8" s="91">
        <f t="shared" ref="K8:O8" si="5">K20</f>
        <v>0.5</v>
      </c>
      <c r="L8" s="91">
        <f t="shared" si="5"/>
        <v>0.5</v>
      </c>
      <c r="M8" s="91">
        <f t="shared" si="5"/>
        <v>0.5</v>
      </c>
      <c r="N8" s="91">
        <f t="shared" si="5"/>
        <v>0.5</v>
      </c>
      <c r="O8" s="91">
        <f t="shared" si="5"/>
        <v>0.5</v>
      </c>
      <c r="P8" s="91">
        <f t="shared" si="4"/>
        <v>0.6</v>
      </c>
      <c r="Q8" s="91">
        <f t="shared" si="4"/>
        <v>0.7</v>
      </c>
      <c r="R8" s="91">
        <f t="shared" ref="R8:V8" si="6">R20</f>
        <v>0.7</v>
      </c>
      <c r="S8" s="91">
        <f t="shared" si="6"/>
        <v>0.7</v>
      </c>
      <c r="T8" s="91">
        <f t="shared" si="6"/>
        <v>0.7</v>
      </c>
      <c r="U8" s="91">
        <f t="shared" si="6"/>
        <v>0.7</v>
      </c>
      <c r="V8" s="91">
        <f t="shared" si="6"/>
        <v>0.7</v>
      </c>
      <c r="W8" s="92">
        <f t="shared" si="4"/>
        <v>0</v>
      </c>
      <c r="X8" s="91">
        <f t="shared" si="4"/>
        <v>0.2</v>
      </c>
      <c r="Y8" s="91">
        <f t="shared" si="4"/>
        <v>0.45</v>
      </c>
      <c r="Z8" s="91">
        <f t="shared" si="4"/>
        <v>0.6</v>
      </c>
    </row>
    <row r="9" spans="1:26" ht="15" hidden="1" customHeight="1">
      <c r="A9" s="1" t="s">
        <v>106</v>
      </c>
      <c r="B9" s="87">
        <f t="shared" ref="B9:Q9" si="7">B6*B8</f>
        <v>0</v>
      </c>
      <c r="C9" s="87">
        <f t="shared" si="7"/>
        <v>0</v>
      </c>
      <c r="D9" s="87">
        <f t="shared" ref="D9:H9" si="8">D6*D8</f>
        <v>0</v>
      </c>
      <c r="E9" s="87">
        <f t="shared" si="8"/>
        <v>0</v>
      </c>
      <c r="F9" s="87">
        <f t="shared" si="8"/>
        <v>0</v>
      </c>
      <c r="G9" s="87">
        <f t="shared" si="8"/>
        <v>0</v>
      </c>
      <c r="H9" s="87">
        <f t="shared" si="8"/>
        <v>0</v>
      </c>
      <c r="I9" s="87">
        <f t="shared" si="7"/>
        <v>0</v>
      </c>
      <c r="J9" s="87">
        <f t="shared" si="7"/>
        <v>0</v>
      </c>
      <c r="K9" s="87">
        <f t="shared" ref="K9:O9" si="9">K6*K8</f>
        <v>0</v>
      </c>
      <c r="L9" s="87">
        <f t="shared" si="9"/>
        <v>0</v>
      </c>
      <c r="M9" s="87">
        <f t="shared" si="9"/>
        <v>0</v>
      </c>
      <c r="N9" s="87">
        <f t="shared" si="9"/>
        <v>0</v>
      </c>
      <c r="O9" s="87">
        <f t="shared" si="9"/>
        <v>0</v>
      </c>
      <c r="P9" s="87">
        <f t="shared" si="7"/>
        <v>0</v>
      </c>
      <c r="Q9" s="87">
        <f t="shared" si="7"/>
        <v>0</v>
      </c>
      <c r="R9" s="87">
        <f t="shared" ref="R9:V9" si="10">R6*R8</f>
        <v>0</v>
      </c>
      <c r="S9" s="87">
        <f t="shared" si="10"/>
        <v>0</v>
      </c>
      <c r="T9" s="87">
        <f t="shared" si="10"/>
        <v>0</v>
      </c>
      <c r="U9" s="87">
        <f t="shared" si="10"/>
        <v>0</v>
      </c>
      <c r="V9" s="87">
        <f t="shared" si="10"/>
        <v>0</v>
      </c>
      <c r="W9" s="59"/>
      <c r="X9" s="87">
        <f>X6*X8</f>
        <v>0</v>
      </c>
      <c r="Y9" s="87">
        <f>Y6*Y8</f>
        <v>0</v>
      </c>
      <c r="Z9" s="87">
        <f>Z6*Z8</f>
        <v>0</v>
      </c>
    </row>
    <row r="10" spans="1:26" ht="15" hidden="1" customHeight="1">
      <c r="A10" s="89" t="s">
        <v>107</v>
      </c>
      <c r="B10" s="90">
        <f t="shared" ref="B10:Z10" si="11">B21</f>
        <v>0.5</v>
      </c>
      <c r="C10" s="90">
        <f t="shared" si="11"/>
        <v>0.5</v>
      </c>
      <c r="D10" s="90">
        <f t="shared" ref="D10:H10" si="12">D21</f>
        <v>0.5</v>
      </c>
      <c r="E10" s="90">
        <f t="shared" si="12"/>
        <v>0.5</v>
      </c>
      <c r="F10" s="90">
        <f t="shared" si="12"/>
        <v>0.5</v>
      </c>
      <c r="G10" s="90">
        <f t="shared" si="12"/>
        <v>0.5</v>
      </c>
      <c r="H10" s="90">
        <f t="shared" si="12"/>
        <v>0.5</v>
      </c>
      <c r="I10" s="90">
        <f t="shared" si="11"/>
        <v>0.75</v>
      </c>
      <c r="J10" s="90">
        <f t="shared" si="11"/>
        <v>0.75</v>
      </c>
      <c r="K10" s="90">
        <f t="shared" ref="K10:O10" si="13">K21</f>
        <v>0.75</v>
      </c>
      <c r="L10" s="90">
        <f t="shared" si="13"/>
        <v>0.75</v>
      </c>
      <c r="M10" s="90">
        <f t="shared" si="13"/>
        <v>0.75</v>
      </c>
      <c r="N10" s="90">
        <f t="shared" si="13"/>
        <v>0.75</v>
      </c>
      <c r="O10" s="90">
        <f t="shared" si="13"/>
        <v>0.75</v>
      </c>
      <c r="P10" s="90">
        <f t="shared" si="11"/>
        <v>0.85</v>
      </c>
      <c r="Q10" s="90">
        <f t="shared" si="11"/>
        <v>0.85</v>
      </c>
      <c r="R10" s="90">
        <f t="shared" ref="R10:V10" si="14">R21</f>
        <v>0.85</v>
      </c>
      <c r="S10" s="90">
        <f t="shared" si="14"/>
        <v>0.85</v>
      </c>
      <c r="T10" s="90">
        <f t="shared" si="14"/>
        <v>0.85</v>
      </c>
      <c r="U10" s="90">
        <f t="shared" si="14"/>
        <v>0.85</v>
      </c>
      <c r="V10" s="90">
        <f t="shared" si="14"/>
        <v>0.85</v>
      </c>
      <c r="W10" s="93">
        <f t="shared" si="11"/>
        <v>0</v>
      </c>
      <c r="X10" s="90">
        <f t="shared" si="11"/>
        <v>0.5</v>
      </c>
      <c r="Y10" s="90">
        <f t="shared" si="11"/>
        <v>0.75</v>
      </c>
      <c r="Z10" s="90">
        <f t="shared" si="11"/>
        <v>0.85</v>
      </c>
    </row>
    <row r="11" spans="1:26" ht="15" hidden="1" customHeight="1">
      <c r="A11" s="1" t="s">
        <v>108</v>
      </c>
      <c r="B11" s="87">
        <f t="shared" ref="B11:Q11" si="15">B10*B7</f>
        <v>6</v>
      </c>
      <c r="C11" s="87">
        <f t="shared" si="15"/>
        <v>6</v>
      </c>
      <c r="D11" s="87">
        <f t="shared" ref="D11:H11" si="16">D10*D7</f>
        <v>6</v>
      </c>
      <c r="E11" s="87">
        <f t="shared" si="16"/>
        <v>6</v>
      </c>
      <c r="F11" s="87">
        <f t="shared" si="16"/>
        <v>6</v>
      </c>
      <c r="G11" s="87">
        <f t="shared" si="16"/>
        <v>6</v>
      </c>
      <c r="H11" s="87">
        <f t="shared" si="16"/>
        <v>6</v>
      </c>
      <c r="I11" s="87">
        <f t="shared" si="15"/>
        <v>9</v>
      </c>
      <c r="J11" s="87">
        <f t="shared" si="15"/>
        <v>9</v>
      </c>
      <c r="K11" s="87">
        <f t="shared" ref="K11:O11" si="17">K10*K7</f>
        <v>9</v>
      </c>
      <c r="L11" s="87">
        <f t="shared" si="17"/>
        <v>9</v>
      </c>
      <c r="M11" s="87">
        <f t="shared" si="17"/>
        <v>9</v>
      </c>
      <c r="N11" s="87">
        <f t="shared" si="17"/>
        <v>9</v>
      </c>
      <c r="O11" s="87">
        <f t="shared" si="17"/>
        <v>9</v>
      </c>
      <c r="P11" s="87">
        <f t="shared" si="15"/>
        <v>10.199999999999999</v>
      </c>
      <c r="Q11" s="87">
        <f t="shared" si="15"/>
        <v>10.199999999999999</v>
      </c>
      <c r="R11" s="87">
        <f t="shared" ref="R11:V11" si="18">R10*R7</f>
        <v>10.199999999999999</v>
      </c>
      <c r="S11" s="87">
        <f t="shared" si="18"/>
        <v>10.199999999999999</v>
      </c>
      <c r="T11" s="87">
        <f t="shared" si="18"/>
        <v>10.199999999999999</v>
      </c>
      <c r="U11" s="87">
        <f t="shared" si="18"/>
        <v>10.199999999999999</v>
      </c>
      <c r="V11" s="87">
        <f t="shared" si="18"/>
        <v>10.199999999999999</v>
      </c>
      <c r="W11" s="87"/>
      <c r="X11" s="87">
        <f>X10*X7</f>
        <v>6</v>
      </c>
      <c r="Y11" s="87">
        <f>Y10*Y7</f>
        <v>9</v>
      </c>
      <c r="Z11" s="87">
        <f>Z10*Z7</f>
        <v>10.199999999999999</v>
      </c>
    </row>
    <row r="12" spans="1:26" ht="15" hidden="1" customHeight="1">
      <c r="A12" s="1" t="s">
        <v>109</v>
      </c>
      <c r="B12" s="94">
        <f>'INPUT SHEET'!N10*'INPUT SHEET'!$N$11</f>
        <v>7.056</v>
      </c>
      <c r="C12" s="95">
        <f>30*0.98</f>
        <v>29.4</v>
      </c>
      <c r="D12" s="95">
        <f>60*0.98</f>
        <v>58.8</v>
      </c>
      <c r="E12" s="95">
        <f>80*0.98</f>
        <v>78.400000000000006</v>
      </c>
      <c r="F12" s="95">
        <f>90*0.98</f>
        <v>88.2</v>
      </c>
      <c r="G12" s="95">
        <f>120*0.98</f>
        <v>117.6</v>
      </c>
      <c r="H12" s="95">
        <f>180*0.98</f>
        <v>176.4</v>
      </c>
      <c r="I12" s="95">
        <f>B12</f>
        <v>7.056</v>
      </c>
      <c r="J12" s="95">
        <f>C12</f>
        <v>29.4</v>
      </c>
      <c r="K12" s="95">
        <f>D12</f>
        <v>58.8</v>
      </c>
      <c r="L12" s="95">
        <f t="shared" ref="L12:O12" si="19">E12</f>
        <v>78.400000000000006</v>
      </c>
      <c r="M12" s="95">
        <f t="shared" si="19"/>
        <v>88.2</v>
      </c>
      <c r="N12" s="95">
        <f t="shared" si="19"/>
        <v>117.6</v>
      </c>
      <c r="O12" s="95">
        <f t="shared" si="19"/>
        <v>176.4</v>
      </c>
      <c r="P12" s="95">
        <f>B12</f>
        <v>7.056</v>
      </c>
      <c r="Q12" s="95">
        <f>C12</f>
        <v>29.4</v>
      </c>
      <c r="R12" s="95">
        <f>D12</f>
        <v>58.8</v>
      </c>
      <c r="S12" s="95">
        <f t="shared" ref="S12:V12" si="20">E12</f>
        <v>78.400000000000006</v>
      </c>
      <c r="T12" s="95">
        <f t="shared" si="20"/>
        <v>88.2</v>
      </c>
      <c r="U12" s="95">
        <f t="shared" si="20"/>
        <v>117.6</v>
      </c>
      <c r="V12" s="95">
        <f t="shared" si="20"/>
        <v>176.4</v>
      </c>
      <c r="W12" s="59"/>
      <c r="X12" s="94">
        <f>B12</f>
        <v>7.056</v>
      </c>
      <c r="Y12" s="94">
        <f>B12</f>
        <v>7.056</v>
      </c>
      <c r="Z12" s="94">
        <f>B12</f>
        <v>7.056</v>
      </c>
    </row>
    <row r="13" spans="1:26" ht="15" hidden="1" customHeight="1">
      <c r="A13" s="96" t="s">
        <v>110</v>
      </c>
      <c r="B13" s="97" t="n">
        <v>0.65</v>
      </c>
      <c r="C13" s="98">
        <f>B13</f>
        <v>0.65</v>
      </c>
      <c r="D13" s="98">
        <f>C13</f>
        <v>0.65</v>
      </c>
      <c r="E13" s="98">
        <f t="shared" ref="E13:H13" si="21">D13</f>
        <v>0.65</v>
      </c>
      <c r="F13" s="98">
        <f t="shared" si="21"/>
        <v>0.65</v>
      </c>
      <c r="G13" s="98">
        <f t="shared" si="21"/>
        <v>0.65</v>
      </c>
      <c r="H13" s="98">
        <f t="shared" si="21"/>
        <v>0.65</v>
      </c>
      <c r="I13" s="98">
        <f>B13</f>
        <v>0.65</v>
      </c>
      <c r="J13" s="98">
        <f>B13</f>
        <v>0.65</v>
      </c>
      <c r="K13" s="98">
        <f>C13</f>
        <v>0.65</v>
      </c>
      <c r="L13" s="98">
        <f t="shared" ref="L13:O13" si="22">D13</f>
        <v>0.65</v>
      </c>
      <c r="M13" s="98">
        <f t="shared" si="22"/>
        <v>0.65</v>
      </c>
      <c r="N13" s="98">
        <f t="shared" si="22"/>
        <v>0.65</v>
      </c>
      <c r="O13" s="98">
        <f t="shared" si="22"/>
        <v>0.65</v>
      </c>
      <c r="P13" s="98">
        <f>B13</f>
        <v>0.65</v>
      </c>
      <c r="Q13" s="98">
        <f>B13</f>
        <v>0.65</v>
      </c>
      <c r="R13" s="98">
        <f>C13</f>
        <v>0.65</v>
      </c>
      <c r="S13" s="98">
        <f t="shared" ref="S13:V13" si="23">D13</f>
        <v>0.65</v>
      </c>
      <c r="T13" s="98">
        <f t="shared" si="23"/>
        <v>0.65</v>
      </c>
      <c r="U13" s="98">
        <f t="shared" si="23"/>
        <v>0.65</v>
      </c>
      <c r="V13" s="98">
        <f t="shared" si="23"/>
        <v>0.65</v>
      </c>
      <c r="W13" s="59"/>
      <c r="X13" s="97">
        <v>0.65</v>
      </c>
      <c r="Y13" s="97">
        <f>X13</f>
        <v>0.65</v>
      </c>
      <c r="Z13" s="97">
        <f>X13</f>
        <v>0.65</v>
      </c>
    </row>
    <row r="14" spans="1:26" ht="15" hidden="1" customHeight="1">
      <c r="A14" s="1" t="s">
        <v>111</v>
      </c>
      <c r="B14" s="99">
        <f t="shared" ref="B14:V14" si="24">B13*B16</f>
        <v>0</v>
      </c>
      <c r="C14" s="99">
        <f t="shared" si="24"/>
        <v>0</v>
      </c>
      <c r="D14" s="99">
        <f t="shared" si="24"/>
        <v>0</v>
      </c>
      <c r="E14" s="99">
        <f t="shared" si="24"/>
        <v>0</v>
      </c>
      <c r="F14" s="99">
        <f t="shared" si="24"/>
        <v>0</v>
      </c>
      <c r="G14" s="99">
        <f t="shared" si="24"/>
        <v>0</v>
      </c>
      <c r="H14" s="99">
        <f t="shared" si="24"/>
        <v>0</v>
      </c>
      <c r="I14" s="99">
        <f t="shared" si="24"/>
        <v>0</v>
      </c>
      <c r="J14" s="99">
        <f t="shared" si="24"/>
        <v>0</v>
      </c>
      <c r="K14" s="99">
        <f t="shared" si="24"/>
        <v>0</v>
      </c>
      <c r="L14" s="99">
        <f t="shared" si="24"/>
        <v>0</v>
      </c>
      <c r="M14" s="99">
        <f t="shared" si="24"/>
        <v>0</v>
      </c>
      <c r="N14" s="99">
        <f t="shared" si="24"/>
        <v>0</v>
      </c>
      <c r="O14" s="99">
        <f t="shared" si="24"/>
        <v>0</v>
      </c>
      <c r="P14" s="99">
        <f t="shared" si="24"/>
        <v>0</v>
      </c>
      <c r="Q14" s="99">
        <f t="shared" si="24"/>
        <v>0</v>
      </c>
      <c r="R14" s="99">
        <f t="shared" si="24"/>
        <v>0</v>
      </c>
      <c r="S14" s="99">
        <f t="shared" si="24"/>
        <v>0</v>
      </c>
      <c r="T14" s="99">
        <f t="shared" si="24"/>
        <v>0</v>
      </c>
      <c r="U14" s="99">
        <f t="shared" si="24"/>
        <v>0</v>
      </c>
      <c r="V14" s="99">
        <f t="shared" si="24"/>
        <v>0</v>
      </c>
      <c r="W14" s="99"/>
      <c r="X14" s="99">
        <f>X13*X16</f>
        <v>0</v>
      </c>
      <c r="Y14" s="99">
        <f>Y13*Y16</f>
        <v>0</v>
      </c>
      <c r="Z14" s="99">
        <f>Z13*Z16</f>
        <v>0</v>
      </c>
    </row>
    <row r="15" spans="1:26" ht="15" hidden="1" customHeight="1">
      <c r="A15" s="1" t="s">
        <v>756</v>
      </c>
      <c r="B15" s="99">
        <f t="shared" ref="B15:V15" si="25">B14*B36/12</f>
        <v>0</v>
      </c>
      <c r="C15" s="99">
        <f t="shared" si="25"/>
        <v>0</v>
      </c>
      <c r="D15" s="99">
        <f t="shared" si="25"/>
        <v>0</v>
      </c>
      <c r="E15" s="99">
        <f t="shared" si="25"/>
        <v>0</v>
      </c>
      <c r="F15" s="99">
        <f t="shared" si="25"/>
        <v>0</v>
      </c>
      <c r="G15" s="99">
        <f t="shared" si="25"/>
        <v>0</v>
      </c>
      <c r="H15" s="99">
        <f t="shared" si="25"/>
        <v>0</v>
      </c>
      <c r="I15" s="99">
        <f t="shared" si="25"/>
        <v>0</v>
      </c>
      <c r="J15" s="99">
        <f t="shared" si="25"/>
        <v>0</v>
      </c>
      <c r="K15" s="99">
        <f t="shared" si="25"/>
        <v>0</v>
      </c>
      <c r="L15" s="99">
        <f t="shared" si="25"/>
        <v>0</v>
      </c>
      <c r="M15" s="99">
        <f t="shared" si="25"/>
        <v>0</v>
      </c>
      <c r="N15" s="99">
        <f t="shared" si="25"/>
        <v>0</v>
      </c>
      <c r="O15" s="99">
        <f t="shared" si="25"/>
        <v>0</v>
      </c>
      <c r="P15" s="99">
        <f t="shared" si="25"/>
        <v>0</v>
      </c>
      <c r="Q15" s="99">
        <f t="shared" si="25"/>
        <v>0</v>
      </c>
      <c r="R15" s="99">
        <f t="shared" si="25"/>
        <v>0</v>
      </c>
      <c r="S15" s="99">
        <f t="shared" si="25"/>
        <v>0</v>
      </c>
      <c r="T15" s="99">
        <f t="shared" si="25"/>
        <v>0</v>
      </c>
      <c r="U15" s="99">
        <f t="shared" si="25"/>
        <v>0</v>
      </c>
      <c r="V15" s="99">
        <f t="shared" si="25"/>
        <v>0</v>
      </c>
      <c r="W15" s="99"/>
      <c r="X15" s="99">
        <f>X14*X36/12</f>
        <v>0</v>
      </c>
      <c r="Y15" s="99">
        <f>Y14*Y36/12</f>
        <v>0</v>
      </c>
      <c r="Z15" s="99">
        <f>Z14*Z36/12</f>
        <v>0</v>
      </c>
    </row>
    <row r="16" spans="1:26" ht="15" hidden="1" customHeight="1">
      <c r="A16" s="100" t="s">
        <v>112</v>
      </c>
      <c r="B16" s="101">
        <f t="shared" ref="B16:V16" si="26">B9*B11*B35</f>
        <v>0</v>
      </c>
      <c r="C16" s="101">
        <f t="shared" si="26"/>
        <v>0</v>
      </c>
      <c r="D16" s="101">
        <f t="shared" si="26"/>
        <v>0</v>
      </c>
      <c r="E16" s="101">
        <f t="shared" si="26"/>
        <v>0</v>
      </c>
      <c r="F16" s="101">
        <f t="shared" si="26"/>
        <v>0</v>
      </c>
      <c r="G16" s="101">
        <f t="shared" si="26"/>
        <v>0</v>
      </c>
      <c r="H16" s="101">
        <f t="shared" si="26"/>
        <v>0</v>
      </c>
      <c r="I16" s="101">
        <f t="shared" si="26"/>
        <v>0</v>
      </c>
      <c r="J16" s="101">
        <f t="shared" si="26"/>
        <v>0</v>
      </c>
      <c r="K16" s="101">
        <f t="shared" si="26"/>
        <v>0</v>
      </c>
      <c r="L16" s="101">
        <f t="shared" si="26"/>
        <v>0</v>
      </c>
      <c r="M16" s="101">
        <f t="shared" si="26"/>
        <v>0</v>
      </c>
      <c r="N16" s="101">
        <f t="shared" si="26"/>
        <v>0</v>
      </c>
      <c r="O16" s="101">
        <f t="shared" si="26"/>
        <v>0</v>
      </c>
      <c r="P16" s="101">
        <f t="shared" si="26"/>
        <v>0</v>
      </c>
      <c r="Q16" s="101">
        <f t="shared" si="26"/>
        <v>0</v>
      </c>
      <c r="R16" s="101">
        <f t="shared" si="26"/>
        <v>0</v>
      </c>
      <c r="S16" s="101">
        <f t="shared" si="26"/>
        <v>0</v>
      </c>
      <c r="T16" s="101">
        <f t="shared" si="26"/>
        <v>0</v>
      </c>
      <c r="U16" s="101">
        <f t="shared" si="26"/>
        <v>0</v>
      </c>
      <c r="V16" s="101">
        <f t="shared" si="26"/>
        <v>0</v>
      </c>
      <c r="W16" s="101"/>
      <c r="X16" s="101">
        <f>X9*X11*X35</f>
        <v>0</v>
      </c>
      <c r="Y16" s="101">
        <f>Y9*Y11*Y35</f>
        <v>0</v>
      </c>
      <c r="Z16" s="101">
        <f>Z9*Z11*Z35</f>
        <v>0</v>
      </c>
    </row>
    <row r="17" spans="1:26" ht="15" hidden="1" customHeight="1">
      <c r="A17" s="102" t="s">
        <v>113</v>
      </c>
      <c r="B17" s="103">
        <f t="shared" ref="B17:V17" si="27">B46</f>
        <v>0</v>
      </c>
      <c r="C17" s="103">
        <f t="shared" si="27"/>
        <v>0</v>
      </c>
      <c r="D17" s="103">
        <f t="shared" si="27"/>
        <v>0</v>
      </c>
      <c r="E17" s="103">
        <f t="shared" si="27"/>
        <v>0</v>
      </c>
      <c r="F17" s="103">
        <f t="shared" si="27"/>
        <v>0</v>
      </c>
      <c r="G17" s="103">
        <f t="shared" si="27"/>
        <v>0</v>
      </c>
      <c r="H17" s="103">
        <f t="shared" si="27"/>
        <v>0</v>
      </c>
      <c r="I17" s="103">
        <f t="shared" si="27"/>
        <v>0</v>
      </c>
      <c r="J17" s="103">
        <f t="shared" si="27"/>
        <v>0</v>
      </c>
      <c r="K17" s="103">
        <f t="shared" si="27"/>
        <v>0</v>
      </c>
      <c r="L17" s="103">
        <f t="shared" si="27"/>
        <v>0</v>
      </c>
      <c r="M17" s="103">
        <f t="shared" si="27"/>
        <v>0</v>
      </c>
      <c r="N17" s="103">
        <f t="shared" si="27"/>
        <v>0</v>
      </c>
      <c r="O17" s="103">
        <f t="shared" si="27"/>
        <v>0</v>
      </c>
      <c r="P17" s="103">
        <f t="shared" si="27"/>
        <v>0</v>
      </c>
      <c r="Q17" s="103">
        <f t="shared" si="27"/>
        <v>0</v>
      </c>
      <c r="R17" s="103">
        <f t="shared" si="27"/>
        <v>0</v>
      </c>
      <c r="S17" s="103">
        <f t="shared" si="27"/>
        <v>0</v>
      </c>
      <c r="T17" s="103">
        <f t="shared" si="27"/>
        <v>0</v>
      </c>
      <c r="U17" s="103">
        <f t="shared" si="27"/>
        <v>0</v>
      </c>
      <c r="V17" s="103">
        <f t="shared" si="27"/>
        <v>0</v>
      </c>
      <c r="W17" s="59"/>
      <c r="X17" s="103">
        <f>X46</f>
        <v>0.25</v>
      </c>
      <c r="Y17" s="103">
        <f>Y46</f>
        <v>0.25</v>
      </c>
      <c r="Z17" s="103">
        <f>Z46</f>
        <v>0.25</v>
      </c>
    </row>
    <row r="18" spans="1:26" ht="15" hidden="1" customHeight="1">
      <c r="A18" s="1" t="s">
        <v>114</v>
      </c>
      <c r="B18" s="104">
        <f t="shared" ref="B18:V18" si="28">B15-(B16*B17*B36/12)</f>
        <v>0</v>
      </c>
      <c r="C18" s="104">
        <f t="shared" si="28"/>
        <v>0</v>
      </c>
      <c r="D18" s="104">
        <f t="shared" si="28"/>
        <v>0</v>
      </c>
      <c r="E18" s="104">
        <f t="shared" si="28"/>
        <v>0</v>
      </c>
      <c r="F18" s="104">
        <f t="shared" si="28"/>
        <v>0</v>
      </c>
      <c r="G18" s="104">
        <f t="shared" si="28"/>
        <v>0</v>
      </c>
      <c r="H18" s="104">
        <f t="shared" si="28"/>
        <v>0</v>
      </c>
      <c r="I18" s="104">
        <f t="shared" si="28"/>
        <v>0</v>
      </c>
      <c r="J18" s="104">
        <f t="shared" si="28"/>
        <v>0</v>
      </c>
      <c r="K18" s="104">
        <f t="shared" si="28"/>
        <v>0</v>
      </c>
      <c r="L18" s="104">
        <f t="shared" si="28"/>
        <v>0</v>
      </c>
      <c r="M18" s="104">
        <f t="shared" si="28"/>
        <v>0</v>
      </c>
      <c r="N18" s="104">
        <f t="shared" si="28"/>
        <v>0</v>
      </c>
      <c r="O18" s="103">
        <f t="shared" si="28"/>
        <v>0</v>
      </c>
      <c r="P18" s="104">
        <f t="shared" si="28"/>
        <v>0</v>
      </c>
      <c r="Q18" s="104">
        <f t="shared" si="28"/>
        <v>0</v>
      </c>
      <c r="R18" s="104">
        <f t="shared" si="28"/>
        <v>0</v>
      </c>
      <c r="S18" s="104">
        <f t="shared" si="28"/>
        <v>0</v>
      </c>
      <c r="T18" s="104">
        <f t="shared" si="28"/>
        <v>0</v>
      </c>
      <c r="U18" s="104">
        <f t="shared" si="28"/>
        <v>0</v>
      </c>
      <c r="V18" s="104">
        <f t="shared" si="28"/>
        <v>0</v>
      </c>
      <c r="W18" s="99"/>
      <c r="X18" s="104">
        <f>X15-(X16*X17*X36/12)</f>
        <v>0</v>
      </c>
      <c r="Y18" s="104">
        <f>Y15-(Y16*Y17*Y36/12)</f>
        <v>0</v>
      </c>
      <c r="Z18" s="104">
        <f>Z15-(Z16*Z17*Z36/12)</f>
        <v>0</v>
      </c>
    </row>
    <row r="19" spans="1:26" ht="27" hidden="1" customHeight="1">
      <c r="A19" s="2" t="s">
        <v>115</v>
      </c>
      <c r="B19" s="105">
        <f t="shared" ref="B19:Q19" si="29">B18*12</f>
        <v>0</v>
      </c>
      <c r="C19" s="105">
        <f t="shared" si="29"/>
        <v>0</v>
      </c>
      <c r="D19" s="105">
        <f t="shared" ref="D19:H19" si="30">D18*12</f>
        <v>0</v>
      </c>
      <c r="E19" s="105">
        <f t="shared" si="30"/>
        <v>0</v>
      </c>
      <c r="F19" s="105">
        <f t="shared" si="30"/>
        <v>0</v>
      </c>
      <c r="G19" s="105">
        <f t="shared" si="30"/>
        <v>0</v>
      </c>
      <c r="H19" s="105">
        <f t="shared" si="30"/>
        <v>0</v>
      </c>
      <c r="I19" s="105">
        <f t="shared" si="29"/>
        <v>0</v>
      </c>
      <c r="J19" s="105">
        <f t="shared" si="29"/>
        <v>0</v>
      </c>
      <c r="K19" s="105">
        <f t="shared" ref="K19:O19" si="31">K18*12</f>
        <v>0</v>
      </c>
      <c r="L19" s="105">
        <f t="shared" si="31"/>
        <v>0</v>
      </c>
      <c r="M19" s="105">
        <f t="shared" si="31"/>
        <v>0</v>
      </c>
      <c r="N19" s="105">
        <f t="shared" si="31"/>
        <v>0</v>
      </c>
      <c r="O19" s="105">
        <f t="shared" si="31"/>
        <v>0</v>
      </c>
      <c r="P19" s="105">
        <f t="shared" si="29"/>
        <v>0</v>
      </c>
      <c r="Q19" s="106">
        <f t="shared" si="29"/>
        <v>0</v>
      </c>
      <c r="R19" s="106">
        <f t="shared" ref="R19:V19" si="32">R18*12</f>
        <v>0</v>
      </c>
      <c r="S19" s="106">
        <f t="shared" si="32"/>
        <v>0</v>
      </c>
      <c r="T19" s="106">
        <f t="shared" si="32"/>
        <v>0</v>
      </c>
      <c r="U19" s="106">
        <f t="shared" si="32"/>
        <v>0</v>
      </c>
      <c r="V19" s="106">
        <f t="shared" si="32"/>
        <v>0</v>
      </c>
      <c r="W19" s="107"/>
      <c r="X19" s="108">
        <f>X18*12</f>
        <v>0</v>
      </c>
      <c r="Y19" s="105">
        <f>Y18*12</f>
        <v>0</v>
      </c>
      <c r="Z19" s="105">
        <f>Z18*12</f>
        <v>0</v>
      </c>
    </row>
    <row r="20" spans="1:26" ht="47.25" hidden="1" customHeight="1">
      <c r="A20" s="109" t="s">
        <v>116</v>
      </c>
      <c r="B20" s="110" t="n">
        <v>0.2</v>
      </c>
      <c r="C20" s="111" t="n">
        <v>0.2</v>
      </c>
      <c r="D20" s="111" t="n">
        <v>0.2</v>
      </c>
      <c r="E20" s="111" t="n">
        <v>0.2</v>
      </c>
      <c r="F20" s="111" t="n">
        <v>0.2</v>
      </c>
      <c r="G20" s="111" t="n">
        <v>0.2</v>
      </c>
      <c r="H20" s="111" t="n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hidden="1" customHeight="1">
      <c r="A21" s="109" t="s">
        <v>117</v>
      </c>
      <c r="B21" s="110" t="n">
        <v>0.25</v>
      </c>
      <c r="C21" s="112" t="n">
        <v>0.25</v>
      </c>
      <c r="D21" s="112" t="n">
        <v>0.25</v>
      </c>
      <c r="E21" s="112" t="n">
        <v>0.25</v>
      </c>
      <c r="F21" s="112" t="n">
        <v>0.25</v>
      </c>
      <c r="G21" s="112" t="n">
        <v>0.25</v>
      </c>
      <c r="H21" s="112" t="n">
        <v>0.25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30" hidden="1">
      <c r="A22" s="601" t="s">
        <v>757</v>
      </c>
    </row>
    <row r="23" spans="1:26" ht="41.25" hidden="1" customHeight="1">
      <c r="A23" s="59"/>
      <c r="B23" s="626" t="s">
        <v>118</v>
      </c>
      <c r="C23" s="711"/>
      <c r="D23" s="711"/>
      <c r="E23" s="711"/>
      <c r="F23" s="711"/>
      <c r="G23" s="711"/>
      <c r="H23" s="711"/>
      <c r="I23" s="711"/>
      <c r="J23" s="81" t="s">
        <v>119</v>
      </c>
      <c r="K23" s="81"/>
      <c r="L23" s="81"/>
      <c r="M23" s="81"/>
      <c r="N23" s="81"/>
      <c r="O23" s="81"/>
      <c r="P23" s="76" t="s">
        <v>120</v>
      </c>
      <c r="Q23" s="80" t="s">
        <v>121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hidden="1" customHeight="1">
      <c r="A24" s="59"/>
      <c r="B24" s="714" t="s">
        <v>122</v>
      </c>
      <c r="C24" s="715"/>
      <c r="D24" s="715"/>
      <c r="E24" s="715"/>
      <c r="F24" s="715"/>
      <c r="G24" s="715"/>
      <c r="H24" s="715"/>
      <c r="I24" s="715"/>
      <c r="J24" s="113">
        <f>SUM(B19:H19)</f>
        <v>0</v>
      </c>
      <c r="K24" s="113"/>
      <c r="L24" s="113"/>
      <c r="M24" s="113"/>
      <c r="N24" s="113"/>
      <c r="O24" s="113"/>
      <c r="P24" s="113">
        <f>SUM(I19:O19)</f>
        <v>0</v>
      </c>
      <c r="Q24" s="113">
        <f>SUM(P19:V19)</f>
        <v>0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hidden="1" customHeight="1">
      <c r="A25" s="59"/>
      <c r="B25" s="624" t="s">
        <v>123</v>
      </c>
      <c r="C25" s="713"/>
      <c r="D25" s="713"/>
      <c r="E25" s="713"/>
      <c r="F25" s="713"/>
      <c r="G25" s="713"/>
      <c r="H25" s="713"/>
      <c r="I25" s="713"/>
      <c r="J25" s="113">
        <f>J24*3</f>
        <v>0</v>
      </c>
      <c r="K25" s="113"/>
      <c r="L25" s="113"/>
      <c r="M25" s="113"/>
      <c r="N25" s="113"/>
      <c r="O25" s="113"/>
      <c r="P25" s="113">
        <f>P24*3</f>
        <v>0</v>
      </c>
      <c r="Q25" s="113">
        <f>Q24*3</f>
        <v>0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hidden="1" customHeight="1">
      <c r="A26" s="59"/>
      <c r="B26" s="625" t="s">
        <v>124</v>
      </c>
      <c r="C26" s="712"/>
      <c r="D26" s="712"/>
      <c r="E26" s="712"/>
      <c r="F26" s="712"/>
      <c r="G26" s="712"/>
      <c r="H26" s="712"/>
      <c r="I26" s="712"/>
      <c r="J26" s="114">
        <f>J24*5</f>
        <v>0</v>
      </c>
      <c r="K26" s="114"/>
      <c r="L26" s="114"/>
      <c r="M26" s="114"/>
      <c r="N26" s="114"/>
      <c r="O26" s="114"/>
      <c r="P26" s="104">
        <f>P24*5</f>
        <v>0</v>
      </c>
      <c r="Q26" s="114">
        <f>Q24*5</f>
        <v>0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hidden="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hidden="1" customHeight="1">
      <c r="A28" s="59"/>
      <c r="B28" s="626" t="s">
        <v>125</v>
      </c>
      <c r="C28" s="711"/>
      <c r="D28" s="711"/>
      <c r="E28" s="711"/>
      <c r="F28" s="711"/>
      <c r="G28" s="711"/>
      <c r="H28" s="711"/>
      <c r="I28" s="711"/>
      <c r="J28" s="81" t="s">
        <v>119</v>
      </c>
      <c r="K28" s="81"/>
      <c r="L28" s="81"/>
      <c r="M28" s="81"/>
      <c r="N28" s="81"/>
      <c r="O28" s="81"/>
      <c r="P28" s="76" t="s">
        <v>120</v>
      </c>
      <c r="Q28" s="80" t="s">
        <v>121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hidden="1" customHeight="1">
      <c r="A29" s="59"/>
      <c r="B29" s="714" t="s">
        <v>122</v>
      </c>
      <c r="C29" s="715"/>
      <c r="D29" s="715"/>
      <c r="E29" s="715"/>
      <c r="F29" s="715"/>
      <c r="G29" s="715"/>
      <c r="H29" s="715"/>
      <c r="I29" s="715"/>
      <c r="J29" s="113">
        <f>J24+X19</f>
        <v>0</v>
      </c>
      <c r="K29" s="113"/>
      <c r="L29" s="113"/>
      <c r="M29" s="113"/>
      <c r="N29" s="113"/>
      <c r="O29" s="113"/>
      <c r="P29" s="113">
        <f>P24+Y19</f>
        <v>0</v>
      </c>
      <c r="Q29" s="113">
        <f>Q24+Z19</f>
        <v>0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hidden="1" customHeight="1">
      <c r="A30" s="59"/>
      <c r="B30" s="624" t="s">
        <v>123</v>
      </c>
      <c r="C30" s="713"/>
      <c r="D30" s="713"/>
      <c r="E30" s="713"/>
      <c r="F30" s="713"/>
      <c r="G30" s="713"/>
      <c r="H30" s="713"/>
      <c r="I30" s="713"/>
      <c r="J30" s="113">
        <f>J29*3</f>
        <v>0</v>
      </c>
      <c r="K30" s="113"/>
      <c r="L30" s="113"/>
      <c r="M30" s="113"/>
      <c r="N30" s="113"/>
      <c r="O30" s="113"/>
      <c r="P30" s="113">
        <f>P29*3</f>
        <v>0</v>
      </c>
      <c r="Q30" s="113">
        <f>Q29*3</f>
        <v>0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hidden="1" customHeight="1">
      <c r="A31" s="59"/>
      <c r="B31" s="625" t="s">
        <v>124</v>
      </c>
      <c r="C31" s="712"/>
      <c r="D31" s="712"/>
      <c r="E31" s="712"/>
      <c r="F31" s="712"/>
      <c r="G31" s="712"/>
      <c r="H31" s="712"/>
      <c r="I31" s="712"/>
      <c r="J31" s="114">
        <f>J29*5</f>
        <v>0</v>
      </c>
      <c r="K31" s="114"/>
      <c r="L31" s="114"/>
      <c r="M31" s="114"/>
      <c r="N31" s="114"/>
      <c r="O31" s="114"/>
      <c r="P31" s="114">
        <f>P29*5</f>
        <v>0</v>
      </c>
      <c r="Q31" s="114">
        <f>Q29*5</f>
        <v>0</v>
      </c>
      <c r="R31" s="486"/>
      <c r="S31" s="486"/>
      <c r="T31" s="486"/>
      <c r="U31" s="486"/>
      <c r="V31" s="486"/>
      <c r="W31" s="59"/>
      <c r="X31" s="59"/>
      <c r="Y31" s="59"/>
      <c r="Z31" s="59"/>
    </row>
    <row r="33" spans="1:26" ht="45">
      <c r="A33" s="602" t="s">
        <v>758</v>
      </c>
      <c r="B33" s="76" t="str">
        <f>B4</f>
        <v xml:space="preserve">Level 2 </v>
      </c>
      <c r="C33" s="76" t="str">
        <f>C4</f>
        <v>L3 (60 kW)</v>
      </c>
      <c r="D33" s="76" t="str">
        <f>D4</f>
        <v>L3 (120 kW)</v>
      </c>
      <c r="E33" s="76" t="str">
        <f>E4</f>
        <v>L3 (160 kW)</v>
      </c>
      <c r="F33" s="76" t="str">
        <f>F4</f>
        <v>L3 (180 kW)</v>
      </c>
      <c r="G33" s="76" t="str">
        <f>G4</f>
        <v>L3 (240 kW)</v>
      </c>
      <c r="H33" s="76" t="str">
        <f>H4</f>
        <v>L3 (360 kW)</v>
      </c>
      <c r="I33" s="76" t="str">
        <f>I4</f>
        <v>Level 2</v>
      </c>
      <c r="J33" s="76" t="str">
        <f>J4</f>
        <v>L3 (60 kW)</v>
      </c>
      <c r="K33" s="76" t="str">
        <f>K4</f>
        <v>L3 (120 kW)</v>
      </c>
      <c r="L33" s="76" t="str">
        <f>L4</f>
        <v>L3 (160 kW)</v>
      </c>
      <c r="M33" s="76" t="str">
        <f>M4</f>
        <v>L3 (180 kW)</v>
      </c>
      <c r="N33" s="76" t="str">
        <f>N4</f>
        <v>L3 (240 kW)</v>
      </c>
      <c r="O33" s="76" t="str">
        <f>O4</f>
        <v>L3 (360 kW)</v>
      </c>
      <c r="P33" s="76" t="str">
        <f>P4</f>
        <v>Level 2</v>
      </c>
      <c r="Q33" s="76" t="str">
        <f>Q4</f>
        <v>L3 (60 kW)</v>
      </c>
      <c r="R33" s="76" t="str">
        <f>R4</f>
        <v>L3 (120 kW)</v>
      </c>
      <c r="S33" s="76" t="str">
        <f>S4</f>
        <v>L3 (160 kW)</v>
      </c>
      <c r="T33" s="76" t="str">
        <f>T4</f>
        <v>L3 (180 kW)</v>
      </c>
      <c r="U33" s="76" t="str">
        <f>U4</f>
        <v>L3 (240 kW)</v>
      </c>
      <c r="V33" s="76" t="str">
        <f>V4</f>
        <v>L3 (360 kW)</v>
      </c>
      <c r="X33" s="76" t="str">
        <f>X4</f>
        <v>Level 2</v>
      </c>
      <c r="Y33" s="76" t="str">
        <f>Y4</f>
        <v>Level 2</v>
      </c>
      <c r="Z33" s="76" t="str">
        <f>Z4</f>
        <v>Level 2</v>
      </c>
    </row>
    <row r="34" spans="1:26" ht="30">
      <c r="A34" s="601" t="s">
        <v>759</v>
      </c>
      <c r="B34" s="582" t="n">
        <v>0.7</v>
      </c>
      <c r="C34" s="582" t="n">
        <v>0.7</v>
      </c>
      <c r="D34" s="582" t="n">
        <v>0.7</v>
      </c>
      <c r="E34" s="582" t="n">
        <v>0.7</v>
      </c>
      <c r="F34" s="582" t="n">
        <v>0.7</v>
      </c>
      <c r="G34" s="582" t="n">
        <v>0.7</v>
      </c>
      <c r="H34" s="582" t="n">
        <v>0.7</v>
      </c>
      <c r="I34" s="582">
        <v>0.7</v>
      </c>
      <c r="J34" s="582">
        <v>0.7</v>
      </c>
      <c r="K34" s="582">
        <v>0.7</v>
      </c>
      <c r="L34" s="582">
        <v>0.7</v>
      </c>
      <c r="M34" s="582">
        <v>0.7</v>
      </c>
      <c r="N34" s="582">
        <v>0.7</v>
      </c>
      <c r="O34" s="582">
        <v>0.7</v>
      </c>
      <c r="P34" s="582">
        <v>0.7</v>
      </c>
      <c r="Q34" s="582">
        <v>0.7</v>
      </c>
      <c r="R34" s="582">
        <v>0.7</v>
      </c>
      <c r="S34" s="582">
        <v>0.7</v>
      </c>
      <c r="T34" s="582">
        <v>0.7</v>
      </c>
      <c r="U34" s="582">
        <v>0.7</v>
      </c>
      <c r="V34" s="582">
        <v>0.7</v>
      </c>
      <c r="X34" s="582">
        <v>0.7</v>
      </c>
      <c r="Y34" s="582">
        <v>0.7</v>
      </c>
      <c r="Z34" s="582">
        <v>0.7</v>
      </c>
    </row>
    <row r="35" spans="1:26" ht="30">
      <c r="A35" s="601" t="s">
        <v>760</v>
      </c>
      <c r="B35" s="589">
        <f>B12*B34</f>
        <v>4.9391999999999996</v>
      </c>
      <c r="C35" s="589">
        <f>C12*C34</f>
        <v>20.58</v>
      </c>
      <c r="D35" s="589">
        <f>D12*D34</f>
        <v>41.16</v>
      </c>
      <c r="E35" s="589">
        <f>E12*E34</f>
        <v>54.88</v>
      </c>
      <c r="F35" s="589">
        <f>F12*F34</f>
        <v>61.739999999999995</v>
      </c>
      <c r="G35" s="589">
        <f>G12*G34</f>
        <v>82.32</v>
      </c>
      <c r="H35" s="589">
        <f>H12*H34</f>
        <v>123.47999999999999</v>
      </c>
      <c r="I35" s="589">
        <f>I12*I34</f>
        <v>4.9391999999999996</v>
      </c>
      <c r="J35" s="589">
        <f>J12*J34</f>
        <v>20.58</v>
      </c>
      <c r="K35" s="589">
        <f>K12*K34</f>
        <v>41.16</v>
      </c>
      <c r="L35" s="589">
        <f>L12*L34</f>
        <v>54.88</v>
      </c>
      <c r="M35" s="589">
        <f>M12*M34</f>
        <v>61.739999999999995</v>
      </c>
      <c r="N35" s="589">
        <f>N12*N34</f>
        <v>82.32</v>
      </c>
      <c r="O35" s="589">
        <f>O12*O34</f>
        <v>123.47999999999999</v>
      </c>
      <c r="P35" s="589">
        <f>P12*P34</f>
        <v>4.9391999999999996</v>
      </c>
      <c r="Q35" s="589">
        <f>Q12*Q34</f>
        <v>20.58</v>
      </c>
      <c r="R35" s="589">
        <f>R12*R34</f>
        <v>41.16</v>
      </c>
      <c r="S35" s="589">
        <f>S12*S34</f>
        <v>54.88</v>
      </c>
      <c r="T35" s="589">
        <f>T12*T34</f>
        <v>61.739999999999995</v>
      </c>
      <c r="U35" s="589">
        <f>U12*U34</f>
        <v>82.32</v>
      </c>
      <c r="V35" s="589">
        <f>V12*V34</f>
        <v>123.47999999999999</v>
      </c>
      <c r="X35" s="589">
        <f>X12*X34</f>
        <v>4.9391999999999996</v>
      </c>
      <c r="Y35" s="589">
        <f>Y12*Y34</f>
        <v>4.9391999999999996</v>
      </c>
      <c r="Z35" s="589">
        <f>Z12*Z34</f>
        <v>4.9391999999999996</v>
      </c>
    </row>
    <row r="36" spans="1:26">
      <c r="A36" s="601" t="s">
        <v>761</v>
      </c>
      <c r="B36" s="581" t="n">
        <v>365</v>
      </c>
      <c r="C36" s="581" t="n">
        <v>365</v>
      </c>
      <c r="D36" s="581" t="n">
        <v>365</v>
      </c>
      <c r="E36" s="581" t="n">
        <v>365</v>
      </c>
      <c r="F36" s="581" t="n">
        <v>365</v>
      </c>
      <c r="G36" s="581" t="n">
        <v>365</v>
      </c>
      <c r="H36" s="581" t="n">
        <v>365</v>
      </c>
      <c r="I36" s="581">
        <v>365</v>
      </c>
      <c r="J36" s="581">
        <v>365</v>
      </c>
      <c r="K36" s="581">
        <v>365</v>
      </c>
      <c r="L36" s="581">
        <v>365</v>
      </c>
      <c r="M36" s="581">
        <v>365</v>
      </c>
      <c r="N36" s="581">
        <v>365</v>
      </c>
      <c r="O36" s="581">
        <v>365</v>
      </c>
      <c r="P36" s="581">
        <v>365</v>
      </c>
      <c r="Q36" s="581">
        <v>365</v>
      </c>
      <c r="R36" s="581">
        <v>365</v>
      </c>
      <c r="S36" s="581">
        <v>365</v>
      </c>
      <c r="T36" s="581">
        <v>365</v>
      </c>
      <c r="U36" s="581">
        <v>365</v>
      </c>
      <c r="V36" s="581">
        <v>365</v>
      </c>
      <c r="X36" s="581">
        <v>365</v>
      </c>
      <c r="Y36" s="581">
        <v>365</v>
      </c>
      <c r="Z36" s="581">
        <v>365</v>
      </c>
    </row>
    <row r="37" spans="1:26">
      <c r="A37" s="601" t="s">
        <v>762</v>
      </c>
      <c r="B37" s="590">
        <f>B16</f>
        <v>0</v>
      </c>
      <c r="C37" s="590">
        <f>C16</f>
        <v>0</v>
      </c>
      <c r="D37" s="590">
        <f>D16</f>
        <v>0</v>
      </c>
      <c r="E37" s="590">
        <f>E16</f>
        <v>0</v>
      </c>
      <c r="F37" s="590">
        <f>F16</f>
        <v>0</v>
      </c>
      <c r="G37" s="590">
        <f>G16</f>
        <v>0</v>
      </c>
      <c r="H37" s="590">
        <f>H16</f>
        <v>0</v>
      </c>
      <c r="I37" s="590">
        <f>I16</f>
        <v>0</v>
      </c>
      <c r="J37" s="590">
        <f>J16</f>
        <v>0</v>
      </c>
      <c r="K37" s="590">
        <f>K16</f>
        <v>0</v>
      </c>
      <c r="L37" s="590">
        <f>L16</f>
        <v>0</v>
      </c>
      <c r="M37" s="590">
        <f>M16</f>
        <v>0</v>
      </c>
      <c r="N37" s="590">
        <f>N16</f>
        <v>0</v>
      </c>
      <c r="O37" s="590">
        <f>O16</f>
        <v>0</v>
      </c>
      <c r="P37" s="590">
        <f>P16</f>
        <v>0</v>
      </c>
      <c r="Q37" s="590">
        <f>Q16</f>
        <v>0</v>
      </c>
      <c r="R37" s="590">
        <f>R16</f>
        <v>0</v>
      </c>
      <c r="S37" s="590">
        <f>S16</f>
        <v>0</v>
      </c>
      <c r="T37" s="590">
        <f>T16</f>
        <v>0</v>
      </c>
      <c r="U37" s="590">
        <f>U16</f>
        <v>0</v>
      </c>
      <c r="V37" s="590">
        <f>V16</f>
        <v>0</v>
      </c>
      <c r="X37" s="590">
        <f>X16</f>
        <v>0</v>
      </c>
      <c r="Y37" s="590">
        <f>Y16</f>
        <v>0</v>
      </c>
      <c r="Z37" s="590">
        <f>Z16</f>
        <v>0</v>
      </c>
    </row>
    <row r="38" spans="1:26">
      <c r="A38" s="601" t="s">
        <v>763</v>
      </c>
      <c r="B38" s="590">
        <f t="shared" ref="B38:V38" si="33">B37*B36</f>
        <v>0</v>
      </c>
      <c r="C38" s="590">
        <f t="shared" si="33"/>
        <v>0</v>
      </c>
      <c r="D38" s="590">
        <f t="shared" si="33"/>
        <v>0</v>
      </c>
      <c r="E38" s="590">
        <f t="shared" si="33"/>
        <v>0</v>
      </c>
      <c r="F38" s="590">
        <f t="shared" si="33"/>
        <v>0</v>
      </c>
      <c r="G38" s="590">
        <f t="shared" si="33"/>
        <v>0</v>
      </c>
      <c r="H38" s="590">
        <f t="shared" si="33"/>
        <v>0</v>
      </c>
      <c r="I38" s="590">
        <f t="shared" si="33"/>
        <v>0</v>
      </c>
      <c r="J38" s="590">
        <f t="shared" si="33"/>
        <v>0</v>
      </c>
      <c r="K38" s="590">
        <f t="shared" si="33"/>
        <v>0</v>
      </c>
      <c r="L38" s="590">
        <f t="shared" si="33"/>
        <v>0</v>
      </c>
      <c r="M38" s="590">
        <f t="shared" si="33"/>
        <v>0</v>
      </c>
      <c r="N38" s="590">
        <f t="shared" si="33"/>
        <v>0</v>
      </c>
      <c r="O38" s="590">
        <f t="shared" si="33"/>
        <v>0</v>
      </c>
      <c r="P38" s="590">
        <f t="shared" si="33"/>
        <v>0</v>
      </c>
      <c r="Q38" s="590">
        <f t="shared" si="33"/>
        <v>0</v>
      </c>
      <c r="R38" s="590">
        <f t="shared" si="33"/>
        <v>0</v>
      </c>
      <c r="S38" s="590">
        <f t="shared" si="33"/>
        <v>0</v>
      </c>
      <c r="T38" s="590">
        <f t="shared" si="33"/>
        <v>0</v>
      </c>
      <c r="U38" s="590">
        <f t="shared" si="33"/>
        <v>0</v>
      </c>
      <c r="V38" s="590">
        <f t="shared" si="33"/>
        <v>0</v>
      </c>
      <c r="X38" s="590">
        <f>X37*X36</f>
        <v>0</v>
      </c>
      <c r="Y38" s="590">
        <f>Y37*Y36</f>
        <v>0</v>
      </c>
      <c r="Z38" s="590">
        <f>Z37*Z36</f>
        <v>0</v>
      </c>
    </row>
    <row r="39" spans="1:26">
      <c r="A39" s="601" t="s">
        <v>764</v>
      </c>
      <c r="B39" s="583" t="n">
        <v>0.03</v>
      </c>
      <c r="C39" s="583" t="n">
        <v>0.03</v>
      </c>
      <c r="D39" s="583" t="n">
        <v>0.03</v>
      </c>
      <c r="E39" s="583" t="n">
        <v>0.03</v>
      </c>
      <c r="F39" s="583" t="n">
        <v>0.03</v>
      </c>
      <c r="G39" s="583" t="n">
        <v>0.03</v>
      </c>
      <c r="H39" s="583" t="n">
        <v>0.03</v>
      </c>
      <c r="I39" s="583">
        <v>0.03</v>
      </c>
      <c r="J39" s="583">
        <v>0.03</v>
      </c>
      <c r="K39" s="583">
        <v>0.03</v>
      </c>
      <c r="L39" s="583">
        <v>0.03</v>
      </c>
      <c r="M39" s="583">
        <v>0.03</v>
      </c>
      <c r="N39" s="583">
        <v>0.03</v>
      </c>
      <c r="O39" s="583">
        <v>0.03</v>
      </c>
      <c r="P39" s="583">
        <v>0.03</v>
      </c>
      <c r="Q39" s="583">
        <v>0.03</v>
      </c>
      <c r="R39" s="583">
        <v>0.03</v>
      </c>
      <c r="S39" s="583">
        <v>0.03</v>
      </c>
      <c r="T39" s="583">
        <v>0.03</v>
      </c>
      <c r="U39" s="583">
        <v>0.03</v>
      </c>
      <c r="V39" s="583">
        <v>0.03</v>
      </c>
      <c r="X39" s="583">
        <v>0.03</v>
      </c>
      <c r="Y39" s="583">
        <v>0.03</v>
      </c>
      <c r="Z39" s="583">
        <v>0.03</v>
      </c>
    </row>
    <row r="40" spans="1:26">
      <c r="A40" s="601" t="s">
        <v>765</v>
      </c>
      <c r="B40" s="594">
        <f t="shared" ref="B40:V40" si="34">$B$206</f>
        <v>0</v>
      </c>
      <c r="C40" s="594">
        <f t="shared" si="34"/>
        <v>0</v>
      </c>
      <c r="D40" s="594">
        <f t="shared" si="34"/>
        <v>0</v>
      </c>
      <c r="E40" s="594">
        <f t="shared" si="34"/>
        <v>0</v>
      </c>
      <c r="F40" s="594">
        <f t="shared" si="34"/>
        <v>0</v>
      </c>
      <c r="G40" s="594">
        <f t="shared" si="34"/>
        <v>0</v>
      </c>
      <c r="H40" s="594">
        <f t="shared" si="34"/>
        <v>0</v>
      </c>
      <c r="I40" s="594">
        <f t="shared" si="34"/>
        <v>0</v>
      </c>
      <c r="J40" s="594">
        <f t="shared" si="34"/>
        <v>0</v>
      </c>
      <c r="K40" s="594">
        <f t="shared" si="34"/>
        <v>0</v>
      </c>
      <c r="L40" s="594">
        <f t="shared" si="34"/>
        <v>0</v>
      </c>
      <c r="M40" s="594">
        <f t="shared" si="34"/>
        <v>0</v>
      </c>
      <c r="N40" s="594">
        <f t="shared" si="34"/>
        <v>0</v>
      </c>
      <c r="O40" s="594">
        <f t="shared" si="34"/>
        <v>0</v>
      </c>
      <c r="P40" s="594">
        <f t="shared" si="34"/>
        <v>0</v>
      </c>
      <c r="Q40" s="594">
        <f t="shared" si="34"/>
        <v>0</v>
      </c>
      <c r="R40" s="594">
        <f t="shared" si="34"/>
        <v>0</v>
      </c>
      <c r="S40" s="594">
        <f t="shared" si="34"/>
        <v>0</v>
      </c>
      <c r="T40" s="594">
        <f t="shared" si="34"/>
        <v>0</v>
      </c>
      <c r="U40" s="594">
        <f t="shared" si="34"/>
        <v>0</v>
      </c>
      <c r="V40" s="594">
        <f t="shared" si="34"/>
        <v>0</v>
      </c>
      <c r="X40" s="586">
        <v>0.25</v>
      </c>
      <c r="Y40" s="586">
        <v>0.25</v>
      </c>
      <c r="Z40" s="586">
        <v>0.25</v>
      </c>
    </row>
    <row r="41" spans="1:26">
      <c r="A41" s="601" t="s">
        <v>766</v>
      </c>
      <c r="B41" s="594">
        <f t="shared" ref="B41:V41" si="35">$B$207</f>
        <v>0</v>
      </c>
      <c r="C41" s="594">
        <f t="shared" si="35"/>
        <v>0</v>
      </c>
      <c r="D41" s="594">
        <f t="shared" si="35"/>
        <v>0</v>
      </c>
      <c r="E41" s="594">
        <f t="shared" si="35"/>
        <v>0</v>
      </c>
      <c r="F41" s="594">
        <f t="shared" si="35"/>
        <v>0</v>
      </c>
      <c r="G41" s="594">
        <f t="shared" si="35"/>
        <v>0</v>
      </c>
      <c r="H41" s="594">
        <f t="shared" si="35"/>
        <v>0</v>
      </c>
      <c r="I41" s="594">
        <f t="shared" si="35"/>
        <v>0</v>
      </c>
      <c r="J41" s="594">
        <f t="shared" si="35"/>
        <v>0</v>
      </c>
      <c r="K41" s="594">
        <f t="shared" si="35"/>
        <v>0</v>
      </c>
      <c r="L41" s="594">
        <f t="shared" si="35"/>
        <v>0</v>
      </c>
      <c r="M41" s="594">
        <f t="shared" si="35"/>
        <v>0</v>
      </c>
      <c r="N41" s="594">
        <f t="shared" si="35"/>
        <v>0</v>
      </c>
      <c r="O41" s="594">
        <f t="shared" si="35"/>
        <v>0</v>
      </c>
      <c r="P41" s="594">
        <f t="shared" si="35"/>
        <v>0</v>
      </c>
      <c r="Q41" s="594">
        <f t="shared" si="35"/>
        <v>0</v>
      </c>
      <c r="R41" s="594">
        <f t="shared" si="35"/>
        <v>0</v>
      </c>
      <c r="S41" s="594">
        <f t="shared" si="35"/>
        <v>0</v>
      </c>
      <c r="T41" s="594">
        <f t="shared" si="35"/>
        <v>0</v>
      </c>
      <c r="U41" s="594">
        <f t="shared" si="35"/>
        <v>0</v>
      </c>
      <c r="V41" s="594">
        <f t="shared" si="35"/>
        <v>0</v>
      </c>
      <c r="X41" s="586">
        <v>0.25</v>
      </c>
      <c r="Y41" s="586">
        <v>0.25</v>
      </c>
      <c r="Z41" s="586">
        <v>0.25</v>
      </c>
    </row>
    <row r="42" spans="1:26">
      <c r="A42" s="601" t="s">
        <v>767</v>
      </c>
      <c r="B42" s="594">
        <f t="shared" ref="B42:V42" si="36">$B$208</f>
        <v>0</v>
      </c>
      <c r="C42" s="594">
        <f t="shared" si="36"/>
        <v>0</v>
      </c>
      <c r="D42" s="594">
        <f t="shared" si="36"/>
        <v>0</v>
      </c>
      <c r="E42" s="594">
        <f t="shared" si="36"/>
        <v>0</v>
      </c>
      <c r="F42" s="594">
        <f t="shared" si="36"/>
        <v>0</v>
      </c>
      <c r="G42" s="594">
        <f t="shared" si="36"/>
        <v>0</v>
      </c>
      <c r="H42" s="594">
        <f t="shared" si="36"/>
        <v>0</v>
      </c>
      <c r="I42" s="594">
        <f t="shared" si="36"/>
        <v>0</v>
      </c>
      <c r="J42" s="594">
        <f t="shared" si="36"/>
        <v>0</v>
      </c>
      <c r="K42" s="594">
        <f t="shared" si="36"/>
        <v>0</v>
      </c>
      <c r="L42" s="594">
        <f t="shared" si="36"/>
        <v>0</v>
      </c>
      <c r="M42" s="594">
        <f t="shared" si="36"/>
        <v>0</v>
      </c>
      <c r="N42" s="594">
        <f t="shared" si="36"/>
        <v>0</v>
      </c>
      <c r="O42" s="594">
        <f t="shared" si="36"/>
        <v>0</v>
      </c>
      <c r="P42" s="594">
        <f t="shared" si="36"/>
        <v>0</v>
      </c>
      <c r="Q42" s="594">
        <f t="shared" si="36"/>
        <v>0</v>
      </c>
      <c r="R42" s="594">
        <f t="shared" si="36"/>
        <v>0</v>
      </c>
      <c r="S42" s="594">
        <f t="shared" si="36"/>
        <v>0</v>
      </c>
      <c r="T42" s="594">
        <f t="shared" si="36"/>
        <v>0</v>
      </c>
      <c r="U42" s="594">
        <f t="shared" si="36"/>
        <v>0</v>
      </c>
      <c r="V42" s="594">
        <f t="shared" si="36"/>
        <v>0</v>
      </c>
      <c r="X42" s="586">
        <v>0.25</v>
      </c>
      <c r="Y42" s="586">
        <v>0.25</v>
      </c>
      <c r="Z42" s="586">
        <v>0.25</v>
      </c>
    </row>
    <row r="43" spans="1:26">
      <c r="A43" s="601" t="s">
        <v>768</v>
      </c>
      <c r="B43" s="583" t="n">
        <v>0.3</v>
      </c>
      <c r="C43" s="583" t="n">
        <v>0.3</v>
      </c>
      <c r="D43" s="583" t="n">
        <v>0.3</v>
      </c>
      <c r="E43" s="583" t="n">
        <v>0.3</v>
      </c>
      <c r="F43" s="583" t="n">
        <v>0.3</v>
      </c>
      <c r="G43" s="583" t="n">
        <v>0.3</v>
      </c>
      <c r="H43" s="583" t="n">
        <v>0.3</v>
      </c>
      <c r="I43" s="583">
        <v>0.3</v>
      </c>
      <c r="J43" s="583">
        <v>0.3</v>
      </c>
      <c r="K43" s="583">
        <v>0.3</v>
      </c>
      <c r="L43" s="583">
        <v>0.3</v>
      </c>
      <c r="M43" s="583">
        <v>0.3</v>
      </c>
      <c r="N43" s="583">
        <v>0.3</v>
      </c>
      <c r="O43" s="583">
        <v>0.3</v>
      </c>
      <c r="P43" s="583">
        <v>0.3</v>
      </c>
      <c r="Q43" s="583">
        <v>0.3</v>
      </c>
      <c r="R43" s="583">
        <v>0.3</v>
      </c>
      <c r="S43" s="583">
        <v>0.3</v>
      </c>
      <c r="T43" s="583">
        <v>0.3</v>
      </c>
      <c r="U43" s="583">
        <v>0.3</v>
      </c>
      <c r="V43" s="583">
        <v>0.3</v>
      </c>
      <c r="X43" s="583">
        <v>0.3</v>
      </c>
      <c r="Y43" s="583">
        <v>0.3</v>
      </c>
      <c r="Z43" s="583">
        <v>0.3</v>
      </c>
    </row>
    <row r="44" spans="1:26">
      <c r="A44" s="601" t="s">
        <v>769</v>
      </c>
      <c r="B44" s="583" t="n">
        <v>0.55</v>
      </c>
      <c r="C44" s="583" t="n">
        <v>0.55</v>
      </c>
      <c r="D44" s="583" t="n">
        <v>0.55</v>
      </c>
      <c r="E44" s="583" t="n">
        <v>0.55</v>
      </c>
      <c r="F44" s="583" t="n">
        <v>0.55</v>
      </c>
      <c r="G44" s="583" t="n">
        <v>0.55</v>
      </c>
      <c r="H44" s="583" t="n">
        <v>0.55</v>
      </c>
      <c r="I44" s="583">
        <v>0.55000000000000004</v>
      </c>
      <c r="J44" s="583">
        <v>0.55000000000000004</v>
      </c>
      <c r="K44" s="583">
        <v>0.55000000000000004</v>
      </c>
      <c r="L44" s="583">
        <v>0.55000000000000004</v>
      </c>
      <c r="M44" s="583">
        <v>0.55000000000000004</v>
      </c>
      <c r="N44" s="583">
        <v>0.55000000000000004</v>
      </c>
      <c r="O44" s="583">
        <v>0.55000000000000004</v>
      </c>
      <c r="P44" s="583">
        <v>0.55000000000000004</v>
      </c>
      <c r="Q44" s="583">
        <v>0.55000000000000004</v>
      </c>
      <c r="R44" s="583">
        <v>0.55000000000000004</v>
      </c>
      <c r="S44" s="583">
        <v>0.55000000000000004</v>
      </c>
      <c r="T44" s="583">
        <v>0.55000000000000004</v>
      </c>
      <c r="U44" s="583">
        <v>0.55000000000000004</v>
      </c>
      <c r="V44" s="583">
        <v>0.55000000000000004</v>
      </c>
      <c r="X44" s="583">
        <v>0.55000000000000004</v>
      </c>
      <c r="Y44" s="583">
        <v>0.55000000000000004</v>
      </c>
      <c r="Z44" s="583">
        <v>0.55000000000000004</v>
      </c>
    </row>
    <row r="45" spans="1:26">
      <c r="A45" s="601" t="s">
        <v>770</v>
      </c>
      <c r="B45" s="583" t="n">
        <v>0.15</v>
      </c>
      <c r="C45" s="583" t="n">
        <v>0.15</v>
      </c>
      <c r="D45" s="583" t="n">
        <v>0.15</v>
      </c>
      <c r="E45" s="583" t="n">
        <v>0.15</v>
      </c>
      <c r="F45" s="583" t="n">
        <v>0.15</v>
      </c>
      <c r="G45" s="583" t="n">
        <v>0.15</v>
      </c>
      <c r="H45" s="583" t="n">
        <v>0.15</v>
      </c>
      <c r="I45" s="583">
        <v>0.15</v>
      </c>
      <c r="J45" s="583">
        <v>0.15</v>
      </c>
      <c r="K45" s="583">
        <v>0.15</v>
      </c>
      <c r="L45" s="583">
        <v>0.15</v>
      </c>
      <c r="M45" s="583">
        <v>0.15</v>
      </c>
      <c r="N45" s="583">
        <v>0.15</v>
      </c>
      <c r="O45" s="583">
        <v>0.15</v>
      </c>
      <c r="P45" s="583">
        <v>0.15</v>
      </c>
      <c r="Q45" s="583">
        <v>0.15</v>
      </c>
      <c r="R45" s="583">
        <v>0.15</v>
      </c>
      <c r="S45" s="583">
        <v>0.15</v>
      </c>
      <c r="T45" s="583">
        <v>0.15</v>
      </c>
      <c r="U45" s="583">
        <v>0.15</v>
      </c>
      <c r="V45" s="583">
        <v>0.15</v>
      </c>
      <c r="X45" s="583">
        <v>0.15</v>
      </c>
      <c r="Y45" s="583">
        <v>0.15</v>
      </c>
      <c r="Z45" s="583">
        <v>0.15</v>
      </c>
    </row>
    <row r="46" spans="1:26">
      <c r="A46" s="601" t="s">
        <v>771</v>
      </c>
      <c r="B46" s="594">
        <f t="shared" ref="B46:V46" si="37">B40*B43+B41*B44+B42*B45</f>
        <v>0</v>
      </c>
      <c r="C46" s="594">
        <f t="shared" si="37"/>
        <v>0</v>
      </c>
      <c r="D46" s="594">
        <f t="shared" si="37"/>
        <v>0</v>
      </c>
      <c r="E46" s="594">
        <f t="shared" si="37"/>
        <v>0</v>
      </c>
      <c r="F46" s="594">
        <f t="shared" si="37"/>
        <v>0</v>
      </c>
      <c r="G46" s="594">
        <f t="shared" si="37"/>
        <v>0</v>
      </c>
      <c r="H46" s="594">
        <f t="shared" si="37"/>
        <v>0</v>
      </c>
      <c r="I46" s="594">
        <f t="shared" si="37"/>
        <v>0</v>
      </c>
      <c r="J46" s="594">
        <f t="shared" si="37"/>
        <v>0</v>
      </c>
      <c r="K46" s="594">
        <f t="shared" si="37"/>
        <v>0</v>
      </c>
      <c r="L46" s="594">
        <f t="shared" si="37"/>
        <v>0</v>
      </c>
      <c r="M46" s="594">
        <f t="shared" si="37"/>
        <v>0</v>
      </c>
      <c r="N46" s="594">
        <f t="shared" si="37"/>
        <v>0</v>
      </c>
      <c r="O46" s="594">
        <f t="shared" si="37"/>
        <v>0</v>
      </c>
      <c r="P46" s="594">
        <f t="shared" si="37"/>
        <v>0</v>
      </c>
      <c r="Q46" s="594">
        <f t="shared" si="37"/>
        <v>0</v>
      </c>
      <c r="R46" s="594">
        <f t="shared" si="37"/>
        <v>0</v>
      </c>
      <c r="S46" s="594">
        <f t="shared" si="37"/>
        <v>0</v>
      </c>
      <c r="T46" s="594">
        <f t="shared" si="37"/>
        <v>0</v>
      </c>
      <c r="U46" s="594">
        <f t="shared" si="37"/>
        <v>0</v>
      </c>
      <c r="V46" s="594">
        <f t="shared" si="37"/>
        <v>0</v>
      </c>
      <c r="X46" s="594">
        <f>X40*X43+X41*X44+X42*X45</f>
        <v>0.25</v>
      </c>
      <c r="Y46" s="594">
        <f>Y40*Y43+Y41*Y44+Y42*Y45</f>
        <v>0.25</v>
      </c>
      <c r="Z46" s="594">
        <f>Z40*Z43+Z41*Z44+Z42*Z45</f>
        <v>0.25</v>
      </c>
    </row>
    <row r="47" spans="1:26">
      <c r="A47" s="601" t="s">
        <v>772</v>
      </c>
      <c r="B47" s="592">
        <f t="shared" ref="B47:V47" si="38">$B$209</f>
        <v>0</v>
      </c>
      <c r="C47" s="592">
        <f t="shared" si="38"/>
        <v>0</v>
      </c>
      <c r="D47" s="592">
        <f t="shared" si="38"/>
        <v>0</v>
      </c>
      <c r="E47" s="592">
        <f t="shared" si="38"/>
        <v>0</v>
      </c>
      <c r="F47" s="592">
        <f t="shared" si="38"/>
        <v>0</v>
      </c>
      <c r="G47" s="592">
        <f t="shared" si="38"/>
        <v>0</v>
      </c>
      <c r="H47" s="592">
        <f t="shared" si="38"/>
        <v>0</v>
      </c>
      <c r="I47" s="592">
        <f t="shared" si="38"/>
        <v>0</v>
      </c>
      <c r="J47" s="592">
        <f t="shared" si="38"/>
        <v>0</v>
      </c>
      <c r="K47" s="592">
        <f t="shared" si="38"/>
        <v>0</v>
      </c>
      <c r="L47" s="592">
        <f t="shared" si="38"/>
        <v>0</v>
      </c>
      <c r="M47" s="592">
        <f t="shared" si="38"/>
        <v>0</v>
      </c>
      <c r="N47" s="592">
        <f t="shared" si="38"/>
        <v>0</v>
      </c>
      <c r="O47" s="592">
        <f t="shared" si="38"/>
        <v>0</v>
      </c>
      <c r="P47" s="592">
        <f t="shared" si="38"/>
        <v>0</v>
      </c>
      <c r="Q47" s="592">
        <f t="shared" si="38"/>
        <v>0</v>
      </c>
      <c r="R47" s="592">
        <f t="shared" si="38"/>
        <v>0</v>
      </c>
      <c r="S47" s="592">
        <f t="shared" si="38"/>
        <v>0</v>
      </c>
      <c r="T47" s="592">
        <f t="shared" si="38"/>
        <v>0</v>
      </c>
      <c r="U47" s="592">
        <f t="shared" si="38"/>
        <v>0</v>
      </c>
      <c r="V47" s="592">
        <f t="shared" si="38"/>
        <v>0</v>
      </c>
      <c r="X47" s="584">
        <v>0</v>
      </c>
      <c r="Y47" s="584">
        <v>0</v>
      </c>
      <c r="Z47" s="584">
        <v>0</v>
      </c>
    </row>
    <row r="48" spans="1:26">
      <c r="A48" s="601" t="s">
        <v>773</v>
      </c>
      <c r="B48" s="592">
        <f t="shared" ref="B48:V48" si="39">$B$210</f>
        <v>0</v>
      </c>
      <c r="C48" s="592">
        <f t="shared" si="39"/>
        <v>0</v>
      </c>
      <c r="D48" s="592">
        <f t="shared" si="39"/>
        <v>0</v>
      </c>
      <c r="E48" s="592">
        <f t="shared" si="39"/>
        <v>0</v>
      </c>
      <c r="F48" s="592">
        <f t="shared" si="39"/>
        <v>0</v>
      </c>
      <c r="G48" s="592">
        <f t="shared" si="39"/>
        <v>0</v>
      </c>
      <c r="H48" s="592">
        <f t="shared" si="39"/>
        <v>0</v>
      </c>
      <c r="I48" s="592">
        <f t="shared" si="39"/>
        <v>0</v>
      </c>
      <c r="J48" s="592">
        <f t="shared" si="39"/>
        <v>0</v>
      </c>
      <c r="K48" s="592">
        <f t="shared" si="39"/>
        <v>0</v>
      </c>
      <c r="L48" s="592">
        <f t="shared" si="39"/>
        <v>0</v>
      </c>
      <c r="M48" s="592">
        <f t="shared" si="39"/>
        <v>0</v>
      </c>
      <c r="N48" s="592">
        <f t="shared" si="39"/>
        <v>0</v>
      </c>
      <c r="O48" s="592">
        <f t="shared" si="39"/>
        <v>0</v>
      </c>
      <c r="P48" s="592">
        <f t="shared" si="39"/>
        <v>0</v>
      </c>
      <c r="Q48" s="592">
        <f t="shared" si="39"/>
        <v>0</v>
      </c>
      <c r="R48" s="592">
        <f t="shared" si="39"/>
        <v>0</v>
      </c>
      <c r="S48" s="592">
        <f t="shared" si="39"/>
        <v>0</v>
      </c>
      <c r="T48" s="592">
        <f t="shared" si="39"/>
        <v>0</v>
      </c>
      <c r="U48" s="592">
        <f t="shared" si="39"/>
        <v>0</v>
      </c>
      <c r="V48" s="592">
        <f t="shared" si="39"/>
        <v>0</v>
      </c>
      <c r="X48" s="584">
        <v>0</v>
      </c>
      <c r="Y48" s="584">
        <v>0</v>
      </c>
      <c r="Z48" s="584">
        <v>0</v>
      </c>
    </row>
    <row r="49" spans="1:26" ht="30">
      <c r="A49" s="601" t="s">
        <v>774</v>
      </c>
      <c r="B49" s="588">
        <f t="shared" ref="B49:V49" si="40">$B$211</f>
        <v>0</v>
      </c>
      <c r="C49" s="588">
        <f t="shared" si="40"/>
        <v>0</v>
      </c>
      <c r="D49" s="588">
        <f t="shared" si="40"/>
        <v>0</v>
      </c>
      <c r="E49" s="588">
        <f t="shared" si="40"/>
        <v>0</v>
      </c>
      <c r="F49" s="588">
        <f t="shared" si="40"/>
        <v>0</v>
      </c>
      <c r="G49" s="588">
        <f t="shared" si="40"/>
        <v>0</v>
      </c>
      <c r="H49" s="588">
        <f t="shared" si="40"/>
        <v>0</v>
      </c>
      <c r="I49" s="588">
        <f t="shared" si="40"/>
        <v>0</v>
      </c>
      <c r="J49" s="588">
        <f t="shared" si="40"/>
        <v>0</v>
      </c>
      <c r="K49" s="588">
        <f t="shared" si="40"/>
        <v>0</v>
      </c>
      <c r="L49" s="588">
        <f t="shared" si="40"/>
        <v>0</v>
      </c>
      <c r="M49" s="588">
        <f t="shared" si="40"/>
        <v>0</v>
      </c>
      <c r="N49" s="588">
        <f t="shared" si="40"/>
        <v>0</v>
      </c>
      <c r="O49" s="588">
        <f t="shared" si="40"/>
        <v>0</v>
      </c>
      <c r="P49" s="588">
        <f t="shared" si="40"/>
        <v>0</v>
      </c>
      <c r="Q49" s="588">
        <f t="shared" si="40"/>
        <v>0</v>
      </c>
      <c r="R49" s="588">
        <f t="shared" si="40"/>
        <v>0</v>
      </c>
      <c r="S49" s="588">
        <f t="shared" si="40"/>
        <v>0</v>
      </c>
      <c r="T49" s="588">
        <f t="shared" si="40"/>
        <v>0</v>
      </c>
      <c r="U49" s="588">
        <f t="shared" si="40"/>
        <v>0</v>
      </c>
      <c r="V49" s="588">
        <f t="shared" si="40"/>
        <v>0</v>
      </c>
      <c r="X49" s="581">
        <v>0</v>
      </c>
      <c r="Y49" s="581">
        <v>0</v>
      </c>
      <c r="Z49" s="581">
        <v>0</v>
      </c>
    </row>
    <row r="50" spans="1:26">
      <c r="A50" s="601" t="s">
        <v>775</v>
      </c>
      <c r="B50" s="592">
        <f t="shared" ref="B50:V50" si="41">$B$212</f>
        <v>0</v>
      </c>
      <c r="C50" s="592">
        <f t="shared" si="41"/>
        <v>0</v>
      </c>
      <c r="D50" s="592">
        <f t="shared" si="41"/>
        <v>0</v>
      </c>
      <c r="E50" s="592">
        <f t="shared" si="41"/>
        <v>0</v>
      </c>
      <c r="F50" s="592">
        <f t="shared" si="41"/>
        <v>0</v>
      </c>
      <c r="G50" s="592">
        <f t="shared" si="41"/>
        <v>0</v>
      </c>
      <c r="H50" s="592">
        <f t="shared" si="41"/>
        <v>0</v>
      </c>
      <c r="I50" s="592">
        <f t="shared" si="41"/>
        <v>0</v>
      </c>
      <c r="J50" s="592">
        <f t="shared" si="41"/>
        <v>0</v>
      </c>
      <c r="K50" s="592">
        <f t="shared" si="41"/>
        <v>0</v>
      </c>
      <c r="L50" s="592">
        <f t="shared" si="41"/>
        <v>0</v>
      </c>
      <c r="M50" s="592">
        <f t="shared" si="41"/>
        <v>0</v>
      </c>
      <c r="N50" s="592">
        <f t="shared" si="41"/>
        <v>0</v>
      </c>
      <c r="O50" s="592">
        <f t="shared" si="41"/>
        <v>0</v>
      </c>
      <c r="P50" s="592">
        <f t="shared" si="41"/>
        <v>0</v>
      </c>
      <c r="Q50" s="592">
        <f t="shared" si="41"/>
        <v>0</v>
      </c>
      <c r="R50" s="592">
        <f t="shared" si="41"/>
        <v>0</v>
      </c>
      <c r="S50" s="592">
        <f t="shared" si="41"/>
        <v>0</v>
      </c>
      <c r="T50" s="592">
        <f t="shared" si="41"/>
        <v>0</v>
      </c>
      <c r="U50" s="592">
        <f t="shared" si="41"/>
        <v>0</v>
      </c>
      <c r="V50" s="592">
        <f t="shared" si="41"/>
        <v>0</v>
      </c>
      <c r="X50" s="584">
        <v>0</v>
      </c>
      <c r="Y50" s="584">
        <v>0</v>
      </c>
      <c r="Z50" s="584">
        <v>0</v>
      </c>
    </row>
    <row r="51" spans="1:26">
      <c r="A51" s="601" t="s">
        <v>776</v>
      </c>
      <c r="B51" s="585" t="n">
        <v>4</v>
      </c>
      <c r="C51" s="585" t="n">
        <v>4</v>
      </c>
      <c r="D51" s="585" t="n">
        <v>4</v>
      </c>
      <c r="E51" s="585" t="n">
        <v>4</v>
      </c>
      <c r="F51" s="585" t="n">
        <v>4</v>
      </c>
      <c r="G51" s="585" t="n">
        <v>4</v>
      </c>
      <c r="H51" s="585" t="n">
        <v>4</v>
      </c>
      <c r="I51" s="585">
        <v>4</v>
      </c>
      <c r="J51" s="585">
        <v>4</v>
      </c>
      <c r="K51" s="585">
        <v>4</v>
      </c>
      <c r="L51" s="585">
        <v>4</v>
      </c>
      <c r="M51" s="585">
        <v>4</v>
      </c>
      <c r="N51" s="585">
        <v>4</v>
      </c>
      <c r="O51" s="585">
        <v>4</v>
      </c>
      <c r="P51" s="585">
        <v>4</v>
      </c>
      <c r="Q51" s="585">
        <v>4</v>
      </c>
      <c r="R51" s="585">
        <v>4</v>
      </c>
      <c r="S51" s="585">
        <v>4</v>
      </c>
      <c r="T51" s="585">
        <v>4</v>
      </c>
      <c r="U51" s="585">
        <v>4</v>
      </c>
      <c r="V51" s="585">
        <v>4</v>
      </c>
      <c r="X51" s="585">
        <v>4</v>
      </c>
      <c r="Y51" s="585">
        <v>4</v>
      </c>
      <c r="Z51" s="585">
        <v>4</v>
      </c>
    </row>
    <row r="52" spans="1:26">
      <c r="A52" s="601" t="s">
        <v>777</v>
      </c>
      <c r="B52" s="583" t="n">
        <v>0.2</v>
      </c>
      <c r="C52" s="583" t="n">
        <v>0.2</v>
      </c>
      <c r="D52" s="583" t="n">
        <v>0.2</v>
      </c>
      <c r="E52" s="583" t="n">
        <v>0.2</v>
      </c>
      <c r="F52" s="583" t="n">
        <v>0.2</v>
      </c>
      <c r="G52" s="583" t="n">
        <v>0.2</v>
      </c>
      <c r="H52" s="583" t="n">
        <v>0.2</v>
      </c>
      <c r="I52" s="583">
        <v>0.2</v>
      </c>
      <c r="J52" s="583">
        <v>0.2</v>
      </c>
      <c r="K52" s="583">
        <v>0.2</v>
      </c>
      <c r="L52" s="583">
        <v>0.2</v>
      </c>
      <c r="M52" s="583">
        <v>0.2</v>
      </c>
      <c r="N52" s="583">
        <v>0.2</v>
      </c>
      <c r="O52" s="583">
        <v>0.2</v>
      </c>
      <c r="P52" s="583">
        <v>0.2</v>
      </c>
      <c r="Q52" s="583">
        <v>0.2</v>
      </c>
      <c r="R52" s="583">
        <v>0.2</v>
      </c>
      <c r="S52" s="583">
        <v>0.2</v>
      </c>
      <c r="T52" s="583">
        <v>0.2</v>
      </c>
      <c r="U52" s="583">
        <v>0.2</v>
      </c>
      <c r="V52" s="583">
        <v>0.2</v>
      </c>
      <c r="X52" s="583">
        <v>0.2</v>
      </c>
      <c r="Y52" s="583">
        <v>0.2</v>
      </c>
      <c r="Z52" s="583">
        <v>0.2</v>
      </c>
    </row>
    <row r="53" spans="1:26" ht="30">
      <c r="A53" s="601" t="s">
        <v>778</v>
      </c>
      <c r="B53" s="580" t="inlineStr">
        <is>
          <t xml:space="preserve">Yes</t>
        </is>
      </c>
      <c r="C53" s="580" t="inlineStr">
        <is>
          <t xml:space="preserve">Yes</t>
        </is>
      </c>
      <c r="D53" s="580" t="inlineStr">
        <is>
          <t xml:space="preserve">Yes</t>
        </is>
      </c>
      <c r="E53" s="580" t="inlineStr">
        <is>
          <t xml:space="preserve">Yes</t>
        </is>
      </c>
      <c r="F53" s="580" t="inlineStr">
        <is>
          <t xml:space="preserve">Yes</t>
        </is>
      </c>
      <c r="G53" s="580" t="inlineStr">
        <is>
          <t xml:space="preserve">Yes</t>
        </is>
      </c>
      <c r="H53" s="580" t="inlineStr">
        <is>
          <t xml:space="preserve">Yes</t>
        </is>
      </c>
      <c r="I53" s="580" t="s">
        <v>779</v>
      </c>
      <c r="J53" s="580" t="s">
        <v>779</v>
      </c>
      <c r="K53" s="580" t="s">
        <v>779</v>
      </c>
      <c r="L53" s="580" t="s">
        <v>779</v>
      </c>
      <c r="M53" s="580" t="s">
        <v>779</v>
      </c>
      <c r="N53" s="580" t="s">
        <v>779</v>
      </c>
      <c r="O53" s="580" t="s">
        <v>779</v>
      </c>
      <c r="P53" s="580" t="s">
        <v>779</v>
      </c>
      <c r="Q53" s="580" t="s">
        <v>779</v>
      </c>
      <c r="R53" s="580" t="s">
        <v>779</v>
      </c>
      <c r="S53" s="580" t="s">
        <v>779</v>
      </c>
      <c r="T53" s="580" t="s">
        <v>779</v>
      </c>
      <c r="U53" s="580" t="s">
        <v>779</v>
      </c>
      <c r="V53" s="580" t="s">
        <v>779</v>
      </c>
      <c r="X53" s="580" t="s">
        <v>779</v>
      </c>
      <c r="Y53" s="580" t="s">
        <v>779</v>
      </c>
      <c r="Z53" s="580" t="s">
        <v>779</v>
      </c>
    </row>
    <row r="54" spans="1:26">
      <c r="A54" s="601" t="s">
        <v>780</v>
      </c>
      <c r="B54" s="581" t="n">
        <v>1</v>
      </c>
      <c r="C54" s="581" t="n">
        <v>1</v>
      </c>
      <c r="D54" s="581" t="n">
        <v>1</v>
      </c>
      <c r="E54" s="581" t="n">
        <v>1</v>
      </c>
      <c r="F54" s="581" t="n">
        <v>1</v>
      </c>
      <c r="G54" s="581" t="n">
        <v>1</v>
      </c>
      <c r="H54" s="581" t="n">
        <v>1</v>
      </c>
      <c r="I54" s="581">
        <v>1</v>
      </c>
      <c r="J54" s="581">
        <v>1</v>
      </c>
      <c r="K54" s="581">
        <v>1</v>
      </c>
      <c r="L54" s="581">
        <v>1</v>
      </c>
      <c r="M54" s="581">
        <v>1</v>
      </c>
      <c r="N54" s="581">
        <v>1</v>
      </c>
      <c r="O54" s="581">
        <v>1</v>
      </c>
      <c r="P54" s="581">
        <v>1</v>
      </c>
      <c r="Q54" s="581">
        <v>1</v>
      </c>
      <c r="R54" s="581">
        <v>1</v>
      </c>
      <c r="S54" s="581">
        <v>1</v>
      </c>
      <c r="T54" s="581">
        <v>1</v>
      </c>
      <c r="U54" s="581">
        <v>1</v>
      </c>
      <c r="V54" s="581">
        <v>1</v>
      </c>
      <c r="X54" s="581">
        <v>1</v>
      </c>
      <c r="Y54" s="581">
        <v>1</v>
      </c>
      <c r="Z54" s="581">
        <v>1</v>
      </c>
    </row>
    <row r="55" spans="1:26">
      <c r="A55" s="601" t="s">
        <v>781</v>
      </c>
      <c r="B55" s="583" t="n">
        <v>0.5</v>
      </c>
      <c r="C55" s="583" t="n">
        <v>0.5</v>
      </c>
      <c r="D55" s="583" t="n">
        <v>0.5</v>
      </c>
      <c r="E55" s="583" t="n">
        <v>0.5</v>
      </c>
      <c r="F55" s="583" t="n">
        <v>0.5</v>
      </c>
      <c r="G55" s="583" t="n">
        <v>0.5</v>
      </c>
      <c r="H55" s="583" t="n">
        <v>0.5</v>
      </c>
      <c r="I55" s="583">
        <v>0.5</v>
      </c>
      <c r="J55" s="583">
        <v>0.5</v>
      </c>
      <c r="K55" s="583">
        <v>0.5</v>
      </c>
      <c r="L55" s="583">
        <v>0.5</v>
      </c>
      <c r="M55" s="583">
        <v>0.5</v>
      </c>
      <c r="N55" s="583">
        <v>0.5</v>
      </c>
      <c r="O55" s="583">
        <v>0.5</v>
      </c>
      <c r="P55" s="583">
        <v>0.5</v>
      </c>
      <c r="Q55" s="583">
        <v>0.5</v>
      </c>
      <c r="R55" s="583">
        <v>0.5</v>
      </c>
      <c r="S55" s="583">
        <v>0.5</v>
      </c>
      <c r="T55" s="583">
        <v>0.5</v>
      </c>
      <c r="U55" s="583">
        <v>0.5</v>
      </c>
      <c r="V55" s="583">
        <v>0.5</v>
      </c>
      <c r="X55" s="583">
        <v>0.5</v>
      </c>
      <c r="Y55" s="583">
        <v>0.5</v>
      </c>
      <c r="Z55" s="583">
        <v>0.5</v>
      </c>
    </row>
    <row r="56" spans="1:26">
      <c r="A56" s="601" t="s">
        <v>782</v>
      </c>
      <c r="B56" s="583" t="n">
        <v>0.75</v>
      </c>
      <c r="C56" s="583" t="n">
        <v>0.75</v>
      </c>
      <c r="D56" s="583" t="n">
        <v>0.75</v>
      </c>
      <c r="E56" s="583" t="n">
        <v>0.75</v>
      </c>
      <c r="F56" s="583" t="n">
        <v>0.75</v>
      </c>
      <c r="G56" s="583" t="n">
        <v>0.75</v>
      </c>
      <c r="H56" s="583" t="n">
        <v>0.75</v>
      </c>
      <c r="I56" s="583">
        <v>0.75</v>
      </c>
      <c r="J56" s="583">
        <v>0.75</v>
      </c>
      <c r="K56" s="583">
        <v>0.75</v>
      </c>
      <c r="L56" s="583">
        <v>0.75</v>
      </c>
      <c r="M56" s="583">
        <v>0.75</v>
      </c>
      <c r="N56" s="583">
        <v>0.75</v>
      </c>
      <c r="O56" s="583">
        <v>0.75</v>
      </c>
      <c r="P56" s="583">
        <v>0.75</v>
      </c>
      <c r="Q56" s="583">
        <v>0.75</v>
      </c>
      <c r="R56" s="583">
        <v>0.75</v>
      </c>
      <c r="S56" s="583">
        <v>0.75</v>
      </c>
      <c r="T56" s="583">
        <v>0.75</v>
      </c>
      <c r="U56" s="583">
        <v>0.75</v>
      </c>
      <c r="V56" s="583">
        <v>0.75</v>
      </c>
      <c r="X56" s="583">
        <v>0.75</v>
      </c>
      <c r="Y56" s="583">
        <v>0.75</v>
      </c>
      <c r="Z56" s="583">
        <v>0.75</v>
      </c>
    </row>
    <row r="57" spans="1:26">
      <c r="A57" s="601" t="s">
        <v>783</v>
      </c>
      <c r="B57" s="583" t="n">
        <v>1</v>
      </c>
      <c r="C57" s="583" t="n">
        <v>1</v>
      </c>
      <c r="D57" s="583" t="n">
        <v>1</v>
      </c>
      <c r="E57" s="583" t="n">
        <v>1</v>
      </c>
      <c r="F57" s="583" t="n">
        <v>1</v>
      </c>
      <c r="G57" s="583" t="n">
        <v>1</v>
      </c>
      <c r="H57" s="583" t="n">
        <v>1</v>
      </c>
      <c r="I57" s="583">
        <v>1</v>
      </c>
      <c r="J57" s="583">
        <v>1</v>
      </c>
      <c r="K57" s="583">
        <v>1</v>
      </c>
      <c r="L57" s="583">
        <v>1</v>
      </c>
      <c r="M57" s="583">
        <v>1</v>
      </c>
      <c r="N57" s="583">
        <v>1</v>
      </c>
      <c r="O57" s="583">
        <v>1</v>
      </c>
      <c r="P57" s="583">
        <v>1</v>
      </c>
      <c r="Q57" s="583">
        <v>1</v>
      </c>
      <c r="R57" s="583">
        <v>1</v>
      </c>
      <c r="S57" s="583">
        <v>1</v>
      </c>
      <c r="T57" s="583">
        <v>1</v>
      </c>
      <c r="U57" s="583">
        <v>1</v>
      </c>
      <c r="V57" s="583">
        <v>1</v>
      </c>
      <c r="X57" s="583">
        <v>1</v>
      </c>
      <c r="Y57" s="583">
        <v>1</v>
      </c>
      <c r="Z57" s="583">
        <v>1</v>
      </c>
    </row>
    <row r="58" spans="1:26">
      <c r="A58" s="601" t="s">
        <v>784</v>
      </c>
      <c r="B58" s="583" t="n">
        <v>0.06</v>
      </c>
      <c r="C58" s="583" t="n">
        <v>0.06</v>
      </c>
      <c r="D58" s="583" t="n">
        <v>0.06</v>
      </c>
      <c r="E58" s="583" t="n">
        <v>0.06</v>
      </c>
      <c r="F58" s="583" t="n">
        <v>0.06</v>
      </c>
      <c r="G58" s="583" t="n">
        <v>0.06</v>
      </c>
      <c r="H58" s="583" t="n">
        <v>0.06</v>
      </c>
      <c r="I58" s="583">
        <v>0.06</v>
      </c>
      <c r="J58" s="583">
        <v>0.06</v>
      </c>
      <c r="K58" s="583">
        <v>0.06</v>
      </c>
      <c r="L58" s="583">
        <v>0.06</v>
      </c>
      <c r="M58" s="583">
        <v>0.06</v>
      </c>
      <c r="N58" s="583">
        <v>0.06</v>
      </c>
      <c r="O58" s="583">
        <v>0.06</v>
      </c>
      <c r="P58" s="583">
        <v>0.06</v>
      </c>
      <c r="Q58" s="583">
        <v>0.06</v>
      </c>
      <c r="R58" s="583">
        <v>0.06</v>
      </c>
      <c r="S58" s="583">
        <v>0.06</v>
      </c>
      <c r="T58" s="583">
        <v>0.06</v>
      </c>
      <c r="U58" s="583">
        <v>0.06</v>
      </c>
      <c r="V58" s="583">
        <v>0.06</v>
      </c>
      <c r="X58" s="583">
        <v>0.06</v>
      </c>
      <c r="Y58" s="583">
        <v>0.06</v>
      </c>
      <c r="Z58" s="583">
        <v>0.06</v>
      </c>
    </row>
    <row r="59" spans="1:26">
      <c r="A59" s="601" t="s">
        <v>785</v>
      </c>
      <c r="B59" s="581" t="n">
        <v>5</v>
      </c>
      <c r="C59" s="581" t="n">
        <v>5</v>
      </c>
      <c r="D59" s="581" t="n">
        <v>5</v>
      </c>
      <c r="E59" s="581" t="n">
        <v>5</v>
      </c>
      <c r="F59" s="581" t="n">
        <v>5</v>
      </c>
      <c r="G59" s="581" t="n">
        <v>5</v>
      </c>
      <c r="H59" s="581" t="n">
        <v>5</v>
      </c>
      <c r="I59" s="581">
        <v>5</v>
      </c>
      <c r="J59" s="581">
        <v>5</v>
      </c>
      <c r="K59" s="581">
        <v>5</v>
      </c>
      <c r="L59" s="581">
        <v>5</v>
      </c>
      <c r="M59" s="581">
        <v>5</v>
      </c>
      <c r="N59" s="581">
        <v>5</v>
      </c>
      <c r="O59" s="581">
        <v>5</v>
      </c>
      <c r="P59" s="581">
        <v>5</v>
      </c>
      <c r="Q59" s="581">
        <v>5</v>
      </c>
      <c r="R59" s="581">
        <v>5</v>
      </c>
      <c r="S59" s="581">
        <v>5</v>
      </c>
      <c r="T59" s="581">
        <v>5</v>
      </c>
      <c r="U59" s="581">
        <v>5</v>
      </c>
      <c r="V59" s="581">
        <v>5</v>
      </c>
      <c r="X59" s="581">
        <v>5</v>
      </c>
      <c r="Y59" s="581">
        <v>5</v>
      </c>
      <c r="Z59" s="581">
        <v>5</v>
      </c>
    </row>
    <row r="60" spans="1:26" ht="30">
      <c r="A60" s="601" t="s">
        <v>786</v>
      </c>
      <c r="B60" s="592">
        <f>SUMPRODUCT('CTX Price Book'!$C$135:$C$138,'CTX Price Book'!$F$135:$F$138)</f>
        <v>0</v>
      </c>
      <c r="C60" s="592">
        <f>'CTX Price Book'!$C$139*'CTX Price Book'!$F$139</f>
        <v>0</v>
      </c>
      <c r="D60" s="592">
        <f>'CTX Price Book'!$C$140*'CTX Price Book'!$F$140</f>
        <v>0</v>
      </c>
      <c r="E60" s="592">
        <f>'CTX Price Book'!$C$141*'CTX Price Book'!$F$141</f>
        <v>0</v>
      </c>
      <c r="F60" s="592">
        <f>'CTX Price Book'!$C$142*'CTX Price Book'!$F$142</f>
        <v>0</v>
      </c>
      <c r="G60" s="592">
        <f>'CTX Price Book'!$C$143*'CTX Price Book'!$F$143</f>
        <v>0</v>
      </c>
      <c r="H60" s="592">
        <f>'CTX Price Book'!$C$144*'CTX Price Book'!$F$144</f>
        <v>0</v>
      </c>
      <c r="I60" s="592">
        <f>SUMPRODUCT('CTX Price Book'!$C$135:$C$138,'CTX Price Book'!$F$135:$F$138)</f>
        <v>0</v>
      </c>
      <c r="J60" s="592">
        <f>'CTX Price Book'!$C$139*'CTX Price Book'!$F$139</f>
        <v>0</v>
      </c>
      <c r="K60" s="592">
        <f>'CTX Price Book'!$C$140*'CTX Price Book'!$F$140</f>
        <v>0</v>
      </c>
      <c r="L60" s="592">
        <f>'CTX Price Book'!$C$141*'CTX Price Book'!$F$141</f>
        <v>0</v>
      </c>
      <c r="M60" s="592">
        <f>'CTX Price Book'!$C$142*'CTX Price Book'!$F$142</f>
        <v>0</v>
      </c>
      <c r="N60" s="592">
        <f>'CTX Price Book'!$C$143*'CTX Price Book'!$F$143</f>
        <v>0</v>
      </c>
      <c r="O60" s="592">
        <f>'CTX Price Book'!$C$144*'CTX Price Book'!$F$144</f>
        <v>0</v>
      </c>
      <c r="P60" s="592">
        <f>SUMPRODUCT('CTX Price Book'!$C$135:$C$138,'CTX Price Book'!$F$135:$F$138)</f>
        <v>0</v>
      </c>
      <c r="Q60" s="592">
        <f>'CTX Price Book'!$C$139*'CTX Price Book'!$F$139</f>
        <v>0</v>
      </c>
      <c r="R60" s="592">
        <f>'CTX Price Book'!$C$140*'CTX Price Book'!$F$140</f>
        <v>0</v>
      </c>
      <c r="S60" s="592">
        <f>'CTX Price Book'!$C$141*'CTX Price Book'!$F$141</f>
        <v>0</v>
      </c>
      <c r="T60" s="592">
        <f>'CTX Price Book'!$C$142*'CTX Price Book'!$F$142</f>
        <v>0</v>
      </c>
      <c r="U60" s="592">
        <f>'CTX Price Book'!$C$143*'CTX Price Book'!$F$143</f>
        <v>0</v>
      </c>
      <c r="V60" s="592">
        <f>'CTX Price Book'!$C$144*'CTX Price Book'!$F$144</f>
        <v>0</v>
      </c>
      <c r="X60" s="592">
        <f>SUMPRODUCT('CTX Price Book'!$C$135:$C$138,'CTX Price Book'!$F$135:$F$138)</f>
        <v>0</v>
      </c>
      <c r="Y60" s="592">
        <f>SUMPRODUCT('CTX Price Book'!$C$135:$C$138,'CTX Price Book'!$F$135:$F$138)</f>
        <v>0</v>
      </c>
      <c r="Z60" s="592">
        <f>SUMPRODUCT('CTX Price Book'!$C$135:$C$138,'CTX Price Book'!$F$135:$F$138)</f>
        <v>0</v>
      </c>
    </row>
    <row r="61" spans="1:26">
      <c r="A61" s="601" t="s">
        <v>787</v>
      </c>
      <c r="B61" s="592">
        <f>B6*39.99*12</f>
        <v>0</v>
      </c>
      <c r="C61" s="592">
        <f>C6*39.99*12</f>
        <v>0</v>
      </c>
      <c r="D61" s="592">
        <f>D6*39.99*12</f>
        <v>0</v>
      </c>
      <c r="E61" s="592">
        <f>E6*39.99*12</f>
        <v>0</v>
      </c>
      <c r="F61" s="592">
        <f>F6*39.99*12</f>
        <v>0</v>
      </c>
      <c r="G61" s="592">
        <f>G6*39.99*12</f>
        <v>0</v>
      </c>
      <c r="H61" s="592">
        <f>H6*39.99*12</f>
        <v>0</v>
      </c>
      <c r="I61" s="592">
        <f>I6*39.99*12</f>
        <v>0</v>
      </c>
      <c r="J61" s="592">
        <f>J6*39.99*12</f>
        <v>0</v>
      </c>
      <c r="K61" s="592">
        <f>K6*39.99*12</f>
        <v>0</v>
      </c>
      <c r="L61" s="592">
        <f>L6*39.99*12</f>
        <v>0</v>
      </c>
      <c r="M61" s="592">
        <f>M6*39.99*12</f>
        <v>0</v>
      </c>
      <c r="N61" s="592">
        <f>N6*39.99*12</f>
        <v>0</v>
      </c>
      <c r="O61" s="592">
        <f>O6*39.99*12</f>
        <v>0</v>
      </c>
      <c r="P61" s="592">
        <f>P6*39.99*12</f>
        <v>0</v>
      </c>
      <c r="Q61" s="592">
        <f>Q6*39.99*12</f>
        <v>0</v>
      </c>
      <c r="R61" s="592">
        <f>R6*39.99*12</f>
        <v>0</v>
      </c>
      <c r="S61" s="592">
        <f>S6*39.99*12</f>
        <v>0</v>
      </c>
      <c r="T61" s="592">
        <f>T6*39.99*12</f>
        <v>0</v>
      </c>
      <c r="U61" s="592">
        <f>U6*39.99*12</f>
        <v>0</v>
      </c>
      <c r="V61" s="592">
        <f>V6*39.99*12</f>
        <v>0</v>
      </c>
      <c r="X61" s="592">
        <f>X6*39.99*12</f>
        <v>0</v>
      </c>
      <c r="Y61" s="592">
        <f>Y6*39.99*12</f>
        <v>0</v>
      </c>
      <c r="Z61" s="592">
        <f>Z6*39.99*12</f>
        <v>0</v>
      </c>
    </row>
    <row r="64" spans="1:26" ht="30">
      <c r="A64" s="602" t="s">
        <v>788</v>
      </c>
      <c r="C64" s="76" t="s">
        <v>95</v>
      </c>
      <c r="D64" s="76" t="s">
        <v>96</v>
      </c>
      <c r="E64" s="76" t="s">
        <v>97</v>
      </c>
      <c r="F64" s="76" t="s">
        <v>98</v>
      </c>
      <c r="G64" s="76" t="s">
        <v>99</v>
      </c>
      <c r="H64" s="76" t="s">
        <v>100</v>
      </c>
    </row>
    <row r="65" spans="1:8">
      <c r="A65" s="601" t="s">
        <v>789</v>
      </c>
      <c r="C65" s="588">
        <f>SUM(C6:H6)</f>
        <v>0</v>
      </c>
      <c r="D65" s="588">
        <f>SUM(J6:O6)</f>
        <v>0</v>
      </c>
      <c r="E65" s="588">
        <f>SUM(Q6:V6)</f>
        <v>0</v>
      </c>
      <c r="F65" s="588">
        <v>0</v>
      </c>
      <c r="G65" s="588">
        <v>0</v>
      </c>
      <c r="H65" s="588">
        <v>0</v>
      </c>
    </row>
    <row r="66" spans="1:8">
      <c r="A66" s="601" t="s">
        <v>790</v>
      </c>
      <c r="C66" s="593">
        <f>IF(SUM(C6:H6)=0,0,SUMPRODUCT(C6:H6,C12:H12)/'INPUT SHEET'!$N$11)</f>
        <v>0</v>
      </c>
      <c r="D66" s="593">
        <f>IF(SUM(J6:O6)=0,0,SUMPRODUCT(J6:O6,J12:O12)/'INPUT SHEET'!$N$11)</f>
        <v>0</v>
      </c>
      <c r="E66" s="593">
        <f>IF(SUM(Q6:V6)=0,0,SUMPRODUCT(Q6:V6,Q12:V12)/'INPUT SHEET'!$N$11)</f>
        <v>0</v>
      </c>
      <c r="F66" s="593">
        <v>0</v>
      </c>
      <c r="G66" s="593">
        <v>0</v>
      </c>
      <c r="H66" s="593">
        <v>0</v>
      </c>
    </row>
    <row r="67" spans="1:8">
      <c r="A67" s="601" t="s">
        <v>791</v>
      </c>
      <c r="C67" s="588">
        <f>B6</f>
        <v>0</v>
      </c>
      <c r="D67" s="588">
        <f>I6</f>
        <v>0</v>
      </c>
      <c r="E67" s="588">
        <f>P6</f>
        <v>0</v>
      </c>
      <c r="F67" s="588">
        <f>X6</f>
        <v>0</v>
      </c>
      <c r="G67" s="588">
        <f>Y6</f>
        <v>0</v>
      </c>
      <c r="H67" s="588">
        <f>Z6</f>
        <v>0</v>
      </c>
    </row>
    <row r="68" spans="1:8">
      <c r="A68" s="601" t="s">
        <v>792</v>
      </c>
      <c r="C68" s="589">
        <f>IF('INPUT SHEET'!$N$11=0,0,B12/'INPUT SHEET'!$N$11)</f>
        <v>7.2</v>
      </c>
      <c r="D68" s="589">
        <f>IF('INPUT SHEET'!$N$11=0,0,I12/'INPUT SHEET'!$N$11)</f>
        <v>7.2</v>
      </c>
      <c r="E68" s="589">
        <f>IF('INPUT SHEET'!$N$11=0,0,P12/'INPUT SHEET'!$N$11)</f>
        <v>7.2</v>
      </c>
      <c r="F68" s="589">
        <f>IF('INPUT SHEET'!$N$11=0,0,X12/'INPUT SHEET'!$N$11)</f>
        <v>7.2</v>
      </c>
      <c r="G68" s="589">
        <f>IF('INPUT SHEET'!$N$11=0,0,Y12/'INPUT SHEET'!$N$11)</f>
        <v>7.2</v>
      </c>
      <c r="H68" s="589">
        <f>IF('INPUT SHEET'!$N$11=0,0,Z12/'INPUT SHEET'!$N$11)</f>
        <v>7.2</v>
      </c>
    </row>
    <row r="69" spans="1:8">
      <c r="A69" s="601" t="s">
        <v>793</v>
      </c>
      <c r="C69" s="593">
        <f>IF(SUM(C6:H6)=0,0,SUMPRODUCT(C6:H6,C12:H12)/SUM(C6:H6))</f>
        <v>0</v>
      </c>
      <c r="D69" s="593">
        <f>IF(SUM(J6:O6)=0,0,SUMPRODUCT(J6:O6,J12:O12)/SUM(J6:O6))</f>
        <v>0</v>
      </c>
      <c r="E69" s="593">
        <f>IF(SUM(Q6:V6)=0,0,SUMPRODUCT(Q6:V6,Q12:V12)/SUM(Q6:V6))</f>
        <v>0</v>
      </c>
      <c r="F69" s="593">
        <v>0</v>
      </c>
      <c r="G69" s="593">
        <v>0</v>
      </c>
      <c r="H69" s="593">
        <v>0</v>
      </c>
    </row>
    <row r="70" spans="1:8">
      <c r="A70" s="601" t="s">
        <v>794</v>
      </c>
      <c r="C70" s="593">
        <f>IF(SUM(C6:H6)=0,0,SUMPRODUCT(C6:H6,C35:H35)/SUM(C6:H6))</f>
        <v>0</v>
      </c>
      <c r="D70" s="593">
        <f>IF(SUM(J6:O6)=0,0,SUMPRODUCT(J6:O6,J35:O35)/SUM(J6:O6))</f>
        <v>0</v>
      </c>
      <c r="E70" s="593">
        <f>IF(SUM(Q6:V6)=0,0,SUMPRODUCT(Q6:V6,Q35:V35)/SUM(Q6:V6))</f>
        <v>0</v>
      </c>
      <c r="F70" s="593">
        <v>0</v>
      </c>
      <c r="G70" s="593">
        <v>0</v>
      </c>
      <c r="H70" s="593">
        <v>0</v>
      </c>
    </row>
    <row r="71" spans="1:8">
      <c r="A71" s="601" t="s">
        <v>795</v>
      </c>
      <c r="C71" s="590">
        <f>SUM(B37:H37)</f>
        <v>0</v>
      </c>
      <c r="D71" s="590">
        <f>SUM(I37:O37)</f>
        <v>0</v>
      </c>
      <c r="E71" s="590">
        <f>SUM(P37:V37)</f>
        <v>0</v>
      </c>
      <c r="F71" s="590">
        <f t="shared" ref="F71:H72" si="42">SUM(X37:X37)</f>
        <v>0</v>
      </c>
      <c r="G71" s="590">
        <f t="shared" si="42"/>
        <v>0</v>
      </c>
      <c r="H71" s="590">
        <f t="shared" si="42"/>
        <v>0</v>
      </c>
    </row>
    <row r="72" spans="1:8">
      <c r="A72" s="601" t="s">
        <v>796</v>
      </c>
      <c r="C72" s="590">
        <f>SUM(B38:H38)</f>
        <v>0</v>
      </c>
      <c r="D72" s="590">
        <f>SUM(I38:O38)</f>
        <v>0</v>
      </c>
      <c r="E72" s="590">
        <f>SUM(P38:V38)</f>
        <v>0</v>
      </c>
      <c r="F72" s="590">
        <f t="shared" si="42"/>
        <v>0</v>
      </c>
      <c r="G72" s="590">
        <f t="shared" si="42"/>
        <v>0</v>
      </c>
      <c r="H72" s="590">
        <f t="shared" si="42"/>
        <v>0</v>
      </c>
    </row>
    <row r="73" spans="1:8">
      <c r="A73" s="601" t="s">
        <v>797</v>
      </c>
      <c r="C73" s="588">
        <f>B36</f>
        <v>365</v>
      </c>
      <c r="D73" s="588">
        <f>I36</f>
        <v>365</v>
      </c>
      <c r="E73" s="588">
        <f>P36</f>
        <v>365</v>
      </c>
      <c r="F73" s="588">
        <f>X36</f>
        <v>365</v>
      </c>
      <c r="G73" s="588">
        <f>Y36</f>
        <v>365</v>
      </c>
      <c r="H73" s="588">
        <f>Z36</f>
        <v>365</v>
      </c>
    </row>
    <row r="74" spans="1:8">
      <c r="A74" s="601" t="s">
        <v>798</v>
      </c>
      <c r="C74" s="594">
        <f>IF(SUM(B38:H38)=0,0,SUMPRODUCT(B38:H38,B13:H13)/SUM(B38:H38))</f>
        <v>0</v>
      </c>
      <c r="D74" s="594">
        <f>IF(SUM(I38:O38)=0,0,SUMPRODUCT(I38:O38,I13:O13)/SUM(I38:O38))</f>
        <v>0</v>
      </c>
      <c r="E74" s="594">
        <f>IF(SUM(P38:V38)=0,0,SUMPRODUCT(P38:V38,P13:V13)/SUM(P38:V38))</f>
        <v>0</v>
      </c>
      <c r="F74" s="594">
        <f>IF(SUM(X38:X38)=0,0,SUMPRODUCT(X38:X38,X13:X13)/SUM(X38:X38))</f>
        <v>0</v>
      </c>
      <c r="G74" s="594">
        <f>IF(SUM(Y38:Y38)=0,0,SUMPRODUCT(Y38:Y38,Y13:Y13)/SUM(Y38:Y38))</f>
        <v>0</v>
      </c>
      <c r="H74" s="594">
        <f>IF(SUM(Z38:Z38)=0,0,SUMPRODUCT(Z38:Z38,Z13:Z13)/SUM(Z38:Z38))</f>
        <v>0</v>
      </c>
    </row>
    <row r="75" spans="1:8">
      <c r="A75" s="601" t="s">
        <v>799</v>
      </c>
      <c r="C75" s="594">
        <f>IF(SUM(B38:H38)=0,0,SUMPRODUCT(B38:H38,B46:H46)/SUM(B38:H38))</f>
        <v>0</v>
      </c>
      <c r="D75" s="594">
        <f>IF(SUM(I38:O38)=0,0,SUMPRODUCT(I38:O38,I46:O46)/SUM(I38:O38))</f>
        <v>0</v>
      </c>
      <c r="E75" s="594">
        <f>IF(SUM(P38:V38)=0,0,SUMPRODUCT(P38:V38,P46:V46)/SUM(P38:V38))</f>
        <v>0</v>
      </c>
      <c r="F75" s="594">
        <f>IF(SUM(X38:X38)=0,0,SUMPRODUCT(X38:X38,X46:X46)/SUM(X38:X38))</f>
        <v>0</v>
      </c>
      <c r="G75" s="594">
        <f>IF(SUM(Y38:Y38)=0,0,SUMPRODUCT(Y38:Y38,Y46:Y46)/SUM(Y38:Y38))</f>
        <v>0</v>
      </c>
      <c r="H75" s="594">
        <f>IF(SUM(Z38:Z38)=0,0,SUMPRODUCT(Z38:Z38,Z46:Z46)/SUM(Z38:Z38))</f>
        <v>0</v>
      </c>
    </row>
    <row r="76" spans="1:8">
      <c r="A76" s="601" t="s">
        <v>800</v>
      </c>
      <c r="C76" s="591">
        <f>MAX(B39:H39)</f>
        <v>0.03</v>
      </c>
      <c r="D76" s="591">
        <f>MAX(I39:O39)</f>
        <v>0.03</v>
      </c>
      <c r="E76" s="591">
        <f>MAX(P39:V39)</f>
        <v>0.03</v>
      </c>
      <c r="F76" s="591">
        <f>MAX(X39:X39)</f>
        <v>0.03</v>
      </c>
      <c r="G76" s="591">
        <f>MAX(Y39:Y39)</f>
        <v>0.03</v>
      </c>
      <c r="H76" s="591">
        <f>MAX(Z39:Z39)</f>
        <v>0.03</v>
      </c>
    </row>
    <row r="77" spans="1:8">
      <c r="A77" s="601" t="s">
        <v>801</v>
      </c>
      <c r="C77" s="588">
        <f>MAX(B49:H49)</f>
        <v>0</v>
      </c>
      <c r="D77" s="588">
        <f>MAX(I49:O49)</f>
        <v>0</v>
      </c>
      <c r="E77" s="588">
        <f>MAX(P49:V49)</f>
        <v>0</v>
      </c>
      <c r="F77" s="588">
        <f t="shared" ref="F77:H78" si="43">MAX(X49:X49)</f>
        <v>0</v>
      </c>
      <c r="G77" s="588">
        <f t="shared" si="43"/>
        <v>0</v>
      </c>
      <c r="H77" s="588">
        <f t="shared" si="43"/>
        <v>0</v>
      </c>
    </row>
    <row r="78" spans="1:8">
      <c r="A78" s="601" t="s">
        <v>802</v>
      </c>
      <c r="C78" s="592">
        <f>MAX(B50:H50)</f>
        <v>0</v>
      </c>
      <c r="D78" s="592">
        <f>MAX(I50:O50)</f>
        <v>0</v>
      </c>
      <c r="E78" s="592">
        <f>MAX(P50:V50)</f>
        <v>0</v>
      </c>
      <c r="F78" s="592">
        <f t="shared" si="43"/>
        <v>0</v>
      </c>
      <c r="G78" s="592">
        <f t="shared" si="43"/>
        <v>0</v>
      </c>
      <c r="H78" s="592">
        <f t="shared" si="43"/>
        <v>0</v>
      </c>
    </row>
    <row r="79" spans="1:8">
      <c r="A79" s="601" t="s">
        <v>773</v>
      </c>
      <c r="C79" s="592">
        <f>MAX(B48:H48)</f>
        <v>0</v>
      </c>
      <c r="D79" s="592">
        <f>MAX(I48:O48)</f>
        <v>0</v>
      </c>
      <c r="E79" s="592">
        <f>MAX(P48:V48)</f>
        <v>0</v>
      </c>
      <c r="F79" s="592">
        <f>MAX(X48:X48)</f>
        <v>0</v>
      </c>
      <c r="G79" s="592">
        <f>MAX(Y48:Y48)</f>
        <v>0</v>
      </c>
      <c r="H79" s="592">
        <f>MAX(Z48:Z48)</f>
        <v>0</v>
      </c>
    </row>
    <row r="80" spans="1:8">
      <c r="A80" s="601" t="s">
        <v>772</v>
      </c>
      <c r="C80" s="592">
        <f>MAX(B47:H47)</f>
        <v>0</v>
      </c>
      <c r="D80" s="592">
        <f>MAX(I47:O47)</f>
        <v>0</v>
      </c>
      <c r="E80" s="592">
        <f>MAX(P47:V47)</f>
        <v>0</v>
      </c>
      <c r="F80" s="592">
        <f>MAX(X47:X47)</f>
        <v>0</v>
      </c>
      <c r="G80" s="592">
        <f>MAX(Y47:Y47)</f>
        <v>0</v>
      </c>
      <c r="H80" s="592">
        <f>MAX(Z47:Z47)</f>
        <v>0</v>
      </c>
    </row>
    <row r="81" spans="1:19">
      <c r="A81" s="601" t="s">
        <v>776</v>
      </c>
      <c r="C81" s="593">
        <f>MAX(B51:H51)</f>
        <v>4</v>
      </c>
      <c r="D81" s="593">
        <f>MAX(I51:O51)</f>
        <v>4</v>
      </c>
      <c r="E81" s="593">
        <f>MAX(P51:V51)</f>
        <v>4</v>
      </c>
      <c r="F81" s="593">
        <f t="shared" ref="F81:H82" si="44">MAX(X51:X51)</f>
        <v>4</v>
      </c>
      <c r="G81" s="593">
        <f t="shared" si="44"/>
        <v>4</v>
      </c>
      <c r="H81" s="593">
        <f t="shared" si="44"/>
        <v>4</v>
      </c>
    </row>
    <row r="82" spans="1:19">
      <c r="A82" s="601" t="s">
        <v>777</v>
      </c>
      <c r="C82" s="591">
        <f>MAX(B52:H52)</f>
        <v>0.2</v>
      </c>
      <c r="D82" s="591">
        <f>MAX(I52:O52)</f>
        <v>0.2</v>
      </c>
      <c r="E82" s="591">
        <f>MAX(P52:V52)</f>
        <v>0.2</v>
      </c>
      <c r="F82" s="591">
        <f t="shared" si="44"/>
        <v>0.2</v>
      </c>
      <c r="G82" s="591">
        <f t="shared" si="44"/>
        <v>0.2</v>
      </c>
      <c r="H82" s="591">
        <f t="shared" si="44"/>
        <v>0.2</v>
      </c>
    </row>
    <row r="83" spans="1:19">
      <c r="A83" s="601" t="s">
        <v>803</v>
      </c>
      <c r="C83" s="587" t="str">
        <f>B53</f>
        <v>Yes</v>
      </c>
      <c r="D83" s="587" t="str">
        <f>I53</f>
        <v>Yes</v>
      </c>
      <c r="E83" s="587" t="str">
        <f>P53</f>
        <v>Yes</v>
      </c>
      <c r="F83" s="587" t="str">
        <f>X53</f>
        <v>Yes</v>
      </c>
      <c r="G83" s="587" t="str">
        <f>Y53</f>
        <v>Yes</v>
      </c>
      <c r="H83" s="587" t="str">
        <f>Z53</f>
        <v>Yes</v>
      </c>
    </row>
    <row r="84" spans="1:19">
      <c r="A84" s="601" t="s">
        <v>780</v>
      </c>
      <c r="C84" s="588">
        <f t="shared" ref="C84:C89" si="45">MAX(B54:H54)</f>
        <v>1</v>
      </c>
      <c r="D84" s="588">
        <f t="shared" ref="D84:D89" si="46">MAX(I54:O54)</f>
        <v>1</v>
      </c>
      <c r="E84" s="588">
        <f t="shared" ref="E84:E89" si="47">MAX(P54:V54)</f>
        <v>1</v>
      </c>
      <c r="F84" s="588">
        <f t="shared" ref="F84:H89" si="48">MAX(X54:X54)</f>
        <v>1</v>
      </c>
      <c r="G84" s="588">
        <f t="shared" si="48"/>
        <v>1</v>
      </c>
      <c r="H84" s="588">
        <f t="shared" si="48"/>
        <v>1</v>
      </c>
    </row>
    <row r="85" spans="1:19">
      <c r="A85" s="601" t="s">
        <v>781</v>
      </c>
      <c r="C85" s="591">
        <f t="shared" si="45"/>
        <v>0.5</v>
      </c>
      <c r="D85" s="591">
        <f t="shared" si="46"/>
        <v>0.5</v>
      </c>
      <c r="E85" s="591">
        <f t="shared" si="47"/>
        <v>0.5</v>
      </c>
      <c r="F85" s="591">
        <f t="shared" si="48"/>
        <v>0.5</v>
      </c>
      <c r="G85" s="591">
        <f t="shared" si="48"/>
        <v>0.5</v>
      </c>
      <c r="H85" s="591">
        <f t="shared" si="48"/>
        <v>0.5</v>
      </c>
    </row>
    <row r="86" spans="1:19">
      <c r="A86" s="601" t="s">
        <v>782</v>
      </c>
      <c r="C86" s="591">
        <f t="shared" si="45"/>
        <v>0.75</v>
      </c>
      <c r="D86" s="591">
        <f t="shared" si="46"/>
        <v>0.75</v>
      </c>
      <c r="E86" s="591">
        <f t="shared" si="47"/>
        <v>0.75</v>
      </c>
      <c r="F86" s="591">
        <f t="shared" si="48"/>
        <v>0.75</v>
      </c>
      <c r="G86" s="591">
        <f t="shared" si="48"/>
        <v>0.75</v>
      </c>
      <c r="H86" s="591">
        <f t="shared" si="48"/>
        <v>0.75</v>
      </c>
    </row>
    <row r="87" spans="1:19">
      <c r="A87" s="601" t="s">
        <v>783</v>
      </c>
      <c r="C87" s="591">
        <f t="shared" si="45"/>
        <v>1</v>
      </c>
      <c r="D87" s="591">
        <f t="shared" si="46"/>
        <v>1</v>
      </c>
      <c r="E87" s="591">
        <f t="shared" si="47"/>
        <v>1</v>
      </c>
      <c r="F87" s="591">
        <f t="shared" si="48"/>
        <v>1</v>
      </c>
      <c r="G87" s="591">
        <f t="shared" si="48"/>
        <v>1</v>
      </c>
      <c r="H87" s="591">
        <f t="shared" si="48"/>
        <v>1</v>
      </c>
    </row>
    <row r="88" spans="1:19">
      <c r="A88" s="601" t="s">
        <v>784</v>
      </c>
      <c r="C88" s="591">
        <f t="shared" si="45"/>
        <v>0.06</v>
      </c>
      <c r="D88" s="591">
        <f t="shared" si="46"/>
        <v>0.06</v>
      </c>
      <c r="E88" s="591">
        <f t="shared" si="47"/>
        <v>0.06</v>
      </c>
      <c r="F88" s="591">
        <f t="shared" si="48"/>
        <v>0.06</v>
      </c>
      <c r="G88" s="591">
        <f t="shared" si="48"/>
        <v>0.06</v>
      </c>
      <c r="H88" s="591">
        <f t="shared" si="48"/>
        <v>0.06</v>
      </c>
    </row>
    <row r="89" spans="1:19">
      <c r="A89" s="601" t="s">
        <v>785</v>
      </c>
      <c r="C89" s="588">
        <f t="shared" si="45"/>
        <v>5</v>
      </c>
      <c r="D89" s="588">
        <f t="shared" si="46"/>
        <v>5</v>
      </c>
      <c r="E89" s="588">
        <f t="shared" si="47"/>
        <v>5</v>
      </c>
      <c r="F89" s="588">
        <f t="shared" si="48"/>
        <v>5</v>
      </c>
      <c r="G89" s="588">
        <f t="shared" si="48"/>
        <v>5</v>
      </c>
      <c r="H89" s="588">
        <f t="shared" si="48"/>
        <v>5</v>
      </c>
    </row>
    <row r="90" spans="1:19">
      <c r="A90" s="601" t="s">
        <v>804</v>
      </c>
      <c r="C90" s="592">
        <f>SUM(B60:H60)</f>
        <v>0</v>
      </c>
      <c r="D90" s="592">
        <f>SUM(I60:O60)</f>
        <v>0</v>
      </c>
      <c r="E90" s="592">
        <f>SUM(P60:V60)</f>
        <v>0</v>
      </c>
      <c r="F90" s="592">
        <f t="shared" ref="F90:H91" si="49">SUM(X60:X60)</f>
        <v>0</v>
      </c>
      <c r="G90" s="592">
        <f t="shared" si="49"/>
        <v>0</v>
      </c>
      <c r="H90" s="592">
        <f t="shared" si="49"/>
        <v>0</v>
      </c>
    </row>
    <row r="91" spans="1:19">
      <c r="A91" s="601" t="s">
        <v>787</v>
      </c>
      <c r="C91" s="592">
        <f>SUM(B61:H61)</f>
        <v>0</v>
      </c>
      <c r="D91" s="592">
        <f>SUM(I61:O61)</f>
        <v>0</v>
      </c>
      <c r="E91" s="592">
        <f>SUM(P61:V61)</f>
        <v>0</v>
      </c>
      <c r="F91" s="592">
        <f t="shared" si="49"/>
        <v>0</v>
      </c>
      <c r="G91" s="592">
        <f t="shared" si="49"/>
        <v>0</v>
      </c>
      <c r="H91" s="592">
        <f t="shared" si="49"/>
        <v>0</v>
      </c>
    </row>
    <row r="93" spans="1:19">
      <c r="A93" s="602" t="s">
        <v>805</v>
      </c>
    </row>
    <row r="94" spans="1:19" ht="45">
      <c r="A94" s="76" t="s">
        <v>76</v>
      </c>
      <c r="B94" s="76" t="s">
        <v>806</v>
      </c>
      <c r="C94" s="76" t="s">
        <v>807</v>
      </c>
      <c r="D94" s="76" t="s">
        <v>808</v>
      </c>
      <c r="E94" s="76" t="s">
        <v>809</v>
      </c>
      <c r="F94" s="76" t="s">
        <v>810</v>
      </c>
      <c r="G94" s="76" t="s">
        <v>811</v>
      </c>
      <c r="H94" s="76" t="s">
        <v>812</v>
      </c>
      <c r="I94" s="76" t="s">
        <v>813</v>
      </c>
      <c r="J94" s="76" t="s">
        <v>814</v>
      </c>
      <c r="K94" s="76" t="s">
        <v>815</v>
      </c>
      <c r="L94" s="76" t="s">
        <v>816</v>
      </c>
      <c r="M94" s="76" t="s">
        <v>817</v>
      </c>
      <c r="N94" s="76" t="s">
        <v>818</v>
      </c>
      <c r="O94" s="76" t="s">
        <v>819</v>
      </c>
      <c r="P94" s="76" t="s">
        <v>820</v>
      </c>
      <c r="Q94" s="76" t="s">
        <v>821</v>
      </c>
      <c r="R94" s="76" t="s">
        <v>822</v>
      </c>
      <c r="S94" s="76" t="s">
        <v>823</v>
      </c>
    </row>
    <row r="95" spans="1:19">
      <c r="A95" s="595">
        <v>1</v>
      </c>
      <c r="B95" s="597">
        <f>$C$85</f>
        <v>0.5</v>
      </c>
      <c r="C95" s="596">
        <f t="shared" ref="C95:C104" si="50">$C$72*B95</f>
        <v>0</v>
      </c>
      <c r="D95" s="596">
        <f t="shared" ref="D95:D104" si="51">IF($C$73=0,0,C95/$C$73)</f>
        <v>0</v>
      </c>
      <c r="E95" s="94">
        <f t="shared" ref="E95:E104" si="52">IF($C$70=0,0,D95/($C$70*24))</f>
        <v>0</v>
      </c>
      <c r="F95" s="595">
        <f t="shared" ref="F95:F104" si="53">IF($C$65=0,0,MIN($C$65,MAX(1,ROUNDUP(E95*$C$81,0))))</f>
        <v>0</v>
      </c>
      <c r="G95" s="598">
        <f t="shared" ref="G95:G104" si="54">F95*IF($C$83="Yes",$C$69,$C$70)</f>
        <v>0</v>
      </c>
      <c r="H95" s="598">
        <f t="shared" ref="H95:H104" si="55">G95*(1+$C$82)</f>
        <v>0</v>
      </c>
      <c r="I95" s="595">
        <f t="shared" ref="I95:I104" si="56">IF($C$77=0,0,ROUNDUP(H95/$C$77,0))</f>
        <v>0</v>
      </c>
      <c r="J95" s="99">
        <f t="shared" ref="J95:J104" si="57">I95*$C$78*12</f>
        <v>0</v>
      </c>
      <c r="K95" s="99">
        <f t="shared" ref="K95:K104" si="58">IF(A95&gt;=$C$84,12*$C$79*G95,0)</f>
        <v>0</v>
      </c>
      <c r="L95" s="99">
        <f t="shared" ref="L95:L104" si="59">12*$C$80</f>
        <v>0</v>
      </c>
      <c r="M95" s="99">
        <f t="shared" ref="M95:M104" si="60">J95+K95+L95</f>
        <v>0</v>
      </c>
      <c r="N95" s="99">
        <f t="shared" ref="N95:N104" si="61">C95*$C$75</f>
        <v>0</v>
      </c>
      <c r="O95" s="99">
        <f t="shared" ref="O95:O104" si="62">M95+N95</f>
        <v>0</v>
      </c>
      <c r="P95" s="99">
        <f t="shared" ref="P95:P104" si="63">C95*$C$74</f>
        <v>0</v>
      </c>
      <c r="Q95" s="99">
        <f t="shared" ref="Q95:Q104" si="64">P95*$C$76</f>
        <v>0</v>
      </c>
      <c r="R95" s="99">
        <f t="shared" ref="R95:R104" si="65">IF(A95&gt;$C$89,$C$90+$C$91,0)</f>
        <v>0</v>
      </c>
      <c r="S95" s="99">
        <f t="shared" ref="S95:S104" si="66">P95-O95-Q95-R95</f>
        <v>0</v>
      </c>
    </row>
    <row r="96" spans="1:19">
      <c r="A96" s="595">
        <v>2</v>
      </c>
      <c r="B96" s="597">
        <f>$C$86</f>
        <v>0.75</v>
      </c>
      <c r="C96" s="596">
        <f t="shared" si="50"/>
        <v>0</v>
      </c>
      <c r="D96" s="596">
        <f t="shared" si="51"/>
        <v>0</v>
      </c>
      <c r="E96" s="94">
        <f t="shared" si="52"/>
        <v>0</v>
      </c>
      <c r="F96" s="595">
        <f t="shared" si="53"/>
        <v>0</v>
      </c>
      <c r="G96" s="598">
        <f t="shared" si="54"/>
        <v>0</v>
      </c>
      <c r="H96" s="598">
        <f t="shared" si="55"/>
        <v>0</v>
      </c>
      <c r="I96" s="595">
        <f t="shared" si="56"/>
        <v>0</v>
      </c>
      <c r="J96" s="99">
        <f t="shared" si="57"/>
        <v>0</v>
      </c>
      <c r="K96" s="99">
        <f t="shared" si="58"/>
        <v>0</v>
      </c>
      <c r="L96" s="99">
        <f t="shared" si="59"/>
        <v>0</v>
      </c>
      <c r="M96" s="99">
        <f t="shared" si="60"/>
        <v>0</v>
      </c>
      <c r="N96" s="99">
        <f t="shared" si="61"/>
        <v>0</v>
      </c>
      <c r="O96" s="99">
        <f t="shared" si="62"/>
        <v>0</v>
      </c>
      <c r="P96" s="99">
        <f t="shared" si="63"/>
        <v>0</v>
      </c>
      <c r="Q96" s="99">
        <f t="shared" si="64"/>
        <v>0</v>
      </c>
      <c r="R96" s="99">
        <f t="shared" si="65"/>
        <v>0</v>
      </c>
      <c r="S96" s="99">
        <f t="shared" si="66"/>
        <v>0</v>
      </c>
    </row>
    <row r="97" spans="1:19">
      <c r="A97" s="595">
        <v>3</v>
      </c>
      <c r="B97" s="597">
        <f>$C$87</f>
        <v>1</v>
      </c>
      <c r="C97" s="596">
        <f t="shared" si="50"/>
        <v>0</v>
      </c>
      <c r="D97" s="596">
        <f t="shared" si="51"/>
        <v>0</v>
      </c>
      <c r="E97" s="94">
        <f t="shared" si="52"/>
        <v>0</v>
      </c>
      <c r="F97" s="595">
        <f t="shared" si="53"/>
        <v>0</v>
      </c>
      <c r="G97" s="598">
        <f t="shared" si="54"/>
        <v>0</v>
      </c>
      <c r="H97" s="598">
        <f t="shared" si="55"/>
        <v>0</v>
      </c>
      <c r="I97" s="595">
        <f t="shared" si="56"/>
        <v>0</v>
      </c>
      <c r="J97" s="99">
        <f t="shared" si="57"/>
        <v>0</v>
      </c>
      <c r="K97" s="99">
        <f t="shared" si="58"/>
        <v>0</v>
      </c>
      <c r="L97" s="99">
        <f t="shared" si="59"/>
        <v>0</v>
      </c>
      <c r="M97" s="99">
        <f t="shared" si="60"/>
        <v>0</v>
      </c>
      <c r="N97" s="99">
        <f t="shared" si="61"/>
        <v>0</v>
      </c>
      <c r="O97" s="99">
        <f t="shared" si="62"/>
        <v>0</v>
      </c>
      <c r="P97" s="99">
        <f t="shared" si="63"/>
        <v>0</v>
      </c>
      <c r="Q97" s="99">
        <f t="shared" si="64"/>
        <v>0</v>
      </c>
      <c r="R97" s="99">
        <f t="shared" si="65"/>
        <v>0</v>
      </c>
      <c r="S97" s="99">
        <f t="shared" si="66"/>
        <v>0</v>
      </c>
    </row>
    <row r="98" spans="1:19">
      <c r="A98" s="595">
        <v>4</v>
      </c>
      <c r="B98" s="597">
        <f>$C$87*(1+$C$88)^1</f>
        <v>1.06</v>
      </c>
      <c r="C98" s="596">
        <f t="shared" si="50"/>
        <v>0</v>
      </c>
      <c r="D98" s="596">
        <f t="shared" si="51"/>
        <v>0</v>
      </c>
      <c r="E98" s="94">
        <f t="shared" si="52"/>
        <v>0</v>
      </c>
      <c r="F98" s="595">
        <f t="shared" si="53"/>
        <v>0</v>
      </c>
      <c r="G98" s="598">
        <f t="shared" si="54"/>
        <v>0</v>
      </c>
      <c r="H98" s="598">
        <f t="shared" si="55"/>
        <v>0</v>
      </c>
      <c r="I98" s="595">
        <f t="shared" si="56"/>
        <v>0</v>
      </c>
      <c r="J98" s="99">
        <f t="shared" si="57"/>
        <v>0</v>
      </c>
      <c r="K98" s="99">
        <f t="shared" si="58"/>
        <v>0</v>
      </c>
      <c r="L98" s="99">
        <f t="shared" si="59"/>
        <v>0</v>
      </c>
      <c r="M98" s="99">
        <f t="shared" si="60"/>
        <v>0</v>
      </c>
      <c r="N98" s="99">
        <f t="shared" si="61"/>
        <v>0</v>
      </c>
      <c r="O98" s="99">
        <f t="shared" si="62"/>
        <v>0</v>
      </c>
      <c r="P98" s="99">
        <f t="shared" si="63"/>
        <v>0</v>
      </c>
      <c r="Q98" s="99">
        <f t="shared" si="64"/>
        <v>0</v>
      </c>
      <c r="R98" s="99">
        <f t="shared" si="65"/>
        <v>0</v>
      </c>
      <c r="S98" s="99">
        <f t="shared" si="66"/>
        <v>0</v>
      </c>
    </row>
    <row r="99" spans="1:19">
      <c r="A99" s="595">
        <v>5</v>
      </c>
      <c r="B99" s="597">
        <f>$C$87*(1+$C$88)^2</f>
        <v>1.1236000000000002</v>
      </c>
      <c r="C99" s="596">
        <f t="shared" si="50"/>
        <v>0</v>
      </c>
      <c r="D99" s="596">
        <f t="shared" si="51"/>
        <v>0</v>
      </c>
      <c r="E99" s="94">
        <f t="shared" si="52"/>
        <v>0</v>
      </c>
      <c r="F99" s="595">
        <f t="shared" si="53"/>
        <v>0</v>
      </c>
      <c r="G99" s="598">
        <f t="shared" si="54"/>
        <v>0</v>
      </c>
      <c r="H99" s="598">
        <f t="shared" si="55"/>
        <v>0</v>
      </c>
      <c r="I99" s="595">
        <f t="shared" si="56"/>
        <v>0</v>
      </c>
      <c r="J99" s="99">
        <f t="shared" si="57"/>
        <v>0</v>
      </c>
      <c r="K99" s="99">
        <f t="shared" si="58"/>
        <v>0</v>
      </c>
      <c r="L99" s="99">
        <f t="shared" si="59"/>
        <v>0</v>
      </c>
      <c r="M99" s="99">
        <f t="shared" si="60"/>
        <v>0</v>
      </c>
      <c r="N99" s="99">
        <f t="shared" si="61"/>
        <v>0</v>
      </c>
      <c r="O99" s="99">
        <f t="shared" si="62"/>
        <v>0</v>
      </c>
      <c r="P99" s="99">
        <f t="shared" si="63"/>
        <v>0</v>
      </c>
      <c r="Q99" s="99">
        <f t="shared" si="64"/>
        <v>0</v>
      </c>
      <c r="R99" s="99">
        <f t="shared" si="65"/>
        <v>0</v>
      </c>
      <c r="S99" s="99">
        <f t="shared" si="66"/>
        <v>0</v>
      </c>
    </row>
    <row r="100" spans="1:19">
      <c r="A100" s="595">
        <v>6</v>
      </c>
      <c r="B100" s="597">
        <f>$C$87*(1+$C$88)^3</f>
        <v>1.1910160000000003</v>
      </c>
      <c r="C100" s="596">
        <f t="shared" si="50"/>
        <v>0</v>
      </c>
      <c r="D100" s="596">
        <f t="shared" si="51"/>
        <v>0</v>
      </c>
      <c r="E100" s="94">
        <f t="shared" si="52"/>
        <v>0</v>
      </c>
      <c r="F100" s="595">
        <f t="shared" si="53"/>
        <v>0</v>
      </c>
      <c r="G100" s="598">
        <f t="shared" si="54"/>
        <v>0</v>
      </c>
      <c r="H100" s="598">
        <f t="shared" si="55"/>
        <v>0</v>
      </c>
      <c r="I100" s="595">
        <f t="shared" si="56"/>
        <v>0</v>
      </c>
      <c r="J100" s="99">
        <f t="shared" si="57"/>
        <v>0</v>
      </c>
      <c r="K100" s="99">
        <f t="shared" si="58"/>
        <v>0</v>
      </c>
      <c r="L100" s="99">
        <f t="shared" si="59"/>
        <v>0</v>
      </c>
      <c r="M100" s="99">
        <f t="shared" si="60"/>
        <v>0</v>
      </c>
      <c r="N100" s="99">
        <f t="shared" si="61"/>
        <v>0</v>
      </c>
      <c r="O100" s="99">
        <f t="shared" si="62"/>
        <v>0</v>
      </c>
      <c r="P100" s="99">
        <f t="shared" si="63"/>
        <v>0</v>
      </c>
      <c r="Q100" s="99">
        <f t="shared" si="64"/>
        <v>0</v>
      </c>
      <c r="R100" s="99">
        <f t="shared" si="65"/>
        <v>0</v>
      </c>
      <c r="S100" s="99">
        <f t="shared" si="66"/>
        <v>0</v>
      </c>
    </row>
    <row r="101" spans="1:19">
      <c r="A101" s="595">
        <v>7</v>
      </c>
      <c r="B101" s="597">
        <f>$C$87*(1+$C$88)^4</f>
        <v>1.2624769600000003</v>
      </c>
      <c r="C101" s="596">
        <f t="shared" si="50"/>
        <v>0</v>
      </c>
      <c r="D101" s="596">
        <f t="shared" si="51"/>
        <v>0</v>
      </c>
      <c r="E101" s="94">
        <f t="shared" si="52"/>
        <v>0</v>
      </c>
      <c r="F101" s="595">
        <f t="shared" si="53"/>
        <v>0</v>
      </c>
      <c r="G101" s="598">
        <f t="shared" si="54"/>
        <v>0</v>
      </c>
      <c r="H101" s="598">
        <f t="shared" si="55"/>
        <v>0</v>
      </c>
      <c r="I101" s="595">
        <f t="shared" si="56"/>
        <v>0</v>
      </c>
      <c r="J101" s="99">
        <f t="shared" si="57"/>
        <v>0</v>
      </c>
      <c r="K101" s="99">
        <f t="shared" si="58"/>
        <v>0</v>
      </c>
      <c r="L101" s="99">
        <f t="shared" si="59"/>
        <v>0</v>
      </c>
      <c r="M101" s="99">
        <f t="shared" si="60"/>
        <v>0</v>
      </c>
      <c r="N101" s="99">
        <f t="shared" si="61"/>
        <v>0</v>
      </c>
      <c r="O101" s="99">
        <f t="shared" si="62"/>
        <v>0</v>
      </c>
      <c r="P101" s="99">
        <f t="shared" si="63"/>
        <v>0</v>
      </c>
      <c r="Q101" s="99">
        <f t="shared" si="64"/>
        <v>0</v>
      </c>
      <c r="R101" s="99">
        <f t="shared" si="65"/>
        <v>0</v>
      </c>
      <c r="S101" s="99">
        <f t="shared" si="66"/>
        <v>0</v>
      </c>
    </row>
    <row r="102" spans="1:19">
      <c r="A102" s="595">
        <v>8</v>
      </c>
      <c r="B102" s="597">
        <f>$C$87*(1+$C$88)^5</f>
        <v>1.3382255776000005</v>
      </c>
      <c r="C102" s="596">
        <f t="shared" si="50"/>
        <v>0</v>
      </c>
      <c r="D102" s="596">
        <f t="shared" si="51"/>
        <v>0</v>
      </c>
      <c r="E102" s="94">
        <f t="shared" si="52"/>
        <v>0</v>
      </c>
      <c r="F102" s="595">
        <f t="shared" si="53"/>
        <v>0</v>
      </c>
      <c r="G102" s="598">
        <f t="shared" si="54"/>
        <v>0</v>
      </c>
      <c r="H102" s="598">
        <f t="shared" si="55"/>
        <v>0</v>
      </c>
      <c r="I102" s="595">
        <f t="shared" si="56"/>
        <v>0</v>
      </c>
      <c r="J102" s="99">
        <f t="shared" si="57"/>
        <v>0</v>
      </c>
      <c r="K102" s="99">
        <f t="shared" si="58"/>
        <v>0</v>
      </c>
      <c r="L102" s="99">
        <f t="shared" si="59"/>
        <v>0</v>
      </c>
      <c r="M102" s="99">
        <f t="shared" si="60"/>
        <v>0</v>
      </c>
      <c r="N102" s="99">
        <f t="shared" si="61"/>
        <v>0</v>
      </c>
      <c r="O102" s="99">
        <f t="shared" si="62"/>
        <v>0</v>
      </c>
      <c r="P102" s="99">
        <f t="shared" si="63"/>
        <v>0</v>
      </c>
      <c r="Q102" s="99">
        <f t="shared" si="64"/>
        <v>0</v>
      </c>
      <c r="R102" s="99">
        <f t="shared" si="65"/>
        <v>0</v>
      </c>
      <c r="S102" s="99">
        <f t="shared" si="66"/>
        <v>0</v>
      </c>
    </row>
    <row r="103" spans="1:19">
      <c r="A103" s="595">
        <v>9</v>
      </c>
      <c r="B103" s="597">
        <f>$C$87*(1+$C$88)^6</f>
        <v>1.4185191122560006</v>
      </c>
      <c r="C103" s="596">
        <f t="shared" si="50"/>
        <v>0</v>
      </c>
      <c r="D103" s="596">
        <f t="shared" si="51"/>
        <v>0</v>
      </c>
      <c r="E103" s="94">
        <f t="shared" si="52"/>
        <v>0</v>
      </c>
      <c r="F103" s="595">
        <f t="shared" si="53"/>
        <v>0</v>
      </c>
      <c r="G103" s="598">
        <f t="shared" si="54"/>
        <v>0</v>
      </c>
      <c r="H103" s="598">
        <f t="shared" si="55"/>
        <v>0</v>
      </c>
      <c r="I103" s="595">
        <f t="shared" si="56"/>
        <v>0</v>
      </c>
      <c r="J103" s="99">
        <f t="shared" si="57"/>
        <v>0</v>
      </c>
      <c r="K103" s="99">
        <f t="shared" si="58"/>
        <v>0</v>
      </c>
      <c r="L103" s="99">
        <f t="shared" si="59"/>
        <v>0</v>
      </c>
      <c r="M103" s="99">
        <f t="shared" si="60"/>
        <v>0</v>
      </c>
      <c r="N103" s="99">
        <f t="shared" si="61"/>
        <v>0</v>
      </c>
      <c r="O103" s="99">
        <f t="shared" si="62"/>
        <v>0</v>
      </c>
      <c r="P103" s="99">
        <f t="shared" si="63"/>
        <v>0</v>
      </c>
      <c r="Q103" s="99">
        <f t="shared" si="64"/>
        <v>0</v>
      </c>
      <c r="R103" s="99">
        <f t="shared" si="65"/>
        <v>0</v>
      </c>
      <c r="S103" s="99">
        <f t="shared" si="66"/>
        <v>0</v>
      </c>
    </row>
    <row r="104" spans="1:19">
      <c r="A104" s="595">
        <v>10</v>
      </c>
      <c r="B104" s="597">
        <f>$C$87*(1+$C$88)^7</f>
        <v>1.5036302589913608</v>
      </c>
      <c r="C104" s="596">
        <f t="shared" si="50"/>
        <v>0</v>
      </c>
      <c r="D104" s="596">
        <f t="shared" si="51"/>
        <v>0</v>
      </c>
      <c r="E104" s="94">
        <f t="shared" si="52"/>
        <v>0</v>
      </c>
      <c r="F104" s="595">
        <f t="shared" si="53"/>
        <v>0</v>
      </c>
      <c r="G104" s="598">
        <f t="shared" si="54"/>
        <v>0</v>
      </c>
      <c r="H104" s="598">
        <f t="shared" si="55"/>
        <v>0</v>
      </c>
      <c r="I104" s="595">
        <f t="shared" si="56"/>
        <v>0</v>
      </c>
      <c r="J104" s="99">
        <f t="shared" si="57"/>
        <v>0</v>
      </c>
      <c r="K104" s="99">
        <f t="shared" si="58"/>
        <v>0</v>
      </c>
      <c r="L104" s="99">
        <f t="shared" si="59"/>
        <v>0</v>
      </c>
      <c r="M104" s="99">
        <f t="shared" si="60"/>
        <v>0</v>
      </c>
      <c r="N104" s="99">
        <f t="shared" si="61"/>
        <v>0</v>
      </c>
      <c r="O104" s="99">
        <f t="shared" si="62"/>
        <v>0</v>
      </c>
      <c r="P104" s="99">
        <f t="shared" si="63"/>
        <v>0</v>
      </c>
      <c r="Q104" s="99">
        <f t="shared" si="64"/>
        <v>0</v>
      </c>
      <c r="R104" s="99">
        <f t="shared" si="65"/>
        <v>0</v>
      </c>
      <c r="S104" s="99">
        <f t="shared" si="66"/>
        <v>0</v>
      </c>
    </row>
    <row r="105" spans="1:19">
      <c r="A105" s="602" t="s">
        <v>824</v>
      </c>
      <c r="C105" s="600">
        <f>SUM(C95:C104)</f>
        <v>0</v>
      </c>
      <c r="J105" s="105">
        <f t="shared" ref="J105:S105" si="67">SUM(J95:J104)</f>
        <v>0</v>
      </c>
      <c r="K105" s="105">
        <f t="shared" si="67"/>
        <v>0</v>
      </c>
      <c r="L105" s="105">
        <f t="shared" si="67"/>
        <v>0</v>
      </c>
      <c r="M105" s="105">
        <f t="shared" si="67"/>
        <v>0</v>
      </c>
      <c r="N105" s="105">
        <f t="shared" si="67"/>
        <v>0</v>
      </c>
      <c r="O105" s="105">
        <f t="shared" si="67"/>
        <v>0</v>
      </c>
      <c r="P105" s="105">
        <f t="shared" si="67"/>
        <v>0</v>
      </c>
      <c r="Q105" s="105">
        <f t="shared" si="67"/>
        <v>0</v>
      </c>
      <c r="R105" s="105">
        <f t="shared" si="67"/>
        <v>0</v>
      </c>
      <c r="S105" s="105">
        <f t="shared" si="67"/>
        <v>0</v>
      </c>
    </row>
    <row r="106" spans="1:19">
      <c r="A106" s="601" t="s">
        <v>825</v>
      </c>
      <c r="N106" s="594">
        <f>$C$75+IF(C105=0,0,M105/C105)</f>
        <v>0</v>
      </c>
    </row>
    <row r="108" spans="1:19">
      <c r="A108" s="602" t="s">
        <v>826</v>
      </c>
    </row>
    <row r="109" spans="1:19" ht="45">
      <c r="A109" s="76" t="s">
        <v>76</v>
      </c>
      <c r="B109" s="76" t="s">
        <v>806</v>
      </c>
      <c r="C109" s="76" t="s">
        <v>807</v>
      </c>
      <c r="D109" s="76" t="s">
        <v>808</v>
      </c>
      <c r="E109" s="76" t="s">
        <v>809</v>
      </c>
      <c r="F109" s="76" t="s">
        <v>810</v>
      </c>
      <c r="G109" s="76" t="s">
        <v>811</v>
      </c>
      <c r="H109" s="76" t="s">
        <v>812</v>
      </c>
      <c r="I109" s="76" t="s">
        <v>813</v>
      </c>
      <c r="J109" s="76" t="s">
        <v>814</v>
      </c>
      <c r="K109" s="76" t="s">
        <v>815</v>
      </c>
      <c r="L109" s="76" t="s">
        <v>816</v>
      </c>
      <c r="M109" s="76" t="s">
        <v>817</v>
      </c>
      <c r="N109" s="76" t="s">
        <v>818</v>
      </c>
      <c r="O109" s="76" t="s">
        <v>819</v>
      </c>
      <c r="P109" s="76" t="s">
        <v>820</v>
      </c>
      <c r="Q109" s="76" t="s">
        <v>821</v>
      </c>
      <c r="R109" s="76" t="s">
        <v>822</v>
      </c>
      <c r="S109" s="76" t="s">
        <v>823</v>
      </c>
    </row>
    <row r="110" spans="1:19">
      <c r="A110" s="595">
        <v>1</v>
      </c>
      <c r="B110" s="597">
        <f>$D$85</f>
        <v>0.5</v>
      </c>
      <c r="C110" s="596">
        <f t="shared" ref="C110:C119" si="68">$D$72*B110</f>
        <v>0</v>
      </c>
      <c r="D110" s="596">
        <f t="shared" ref="D110:D119" si="69">IF($D$73=0,0,C110/$D$73)</f>
        <v>0</v>
      </c>
      <c r="E110" s="94">
        <f t="shared" ref="E110:E119" si="70">IF($D$70=0,0,D110/($D$70*24))</f>
        <v>0</v>
      </c>
      <c r="F110" s="595">
        <f t="shared" ref="F110:F119" si="71">IF($D$65=0,0,MIN($D$65,MAX(1,ROUNDUP(E110*$D$81,0))))</f>
        <v>0</v>
      </c>
      <c r="G110" s="598">
        <f t="shared" ref="G110:G119" si="72">F110*IF($D$83="Yes",$D$69,$D$70)</f>
        <v>0</v>
      </c>
      <c r="H110" s="598">
        <f t="shared" ref="H110:H119" si="73">G110*(1+$D$82)</f>
        <v>0</v>
      </c>
      <c r="I110" s="595">
        <f t="shared" ref="I110:I119" si="74">IF($D$77=0,0,ROUNDUP(H110/$D$77,0))</f>
        <v>0</v>
      </c>
      <c r="J110" s="99">
        <f t="shared" ref="J110:J119" si="75">I110*$D$78*12</f>
        <v>0</v>
      </c>
      <c r="K110" s="99">
        <f t="shared" ref="K110:K119" si="76">IF(A110&gt;=$D$84,12*$D$79*G110,0)</f>
        <v>0</v>
      </c>
      <c r="L110" s="99">
        <f t="shared" ref="L110:L119" si="77">12*$D$80</f>
        <v>0</v>
      </c>
      <c r="M110" s="99">
        <f t="shared" ref="M110:M119" si="78">J110+K110+L110</f>
        <v>0</v>
      </c>
      <c r="N110" s="99">
        <f t="shared" ref="N110:N119" si="79">C110*$D$75</f>
        <v>0</v>
      </c>
      <c r="O110" s="99">
        <f t="shared" ref="O110:O119" si="80">M110+N110</f>
        <v>0</v>
      </c>
      <c r="P110" s="99">
        <f t="shared" ref="P110:P119" si="81">C110*$D$74</f>
        <v>0</v>
      </c>
      <c r="Q110" s="99">
        <f t="shared" ref="Q110:Q119" si="82">P110*$D$76</f>
        <v>0</v>
      </c>
      <c r="R110" s="99">
        <f t="shared" ref="R110:R119" si="83">IF(A110&gt;$D$89,$D$90+$D$91,0)</f>
        <v>0</v>
      </c>
      <c r="S110" s="99">
        <f t="shared" ref="S110:S119" si="84">P110-O110-Q110-R110</f>
        <v>0</v>
      </c>
    </row>
    <row r="111" spans="1:19">
      <c r="A111" s="595">
        <v>2</v>
      </c>
      <c r="B111" s="597">
        <f>$D$86</f>
        <v>0.75</v>
      </c>
      <c r="C111" s="596">
        <f t="shared" si="68"/>
        <v>0</v>
      </c>
      <c r="D111" s="596">
        <f t="shared" si="69"/>
        <v>0</v>
      </c>
      <c r="E111" s="94">
        <f t="shared" si="70"/>
        <v>0</v>
      </c>
      <c r="F111" s="595">
        <f t="shared" si="71"/>
        <v>0</v>
      </c>
      <c r="G111" s="598">
        <f t="shared" si="72"/>
        <v>0</v>
      </c>
      <c r="H111" s="598">
        <f t="shared" si="73"/>
        <v>0</v>
      </c>
      <c r="I111" s="595">
        <f t="shared" si="74"/>
        <v>0</v>
      </c>
      <c r="J111" s="99">
        <f t="shared" si="75"/>
        <v>0</v>
      </c>
      <c r="K111" s="99">
        <f t="shared" si="76"/>
        <v>0</v>
      </c>
      <c r="L111" s="99">
        <f t="shared" si="77"/>
        <v>0</v>
      </c>
      <c r="M111" s="99">
        <f t="shared" si="78"/>
        <v>0</v>
      </c>
      <c r="N111" s="99">
        <f t="shared" si="79"/>
        <v>0</v>
      </c>
      <c r="O111" s="99">
        <f t="shared" si="80"/>
        <v>0</v>
      </c>
      <c r="P111" s="99">
        <f t="shared" si="81"/>
        <v>0</v>
      </c>
      <c r="Q111" s="99">
        <f t="shared" si="82"/>
        <v>0</v>
      </c>
      <c r="R111" s="99">
        <f t="shared" si="83"/>
        <v>0</v>
      </c>
      <c r="S111" s="99">
        <f t="shared" si="84"/>
        <v>0</v>
      </c>
    </row>
    <row r="112" spans="1:19">
      <c r="A112" s="595">
        <v>3</v>
      </c>
      <c r="B112" s="597">
        <f>$D$87</f>
        <v>1</v>
      </c>
      <c r="C112" s="596">
        <f t="shared" si="68"/>
        <v>0</v>
      </c>
      <c r="D112" s="596">
        <f t="shared" si="69"/>
        <v>0</v>
      </c>
      <c r="E112" s="94">
        <f t="shared" si="70"/>
        <v>0</v>
      </c>
      <c r="F112" s="595">
        <f t="shared" si="71"/>
        <v>0</v>
      </c>
      <c r="G112" s="598">
        <f t="shared" si="72"/>
        <v>0</v>
      </c>
      <c r="H112" s="598">
        <f t="shared" si="73"/>
        <v>0</v>
      </c>
      <c r="I112" s="595">
        <f t="shared" si="74"/>
        <v>0</v>
      </c>
      <c r="J112" s="99">
        <f t="shared" si="75"/>
        <v>0</v>
      </c>
      <c r="K112" s="99">
        <f t="shared" si="76"/>
        <v>0</v>
      </c>
      <c r="L112" s="99">
        <f t="shared" si="77"/>
        <v>0</v>
      </c>
      <c r="M112" s="99">
        <f t="shared" si="78"/>
        <v>0</v>
      </c>
      <c r="N112" s="99">
        <f t="shared" si="79"/>
        <v>0</v>
      </c>
      <c r="O112" s="99">
        <f t="shared" si="80"/>
        <v>0</v>
      </c>
      <c r="P112" s="99">
        <f t="shared" si="81"/>
        <v>0</v>
      </c>
      <c r="Q112" s="99">
        <f t="shared" si="82"/>
        <v>0</v>
      </c>
      <c r="R112" s="99">
        <f t="shared" si="83"/>
        <v>0</v>
      </c>
      <c r="S112" s="99">
        <f t="shared" si="84"/>
        <v>0</v>
      </c>
    </row>
    <row r="113" spans="1:19">
      <c r="A113" s="595">
        <v>4</v>
      </c>
      <c r="B113" s="597">
        <f>$D$87*(1+$D$88)^1</f>
        <v>1.06</v>
      </c>
      <c r="C113" s="596">
        <f t="shared" si="68"/>
        <v>0</v>
      </c>
      <c r="D113" s="596">
        <f t="shared" si="69"/>
        <v>0</v>
      </c>
      <c r="E113" s="94">
        <f t="shared" si="70"/>
        <v>0</v>
      </c>
      <c r="F113" s="595">
        <f t="shared" si="71"/>
        <v>0</v>
      </c>
      <c r="G113" s="598">
        <f t="shared" si="72"/>
        <v>0</v>
      </c>
      <c r="H113" s="598">
        <f t="shared" si="73"/>
        <v>0</v>
      </c>
      <c r="I113" s="595">
        <f t="shared" si="74"/>
        <v>0</v>
      </c>
      <c r="J113" s="99">
        <f t="shared" si="75"/>
        <v>0</v>
      </c>
      <c r="K113" s="99">
        <f t="shared" si="76"/>
        <v>0</v>
      </c>
      <c r="L113" s="99">
        <f t="shared" si="77"/>
        <v>0</v>
      </c>
      <c r="M113" s="99">
        <f t="shared" si="78"/>
        <v>0</v>
      </c>
      <c r="N113" s="99">
        <f t="shared" si="79"/>
        <v>0</v>
      </c>
      <c r="O113" s="99">
        <f t="shared" si="80"/>
        <v>0</v>
      </c>
      <c r="P113" s="99">
        <f t="shared" si="81"/>
        <v>0</v>
      </c>
      <c r="Q113" s="99">
        <f t="shared" si="82"/>
        <v>0</v>
      </c>
      <c r="R113" s="99">
        <f t="shared" si="83"/>
        <v>0</v>
      </c>
      <c r="S113" s="99">
        <f t="shared" si="84"/>
        <v>0</v>
      </c>
    </row>
    <row r="114" spans="1:19">
      <c r="A114" s="595">
        <v>5</v>
      </c>
      <c r="B114" s="597">
        <f>$D$87*(1+$D$88)^2</f>
        <v>1.1236000000000002</v>
      </c>
      <c r="C114" s="596">
        <f t="shared" si="68"/>
        <v>0</v>
      </c>
      <c r="D114" s="596">
        <f t="shared" si="69"/>
        <v>0</v>
      </c>
      <c r="E114" s="94">
        <f t="shared" si="70"/>
        <v>0</v>
      </c>
      <c r="F114" s="595">
        <f t="shared" si="71"/>
        <v>0</v>
      </c>
      <c r="G114" s="598">
        <f t="shared" si="72"/>
        <v>0</v>
      </c>
      <c r="H114" s="598">
        <f t="shared" si="73"/>
        <v>0</v>
      </c>
      <c r="I114" s="595">
        <f t="shared" si="74"/>
        <v>0</v>
      </c>
      <c r="J114" s="99">
        <f t="shared" si="75"/>
        <v>0</v>
      </c>
      <c r="K114" s="99">
        <f t="shared" si="76"/>
        <v>0</v>
      </c>
      <c r="L114" s="99">
        <f t="shared" si="77"/>
        <v>0</v>
      </c>
      <c r="M114" s="99">
        <f t="shared" si="78"/>
        <v>0</v>
      </c>
      <c r="N114" s="99">
        <f t="shared" si="79"/>
        <v>0</v>
      </c>
      <c r="O114" s="99">
        <f t="shared" si="80"/>
        <v>0</v>
      </c>
      <c r="P114" s="99">
        <f t="shared" si="81"/>
        <v>0</v>
      </c>
      <c r="Q114" s="99">
        <f t="shared" si="82"/>
        <v>0</v>
      </c>
      <c r="R114" s="99">
        <f t="shared" si="83"/>
        <v>0</v>
      </c>
      <c r="S114" s="99">
        <f t="shared" si="84"/>
        <v>0</v>
      </c>
    </row>
    <row r="115" spans="1:19">
      <c r="A115" s="595">
        <v>6</v>
      </c>
      <c r="B115" s="597">
        <f>$D$87*(1+$D$88)^3</f>
        <v>1.1910160000000003</v>
      </c>
      <c r="C115" s="596">
        <f t="shared" si="68"/>
        <v>0</v>
      </c>
      <c r="D115" s="596">
        <f t="shared" si="69"/>
        <v>0</v>
      </c>
      <c r="E115" s="94">
        <f t="shared" si="70"/>
        <v>0</v>
      </c>
      <c r="F115" s="595">
        <f t="shared" si="71"/>
        <v>0</v>
      </c>
      <c r="G115" s="598">
        <f t="shared" si="72"/>
        <v>0</v>
      </c>
      <c r="H115" s="598">
        <f t="shared" si="73"/>
        <v>0</v>
      </c>
      <c r="I115" s="595">
        <f t="shared" si="74"/>
        <v>0</v>
      </c>
      <c r="J115" s="99">
        <f t="shared" si="75"/>
        <v>0</v>
      </c>
      <c r="K115" s="99">
        <f t="shared" si="76"/>
        <v>0</v>
      </c>
      <c r="L115" s="99">
        <f t="shared" si="77"/>
        <v>0</v>
      </c>
      <c r="M115" s="99">
        <f t="shared" si="78"/>
        <v>0</v>
      </c>
      <c r="N115" s="99">
        <f t="shared" si="79"/>
        <v>0</v>
      </c>
      <c r="O115" s="99">
        <f t="shared" si="80"/>
        <v>0</v>
      </c>
      <c r="P115" s="99">
        <f t="shared" si="81"/>
        <v>0</v>
      </c>
      <c r="Q115" s="99">
        <f t="shared" si="82"/>
        <v>0</v>
      </c>
      <c r="R115" s="99">
        <f t="shared" si="83"/>
        <v>0</v>
      </c>
      <c r="S115" s="99">
        <f t="shared" si="84"/>
        <v>0</v>
      </c>
    </row>
    <row r="116" spans="1:19">
      <c r="A116" s="595">
        <v>7</v>
      </c>
      <c r="B116" s="597">
        <f>$D$87*(1+$D$88)^4</f>
        <v>1.2624769600000003</v>
      </c>
      <c r="C116" s="596">
        <f t="shared" si="68"/>
        <v>0</v>
      </c>
      <c r="D116" s="596">
        <f t="shared" si="69"/>
        <v>0</v>
      </c>
      <c r="E116" s="94">
        <f t="shared" si="70"/>
        <v>0</v>
      </c>
      <c r="F116" s="595">
        <f t="shared" si="71"/>
        <v>0</v>
      </c>
      <c r="G116" s="598">
        <f t="shared" si="72"/>
        <v>0</v>
      </c>
      <c r="H116" s="598">
        <f t="shared" si="73"/>
        <v>0</v>
      </c>
      <c r="I116" s="595">
        <f t="shared" si="74"/>
        <v>0</v>
      </c>
      <c r="J116" s="99">
        <f t="shared" si="75"/>
        <v>0</v>
      </c>
      <c r="K116" s="99">
        <f t="shared" si="76"/>
        <v>0</v>
      </c>
      <c r="L116" s="99">
        <f t="shared" si="77"/>
        <v>0</v>
      </c>
      <c r="M116" s="99">
        <f t="shared" si="78"/>
        <v>0</v>
      </c>
      <c r="N116" s="99">
        <f t="shared" si="79"/>
        <v>0</v>
      </c>
      <c r="O116" s="99">
        <f t="shared" si="80"/>
        <v>0</v>
      </c>
      <c r="P116" s="99">
        <f t="shared" si="81"/>
        <v>0</v>
      </c>
      <c r="Q116" s="99">
        <f t="shared" si="82"/>
        <v>0</v>
      </c>
      <c r="R116" s="99">
        <f t="shared" si="83"/>
        <v>0</v>
      </c>
      <c r="S116" s="99">
        <f t="shared" si="84"/>
        <v>0</v>
      </c>
    </row>
    <row r="117" spans="1:19">
      <c r="A117" s="595">
        <v>8</v>
      </c>
      <c r="B117" s="597">
        <f>$D$87*(1+$D$88)^5</f>
        <v>1.3382255776000005</v>
      </c>
      <c r="C117" s="596">
        <f t="shared" si="68"/>
        <v>0</v>
      </c>
      <c r="D117" s="596">
        <f t="shared" si="69"/>
        <v>0</v>
      </c>
      <c r="E117" s="94">
        <f t="shared" si="70"/>
        <v>0</v>
      </c>
      <c r="F117" s="595">
        <f t="shared" si="71"/>
        <v>0</v>
      </c>
      <c r="G117" s="598">
        <f t="shared" si="72"/>
        <v>0</v>
      </c>
      <c r="H117" s="598">
        <f t="shared" si="73"/>
        <v>0</v>
      </c>
      <c r="I117" s="595">
        <f t="shared" si="74"/>
        <v>0</v>
      </c>
      <c r="J117" s="99">
        <f t="shared" si="75"/>
        <v>0</v>
      </c>
      <c r="K117" s="99">
        <f t="shared" si="76"/>
        <v>0</v>
      </c>
      <c r="L117" s="99">
        <f t="shared" si="77"/>
        <v>0</v>
      </c>
      <c r="M117" s="99">
        <f t="shared" si="78"/>
        <v>0</v>
      </c>
      <c r="N117" s="99">
        <f t="shared" si="79"/>
        <v>0</v>
      </c>
      <c r="O117" s="99">
        <f t="shared" si="80"/>
        <v>0</v>
      </c>
      <c r="P117" s="99">
        <f t="shared" si="81"/>
        <v>0</v>
      </c>
      <c r="Q117" s="99">
        <f t="shared" si="82"/>
        <v>0</v>
      </c>
      <c r="R117" s="99">
        <f t="shared" si="83"/>
        <v>0</v>
      </c>
      <c r="S117" s="99">
        <f t="shared" si="84"/>
        <v>0</v>
      </c>
    </row>
    <row r="118" spans="1:19">
      <c r="A118" s="595">
        <v>9</v>
      </c>
      <c r="B118" s="597">
        <f>$D$87*(1+$D$88)^6</f>
        <v>1.4185191122560006</v>
      </c>
      <c r="C118" s="596">
        <f t="shared" si="68"/>
        <v>0</v>
      </c>
      <c r="D118" s="596">
        <f t="shared" si="69"/>
        <v>0</v>
      </c>
      <c r="E118" s="94">
        <f t="shared" si="70"/>
        <v>0</v>
      </c>
      <c r="F118" s="595">
        <f t="shared" si="71"/>
        <v>0</v>
      </c>
      <c r="G118" s="598">
        <f t="shared" si="72"/>
        <v>0</v>
      </c>
      <c r="H118" s="598">
        <f t="shared" si="73"/>
        <v>0</v>
      </c>
      <c r="I118" s="595">
        <f t="shared" si="74"/>
        <v>0</v>
      </c>
      <c r="J118" s="99">
        <f t="shared" si="75"/>
        <v>0</v>
      </c>
      <c r="K118" s="99">
        <f t="shared" si="76"/>
        <v>0</v>
      </c>
      <c r="L118" s="99">
        <f t="shared" si="77"/>
        <v>0</v>
      </c>
      <c r="M118" s="99">
        <f t="shared" si="78"/>
        <v>0</v>
      </c>
      <c r="N118" s="99">
        <f t="shared" si="79"/>
        <v>0</v>
      </c>
      <c r="O118" s="99">
        <f t="shared" si="80"/>
        <v>0</v>
      </c>
      <c r="P118" s="99">
        <f t="shared" si="81"/>
        <v>0</v>
      </c>
      <c r="Q118" s="99">
        <f t="shared" si="82"/>
        <v>0</v>
      </c>
      <c r="R118" s="99">
        <f t="shared" si="83"/>
        <v>0</v>
      </c>
      <c r="S118" s="99">
        <f t="shared" si="84"/>
        <v>0</v>
      </c>
    </row>
    <row r="119" spans="1:19">
      <c r="A119" s="595">
        <v>10</v>
      </c>
      <c r="B119" s="597">
        <f>$D$87*(1+$D$88)^7</f>
        <v>1.5036302589913608</v>
      </c>
      <c r="C119" s="596">
        <f t="shared" si="68"/>
        <v>0</v>
      </c>
      <c r="D119" s="596">
        <f t="shared" si="69"/>
        <v>0</v>
      </c>
      <c r="E119" s="94">
        <f t="shared" si="70"/>
        <v>0</v>
      </c>
      <c r="F119" s="595">
        <f t="shared" si="71"/>
        <v>0</v>
      </c>
      <c r="G119" s="598">
        <f t="shared" si="72"/>
        <v>0</v>
      </c>
      <c r="H119" s="598">
        <f t="shared" si="73"/>
        <v>0</v>
      </c>
      <c r="I119" s="595">
        <f t="shared" si="74"/>
        <v>0</v>
      </c>
      <c r="J119" s="99">
        <f t="shared" si="75"/>
        <v>0</v>
      </c>
      <c r="K119" s="99">
        <f t="shared" si="76"/>
        <v>0</v>
      </c>
      <c r="L119" s="99">
        <f t="shared" si="77"/>
        <v>0</v>
      </c>
      <c r="M119" s="99">
        <f t="shared" si="78"/>
        <v>0</v>
      </c>
      <c r="N119" s="99">
        <f t="shared" si="79"/>
        <v>0</v>
      </c>
      <c r="O119" s="99">
        <f t="shared" si="80"/>
        <v>0</v>
      </c>
      <c r="P119" s="99">
        <f t="shared" si="81"/>
        <v>0</v>
      </c>
      <c r="Q119" s="99">
        <f t="shared" si="82"/>
        <v>0</v>
      </c>
      <c r="R119" s="99">
        <f t="shared" si="83"/>
        <v>0</v>
      </c>
      <c r="S119" s="99">
        <f t="shared" si="84"/>
        <v>0</v>
      </c>
    </row>
    <row r="120" spans="1:19">
      <c r="A120" s="602" t="s">
        <v>824</v>
      </c>
      <c r="C120" s="600">
        <f>SUM(C110:C119)</f>
        <v>0</v>
      </c>
      <c r="J120" s="105">
        <f t="shared" ref="J120:S120" si="85">SUM(J110:J119)</f>
        <v>0</v>
      </c>
      <c r="K120" s="105">
        <f t="shared" si="85"/>
        <v>0</v>
      </c>
      <c r="L120" s="105">
        <f t="shared" si="85"/>
        <v>0</v>
      </c>
      <c r="M120" s="105">
        <f t="shared" si="85"/>
        <v>0</v>
      </c>
      <c r="N120" s="105">
        <f t="shared" si="85"/>
        <v>0</v>
      </c>
      <c r="O120" s="105">
        <f t="shared" si="85"/>
        <v>0</v>
      </c>
      <c r="P120" s="105">
        <f t="shared" si="85"/>
        <v>0</v>
      </c>
      <c r="Q120" s="105">
        <f t="shared" si="85"/>
        <v>0</v>
      </c>
      <c r="R120" s="105">
        <f t="shared" si="85"/>
        <v>0</v>
      </c>
      <c r="S120" s="105">
        <f t="shared" si="85"/>
        <v>0</v>
      </c>
    </row>
    <row r="121" spans="1:19">
      <c r="A121" s="601" t="s">
        <v>825</v>
      </c>
      <c r="N121" s="594">
        <f>$D$75+IF(C120=0,0,M120/C120)</f>
        <v>0</v>
      </c>
    </row>
    <row r="123" spans="1:19">
      <c r="A123" s="602" t="s">
        <v>827</v>
      </c>
    </row>
    <row r="124" spans="1:19" ht="45">
      <c r="A124" s="76" t="s">
        <v>76</v>
      </c>
      <c r="B124" s="76" t="s">
        <v>806</v>
      </c>
      <c r="C124" s="76" t="s">
        <v>807</v>
      </c>
      <c r="D124" s="76" t="s">
        <v>808</v>
      </c>
      <c r="E124" s="76" t="s">
        <v>809</v>
      </c>
      <c r="F124" s="76" t="s">
        <v>810</v>
      </c>
      <c r="G124" s="76" t="s">
        <v>811</v>
      </c>
      <c r="H124" s="76" t="s">
        <v>812</v>
      </c>
      <c r="I124" s="76" t="s">
        <v>813</v>
      </c>
      <c r="J124" s="76" t="s">
        <v>814</v>
      </c>
      <c r="K124" s="76" t="s">
        <v>815</v>
      </c>
      <c r="L124" s="76" t="s">
        <v>816</v>
      </c>
      <c r="M124" s="76" t="s">
        <v>817</v>
      </c>
      <c r="N124" s="76" t="s">
        <v>818</v>
      </c>
      <c r="O124" s="76" t="s">
        <v>819</v>
      </c>
      <c r="P124" s="76" t="s">
        <v>820</v>
      </c>
      <c r="Q124" s="76" t="s">
        <v>821</v>
      </c>
      <c r="R124" s="76" t="s">
        <v>822</v>
      </c>
      <c r="S124" s="76" t="s">
        <v>823</v>
      </c>
    </row>
    <row r="125" spans="1:19">
      <c r="A125" s="595">
        <v>1</v>
      </c>
      <c r="B125" s="597">
        <f>$E$85</f>
        <v>0.5</v>
      </c>
      <c r="C125" s="596">
        <f t="shared" ref="C125:C134" si="86">$E$72*B125</f>
        <v>0</v>
      </c>
      <c r="D125" s="596">
        <f t="shared" ref="D125:D134" si="87">IF($E$73=0,0,C125/$E$73)</f>
        <v>0</v>
      </c>
      <c r="E125" s="94">
        <f t="shared" ref="E125:E134" si="88">IF($E$70=0,0,D125/($E$70*24))</f>
        <v>0</v>
      </c>
      <c r="F125" s="595">
        <f t="shared" ref="F125:F134" si="89">IF($E$65=0,0,MIN($E$65,MAX(1,ROUNDUP(E125*$E$81,0))))</f>
        <v>0</v>
      </c>
      <c r="G125" s="598">
        <f t="shared" ref="G125:G134" si="90">F125*IF($E$83="Yes",$E$69,$E$70)</f>
        <v>0</v>
      </c>
      <c r="H125" s="598">
        <f t="shared" ref="H125:H134" si="91">G125*(1+$E$82)</f>
        <v>0</v>
      </c>
      <c r="I125" s="595">
        <f t="shared" ref="I125:I134" si="92">IF($E$77=0,0,ROUNDUP(H125/$E$77,0))</f>
        <v>0</v>
      </c>
      <c r="J125" s="99">
        <f t="shared" ref="J125:J134" si="93">I125*$E$78*12</f>
        <v>0</v>
      </c>
      <c r="K125" s="99">
        <f t="shared" ref="K125:K134" si="94">IF(A125&gt;=$E$84,12*$E$79*G125,0)</f>
        <v>0</v>
      </c>
      <c r="L125" s="99">
        <f t="shared" ref="L125:L134" si="95">12*$E$80</f>
        <v>0</v>
      </c>
      <c r="M125" s="99">
        <f t="shared" ref="M125:M134" si="96">J125+K125+L125</f>
        <v>0</v>
      </c>
      <c r="N125" s="99">
        <f t="shared" ref="N125:N134" si="97">C125*$E$75</f>
        <v>0</v>
      </c>
      <c r="O125" s="99">
        <f t="shared" ref="O125:O134" si="98">M125+N125</f>
        <v>0</v>
      </c>
      <c r="P125" s="99">
        <f t="shared" ref="P125:P134" si="99">C125*$E$74</f>
        <v>0</v>
      </c>
      <c r="Q125" s="99">
        <f t="shared" ref="Q125:Q134" si="100">P125*$E$76</f>
        <v>0</v>
      </c>
      <c r="R125" s="99">
        <f t="shared" ref="R125:R134" si="101">IF(A125&gt;$E$89,$E$90+$E$91,0)</f>
        <v>0</v>
      </c>
      <c r="S125" s="99">
        <f t="shared" ref="S125:S134" si="102">P125-O125-Q125-R125</f>
        <v>0</v>
      </c>
    </row>
    <row r="126" spans="1:19">
      <c r="A126" s="595">
        <v>2</v>
      </c>
      <c r="B126" s="597">
        <f>$E$86</f>
        <v>0.75</v>
      </c>
      <c r="C126" s="596">
        <f t="shared" si="86"/>
        <v>0</v>
      </c>
      <c r="D126" s="596">
        <f t="shared" si="87"/>
        <v>0</v>
      </c>
      <c r="E126" s="94">
        <f t="shared" si="88"/>
        <v>0</v>
      </c>
      <c r="F126" s="595">
        <f t="shared" si="89"/>
        <v>0</v>
      </c>
      <c r="G126" s="598">
        <f t="shared" si="90"/>
        <v>0</v>
      </c>
      <c r="H126" s="598">
        <f t="shared" si="91"/>
        <v>0</v>
      </c>
      <c r="I126" s="595">
        <f t="shared" si="92"/>
        <v>0</v>
      </c>
      <c r="J126" s="99">
        <f t="shared" si="93"/>
        <v>0</v>
      </c>
      <c r="K126" s="99">
        <f t="shared" si="94"/>
        <v>0</v>
      </c>
      <c r="L126" s="99">
        <f t="shared" si="95"/>
        <v>0</v>
      </c>
      <c r="M126" s="99">
        <f t="shared" si="96"/>
        <v>0</v>
      </c>
      <c r="N126" s="99">
        <f t="shared" si="97"/>
        <v>0</v>
      </c>
      <c r="O126" s="99">
        <f t="shared" si="98"/>
        <v>0</v>
      </c>
      <c r="P126" s="99">
        <f t="shared" si="99"/>
        <v>0</v>
      </c>
      <c r="Q126" s="99">
        <f t="shared" si="100"/>
        <v>0</v>
      </c>
      <c r="R126" s="99">
        <f t="shared" si="101"/>
        <v>0</v>
      </c>
      <c r="S126" s="99">
        <f t="shared" si="102"/>
        <v>0</v>
      </c>
    </row>
    <row r="127" spans="1:19">
      <c r="A127" s="595">
        <v>3</v>
      </c>
      <c r="B127" s="597">
        <f>$E$87</f>
        <v>1</v>
      </c>
      <c r="C127" s="596">
        <f t="shared" si="86"/>
        <v>0</v>
      </c>
      <c r="D127" s="596">
        <f t="shared" si="87"/>
        <v>0</v>
      </c>
      <c r="E127" s="94">
        <f t="shared" si="88"/>
        <v>0</v>
      </c>
      <c r="F127" s="595">
        <f t="shared" si="89"/>
        <v>0</v>
      </c>
      <c r="G127" s="598">
        <f t="shared" si="90"/>
        <v>0</v>
      </c>
      <c r="H127" s="598">
        <f t="shared" si="91"/>
        <v>0</v>
      </c>
      <c r="I127" s="595">
        <f t="shared" si="92"/>
        <v>0</v>
      </c>
      <c r="J127" s="99">
        <f t="shared" si="93"/>
        <v>0</v>
      </c>
      <c r="K127" s="99">
        <f t="shared" si="94"/>
        <v>0</v>
      </c>
      <c r="L127" s="99">
        <f t="shared" si="95"/>
        <v>0</v>
      </c>
      <c r="M127" s="99">
        <f t="shared" si="96"/>
        <v>0</v>
      </c>
      <c r="N127" s="99">
        <f t="shared" si="97"/>
        <v>0</v>
      </c>
      <c r="O127" s="99">
        <f t="shared" si="98"/>
        <v>0</v>
      </c>
      <c r="P127" s="99">
        <f t="shared" si="99"/>
        <v>0</v>
      </c>
      <c r="Q127" s="99">
        <f t="shared" si="100"/>
        <v>0</v>
      </c>
      <c r="R127" s="99">
        <f t="shared" si="101"/>
        <v>0</v>
      </c>
      <c r="S127" s="99">
        <f t="shared" si="102"/>
        <v>0</v>
      </c>
    </row>
    <row r="128" spans="1:19">
      <c r="A128" s="595">
        <v>4</v>
      </c>
      <c r="B128" s="597">
        <f>$E$87*(1+$E$88)^1</f>
        <v>1.06</v>
      </c>
      <c r="C128" s="596">
        <f t="shared" si="86"/>
        <v>0</v>
      </c>
      <c r="D128" s="596">
        <f t="shared" si="87"/>
        <v>0</v>
      </c>
      <c r="E128" s="94">
        <f t="shared" si="88"/>
        <v>0</v>
      </c>
      <c r="F128" s="595">
        <f t="shared" si="89"/>
        <v>0</v>
      </c>
      <c r="G128" s="598">
        <f t="shared" si="90"/>
        <v>0</v>
      </c>
      <c r="H128" s="598">
        <f t="shared" si="91"/>
        <v>0</v>
      </c>
      <c r="I128" s="595">
        <f t="shared" si="92"/>
        <v>0</v>
      </c>
      <c r="J128" s="99">
        <f t="shared" si="93"/>
        <v>0</v>
      </c>
      <c r="K128" s="99">
        <f t="shared" si="94"/>
        <v>0</v>
      </c>
      <c r="L128" s="99">
        <f t="shared" si="95"/>
        <v>0</v>
      </c>
      <c r="M128" s="99">
        <f t="shared" si="96"/>
        <v>0</v>
      </c>
      <c r="N128" s="99">
        <f t="shared" si="97"/>
        <v>0</v>
      </c>
      <c r="O128" s="99">
        <f t="shared" si="98"/>
        <v>0</v>
      </c>
      <c r="P128" s="99">
        <f t="shared" si="99"/>
        <v>0</v>
      </c>
      <c r="Q128" s="99">
        <f t="shared" si="100"/>
        <v>0</v>
      </c>
      <c r="R128" s="99">
        <f t="shared" si="101"/>
        <v>0</v>
      </c>
      <c r="S128" s="99">
        <f t="shared" si="102"/>
        <v>0</v>
      </c>
    </row>
    <row r="129" spans="1:19">
      <c r="A129" s="595">
        <v>5</v>
      </c>
      <c r="B129" s="597">
        <f>$E$87*(1+$E$88)^2</f>
        <v>1.1236000000000002</v>
      </c>
      <c r="C129" s="596">
        <f t="shared" si="86"/>
        <v>0</v>
      </c>
      <c r="D129" s="596">
        <f t="shared" si="87"/>
        <v>0</v>
      </c>
      <c r="E129" s="94">
        <f t="shared" si="88"/>
        <v>0</v>
      </c>
      <c r="F129" s="595">
        <f t="shared" si="89"/>
        <v>0</v>
      </c>
      <c r="G129" s="598">
        <f t="shared" si="90"/>
        <v>0</v>
      </c>
      <c r="H129" s="598">
        <f t="shared" si="91"/>
        <v>0</v>
      </c>
      <c r="I129" s="595">
        <f t="shared" si="92"/>
        <v>0</v>
      </c>
      <c r="J129" s="99">
        <f t="shared" si="93"/>
        <v>0</v>
      </c>
      <c r="K129" s="99">
        <f t="shared" si="94"/>
        <v>0</v>
      </c>
      <c r="L129" s="99">
        <f t="shared" si="95"/>
        <v>0</v>
      </c>
      <c r="M129" s="99">
        <f t="shared" si="96"/>
        <v>0</v>
      </c>
      <c r="N129" s="99">
        <f t="shared" si="97"/>
        <v>0</v>
      </c>
      <c r="O129" s="99">
        <f t="shared" si="98"/>
        <v>0</v>
      </c>
      <c r="P129" s="99">
        <f t="shared" si="99"/>
        <v>0</v>
      </c>
      <c r="Q129" s="99">
        <f t="shared" si="100"/>
        <v>0</v>
      </c>
      <c r="R129" s="99">
        <f t="shared" si="101"/>
        <v>0</v>
      </c>
      <c r="S129" s="99">
        <f t="shared" si="102"/>
        <v>0</v>
      </c>
    </row>
    <row r="130" spans="1:19">
      <c r="A130" s="595">
        <v>6</v>
      </c>
      <c r="B130" s="597">
        <f>$E$87*(1+$E$88)^3</f>
        <v>1.1910160000000003</v>
      </c>
      <c r="C130" s="596">
        <f t="shared" si="86"/>
        <v>0</v>
      </c>
      <c r="D130" s="596">
        <f t="shared" si="87"/>
        <v>0</v>
      </c>
      <c r="E130" s="94">
        <f t="shared" si="88"/>
        <v>0</v>
      </c>
      <c r="F130" s="595">
        <f t="shared" si="89"/>
        <v>0</v>
      </c>
      <c r="G130" s="598">
        <f t="shared" si="90"/>
        <v>0</v>
      </c>
      <c r="H130" s="598">
        <f t="shared" si="91"/>
        <v>0</v>
      </c>
      <c r="I130" s="595">
        <f t="shared" si="92"/>
        <v>0</v>
      </c>
      <c r="J130" s="99">
        <f t="shared" si="93"/>
        <v>0</v>
      </c>
      <c r="K130" s="99">
        <f t="shared" si="94"/>
        <v>0</v>
      </c>
      <c r="L130" s="99">
        <f t="shared" si="95"/>
        <v>0</v>
      </c>
      <c r="M130" s="99">
        <f t="shared" si="96"/>
        <v>0</v>
      </c>
      <c r="N130" s="99">
        <f t="shared" si="97"/>
        <v>0</v>
      </c>
      <c r="O130" s="99">
        <f t="shared" si="98"/>
        <v>0</v>
      </c>
      <c r="P130" s="99">
        <f t="shared" si="99"/>
        <v>0</v>
      </c>
      <c r="Q130" s="99">
        <f t="shared" si="100"/>
        <v>0</v>
      </c>
      <c r="R130" s="99">
        <f t="shared" si="101"/>
        <v>0</v>
      </c>
      <c r="S130" s="99">
        <f t="shared" si="102"/>
        <v>0</v>
      </c>
    </row>
    <row r="131" spans="1:19">
      <c r="A131" s="595">
        <v>7</v>
      </c>
      <c r="B131" s="597">
        <f>$E$87*(1+$E$88)^4</f>
        <v>1.2624769600000003</v>
      </c>
      <c r="C131" s="596">
        <f t="shared" si="86"/>
        <v>0</v>
      </c>
      <c r="D131" s="596">
        <f t="shared" si="87"/>
        <v>0</v>
      </c>
      <c r="E131" s="94">
        <f t="shared" si="88"/>
        <v>0</v>
      </c>
      <c r="F131" s="595">
        <f t="shared" si="89"/>
        <v>0</v>
      </c>
      <c r="G131" s="598">
        <f t="shared" si="90"/>
        <v>0</v>
      </c>
      <c r="H131" s="598">
        <f t="shared" si="91"/>
        <v>0</v>
      </c>
      <c r="I131" s="595">
        <f t="shared" si="92"/>
        <v>0</v>
      </c>
      <c r="J131" s="99">
        <f t="shared" si="93"/>
        <v>0</v>
      </c>
      <c r="K131" s="99">
        <f t="shared" si="94"/>
        <v>0</v>
      </c>
      <c r="L131" s="99">
        <f t="shared" si="95"/>
        <v>0</v>
      </c>
      <c r="M131" s="99">
        <f t="shared" si="96"/>
        <v>0</v>
      </c>
      <c r="N131" s="99">
        <f t="shared" si="97"/>
        <v>0</v>
      </c>
      <c r="O131" s="99">
        <f t="shared" si="98"/>
        <v>0</v>
      </c>
      <c r="P131" s="99">
        <f t="shared" si="99"/>
        <v>0</v>
      </c>
      <c r="Q131" s="99">
        <f t="shared" si="100"/>
        <v>0</v>
      </c>
      <c r="R131" s="99">
        <f t="shared" si="101"/>
        <v>0</v>
      </c>
      <c r="S131" s="99">
        <f t="shared" si="102"/>
        <v>0</v>
      </c>
    </row>
    <row r="132" spans="1:19">
      <c r="A132" s="595">
        <v>8</v>
      </c>
      <c r="B132" s="597">
        <f>$E$87*(1+$E$88)^5</f>
        <v>1.3382255776000005</v>
      </c>
      <c r="C132" s="596">
        <f t="shared" si="86"/>
        <v>0</v>
      </c>
      <c r="D132" s="596">
        <f t="shared" si="87"/>
        <v>0</v>
      </c>
      <c r="E132" s="94">
        <f t="shared" si="88"/>
        <v>0</v>
      </c>
      <c r="F132" s="595">
        <f t="shared" si="89"/>
        <v>0</v>
      </c>
      <c r="G132" s="598">
        <f t="shared" si="90"/>
        <v>0</v>
      </c>
      <c r="H132" s="598">
        <f t="shared" si="91"/>
        <v>0</v>
      </c>
      <c r="I132" s="595">
        <f t="shared" si="92"/>
        <v>0</v>
      </c>
      <c r="J132" s="99">
        <f t="shared" si="93"/>
        <v>0</v>
      </c>
      <c r="K132" s="99">
        <f t="shared" si="94"/>
        <v>0</v>
      </c>
      <c r="L132" s="99">
        <f t="shared" si="95"/>
        <v>0</v>
      </c>
      <c r="M132" s="99">
        <f t="shared" si="96"/>
        <v>0</v>
      </c>
      <c r="N132" s="99">
        <f t="shared" si="97"/>
        <v>0</v>
      </c>
      <c r="O132" s="99">
        <f t="shared" si="98"/>
        <v>0</v>
      </c>
      <c r="P132" s="99">
        <f t="shared" si="99"/>
        <v>0</v>
      </c>
      <c r="Q132" s="99">
        <f t="shared" si="100"/>
        <v>0</v>
      </c>
      <c r="R132" s="99">
        <f t="shared" si="101"/>
        <v>0</v>
      </c>
      <c r="S132" s="99">
        <f t="shared" si="102"/>
        <v>0</v>
      </c>
    </row>
    <row r="133" spans="1:19">
      <c r="A133" s="595">
        <v>9</v>
      </c>
      <c r="B133" s="597">
        <f>$E$87*(1+$E$88)^6</f>
        <v>1.4185191122560006</v>
      </c>
      <c r="C133" s="596">
        <f t="shared" si="86"/>
        <v>0</v>
      </c>
      <c r="D133" s="596">
        <f t="shared" si="87"/>
        <v>0</v>
      </c>
      <c r="E133" s="94">
        <f t="shared" si="88"/>
        <v>0</v>
      </c>
      <c r="F133" s="595">
        <f t="shared" si="89"/>
        <v>0</v>
      </c>
      <c r="G133" s="598">
        <f t="shared" si="90"/>
        <v>0</v>
      </c>
      <c r="H133" s="598">
        <f t="shared" si="91"/>
        <v>0</v>
      </c>
      <c r="I133" s="595">
        <f t="shared" si="92"/>
        <v>0</v>
      </c>
      <c r="J133" s="99">
        <f t="shared" si="93"/>
        <v>0</v>
      </c>
      <c r="K133" s="99">
        <f t="shared" si="94"/>
        <v>0</v>
      </c>
      <c r="L133" s="99">
        <f t="shared" si="95"/>
        <v>0</v>
      </c>
      <c r="M133" s="99">
        <f t="shared" si="96"/>
        <v>0</v>
      </c>
      <c r="N133" s="99">
        <f t="shared" si="97"/>
        <v>0</v>
      </c>
      <c r="O133" s="99">
        <f t="shared" si="98"/>
        <v>0</v>
      </c>
      <c r="P133" s="99">
        <f t="shared" si="99"/>
        <v>0</v>
      </c>
      <c r="Q133" s="99">
        <f t="shared" si="100"/>
        <v>0</v>
      </c>
      <c r="R133" s="99">
        <f t="shared" si="101"/>
        <v>0</v>
      </c>
      <c r="S133" s="99">
        <f t="shared" si="102"/>
        <v>0</v>
      </c>
    </row>
    <row r="134" spans="1:19">
      <c r="A134" s="595">
        <v>10</v>
      </c>
      <c r="B134" s="597">
        <f>$E$87*(1+$E$88)^7</f>
        <v>1.5036302589913608</v>
      </c>
      <c r="C134" s="596">
        <f t="shared" si="86"/>
        <v>0</v>
      </c>
      <c r="D134" s="596">
        <f t="shared" si="87"/>
        <v>0</v>
      </c>
      <c r="E134" s="94">
        <f t="shared" si="88"/>
        <v>0</v>
      </c>
      <c r="F134" s="595">
        <f t="shared" si="89"/>
        <v>0</v>
      </c>
      <c r="G134" s="598">
        <f t="shared" si="90"/>
        <v>0</v>
      </c>
      <c r="H134" s="598">
        <f t="shared" si="91"/>
        <v>0</v>
      </c>
      <c r="I134" s="595">
        <f t="shared" si="92"/>
        <v>0</v>
      </c>
      <c r="J134" s="99">
        <f t="shared" si="93"/>
        <v>0</v>
      </c>
      <c r="K134" s="99">
        <f t="shared" si="94"/>
        <v>0</v>
      </c>
      <c r="L134" s="99">
        <f t="shared" si="95"/>
        <v>0</v>
      </c>
      <c r="M134" s="99">
        <f t="shared" si="96"/>
        <v>0</v>
      </c>
      <c r="N134" s="99">
        <f t="shared" si="97"/>
        <v>0</v>
      </c>
      <c r="O134" s="99">
        <f t="shared" si="98"/>
        <v>0</v>
      </c>
      <c r="P134" s="99">
        <f t="shared" si="99"/>
        <v>0</v>
      </c>
      <c r="Q134" s="99">
        <f t="shared" si="100"/>
        <v>0</v>
      </c>
      <c r="R134" s="99">
        <f t="shared" si="101"/>
        <v>0</v>
      </c>
      <c r="S134" s="99">
        <f t="shared" si="102"/>
        <v>0</v>
      </c>
    </row>
    <row r="135" spans="1:19">
      <c r="A135" s="602" t="s">
        <v>824</v>
      </c>
      <c r="C135" s="600">
        <f>SUM(C125:C134)</f>
        <v>0</v>
      </c>
      <c r="J135" s="105">
        <f t="shared" ref="J135:S135" si="103">SUM(J125:J134)</f>
        <v>0</v>
      </c>
      <c r="K135" s="105">
        <f t="shared" si="103"/>
        <v>0</v>
      </c>
      <c r="L135" s="105">
        <f t="shared" si="103"/>
        <v>0</v>
      </c>
      <c r="M135" s="105">
        <f t="shared" si="103"/>
        <v>0</v>
      </c>
      <c r="N135" s="105">
        <f t="shared" si="103"/>
        <v>0</v>
      </c>
      <c r="O135" s="105">
        <f t="shared" si="103"/>
        <v>0</v>
      </c>
      <c r="P135" s="105">
        <f t="shared" si="103"/>
        <v>0</v>
      </c>
      <c r="Q135" s="105">
        <f t="shared" si="103"/>
        <v>0</v>
      </c>
      <c r="R135" s="105">
        <f t="shared" si="103"/>
        <v>0</v>
      </c>
      <c r="S135" s="105">
        <f t="shared" si="103"/>
        <v>0</v>
      </c>
    </row>
    <row r="136" spans="1:19">
      <c r="A136" s="601" t="s">
        <v>825</v>
      </c>
      <c r="N136" s="594">
        <f>$E$75+IF(C135=0,0,M135/C135)</f>
        <v>0</v>
      </c>
    </row>
    <row r="138" spans="1:19">
      <c r="A138" s="602" t="s">
        <v>828</v>
      </c>
    </row>
    <row r="139" spans="1:19" ht="45">
      <c r="A139" s="76" t="s">
        <v>76</v>
      </c>
      <c r="B139" s="76" t="s">
        <v>806</v>
      </c>
      <c r="C139" s="76" t="s">
        <v>807</v>
      </c>
      <c r="D139" s="76" t="s">
        <v>808</v>
      </c>
      <c r="E139" s="76" t="s">
        <v>809</v>
      </c>
      <c r="F139" s="76" t="s">
        <v>810</v>
      </c>
      <c r="G139" s="76" t="s">
        <v>811</v>
      </c>
      <c r="H139" s="76" t="s">
        <v>812</v>
      </c>
      <c r="I139" s="76" t="s">
        <v>813</v>
      </c>
      <c r="J139" s="76" t="s">
        <v>814</v>
      </c>
      <c r="K139" s="76" t="s">
        <v>815</v>
      </c>
      <c r="L139" s="76" t="s">
        <v>816</v>
      </c>
      <c r="M139" s="76" t="s">
        <v>817</v>
      </c>
      <c r="N139" s="76" t="s">
        <v>818</v>
      </c>
      <c r="O139" s="76" t="s">
        <v>819</v>
      </c>
      <c r="P139" s="76" t="s">
        <v>820</v>
      </c>
      <c r="Q139" s="76" t="s">
        <v>821</v>
      </c>
      <c r="R139" s="76" t="s">
        <v>822</v>
      </c>
      <c r="S139" s="76" t="s">
        <v>823</v>
      </c>
    </row>
    <row r="140" spans="1:19">
      <c r="A140" s="595">
        <v>1</v>
      </c>
      <c r="B140" s="597">
        <f>$F$85</f>
        <v>0.5</v>
      </c>
      <c r="C140" s="596">
        <f t="shared" ref="C140:C149" si="104">$F$72*B140</f>
        <v>0</v>
      </c>
      <c r="D140" s="596">
        <f t="shared" ref="D140:D149" si="105">IF($F$73=0,0,C140/$F$73)</f>
        <v>0</v>
      </c>
      <c r="E140" s="94">
        <f t="shared" ref="E140:E149" si="106">IF($F$70=0,0,D140/($F$70*24))</f>
        <v>0</v>
      </c>
      <c r="F140" s="595">
        <f t="shared" ref="F140:F149" si="107">IF($F$65=0,0,MIN($F$65,MAX(1,ROUNDUP(E140*$F$81,0))))</f>
        <v>0</v>
      </c>
      <c r="G140" s="598">
        <f t="shared" ref="G140:G149" si="108">F140*IF($F$83="Yes",$F$69,$F$70)</f>
        <v>0</v>
      </c>
      <c r="H140" s="598">
        <f t="shared" ref="H140:H149" si="109">G140*(1+$F$82)</f>
        <v>0</v>
      </c>
      <c r="I140" s="595">
        <f t="shared" ref="I140:I149" si="110">IF($F$77=0,0,ROUNDUP(H140/$F$77,0))</f>
        <v>0</v>
      </c>
      <c r="J140" s="99">
        <f t="shared" ref="J140:J149" si="111">I140*$F$78*12</f>
        <v>0</v>
      </c>
      <c r="K140" s="99">
        <f t="shared" ref="K140:K149" si="112">IF(A140&gt;=$F$84,12*$F$79*G140,0)</f>
        <v>0</v>
      </c>
      <c r="L140" s="99">
        <f t="shared" ref="L140:L149" si="113">12*$F$80</f>
        <v>0</v>
      </c>
      <c r="M140" s="99">
        <f t="shared" ref="M140:M149" si="114">J140+K140+L140</f>
        <v>0</v>
      </c>
      <c r="N140" s="99">
        <f t="shared" ref="N140:N149" si="115">C140*$F$75</f>
        <v>0</v>
      </c>
      <c r="O140" s="99">
        <f t="shared" ref="O140:O149" si="116">M140+N140</f>
        <v>0</v>
      </c>
      <c r="P140" s="99">
        <f t="shared" ref="P140:P149" si="117">C140*$F$74</f>
        <v>0</v>
      </c>
      <c r="Q140" s="99">
        <f t="shared" ref="Q140:Q149" si="118">P140*$F$76</f>
        <v>0</v>
      </c>
      <c r="R140" s="99">
        <f t="shared" ref="R140:R149" si="119">IF(A140&gt;$F$89,$F$90+$F$91,0)</f>
        <v>0</v>
      </c>
      <c r="S140" s="99">
        <f t="shared" ref="S140:S149" si="120">P140-O140-Q140-R140</f>
        <v>0</v>
      </c>
    </row>
    <row r="141" spans="1:19">
      <c r="A141" s="595">
        <v>2</v>
      </c>
      <c r="B141" s="597">
        <f>$F$86</f>
        <v>0.75</v>
      </c>
      <c r="C141" s="596">
        <f t="shared" si="104"/>
        <v>0</v>
      </c>
      <c r="D141" s="596">
        <f t="shared" si="105"/>
        <v>0</v>
      </c>
      <c r="E141" s="94">
        <f t="shared" si="106"/>
        <v>0</v>
      </c>
      <c r="F141" s="595">
        <f t="shared" si="107"/>
        <v>0</v>
      </c>
      <c r="G141" s="598">
        <f t="shared" si="108"/>
        <v>0</v>
      </c>
      <c r="H141" s="598">
        <f t="shared" si="109"/>
        <v>0</v>
      </c>
      <c r="I141" s="595">
        <f t="shared" si="110"/>
        <v>0</v>
      </c>
      <c r="J141" s="99">
        <f t="shared" si="111"/>
        <v>0</v>
      </c>
      <c r="K141" s="99">
        <f t="shared" si="112"/>
        <v>0</v>
      </c>
      <c r="L141" s="99">
        <f t="shared" si="113"/>
        <v>0</v>
      </c>
      <c r="M141" s="99">
        <f t="shared" si="114"/>
        <v>0</v>
      </c>
      <c r="N141" s="99">
        <f t="shared" si="115"/>
        <v>0</v>
      </c>
      <c r="O141" s="99">
        <f t="shared" si="116"/>
        <v>0</v>
      </c>
      <c r="P141" s="99">
        <f t="shared" si="117"/>
        <v>0</v>
      </c>
      <c r="Q141" s="99">
        <f t="shared" si="118"/>
        <v>0</v>
      </c>
      <c r="R141" s="99">
        <f t="shared" si="119"/>
        <v>0</v>
      </c>
      <c r="S141" s="99">
        <f t="shared" si="120"/>
        <v>0</v>
      </c>
    </row>
    <row r="142" spans="1:19">
      <c r="A142" s="595">
        <v>3</v>
      </c>
      <c r="B142" s="597">
        <f>$F$87</f>
        <v>1</v>
      </c>
      <c r="C142" s="596">
        <f t="shared" si="104"/>
        <v>0</v>
      </c>
      <c r="D142" s="596">
        <f t="shared" si="105"/>
        <v>0</v>
      </c>
      <c r="E142" s="94">
        <f t="shared" si="106"/>
        <v>0</v>
      </c>
      <c r="F142" s="595">
        <f t="shared" si="107"/>
        <v>0</v>
      </c>
      <c r="G142" s="598">
        <f t="shared" si="108"/>
        <v>0</v>
      </c>
      <c r="H142" s="598">
        <f t="shared" si="109"/>
        <v>0</v>
      </c>
      <c r="I142" s="595">
        <f t="shared" si="110"/>
        <v>0</v>
      </c>
      <c r="J142" s="99">
        <f t="shared" si="111"/>
        <v>0</v>
      </c>
      <c r="K142" s="99">
        <f t="shared" si="112"/>
        <v>0</v>
      </c>
      <c r="L142" s="99">
        <f t="shared" si="113"/>
        <v>0</v>
      </c>
      <c r="M142" s="99">
        <f t="shared" si="114"/>
        <v>0</v>
      </c>
      <c r="N142" s="99">
        <f t="shared" si="115"/>
        <v>0</v>
      </c>
      <c r="O142" s="99">
        <f t="shared" si="116"/>
        <v>0</v>
      </c>
      <c r="P142" s="99">
        <f t="shared" si="117"/>
        <v>0</v>
      </c>
      <c r="Q142" s="99">
        <f t="shared" si="118"/>
        <v>0</v>
      </c>
      <c r="R142" s="99">
        <f t="shared" si="119"/>
        <v>0</v>
      </c>
      <c r="S142" s="99">
        <f t="shared" si="120"/>
        <v>0</v>
      </c>
    </row>
    <row r="143" spans="1:19">
      <c r="A143" s="595">
        <v>4</v>
      </c>
      <c r="B143" s="597">
        <f>$F$87*(1+$F$88)^1</f>
        <v>1.06</v>
      </c>
      <c r="C143" s="596">
        <f t="shared" si="104"/>
        <v>0</v>
      </c>
      <c r="D143" s="596">
        <f t="shared" si="105"/>
        <v>0</v>
      </c>
      <c r="E143" s="94">
        <f t="shared" si="106"/>
        <v>0</v>
      </c>
      <c r="F143" s="595">
        <f t="shared" si="107"/>
        <v>0</v>
      </c>
      <c r="G143" s="598">
        <f t="shared" si="108"/>
        <v>0</v>
      </c>
      <c r="H143" s="598">
        <f t="shared" si="109"/>
        <v>0</v>
      </c>
      <c r="I143" s="595">
        <f t="shared" si="110"/>
        <v>0</v>
      </c>
      <c r="J143" s="99">
        <f t="shared" si="111"/>
        <v>0</v>
      </c>
      <c r="K143" s="99">
        <f t="shared" si="112"/>
        <v>0</v>
      </c>
      <c r="L143" s="99">
        <f t="shared" si="113"/>
        <v>0</v>
      </c>
      <c r="M143" s="99">
        <f t="shared" si="114"/>
        <v>0</v>
      </c>
      <c r="N143" s="99">
        <f t="shared" si="115"/>
        <v>0</v>
      </c>
      <c r="O143" s="99">
        <f t="shared" si="116"/>
        <v>0</v>
      </c>
      <c r="P143" s="99">
        <f t="shared" si="117"/>
        <v>0</v>
      </c>
      <c r="Q143" s="99">
        <f t="shared" si="118"/>
        <v>0</v>
      </c>
      <c r="R143" s="99">
        <f t="shared" si="119"/>
        <v>0</v>
      </c>
      <c r="S143" s="99">
        <f t="shared" si="120"/>
        <v>0</v>
      </c>
    </row>
    <row r="144" spans="1:19">
      <c r="A144" s="595">
        <v>5</v>
      </c>
      <c r="B144" s="597">
        <f>$F$87*(1+$F$88)^2</f>
        <v>1.1236000000000002</v>
      </c>
      <c r="C144" s="596">
        <f t="shared" si="104"/>
        <v>0</v>
      </c>
      <c r="D144" s="596">
        <f t="shared" si="105"/>
        <v>0</v>
      </c>
      <c r="E144" s="94">
        <f t="shared" si="106"/>
        <v>0</v>
      </c>
      <c r="F144" s="595">
        <f t="shared" si="107"/>
        <v>0</v>
      </c>
      <c r="G144" s="598">
        <f t="shared" si="108"/>
        <v>0</v>
      </c>
      <c r="H144" s="598">
        <f t="shared" si="109"/>
        <v>0</v>
      </c>
      <c r="I144" s="595">
        <f t="shared" si="110"/>
        <v>0</v>
      </c>
      <c r="J144" s="99">
        <f t="shared" si="111"/>
        <v>0</v>
      </c>
      <c r="K144" s="99">
        <f t="shared" si="112"/>
        <v>0</v>
      </c>
      <c r="L144" s="99">
        <f t="shared" si="113"/>
        <v>0</v>
      </c>
      <c r="M144" s="99">
        <f t="shared" si="114"/>
        <v>0</v>
      </c>
      <c r="N144" s="99">
        <f t="shared" si="115"/>
        <v>0</v>
      </c>
      <c r="O144" s="99">
        <f t="shared" si="116"/>
        <v>0</v>
      </c>
      <c r="P144" s="99">
        <f t="shared" si="117"/>
        <v>0</v>
      </c>
      <c r="Q144" s="99">
        <f t="shared" si="118"/>
        <v>0</v>
      </c>
      <c r="R144" s="99">
        <f t="shared" si="119"/>
        <v>0</v>
      </c>
      <c r="S144" s="99">
        <f t="shared" si="120"/>
        <v>0</v>
      </c>
    </row>
    <row r="145" spans="1:19">
      <c r="A145" s="595">
        <v>6</v>
      </c>
      <c r="B145" s="597">
        <f>$F$87*(1+$F$88)^3</f>
        <v>1.1910160000000003</v>
      </c>
      <c r="C145" s="596">
        <f t="shared" si="104"/>
        <v>0</v>
      </c>
      <c r="D145" s="596">
        <f t="shared" si="105"/>
        <v>0</v>
      </c>
      <c r="E145" s="94">
        <f t="shared" si="106"/>
        <v>0</v>
      </c>
      <c r="F145" s="595">
        <f t="shared" si="107"/>
        <v>0</v>
      </c>
      <c r="G145" s="598">
        <f t="shared" si="108"/>
        <v>0</v>
      </c>
      <c r="H145" s="598">
        <f t="shared" si="109"/>
        <v>0</v>
      </c>
      <c r="I145" s="595">
        <f t="shared" si="110"/>
        <v>0</v>
      </c>
      <c r="J145" s="99">
        <f t="shared" si="111"/>
        <v>0</v>
      </c>
      <c r="K145" s="99">
        <f t="shared" si="112"/>
        <v>0</v>
      </c>
      <c r="L145" s="99">
        <f t="shared" si="113"/>
        <v>0</v>
      </c>
      <c r="M145" s="99">
        <f t="shared" si="114"/>
        <v>0</v>
      </c>
      <c r="N145" s="99">
        <f t="shared" si="115"/>
        <v>0</v>
      </c>
      <c r="O145" s="99">
        <f t="shared" si="116"/>
        <v>0</v>
      </c>
      <c r="P145" s="99">
        <f t="shared" si="117"/>
        <v>0</v>
      </c>
      <c r="Q145" s="99">
        <f t="shared" si="118"/>
        <v>0</v>
      </c>
      <c r="R145" s="99">
        <f t="shared" si="119"/>
        <v>0</v>
      </c>
      <c r="S145" s="99">
        <f t="shared" si="120"/>
        <v>0</v>
      </c>
    </row>
    <row r="146" spans="1:19">
      <c r="A146" s="595">
        <v>7</v>
      </c>
      <c r="B146" s="597">
        <f>$F$87*(1+$F$88)^4</f>
        <v>1.2624769600000003</v>
      </c>
      <c r="C146" s="596">
        <f t="shared" si="104"/>
        <v>0</v>
      </c>
      <c r="D146" s="596">
        <f t="shared" si="105"/>
        <v>0</v>
      </c>
      <c r="E146" s="94">
        <f t="shared" si="106"/>
        <v>0</v>
      </c>
      <c r="F146" s="595">
        <f t="shared" si="107"/>
        <v>0</v>
      </c>
      <c r="G146" s="598">
        <f t="shared" si="108"/>
        <v>0</v>
      </c>
      <c r="H146" s="598">
        <f t="shared" si="109"/>
        <v>0</v>
      </c>
      <c r="I146" s="595">
        <f t="shared" si="110"/>
        <v>0</v>
      </c>
      <c r="J146" s="99">
        <f t="shared" si="111"/>
        <v>0</v>
      </c>
      <c r="K146" s="99">
        <f t="shared" si="112"/>
        <v>0</v>
      </c>
      <c r="L146" s="99">
        <f t="shared" si="113"/>
        <v>0</v>
      </c>
      <c r="M146" s="99">
        <f t="shared" si="114"/>
        <v>0</v>
      </c>
      <c r="N146" s="99">
        <f t="shared" si="115"/>
        <v>0</v>
      </c>
      <c r="O146" s="99">
        <f t="shared" si="116"/>
        <v>0</v>
      </c>
      <c r="P146" s="99">
        <f t="shared" si="117"/>
        <v>0</v>
      </c>
      <c r="Q146" s="99">
        <f t="shared" si="118"/>
        <v>0</v>
      </c>
      <c r="R146" s="99">
        <f t="shared" si="119"/>
        <v>0</v>
      </c>
      <c r="S146" s="99">
        <f t="shared" si="120"/>
        <v>0</v>
      </c>
    </row>
    <row r="147" spans="1:19">
      <c r="A147" s="595">
        <v>8</v>
      </c>
      <c r="B147" s="597">
        <f>$F$87*(1+$F$88)^5</f>
        <v>1.3382255776000005</v>
      </c>
      <c r="C147" s="596">
        <f t="shared" si="104"/>
        <v>0</v>
      </c>
      <c r="D147" s="596">
        <f t="shared" si="105"/>
        <v>0</v>
      </c>
      <c r="E147" s="94">
        <f t="shared" si="106"/>
        <v>0</v>
      </c>
      <c r="F147" s="595">
        <f t="shared" si="107"/>
        <v>0</v>
      </c>
      <c r="G147" s="598">
        <f t="shared" si="108"/>
        <v>0</v>
      </c>
      <c r="H147" s="598">
        <f t="shared" si="109"/>
        <v>0</v>
      </c>
      <c r="I147" s="595">
        <f t="shared" si="110"/>
        <v>0</v>
      </c>
      <c r="J147" s="99">
        <f t="shared" si="111"/>
        <v>0</v>
      </c>
      <c r="K147" s="99">
        <f t="shared" si="112"/>
        <v>0</v>
      </c>
      <c r="L147" s="99">
        <f t="shared" si="113"/>
        <v>0</v>
      </c>
      <c r="M147" s="99">
        <f t="shared" si="114"/>
        <v>0</v>
      </c>
      <c r="N147" s="99">
        <f t="shared" si="115"/>
        <v>0</v>
      </c>
      <c r="O147" s="99">
        <f t="shared" si="116"/>
        <v>0</v>
      </c>
      <c r="P147" s="99">
        <f t="shared" si="117"/>
        <v>0</v>
      </c>
      <c r="Q147" s="99">
        <f t="shared" si="118"/>
        <v>0</v>
      </c>
      <c r="R147" s="99">
        <f t="shared" si="119"/>
        <v>0</v>
      </c>
      <c r="S147" s="99">
        <f t="shared" si="120"/>
        <v>0</v>
      </c>
    </row>
    <row r="148" spans="1:19">
      <c r="A148" s="595">
        <v>9</v>
      </c>
      <c r="B148" s="597">
        <f>$F$87*(1+$F$88)^6</f>
        <v>1.4185191122560006</v>
      </c>
      <c r="C148" s="596">
        <f t="shared" si="104"/>
        <v>0</v>
      </c>
      <c r="D148" s="596">
        <f t="shared" si="105"/>
        <v>0</v>
      </c>
      <c r="E148" s="94">
        <f t="shared" si="106"/>
        <v>0</v>
      </c>
      <c r="F148" s="595">
        <f t="shared" si="107"/>
        <v>0</v>
      </c>
      <c r="G148" s="598">
        <f t="shared" si="108"/>
        <v>0</v>
      </c>
      <c r="H148" s="598">
        <f t="shared" si="109"/>
        <v>0</v>
      </c>
      <c r="I148" s="595">
        <f t="shared" si="110"/>
        <v>0</v>
      </c>
      <c r="J148" s="99">
        <f t="shared" si="111"/>
        <v>0</v>
      </c>
      <c r="K148" s="99">
        <f t="shared" si="112"/>
        <v>0</v>
      </c>
      <c r="L148" s="99">
        <f t="shared" si="113"/>
        <v>0</v>
      </c>
      <c r="M148" s="99">
        <f t="shared" si="114"/>
        <v>0</v>
      </c>
      <c r="N148" s="99">
        <f t="shared" si="115"/>
        <v>0</v>
      </c>
      <c r="O148" s="99">
        <f t="shared" si="116"/>
        <v>0</v>
      </c>
      <c r="P148" s="99">
        <f t="shared" si="117"/>
        <v>0</v>
      </c>
      <c r="Q148" s="99">
        <f t="shared" si="118"/>
        <v>0</v>
      </c>
      <c r="R148" s="99">
        <f t="shared" si="119"/>
        <v>0</v>
      </c>
      <c r="S148" s="99">
        <f t="shared" si="120"/>
        <v>0</v>
      </c>
    </row>
    <row r="149" spans="1:19">
      <c r="A149" s="595">
        <v>10</v>
      </c>
      <c r="B149" s="597">
        <f>$F$87*(1+$F$88)^7</f>
        <v>1.5036302589913608</v>
      </c>
      <c r="C149" s="596">
        <f t="shared" si="104"/>
        <v>0</v>
      </c>
      <c r="D149" s="596">
        <f t="shared" si="105"/>
        <v>0</v>
      </c>
      <c r="E149" s="94">
        <f t="shared" si="106"/>
        <v>0</v>
      </c>
      <c r="F149" s="595">
        <f t="shared" si="107"/>
        <v>0</v>
      </c>
      <c r="G149" s="598">
        <f t="shared" si="108"/>
        <v>0</v>
      </c>
      <c r="H149" s="598">
        <f t="shared" si="109"/>
        <v>0</v>
      </c>
      <c r="I149" s="595">
        <f t="shared" si="110"/>
        <v>0</v>
      </c>
      <c r="J149" s="99">
        <f t="shared" si="111"/>
        <v>0</v>
      </c>
      <c r="K149" s="99">
        <f t="shared" si="112"/>
        <v>0</v>
      </c>
      <c r="L149" s="99">
        <f t="shared" si="113"/>
        <v>0</v>
      </c>
      <c r="M149" s="99">
        <f t="shared" si="114"/>
        <v>0</v>
      </c>
      <c r="N149" s="99">
        <f t="shared" si="115"/>
        <v>0</v>
      </c>
      <c r="O149" s="99">
        <f t="shared" si="116"/>
        <v>0</v>
      </c>
      <c r="P149" s="99">
        <f t="shared" si="117"/>
        <v>0</v>
      </c>
      <c r="Q149" s="99">
        <f t="shared" si="118"/>
        <v>0</v>
      </c>
      <c r="R149" s="99">
        <f t="shared" si="119"/>
        <v>0</v>
      </c>
      <c r="S149" s="99">
        <f t="shared" si="120"/>
        <v>0</v>
      </c>
    </row>
    <row r="150" spans="1:19">
      <c r="A150" s="602" t="s">
        <v>824</v>
      </c>
      <c r="C150" s="600">
        <f>SUM(C140:C149)</f>
        <v>0</v>
      </c>
      <c r="J150" s="105">
        <f t="shared" ref="J150:S150" si="121">SUM(J140:J149)</f>
        <v>0</v>
      </c>
      <c r="K150" s="105">
        <f t="shared" si="121"/>
        <v>0</v>
      </c>
      <c r="L150" s="105">
        <f t="shared" si="121"/>
        <v>0</v>
      </c>
      <c r="M150" s="105">
        <f t="shared" si="121"/>
        <v>0</v>
      </c>
      <c r="N150" s="105">
        <f t="shared" si="121"/>
        <v>0</v>
      </c>
      <c r="O150" s="105">
        <f t="shared" si="121"/>
        <v>0</v>
      </c>
      <c r="P150" s="105">
        <f t="shared" si="121"/>
        <v>0</v>
      </c>
      <c r="Q150" s="105">
        <f t="shared" si="121"/>
        <v>0</v>
      </c>
      <c r="R150" s="105">
        <f t="shared" si="121"/>
        <v>0</v>
      </c>
      <c r="S150" s="105">
        <f t="shared" si="121"/>
        <v>0</v>
      </c>
    </row>
    <row r="151" spans="1:19">
      <c r="A151" s="601" t="s">
        <v>825</v>
      </c>
      <c r="N151" s="594">
        <f>$F$75+IF(C150=0,0,M150/C150)</f>
        <v>0</v>
      </c>
    </row>
    <row r="153" spans="1:19">
      <c r="A153" s="602" t="s">
        <v>829</v>
      </c>
    </row>
    <row r="154" spans="1:19" ht="45">
      <c r="A154" s="76" t="s">
        <v>76</v>
      </c>
      <c r="B154" s="76" t="s">
        <v>806</v>
      </c>
      <c r="C154" s="76" t="s">
        <v>807</v>
      </c>
      <c r="D154" s="76" t="s">
        <v>808</v>
      </c>
      <c r="E154" s="76" t="s">
        <v>809</v>
      </c>
      <c r="F154" s="76" t="s">
        <v>810</v>
      </c>
      <c r="G154" s="76" t="s">
        <v>811</v>
      </c>
      <c r="H154" s="76" t="s">
        <v>812</v>
      </c>
      <c r="I154" s="76" t="s">
        <v>813</v>
      </c>
      <c r="J154" s="76" t="s">
        <v>814</v>
      </c>
      <c r="K154" s="76" t="s">
        <v>815</v>
      </c>
      <c r="L154" s="76" t="s">
        <v>816</v>
      </c>
      <c r="M154" s="76" t="s">
        <v>817</v>
      </c>
      <c r="N154" s="76" t="s">
        <v>818</v>
      </c>
      <c r="O154" s="76" t="s">
        <v>819</v>
      </c>
      <c r="P154" s="76" t="s">
        <v>820</v>
      </c>
      <c r="Q154" s="76" t="s">
        <v>821</v>
      </c>
      <c r="R154" s="76" t="s">
        <v>822</v>
      </c>
      <c r="S154" s="76" t="s">
        <v>823</v>
      </c>
    </row>
    <row r="155" spans="1:19">
      <c r="A155" s="595">
        <v>1</v>
      </c>
      <c r="B155" s="597">
        <f>$G$85</f>
        <v>0.5</v>
      </c>
      <c r="C155" s="596">
        <f t="shared" ref="C155:C164" si="122">$G$72*B155</f>
        <v>0</v>
      </c>
      <c r="D155" s="596">
        <f t="shared" ref="D155:D164" si="123">IF($G$73=0,0,C155/$G$73)</f>
        <v>0</v>
      </c>
      <c r="E155" s="94">
        <f t="shared" ref="E155:E164" si="124">IF($G$70=0,0,D155/($G$70*24))</f>
        <v>0</v>
      </c>
      <c r="F155" s="595">
        <f t="shared" ref="F155:F164" si="125">IF($G$65=0,0,MIN($G$65,MAX(1,ROUNDUP(E155*$G$81,0))))</f>
        <v>0</v>
      </c>
      <c r="G155" s="598">
        <f t="shared" ref="G155:G164" si="126">F155*IF($G$83="Yes",$G$69,$G$70)</f>
        <v>0</v>
      </c>
      <c r="H155" s="598">
        <f t="shared" ref="H155:H164" si="127">G155*(1+$G$82)</f>
        <v>0</v>
      </c>
      <c r="I155" s="595">
        <f t="shared" ref="I155:I164" si="128">IF($G$77=0,0,ROUNDUP(H155/$G$77,0))</f>
        <v>0</v>
      </c>
      <c r="J155" s="99">
        <f t="shared" ref="J155:J164" si="129">I155*$G$78*12</f>
        <v>0</v>
      </c>
      <c r="K155" s="99">
        <f t="shared" ref="K155:K164" si="130">IF(A155&gt;=$G$84,12*$G$79*G155,0)</f>
        <v>0</v>
      </c>
      <c r="L155" s="99">
        <f t="shared" ref="L155:L164" si="131">12*$G$80</f>
        <v>0</v>
      </c>
      <c r="M155" s="99">
        <f t="shared" ref="M155:M164" si="132">J155+K155+L155</f>
        <v>0</v>
      </c>
      <c r="N155" s="99">
        <f t="shared" ref="N155:N164" si="133">C155*$G$75</f>
        <v>0</v>
      </c>
      <c r="O155" s="99">
        <f t="shared" ref="O155:O164" si="134">M155+N155</f>
        <v>0</v>
      </c>
      <c r="P155" s="99">
        <f t="shared" ref="P155:P164" si="135">C155*$G$74</f>
        <v>0</v>
      </c>
      <c r="Q155" s="99">
        <f t="shared" ref="Q155:Q164" si="136">P155*$G$76</f>
        <v>0</v>
      </c>
      <c r="R155" s="99">
        <f t="shared" ref="R155:R164" si="137">IF(A155&gt;$G$89,$G$90+$G$91,0)</f>
        <v>0</v>
      </c>
      <c r="S155" s="99">
        <f t="shared" ref="S155:S164" si="138">P155-O155-Q155-R155</f>
        <v>0</v>
      </c>
    </row>
    <row r="156" spans="1:19">
      <c r="A156" s="595">
        <v>2</v>
      </c>
      <c r="B156" s="597">
        <f>$G$86</f>
        <v>0.75</v>
      </c>
      <c r="C156" s="596">
        <f t="shared" si="122"/>
        <v>0</v>
      </c>
      <c r="D156" s="596">
        <f t="shared" si="123"/>
        <v>0</v>
      </c>
      <c r="E156" s="94">
        <f t="shared" si="124"/>
        <v>0</v>
      </c>
      <c r="F156" s="595">
        <f t="shared" si="125"/>
        <v>0</v>
      </c>
      <c r="G156" s="598">
        <f t="shared" si="126"/>
        <v>0</v>
      </c>
      <c r="H156" s="598">
        <f t="shared" si="127"/>
        <v>0</v>
      </c>
      <c r="I156" s="595">
        <f t="shared" si="128"/>
        <v>0</v>
      </c>
      <c r="J156" s="99">
        <f t="shared" si="129"/>
        <v>0</v>
      </c>
      <c r="K156" s="99">
        <f t="shared" si="130"/>
        <v>0</v>
      </c>
      <c r="L156" s="99">
        <f t="shared" si="131"/>
        <v>0</v>
      </c>
      <c r="M156" s="99">
        <f t="shared" si="132"/>
        <v>0</v>
      </c>
      <c r="N156" s="99">
        <f t="shared" si="133"/>
        <v>0</v>
      </c>
      <c r="O156" s="99">
        <f t="shared" si="134"/>
        <v>0</v>
      </c>
      <c r="P156" s="99">
        <f t="shared" si="135"/>
        <v>0</v>
      </c>
      <c r="Q156" s="99">
        <f t="shared" si="136"/>
        <v>0</v>
      </c>
      <c r="R156" s="99">
        <f t="shared" si="137"/>
        <v>0</v>
      </c>
      <c r="S156" s="99">
        <f t="shared" si="138"/>
        <v>0</v>
      </c>
    </row>
    <row r="157" spans="1:19">
      <c r="A157" s="595">
        <v>3</v>
      </c>
      <c r="B157" s="597">
        <f>$G$87</f>
        <v>1</v>
      </c>
      <c r="C157" s="596">
        <f t="shared" si="122"/>
        <v>0</v>
      </c>
      <c r="D157" s="596">
        <f t="shared" si="123"/>
        <v>0</v>
      </c>
      <c r="E157" s="94">
        <f t="shared" si="124"/>
        <v>0</v>
      </c>
      <c r="F157" s="595">
        <f t="shared" si="125"/>
        <v>0</v>
      </c>
      <c r="G157" s="598">
        <f t="shared" si="126"/>
        <v>0</v>
      </c>
      <c r="H157" s="598">
        <f t="shared" si="127"/>
        <v>0</v>
      </c>
      <c r="I157" s="595">
        <f t="shared" si="128"/>
        <v>0</v>
      </c>
      <c r="J157" s="99">
        <f t="shared" si="129"/>
        <v>0</v>
      </c>
      <c r="K157" s="99">
        <f t="shared" si="130"/>
        <v>0</v>
      </c>
      <c r="L157" s="99">
        <f t="shared" si="131"/>
        <v>0</v>
      </c>
      <c r="M157" s="99">
        <f t="shared" si="132"/>
        <v>0</v>
      </c>
      <c r="N157" s="99">
        <f t="shared" si="133"/>
        <v>0</v>
      </c>
      <c r="O157" s="99">
        <f t="shared" si="134"/>
        <v>0</v>
      </c>
      <c r="P157" s="99">
        <f t="shared" si="135"/>
        <v>0</v>
      </c>
      <c r="Q157" s="99">
        <f t="shared" si="136"/>
        <v>0</v>
      </c>
      <c r="R157" s="99">
        <f t="shared" si="137"/>
        <v>0</v>
      </c>
      <c r="S157" s="99">
        <f t="shared" si="138"/>
        <v>0</v>
      </c>
    </row>
    <row r="158" spans="1:19">
      <c r="A158" s="595">
        <v>4</v>
      </c>
      <c r="B158" s="597">
        <f>$G$87*(1+$G$88)^1</f>
        <v>1.06</v>
      </c>
      <c r="C158" s="596">
        <f t="shared" si="122"/>
        <v>0</v>
      </c>
      <c r="D158" s="596">
        <f t="shared" si="123"/>
        <v>0</v>
      </c>
      <c r="E158" s="94">
        <f t="shared" si="124"/>
        <v>0</v>
      </c>
      <c r="F158" s="595">
        <f t="shared" si="125"/>
        <v>0</v>
      </c>
      <c r="G158" s="598">
        <f t="shared" si="126"/>
        <v>0</v>
      </c>
      <c r="H158" s="598">
        <f t="shared" si="127"/>
        <v>0</v>
      </c>
      <c r="I158" s="595">
        <f t="shared" si="128"/>
        <v>0</v>
      </c>
      <c r="J158" s="99">
        <f t="shared" si="129"/>
        <v>0</v>
      </c>
      <c r="K158" s="99">
        <f t="shared" si="130"/>
        <v>0</v>
      </c>
      <c r="L158" s="99">
        <f t="shared" si="131"/>
        <v>0</v>
      </c>
      <c r="M158" s="99">
        <f t="shared" si="132"/>
        <v>0</v>
      </c>
      <c r="N158" s="99">
        <f t="shared" si="133"/>
        <v>0</v>
      </c>
      <c r="O158" s="99">
        <f t="shared" si="134"/>
        <v>0</v>
      </c>
      <c r="P158" s="99">
        <f t="shared" si="135"/>
        <v>0</v>
      </c>
      <c r="Q158" s="99">
        <f t="shared" si="136"/>
        <v>0</v>
      </c>
      <c r="R158" s="99">
        <f t="shared" si="137"/>
        <v>0</v>
      </c>
      <c r="S158" s="99">
        <f t="shared" si="138"/>
        <v>0</v>
      </c>
    </row>
    <row r="159" spans="1:19">
      <c r="A159" s="595">
        <v>5</v>
      </c>
      <c r="B159" s="597">
        <f>$G$87*(1+$G$88)^2</f>
        <v>1.1236000000000002</v>
      </c>
      <c r="C159" s="596">
        <f t="shared" si="122"/>
        <v>0</v>
      </c>
      <c r="D159" s="596">
        <f t="shared" si="123"/>
        <v>0</v>
      </c>
      <c r="E159" s="94">
        <f t="shared" si="124"/>
        <v>0</v>
      </c>
      <c r="F159" s="595">
        <f t="shared" si="125"/>
        <v>0</v>
      </c>
      <c r="G159" s="598">
        <f t="shared" si="126"/>
        <v>0</v>
      </c>
      <c r="H159" s="598">
        <f t="shared" si="127"/>
        <v>0</v>
      </c>
      <c r="I159" s="595">
        <f t="shared" si="128"/>
        <v>0</v>
      </c>
      <c r="J159" s="99">
        <f t="shared" si="129"/>
        <v>0</v>
      </c>
      <c r="K159" s="99">
        <f t="shared" si="130"/>
        <v>0</v>
      </c>
      <c r="L159" s="99">
        <f t="shared" si="131"/>
        <v>0</v>
      </c>
      <c r="M159" s="99">
        <f t="shared" si="132"/>
        <v>0</v>
      </c>
      <c r="N159" s="99">
        <f t="shared" si="133"/>
        <v>0</v>
      </c>
      <c r="O159" s="99">
        <f t="shared" si="134"/>
        <v>0</v>
      </c>
      <c r="P159" s="99">
        <f t="shared" si="135"/>
        <v>0</v>
      </c>
      <c r="Q159" s="99">
        <f t="shared" si="136"/>
        <v>0</v>
      </c>
      <c r="R159" s="99">
        <f t="shared" si="137"/>
        <v>0</v>
      </c>
      <c r="S159" s="99">
        <f t="shared" si="138"/>
        <v>0</v>
      </c>
    </row>
    <row r="160" spans="1:19">
      <c r="A160" s="595">
        <v>6</v>
      </c>
      <c r="B160" s="597">
        <f>$G$87*(1+$G$88)^3</f>
        <v>1.1910160000000003</v>
      </c>
      <c r="C160" s="596">
        <f t="shared" si="122"/>
        <v>0</v>
      </c>
      <c r="D160" s="596">
        <f t="shared" si="123"/>
        <v>0</v>
      </c>
      <c r="E160" s="94">
        <f t="shared" si="124"/>
        <v>0</v>
      </c>
      <c r="F160" s="595">
        <f t="shared" si="125"/>
        <v>0</v>
      </c>
      <c r="G160" s="598">
        <f t="shared" si="126"/>
        <v>0</v>
      </c>
      <c r="H160" s="598">
        <f t="shared" si="127"/>
        <v>0</v>
      </c>
      <c r="I160" s="595">
        <f t="shared" si="128"/>
        <v>0</v>
      </c>
      <c r="J160" s="99">
        <f t="shared" si="129"/>
        <v>0</v>
      </c>
      <c r="K160" s="99">
        <f t="shared" si="130"/>
        <v>0</v>
      </c>
      <c r="L160" s="99">
        <f t="shared" si="131"/>
        <v>0</v>
      </c>
      <c r="M160" s="99">
        <f t="shared" si="132"/>
        <v>0</v>
      </c>
      <c r="N160" s="99">
        <f t="shared" si="133"/>
        <v>0</v>
      </c>
      <c r="O160" s="99">
        <f t="shared" si="134"/>
        <v>0</v>
      </c>
      <c r="P160" s="99">
        <f t="shared" si="135"/>
        <v>0</v>
      </c>
      <c r="Q160" s="99">
        <f t="shared" si="136"/>
        <v>0</v>
      </c>
      <c r="R160" s="99">
        <f t="shared" si="137"/>
        <v>0</v>
      </c>
      <c r="S160" s="99">
        <f t="shared" si="138"/>
        <v>0</v>
      </c>
    </row>
    <row r="161" spans="1:19">
      <c r="A161" s="595">
        <v>7</v>
      </c>
      <c r="B161" s="597">
        <f>$G$87*(1+$G$88)^4</f>
        <v>1.2624769600000003</v>
      </c>
      <c r="C161" s="596">
        <f t="shared" si="122"/>
        <v>0</v>
      </c>
      <c r="D161" s="596">
        <f t="shared" si="123"/>
        <v>0</v>
      </c>
      <c r="E161" s="94">
        <f t="shared" si="124"/>
        <v>0</v>
      </c>
      <c r="F161" s="595">
        <f t="shared" si="125"/>
        <v>0</v>
      </c>
      <c r="G161" s="598">
        <f t="shared" si="126"/>
        <v>0</v>
      </c>
      <c r="H161" s="598">
        <f t="shared" si="127"/>
        <v>0</v>
      </c>
      <c r="I161" s="595">
        <f t="shared" si="128"/>
        <v>0</v>
      </c>
      <c r="J161" s="99">
        <f t="shared" si="129"/>
        <v>0</v>
      </c>
      <c r="K161" s="99">
        <f t="shared" si="130"/>
        <v>0</v>
      </c>
      <c r="L161" s="99">
        <f t="shared" si="131"/>
        <v>0</v>
      </c>
      <c r="M161" s="99">
        <f t="shared" si="132"/>
        <v>0</v>
      </c>
      <c r="N161" s="99">
        <f t="shared" si="133"/>
        <v>0</v>
      </c>
      <c r="O161" s="99">
        <f t="shared" si="134"/>
        <v>0</v>
      </c>
      <c r="P161" s="99">
        <f t="shared" si="135"/>
        <v>0</v>
      </c>
      <c r="Q161" s="99">
        <f t="shared" si="136"/>
        <v>0</v>
      </c>
      <c r="R161" s="99">
        <f t="shared" si="137"/>
        <v>0</v>
      </c>
      <c r="S161" s="99">
        <f t="shared" si="138"/>
        <v>0</v>
      </c>
    </row>
    <row r="162" spans="1:19">
      <c r="A162" s="595">
        <v>8</v>
      </c>
      <c r="B162" s="597">
        <f>$G$87*(1+$G$88)^5</f>
        <v>1.3382255776000005</v>
      </c>
      <c r="C162" s="596">
        <f t="shared" si="122"/>
        <v>0</v>
      </c>
      <c r="D162" s="596">
        <f t="shared" si="123"/>
        <v>0</v>
      </c>
      <c r="E162" s="94">
        <f t="shared" si="124"/>
        <v>0</v>
      </c>
      <c r="F162" s="595">
        <f t="shared" si="125"/>
        <v>0</v>
      </c>
      <c r="G162" s="598">
        <f t="shared" si="126"/>
        <v>0</v>
      </c>
      <c r="H162" s="598">
        <f t="shared" si="127"/>
        <v>0</v>
      </c>
      <c r="I162" s="595">
        <f t="shared" si="128"/>
        <v>0</v>
      </c>
      <c r="J162" s="99">
        <f t="shared" si="129"/>
        <v>0</v>
      </c>
      <c r="K162" s="99">
        <f t="shared" si="130"/>
        <v>0</v>
      </c>
      <c r="L162" s="99">
        <f t="shared" si="131"/>
        <v>0</v>
      </c>
      <c r="M162" s="99">
        <f t="shared" si="132"/>
        <v>0</v>
      </c>
      <c r="N162" s="99">
        <f t="shared" si="133"/>
        <v>0</v>
      </c>
      <c r="O162" s="99">
        <f t="shared" si="134"/>
        <v>0</v>
      </c>
      <c r="P162" s="99">
        <f t="shared" si="135"/>
        <v>0</v>
      </c>
      <c r="Q162" s="99">
        <f t="shared" si="136"/>
        <v>0</v>
      </c>
      <c r="R162" s="99">
        <f t="shared" si="137"/>
        <v>0</v>
      </c>
      <c r="S162" s="99">
        <f t="shared" si="138"/>
        <v>0</v>
      </c>
    </row>
    <row r="163" spans="1:19">
      <c r="A163" s="595">
        <v>9</v>
      </c>
      <c r="B163" s="597">
        <f>$G$87*(1+$G$88)^6</f>
        <v>1.4185191122560006</v>
      </c>
      <c r="C163" s="596">
        <f t="shared" si="122"/>
        <v>0</v>
      </c>
      <c r="D163" s="596">
        <f t="shared" si="123"/>
        <v>0</v>
      </c>
      <c r="E163" s="94">
        <f t="shared" si="124"/>
        <v>0</v>
      </c>
      <c r="F163" s="595">
        <f t="shared" si="125"/>
        <v>0</v>
      </c>
      <c r="G163" s="598">
        <f t="shared" si="126"/>
        <v>0</v>
      </c>
      <c r="H163" s="598">
        <f t="shared" si="127"/>
        <v>0</v>
      </c>
      <c r="I163" s="595">
        <f t="shared" si="128"/>
        <v>0</v>
      </c>
      <c r="J163" s="99">
        <f t="shared" si="129"/>
        <v>0</v>
      </c>
      <c r="K163" s="99">
        <f t="shared" si="130"/>
        <v>0</v>
      </c>
      <c r="L163" s="99">
        <f t="shared" si="131"/>
        <v>0</v>
      </c>
      <c r="M163" s="99">
        <f t="shared" si="132"/>
        <v>0</v>
      </c>
      <c r="N163" s="99">
        <f t="shared" si="133"/>
        <v>0</v>
      </c>
      <c r="O163" s="99">
        <f t="shared" si="134"/>
        <v>0</v>
      </c>
      <c r="P163" s="99">
        <f t="shared" si="135"/>
        <v>0</v>
      </c>
      <c r="Q163" s="99">
        <f t="shared" si="136"/>
        <v>0</v>
      </c>
      <c r="R163" s="99">
        <f t="shared" si="137"/>
        <v>0</v>
      </c>
      <c r="S163" s="99">
        <f t="shared" si="138"/>
        <v>0</v>
      </c>
    </row>
    <row r="164" spans="1:19">
      <c r="A164" s="595">
        <v>10</v>
      </c>
      <c r="B164" s="597">
        <f>$G$87*(1+$G$88)^7</f>
        <v>1.5036302589913608</v>
      </c>
      <c r="C164" s="596">
        <f t="shared" si="122"/>
        <v>0</v>
      </c>
      <c r="D164" s="596">
        <f t="shared" si="123"/>
        <v>0</v>
      </c>
      <c r="E164" s="94">
        <f t="shared" si="124"/>
        <v>0</v>
      </c>
      <c r="F164" s="595">
        <f t="shared" si="125"/>
        <v>0</v>
      </c>
      <c r="G164" s="598">
        <f t="shared" si="126"/>
        <v>0</v>
      </c>
      <c r="H164" s="598">
        <f t="shared" si="127"/>
        <v>0</v>
      </c>
      <c r="I164" s="595">
        <f t="shared" si="128"/>
        <v>0</v>
      </c>
      <c r="J164" s="99">
        <f t="shared" si="129"/>
        <v>0</v>
      </c>
      <c r="K164" s="99">
        <f t="shared" si="130"/>
        <v>0</v>
      </c>
      <c r="L164" s="99">
        <f t="shared" si="131"/>
        <v>0</v>
      </c>
      <c r="M164" s="99">
        <f t="shared" si="132"/>
        <v>0</v>
      </c>
      <c r="N164" s="99">
        <f t="shared" si="133"/>
        <v>0</v>
      </c>
      <c r="O164" s="99">
        <f t="shared" si="134"/>
        <v>0</v>
      </c>
      <c r="P164" s="99">
        <f t="shared" si="135"/>
        <v>0</v>
      </c>
      <c r="Q164" s="99">
        <f t="shared" si="136"/>
        <v>0</v>
      </c>
      <c r="R164" s="99">
        <f t="shared" si="137"/>
        <v>0</v>
      </c>
      <c r="S164" s="99">
        <f t="shared" si="138"/>
        <v>0</v>
      </c>
    </row>
    <row r="165" spans="1:19">
      <c r="A165" s="602" t="s">
        <v>824</v>
      </c>
      <c r="C165" s="600">
        <f>SUM(C155:C164)</f>
        <v>0</v>
      </c>
      <c r="J165" s="105">
        <f t="shared" ref="J165:S165" si="139">SUM(J155:J164)</f>
        <v>0</v>
      </c>
      <c r="K165" s="105">
        <f t="shared" si="139"/>
        <v>0</v>
      </c>
      <c r="L165" s="105">
        <f t="shared" si="139"/>
        <v>0</v>
      </c>
      <c r="M165" s="105">
        <f t="shared" si="139"/>
        <v>0</v>
      </c>
      <c r="N165" s="105">
        <f t="shared" si="139"/>
        <v>0</v>
      </c>
      <c r="O165" s="105">
        <f t="shared" si="139"/>
        <v>0</v>
      </c>
      <c r="P165" s="105">
        <f t="shared" si="139"/>
        <v>0</v>
      </c>
      <c r="Q165" s="105">
        <f t="shared" si="139"/>
        <v>0</v>
      </c>
      <c r="R165" s="105">
        <f t="shared" si="139"/>
        <v>0</v>
      </c>
      <c r="S165" s="105">
        <f t="shared" si="139"/>
        <v>0</v>
      </c>
    </row>
    <row r="166" spans="1:19">
      <c r="A166" s="601" t="s">
        <v>825</v>
      </c>
      <c r="N166" s="594">
        <f>$G$75+IF(C165=0,0,M165/C165)</f>
        <v>0</v>
      </c>
    </row>
    <row r="168" spans="1:19">
      <c r="A168" s="602" t="s">
        <v>830</v>
      </c>
    </row>
    <row r="169" spans="1:19" ht="45">
      <c r="A169" s="76" t="s">
        <v>76</v>
      </c>
      <c r="B169" s="76" t="s">
        <v>806</v>
      </c>
      <c r="C169" s="76" t="s">
        <v>807</v>
      </c>
      <c r="D169" s="76" t="s">
        <v>808</v>
      </c>
      <c r="E169" s="76" t="s">
        <v>809</v>
      </c>
      <c r="F169" s="76" t="s">
        <v>810</v>
      </c>
      <c r="G169" s="76" t="s">
        <v>811</v>
      </c>
      <c r="H169" s="76" t="s">
        <v>812</v>
      </c>
      <c r="I169" s="76" t="s">
        <v>813</v>
      </c>
      <c r="J169" s="76" t="s">
        <v>814</v>
      </c>
      <c r="K169" s="76" t="s">
        <v>815</v>
      </c>
      <c r="L169" s="76" t="s">
        <v>816</v>
      </c>
      <c r="M169" s="76" t="s">
        <v>817</v>
      </c>
      <c r="N169" s="76" t="s">
        <v>818</v>
      </c>
      <c r="O169" s="76" t="s">
        <v>819</v>
      </c>
      <c r="P169" s="76" t="s">
        <v>820</v>
      </c>
      <c r="Q169" s="76" t="s">
        <v>821</v>
      </c>
      <c r="R169" s="76" t="s">
        <v>822</v>
      </c>
      <c r="S169" s="76" t="s">
        <v>823</v>
      </c>
    </row>
    <row r="170" spans="1:19">
      <c r="A170" s="595">
        <v>1</v>
      </c>
      <c r="B170" s="597">
        <f>$H$85</f>
        <v>0.5</v>
      </c>
      <c r="C170" s="596">
        <f t="shared" ref="C170:C179" si="140">$H$72*B170</f>
        <v>0</v>
      </c>
      <c r="D170" s="596">
        <f t="shared" ref="D170:D179" si="141">IF($H$73=0,0,C170/$H$73)</f>
        <v>0</v>
      </c>
      <c r="E170" s="94">
        <f t="shared" ref="E170:E179" si="142">IF($H$70=0,0,D170/($H$70*24))</f>
        <v>0</v>
      </c>
      <c r="F170" s="595">
        <f t="shared" ref="F170:F179" si="143">IF($H$65=0,0,MIN($H$65,MAX(1,ROUNDUP(E170*$H$81,0))))</f>
        <v>0</v>
      </c>
      <c r="G170" s="598">
        <f t="shared" ref="G170:G179" si="144">F170*IF($H$83="Yes",$H$69,$H$70)</f>
        <v>0</v>
      </c>
      <c r="H170" s="598">
        <f t="shared" ref="H170:H179" si="145">G170*(1+$H$82)</f>
        <v>0</v>
      </c>
      <c r="I170" s="595">
        <f t="shared" ref="I170:I179" si="146">IF($H$77=0,0,ROUNDUP(H170/$H$77,0))</f>
        <v>0</v>
      </c>
      <c r="J170" s="99">
        <f t="shared" ref="J170:J179" si="147">I170*$H$78*12</f>
        <v>0</v>
      </c>
      <c r="K170" s="99">
        <f t="shared" ref="K170:K179" si="148">IF(A170&gt;=$H$84,12*$H$79*G170,0)</f>
        <v>0</v>
      </c>
      <c r="L170" s="99">
        <f t="shared" ref="L170:L179" si="149">12*$H$80</f>
        <v>0</v>
      </c>
      <c r="M170" s="99">
        <f t="shared" ref="M170:M179" si="150">J170+K170+L170</f>
        <v>0</v>
      </c>
      <c r="N170" s="99">
        <f t="shared" ref="N170:N179" si="151">C170*$H$75</f>
        <v>0</v>
      </c>
      <c r="O170" s="99">
        <f t="shared" ref="O170:O179" si="152">M170+N170</f>
        <v>0</v>
      </c>
      <c r="P170" s="99">
        <f t="shared" ref="P170:P179" si="153">C170*$H$74</f>
        <v>0</v>
      </c>
      <c r="Q170" s="99">
        <f t="shared" ref="Q170:Q179" si="154">P170*$H$76</f>
        <v>0</v>
      </c>
      <c r="R170" s="99">
        <f t="shared" ref="R170:R179" si="155">IF(A170&gt;$H$89,$H$90+$H$91,0)</f>
        <v>0</v>
      </c>
      <c r="S170" s="99">
        <f t="shared" ref="S170:S179" si="156">P170-O170-Q170-R170</f>
        <v>0</v>
      </c>
    </row>
    <row r="171" spans="1:19">
      <c r="A171" s="595">
        <v>2</v>
      </c>
      <c r="B171" s="597">
        <f>$H$86</f>
        <v>0.75</v>
      </c>
      <c r="C171" s="596">
        <f t="shared" si="140"/>
        <v>0</v>
      </c>
      <c r="D171" s="596">
        <f t="shared" si="141"/>
        <v>0</v>
      </c>
      <c r="E171" s="94">
        <f t="shared" si="142"/>
        <v>0</v>
      </c>
      <c r="F171" s="595">
        <f t="shared" si="143"/>
        <v>0</v>
      </c>
      <c r="G171" s="598">
        <f t="shared" si="144"/>
        <v>0</v>
      </c>
      <c r="H171" s="598">
        <f t="shared" si="145"/>
        <v>0</v>
      </c>
      <c r="I171" s="595">
        <f t="shared" si="146"/>
        <v>0</v>
      </c>
      <c r="J171" s="99">
        <f t="shared" si="147"/>
        <v>0</v>
      </c>
      <c r="K171" s="99">
        <f t="shared" si="148"/>
        <v>0</v>
      </c>
      <c r="L171" s="99">
        <f t="shared" si="149"/>
        <v>0</v>
      </c>
      <c r="M171" s="99">
        <f t="shared" si="150"/>
        <v>0</v>
      </c>
      <c r="N171" s="99">
        <f t="shared" si="151"/>
        <v>0</v>
      </c>
      <c r="O171" s="99">
        <f t="shared" si="152"/>
        <v>0</v>
      </c>
      <c r="P171" s="99">
        <f t="shared" si="153"/>
        <v>0</v>
      </c>
      <c r="Q171" s="99">
        <f t="shared" si="154"/>
        <v>0</v>
      </c>
      <c r="R171" s="99">
        <f t="shared" si="155"/>
        <v>0</v>
      </c>
      <c r="S171" s="99">
        <f t="shared" si="156"/>
        <v>0</v>
      </c>
    </row>
    <row r="172" spans="1:19">
      <c r="A172" s="595">
        <v>3</v>
      </c>
      <c r="B172" s="597">
        <f>$H$87</f>
        <v>1</v>
      </c>
      <c r="C172" s="596">
        <f t="shared" si="140"/>
        <v>0</v>
      </c>
      <c r="D172" s="596">
        <f t="shared" si="141"/>
        <v>0</v>
      </c>
      <c r="E172" s="94">
        <f t="shared" si="142"/>
        <v>0</v>
      </c>
      <c r="F172" s="595">
        <f t="shared" si="143"/>
        <v>0</v>
      </c>
      <c r="G172" s="598">
        <f t="shared" si="144"/>
        <v>0</v>
      </c>
      <c r="H172" s="598">
        <f t="shared" si="145"/>
        <v>0</v>
      </c>
      <c r="I172" s="595">
        <f t="shared" si="146"/>
        <v>0</v>
      </c>
      <c r="J172" s="99">
        <f t="shared" si="147"/>
        <v>0</v>
      </c>
      <c r="K172" s="99">
        <f t="shared" si="148"/>
        <v>0</v>
      </c>
      <c r="L172" s="99">
        <f t="shared" si="149"/>
        <v>0</v>
      </c>
      <c r="M172" s="99">
        <f t="shared" si="150"/>
        <v>0</v>
      </c>
      <c r="N172" s="99">
        <f t="shared" si="151"/>
        <v>0</v>
      </c>
      <c r="O172" s="99">
        <f t="shared" si="152"/>
        <v>0</v>
      </c>
      <c r="P172" s="99">
        <f t="shared" si="153"/>
        <v>0</v>
      </c>
      <c r="Q172" s="99">
        <f t="shared" si="154"/>
        <v>0</v>
      </c>
      <c r="R172" s="99">
        <f t="shared" si="155"/>
        <v>0</v>
      </c>
      <c r="S172" s="99">
        <f t="shared" si="156"/>
        <v>0</v>
      </c>
    </row>
    <row r="173" spans="1:19">
      <c r="A173" s="595">
        <v>4</v>
      </c>
      <c r="B173" s="597">
        <f>$H$87*(1+$H$88)^1</f>
        <v>1.06</v>
      </c>
      <c r="C173" s="596">
        <f t="shared" si="140"/>
        <v>0</v>
      </c>
      <c r="D173" s="596">
        <f t="shared" si="141"/>
        <v>0</v>
      </c>
      <c r="E173" s="94">
        <f t="shared" si="142"/>
        <v>0</v>
      </c>
      <c r="F173" s="595">
        <f t="shared" si="143"/>
        <v>0</v>
      </c>
      <c r="G173" s="598">
        <f t="shared" si="144"/>
        <v>0</v>
      </c>
      <c r="H173" s="598">
        <f t="shared" si="145"/>
        <v>0</v>
      </c>
      <c r="I173" s="595">
        <f t="shared" si="146"/>
        <v>0</v>
      </c>
      <c r="J173" s="99">
        <f t="shared" si="147"/>
        <v>0</v>
      </c>
      <c r="K173" s="99">
        <f t="shared" si="148"/>
        <v>0</v>
      </c>
      <c r="L173" s="99">
        <f t="shared" si="149"/>
        <v>0</v>
      </c>
      <c r="M173" s="99">
        <f t="shared" si="150"/>
        <v>0</v>
      </c>
      <c r="N173" s="99">
        <f t="shared" si="151"/>
        <v>0</v>
      </c>
      <c r="O173" s="99">
        <f t="shared" si="152"/>
        <v>0</v>
      </c>
      <c r="P173" s="99">
        <f t="shared" si="153"/>
        <v>0</v>
      </c>
      <c r="Q173" s="99">
        <f t="shared" si="154"/>
        <v>0</v>
      </c>
      <c r="R173" s="99">
        <f t="shared" si="155"/>
        <v>0</v>
      </c>
      <c r="S173" s="99">
        <f t="shared" si="156"/>
        <v>0</v>
      </c>
    </row>
    <row r="174" spans="1:19">
      <c r="A174" s="595">
        <v>5</v>
      </c>
      <c r="B174" s="597">
        <f>$H$87*(1+$H$88)^2</f>
        <v>1.1236000000000002</v>
      </c>
      <c r="C174" s="596">
        <f t="shared" si="140"/>
        <v>0</v>
      </c>
      <c r="D174" s="596">
        <f t="shared" si="141"/>
        <v>0</v>
      </c>
      <c r="E174" s="94">
        <f t="shared" si="142"/>
        <v>0</v>
      </c>
      <c r="F174" s="595">
        <f t="shared" si="143"/>
        <v>0</v>
      </c>
      <c r="G174" s="598">
        <f t="shared" si="144"/>
        <v>0</v>
      </c>
      <c r="H174" s="598">
        <f t="shared" si="145"/>
        <v>0</v>
      </c>
      <c r="I174" s="595">
        <f t="shared" si="146"/>
        <v>0</v>
      </c>
      <c r="J174" s="99">
        <f t="shared" si="147"/>
        <v>0</v>
      </c>
      <c r="K174" s="99">
        <f t="shared" si="148"/>
        <v>0</v>
      </c>
      <c r="L174" s="99">
        <f t="shared" si="149"/>
        <v>0</v>
      </c>
      <c r="M174" s="99">
        <f t="shared" si="150"/>
        <v>0</v>
      </c>
      <c r="N174" s="99">
        <f t="shared" si="151"/>
        <v>0</v>
      </c>
      <c r="O174" s="99">
        <f t="shared" si="152"/>
        <v>0</v>
      </c>
      <c r="P174" s="99">
        <f t="shared" si="153"/>
        <v>0</v>
      </c>
      <c r="Q174" s="99">
        <f t="shared" si="154"/>
        <v>0</v>
      </c>
      <c r="R174" s="99">
        <f t="shared" si="155"/>
        <v>0</v>
      </c>
      <c r="S174" s="99">
        <f t="shared" si="156"/>
        <v>0</v>
      </c>
    </row>
    <row r="175" spans="1:19">
      <c r="A175" s="595">
        <v>6</v>
      </c>
      <c r="B175" s="597">
        <f>$H$87*(1+$H$88)^3</f>
        <v>1.1910160000000003</v>
      </c>
      <c r="C175" s="596">
        <f t="shared" si="140"/>
        <v>0</v>
      </c>
      <c r="D175" s="596">
        <f t="shared" si="141"/>
        <v>0</v>
      </c>
      <c r="E175" s="94">
        <f t="shared" si="142"/>
        <v>0</v>
      </c>
      <c r="F175" s="595">
        <f t="shared" si="143"/>
        <v>0</v>
      </c>
      <c r="G175" s="598">
        <f t="shared" si="144"/>
        <v>0</v>
      </c>
      <c r="H175" s="598">
        <f t="shared" si="145"/>
        <v>0</v>
      </c>
      <c r="I175" s="595">
        <f t="shared" si="146"/>
        <v>0</v>
      </c>
      <c r="J175" s="99">
        <f t="shared" si="147"/>
        <v>0</v>
      </c>
      <c r="K175" s="99">
        <f t="shared" si="148"/>
        <v>0</v>
      </c>
      <c r="L175" s="99">
        <f t="shared" si="149"/>
        <v>0</v>
      </c>
      <c r="M175" s="99">
        <f t="shared" si="150"/>
        <v>0</v>
      </c>
      <c r="N175" s="99">
        <f t="shared" si="151"/>
        <v>0</v>
      </c>
      <c r="O175" s="99">
        <f t="shared" si="152"/>
        <v>0</v>
      </c>
      <c r="P175" s="99">
        <f t="shared" si="153"/>
        <v>0</v>
      </c>
      <c r="Q175" s="99">
        <f t="shared" si="154"/>
        <v>0</v>
      </c>
      <c r="R175" s="99">
        <f t="shared" si="155"/>
        <v>0</v>
      </c>
      <c r="S175" s="99">
        <f t="shared" si="156"/>
        <v>0</v>
      </c>
    </row>
    <row r="176" spans="1:19">
      <c r="A176" s="595">
        <v>7</v>
      </c>
      <c r="B176" s="597">
        <f>$H$87*(1+$H$88)^4</f>
        <v>1.2624769600000003</v>
      </c>
      <c r="C176" s="596">
        <f t="shared" si="140"/>
        <v>0</v>
      </c>
      <c r="D176" s="596">
        <f t="shared" si="141"/>
        <v>0</v>
      </c>
      <c r="E176" s="94">
        <f t="shared" si="142"/>
        <v>0</v>
      </c>
      <c r="F176" s="595">
        <f t="shared" si="143"/>
        <v>0</v>
      </c>
      <c r="G176" s="598">
        <f t="shared" si="144"/>
        <v>0</v>
      </c>
      <c r="H176" s="598">
        <f t="shared" si="145"/>
        <v>0</v>
      </c>
      <c r="I176" s="595">
        <f t="shared" si="146"/>
        <v>0</v>
      </c>
      <c r="J176" s="99">
        <f t="shared" si="147"/>
        <v>0</v>
      </c>
      <c r="K176" s="99">
        <f t="shared" si="148"/>
        <v>0</v>
      </c>
      <c r="L176" s="99">
        <f t="shared" si="149"/>
        <v>0</v>
      </c>
      <c r="M176" s="99">
        <f t="shared" si="150"/>
        <v>0</v>
      </c>
      <c r="N176" s="99">
        <f t="shared" si="151"/>
        <v>0</v>
      </c>
      <c r="O176" s="99">
        <f t="shared" si="152"/>
        <v>0</v>
      </c>
      <c r="P176" s="99">
        <f t="shared" si="153"/>
        <v>0</v>
      </c>
      <c r="Q176" s="99">
        <f t="shared" si="154"/>
        <v>0</v>
      </c>
      <c r="R176" s="99">
        <f t="shared" si="155"/>
        <v>0</v>
      </c>
      <c r="S176" s="99">
        <f t="shared" si="156"/>
        <v>0</v>
      </c>
    </row>
    <row r="177" spans="1:19">
      <c r="A177" s="595">
        <v>8</v>
      </c>
      <c r="B177" s="597">
        <f>$H$87*(1+$H$88)^5</f>
        <v>1.3382255776000005</v>
      </c>
      <c r="C177" s="596">
        <f t="shared" si="140"/>
        <v>0</v>
      </c>
      <c r="D177" s="596">
        <f t="shared" si="141"/>
        <v>0</v>
      </c>
      <c r="E177" s="94">
        <f t="shared" si="142"/>
        <v>0</v>
      </c>
      <c r="F177" s="595">
        <f t="shared" si="143"/>
        <v>0</v>
      </c>
      <c r="G177" s="598">
        <f t="shared" si="144"/>
        <v>0</v>
      </c>
      <c r="H177" s="598">
        <f t="shared" si="145"/>
        <v>0</v>
      </c>
      <c r="I177" s="595">
        <f t="shared" si="146"/>
        <v>0</v>
      </c>
      <c r="J177" s="99">
        <f t="shared" si="147"/>
        <v>0</v>
      </c>
      <c r="K177" s="99">
        <f t="shared" si="148"/>
        <v>0</v>
      </c>
      <c r="L177" s="99">
        <f t="shared" si="149"/>
        <v>0</v>
      </c>
      <c r="M177" s="99">
        <f t="shared" si="150"/>
        <v>0</v>
      </c>
      <c r="N177" s="99">
        <f t="shared" si="151"/>
        <v>0</v>
      </c>
      <c r="O177" s="99">
        <f t="shared" si="152"/>
        <v>0</v>
      </c>
      <c r="P177" s="99">
        <f t="shared" si="153"/>
        <v>0</v>
      </c>
      <c r="Q177" s="99">
        <f t="shared" si="154"/>
        <v>0</v>
      </c>
      <c r="R177" s="99">
        <f t="shared" si="155"/>
        <v>0</v>
      </c>
      <c r="S177" s="99">
        <f t="shared" si="156"/>
        <v>0</v>
      </c>
    </row>
    <row r="178" spans="1:19">
      <c r="A178" s="595">
        <v>9</v>
      </c>
      <c r="B178" s="597">
        <f>$H$87*(1+$H$88)^6</f>
        <v>1.4185191122560006</v>
      </c>
      <c r="C178" s="596">
        <f t="shared" si="140"/>
        <v>0</v>
      </c>
      <c r="D178" s="596">
        <f t="shared" si="141"/>
        <v>0</v>
      </c>
      <c r="E178" s="94">
        <f t="shared" si="142"/>
        <v>0</v>
      </c>
      <c r="F178" s="595">
        <f t="shared" si="143"/>
        <v>0</v>
      </c>
      <c r="G178" s="598">
        <f t="shared" si="144"/>
        <v>0</v>
      </c>
      <c r="H178" s="598">
        <f t="shared" si="145"/>
        <v>0</v>
      </c>
      <c r="I178" s="595">
        <f t="shared" si="146"/>
        <v>0</v>
      </c>
      <c r="J178" s="99">
        <f t="shared" si="147"/>
        <v>0</v>
      </c>
      <c r="K178" s="99">
        <f t="shared" si="148"/>
        <v>0</v>
      </c>
      <c r="L178" s="99">
        <f t="shared" si="149"/>
        <v>0</v>
      </c>
      <c r="M178" s="99">
        <f t="shared" si="150"/>
        <v>0</v>
      </c>
      <c r="N178" s="99">
        <f t="shared" si="151"/>
        <v>0</v>
      </c>
      <c r="O178" s="99">
        <f t="shared" si="152"/>
        <v>0</v>
      </c>
      <c r="P178" s="99">
        <f t="shared" si="153"/>
        <v>0</v>
      </c>
      <c r="Q178" s="99">
        <f t="shared" si="154"/>
        <v>0</v>
      </c>
      <c r="R178" s="99">
        <f t="shared" si="155"/>
        <v>0</v>
      </c>
      <c r="S178" s="99">
        <f t="shared" si="156"/>
        <v>0</v>
      </c>
    </row>
    <row r="179" spans="1:19">
      <c r="A179" s="595">
        <v>10</v>
      </c>
      <c r="B179" s="597">
        <f>$H$87*(1+$H$88)^7</f>
        <v>1.5036302589913608</v>
      </c>
      <c r="C179" s="596">
        <f t="shared" si="140"/>
        <v>0</v>
      </c>
      <c r="D179" s="596">
        <f t="shared" si="141"/>
        <v>0</v>
      </c>
      <c r="E179" s="94">
        <f t="shared" si="142"/>
        <v>0</v>
      </c>
      <c r="F179" s="595">
        <f t="shared" si="143"/>
        <v>0</v>
      </c>
      <c r="G179" s="598">
        <f t="shared" si="144"/>
        <v>0</v>
      </c>
      <c r="H179" s="598">
        <f t="shared" si="145"/>
        <v>0</v>
      </c>
      <c r="I179" s="595">
        <f t="shared" si="146"/>
        <v>0</v>
      </c>
      <c r="J179" s="99">
        <f t="shared" si="147"/>
        <v>0</v>
      </c>
      <c r="K179" s="99">
        <f t="shared" si="148"/>
        <v>0</v>
      </c>
      <c r="L179" s="99">
        <f t="shared" si="149"/>
        <v>0</v>
      </c>
      <c r="M179" s="99">
        <f t="shared" si="150"/>
        <v>0</v>
      </c>
      <c r="N179" s="99">
        <f t="shared" si="151"/>
        <v>0</v>
      </c>
      <c r="O179" s="99">
        <f t="shared" si="152"/>
        <v>0</v>
      </c>
      <c r="P179" s="99">
        <f t="shared" si="153"/>
        <v>0</v>
      </c>
      <c r="Q179" s="99">
        <f t="shared" si="154"/>
        <v>0</v>
      </c>
      <c r="R179" s="99">
        <f t="shared" si="155"/>
        <v>0</v>
      </c>
      <c r="S179" s="99">
        <f t="shared" si="156"/>
        <v>0</v>
      </c>
    </row>
    <row r="180" spans="1:19">
      <c r="A180" s="602" t="s">
        <v>824</v>
      </c>
      <c r="C180" s="600">
        <f>SUM(C170:C179)</f>
        <v>0</v>
      </c>
      <c r="J180" s="105">
        <f t="shared" ref="J180:S180" si="157">SUM(J170:J179)</f>
        <v>0</v>
      </c>
      <c r="K180" s="105">
        <f t="shared" si="157"/>
        <v>0</v>
      </c>
      <c r="L180" s="105">
        <f t="shared" si="157"/>
        <v>0</v>
      </c>
      <c r="M180" s="105">
        <f t="shared" si="157"/>
        <v>0</v>
      </c>
      <c r="N180" s="105">
        <f t="shared" si="157"/>
        <v>0</v>
      </c>
      <c r="O180" s="105">
        <f t="shared" si="157"/>
        <v>0</v>
      </c>
      <c r="P180" s="105">
        <f t="shared" si="157"/>
        <v>0</v>
      </c>
      <c r="Q180" s="105">
        <f t="shared" si="157"/>
        <v>0</v>
      </c>
      <c r="R180" s="105">
        <f t="shared" si="157"/>
        <v>0</v>
      </c>
      <c r="S180" s="105">
        <f t="shared" si="157"/>
        <v>0</v>
      </c>
    </row>
    <row r="181" spans="1:19">
      <c r="A181" s="601" t="s">
        <v>825</v>
      </c>
      <c r="N181" s="594">
        <f>$H$75+IF(C180=0,0,M180/C180)</f>
        <v>0</v>
      </c>
    </row>
    <row r="188" spans="1:19" ht="30">
      <c r="A188" s="602" t="s">
        <v>831</v>
      </c>
      <c r="C188" s="76" t="s">
        <v>95</v>
      </c>
      <c r="D188" s="76" t="s">
        <v>96</v>
      </c>
      <c r="E188" s="76" t="s">
        <v>97</v>
      </c>
      <c r="F188" s="76" t="s">
        <v>98</v>
      </c>
      <c r="G188" s="76" t="s">
        <v>99</v>
      </c>
      <c r="H188" s="76" t="s">
        <v>100</v>
      </c>
    </row>
    <row r="189" spans="1:19">
      <c r="A189" s="601" t="s">
        <v>832</v>
      </c>
      <c r="C189" s="592">
        <f>P95</f>
        <v>0</v>
      </c>
      <c r="D189" s="592">
        <f>P110</f>
        <v>0</v>
      </c>
      <c r="E189" s="592">
        <f>P125</f>
        <v>0</v>
      </c>
      <c r="F189" s="592">
        <f>P140</f>
        <v>0</v>
      </c>
      <c r="G189" s="592">
        <f>P155</f>
        <v>0</v>
      </c>
      <c r="H189" s="592">
        <f>P170</f>
        <v>0</v>
      </c>
    </row>
    <row r="190" spans="1:19">
      <c r="A190" s="601" t="s">
        <v>833</v>
      </c>
      <c r="C190" s="592">
        <f>S95</f>
        <v>0</v>
      </c>
      <c r="D190" s="592">
        <f>S110</f>
        <v>0</v>
      </c>
      <c r="E190" s="592">
        <f>S125</f>
        <v>0</v>
      </c>
      <c r="F190" s="592">
        <f>S140</f>
        <v>0</v>
      </c>
      <c r="G190" s="592">
        <f>S155</f>
        <v>0</v>
      </c>
      <c r="H190" s="592">
        <f>S170</f>
        <v>0</v>
      </c>
    </row>
    <row r="191" spans="1:19">
      <c r="A191" s="601" t="s">
        <v>834</v>
      </c>
      <c r="C191" s="592">
        <f>R100</f>
        <v>0</v>
      </c>
      <c r="D191" s="592">
        <f>R115</f>
        <v>0</v>
      </c>
      <c r="E191" s="592">
        <f>R130</f>
        <v>0</v>
      </c>
      <c r="F191" s="592">
        <f>R145</f>
        <v>0</v>
      </c>
      <c r="G191" s="592">
        <f>R160</f>
        <v>0</v>
      </c>
      <c r="H191" s="592">
        <f>R175</f>
        <v>0</v>
      </c>
    </row>
    <row r="192" spans="1:19">
      <c r="A192" s="601" t="s">
        <v>835</v>
      </c>
      <c r="C192" s="592">
        <f>S104</f>
        <v>0</v>
      </c>
      <c r="D192" s="592">
        <f>S119</f>
        <v>0</v>
      </c>
      <c r="E192" s="592">
        <f>S134</f>
        <v>0</v>
      </c>
      <c r="F192" s="592">
        <f>S149</f>
        <v>0</v>
      </c>
      <c r="G192" s="592">
        <f>S164</f>
        <v>0</v>
      </c>
      <c r="H192" s="592">
        <f>S179</f>
        <v>0</v>
      </c>
    </row>
    <row r="193" spans="1:8">
      <c r="A193" s="601" t="s">
        <v>836</v>
      </c>
      <c r="C193" s="592">
        <f>S105</f>
        <v>0</v>
      </c>
      <c r="D193" s="592">
        <f>S120</f>
        <v>0</v>
      </c>
      <c r="E193" s="592">
        <f>S135</f>
        <v>0</v>
      </c>
      <c r="F193" s="592">
        <f>S150</f>
        <v>0</v>
      </c>
      <c r="G193" s="592">
        <f>S165</f>
        <v>0</v>
      </c>
      <c r="H193" s="592">
        <f>S180</f>
        <v>0</v>
      </c>
    </row>
    <row r="194" spans="1:8">
      <c r="A194" s="601" t="s">
        <v>837</v>
      </c>
      <c r="C194" s="590">
        <f>C105</f>
        <v>0</v>
      </c>
      <c r="D194" s="590">
        <f>C120</f>
        <v>0</v>
      </c>
      <c r="E194" s="590">
        <f>C135</f>
        <v>0</v>
      </c>
      <c r="F194" s="590">
        <f>C150</f>
        <v>0</v>
      </c>
      <c r="G194" s="590">
        <f>C165</f>
        <v>0</v>
      </c>
      <c r="H194" s="590">
        <f>C180</f>
        <v>0</v>
      </c>
    </row>
    <row r="195" spans="1:8">
      <c r="A195" s="601" t="s">
        <v>838</v>
      </c>
      <c r="C195" s="594">
        <f>N106</f>
        <v>0</v>
      </c>
      <c r="D195" s="594">
        <f>N121</f>
        <v>0</v>
      </c>
      <c r="E195" s="594">
        <f>N136</f>
        <v>0</v>
      </c>
      <c r="F195" s="594">
        <f>N151</f>
        <v>0</v>
      </c>
      <c r="G195" s="594">
        <f>N166</f>
        <v>0</v>
      </c>
      <c r="H195" s="594">
        <f>N181</f>
        <v>0</v>
      </c>
    </row>
    <row r="197" spans="1:8" ht="45">
      <c r="A197" s="601" t="s">
        <v>839</v>
      </c>
    </row>
    <row r="198" spans="1:8" ht="90">
      <c r="A198" s="601" t="s">
        <v>840</v>
      </c>
    </row>
    <row r="199" spans="1:8" ht="75">
      <c r="A199" s="601" t="s">
        <v>841</v>
      </c>
    </row>
    <row r="201" spans="1:8" ht="120">
      <c r="A201" s="602" t="s">
        <v>842</v>
      </c>
      <c r="C201" s="601" t="s">
        <v>843</v>
      </c>
    </row>
    <row r="202" spans="1:8">
      <c r="A202" s="601" t="s">
        <v>44</v>
      </c>
      <c r="B202" s="580" t="s">
        <v>378</v>
      </c>
    </row>
    <row r="203" spans="1:8">
      <c r="A203" s="601" t="s">
        <v>844</v>
      </c>
      <c r="B203" s="580" t="s">
        <v>378</v>
      </c>
    </row>
    <row r="204" spans="1:8">
      <c r="A204" s="601" t="s">
        <v>845</v>
      </c>
      <c r="B204" s="588">
        <f>IF($B$203="",0,IFERROR(MATCH($B$202&amp;"|"&amp;$B$203,$C$216:$C$252,0),IF(COUNTIF($A$216:$A$252,$B$202)&gt;0,0,IFERROR(MATCH($B$203,$B$216:$B$252,0),0))))</f>
        <v>0</v>
      </c>
    </row>
    <row r="205" spans="1:8" ht="60">
      <c r="A205" s="601" t="s">
        <v>846</v>
      </c>
      <c r="B205" s="587" t="str">
        <f>IF($B$203="","NO SCHEDULE SELECTED — energy priced at zero, exactly as the app does",IF($B$204=0,"NOT RESEARCHED — no library row for this utility and schedule",INDEX($L$216:$L$252,$B$204)))</f>
        <v>NO SCHEDULE SELECTED — energy priced at zero, exactly as the app does</v>
      </c>
    </row>
    <row r="206" spans="1:8">
      <c r="A206" s="601" t="s">
        <v>765</v>
      </c>
      <c r="B206" s="594" t="n">
        <v>0</v>
      </c>
    </row>
    <row r="207" spans="1:8">
      <c r="A207" s="601" t="s">
        <v>766</v>
      </c>
      <c r="B207" s="594" t="n">
        <v>0</v>
      </c>
    </row>
    <row r="208" spans="1:8">
      <c r="A208" s="601" t="s">
        <v>767</v>
      </c>
      <c r="B208" s="594" t="n">
        <v>0</v>
      </c>
    </row>
    <row r="209" spans="1:12">
      <c r="A209" s="601" t="s">
        <v>772</v>
      </c>
      <c r="B209" s="592" t="n">
        <v>0</v>
      </c>
    </row>
    <row r="210" spans="1:12">
      <c r="A210" s="601" t="s">
        <v>773</v>
      </c>
      <c r="B210" s="592" t="n">
        <v>0</v>
      </c>
    </row>
    <row r="211" spans="1:12">
      <c r="A211" s="601" t="s">
        <v>801</v>
      </c>
      <c r="B211" s="588" t="n">
        <v>0</v>
      </c>
    </row>
    <row r="212" spans="1:12">
      <c r="A212" s="601" t="s">
        <v>802</v>
      </c>
      <c r="B212" s="592" t="n">
        <v>0</v>
      </c>
    </row>
    <row r="213" spans="1:12">
      <c r="A213" s="601" t="s">
        <v>847</v>
      </c>
      <c r="B213" s="592" t="n">
        <v>0</v>
      </c>
    </row>
    <row r="214" spans="1:12" ht="45">
      <c r="A214" s="602" t="s">
        <v>848</v>
      </c>
    </row>
    <row r="215" spans="1:12" ht="30">
      <c r="A215" s="76" t="s">
        <v>44</v>
      </c>
      <c r="B215" s="76" t="s">
        <v>844</v>
      </c>
      <c r="C215" s="76" t="s">
        <v>849</v>
      </c>
      <c r="D215" s="76" t="s">
        <v>765</v>
      </c>
      <c r="E215" s="76" t="s">
        <v>766</v>
      </c>
      <c r="F215" s="76" t="s">
        <v>767</v>
      </c>
      <c r="G215" s="76" t="s">
        <v>850</v>
      </c>
      <c r="H215" s="76" t="s">
        <v>851</v>
      </c>
      <c r="I215" s="76" t="s">
        <v>852</v>
      </c>
      <c r="J215" s="76" t="s">
        <v>853</v>
      </c>
      <c r="K215" s="76" t="s">
        <v>854</v>
      </c>
      <c r="L215" s="76" t="s">
        <v>855</v>
      </c>
    </row>
    <row r="216" spans="1:12" ht="45">
      <c r="A216" s="87" t="s">
        <v>856</v>
      </c>
      <c r="B216" s="87" t="s">
        <v>857</v>
      </c>
      <c r="C216" s="87" t="str">
        <f t="shared" ref="C216:C252" si="158">A216&amp;"|"&amp;B216</f>
        <v>PG&amp;E — Pacific Gas and Electric|BEV-1</v>
      </c>
      <c r="D216" s="599">
        <v>0.35710999999999998</v>
      </c>
      <c r="E216" s="599">
        <v>0.1651</v>
      </c>
      <c r="F216" s="599">
        <v>0.13844000000000001</v>
      </c>
      <c r="G216" s="99">
        <v>0</v>
      </c>
      <c r="H216" s="99">
        <v>0</v>
      </c>
      <c r="I216" s="595">
        <v>10</v>
      </c>
      <c r="J216" s="99">
        <v>12.41</v>
      </c>
      <c r="K216" s="99">
        <v>2.48</v>
      </c>
      <c r="L216" s="87" t="s">
        <v>858</v>
      </c>
    </row>
    <row r="217" spans="1:12" ht="60">
      <c r="A217" s="87" t="s">
        <v>856</v>
      </c>
      <c r="B217" s="87" t="s">
        <v>859</v>
      </c>
      <c r="C217" s="87" t="str">
        <f t="shared" si="158"/>
        <v>PG&amp;E — Pacific Gas and Electric|BEV-2-S</v>
      </c>
      <c r="D217" s="599">
        <v>0.36976999999999999</v>
      </c>
      <c r="E217" s="599">
        <v>0.15654000000000001</v>
      </c>
      <c r="F217" s="599">
        <v>0.13327</v>
      </c>
      <c r="G217" s="99">
        <v>0</v>
      </c>
      <c r="H217" s="99">
        <v>0</v>
      </c>
      <c r="I217" s="595">
        <v>50</v>
      </c>
      <c r="J217" s="99">
        <v>95.56</v>
      </c>
      <c r="K217" s="99">
        <v>3.82</v>
      </c>
      <c r="L217" s="87" t="s">
        <v>858</v>
      </c>
    </row>
    <row r="218" spans="1:12" ht="60">
      <c r="A218" s="87" t="s">
        <v>856</v>
      </c>
      <c r="B218" s="87" t="s">
        <v>860</v>
      </c>
      <c r="C218" s="87" t="str">
        <f t="shared" si="158"/>
        <v>PG&amp;E — Pacific Gas and Electric|BEV-2-P</v>
      </c>
      <c r="D218" s="599">
        <v>0.36003000000000002</v>
      </c>
      <c r="E218" s="599">
        <v>0.15115000000000001</v>
      </c>
      <c r="F218" s="599">
        <v>0.12848999999999999</v>
      </c>
      <c r="G218" s="99">
        <v>0</v>
      </c>
      <c r="H218" s="99">
        <v>0</v>
      </c>
      <c r="I218" s="595">
        <v>50</v>
      </c>
      <c r="J218" s="99">
        <v>85.98</v>
      </c>
      <c r="K218" s="99">
        <v>3.44</v>
      </c>
      <c r="L218" s="87" t="s">
        <v>858</v>
      </c>
    </row>
    <row r="219" spans="1:12" ht="75">
      <c r="A219" s="87" t="s">
        <v>856</v>
      </c>
      <c r="B219" s="87" t="s">
        <v>861</v>
      </c>
      <c r="C219" s="87" t="str">
        <f t="shared" si="158"/>
        <v>PG&amp;E — Pacific Gas and Electric|B-20 (non-EV alternative)</v>
      </c>
      <c r="D219" s="599">
        <v>0.17702000000000001</v>
      </c>
      <c r="E219" s="599">
        <v>0.11482000000000001</v>
      </c>
      <c r="F219" s="599">
        <v>5.8720000000000001E-2</v>
      </c>
      <c r="G219" s="99">
        <v>3265</v>
      </c>
      <c r="H219" s="99">
        <v>80.430000000000007</v>
      </c>
      <c r="I219" s="595">
        <v>0</v>
      </c>
      <c r="J219" s="99">
        <v>0</v>
      </c>
      <c r="K219" s="99">
        <v>0</v>
      </c>
      <c r="L219" s="87" t="s">
        <v>862</v>
      </c>
    </row>
    <row r="220" spans="1:12" ht="75">
      <c r="A220" s="87" t="s">
        <v>863</v>
      </c>
      <c r="B220" s="87" t="s">
        <v>864</v>
      </c>
      <c r="C220" s="87" t="str">
        <f t="shared" si="158"/>
        <v>SCE — Southern California Edison|TOU-EV-7</v>
      </c>
      <c r="D220" s="599">
        <v>0</v>
      </c>
      <c r="E220" s="599">
        <v>0</v>
      </c>
      <c r="F220" s="599">
        <v>0</v>
      </c>
      <c r="G220" s="99">
        <v>0</v>
      </c>
      <c r="H220" s="99">
        <v>0</v>
      </c>
      <c r="I220" s="595">
        <v>0</v>
      </c>
      <c r="J220" s="99">
        <v>0</v>
      </c>
      <c r="K220" s="99">
        <v>0</v>
      </c>
      <c r="L220" s="87" t="s">
        <v>865</v>
      </c>
    </row>
    <row r="221" spans="1:12" ht="75">
      <c r="A221" s="87" t="s">
        <v>863</v>
      </c>
      <c r="B221" s="87" t="s">
        <v>866</v>
      </c>
      <c r="C221" s="87" t="str">
        <f t="shared" si="158"/>
        <v>SCE — Southern California Edison|TOU-EV-8</v>
      </c>
      <c r="D221" s="599">
        <v>0</v>
      </c>
      <c r="E221" s="599">
        <v>0</v>
      </c>
      <c r="F221" s="599">
        <v>0</v>
      </c>
      <c r="G221" s="99">
        <v>0</v>
      </c>
      <c r="H221" s="99">
        <v>0</v>
      </c>
      <c r="I221" s="595">
        <v>0</v>
      </c>
      <c r="J221" s="99">
        <v>0</v>
      </c>
      <c r="K221" s="99">
        <v>0</v>
      </c>
      <c r="L221" s="87" t="s">
        <v>865</v>
      </c>
    </row>
    <row r="222" spans="1:12" ht="75">
      <c r="A222" s="87" t="s">
        <v>863</v>
      </c>
      <c r="B222" s="87" t="s">
        <v>867</v>
      </c>
      <c r="C222" s="87" t="str">
        <f t="shared" si="158"/>
        <v>SCE — Southern California Edison|TOU-EV-9</v>
      </c>
      <c r="D222" s="599">
        <v>0</v>
      </c>
      <c r="E222" s="599">
        <v>0</v>
      </c>
      <c r="F222" s="599">
        <v>0</v>
      </c>
      <c r="G222" s="99">
        <v>0</v>
      </c>
      <c r="H222" s="99">
        <v>0</v>
      </c>
      <c r="I222" s="595">
        <v>0</v>
      </c>
      <c r="J222" s="99">
        <v>0</v>
      </c>
      <c r="K222" s="99">
        <v>0</v>
      </c>
      <c r="L222" s="87" t="s">
        <v>865</v>
      </c>
    </row>
    <row r="223" spans="1:12" ht="60">
      <c r="A223" s="87" t="s">
        <v>868</v>
      </c>
      <c r="B223" s="87" t="s">
        <v>869</v>
      </c>
      <c r="C223" s="87" t="str">
        <f t="shared" si="158"/>
        <v>SDG&amp;E — San Diego Gas &amp; Electric|EV-HP (&lt;=150 kW)</v>
      </c>
      <c r="D223" s="599">
        <v>0.32882</v>
      </c>
      <c r="E223" s="599">
        <v>0.16295000000000001</v>
      </c>
      <c r="F223" s="599">
        <v>0.15307000000000001</v>
      </c>
      <c r="G223" s="99">
        <v>151.26</v>
      </c>
      <c r="H223" s="99">
        <v>9.43</v>
      </c>
      <c r="I223" s="595">
        <v>10</v>
      </c>
      <c r="J223" s="99">
        <v>50.76</v>
      </c>
      <c r="K223" s="99">
        <v>0</v>
      </c>
      <c r="L223" s="87" t="s">
        <v>862</v>
      </c>
    </row>
    <row r="224" spans="1:12" ht="60">
      <c r="A224" s="87" t="s">
        <v>868</v>
      </c>
      <c r="B224" s="87" t="s">
        <v>870</v>
      </c>
      <c r="C224" s="87" t="str">
        <f t="shared" si="158"/>
        <v>SDG&amp;E — San Diego Gas &amp; Electric|EV-HP (&gt;150 kW)</v>
      </c>
      <c r="D224" s="599">
        <v>0.32882</v>
      </c>
      <c r="E224" s="599">
        <v>0.16295000000000001</v>
      </c>
      <c r="F224" s="599">
        <v>0.15307000000000001</v>
      </c>
      <c r="G224" s="99">
        <v>151.26</v>
      </c>
      <c r="H224" s="99">
        <v>9.43</v>
      </c>
      <c r="I224" s="595">
        <v>25</v>
      </c>
      <c r="J224" s="99">
        <v>126.89</v>
      </c>
      <c r="K224" s="99">
        <v>0</v>
      </c>
      <c r="L224" s="87" t="s">
        <v>862</v>
      </c>
    </row>
    <row r="225" spans="1:12" ht="75">
      <c r="A225" s="87" t="s">
        <v>868</v>
      </c>
      <c r="B225" s="87" t="s">
        <v>871</v>
      </c>
      <c r="C225" s="87" t="str">
        <f t="shared" si="158"/>
        <v>SDG&amp;E — San Diego Gas &amp; Electric|EV-HP Primary (&gt;150 kW)</v>
      </c>
      <c r="D225" s="599">
        <v>0.30549999999999999</v>
      </c>
      <c r="E225" s="599">
        <v>0.16256999999999999</v>
      </c>
      <c r="F225" s="599">
        <v>0.15282999999999999</v>
      </c>
      <c r="G225" s="99">
        <v>66.150000000000006</v>
      </c>
      <c r="H225" s="99">
        <v>9.39</v>
      </c>
      <c r="I225" s="595">
        <v>25</v>
      </c>
      <c r="J225" s="99">
        <v>126.24</v>
      </c>
      <c r="K225" s="99">
        <v>0</v>
      </c>
      <c r="L225" s="87" t="s">
        <v>862</v>
      </c>
    </row>
    <row r="226" spans="1:12" ht="60">
      <c r="A226" s="87" t="s">
        <v>872</v>
      </c>
      <c r="B226" s="87" t="s">
        <v>873</v>
      </c>
      <c r="C226" s="87" t="str">
        <f t="shared" si="158"/>
        <v>Liberty Utilities (CalPeco Electric)|TOU A-3 EV</v>
      </c>
      <c r="D226" s="599">
        <v>0.52239000000000002</v>
      </c>
      <c r="E226" s="599">
        <v>0.30281000000000002</v>
      </c>
      <c r="F226" s="599">
        <v>0</v>
      </c>
      <c r="G226" s="99">
        <v>850.81</v>
      </c>
      <c r="H226" s="99">
        <v>0</v>
      </c>
      <c r="I226" s="595">
        <v>0</v>
      </c>
      <c r="J226" s="99">
        <v>0</v>
      </c>
      <c r="K226" s="99">
        <v>0</v>
      </c>
      <c r="L226" s="87" t="s">
        <v>862</v>
      </c>
    </row>
    <row r="227" spans="1:12" ht="60">
      <c r="A227" s="87" t="s">
        <v>872</v>
      </c>
      <c r="B227" s="87" t="s">
        <v>874</v>
      </c>
      <c r="C227" s="87" t="str">
        <f t="shared" si="158"/>
        <v>Liberty Utilities (CalPeco Electric)|TOU A-2 EV</v>
      </c>
      <c r="D227" s="599">
        <v>0</v>
      </c>
      <c r="E227" s="599">
        <v>0</v>
      </c>
      <c r="F227" s="599">
        <v>0</v>
      </c>
      <c r="G227" s="99">
        <v>201.85</v>
      </c>
      <c r="H227" s="99">
        <v>0</v>
      </c>
      <c r="I227" s="595">
        <v>0</v>
      </c>
      <c r="J227" s="99">
        <v>0</v>
      </c>
      <c r="K227" s="99">
        <v>0</v>
      </c>
      <c r="L227" s="87" t="s">
        <v>862</v>
      </c>
    </row>
    <row r="228" spans="1:12" ht="60">
      <c r="A228" s="87" t="s">
        <v>875</v>
      </c>
      <c r="B228" s="87" t="s">
        <v>876</v>
      </c>
      <c r="C228" s="87" t="str">
        <f t="shared" si="158"/>
        <v>Pacific Power (PacifiCorp)|AT-48 Large General TOU</v>
      </c>
      <c r="D228" s="599">
        <v>0.14448</v>
      </c>
      <c r="E228" s="599">
        <v>0.13419</v>
      </c>
      <c r="F228" s="599">
        <v>0</v>
      </c>
      <c r="G228" s="99">
        <v>842.62</v>
      </c>
      <c r="H228" s="99">
        <v>13.45</v>
      </c>
      <c r="I228" s="595">
        <v>0</v>
      </c>
      <c r="J228" s="99">
        <v>0</v>
      </c>
      <c r="K228" s="99">
        <v>0</v>
      </c>
      <c r="L228" s="87" t="s">
        <v>858</v>
      </c>
    </row>
    <row r="229" spans="1:12" ht="60">
      <c r="A229" s="87" t="s">
        <v>875</v>
      </c>
      <c r="B229" s="87" t="s">
        <v>877</v>
      </c>
      <c r="C229" s="87" t="str">
        <f t="shared" si="158"/>
        <v>Pacific Power (PacifiCorp)|A-32 General Service</v>
      </c>
      <c r="D229" s="599">
        <v>0.20211999999999999</v>
      </c>
      <c r="E229" s="599">
        <v>0.20211999999999999</v>
      </c>
      <c r="F229" s="599">
        <v>0.20211999999999999</v>
      </c>
      <c r="G229" s="99">
        <v>30.54</v>
      </c>
      <c r="H229" s="99">
        <v>8.5</v>
      </c>
      <c r="I229" s="595">
        <v>0</v>
      </c>
      <c r="J229" s="99">
        <v>0</v>
      </c>
      <c r="K229" s="99">
        <v>0</v>
      </c>
      <c r="L229" s="87" t="s">
        <v>858</v>
      </c>
    </row>
    <row r="230" spans="1:12" ht="60">
      <c r="A230" s="87" t="s">
        <v>878</v>
      </c>
      <c r="B230" s="87" t="s">
        <v>879</v>
      </c>
      <c r="C230" s="87" t="str">
        <f t="shared" si="158"/>
        <v>Bear Valley Electric Service (BVES)|TOU-EV-3</v>
      </c>
      <c r="D230" s="599">
        <v>0.46315000000000001</v>
      </c>
      <c r="E230" s="599">
        <v>0.37417</v>
      </c>
      <c r="F230" s="599">
        <v>0.26005</v>
      </c>
      <c r="G230" s="99">
        <v>0</v>
      </c>
      <c r="H230" s="99">
        <v>9.5</v>
      </c>
      <c r="I230" s="595">
        <v>0</v>
      </c>
      <c r="J230" s="99">
        <v>0</v>
      </c>
      <c r="K230" s="99">
        <v>0</v>
      </c>
      <c r="L230" s="87" t="s">
        <v>862</v>
      </c>
    </row>
    <row r="231" spans="1:12" ht="105">
      <c r="A231" s="87" t="s">
        <v>880</v>
      </c>
      <c r="B231" s="87" t="s">
        <v>881</v>
      </c>
      <c r="C231" s="87" t="str">
        <f t="shared" si="158"/>
        <v>SMUD — Sacramento Municipal Utility District|EV_SR tier EV3 (&gt;20% util)</v>
      </c>
      <c r="D231" s="599">
        <v>0.21510000000000001</v>
      </c>
      <c r="E231" s="599">
        <v>8.8999999999999996E-2</v>
      </c>
      <c r="F231" s="599">
        <v>6.3799999999999996E-2</v>
      </c>
      <c r="G231" s="99">
        <v>0</v>
      </c>
      <c r="H231" s="99">
        <v>0</v>
      </c>
      <c r="I231" s="595">
        <v>25</v>
      </c>
      <c r="J231" s="99">
        <v>333</v>
      </c>
      <c r="K231" s="99">
        <v>0</v>
      </c>
      <c r="L231" s="87" t="s">
        <v>858</v>
      </c>
    </row>
    <row r="232" spans="1:12" ht="105">
      <c r="A232" s="87" t="s">
        <v>880</v>
      </c>
      <c r="B232" s="87" t="s">
        <v>882</v>
      </c>
      <c r="C232" s="87" t="str">
        <f t="shared" si="158"/>
        <v>SMUD — Sacramento Municipal Utility District|EV_SR tier EV2 (10-20% util)</v>
      </c>
      <c r="D232" s="599">
        <v>0.26690000000000003</v>
      </c>
      <c r="E232" s="599">
        <v>0.10879999999999999</v>
      </c>
      <c r="F232" s="599">
        <v>6.5799999999999997E-2</v>
      </c>
      <c r="G232" s="99">
        <v>0</v>
      </c>
      <c r="H232" s="99">
        <v>0</v>
      </c>
      <c r="I232" s="595">
        <v>25</v>
      </c>
      <c r="J232" s="99">
        <v>264</v>
      </c>
      <c r="K232" s="99">
        <v>0</v>
      </c>
      <c r="L232" s="87" t="s">
        <v>858</v>
      </c>
    </row>
    <row r="233" spans="1:12" ht="105">
      <c r="A233" s="87" t="s">
        <v>880</v>
      </c>
      <c r="B233" s="87" t="s">
        <v>883</v>
      </c>
      <c r="C233" s="87" t="str">
        <f t="shared" si="158"/>
        <v>SMUD — Sacramento Municipal Utility District|EV_SR tier EV1 (&lt;10% util)</v>
      </c>
      <c r="D233" s="599">
        <v>0.51980000000000004</v>
      </c>
      <c r="E233" s="599">
        <v>0.2051</v>
      </c>
      <c r="F233" s="599">
        <v>0.115</v>
      </c>
      <c r="G233" s="99">
        <v>0</v>
      </c>
      <c r="H233" s="99">
        <v>0</v>
      </c>
      <c r="I233" s="595">
        <v>25</v>
      </c>
      <c r="J233" s="99">
        <v>120</v>
      </c>
      <c r="K233" s="99">
        <v>0</v>
      </c>
      <c r="L233" s="87" t="s">
        <v>858</v>
      </c>
    </row>
    <row r="234" spans="1:12" ht="105">
      <c r="A234" s="87" t="s">
        <v>880</v>
      </c>
      <c r="B234" s="87" t="s">
        <v>884</v>
      </c>
      <c r="C234" s="87" t="str">
        <f t="shared" si="158"/>
        <v>SMUD — Sacramento Municipal Utility District|CI-TOD4 (non-EV alternative)</v>
      </c>
      <c r="D234" s="599">
        <v>0.24379999999999999</v>
      </c>
      <c r="E234" s="599">
        <v>0.1186</v>
      </c>
      <c r="F234" s="599">
        <v>7.8799999999999995E-2</v>
      </c>
      <c r="G234" s="99">
        <v>4014.3</v>
      </c>
      <c r="H234" s="99">
        <v>17.66</v>
      </c>
      <c r="I234" s="595">
        <v>0</v>
      </c>
      <c r="J234" s="99">
        <v>0</v>
      </c>
      <c r="K234" s="99">
        <v>0</v>
      </c>
      <c r="L234" s="87" t="s">
        <v>858</v>
      </c>
    </row>
    <row r="235" spans="1:12" ht="90">
      <c r="A235" s="87" t="s">
        <v>885</v>
      </c>
      <c r="B235" s="87" t="s">
        <v>886</v>
      </c>
      <c r="C235" s="87" t="str">
        <f t="shared" si="158"/>
        <v>LADWP — Los Angeles Dept of Water &amp; Power|A-2 (2009 base rates)</v>
      </c>
      <c r="D235" s="599">
        <v>4.6789999999999998E-2</v>
      </c>
      <c r="E235" s="599">
        <v>1.8790000000000001E-2</v>
      </c>
      <c r="F235" s="599">
        <v>0</v>
      </c>
      <c r="G235" s="99">
        <v>25</v>
      </c>
      <c r="H235" s="99">
        <v>14</v>
      </c>
      <c r="I235" s="595">
        <v>0</v>
      </c>
      <c r="J235" s="99">
        <v>0</v>
      </c>
      <c r="K235" s="99">
        <v>0</v>
      </c>
      <c r="L235" s="87" t="s">
        <v>862</v>
      </c>
    </row>
    <row r="236" spans="1:12" ht="45">
      <c r="A236" s="87" t="s">
        <v>887</v>
      </c>
      <c r="B236" s="87" t="s">
        <v>888</v>
      </c>
      <c r="C236" s="87" t="str">
        <f t="shared" si="158"/>
        <v>IID — Imperial Irrigation District|TOU-GL</v>
      </c>
      <c r="D236" s="599">
        <v>0.2873</v>
      </c>
      <c r="E236" s="599">
        <v>8.2100000000000006E-2</v>
      </c>
      <c r="F236" s="599">
        <v>0</v>
      </c>
      <c r="G236" s="99">
        <v>140</v>
      </c>
      <c r="H236" s="99">
        <v>13</v>
      </c>
      <c r="I236" s="595">
        <v>0</v>
      </c>
      <c r="J236" s="99">
        <v>0</v>
      </c>
      <c r="K236" s="99">
        <v>0</v>
      </c>
      <c r="L236" s="87" t="s">
        <v>858</v>
      </c>
    </row>
    <row r="237" spans="1:12" ht="60">
      <c r="A237" s="87" t="s">
        <v>889</v>
      </c>
      <c r="B237" s="87" t="s">
        <v>890</v>
      </c>
      <c r="C237" s="87" t="str">
        <f t="shared" si="158"/>
        <v>Silicon Valley Power (Santa Clara)|CB-1 TOU</v>
      </c>
      <c r="D237" s="599">
        <v>0.18490000000000001</v>
      </c>
      <c r="E237" s="599">
        <v>0.14216999999999999</v>
      </c>
      <c r="F237" s="599">
        <v>0</v>
      </c>
      <c r="G237" s="99">
        <v>100.45</v>
      </c>
      <c r="H237" s="99">
        <v>12.14</v>
      </c>
      <c r="I237" s="595">
        <v>0</v>
      </c>
      <c r="J237" s="99">
        <v>0</v>
      </c>
      <c r="K237" s="99">
        <v>0</v>
      </c>
      <c r="L237" s="87" t="s">
        <v>858</v>
      </c>
    </row>
    <row r="238" spans="1:12" ht="75">
      <c r="A238" s="87" t="s">
        <v>891</v>
      </c>
      <c r="B238" s="87" t="s">
        <v>892</v>
      </c>
      <c r="C238" s="87" t="str">
        <f t="shared" si="158"/>
        <v>Riverside Public Utilities|TOU Large General &amp; Industrial</v>
      </c>
      <c r="D238" s="599">
        <v>0.1295</v>
      </c>
      <c r="E238" s="599">
        <v>9.0700000000000003E-2</v>
      </c>
      <c r="F238" s="599">
        <v>0</v>
      </c>
      <c r="G238" s="99">
        <v>742.28</v>
      </c>
      <c r="H238" s="99">
        <v>14.12</v>
      </c>
      <c r="I238" s="595">
        <v>0</v>
      </c>
      <c r="J238" s="99">
        <v>0</v>
      </c>
      <c r="K238" s="99">
        <v>0</v>
      </c>
      <c r="L238" s="87" t="s">
        <v>858</v>
      </c>
    </row>
    <row r="239" spans="1:12" ht="60">
      <c r="A239" s="87" t="s">
        <v>893</v>
      </c>
      <c r="B239" s="87" t="s">
        <v>894</v>
      </c>
      <c r="C239" s="87" t="str">
        <f t="shared" si="158"/>
        <v>Anaheim Public Utilities|Anaheim Schedule TOU</v>
      </c>
      <c r="D239" s="599">
        <v>0.14799999999999999</v>
      </c>
      <c r="E239" s="599">
        <v>7.8700000000000006E-2</v>
      </c>
      <c r="F239" s="599">
        <v>0</v>
      </c>
      <c r="G239" s="99">
        <v>342.12</v>
      </c>
      <c r="H239" s="99">
        <v>24.34</v>
      </c>
      <c r="I239" s="595">
        <v>0</v>
      </c>
      <c r="J239" s="99">
        <v>0</v>
      </c>
      <c r="K239" s="99">
        <v>0</v>
      </c>
      <c r="L239" s="87" t="s">
        <v>858</v>
      </c>
    </row>
    <row r="240" spans="1:12" ht="45">
      <c r="A240" s="87" t="s">
        <v>895</v>
      </c>
      <c r="B240" s="87" t="s">
        <v>896</v>
      </c>
      <c r="C240" s="87" t="str">
        <f t="shared" si="158"/>
        <v>Glendale Water and Power|PC-1-B TOU</v>
      </c>
      <c r="D240" s="599">
        <v>0.38919999999999999</v>
      </c>
      <c r="E240" s="599">
        <v>0.1384</v>
      </c>
      <c r="F240" s="599">
        <v>0</v>
      </c>
      <c r="G240" s="99">
        <v>0</v>
      </c>
      <c r="H240" s="99">
        <v>28.3</v>
      </c>
      <c r="I240" s="595">
        <v>0</v>
      </c>
      <c r="J240" s="99">
        <v>0</v>
      </c>
      <c r="K240" s="99">
        <v>0</v>
      </c>
      <c r="L240" s="87" t="s">
        <v>862</v>
      </c>
    </row>
    <row r="241" spans="1:12" ht="45">
      <c r="A241" s="87" t="s">
        <v>897</v>
      </c>
      <c r="B241" s="87" t="s">
        <v>898</v>
      </c>
      <c r="C241" s="87" t="str">
        <f t="shared" si="158"/>
        <v>Burbank Water and Power|XL-TOU</v>
      </c>
      <c r="D241" s="599">
        <v>0.21310000000000001</v>
      </c>
      <c r="E241" s="599">
        <v>8.9599999999999999E-2</v>
      </c>
      <c r="F241" s="599">
        <v>0</v>
      </c>
      <c r="G241" s="99">
        <v>0</v>
      </c>
      <c r="H241" s="99">
        <v>20</v>
      </c>
      <c r="I241" s="595">
        <v>0</v>
      </c>
      <c r="J241" s="99">
        <v>0</v>
      </c>
      <c r="K241" s="99">
        <v>0</v>
      </c>
      <c r="L241" s="87" t="s">
        <v>862</v>
      </c>
    </row>
    <row r="242" spans="1:12" ht="60">
      <c r="A242" s="87" t="s">
        <v>899</v>
      </c>
      <c r="B242" s="87" t="s">
        <v>900</v>
      </c>
      <c r="C242" s="87" t="str">
        <f t="shared" si="158"/>
        <v>Pasadena Water and Power|L-1 Secondary</v>
      </c>
      <c r="D242" s="599">
        <v>0.13408999999999999</v>
      </c>
      <c r="E242" s="599">
        <v>0.12489</v>
      </c>
      <c r="F242" s="599">
        <v>0</v>
      </c>
      <c r="G242" s="99">
        <v>1500</v>
      </c>
      <c r="H242" s="99">
        <v>18.760000000000002</v>
      </c>
      <c r="I242" s="595">
        <v>0</v>
      </c>
      <c r="J242" s="99">
        <v>0</v>
      </c>
      <c r="K242" s="99">
        <v>0</v>
      </c>
      <c r="L242" s="87" t="s">
        <v>862</v>
      </c>
    </row>
    <row r="243" spans="1:12" ht="45">
      <c r="A243" s="87" t="s">
        <v>901</v>
      </c>
      <c r="B243" s="87" t="s">
        <v>902</v>
      </c>
      <c r="C243" s="87" t="str">
        <f t="shared" si="158"/>
        <v>Roseville Electric Utility|GS-4</v>
      </c>
      <c r="D243" s="599">
        <v>0.19689999999999999</v>
      </c>
      <c r="E243" s="599">
        <v>9.5000000000000001E-2</v>
      </c>
      <c r="F243" s="599">
        <v>0</v>
      </c>
      <c r="G243" s="99">
        <v>0</v>
      </c>
      <c r="H243" s="99">
        <v>11.51</v>
      </c>
      <c r="I243" s="595">
        <v>0</v>
      </c>
      <c r="J243" s="99">
        <v>0</v>
      </c>
      <c r="K243" s="99">
        <v>0</v>
      </c>
      <c r="L243" s="87" t="s">
        <v>862</v>
      </c>
    </row>
    <row r="244" spans="1:12" ht="45">
      <c r="A244" s="87" t="s">
        <v>903</v>
      </c>
      <c r="B244" s="87" t="s">
        <v>904</v>
      </c>
      <c r="C244" s="87" t="str">
        <f t="shared" si="158"/>
        <v>City of Palo Alto Utilities|E-7</v>
      </c>
      <c r="D244" s="599">
        <v>0.20068</v>
      </c>
      <c r="E244" s="599">
        <v>0.12834000000000001</v>
      </c>
      <c r="F244" s="599">
        <v>0.08</v>
      </c>
      <c r="G244" s="99">
        <v>604</v>
      </c>
      <c r="H244" s="99">
        <v>47.54</v>
      </c>
      <c r="I244" s="595">
        <v>0</v>
      </c>
      <c r="J244" s="99">
        <v>0</v>
      </c>
      <c r="K244" s="99">
        <v>0</v>
      </c>
      <c r="L244" s="87" t="s">
        <v>862</v>
      </c>
    </row>
    <row r="245" spans="1:12" ht="60">
      <c r="A245" s="87" t="s">
        <v>905</v>
      </c>
      <c r="B245" s="87" t="s">
        <v>906</v>
      </c>
      <c r="C245" s="87" t="str">
        <f t="shared" si="158"/>
        <v>TID — Turlock Irrigation District|Schedule HT</v>
      </c>
      <c r="D245" s="599">
        <v>0.1464</v>
      </c>
      <c r="E245" s="599">
        <v>8.9200000000000002E-2</v>
      </c>
      <c r="F245" s="599">
        <v>0</v>
      </c>
      <c r="G245" s="99">
        <v>300</v>
      </c>
      <c r="H245" s="99">
        <v>16</v>
      </c>
      <c r="I245" s="595">
        <v>0</v>
      </c>
      <c r="J245" s="99">
        <v>0</v>
      </c>
      <c r="K245" s="99">
        <v>0</v>
      </c>
      <c r="L245" s="87" t="s">
        <v>858</v>
      </c>
    </row>
    <row r="246" spans="1:12" ht="60">
      <c r="A246" s="87" t="s">
        <v>907</v>
      </c>
      <c r="B246" s="87" t="s">
        <v>908</v>
      </c>
      <c r="C246" s="87" t="str">
        <f t="shared" si="158"/>
        <v>Alameda Municipal Power|Schedule A-3</v>
      </c>
      <c r="D246" s="599">
        <v>0.14673</v>
      </c>
      <c r="E246" s="599">
        <v>0.14673</v>
      </c>
      <c r="F246" s="599">
        <v>0.14673</v>
      </c>
      <c r="G246" s="99">
        <v>573.6</v>
      </c>
      <c r="H246" s="99">
        <v>17.96</v>
      </c>
      <c r="I246" s="595">
        <v>0</v>
      </c>
      <c r="J246" s="99">
        <v>0</v>
      </c>
      <c r="K246" s="99">
        <v>0</v>
      </c>
      <c r="L246" s="87" t="s">
        <v>858</v>
      </c>
    </row>
    <row r="247" spans="1:12" ht="45">
      <c r="A247" s="87" t="s">
        <v>909</v>
      </c>
      <c r="B247" s="87" t="s">
        <v>910</v>
      </c>
      <c r="C247" s="87" t="str">
        <f t="shared" si="158"/>
        <v>Azusa Light &amp; Water|Azusa Schedule TOU</v>
      </c>
      <c r="D247" s="599">
        <v>0.15454999999999999</v>
      </c>
      <c r="E247" s="599">
        <v>7.0260000000000003E-2</v>
      </c>
      <c r="F247" s="599">
        <v>0</v>
      </c>
      <c r="G247" s="99">
        <v>42.15</v>
      </c>
      <c r="H247" s="99">
        <v>12.01</v>
      </c>
      <c r="I247" s="595">
        <v>0</v>
      </c>
      <c r="J247" s="99">
        <v>0</v>
      </c>
      <c r="K247" s="99">
        <v>0</v>
      </c>
      <c r="L247" s="87" t="s">
        <v>858</v>
      </c>
    </row>
    <row r="248" spans="1:12" ht="90">
      <c r="A248" s="87" t="s">
        <v>863</v>
      </c>
      <c r="B248" s="87" t="s">
        <v>911</v>
      </c>
      <c r="C248" s="87" t="str">
        <f t="shared" si="158"/>
        <v>SCE — Southern California Edison|TOU-EV-9 PLACEHOLDER &lt;2kV</v>
      </c>
      <c r="D248" s="599">
        <v>0.52398</v>
      </c>
      <c r="E248" s="599">
        <v>0.13292000000000001</v>
      </c>
      <c r="F248" s="599">
        <v>8.6660000000000001E-2</v>
      </c>
      <c r="G248" s="99">
        <v>701.42</v>
      </c>
      <c r="H248" s="99">
        <v>0</v>
      </c>
      <c r="I248" s="595">
        <v>0</v>
      </c>
      <c r="J248" s="99">
        <v>0</v>
      </c>
      <c r="K248" s="99">
        <v>0</v>
      </c>
      <c r="L248" s="87" t="s">
        <v>912</v>
      </c>
    </row>
    <row r="249" spans="1:12" ht="90">
      <c r="A249" s="87" t="s">
        <v>863</v>
      </c>
      <c r="B249" s="87" t="s">
        <v>913</v>
      </c>
      <c r="C249" s="87" t="str">
        <f t="shared" si="158"/>
        <v>SCE — Southern California Edison|TOU-EV-9 PLACEHOLDER 2-50kV</v>
      </c>
      <c r="D249" s="599">
        <v>0.48076000000000002</v>
      </c>
      <c r="E249" s="599">
        <v>0.12200999999999999</v>
      </c>
      <c r="F249" s="599">
        <v>8.1989999999999993E-2</v>
      </c>
      <c r="G249" s="99">
        <v>373.12</v>
      </c>
      <c r="H249" s="99">
        <v>0</v>
      </c>
      <c r="I249" s="595">
        <v>0</v>
      </c>
      <c r="J249" s="99">
        <v>0</v>
      </c>
      <c r="K249" s="99">
        <v>0</v>
      </c>
      <c r="L249" s="87" t="s">
        <v>912</v>
      </c>
    </row>
    <row r="250" spans="1:12" ht="75">
      <c r="A250" s="87" t="s">
        <v>863</v>
      </c>
      <c r="B250" s="87" t="s">
        <v>914</v>
      </c>
      <c r="C250" s="87" t="str">
        <f t="shared" si="158"/>
        <v>SCE — Southern California Edison|TOU-EV-8 PLACEHOLDER</v>
      </c>
      <c r="D250" s="599">
        <v>0.59521000000000002</v>
      </c>
      <c r="E250" s="599">
        <v>0.15808</v>
      </c>
      <c r="F250" s="599">
        <v>9.7720000000000001E-2</v>
      </c>
      <c r="G250" s="99">
        <v>194.05</v>
      </c>
      <c r="H250" s="99">
        <v>0</v>
      </c>
      <c r="I250" s="595">
        <v>0</v>
      </c>
      <c r="J250" s="99">
        <v>0</v>
      </c>
      <c r="K250" s="99">
        <v>0</v>
      </c>
      <c r="L250" s="87" t="s">
        <v>912</v>
      </c>
    </row>
    <row r="251" spans="1:12" ht="105">
      <c r="A251" s="87" t="s">
        <v>915</v>
      </c>
      <c r="B251" s="87" t="s">
        <v>916</v>
      </c>
      <c r="C251" s="87" t="str">
        <f t="shared" si="158"/>
        <v>Redding Electric Utility|E2 — Small Commercial (no demand charge)</v>
      </c>
      <c r="D251" s="599">
        <v>0.16489999999999999</v>
      </c>
      <c r="E251" s="599">
        <v>0.16489999999999999</v>
      </c>
      <c r="F251" s="599">
        <v>0.16489999999999999</v>
      </c>
      <c r="G251" s="99">
        <v>70</v>
      </c>
      <c r="H251" s="99">
        <v>0</v>
      </c>
      <c r="I251" s="595">
        <v>0</v>
      </c>
      <c r="J251" s="99">
        <v>0</v>
      </c>
      <c r="K251" s="99">
        <v>0</v>
      </c>
      <c r="L251" s="87" t="s">
        <v>917</v>
      </c>
    </row>
    <row r="252" spans="1:12" ht="90">
      <c r="A252" s="87" t="s">
        <v>915</v>
      </c>
      <c r="B252" s="87" t="s">
        <v>918</v>
      </c>
      <c r="C252" s="87" t="str">
        <f t="shared" si="158"/>
        <v>Redding Electric Utility|E7/E8 — Large Commercial (demand)</v>
      </c>
      <c r="D252" s="599">
        <v>0.1086</v>
      </c>
      <c r="E252" s="599">
        <v>0.1086</v>
      </c>
      <c r="F252" s="599">
        <v>0.1086</v>
      </c>
      <c r="G252" s="99">
        <v>95</v>
      </c>
      <c r="H252" s="99">
        <v>21.5</v>
      </c>
      <c r="I252" s="595">
        <v>0</v>
      </c>
      <c r="J252" s="99">
        <v>0</v>
      </c>
      <c r="K252" s="99">
        <v>0</v>
      </c>
      <c r="L252" s="87" t="s">
        <v>917</v>
      </c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dataValidations count="3">
    <dataValidation type="list" allowBlank="1" showInputMessage="1" showErrorMessage="1" sqref="B53 C53 D53 E53 F53 G53 H53 I53 J53 K53 L53 M53 N53 O53 P53 Q53 R53 S53 T53 U53 V53 X53 Y53 Z53" xr:uid="{00000000-0002-0000-0600-000000000000}">
      <formula1>"Yes,No"</formula1>
    </dataValidation>
    <dataValidation type="list" allowBlank="1" showInputMessage="1" showErrorMessage="1" sqref="B202" xr:uid="{00000000-0002-0000-0600-000001000000}">
      <formula1>$A$216:$A$252</formula1>
    </dataValidation>
    <dataValidation type="list" allowBlank="1" showInputMessage="1" showErrorMessage="1" sqref="B203" xr:uid="{00000000-0002-0000-0600-000002000000}">
      <formula1>$B$216:$B$252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49"/>
  <sheetViews>
    <sheetView topLeftCell="B1" zoomScaleNormal="100" workbookViewId="0">
      <selection activeCell="H102" sqref="H102"/>
    </sheetView>
  </sheetViews>
  <sheetFormatPr defaultColWidth="8.7109375" defaultRowHeight="15"/>
  <cols>
    <col min="2" max="2" width="45.85546875" customWidth="1"/>
    <col min="3" max="3" width="24" customWidth="1"/>
    <col min="4" max="4" width="79.140625" customWidth="1"/>
    <col min="5" max="5" width="12" customWidth="1"/>
    <col min="6" max="6" width="20.5703125" customWidth="1"/>
    <col min="7" max="7" width="8.7109375" customWidth="1"/>
    <col min="8" max="8" width="14.140625" customWidth="1"/>
    <col min="9" max="9" width="17.140625" customWidth="1"/>
    <col min="11" max="11" width="9.140625" bestFit="1" customWidth="1"/>
    <col min="12" max="12" width="10.140625" bestFit="1" customWidth="1"/>
  </cols>
  <sheetData>
    <row r="1" spans="2:10" ht="15" customHeight="1">
      <c r="B1" s="115" t="s">
        <v>749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126</v>
      </c>
      <c r="J2" t="s">
        <v>127</v>
      </c>
    </row>
    <row r="3" spans="2:10" ht="15" customHeight="1">
      <c r="B3" s="118" t="s">
        <v>128</v>
      </c>
      <c r="C3" s="119" t="s">
        <v>129</v>
      </c>
      <c r="D3" s="119" t="s">
        <v>130</v>
      </c>
      <c r="E3" s="11">
        <v>273.8</v>
      </c>
      <c r="F3" s="11">
        <v>605</v>
      </c>
      <c r="I3" s="119" t="s">
        <v>128</v>
      </c>
    </row>
    <row r="4" spans="2:10" ht="15" customHeight="1">
      <c r="B4" s="118"/>
      <c r="C4" s="119" t="s">
        <v>131</v>
      </c>
      <c r="D4" s="119" t="s">
        <v>132</v>
      </c>
      <c r="E4" s="11">
        <v>235</v>
      </c>
      <c r="F4" s="11">
        <v>605</v>
      </c>
      <c r="I4" s="119" t="s">
        <v>133</v>
      </c>
    </row>
    <row r="5" spans="2:10" ht="15" customHeight="1">
      <c r="B5" s="118"/>
      <c r="C5" s="119" t="s">
        <v>134</v>
      </c>
      <c r="D5" s="119" t="s">
        <v>135</v>
      </c>
      <c r="E5" s="11">
        <v>510.3</v>
      </c>
      <c r="F5" s="11">
        <v>1402.5</v>
      </c>
      <c r="I5" s="119" t="s">
        <v>136</v>
      </c>
    </row>
    <row r="6" spans="2:10" ht="15" customHeight="1">
      <c r="B6" s="118"/>
      <c r="C6" s="119" t="s">
        <v>137</v>
      </c>
      <c r="D6" s="119" t="s">
        <v>138</v>
      </c>
      <c r="E6" s="11">
        <v>510.3</v>
      </c>
      <c r="F6" s="11">
        <v>1402.5</v>
      </c>
      <c r="I6" s="119" t="s">
        <v>139</v>
      </c>
    </row>
    <row r="7" spans="2:10" ht="15" customHeight="1">
      <c r="B7" s="118"/>
      <c r="C7" s="119" t="s">
        <v>140</v>
      </c>
      <c r="D7" s="119" t="s">
        <v>141</v>
      </c>
      <c r="E7" s="11">
        <v>640</v>
      </c>
      <c r="F7" s="11">
        <v>1650</v>
      </c>
      <c r="I7" s="119" t="s">
        <v>142</v>
      </c>
    </row>
    <row r="8" spans="2:10" ht="15" customHeight="1">
      <c r="B8" s="118"/>
      <c r="C8" s="119" t="s">
        <v>143</v>
      </c>
      <c r="D8" s="119" t="s">
        <v>144</v>
      </c>
      <c r="E8" s="11">
        <v>760.78</v>
      </c>
      <c r="F8" s="11">
        <v>1952.5</v>
      </c>
      <c r="I8" s="119" t="s">
        <v>145</v>
      </c>
    </row>
    <row r="9" spans="2:10" ht="15" customHeight="1">
      <c r="B9" s="118"/>
      <c r="C9" s="119" t="s">
        <v>146</v>
      </c>
      <c r="D9" s="119" t="s">
        <v>147</v>
      </c>
      <c r="E9" s="11">
        <v>828.95</v>
      </c>
      <c r="F9" s="11">
        <v>2194.5</v>
      </c>
      <c r="I9" s="119" t="s">
        <v>148</v>
      </c>
    </row>
    <row r="10" spans="2:10" ht="15" customHeight="1">
      <c r="B10" s="118"/>
      <c r="C10" s="119" t="s">
        <v>149</v>
      </c>
      <c r="D10" s="119" t="s">
        <v>141</v>
      </c>
      <c r="E10" s="11">
        <v>595.35</v>
      </c>
      <c r="F10" s="11">
        <v>2255</v>
      </c>
      <c r="I10" s="119" t="s">
        <v>150</v>
      </c>
    </row>
    <row r="11" spans="2:10" ht="15" customHeight="1">
      <c r="B11" s="118"/>
      <c r="C11" s="119" t="s">
        <v>151</v>
      </c>
      <c r="D11" s="119" t="s">
        <v>144</v>
      </c>
      <c r="E11" s="11">
        <v>828.12</v>
      </c>
      <c r="F11" s="11">
        <v>2530</v>
      </c>
      <c r="I11" s="119" t="s">
        <v>152</v>
      </c>
    </row>
    <row r="12" spans="2:10" ht="15" customHeight="1">
      <c r="B12" s="118"/>
      <c r="C12" s="119" t="s">
        <v>153</v>
      </c>
      <c r="D12" s="119" t="s">
        <v>147</v>
      </c>
      <c r="E12" s="11">
        <v>1043.95</v>
      </c>
      <c r="F12" s="11">
        <v>2805</v>
      </c>
      <c r="I12" s="119" t="s">
        <v>154</v>
      </c>
    </row>
    <row r="13" spans="2:10" ht="15" customHeight="1">
      <c r="B13" s="118" t="s">
        <v>133</v>
      </c>
      <c r="C13" s="119" t="s">
        <v>155</v>
      </c>
      <c r="D13" s="119" t="s">
        <v>156</v>
      </c>
      <c r="E13" s="11">
        <v>3600</v>
      </c>
      <c r="F13" s="11">
        <v>13750</v>
      </c>
      <c r="I13" s="119" t="s">
        <v>157</v>
      </c>
    </row>
    <row r="14" spans="2:10" ht="15" customHeight="1">
      <c r="B14" s="118"/>
      <c r="C14" s="119" t="s">
        <v>158</v>
      </c>
      <c r="D14" s="119" t="s">
        <v>159</v>
      </c>
      <c r="E14" s="11">
        <v>3600</v>
      </c>
      <c r="F14" s="11">
        <v>13750</v>
      </c>
      <c r="I14" s="119" t="s">
        <v>160</v>
      </c>
    </row>
    <row r="15" spans="2:10" ht="15" customHeight="1">
      <c r="B15" s="118" t="s">
        <v>136</v>
      </c>
      <c r="C15" s="119" t="s">
        <v>161</v>
      </c>
      <c r="D15" s="119" t="s">
        <v>162</v>
      </c>
      <c r="E15" s="11">
        <v>8100</v>
      </c>
      <c r="F15" s="11">
        <v>28500</v>
      </c>
      <c r="I15" s="119" t="s">
        <v>163</v>
      </c>
    </row>
    <row r="16" spans="2:10" ht="15" customHeight="1">
      <c r="B16" s="118"/>
      <c r="C16" s="119" t="s">
        <v>164</v>
      </c>
      <c r="D16" s="119" t="s">
        <v>165</v>
      </c>
      <c r="E16" s="11">
        <v>8100</v>
      </c>
      <c r="F16" s="11">
        <v>28500</v>
      </c>
      <c r="I16" s="119" t="s">
        <v>166</v>
      </c>
    </row>
    <row r="17" spans="2:9" ht="15" customHeight="1">
      <c r="B17" s="118"/>
      <c r="C17" s="119" t="s">
        <v>167</v>
      </c>
      <c r="D17" s="119" t="s">
        <v>168</v>
      </c>
      <c r="E17" s="11">
        <v>8100</v>
      </c>
      <c r="F17" s="11">
        <v>28500</v>
      </c>
    </row>
    <row r="18" spans="2:9" ht="15" customHeight="1">
      <c r="B18" s="118"/>
      <c r="C18" s="119" t="s">
        <v>169</v>
      </c>
      <c r="D18" s="119" t="s">
        <v>170</v>
      </c>
      <c r="E18" s="11">
        <v>8100</v>
      </c>
      <c r="F18" s="11">
        <v>28500</v>
      </c>
      <c r="I18" s="570"/>
    </row>
    <row r="19" spans="2:9" ht="15" customHeight="1">
      <c r="B19" s="118"/>
      <c r="C19" s="119" t="s">
        <v>171</v>
      </c>
      <c r="D19" s="119" t="s">
        <v>172</v>
      </c>
      <c r="E19" s="11">
        <v>14145</v>
      </c>
      <c r="F19" s="11">
        <v>31350</v>
      </c>
    </row>
    <row r="20" spans="2:9" ht="15" customHeight="1">
      <c r="B20" s="118"/>
      <c r="C20" s="119" t="s">
        <v>173</v>
      </c>
      <c r="D20" s="119" t="s">
        <v>174</v>
      </c>
      <c r="E20" s="11">
        <v>14145</v>
      </c>
      <c r="F20" s="11">
        <v>31350</v>
      </c>
    </row>
    <row r="21" spans="2:9" ht="15" customHeight="1">
      <c r="B21" s="118"/>
      <c r="C21" s="119" t="s">
        <v>175</v>
      </c>
      <c r="D21" s="119" t="s">
        <v>176</v>
      </c>
      <c r="E21" s="11">
        <v>14145</v>
      </c>
      <c r="F21" s="11">
        <v>31350</v>
      </c>
    </row>
    <row r="22" spans="2:9" ht="15" customHeight="1">
      <c r="B22" s="118" t="s">
        <v>139</v>
      </c>
      <c r="C22" s="119" t="s">
        <v>177</v>
      </c>
      <c r="D22" s="119" t="s">
        <v>178</v>
      </c>
      <c r="E22" s="11">
        <v>12588</v>
      </c>
      <c r="F22" s="11">
        <v>54000</v>
      </c>
    </row>
    <row r="23" spans="2:9" ht="15" customHeight="1">
      <c r="B23" s="118"/>
      <c r="C23" s="119" t="s">
        <v>179</v>
      </c>
      <c r="D23" s="119" t="s">
        <v>180</v>
      </c>
      <c r="E23" s="11">
        <v>12588</v>
      </c>
      <c r="F23" s="11">
        <v>54000</v>
      </c>
    </row>
    <row r="24" spans="2:9" ht="15" customHeight="1">
      <c r="B24" s="118"/>
      <c r="C24" s="119" t="s">
        <v>181</v>
      </c>
      <c r="D24" s="119" t="s">
        <v>182</v>
      </c>
      <c r="E24" s="11">
        <v>12588</v>
      </c>
      <c r="F24" s="11">
        <v>54000</v>
      </c>
    </row>
    <row r="25" spans="2:9" ht="15" customHeight="1">
      <c r="B25" s="118"/>
      <c r="C25" s="119" t="s">
        <v>183</v>
      </c>
      <c r="D25" s="119" t="s">
        <v>184</v>
      </c>
      <c r="E25" s="11">
        <v>12588</v>
      </c>
      <c r="F25" s="11">
        <v>54000</v>
      </c>
    </row>
    <row r="26" spans="2:9" ht="15" customHeight="1">
      <c r="B26" s="118"/>
      <c r="C26" s="119" t="s">
        <v>185</v>
      </c>
      <c r="D26" s="119" t="s">
        <v>186</v>
      </c>
      <c r="E26" s="11">
        <v>15950</v>
      </c>
      <c r="F26" s="11">
        <v>59400</v>
      </c>
    </row>
    <row r="27" spans="2:9" ht="15" customHeight="1">
      <c r="B27" s="118"/>
      <c r="C27" s="119" t="s">
        <v>187</v>
      </c>
      <c r="D27" s="119" t="s">
        <v>188</v>
      </c>
      <c r="E27" s="11">
        <v>15950</v>
      </c>
      <c r="F27" s="11">
        <v>59400</v>
      </c>
    </row>
    <row r="28" spans="2:9" ht="15" customHeight="1">
      <c r="B28" s="118"/>
      <c r="C28" s="119" t="s">
        <v>189</v>
      </c>
      <c r="D28" s="119" t="s">
        <v>190</v>
      </c>
      <c r="E28" s="11">
        <v>15950</v>
      </c>
      <c r="F28" s="11">
        <v>59400</v>
      </c>
    </row>
    <row r="29" spans="2:9" ht="15" customHeight="1">
      <c r="B29" s="118"/>
      <c r="C29" s="119" t="s">
        <v>191</v>
      </c>
      <c r="D29" s="119" t="s">
        <v>192</v>
      </c>
      <c r="E29" s="11">
        <v>15950</v>
      </c>
      <c r="F29" s="11">
        <v>59400</v>
      </c>
    </row>
    <row r="30" spans="2:9" ht="15" customHeight="1">
      <c r="B30" s="118"/>
      <c r="C30" s="119" t="s">
        <v>193</v>
      </c>
      <c r="D30" s="119" t="s">
        <v>194</v>
      </c>
      <c r="E30" s="11">
        <v>15950</v>
      </c>
      <c r="F30" s="11">
        <v>59400</v>
      </c>
    </row>
    <row r="31" spans="2:9" ht="15" customHeight="1">
      <c r="B31" s="118" t="s">
        <v>142</v>
      </c>
      <c r="C31" s="119" t="s">
        <v>195</v>
      </c>
      <c r="D31" s="119" t="s">
        <v>196</v>
      </c>
      <c r="E31" s="11"/>
      <c r="F31" s="11">
        <v>57000</v>
      </c>
    </row>
    <row r="32" spans="2:9" ht="15" customHeight="1">
      <c r="B32" s="118"/>
      <c r="C32" s="119" t="s">
        <v>197</v>
      </c>
      <c r="D32" s="119" t="s">
        <v>198</v>
      </c>
      <c r="E32" s="11"/>
      <c r="F32" s="11">
        <v>57000</v>
      </c>
    </row>
    <row r="33" spans="2:6" ht="15" customHeight="1">
      <c r="B33" s="118"/>
      <c r="C33" s="119" t="s">
        <v>199</v>
      </c>
      <c r="D33" s="119" t="s">
        <v>200</v>
      </c>
      <c r="E33" s="11"/>
      <c r="F33" s="11">
        <v>57000</v>
      </c>
    </row>
    <row r="34" spans="2:6" ht="15" customHeight="1">
      <c r="B34" s="118"/>
      <c r="C34" s="119" t="s">
        <v>201</v>
      </c>
      <c r="D34" s="119" t="s">
        <v>202</v>
      </c>
      <c r="E34" s="11"/>
      <c r="F34" s="11">
        <v>57000</v>
      </c>
    </row>
    <row r="35" spans="2:6" ht="15" customHeight="1">
      <c r="B35" s="118"/>
      <c r="C35" s="119" t="s">
        <v>203</v>
      </c>
      <c r="D35" s="119" t="s">
        <v>204</v>
      </c>
      <c r="E35" s="11"/>
      <c r="F35" s="11">
        <v>68000</v>
      </c>
    </row>
    <row r="36" spans="2:6" ht="15" customHeight="1">
      <c r="B36" s="118"/>
      <c r="C36" s="119" t="s">
        <v>205</v>
      </c>
      <c r="D36" s="119" t="s">
        <v>206</v>
      </c>
      <c r="E36" s="11"/>
      <c r="F36" s="11">
        <v>70000</v>
      </c>
    </row>
    <row r="37" spans="2:6" ht="15" customHeight="1">
      <c r="B37" s="118"/>
      <c r="C37" s="119" t="s">
        <v>207</v>
      </c>
      <c r="D37" s="119" t="s">
        <v>208</v>
      </c>
      <c r="E37" s="11">
        <v>17595</v>
      </c>
      <c r="F37" s="11">
        <v>68200</v>
      </c>
    </row>
    <row r="38" spans="2:6" ht="15" customHeight="1">
      <c r="B38" s="118"/>
      <c r="C38" s="119" t="s">
        <v>209</v>
      </c>
      <c r="D38" s="119" t="s">
        <v>210</v>
      </c>
      <c r="E38" s="11">
        <v>17595</v>
      </c>
      <c r="F38" s="11">
        <v>68200</v>
      </c>
    </row>
    <row r="39" spans="2:6" ht="15" customHeight="1">
      <c r="B39" s="118"/>
      <c r="C39" s="119" t="s">
        <v>211</v>
      </c>
      <c r="D39" s="119" t="s">
        <v>212</v>
      </c>
      <c r="E39" s="11">
        <v>17595</v>
      </c>
      <c r="F39" s="11">
        <v>68200</v>
      </c>
    </row>
    <row r="40" spans="2:6" ht="15" customHeight="1">
      <c r="B40" s="118"/>
      <c r="C40" s="119" t="s">
        <v>213</v>
      </c>
      <c r="D40" s="119" t="s">
        <v>214</v>
      </c>
      <c r="E40" s="11"/>
      <c r="F40" s="11">
        <v>68200</v>
      </c>
    </row>
    <row r="41" spans="2:6" ht="15" customHeight="1">
      <c r="B41" s="118"/>
      <c r="C41" s="119" t="s">
        <v>215</v>
      </c>
      <c r="D41" s="119" t="s">
        <v>216</v>
      </c>
      <c r="E41" s="11"/>
      <c r="F41" s="11">
        <v>68200</v>
      </c>
    </row>
    <row r="42" spans="2:6" ht="15" customHeight="1">
      <c r="B42" s="118" t="s">
        <v>145</v>
      </c>
      <c r="C42" s="119" t="s">
        <v>217</v>
      </c>
      <c r="D42" s="119" t="s">
        <v>218</v>
      </c>
      <c r="E42" s="11">
        <v>19500</v>
      </c>
      <c r="F42" s="11">
        <v>62000</v>
      </c>
    </row>
    <row r="43" spans="2:6" ht="15" customHeight="1">
      <c r="B43" s="118"/>
      <c r="C43" s="119" t="s">
        <v>219</v>
      </c>
      <c r="D43" s="119" t="s">
        <v>220</v>
      </c>
      <c r="E43" s="11">
        <v>19500</v>
      </c>
      <c r="F43" s="11">
        <v>62000</v>
      </c>
    </row>
    <row r="44" spans="2:6" ht="15" customHeight="1">
      <c r="B44" s="118"/>
      <c r="C44" s="119" t="s">
        <v>221</v>
      </c>
      <c r="D44" s="119" t="s">
        <v>222</v>
      </c>
      <c r="E44" s="11">
        <v>19500</v>
      </c>
      <c r="F44" s="11">
        <v>62000</v>
      </c>
    </row>
    <row r="45" spans="2:6" ht="15" customHeight="1">
      <c r="B45" s="118"/>
      <c r="C45" s="119" t="s">
        <v>223</v>
      </c>
      <c r="D45" s="119" t="s">
        <v>224</v>
      </c>
      <c r="E45" s="11">
        <v>19500</v>
      </c>
      <c r="F45" s="11">
        <v>62000</v>
      </c>
    </row>
    <row r="46" spans="2:6" ht="15" customHeight="1">
      <c r="B46" s="118"/>
      <c r="C46" s="119" t="s">
        <v>225</v>
      </c>
      <c r="D46" s="119" t="s">
        <v>226</v>
      </c>
      <c r="E46" s="11"/>
      <c r="F46" s="11">
        <v>62000</v>
      </c>
    </row>
    <row r="47" spans="2:6" ht="15" customHeight="1">
      <c r="B47" s="118" t="s">
        <v>148</v>
      </c>
      <c r="C47" s="119" t="s">
        <v>227</v>
      </c>
      <c r="D47" s="119" t="s">
        <v>228</v>
      </c>
      <c r="E47" s="11">
        <v>25000</v>
      </c>
      <c r="F47" s="11">
        <v>80000</v>
      </c>
    </row>
    <row r="48" spans="2:6" ht="15" customHeight="1">
      <c r="B48" s="118"/>
      <c r="C48" s="119" t="s">
        <v>229</v>
      </c>
      <c r="D48" s="119" t="s">
        <v>230</v>
      </c>
      <c r="E48" s="11">
        <v>25000</v>
      </c>
      <c r="F48" s="11">
        <v>80000</v>
      </c>
    </row>
    <row r="49" spans="2:6" ht="15" customHeight="1">
      <c r="B49" s="118"/>
      <c r="C49" s="119" t="s">
        <v>231</v>
      </c>
      <c r="D49" s="119" t="s">
        <v>232</v>
      </c>
      <c r="E49" s="11"/>
      <c r="F49" s="11">
        <v>98000</v>
      </c>
    </row>
    <row r="50" spans="2:6" ht="15" customHeight="1">
      <c r="B50" s="118"/>
      <c r="C50" s="119" t="s">
        <v>233</v>
      </c>
      <c r="D50" s="119" t="s">
        <v>234</v>
      </c>
      <c r="E50" s="11"/>
      <c r="F50" s="11">
        <v>98000</v>
      </c>
    </row>
    <row r="51" spans="2:6" ht="15" customHeight="1">
      <c r="B51" s="118"/>
      <c r="C51" s="119" t="s">
        <v>235</v>
      </c>
      <c r="D51" s="119" t="s">
        <v>236</v>
      </c>
      <c r="E51" s="11">
        <v>24725</v>
      </c>
      <c r="F51" s="11">
        <v>88000</v>
      </c>
    </row>
    <row r="52" spans="2:6" ht="15" customHeight="1">
      <c r="B52" s="118"/>
      <c r="C52" s="119" t="s">
        <v>237</v>
      </c>
      <c r="D52" s="119" t="s">
        <v>238</v>
      </c>
      <c r="E52" s="11">
        <v>24725</v>
      </c>
      <c r="F52" s="11">
        <v>88000</v>
      </c>
    </row>
    <row r="53" spans="2:6" ht="15" customHeight="1">
      <c r="B53" s="118"/>
      <c r="C53" s="119" t="s">
        <v>239</v>
      </c>
      <c r="D53" s="119" t="s">
        <v>240</v>
      </c>
      <c r="E53" s="11">
        <v>24725</v>
      </c>
      <c r="F53" s="11">
        <v>88000</v>
      </c>
    </row>
    <row r="54" spans="2:6" ht="15" customHeight="1">
      <c r="B54" s="118"/>
      <c r="C54" s="119" t="s">
        <v>241</v>
      </c>
      <c r="D54" s="119" t="s">
        <v>242</v>
      </c>
      <c r="E54" s="11">
        <v>24725</v>
      </c>
      <c r="F54" s="11">
        <v>88000</v>
      </c>
    </row>
    <row r="55" spans="2:6" ht="15" customHeight="1">
      <c r="B55" s="118" t="s">
        <v>150</v>
      </c>
      <c r="C55" s="119" t="s">
        <v>243</v>
      </c>
      <c r="D55" s="119" t="s">
        <v>244</v>
      </c>
      <c r="E55" s="11">
        <v>29000</v>
      </c>
      <c r="F55" s="11">
        <v>99000</v>
      </c>
    </row>
    <row r="56" spans="2:6" ht="15" customHeight="1">
      <c r="B56" s="118"/>
      <c r="C56" s="119" t="s">
        <v>245</v>
      </c>
      <c r="D56" s="119" t="s">
        <v>246</v>
      </c>
      <c r="E56" s="11">
        <v>29000</v>
      </c>
      <c r="F56" s="11">
        <v>99000</v>
      </c>
    </row>
    <row r="57" spans="2:6" ht="15" customHeight="1">
      <c r="B57" s="118"/>
      <c r="C57" s="119" t="s">
        <v>247</v>
      </c>
      <c r="D57" s="119" t="s">
        <v>248</v>
      </c>
      <c r="E57" s="11">
        <v>29000</v>
      </c>
      <c r="F57" s="11">
        <v>99000</v>
      </c>
    </row>
    <row r="58" spans="2:6" ht="15" customHeight="1">
      <c r="B58" s="118"/>
      <c r="C58" s="119" t="s">
        <v>249</v>
      </c>
      <c r="D58" s="119" t="s">
        <v>250</v>
      </c>
      <c r="E58" s="11">
        <v>29000</v>
      </c>
      <c r="F58" s="11">
        <v>99000</v>
      </c>
    </row>
    <row r="59" spans="2:6" ht="15" customHeight="1">
      <c r="B59" s="118"/>
      <c r="C59" s="119" t="s">
        <v>251</v>
      </c>
      <c r="D59" s="119" t="s">
        <v>252</v>
      </c>
      <c r="E59" s="11">
        <v>65520</v>
      </c>
      <c r="F59" s="11">
        <v>110000</v>
      </c>
    </row>
    <row r="60" spans="2:6" ht="15" customHeight="1">
      <c r="B60" s="118"/>
      <c r="C60" s="119" t="s">
        <v>253</v>
      </c>
      <c r="D60" s="119" t="s">
        <v>254</v>
      </c>
      <c r="E60" s="11">
        <v>65520</v>
      </c>
      <c r="F60" s="11">
        <v>110000</v>
      </c>
    </row>
    <row r="61" spans="2:6" ht="15" customHeight="1">
      <c r="B61" s="118"/>
      <c r="C61" s="119" t="s">
        <v>255</v>
      </c>
      <c r="D61" s="119" t="s">
        <v>256</v>
      </c>
      <c r="E61" s="11">
        <v>65520</v>
      </c>
      <c r="F61" s="11">
        <v>110000</v>
      </c>
    </row>
    <row r="62" spans="2:6" ht="15" customHeight="1">
      <c r="B62" s="118"/>
      <c r="C62" s="119" t="s">
        <v>257</v>
      </c>
      <c r="D62" s="119" t="s">
        <v>258</v>
      </c>
      <c r="E62" s="11">
        <v>65520</v>
      </c>
      <c r="F62" s="11">
        <v>110000</v>
      </c>
    </row>
    <row r="63" spans="2:6" ht="15" customHeight="1">
      <c r="B63" s="118" t="s">
        <v>152</v>
      </c>
      <c r="C63" s="119" t="s">
        <v>259</v>
      </c>
      <c r="D63" s="119" t="s">
        <v>260</v>
      </c>
      <c r="E63" s="11">
        <v>28750</v>
      </c>
      <c r="F63" s="11">
        <v>81400</v>
      </c>
    </row>
    <row r="64" spans="2:6" ht="15" customHeight="1">
      <c r="B64" s="118"/>
      <c r="C64" s="119" t="s">
        <v>261</v>
      </c>
      <c r="D64" s="119" t="s">
        <v>262</v>
      </c>
      <c r="E64" s="11">
        <v>31000</v>
      </c>
      <c r="F64" s="11">
        <v>90200</v>
      </c>
    </row>
    <row r="65" spans="2:6" ht="15" customHeight="1">
      <c r="B65" s="118"/>
      <c r="C65" s="119" t="s">
        <v>263</v>
      </c>
      <c r="D65" s="119" t="s">
        <v>264</v>
      </c>
      <c r="E65" s="11">
        <v>0</v>
      </c>
      <c r="F65" s="11">
        <v>225000</v>
      </c>
    </row>
    <row r="66" spans="2:6" ht="15" customHeight="1">
      <c r="B66" s="118"/>
      <c r="C66" s="119" t="s">
        <v>265</v>
      </c>
      <c r="D66" s="119" t="s">
        <v>266</v>
      </c>
      <c r="E66" s="11">
        <v>13100</v>
      </c>
      <c r="F66" s="11">
        <v>35200</v>
      </c>
    </row>
    <row r="67" spans="2:6" ht="15" customHeight="1">
      <c r="B67" s="118"/>
      <c r="C67" s="119" t="s">
        <v>267</v>
      </c>
      <c r="D67" s="119" t="s">
        <v>268</v>
      </c>
      <c r="E67" s="11">
        <v>24725</v>
      </c>
      <c r="F67" s="11">
        <v>49500</v>
      </c>
    </row>
    <row r="68" spans="2:6" ht="15" customHeight="1">
      <c r="B68" s="118" t="s">
        <v>154</v>
      </c>
      <c r="C68" s="119" t="s">
        <v>269</v>
      </c>
      <c r="D68" s="119" t="s">
        <v>270</v>
      </c>
      <c r="E68" s="11">
        <v>17500</v>
      </c>
      <c r="F68" s="11">
        <v>68200</v>
      </c>
    </row>
    <row r="69" spans="2:6" ht="15" customHeight="1">
      <c r="B69" s="118"/>
      <c r="C69" s="119" t="s">
        <v>271</v>
      </c>
      <c r="D69" s="119" t="s">
        <v>272</v>
      </c>
      <c r="E69" s="11">
        <v>17500</v>
      </c>
      <c r="F69" s="11">
        <v>68200</v>
      </c>
    </row>
    <row r="70" spans="2:6" ht="15" customHeight="1">
      <c r="B70" s="118"/>
      <c r="C70" s="119" t="s">
        <v>273</v>
      </c>
      <c r="D70" s="119" t="s">
        <v>274</v>
      </c>
      <c r="E70" s="11">
        <v>0</v>
      </c>
      <c r="F70" s="11">
        <v>68200</v>
      </c>
    </row>
    <row r="71" spans="2:6" ht="15" customHeight="1">
      <c r="B71" s="118"/>
      <c r="C71" s="119" t="s">
        <v>275</v>
      </c>
      <c r="D71" s="119" t="s">
        <v>276</v>
      </c>
      <c r="E71" s="11">
        <v>14480</v>
      </c>
      <c r="F71" s="11">
        <v>75900</v>
      </c>
    </row>
    <row r="72" spans="2:6" ht="15" customHeight="1">
      <c r="B72" s="118"/>
      <c r="C72" s="119" t="s">
        <v>277</v>
      </c>
      <c r="D72" s="119" t="s">
        <v>278</v>
      </c>
      <c r="E72" s="11">
        <v>14480</v>
      </c>
      <c r="F72" s="11">
        <v>75900</v>
      </c>
    </row>
    <row r="73" spans="2:6" ht="15" customHeight="1">
      <c r="B73" s="118"/>
      <c r="C73" s="119" t="s">
        <v>279</v>
      </c>
      <c r="D73" s="119" t="s">
        <v>280</v>
      </c>
      <c r="E73" s="11">
        <v>14480</v>
      </c>
      <c r="F73" s="11">
        <v>75900</v>
      </c>
    </row>
    <row r="74" spans="2:6" ht="15" customHeight="1">
      <c r="B74" s="118"/>
      <c r="C74" s="119" t="s">
        <v>281</v>
      </c>
      <c r="D74" s="119" t="s">
        <v>282</v>
      </c>
      <c r="E74" s="11">
        <v>35500</v>
      </c>
      <c r="F74" s="11">
        <v>82500</v>
      </c>
    </row>
    <row r="75" spans="2:6" ht="15" customHeight="1">
      <c r="B75" s="118"/>
      <c r="C75" s="119" t="s">
        <v>283</v>
      </c>
      <c r="D75" s="119" t="s">
        <v>284</v>
      </c>
      <c r="E75" s="11">
        <v>35500</v>
      </c>
      <c r="F75" s="11">
        <v>82500</v>
      </c>
    </row>
    <row r="76" spans="2:6" ht="15" customHeight="1">
      <c r="B76" s="118"/>
      <c r="C76" s="119" t="s">
        <v>285</v>
      </c>
      <c r="D76" s="119" t="s">
        <v>286</v>
      </c>
      <c r="E76" s="11">
        <v>35500</v>
      </c>
      <c r="F76" s="11">
        <v>82500</v>
      </c>
    </row>
    <row r="77" spans="2:6" ht="15" customHeight="1">
      <c r="B77" s="118"/>
      <c r="C77" s="119" t="s">
        <v>287</v>
      </c>
      <c r="D77" s="119" t="s">
        <v>288</v>
      </c>
      <c r="E77" s="11">
        <v>43500</v>
      </c>
      <c r="F77" s="11">
        <v>82500</v>
      </c>
    </row>
    <row r="78" spans="2:6" ht="15" customHeight="1">
      <c r="B78" s="118"/>
      <c r="C78" s="119" t="s">
        <v>289</v>
      </c>
      <c r="D78" s="119" t="s">
        <v>290</v>
      </c>
      <c r="E78" s="11">
        <v>43500</v>
      </c>
      <c r="F78" s="11">
        <v>82500</v>
      </c>
    </row>
    <row r="79" spans="2:6" ht="15" customHeight="1">
      <c r="B79" s="118"/>
      <c r="C79" s="119" t="s">
        <v>291</v>
      </c>
      <c r="D79" s="119" t="s">
        <v>292</v>
      </c>
      <c r="E79" s="11">
        <v>43500</v>
      </c>
      <c r="F79" s="11">
        <v>82500</v>
      </c>
    </row>
    <row r="80" spans="2:6" ht="15" customHeight="1">
      <c r="B80" s="118"/>
      <c r="C80" s="119" t="s">
        <v>293</v>
      </c>
      <c r="D80" s="119" t="s">
        <v>294</v>
      </c>
      <c r="E80" s="11">
        <v>0</v>
      </c>
      <c r="F80" s="11">
        <v>138600</v>
      </c>
    </row>
    <row r="81" spans="2:6" ht="15" customHeight="1">
      <c r="B81" s="118"/>
      <c r="C81" s="119" t="s">
        <v>295</v>
      </c>
      <c r="D81" s="119" t="s">
        <v>296</v>
      </c>
      <c r="E81" s="11">
        <v>0</v>
      </c>
      <c r="F81" s="11">
        <v>138600</v>
      </c>
    </row>
    <row r="82" spans="2:6" ht="15" customHeight="1">
      <c r="B82" s="118"/>
      <c r="C82" s="119" t="s">
        <v>297</v>
      </c>
      <c r="D82" s="119" t="s">
        <v>298</v>
      </c>
      <c r="E82" s="11">
        <v>0</v>
      </c>
      <c r="F82" s="11">
        <v>138600</v>
      </c>
    </row>
    <row r="83" spans="2:6" ht="15" customHeight="1">
      <c r="B83" s="118"/>
      <c r="C83" s="119" t="s">
        <v>299</v>
      </c>
      <c r="D83" s="119" t="s">
        <v>300</v>
      </c>
      <c r="E83" s="11">
        <v>0</v>
      </c>
      <c r="F83" s="11">
        <v>137500</v>
      </c>
    </row>
    <row r="84" spans="2:6" ht="15" customHeight="1">
      <c r="B84" s="118"/>
      <c r="C84" s="119" t="s">
        <v>301</v>
      </c>
      <c r="D84" s="119" t="s">
        <v>302</v>
      </c>
      <c r="E84" s="11">
        <v>0</v>
      </c>
      <c r="F84" s="11">
        <v>137500</v>
      </c>
    </row>
    <row r="85" spans="2:6" ht="15" customHeight="1">
      <c r="B85" s="118"/>
      <c r="C85" s="119" t="s">
        <v>303</v>
      </c>
      <c r="D85" s="119" t="s">
        <v>304</v>
      </c>
      <c r="E85" s="11">
        <v>0</v>
      </c>
      <c r="F85" s="11">
        <v>137500</v>
      </c>
    </row>
    <row r="86" spans="2:6" ht="15" customHeight="1">
      <c r="B86" s="118" t="s">
        <v>157</v>
      </c>
      <c r="C86" s="119" t="s">
        <v>305</v>
      </c>
      <c r="D86" s="119" t="s">
        <v>306</v>
      </c>
      <c r="E86" s="11">
        <v>5800</v>
      </c>
      <c r="F86" s="11">
        <v>16700</v>
      </c>
    </row>
    <row r="87" spans="2:6" ht="15" customHeight="1">
      <c r="B87" s="118"/>
      <c r="C87" s="119" t="s">
        <v>307</v>
      </c>
      <c r="D87" s="119" t="s">
        <v>308</v>
      </c>
      <c r="E87" s="11">
        <v>8250</v>
      </c>
      <c r="F87" s="11">
        <v>23800</v>
      </c>
    </row>
    <row r="88" spans="2:6" ht="15" customHeight="1">
      <c r="B88" s="118"/>
      <c r="C88" s="119" t="s">
        <v>309</v>
      </c>
      <c r="D88" s="119" t="s">
        <v>310</v>
      </c>
      <c r="E88" s="11">
        <v>12500</v>
      </c>
      <c r="F88" s="11">
        <v>35900</v>
      </c>
    </row>
    <row r="89" spans="2:6" ht="15" customHeight="1">
      <c r="B89" s="118"/>
      <c r="C89" s="119" t="s">
        <v>311</v>
      </c>
      <c r="D89" s="119" t="s">
        <v>312</v>
      </c>
      <c r="E89" s="11">
        <v>17500</v>
      </c>
      <c r="F89" s="11">
        <v>50000</v>
      </c>
    </row>
    <row r="90" spans="2:6" ht="15" customHeight="1">
      <c r="B90" s="118" t="s">
        <v>160</v>
      </c>
      <c r="C90" s="119" t="s">
        <v>313</v>
      </c>
      <c r="D90" s="119" t="s">
        <v>314</v>
      </c>
      <c r="E90" s="11">
        <v>142.47</v>
      </c>
      <c r="F90" s="11">
        <v>412.5</v>
      </c>
    </row>
    <row r="91" spans="2:6" ht="15" customHeight="1">
      <c r="B91" s="118"/>
      <c r="C91" s="119" t="s">
        <v>315</v>
      </c>
      <c r="D91" s="119" t="s">
        <v>316</v>
      </c>
      <c r="E91" s="11">
        <v>92.71</v>
      </c>
      <c r="F91" s="11">
        <v>275</v>
      </c>
    </row>
    <row r="92" spans="2:6" ht="15" customHeight="1">
      <c r="B92" s="118"/>
      <c r="C92" s="119" t="s">
        <v>317</v>
      </c>
      <c r="D92" s="119" t="s">
        <v>318</v>
      </c>
      <c r="E92" s="11">
        <v>142.15</v>
      </c>
      <c r="F92" s="11">
        <v>412.5</v>
      </c>
    </row>
    <row r="93" spans="2:6" ht="15" customHeight="1">
      <c r="B93" s="118"/>
      <c r="C93" s="119" t="s">
        <v>319</v>
      </c>
      <c r="D93" s="119" t="s">
        <v>320</v>
      </c>
      <c r="E93" s="11">
        <v>224.6</v>
      </c>
      <c r="F93" s="11">
        <v>632.5</v>
      </c>
    </row>
    <row r="94" spans="2:6" ht="15" customHeight="1">
      <c r="B94" s="118"/>
      <c r="C94" s="119" t="s">
        <v>321</v>
      </c>
      <c r="D94" s="119" t="s">
        <v>322</v>
      </c>
      <c r="E94" s="11">
        <v>44.18</v>
      </c>
      <c r="F94" s="11">
        <v>137.5</v>
      </c>
    </row>
    <row r="95" spans="2:6" ht="15" customHeight="1">
      <c r="B95" s="118" t="s">
        <v>163</v>
      </c>
      <c r="C95" s="119" t="s">
        <v>323</v>
      </c>
      <c r="D95" s="119" t="s">
        <v>324</v>
      </c>
      <c r="E95" s="11"/>
      <c r="F95" s="11">
        <v>884.52</v>
      </c>
    </row>
    <row r="96" spans="2:6" ht="15" customHeight="1">
      <c r="B96" s="118"/>
      <c r="C96" s="119" t="s">
        <v>325</v>
      </c>
      <c r="D96" s="119" t="s">
        <v>326</v>
      </c>
      <c r="E96" s="11"/>
      <c r="F96" s="11">
        <v>1474.2</v>
      </c>
    </row>
    <row r="97" spans="2:7" ht="15" customHeight="1">
      <c r="B97" s="118"/>
      <c r="C97" s="119" t="s">
        <v>327</v>
      </c>
      <c r="D97" s="119" t="s">
        <v>324</v>
      </c>
      <c r="E97" s="11"/>
      <c r="F97" s="11">
        <v>1436.29</v>
      </c>
    </row>
    <row r="98" spans="2:7" ht="15" customHeight="1">
      <c r="B98" s="118"/>
      <c r="C98" s="119" t="s">
        <v>328</v>
      </c>
      <c r="D98" s="119" t="s">
        <v>326</v>
      </c>
      <c r="E98" s="11"/>
      <c r="F98" s="11">
        <v>4308.88</v>
      </c>
      <c r="G98">
        <f>F98/5</f>
        <v>861.77600000000007</v>
      </c>
    </row>
    <row r="99" spans="2:7" ht="15" customHeight="1">
      <c r="B99" s="118"/>
      <c r="C99" s="119" t="s">
        <v>329</v>
      </c>
      <c r="D99" s="119" t="s">
        <v>324</v>
      </c>
      <c r="E99" s="11"/>
      <c r="F99" s="11">
        <v>2888.52</v>
      </c>
    </row>
    <row r="100" spans="2:7" ht="15" customHeight="1">
      <c r="B100" s="118"/>
      <c r="C100" s="119" t="s">
        <v>330</v>
      </c>
      <c r="D100" s="119" t="s">
        <v>326</v>
      </c>
      <c r="E100" s="11"/>
      <c r="F100" s="11">
        <v>4814.2</v>
      </c>
      <c r="G100">
        <f>F100/5</f>
        <v>962.83999999999992</v>
      </c>
    </row>
    <row r="101" spans="2:7" ht="15" customHeight="1">
      <c r="B101" s="118"/>
      <c r="C101" s="119" t="s">
        <v>331</v>
      </c>
      <c r="D101" s="119" t="s">
        <v>324</v>
      </c>
      <c r="E101" s="11"/>
      <c r="F101" s="11">
        <v>3590.73</v>
      </c>
    </row>
    <row r="102" spans="2:7" ht="15" customHeight="1">
      <c r="B102" s="118"/>
      <c r="C102" s="119" t="s">
        <v>332</v>
      </c>
      <c r="D102" s="119" t="s">
        <v>326</v>
      </c>
      <c r="E102" s="11"/>
      <c r="F102" s="11">
        <v>5984.55</v>
      </c>
      <c r="G102">
        <f>F102/5</f>
        <v>1196.9100000000001</v>
      </c>
    </row>
    <row r="103" spans="2:7" ht="15" customHeight="1">
      <c r="B103" s="118"/>
      <c r="C103" s="119" t="s">
        <v>333</v>
      </c>
      <c r="D103" s="119" t="s">
        <v>324</v>
      </c>
      <c r="E103" s="11"/>
      <c r="F103" s="11">
        <v>4285.71</v>
      </c>
    </row>
    <row r="104" spans="2:7" ht="15" customHeight="1">
      <c r="B104" s="118"/>
      <c r="C104" s="119" t="s">
        <v>334</v>
      </c>
      <c r="D104" s="119" t="s">
        <v>326</v>
      </c>
      <c r="E104" s="11"/>
      <c r="F104" s="11">
        <v>7142.85</v>
      </c>
    </row>
    <row r="105" spans="2:7" ht="15" customHeight="1">
      <c r="B105" s="118"/>
      <c r="C105" s="119" t="s">
        <v>335</v>
      </c>
      <c r="D105" s="119" t="s">
        <v>324</v>
      </c>
      <c r="E105" s="11"/>
      <c r="F105" s="11">
        <v>3094.74</v>
      </c>
    </row>
    <row r="106" spans="2:7" ht="15" customHeight="1">
      <c r="B106" s="118"/>
      <c r="C106" s="119" t="s">
        <v>336</v>
      </c>
      <c r="D106" s="119" t="s">
        <v>326</v>
      </c>
      <c r="E106" s="11"/>
      <c r="F106" s="11">
        <v>9284.2199999999993</v>
      </c>
    </row>
    <row r="107" spans="2:7" ht="15" customHeight="1">
      <c r="B107" s="118"/>
      <c r="C107" s="119" t="s">
        <v>337</v>
      </c>
      <c r="D107" s="119" t="s">
        <v>324</v>
      </c>
      <c r="E107" s="11"/>
      <c r="F107" s="11">
        <v>4514.3999999999996</v>
      </c>
    </row>
    <row r="108" spans="2:7" ht="15" customHeight="1">
      <c r="B108" s="118"/>
      <c r="C108" s="119" t="s">
        <v>338</v>
      </c>
      <c r="D108" s="119" t="s">
        <v>326</v>
      </c>
      <c r="E108" s="11"/>
      <c r="F108" s="11">
        <v>13543.2</v>
      </c>
    </row>
    <row r="109" spans="2:7" ht="15" customHeight="1">
      <c r="B109" s="118"/>
      <c r="C109" s="119" t="s">
        <v>339</v>
      </c>
      <c r="D109" s="119" t="s">
        <v>324</v>
      </c>
      <c r="E109" s="11"/>
      <c r="F109" s="11">
        <v>12153.24</v>
      </c>
    </row>
    <row r="110" spans="2:7" ht="15" customHeight="1">
      <c r="B110" s="118"/>
      <c r="C110" s="119" t="s">
        <v>340</v>
      </c>
      <c r="D110" s="119" t="s">
        <v>326</v>
      </c>
      <c r="E110" s="11"/>
      <c r="F110" s="11">
        <v>20255.400000000001</v>
      </c>
    </row>
    <row r="111" spans="2:7" ht="15" customHeight="1">
      <c r="B111" s="118" t="s">
        <v>166</v>
      </c>
      <c r="C111" s="119" t="s">
        <v>341</v>
      </c>
      <c r="D111" s="119" t="s">
        <v>342</v>
      </c>
      <c r="E111" s="11"/>
      <c r="F111" s="11">
        <v>2939.11</v>
      </c>
    </row>
    <row r="112" spans="2:7" ht="15" customHeight="1">
      <c r="B112" s="118"/>
      <c r="C112" s="119" t="s">
        <v>343</v>
      </c>
      <c r="D112" s="119" t="s">
        <v>344</v>
      </c>
      <c r="E112" s="11"/>
      <c r="F112" s="11">
        <v>5255.71</v>
      </c>
    </row>
    <row r="113" spans="2:7" ht="14.25" customHeight="1">
      <c r="B113" s="118"/>
      <c r="C113" s="119" t="s">
        <v>345</v>
      </c>
      <c r="D113" s="119" t="s">
        <v>326</v>
      </c>
      <c r="E113" s="11"/>
      <c r="F113" s="11">
        <v>9888.91</v>
      </c>
      <c r="G113">
        <f>F113/5</f>
        <v>1977.7819999999999</v>
      </c>
    </row>
    <row r="114" spans="2:7" ht="15" customHeight="1">
      <c r="B114" s="118"/>
      <c r="C114" s="119" t="s">
        <v>346</v>
      </c>
      <c r="D114" s="119" t="s">
        <v>342</v>
      </c>
      <c r="E114" s="11"/>
      <c r="F114" s="11">
        <v>2952.72</v>
      </c>
    </row>
    <row r="115" spans="2:7" ht="15" customHeight="1">
      <c r="B115" s="118"/>
      <c r="C115" s="119" t="s">
        <v>347</v>
      </c>
      <c r="D115" s="119" t="s">
        <v>344</v>
      </c>
      <c r="E115" s="11"/>
      <c r="F115" s="11">
        <v>4429.08</v>
      </c>
    </row>
    <row r="116" spans="2:7" ht="15" customHeight="1">
      <c r="B116" s="118"/>
      <c r="C116" s="119" t="s">
        <v>348</v>
      </c>
      <c r="D116" s="119" t="s">
        <v>326</v>
      </c>
      <c r="E116" s="11"/>
      <c r="F116" s="11">
        <v>7381.8</v>
      </c>
    </row>
    <row r="117" spans="2:7" ht="15" customHeight="1">
      <c r="B117" s="118"/>
      <c r="C117" s="119" t="s">
        <v>349</v>
      </c>
      <c r="D117" s="119" t="s">
        <v>342</v>
      </c>
      <c r="E117" s="11"/>
      <c r="F117" s="11">
        <v>3233.52</v>
      </c>
    </row>
    <row r="118" spans="2:7" ht="15" customHeight="1">
      <c r="B118" s="118"/>
      <c r="C118" s="119" t="s">
        <v>350</v>
      </c>
      <c r="D118" s="119" t="s">
        <v>344</v>
      </c>
      <c r="E118" s="11"/>
      <c r="F118" s="11">
        <v>4850.28</v>
      </c>
    </row>
    <row r="119" spans="2:7" ht="15" customHeight="1">
      <c r="B119" s="118"/>
      <c r="C119" s="119" t="s">
        <v>351</v>
      </c>
      <c r="D119" s="119" t="s">
        <v>326</v>
      </c>
      <c r="E119" s="11"/>
      <c r="F119" s="11">
        <v>8083.8</v>
      </c>
    </row>
    <row r="120" spans="2:7" ht="15" customHeight="1">
      <c r="B120" s="118"/>
      <c r="C120" s="119" t="s">
        <v>352</v>
      </c>
      <c r="D120" s="119" t="s">
        <v>342</v>
      </c>
      <c r="E120" s="11"/>
      <c r="F120" s="11">
        <v>3758.4</v>
      </c>
    </row>
    <row r="121" spans="2:7" ht="15" customHeight="1">
      <c r="B121" s="118"/>
      <c r="C121" s="119" t="s">
        <v>353</v>
      </c>
      <c r="D121" s="119" t="s">
        <v>344</v>
      </c>
      <c r="E121" s="11"/>
      <c r="F121" s="11">
        <v>5637.6</v>
      </c>
    </row>
    <row r="122" spans="2:7" ht="15" customHeight="1">
      <c r="B122" s="118"/>
      <c r="C122" s="119" t="s">
        <v>354</v>
      </c>
      <c r="D122" s="119" t="s">
        <v>326</v>
      </c>
      <c r="E122" s="11"/>
      <c r="F122" s="11">
        <v>9396</v>
      </c>
    </row>
    <row r="123" spans="2:7" ht="15" customHeight="1">
      <c r="B123" s="118"/>
      <c r="C123" s="119" t="s">
        <v>355</v>
      </c>
      <c r="D123" s="119" t="s">
        <v>342</v>
      </c>
      <c r="E123" s="11"/>
      <c r="F123" s="11">
        <v>4419.3599999999997</v>
      </c>
    </row>
    <row r="124" spans="2:7" ht="15" customHeight="1">
      <c r="B124" s="118"/>
      <c r="C124" s="119" t="s">
        <v>356</v>
      </c>
      <c r="D124" s="119" t="s">
        <v>344</v>
      </c>
      <c r="E124" s="11"/>
      <c r="F124" s="11">
        <v>8125.92</v>
      </c>
    </row>
    <row r="125" spans="2:7" ht="15" customHeight="1">
      <c r="B125" s="118"/>
      <c r="C125" s="119" t="s">
        <v>357</v>
      </c>
      <c r="D125" s="119" t="s">
        <v>326</v>
      </c>
      <c r="E125" s="11"/>
      <c r="F125" s="11">
        <v>15539.04</v>
      </c>
    </row>
    <row r="126" spans="2:7" ht="15" customHeight="1">
      <c r="B126" s="118"/>
      <c r="C126" s="119" t="s">
        <v>358</v>
      </c>
      <c r="D126" s="119" t="s">
        <v>342</v>
      </c>
      <c r="E126" s="11"/>
      <c r="F126" s="11">
        <v>5621</v>
      </c>
    </row>
    <row r="127" spans="2:7" ht="15" customHeight="1">
      <c r="B127" s="118"/>
      <c r="C127" s="119" t="s">
        <v>359</v>
      </c>
      <c r="D127" s="119" t="s">
        <v>344</v>
      </c>
      <c r="E127" s="11"/>
      <c r="F127" s="11">
        <v>14545.26</v>
      </c>
    </row>
    <row r="128" spans="2:7" ht="15" customHeight="1">
      <c r="B128" s="118"/>
      <c r="C128" s="119" t="s">
        <v>360</v>
      </c>
      <c r="D128" s="119" t="s">
        <v>326</v>
      </c>
      <c r="E128" s="11"/>
      <c r="F128" s="11">
        <v>32393.77</v>
      </c>
    </row>
    <row r="129" spans="2:12" ht="15" customHeight="1">
      <c r="B129" s="118"/>
      <c r="C129" s="119" t="s">
        <v>361</v>
      </c>
      <c r="D129" s="119" t="s">
        <v>342</v>
      </c>
      <c r="E129" s="11"/>
      <c r="F129" s="11">
        <v>9797.76</v>
      </c>
    </row>
    <row r="130" spans="2:12" ht="15" customHeight="1">
      <c r="B130" s="118"/>
      <c r="C130" s="119" t="s">
        <v>362</v>
      </c>
      <c r="D130" s="119" t="s">
        <v>344</v>
      </c>
      <c r="E130" s="11"/>
      <c r="F130" s="11">
        <v>14696.64</v>
      </c>
    </row>
    <row r="131" spans="2:12" ht="15" customHeight="1">
      <c r="B131" s="118"/>
      <c r="C131" s="119" t="s">
        <v>363</v>
      </c>
      <c r="D131" s="119" t="s">
        <v>326</v>
      </c>
      <c r="E131" s="11"/>
      <c r="F131" s="11">
        <v>24494.400000000001</v>
      </c>
      <c r="H131" s="30"/>
    </row>
    <row r="134" spans="2:12">
      <c r="B134" s="469" t="s">
        <v>415</v>
      </c>
      <c r="C134" s="469" t="s">
        <v>54</v>
      </c>
      <c r="D134" s="469" t="s">
        <v>683</v>
      </c>
      <c r="E134" s="470" t="s">
        <v>684</v>
      </c>
      <c r="F134" s="629" t="s">
        <v>685</v>
      </c>
      <c r="G134" s="629"/>
      <c r="H134" s="471"/>
      <c r="I134" s="470" t="s">
        <v>754</v>
      </c>
    </row>
    <row r="135" spans="2:12">
      <c r="B135" t="s">
        <v>686</v>
      </c>
      <c r="C135" s="472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627">
        <f>D135+E135</f>
        <v>736.11</v>
      </c>
      <c r="G135" s="628"/>
      <c r="H135" s="475"/>
      <c r="I135" s="575">
        <v>1</v>
      </c>
      <c r="K135" s="571"/>
      <c r="L135" s="571"/>
    </row>
    <row r="136" spans="2:12">
      <c r="B136" t="s">
        <v>686</v>
      </c>
      <c r="C136" s="472">
        <f>SUMIFS('INPUT SHEET'!$I$8:$I$37,'INPUT SHEET'!$D$8:$D$37,"_L2",'INPUT SHEET'!$E$8:$E$37,"*-2")+SUMIFS('INPUT SHEET'!$I$8:$I$37,'INPUT SHEET'!$D$8:$D$37,"_L2",'INPUT SHEET'!$E$8:$E$37,"*-2-ISO")</f>
        <v>0</v>
      </c>
      <c r="D136" s="473">
        <v>416</v>
      </c>
      <c r="E136" s="474">
        <v>320.11</v>
      </c>
      <c r="F136" s="627">
        <f t="shared" ref="F136:F144" si="0">D136+E136</f>
        <v>736.11</v>
      </c>
      <c r="G136" s="628"/>
      <c r="H136" s="475"/>
      <c r="I136" s="575">
        <v>1</v>
      </c>
      <c r="K136" s="571"/>
      <c r="L136" s="571"/>
    </row>
    <row r="137" spans="2:12">
      <c r="B137" t="s">
        <v>686</v>
      </c>
      <c r="C137" s="472">
        <v>0</v>
      </c>
      <c r="D137" s="473">
        <v>416</v>
      </c>
      <c r="E137" s="474">
        <v>320.11</v>
      </c>
      <c r="F137" s="627">
        <f t="shared" si="0"/>
        <v>736.11</v>
      </c>
      <c r="G137" s="628"/>
      <c r="H137" s="475"/>
      <c r="I137" s="575">
        <v>1</v>
      </c>
    </row>
    <row r="138" spans="2:12">
      <c r="B138" t="s">
        <v>686</v>
      </c>
      <c r="C138" s="472">
        <v>0</v>
      </c>
      <c r="D138" s="473">
        <v>416</v>
      </c>
      <c r="E138" s="474">
        <v>320.11</v>
      </c>
      <c r="F138" s="627">
        <f t="shared" si="0"/>
        <v>736.11</v>
      </c>
      <c r="G138" s="628"/>
      <c r="H138" s="475"/>
      <c r="I138" s="575">
        <v>1</v>
      </c>
    </row>
    <row r="139" spans="2:12">
      <c r="B139" t="s">
        <v>687</v>
      </c>
      <c r="C139" s="472">
        <f>SUMIFS('INPUT SHEET'!$I$8:$I$37,'INPUT SHEET'!$D$8:$D$37,"_kW60")+SUMIFS('INPUT SHEET'!$I$8:$I$37,'INPUT SHEET'!$D$8:$D$37,"_Buy_America",'INPUT SHEET'!$E$8:$E$37,"*-60-*")</f>
        <v>0</v>
      </c>
      <c r="D139" s="473">
        <v>962.84</v>
      </c>
      <c r="E139" s="474">
        <v>1476.36</v>
      </c>
      <c r="F139" s="627">
        <f t="shared" si="0"/>
        <v>2439.1999999999998</v>
      </c>
      <c r="G139" s="628"/>
      <c r="H139" s="475"/>
      <c r="I139" s="575">
        <v>2</v>
      </c>
    </row>
    <row r="140" spans="2:12">
      <c r="B140" t="s">
        <v>688</v>
      </c>
      <c r="C140" s="472">
        <f>SUMIFS('INPUT SHEET'!$I$8:$I$37,'INPUT SHEET'!$D$8:$D$37,"_kW120")+SUMIFS('INPUT SHEET'!$I$8:$I$37,'INPUT SHEET'!$D$8:$D$37,"_Buy_America",'INPUT SHEET'!$E$8:$E$37,"*-120-*")</f>
        <v>0</v>
      </c>
      <c r="D140" s="473">
        <v>1196.9100000000001</v>
      </c>
      <c r="E140" s="474">
        <v>1616.76</v>
      </c>
      <c r="F140" s="627">
        <f t="shared" si="0"/>
        <v>2813.67</v>
      </c>
      <c r="G140" s="628"/>
      <c r="H140" s="475"/>
      <c r="I140" s="575">
        <v>2</v>
      </c>
    </row>
    <row r="141" spans="2:12">
      <c r="B141" s="151" t="s">
        <v>689</v>
      </c>
      <c r="C141" s="472">
        <f>SUMIFS('INPUT SHEET'!$I$8:$I$37,'INPUT SHEET'!$D$8:$D$37,"_kW160")+SUMIFS('INPUT SHEET'!$I$8:$I$37,'INPUT SHEET'!$D$8:$D$37,"_Buy_America",'INPUT SHEET'!$E$8:$E$37,"*-160-*")</f>
        <v>0</v>
      </c>
      <c r="D141" s="473">
        <f>1428.57</f>
        <v>1428.57</v>
      </c>
      <c r="E141" s="474">
        <v>1879.2</v>
      </c>
      <c r="F141" s="627">
        <f t="shared" si="0"/>
        <v>3307.77</v>
      </c>
      <c r="G141" s="628"/>
      <c r="H141" s="475"/>
      <c r="I141" s="575">
        <v>2</v>
      </c>
    </row>
    <row r="142" spans="2:12" ht="15.75" customHeight="1">
      <c r="B142" s="567" t="s">
        <v>743</v>
      </c>
      <c r="C142" s="472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627">
        <f>D142+E142</f>
        <v>4565.4839999999995</v>
      </c>
      <c r="G142" s="628"/>
      <c r="H142" s="475"/>
      <c r="I142" s="575">
        <v>2</v>
      </c>
    </row>
    <row r="143" spans="2:12">
      <c r="B143" s="567" t="s">
        <v>744</v>
      </c>
      <c r="C143" s="472">
        <f>SUMIFS('INPUT SHEET'!$I$8:$I$37,'INPUT SHEET'!$D$8:$D$37,"_kW240")+SUMIFS('INPUT SHEET'!$I$8:$I$37,'INPUT SHEET'!$D$8:$D$37,"_Buy_America",'INPUT SHEET'!$E$8:$E$37,"*-240-*")</f>
        <v>0</v>
      </c>
      <c r="D143" s="473">
        <v>2708.6400000000003</v>
      </c>
      <c r="E143" s="474">
        <v>6478.7539999999999</v>
      </c>
      <c r="F143" s="627">
        <f>E143+D143</f>
        <v>9187.3940000000002</v>
      </c>
      <c r="G143" s="628"/>
      <c r="H143" s="475"/>
      <c r="I143" s="575">
        <v>2</v>
      </c>
    </row>
    <row r="144" spans="2:12" ht="15.75" thickBot="1">
      <c r="B144" s="151" t="s">
        <v>690</v>
      </c>
      <c r="C144" s="472">
        <f>SUMIFS('INPUT SHEET'!$I$8:$I$37,'INPUT SHEET'!$D$8:$D$37,"_kW360")+SUMIFS('INPUT SHEET'!$I$8:$I$37,'INPUT SHEET'!$D$8:$D$37,"_Buy_America",'INPUT SHEET'!$E$8:$E$37,"*-360-*")</f>
        <v>0</v>
      </c>
      <c r="D144" s="473">
        <v>4051.08</v>
      </c>
      <c r="E144" s="474">
        <v>4898.88</v>
      </c>
      <c r="F144" s="627">
        <f t="shared" si="0"/>
        <v>8949.9599999999991</v>
      </c>
      <c r="G144" s="628"/>
      <c r="H144" s="475"/>
      <c r="I144" s="576">
        <v>2</v>
      </c>
    </row>
    <row r="145" spans="2:9" ht="15.75" thickBot="1">
      <c r="B145" s="577" t="s">
        <v>259</v>
      </c>
      <c r="C145" s="578"/>
      <c r="D145" s="579">
        <v>5063.8500000000004</v>
      </c>
      <c r="E145" s="579">
        <v>6123.6</v>
      </c>
      <c r="F145" s="627">
        <f t="shared" ref="F145:F147" si="1">D145+E145</f>
        <v>11187.45</v>
      </c>
      <c r="G145" s="628"/>
      <c r="H145" s="475"/>
      <c r="I145" s="576"/>
    </row>
    <row r="146" spans="2:9" ht="15.75" thickBot="1">
      <c r="B146" s="577" t="s">
        <v>261</v>
      </c>
      <c r="C146" s="578"/>
      <c r="D146" s="579">
        <v>6583.01</v>
      </c>
      <c r="E146" s="579">
        <v>7654.5</v>
      </c>
      <c r="F146" s="627">
        <f t="shared" si="1"/>
        <v>14237.51</v>
      </c>
      <c r="G146" s="628"/>
      <c r="H146" s="475"/>
      <c r="I146" s="576"/>
    </row>
    <row r="147" spans="2:9" ht="15.75" thickBot="1">
      <c r="B147" s="577" t="s">
        <v>263</v>
      </c>
      <c r="C147" s="578"/>
      <c r="D147" s="579">
        <v>9874.51</v>
      </c>
      <c r="E147" s="579">
        <v>9568.1299999999992</v>
      </c>
      <c r="F147" s="627">
        <f t="shared" si="1"/>
        <v>19442.64</v>
      </c>
      <c r="G147" s="628"/>
      <c r="H147" s="475"/>
      <c r="I147" s="576"/>
    </row>
    <row r="148" spans="2:9">
      <c r="B148" s="476" t="s">
        <v>56</v>
      </c>
      <c r="C148" s="477">
        <f>SUM(C135:C144)</f>
        <v>0</v>
      </c>
      <c r="D148" s="477"/>
      <c r="E148" s="478"/>
      <c r="F148" s="479"/>
      <c r="G148" s="480"/>
      <c r="I148" s="472"/>
    </row>
    <row r="149" spans="2:9">
      <c r="D149" s="477"/>
    </row>
  </sheetData>
  <mergeCells count="14">
    <mergeCell ref="F139:G139"/>
    <mergeCell ref="F143:G143"/>
    <mergeCell ref="F134:G134"/>
    <mergeCell ref="F135:G135"/>
    <mergeCell ref="F136:G136"/>
    <mergeCell ref="F137:G137"/>
    <mergeCell ref="F138:G138"/>
    <mergeCell ref="F145:G145"/>
    <mergeCell ref="F146:G146"/>
    <mergeCell ref="F147:G147"/>
    <mergeCell ref="F140:G140"/>
    <mergeCell ref="F141:G141"/>
    <mergeCell ref="F142:G142"/>
    <mergeCell ref="F144:G14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63" t="s">
        <v>13</v>
      </c>
      <c r="D1" s="663"/>
      <c r="E1" s="663"/>
      <c r="F1" s="663"/>
      <c r="G1" s="664" t="s">
        <v>369</v>
      </c>
      <c r="H1" s="664"/>
      <c r="I1" s="664"/>
      <c r="J1" s="664"/>
      <c r="K1" s="664"/>
      <c r="L1" s="664"/>
      <c r="M1" s="242">
        <v>480</v>
      </c>
      <c r="N1" s="242"/>
      <c r="O1" s="242"/>
      <c r="P1" s="242"/>
      <c r="Q1" s="243"/>
    </row>
    <row r="2" spans="2:20" ht="15.75" thickBot="1">
      <c r="B2" s="167" t="s">
        <v>370</v>
      </c>
      <c r="C2" s="164" t="s">
        <v>371</v>
      </c>
      <c r="D2" s="165" t="s">
        <v>372</v>
      </c>
      <c r="E2" s="164" t="s">
        <v>373</v>
      </c>
      <c r="F2" s="165" t="s">
        <v>374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375</v>
      </c>
      <c r="O2" s="178" t="s">
        <v>376</v>
      </c>
      <c r="P2" s="179">
        <v>5</v>
      </c>
      <c r="Q2" s="244"/>
      <c r="S2" s="278" t="s">
        <v>415</v>
      </c>
      <c r="T2" s="282" t="s">
        <v>571</v>
      </c>
    </row>
    <row r="3" spans="2:20">
      <c r="B3" s="167" t="s">
        <v>54</v>
      </c>
      <c r="C3" s="168">
        <f>IF(P30&gt;0,IFERROR(P30*INDEX(#REF!,MATCH(F30,#REF!,0))*#REF!,0),0)</f>
        <v>0</v>
      </c>
      <c r="D3" s="169">
        <v>0</v>
      </c>
      <c r="E3" s="168">
        <f>IF(R30&gt;0,IFERROR(R30*INDEX(#REF!,MATCH(H30,#REF!,0))*#REF!,0),0)</f>
        <v>0</v>
      </c>
      <c r="F3" s="169">
        <f>IF(S30&gt;0,IFERROR(S30*INDEX(#REF!,MATCH(I30,#REF!,0))*#REF!,0),0)</f>
        <v>0</v>
      </c>
      <c r="G3" s="170">
        <v>0</v>
      </c>
      <c r="H3" s="171">
        <v>0</v>
      </c>
      <c r="I3" s="171">
        <f>IF(V30&gt;0,IFERROR(V30*INDEX(#REF!,MATCH(L30,#REF!,0))*#REF!,0),0)</f>
        <v>0</v>
      </c>
      <c r="J3" s="171">
        <f>IF(W30&gt;0,IFERROR(W30*INDEX(#REF!,MATCH(M30,#REF!,0))*#REF!,0),0)</f>
        <v>0</v>
      </c>
      <c r="K3" s="171">
        <f>IF(X30&gt;0,IFERROR(X30*INDEX(#REF!,MATCH(N30,#REF!,0))*#REF!,0),0)</f>
        <v>0</v>
      </c>
      <c r="L3" s="171">
        <f>IF(Y30&gt;0,IFERROR(Y30*INDEX(#REF!,MATCH(O30,#REF!,0))*#REF!,0),0)</f>
        <v>0</v>
      </c>
      <c r="Q3" s="244"/>
      <c r="S3" s="279" t="str">
        <f>IF('INPUT SHEET'!E8="","",'INPUT SHEET'!F8)</f>
        <v/>
      </c>
      <c r="T3" s="283" t="str">
        <f>IF('INPUT SHEET'!E8="","",'INPUT SHEET'!I8)</f>
        <v/>
      </c>
    </row>
    <row r="4" spans="2:20">
      <c r="B4" s="260" t="s">
        <v>377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/>
      </c>
      <c r="T4" s="283" t="str">
        <f>IF('INPUT SHEET'!E9="","",'INPUT SHEET'!I9)</f>
        <v/>
      </c>
    </row>
    <row r="5" spans="2:20" ht="15.75" thickBot="1">
      <c r="B5" s="260" t="s">
        <v>379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/>
      </c>
      <c r="T5" s="283" t="str">
        <f>IF('INPUT SHEET'!E10="","",'INPUT SHEET'!I10)</f>
        <v/>
      </c>
    </row>
    <row r="6" spans="2:20" ht="15.75" thickBot="1">
      <c r="B6" s="172" t="s">
        <v>380</v>
      </c>
      <c r="C6" s="168">
        <f>C3*1</f>
        <v>0</v>
      </c>
      <c r="D6" s="169">
        <f>D3*2</f>
        <v>0</v>
      </c>
      <c r="E6" s="168">
        <f t="shared" ref="E6:L6" si="1">E3*1</f>
        <v>0</v>
      </c>
      <c r="F6" s="168">
        <f>F3*2</f>
        <v>0</v>
      </c>
      <c r="G6" s="169">
        <f>G3*1</f>
        <v>0</v>
      </c>
      <c r="H6" s="173">
        <f t="shared" si="1"/>
        <v>0</v>
      </c>
      <c r="I6" s="173">
        <f t="shared" si="1"/>
        <v>0</v>
      </c>
      <c r="J6" s="173">
        <f t="shared" si="1"/>
        <v>0</v>
      </c>
      <c r="K6" s="173">
        <f t="shared" si="1"/>
        <v>0</v>
      </c>
      <c r="L6" s="173">
        <f t="shared" si="1"/>
        <v>0</v>
      </c>
      <c r="M6" s="179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381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65" t="s">
        <v>382</v>
      </c>
      <c r="C8" s="666"/>
      <c r="D8" s="666"/>
      <c r="E8" s="666"/>
      <c r="F8" s="666"/>
      <c r="G8" s="666"/>
      <c r="H8" s="666"/>
      <c r="I8" s="666"/>
      <c r="J8" s="666"/>
      <c r="K8" s="666"/>
      <c r="L8" s="667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379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383</v>
      </c>
      <c r="C10" s="149">
        <f>C3*1</f>
        <v>0</v>
      </c>
      <c r="D10" s="149">
        <f>D3*2</f>
        <v>0</v>
      </c>
      <c r="E10" s="149">
        <f>E3*1</f>
        <v>0</v>
      </c>
      <c r="F10" s="149">
        <f>F3*2</f>
        <v>0</v>
      </c>
      <c r="G10" s="149">
        <f>G3*1</f>
        <v>0</v>
      </c>
      <c r="H10" s="153">
        <f>H3*1</f>
        <v>0</v>
      </c>
      <c r="I10" s="153">
        <f>I3*1</f>
        <v>0</v>
      </c>
      <c r="J10" s="153">
        <f t="shared" ref="J10:K10" si="2">J3*1</f>
        <v>0</v>
      </c>
      <c r="K10" s="153">
        <f t="shared" si="2"/>
        <v>0</v>
      </c>
      <c r="L10" s="153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384</v>
      </c>
      <c r="C11" s="645">
        <v>0</v>
      </c>
      <c r="D11" s="646"/>
      <c r="E11" s="646"/>
      <c r="F11" s="647"/>
      <c r="G11" s="660">
        <v>0</v>
      </c>
      <c r="H11" s="661"/>
      <c r="I11" s="661"/>
      <c r="J11" s="661"/>
      <c r="K11" s="661"/>
      <c r="L11" s="662"/>
      <c r="O11" s="178" t="s">
        <v>385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386</v>
      </c>
      <c r="C12" s="645">
        <f>(C6*C7)+(D6*D7)+(E6*E7)+(F6*F7)</f>
        <v>0</v>
      </c>
      <c r="D12" s="646"/>
      <c r="E12" s="646"/>
      <c r="F12" s="647"/>
      <c r="G12" s="660">
        <f>(G3*G7)+(H3*H7)+(I3*I7)+(J3*J7)+(K7*K3)+(L3*L7)</f>
        <v>0</v>
      </c>
      <c r="H12" s="661"/>
      <c r="I12" s="661"/>
      <c r="J12" s="661"/>
      <c r="K12" s="661"/>
      <c r="L12" s="662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387</v>
      </c>
      <c r="C13" s="645">
        <f>'CPM Calcs'!S69</f>
        <v>0</v>
      </c>
      <c r="D13" s="646"/>
      <c r="E13" s="646"/>
      <c r="F13" s="647"/>
      <c r="G13" s="645">
        <v>0</v>
      </c>
      <c r="H13" s="646"/>
      <c r="I13" s="646"/>
      <c r="J13" s="646"/>
      <c r="K13" s="646"/>
      <c r="L13" s="648"/>
      <c r="O13" s="178" t="s">
        <v>388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389</v>
      </c>
      <c r="C14" s="645">
        <f>'CPM Calcs'!S71</f>
        <v>600</v>
      </c>
      <c r="D14" s="646"/>
      <c r="E14" s="646"/>
      <c r="F14" s="647"/>
      <c r="G14" s="645">
        <v>0</v>
      </c>
      <c r="H14" s="646"/>
      <c r="I14" s="646"/>
      <c r="J14" s="646"/>
      <c r="K14" s="646"/>
      <c r="L14" s="648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390</v>
      </c>
      <c r="C15" s="645">
        <f>C14</f>
        <v>600</v>
      </c>
      <c r="D15" s="646"/>
      <c r="E15" s="646"/>
      <c r="F15" s="647"/>
      <c r="G15" s="657">
        <v>0</v>
      </c>
      <c r="H15" s="658"/>
      <c r="I15" s="658"/>
      <c r="J15" s="658"/>
      <c r="K15" s="658"/>
      <c r="L15" s="659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391</v>
      </c>
      <c r="C16" s="645">
        <f>C13*C14</f>
        <v>0</v>
      </c>
      <c r="D16" s="646"/>
      <c r="E16" s="646"/>
      <c r="F16" s="647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392</v>
      </c>
      <c r="C17" s="258"/>
      <c r="D17" s="258"/>
      <c r="E17" s="258"/>
      <c r="F17" s="258"/>
      <c r="G17" s="645">
        <f>'CPM Calcs'!R71</f>
        <v>100</v>
      </c>
      <c r="H17" s="646"/>
      <c r="I17" s="646"/>
      <c r="J17" s="646"/>
      <c r="K17" s="646"/>
      <c r="L17" s="648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49" t="s">
        <v>368</v>
      </c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49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Q20" s="244"/>
    </row>
    <row r="21" spans="2:24" ht="45.95" hidden="1" customHeight="1">
      <c r="B21" s="649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244"/>
      <c r="Q21" s="244"/>
    </row>
    <row r="22" spans="2:24" ht="45.95" hidden="1" customHeight="1">
      <c r="B22" s="649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244"/>
      <c r="Q22" s="244"/>
    </row>
    <row r="23" spans="2:24" ht="45.95" hidden="1" customHeight="1">
      <c r="B23" s="649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244"/>
      <c r="Q23" s="244"/>
    </row>
    <row r="24" spans="2:24" ht="45.95" hidden="1" customHeight="1">
      <c r="B24" s="651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2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158"/>
      <c r="P29" s="158"/>
      <c r="Q29" s="158"/>
      <c r="R29" s="137"/>
      <c r="S29" s="277" t="s">
        <v>393</v>
      </c>
      <c r="T29" s="654">
        <f>'INPUT SHEET'!N17</f>
        <v>0</v>
      </c>
      <c r="U29" s="655"/>
      <c r="V29" s="655"/>
      <c r="W29" s="655"/>
      <c r="X29" s="656"/>
    </row>
    <row r="30" spans="2:24">
      <c r="C30" s="137" t="str">
        <f>IF(D30="","",ROW()-27)</f>
        <v/>
      </c>
      <c r="D30" s="630"/>
      <c r="E30" s="630"/>
      <c r="F30" s="630"/>
      <c r="G30" s="630"/>
      <c r="H30" s="631"/>
      <c r="I30" s="631"/>
      <c r="J30" s="631"/>
      <c r="K30" s="631"/>
      <c r="L30" s="631"/>
      <c r="M30" s="631"/>
      <c r="N30" s="631"/>
      <c r="O30" s="138"/>
      <c r="P30" s="137"/>
      <c r="Q30" s="138"/>
      <c r="R30" s="137"/>
      <c r="S30" s="277" t="s">
        <v>730</v>
      </c>
      <c r="T30" s="644">
        <f>'INPUT SHEET'!N18</f>
        <v>0</v>
      </c>
      <c r="U30" s="644"/>
      <c r="V30" s="644"/>
      <c r="W30" s="644"/>
      <c r="X30" s="644"/>
    </row>
    <row r="31" spans="2:24">
      <c r="C31" s="137" t="str">
        <f t="shared" ref="C31:C35" si="3">IF(D31="","",ROW()-27)</f>
        <v/>
      </c>
      <c r="D31" s="630"/>
      <c r="E31" s="630"/>
      <c r="F31" s="630"/>
      <c r="G31" s="630"/>
      <c r="H31" s="631"/>
      <c r="I31" s="631"/>
      <c r="J31" s="631"/>
      <c r="K31" s="631"/>
      <c r="L31" s="631"/>
      <c r="M31" s="631"/>
      <c r="N31" s="631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394</v>
      </c>
      <c r="T31" s="644">
        <f>'INPUT SHEET'!N19</f>
        <v>0</v>
      </c>
      <c r="U31" s="644"/>
      <c r="V31" s="644"/>
      <c r="W31" s="644"/>
      <c r="X31" s="644"/>
    </row>
    <row r="32" spans="2:24">
      <c r="C32" s="137" t="str">
        <f t="shared" si="3"/>
        <v/>
      </c>
      <c r="D32" s="630"/>
      <c r="E32" s="630"/>
      <c r="F32" s="630"/>
      <c r="G32" s="630"/>
      <c r="H32" s="631"/>
      <c r="I32" s="631"/>
      <c r="J32" s="631"/>
      <c r="K32" s="631"/>
      <c r="L32" s="631"/>
      <c r="M32" s="631"/>
      <c r="N32" s="631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395</v>
      </c>
      <c r="T32" s="644"/>
      <c r="U32" s="644"/>
      <c r="V32" s="644"/>
      <c r="W32" s="644"/>
      <c r="X32" s="644"/>
    </row>
    <row r="33" spans="2:26">
      <c r="C33" s="137" t="str">
        <f t="shared" si="3"/>
        <v/>
      </c>
      <c r="D33" s="630"/>
      <c r="E33" s="630"/>
      <c r="F33" s="630"/>
      <c r="G33" s="630"/>
      <c r="H33" s="631"/>
      <c r="I33" s="631"/>
      <c r="J33" s="631"/>
      <c r="K33" s="631"/>
      <c r="L33" s="631"/>
      <c r="M33" s="631"/>
      <c r="N33" s="631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396</v>
      </c>
      <c r="T33" s="644">
        <f>'INPUT SHEET'!N20</f>
        <v>0</v>
      </c>
      <c r="U33" s="644"/>
      <c r="V33" s="644"/>
      <c r="W33" s="644"/>
      <c r="X33" s="644"/>
    </row>
    <row r="34" spans="2:26">
      <c r="C34" s="137" t="str">
        <f t="shared" si="3"/>
        <v/>
      </c>
      <c r="D34" s="630"/>
      <c r="E34" s="630"/>
      <c r="F34" s="630"/>
      <c r="G34" s="630"/>
      <c r="H34" s="631"/>
      <c r="I34" s="631"/>
      <c r="J34" s="631"/>
      <c r="K34" s="631"/>
      <c r="L34" s="631"/>
      <c r="M34" s="631"/>
      <c r="N34" s="631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632" t="s">
        <v>733</v>
      </c>
      <c r="T34" s="635">
        <f>'INPUT SHEET'!N21</f>
        <v>0</v>
      </c>
      <c r="U34" s="636"/>
      <c r="V34" s="636"/>
      <c r="W34" s="636"/>
      <c r="X34" s="637"/>
    </row>
    <row r="35" spans="2:26">
      <c r="C35" s="137" t="str">
        <f t="shared" si="3"/>
        <v/>
      </c>
      <c r="D35" s="630"/>
      <c r="E35" s="630"/>
      <c r="F35" s="630"/>
      <c r="G35" s="630"/>
      <c r="H35" s="631"/>
      <c r="I35" s="631"/>
      <c r="J35" s="631"/>
      <c r="K35" s="631"/>
      <c r="L35" s="631"/>
      <c r="M35" s="631"/>
      <c r="N35" s="631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633"/>
      <c r="T35" s="638"/>
      <c r="U35" s="639"/>
      <c r="V35" s="639"/>
      <c r="W35" s="639"/>
      <c r="X35" s="640"/>
    </row>
    <row r="36" spans="2:26">
      <c r="B36" s="274"/>
      <c r="O36" s="138" t="str">
        <f>IF(F36="","",INDEX(#REF!,MATCH(F36,#REF!,0)))</f>
        <v/>
      </c>
      <c r="Q36" s="275"/>
      <c r="R36" s="137"/>
      <c r="S36" s="633"/>
      <c r="T36" s="638"/>
      <c r="U36" s="639"/>
      <c r="V36" s="639"/>
      <c r="W36" s="639"/>
      <c r="X36" s="640"/>
    </row>
    <row r="37" spans="2:26">
      <c r="R37" s="137"/>
      <c r="S37" s="633"/>
      <c r="T37" s="638"/>
      <c r="U37" s="639"/>
      <c r="V37" s="639"/>
      <c r="W37" s="639"/>
      <c r="X37" s="640"/>
    </row>
    <row r="38" spans="2:26">
      <c r="R38" s="137"/>
      <c r="S38" s="633"/>
      <c r="T38" s="638"/>
      <c r="U38" s="639"/>
      <c r="V38" s="639"/>
      <c r="W38" s="639"/>
      <c r="X38" s="640"/>
    </row>
    <row r="39" spans="2:26">
      <c r="R39" s="137"/>
      <c r="S39" s="633"/>
      <c r="T39" s="638"/>
      <c r="U39" s="639"/>
      <c r="V39" s="639"/>
      <c r="W39" s="639"/>
      <c r="X39" s="640"/>
    </row>
    <row r="40" spans="2:26">
      <c r="R40" s="137"/>
      <c r="S40" s="633"/>
      <c r="T40" s="638"/>
      <c r="U40" s="639"/>
      <c r="V40" s="639"/>
      <c r="W40" s="639"/>
      <c r="X40" s="640"/>
    </row>
    <row r="41" spans="2:26">
      <c r="R41" s="137"/>
      <c r="S41" s="634"/>
      <c r="T41" s="641"/>
      <c r="U41" s="642"/>
      <c r="V41" s="642"/>
      <c r="W41" s="642"/>
      <c r="X41" s="643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54</v>
      </c>
      <c r="D2" s="225" t="s">
        <v>397</v>
      </c>
      <c r="E2" s="226" t="s">
        <v>398</v>
      </c>
      <c r="F2" s="225" t="s">
        <v>55</v>
      </c>
      <c r="G2" s="220" t="s">
        <v>56</v>
      </c>
      <c r="I2" s="239"/>
      <c r="J2" s="239"/>
      <c r="P2" s="239"/>
    </row>
    <row r="3" spans="2:16">
      <c r="B3" s="221" t="s">
        <v>35</v>
      </c>
      <c r="C3" s="137" t="n">
        <v>1</v>
      </c>
      <c r="D3" s="138" t="n">
        <v>18686.2555</v>
      </c>
      <c r="E3" s="266" t="n">
        <v>0.1</v>
      </c>
      <c r="F3" s="138">
        <f t="shared" ref="F3:F13" si="0">(D3*E3)+D3</f>
        <v>8623.7354610000002</v>
      </c>
      <c r="G3" s="214">
        <f>F3*C3</f>
        <v>8623.7354610000002</v>
      </c>
      <c r="I3" s="239"/>
      <c r="J3" s="180" t="s">
        <v>49</v>
      </c>
      <c r="K3" s="181"/>
    </row>
    <row r="4" spans="2:16">
      <c r="B4" s="221" t="s">
        <v>36</v>
      </c>
      <c r="C4" s="137" t="n">
        <v>1</v>
      </c>
      <c r="D4" s="138" t="n">
        <v>43292.68</v>
      </c>
      <c r="E4" s="266" t="n">
        <v>0.1</v>
      </c>
      <c r="F4" s="138">
        <f t="shared" si="0"/>
        <v>44543.73</v>
      </c>
      <c r="G4" s="214">
        <f>F4*C4</f>
        <v>44543.73</v>
      </c>
      <c r="I4" s="239"/>
      <c r="J4" s="162" t="s">
        <v>399</v>
      </c>
      <c r="K4" s="267" t="n">
        <v>2750</v>
      </c>
    </row>
    <row r="5" spans="2:16">
      <c r="B5" s="221" t="s">
        <v>37</v>
      </c>
      <c r="C5" s="137" t="n">
        <v>1</v>
      </c>
      <c r="D5" s="138" t="n">
        <v>3900</v>
      </c>
      <c r="E5" s="266" t="n">
        <v>0.1</v>
      </c>
      <c r="F5" s="138">
        <f t="shared" si="0"/>
        <v>0</v>
      </c>
      <c r="G5" s="214">
        <f t="shared" ref="G5:G6" si="1">F5*C5</f>
        <v>0</v>
      </c>
      <c r="I5" s="239"/>
      <c r="J5" s="162" t="s">
        <v>400</v>
      </c>
      <c r="K5" s="268" t="n">
        <v>28</v>
      </c>
    </row>
    <row r="6" spans="2:16">
      <c r="B6" s="221" t="s">
        <v>401</v>
      </c>
      <c r="C6" s="137" t="n">
        <v>1</v>
      </c>
      <c r="D6" s="138" t="n">
        <v>3068.3</v>
      </c>
      <c r="E6" s="266" t="n">
        <v>0.1</v>
      </c>
      <c r="F6" s="138">
        <f t="shared" si="0"/>
        <v>0</v>
      </c>
      <c r="G6" s="214">
        <f t="shared" si="1"/>
        <v>0</v>
      </c>
      <c r="I6" s="239"/>
      <c r="J6" s="162" t="s">
        <v>402</v>
      </c>
      <c r="K6" s="268">
        <f>K5/30</f>
        <v>1</v>
      </c>
    </row>
    <row r="7" spans="2:16" ht="15.75" thickBot="1">
      <c r="B7" s="221" t="s">
        <v>403</v>
      </c>
      <c r="C7" s="137" t="n">
        <v>1</v>
      </c>
      <c r="D7" s="138" t="n">
        <v>12001.75</v>
      </c>
      <c r="E7" s="266" t="n">
        <v>0.1</v>
      </c>
      <c r="F7" s="138">
        <f t="shared" si="0"/>
        <v>1728.3035000000002</v>
      </c>
      <c r="G7" s="214">
        <f>F7*C7</f>
        <v>1728.3035000000002</v>
      </c>
      <c r="I7" s="239"/>
      <c r="J7" s="163" t="s">
        <v>404</v>
      </c>
      <c r="K7" s="269">
        <f>K5*K4</f>
        <v>67500</v>
      </c>
    </row>
    <row r="8" spans="2:16">
      <c r="B8" s="221" t="s">
        <v>40</v>
      </c>
      <c r="C8" s="137" t="n">
        <v>1</v>
      </c>
      <c r="D8" s="138" t="n">
        <v>7716.48</v>
      </c>
      <c r="E8" s="266" t="n">
        <v>0.1</v>
      </c>
      <c r="F8" s="138">
        <f t="shared" si="0"/>
        <v>4748.4271999999992</v>
      </c>
      <c r="G8" s="214">
        <f t="shared" ref="G8:G10" si="2">F8*C8</f>
        <v>4748.4271999999992</v>
      </c>
      <c r="I8" s="239"/>
      <c r="J8" s="239"/>
      <c r="K8" s="270"/>
    </row>
    <row r="9" spans="2:16">
      <c r="B9" s="221" t="s">
        <v>90</v>
      </c>
      <c r="C9" s="137" t="n">
        <v>1</v>
      </c>
      <c r="D9" s="138" t="n">
        <v>16600</v>
      </c>
      <c r="E9" s="266" t="n">
        <v>0.1</v>
      </c>
      <c r="F9" s="138">
        <f t="shared" si="0"/>
        <v>11858</v>
      </c>
      <c r="G9" s="214">
        <f t="shared" si="2"/>
        <v>11858</v>
      </c>
      <c r="I9" s="239"/>
      <c r="J9" s="239"/>
      <c r="K9" s="270"/>
    </row>
    <row r="10" spans="2:16">
      <c r="B10" s="221" t="s">
        <v>42</v>
      </c>
      <c r="C10" s="137" t="n">
        <v>1</v>
      </c>
      <c r="D10" s="138" t="n">
        <v>875</v>
      </c>
      <c r="E10" s="266" t="n">
        <v>0.1</v>
      </c>
      <c r="F10" s="138">
        <f t="shared" si="0"/>
        <v>2420</v>
      </c>
      <c r="G10" s="214">
        <f t="shared" si="2"/>
        <v>2420</v>
      </c>
      <c r="I10" s="239"/>
      <c r="J10" s="239"/>
      <c r="K10" s="270"/>
    </row>
    <row r="11" spans="2:16">
      <c r="B11" s="221" t="s">
        <v>43</v>
      </c>
      <c r="C11" s="137" t="n">
        <v>1</v>
      </c>
      <c r="D11" s="138" t="n">
        <v>560</v>
      </c>
      <c r="E11" s="266" t="n">
        <v>0.1</v>
      </c>
      <c r="F11" s="138">
        <f t="shared" si="0"/>
        <v>1210</v>
      </c>
      <c r="G11" s="214">
        <f>F11*C11</f>
        <v>1210</v>
      </c>
      <c r="I11" s="239"/>
      <c r="J11" s="239"/>
      <c r="K11" s="271"/>
    </row>
    <row r="12" spans="2:16">
      <c r="B12" s="221" t="s">
        <v>44</v>
      </c>
      <c r="C12" s="137" t="n">
        <v>1</v>
      </c>
      <c r="D12" s="138" t="n">
        <v>7500</v>
      </c>
      <c r="E12" s="266" t="n">
        <v>0.1</v>
      </c>
      <c r="F12" s="138">
        <f t="shared" si="0"/>
        <v>0</v>
      </c>
      <c r="G12" s="214">
        <f t="shared" ref="G12:G13" si="3">F12*C12</f>
        <v>0</v>
      </c>
      <c r="I12" s="239"/>
      <c r="J12" s="239"/>
      <c r="K12" s="271"/>
    </row>
    <row r="13" spans="2:16">
      <c r="B13" s="221" t="s">
        <v>45</v>
      </c>
      <c r="C13" s="137" t="n">
        <v>1</v>
      </c>
      <c r="D13" s="138" t="n">
        <v>12521</v>
      </c>
      <c r="E13" s="266" t="n">
        <v>0.1</v>
      </c>
      <c r="F13" s="138">
        <f t="shared" si="0"/>
        <v>13787.502299999998</v>
      </c>
      <c r="G13" s="214">
        <f t="shared" si="3"/>
        <v>13787.502299999998</v>
      </c>
      <c r="I13" s="272"/>
      <c r="J13" s="239"/>
      <c r="K13" s="271"/>
    </row>
    <row r="14" spans="2:16">
      <c r="B14" s="221" t="s">
        <v>46</v>
      </c>
      <c r="C14" s="137" t="n">
        <v>1</v>
      </c>
      <c r="D14" s="138" t="n">
        <v>28505</v>
      </c>
      <c r="E14" s="266" t="n">
        <v>0</v>
      </c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>
        <f>SUM(G3:G13)</f>
        <v>88919.698460999993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68" t="s">
        <v>405</v>
      </c>
      <c r="C17" s="669"/>
      <c r="D17" s="669"/>
      <c r="E17" s="669"/>
      <c r="F17" s="669"/>
      <c r="G17" s="670"/>
      <c r="I17" s="239"/>
    </row>
    <row r="18" spans="2:11">
      <c r="B18" s="221" t="s">
        <v>49</v>
      </c>
      <c r="C18" s="137">
        <f>K5</f>
        <v>30</v>
      </c>
      <c r="D18" s="138">
        <f>K4</f>
        <v>2250</v>
      </c>
      <c r="E18" s="266" t="n">
        <v>0.1</v>
      </c>
      <c r="F18" s="138">
        <f t="shared" ref="F18" si="4">(D18*E18)+D18</f>
        <v>2475</v>
      </c>
      <c r="G18" s="214">
        <f>F18*C18</f>
        <v>74250</v>
      </c>
      <c r="I18" s="272"/>
      <c r="J18" s="239"/>
    </row>
    <row r="19" spans="2:11">
      <c r="B19" s="222"/>
      <c r="C19" s="160"/>
      <c r="D19" s="161"/>
      <c r="E19" s="223"/>
      <c r="F19" s="161"/>
      <c r="G19" s="215">
        <f>SUM(G18)</f>
        <v>74250</v>
      </c>
      <c r="I19" s="239"/>
      <c r="J19" s="239"/>
      <c r="K19" s="239"/>
    </row>
    <row r="20" spans="2:11" ht="15.75" thickBot="1">
      <c r="B20" s="163"/>
      <c r="C20" s="671" t="s">
        <v>56</v>
      </c>
      <c r="D20" s="671"/>
      <c r="E20" s="671"/>
      <c r="F20" s="671"/>
      <c r="G20" s="227">
        <f>G15+G19</f>
        <v>163169.69846099999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633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634</v>
      </c>
      <c r="D6" s="239" t="s">
        <v>635</v>
      </c>
      <c r="E6" s="239"/>
      <c r="F6" s="239" t="s">
        <v>636</v>
      </c>
      <c r="H6" s="239" t="s">
        <v>637</v>
      </c>
      <c r="J6" s="239" t="s">
        <v>638</v>
      </c>
      <c r="K6" s="239">
        <f>IF(L6=480,277,120)</f>
        <v>277</v>
      </c>
      <c r="L6" s="137">
        <v>480</v>
      </c>
      <c r="M6" s="239" t="s">
        <v>639</v>
      </c>
      <c r="O6" s="239" t="s">
        <v>640</v>
      </c>
      <c r="P6" s="239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641</v>
      </c>
      <c r="H7" s="239" t="s">
        <v>642</v>
      </c>
      <c r="J7" s="239" t="s">
        <v>643</v>
      </c>
      <c r="L7" s="137" t="s">
        <v>644</v>
      </c>
      <c r="O7" s="239" t="s">
        <v>645</v>
      </c>
      <c r="P7" s="239">
        <f>O36</f>
        <v>400</v>
      </c>
      <c r="Q7" s="144" t="s">
        <v>646</v>
      </c>
    </row>
    <row r="8" spans="1:18">
      <c r="B8" s="143"/>
      <c r="C8" s="137"/>
      <c r="E8" s="239"/>
      <c r="F8" s="239" t="s">
        <v>647</v>
      </c>
      <c r="H8" s="239" t="s">
        <v>648</v>
      </c>
      <c r="J8" s="239" t="s">
        <v>649</v>
      </c>
      <c r="L8" s="137" t="s">
        <v>650</v>
      </c>
      <c r="O8" s="239" t="s">
        <v>651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652</v>
      </c>
      <c r="C11" s="685" t="s">
        <v>653</v>
      </c>
      <c r="D11" s="685"/>
      <c r="E11" s="262" t="s">
        <v>654</v>
      </c>
      <c r="F11" s="262" t="s">
        <v>655</v>
      </c>
      <c r="G11" s="685" t="s">
        <v>646</v>
      </c>
      <c r="H11" s="685"/>
      <c r="I11" s="690" t="s">
        <v>656</v>
      </c>
      <c r="J11" s="690"/>
      <c r="K11" s="690" t="s">
        <v>657</v>
      </c>
      <c r="L11" s="690"/>
      <c r="M11" s="262" t="s">
        <v>655</v>
      </c>
      <c r="N11" s="262" t="s">
        <v>654</v>
      </c>
      <c r="O11" s="685" t="s">
        <v>653</v>
      </c>
      <c r="P11" s="685"/>
      <c r="Q11" s="149" t="s">
        <v>652</v>
      </c>
    </row>
    <row r="12" spans="1:18">
      <c r="A12" s="216" t="s">
        <v>646</v>
      </c>
      <c r="B12" s="217">
        <v>1</v>
      </c>
      <c r="C12" s="645" t="str">
        <f>IF(MAX('INPUT SHEET CPM'!G3:L3)&gt;=1,"EV CHARGER L3 #1","")</f>
        <v/>
      </c>
      <c r="D12" s="647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645" t="str">
        <f>IF(MAX('INPUT SHEET CPM'!G3:L3)&gt;=2,"EV CHARGER L3 #2","")</f>
        <v/>
      </c>
      <c r="P12" s="647"/>
      <c r="Q12" s="217">
        <v>2</v>
      </c>
      <c r="R12" s="239" t="s">
        <v>646</v>
      </c>
    </row>
    <row r="13" spans="1:18">
      <c r="A13" s="216" t="s">
        <v>656</v>
      </c>
      <c r="B13" s="217">
        <f t="shared" ref="B13:B32" si="0">B12+2</f>
        <v>3</v>
      </c>
      <c r="C13" s="679" t="s">
        <v>658</v>
      </c>
      <c r="D13" s="680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79"/>
      <c r="P13" s="680"/>
      <c r="Q13" s="217">
        <f>Q12+2</f>
        <v>4</v>
      </c>
      <c r="R13" s="239" t="s">
        <v>656</v>
      </c>
    </row>
    <row r="14" spans="1:18">
      <c r="A14" s="216" t="s">
        <v>657</v>
      </c>
      <c r="B14" s="217">
        <f t="shared" si="0"/>
        <v>5</v>
      </c>
      <c r="C14" s="679" t="s">
        <v>658</v>
      </c>
      <c r="D14" s="680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79" t="s">
        <v>658</v>
      </c>
      <c r="P14" s="680"/>
      <c r="Q14" s="217">
        <f t="shared" ref="Q14:Q32" si="1">Q13+2</f>
        <v>6</v>
      </c>
      <c r="R14" s="239" t="s">
        <v>657</v>
      </c>
    </row>
    <row r="15" spans="1:18">
      <c r="A15" s="216" t="s">
        <v>646</v>
      </c>
      <c r="B15" s="217">
        <f t="shared" si="0"/>
        <v>7</v>
      </c>
      <c r="C15" s="645" t="str">
        <f>IF(MAX('INPUT SHEET CPM'!G3:L3)&gt;=3,"EV CHARGER L3 #3","")</f>
        <v/>
      </c>
      <c r="D15" s="647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645" t="str">
        <f>IF(MAX('INPUT SHEET CPM'!G3:L3)&gt;=4,"EV CHARGER L3 #4","")</f>
        <v/>
      </c>
      <c r="P15" s="647"/>
      <c r="Q15" s="217">
        <f t="shared" si="1"/>
        <v>8</v>
      </c>
      <c r="R15" s="239" t="s">
        <v>646</v>
      </c>
    </row>
    <row r="16" spans="1:18">
      <c r="A16" s="216" t="s">
        <v>656</v>
      </c>
      <c r="B16" s="217">
        <f t="shared" si="0"/>
        <v>9</v>
      </c>
      <c r="C16" s="679" t="s">
        <v>658</v>
      </c>
      <c r="D16" s="647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79" t="s">
        <v>658</v>
      </c>
      <c r="P16" s="647"/>
      <c r="Q16" s="217">
        <f t="shared" si="1"/>
        <v>10</v>
      </c>
      <c r="R16" s="239" t="s">
        <v>656</v>
      </c>
    </row>
    <row r="17" spans="1:18">
      <c r="A17" s="216" t="s">
        <v>657</v>
      </c>
      <c r="B17" s="217">
        <f t="shared" si="0"/>
        <v>11</v>
      </c>
      <c r="C17" s="679" t="s">
        <v>658</v>
      </c>
      <c r="D17" s="647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79" t="s">
        <v>658</v>
      </c>
      <c r="P17" s="647"/>
      <c r="Q17" s="217">
        <f t="shared" si="1"/>
        <v>12</v>
      </c>
      <c r="R17" s="239" t="s">
        <v>657</v>
      </c>
    </row>
    <row r="18" spans="1:18">
      <c r="A18" s="216" t="s">
        <v>646</v>
      </c>
      <c r="B18" s="217">
        <f t="shared" si="0"/>
        <v>13</v>
      </c>
      <c r="C18" s="645" t="str">
        <f>IF(MAX('INPUT SHEET CPM'!G3:L3)&gt;=5,"EV CHARGER L3 #5","")</f>
        <v/>
      </c>
      <c r="D18" s="647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645" t="str">
        <f>IF(MAX('INPUT SHEET CPM'!G3:L3)&gt;=6,"EV CHARGER L3 #6","")</f>
        <v/>
      </c>
      <c r="P18" s="647"/>
      <c r="Q18" s="217">
        <f t="shared" si="1"/>
        <v>14</v>
      </c>
      <c r="R18" s="239" t="s">
        <v>646</v>
      </c>
    </row>
    <row r="19" spans="1:18">
      <c r="A19" s="216" t="s">
        <v>656</v>
      </c>
      <c r="B19" s="217">
        <f t="shared" si="0"/>
        <v>15</v>
      </c>
      <c r="C19" s="679" t="s">
        <v>658</v>
      </c>
      <c r="D19" s="647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79" t="s">
        <v>658</v>
      </c>
      <c r="P19" s="647"/>
      <c r="Q19" s="217">
        <f t="shared" si="1"/>
        <v>16</v>
      </c>
      <c r="R19" s="239" t="s">
        <v>656</v>
      </c>
    </row>
    <row r="20" spans="1:18">
      <c r="A20" s="216" t="s">
        <v>657</v>
      </c>
      <c r="B20" s="217">
        <f t="shared" si="0"/>
        <v>17</v>
      </c>
      <c r="C20" s="679" t="s">
        <v>658</v>
      </c>
      <c r="D20" s="647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79" t="s">
        <v>658</v>
      </c>
      <c r="P20" s="647"/>
      <c r="Q20" s="217">
        <f t="shared" si="1"/>
        <v>18</v>
      </c>
      <c r="R20" s="239" t="s">
        <v>657</v>
      </c>
    </row>
    <row r="21" spans="1:18">
      <c r="A21" s="216" t="s">
        <v>646</v>
      </c>
      <c r="B21" s="217">
        <f t="shared" si="0"/>
        <v>19</v>
      </c>
      <c r="C21" s="645" t="str">
        <f>IF(MAX('INPUT SHEET CPM'!G3:L3)&gt;=7,"EV CHARGER L3 #7","")</f>
        <v/>
      </c>
      <c r="D21" s="647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645" t="str">
        <f>IF(MAX('INPUT SHEET CPM'!C3:L3)&gt;=8,"EV CHARGER L3 #8","")</f>
        <v/>
      </c>
      <c r="P21" s="647"/>
      <c r="Q21" s="217">
        <f t="shared" si="1"/>
        <v>20</v>
      </c>
      <c r="R21" s="239" t="s">
        <v>646</v>
      </c>
    </row>
    <row r="22" spans="1:18">
      <c r="A22" s="216" t="s">
        <v>656</v>
      </c>
      <c r="B22" s="217">
        <f t="shared" si="0"/>
        <v>21</v>
      </c>
      <c r="C22" s="679" t="s">
        <v>658</v>
      </c>
      <c r="D22" s="647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79" t="s">
        <v>658</v>
      </c>
      <c r="P22" s="647"/>
      <c r="Q22" s="217">
        <f t="shared" si="1"/>
        <v>22</v>
      </c>
      <c r="R22" s="239" t="s">
        <v>656</v>
      </c>
    </row>
    <row r="23" spans="1:18">
      <c r="A23" s="216" t="s">
        <v>657</v>
      </c>
      <c r="B23" s="217">
        <f t="shared" si="0"/>
        <v>23</v>
      </c>
      <c r="C23" s="679" t="s">
        <v>658</v>
      </c>
      <c r="D23" s="647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79" t="s">
        <v>658</v>
      </c>
      <c r="P23" s="647"/>
      <c r="Q23" s="217">
        <f t="shared" si="1"/>
        <v>24</v>
      </c>
      <c r="R23" s="239" t="s">
        <v>657</v>
      </c>
    </row>
    <row r="24" spans="1:18">
      <c r="A24" s="216" t="s">
        <v>646</v>
      </c>
      <c r="B24" s="217">
        <f t="shared" si="0"/>
        <v>25</v>
      </c>
      <c r="C24" s="645" t="str">
        <f>IF(MAX('INPUT SHEET CPM'!G3:L3)&gt;=9,"EV CHARGER L3 #9","")</f>
        <v/>
      </c>
      <c r="D24" s="647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645" t="str">
        <f>IF(MAX('INPUT SHEET CPM'!G3:L3)&gt;=10,"EV CHARGER L3 #10","")</f>
        <v/>
      </c>
      <c r="P24" s="647"/>
      <c r="Q24" s="217">
        <f t="shared" si="1"/>
        <v>26</v>
      </c>
      <c r="R24" s="239" t="s">
        <v>646</v>
      </c>
    </row>
    <row r="25" spans="1:18">
      <c r="A25" s="216" t="s">
        <v>656</v>
      </c>
      <c r="B25" s="217">
        <f t="shared" si="0"/>
        <v>27</v>
      </c>
      <c r="C25" s="679" t="s">
        <v>658</v>
      </c>
      <c r="D25" s="647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79" t="s">
        <v>658</v>
      </c>
      <c r="P25" s="647"/>
      <c r="Q25" s="217">
        <f t="shared" si="1"/>
        <v>28</v>
      </c>
      <c r="R25" s="239" t="s">
        <v>656</v>
      </c>
    </row>
    <row r="26" spans="1:18">
      <c r="A26" s="216" t="s">
        <v>657</v>
      </c>
      <c r="B26" s="217">
        <f t="shared" si="0"/>
        <v>29</v>
      </c>
      <c r="C26" s="679" t="s">
        <v>658</v>
      </c>
      <c r="D26" s="647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79" t="s">
        <v>658</v>
      </c>
      <c r="P26" s="647"/>
      <c r="Q26" s="217">
        <f t="shared" si="1"/>
        <v>30</v>
      </c>
      <c r="R26" s="239" t="s">
        <v>657</v>
      </c>
    </row>
    <row r="27" spans="1:18">
      <c r="A27" s="216" t="s">
        <v>646</v>
      </c>
      <c r="B27" s="217">
        <f t="shared" si="0"/>
        <v>31</v>
      </c>
      <c r="C27" s="645" t="str">
        <f>IF(MAX('INPUT SHEET CPM'!G3:L3)&gt;=11,"EV CHARGER L3 #11","")</f>
        <v/>
      </c>
      <c r="D27" s="647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645" t="str">
        <f>IF(MAX('INPUT SHEET CPM'!G3:L3)&gt;=12,"EV CHARGER L3 #12","")</f>
        <v/>
      </c>
      <c r="P27" s="647"/>
      <c r="Q27" s="217">
        <f t="shared" si="1"/>
        <v>32</v>
      </c>
      <c r="R27" s="239" t="s">
        <v>646</v>
      </c>
    </row>
    <row r="28" spans="1:18">
      <c r="A28" s="216" t="s">
        <v>656</v>
      </c>
      <c r="B28" s="217">
        <f t="shared" si="0"/>
        <v>33</v>
      </c>
      <c r="C28" s="679" t="s">
        <v>658</v>
      </c>
      <c r="D28" s="647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79" t="s">
        <v>658</v>
      </c>
      <c r="P28" s="647"/>
      <c r="Q28" s="217">
        <f t="shared" si="1"/>
        <v>34</v>
      </c>
      <c r="R28" s="239" t="s">
        <v>656</v>
      </c>
    </row>
    <row r="29" spans="1:18">
      <c r="A29" s="216" t="s">
        <v>657</v>
      </c>
      <c r="B29" s="217">
        <f t="shared" si="0"/>
        <v>35</v>
      </c>
      <c r="C29" s="679" t="s">
        <v>658</v>
      </c>
      <c r="D29" s="647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79" t="s">
        <v>658</v>
      </c>
      <c r="P29" s="647"/>
      <c r="Q29" s="217">
        <f t="shared" si="1"/>
        <v>36</v>
      </c>
      <c r="R29" s="239" t="s">
        <v>657</v>
      </c>
    </row>
    <row r="30" spans="1:18">
      <c r="A30" s="216" t="s">
        <v>646</v>
      </c>
      <c r="B30" s="217">
        <f t="shared" si="0"/>
        <v>37</v>
      </c>
      <c r="C30" s="645" t="str">
        <f>IF(MAX('INPUT SHEET CPM'!G3:L3)&gt;=13,"EV CHARGER L3 #13","")</f>
        <v/>
      </c>
      <c r="D30" s="647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645" t="str">
        <f>IF(MAX('INPUT SHEET CPM'!G3:L3)&gt;=14,"EV CHARGER L3 #14","")</f>
        <v/>
      </c>
      <c r="P30" s="647"/>
      <c r="Q30" s="217">
        <f t="shared" si="1"/>
        <v>38</v>
      </c>
      <c r="R30" s="239" t="s">
        <v>646</v>
      </c>
    </row>
    <row r="31" spans="1:18">
      <c r="A31" s="216" t="s">
        <v>656</v>
      </c>
      <c r="B31" s="217">
        <f t="shared" si="0"/>
        <v>39</v>
      </c>
      <c r="C31" s="645"/>
      <c r="D31" s="647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645"/>
      <c r="P31" s="647"/>
      <c r="Q31" s="217">
        <f t="shared" si="1"/>
        <v>40</v>
      </c>
      <c r="R31" s="239" t="s">
        <v>656</v>
      </c>
    </row>
    <row r="32" spans="1:18">
      <c r="A32" s="216" t="s">
        <v>657</v>
      </c>
      <c r="B32" s="217">
        <f t="shared" si="0"/>
        <v>41</v>
      </c>
      <c r="C32" s="645"/>
      <c r="D32" s="647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645"/>
      <c r="P32" s="647"/>
      <c r="Q32" s="217">
        <f t="shared" si="1"/>
        <v>42</v>
      </c>
      <c r="R32" s="239" t="s">
        <v>657</v>
      </c>
    </row>
    <row r="33" spans="2:17">
      <c r="B33" s="139"/>
      <c r="C33" s="141"/>
      <c r="D33" s="141"/>
      <c r="E33" s="681" t="s">
        <v>659</v>
      </c>
      <c r="F33" s="681"/>
      <c r="G33" s="682">
        <f>SUM(G12:H32)</f>
        <v>0</v>
      </c>
      <c r="H33" s="689"/>
      <c r="I33" s="682">
        <f>SUM(I12:J32)</f>
        <v>0</v>
      </c>
      <c r="J33" s="689"/>
      <c r="K33" s="682">
        <f>SUM(K12:L32)</f>
        <v>0</v>
      </c>
      <c r="L33" s="689"/>
      <c r="M33" s="141" t="s">
        <v>660</v>
      </c>
      <c r="N33" s="141"/>
      <c r="O33" s="683">
        <f>G33+I33+K33</f>
        <v>0</v>
      </c>
      <c r="P33" s="684"/>
      <c r="Q33" s="142"/>
    </row>
    <row r="34" spans="2:17">
      <c r="B34" s="143"/>
      <c r="E34" s="675" t="s">
        <v>661</v>
      </c>
      <c r="F34" s="675"/>
      <c r="G34" s="676">
        <f>G33*1.25</f>
        <v>0</v>
      </c>
      <c r="H34" s="687"/>
      <c r="I34" s="676">
        <f>I33*1.25</f>
        <v>0</v>
      </c>
      <c r="J34" s="687"/>
      <c r="K34" s="676">
        <f>K33*1.25</f>
        <v>0</v>
      </c>
      <c r="L34" s="687"/>
      <c r="M34" s="239" t="s">
        <v>662</v>
      </c>
      <c r="N34" s="239"/>
      <c r="O34" s="630">
        <f>O33*1.25</f>
        <v>0</v>
      </c>
      <c r="P34" s="630"/>
      <c r="Q34" s="144"/>
    </row>
    <row r="35" spans="2:17">
      <c r="B35" s="143"/>
      <c r="E35" s="675" t="s">
        <v>663</v>
      </c>
      <c r="F35" s="675"/>
      <c r="G35" s="678">
        <f>IF(MAX(G34,I34,K34)=G34,G34,0)</f>
        <v>0</v>
      </c>
      <c r="H35" s="688"/>
      <c r="I35" s="678">
        <f>IF(MAX(G34,I34,K34)=I34,I34,0)</f>
        <v>0</v>
      </c>
      <c r="J35" s="688"/>
      <c r="K35" s="678">
        <f>IF(MAX(G34,I34,K34)=K34,K34,0)</f>
        <v>0</v>
      </c>
      <c r="L35" s="688"/>
      <c r="M35" s="239" t="s">
        <v>664</v>
      </c>
      <c r="N35" s="239"/>
      <c r="O35" s="630">
        <f>ROUND(O34/(L6*SQRT(3)),1)</f>
        <v>0</v>
      </c>
      <c r="P35" s="630"/>
      <c r="Q35" s="144"/>
    </row>
    <row r="36" spans="2:17">
      <c r="B36" s="145"/>
      <c r="C36" s="147"/>
      <c r="D36" s="147"/>
      <c r="E36" s="672" t="s">
        <v>665</v>
      </c>
      <c r="F36" s="672"/>
      <c r="G36" s="673" t="str">
        <f>IF(G35&gt;0,ROUND(G35/277,1),"")</f>
        <v/>
      </c>
      <c r="H36" s="686"/>
      <c r="I36" s="673" t="str">
        <f>IF(I35&gt;0,ROUND(I35/277,1),"")</f>
        <v/>
      </c>
      <c r="J36" s="686"/>
      <c r="K36" s="673" t="str">
        <f>IF(K35&gt;0,ROUND(K35/277,1),"")</f>
        <v/>
      </c>
      <c r="L36" s="686"/>
      <c r="M36" s="147" t="s">
        <v>666</v>
      </c>
      <c r="N36" s="147"/>
      <c r="O36" s="674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74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630"/>
      <c r="P37" s="630"/>
    </row>
    <row r="38" spans="2:17">
      <c r="C38" s="630"/>
      <c r="D38" s="630"/>
      <c r="O38" s="630"/>
      <c r="P38" s="630"/>
    </row>
    <row r="39" spans="2:17">
      <c r="C39" s="630"/>
      <c r="D39" s="630"/>
      <c r="O39" s="630"/>
      <c r="P39" s="630"/>
    </row>
    <row r="41" spans="2:17">
      <c r="B41" s="139"/>
      <c r="C41" s="140"/>
      <c r="D41" s="141"/>
      <c r="E41" s="141"/>
      <c r="F41" s="141"/>
      <c r="G41" s="141"/>
      <c r="H41" s="141"/>
      <c r="I41" s="141" t="s">
        <v>633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634</v>
      </c>
      <c r="D43" s="239" t="s">
        <v>667</v>
      </c>
      <c r="E43" s="239"/>
      <c r="F43" s="239" t="s">
        <v>636</v>
      </c>
      <c r="H43" s="239" t="s">
        <v>637</v>
      </c>
      <c r="J43" s="239" t="s">
        <v>638</v>
      </c>
      <c r="K43" s="239">
        <v>120</v>
      </c>
      <c r="L43" s="137">
        <v>208</v>
      </c>
      <c r="M43" s="239" t="s">
        <v>639</v>
      </c>
      <c r="O43" s="239" t="s">
        <v>640</v>
      </c>
      <c r="P43" s="239">
        <v>300</v>
      </c>
      <c r="Q43" s="144" t="s">
        <v>668</v>
      </c>
    </row>
    <row r="44" spans="2:17">
      <c r="B44" s="143"/>
      <c r="C44" s="137"/>
      <c r="E44" s="239"/>
      <c r="F44" s="239" t="s">
        <v>641</v>
      </c>
      <c r="H44" s="239" t="s">
        <v>642</v>
      </c>
      <c r="J44" s="239" t="s">
        <v>643</v>
      </c>
      <c r="L44" s="137" t="s">
        <v>644</v>
      </c>
      <c r="O44" s="239" t="s">
        <v>645</v>
      </c>
      <c r="P44" s="239">
        <v>300</v>
      </c>
      <c r="Q44" s="144" t="s">
        <v>646</v>
      </c>
    </row>
    <row r="45" spans="2:17">
      <c r="B45" s="143"/>
      <c r="C45" s="137"/>
      <c r="E45" s="239"/>
      <c r="F45" s="239" t="s">
        <v>647</v>
      </c>
      <c r="H45" s="239" t="s">
        <v>648</v>
      </c>
      <c r="J45" s="239" t="s">
        <v>649</v>
      </c>
      <c r="L45" s="137" t="s">
        <v>650</v>
      </c>
      <c r="O45" s="239" t="s">
        <v>651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652</v>
      </c>
      <c r="C48" s="685" t="s">
        <v>653</v>
      </c>
      <c r="D48" s="685"/>
      <c r="E48" s="149" t="s">
        <v>654</v>
      </c>
      <c r="F48" s="149" t="s">
        <v>655</v>
      </c>
      <c r="G48" s="685" t="s">
        <v>646</v>
      </c>
      <c r="H48" s="685"/>
      <c r="I48" s="685" t="s">
        <v>656</v>
      </c>
      <c r="J48" s="685"/>
      <c r="K48" s="685" t="s">
        <v>657</v>
      </c>
      <c r="L48" s="685"/>
      <c r="M48" s="149" t="s">
        <v>655</v>
      </c>
      <c r="N48" s="149" t="s">
        <v>654</v>
      </c>
      <c r="O48" s="685" t="s">
        <v>653</v>
      </c>
      <c r="P48" s="685"/>
      <c r="Q48" s="149" t="s">
        <v>652</v>
      </c>
    </row>
    <row r="49" spans="1:18">
      <c r="A49" s="216" t="s">
        <v>646</v>
      </c>
      <c r="B49" s="217">
        <v>1</v>
      </c>
      <c r="C49" s="645" t="s">
        <v>669</v>
      </c>
      <c r="D49" s="647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378</v>
      </c>
      <c r="I49" s="238"/>
      <c r="J49" s="238"/>
      <c r="K49" s="238"/>
      <c r="L49" s="238"/>
      <c r="M49" s="238">
        <v>2</v>
      </c>
      <c r="N49" s="238">
        <v>40</v>
      </c>
      <c r="O49" s="645" t="s">
        <v>670</v>
      </c>
      <c r="P49" s="647"/>
      <c r="Q49" s="217">
        <v>2</v>
      </c>
      <c r="R49" s="239" t="s">
        <v>646</v>
      </c>
    </row>
    <row r="50" spans="1:18">
      <c r="A50" s="216" t="s">
        <v>656</v>
      </c>
      <c r="B50" s="217">
        <f t="shared" ref="B50:B67" si="2">B49+2</f>
        <v>3</v>
      </c>
      <c r="C50" s="679" t="s">
        <v>658</v>
      </c>
      <c r="D50" s="680"/>
      <c r="E50" s="238"/>
      <c r="F50" s="238"/>
      <c r="G50" s="238"/>
      <c r="H50" s="238"/>
      <c r="I50" s="250" t="s">
        <v>378</v>
      </c>
      <c r="J50" s="250" t="s">
        <v>378</v>
      </c>
      <c r="K50" s="238"/>
      <c r="L50" s="238"/>
      <c r="M50" s="238"/>
      <c r="N50" s="238"/>
      <c r="O50" s="679" t="s">
        <v>658</v>
      </c>
      <c r="P50" s="680"/>
      <c r="Q50" s="217">
        <f t="shared" ref="Q50:Q67" si="3">Q49+2</f>
        <v>4</v>
      </c>
      <c r="R50" s="239" t="s">
        <v>656</v>
      </c>
    </row>
    <row r="51" spans="1:18">
      <c r="A51" s="216" t="s">
        <v>657</v>
      </c>
      <c r="B51" s="217">
        <f t="shared" si="2"/>
        <v>5</v>
      </c>
      <c r="C51" s="679" t="s">
        <v>671</v>
      </c>
      <c r="D51" s="680"/>
      <c r="E51" s="238">
        <v>40</v>
      </c>
      <c r="F51" s="238">
        <v>2</v>
      </c>
      <c r="G51" s="238"/>
      <c r="H51" s="238"/>
      <c r="I51" s="238"/>
      <c r="J51" s="238"/>
      <c r="K51" s="250" t="s">
        <v>378</v>
      </c>
      <c r="L51" s="250" t="s">
        <v>378</v>
      </c>
      <c r="M51" s="238">
        <v>2</v>
      </c>
      <c r="N51" s="238">
        <v>40</v>
      </c>
      <c r="O51" s="679" t="s">
        <v>672</v>
      </c>
      <c r="P51" s="680"/>
      <c r="Q51" s="217">
        <f t="shared" si="3"/>
        <v>6</v>
      </c>
      <c r="R51" s="239" t="s">
        <v>657</v>
      </c>
    </row>
    <row r="52" spans="1:18">
      <c r="A52" s="216" t="s">
        <v>646</v>
      </c>
      <c r="B52" s="217">
        <f t="shared" si="2"/>
        <v>7</v>
      </c>
      <c r="C52" s="679" t="s">
        <v>658</v>
      </c>
      <c r="D52" s="680"/>
      <c r="E52" s="149"/>
      <c r="F52" s="238"/>
      <c r="G52" s="218" t="s">
        <v>378</v>
      </c>
      <c r="H52" s="218" t="s">
        <v>378</v>
      </c>
      <c r="I52" s="219"/>
      <c r="J52" s="219"/>
      <c r="K52" s="219"/>
      <c r="L52" s="218"/>
      <c r="M52" s="238"/>
      <c r="N52" s="238"/>
      <c r="O52" s="679" t="s">
        <v>658</v>
      </c>
      <c r="P52" s="680"/>
      <c r="Q52" s="217">
        <f t="shared" si="3"/>
        <v>8</v>
      </c>
      <c r="R52" s="239" t="s">
        <v>646</v>
      </c>
    </row>
    <row r="53" spans="1:18">
      <c r="A53" s="216" t="s">
        <v>656</v>
      </c>
      <c r="B53" s="217">
        <f t="shared" si="2"/>
        <v>9</v>
      </c>
      <c r="C53" s="679" t="s">
        <v>673</v>
      </c>
      <c r="D53" s="680"/>
      <c r="E53" s="238">
        <v>40</v>
      </c>
      <c r="F53" s="238">
        <v>2</v>
      </c>
      <c r="G53" s="219"/>
      <c r="H53" s="219"/>
      <c r="I53" s="218" t="s">
        <v>378</v>
      </c>
      <c r="J53" s="218" t="s">
        <v>378</v>
      </c>
      <c r="K53" s="219"/>
      <c r="L53" s="219"/>
      <c r="M53" s="238">
        <v>2</v>
      </c>
      <c r="N53" s="238">
        <v>40</v>
      </c>
      <c r="O53" s="679" t="s">
        <v>674</v>
      </c>
      <c r="P53" s="680"/>
      <c r="Q53" s="217">
        <f t="shared" si="3"/>
        <v>10</v>
      </c>
      <c r="R53" s="239" t="s">
        <v>656</v>
      </c>
    </row>
    <row r="54" spans="1:18">
      <c r="A54" s="216" t="s">
        <v>657</v>
      </c>
      <c r="B54" s="217">
        <f t="shared" si="2"/>
        <v>11</v>
      </c>
      <c r="C54" s="679" t="s">
        <v>658</v>
      </c>
      <c r="D54" s="680"/>
      <c r="E54" s="238"/>
      <c r="F54" s="238"/>
      <c r="G54" s="218"/>
      <c r="H54" s="219"/>
      <c r="I54" s="219"/>
      <c r="J54" s="219"/>
      <c r="K54" s="218" t="s">
        <v>378</v>
      </c>
      <c r="L54" s="218" t="s">
        <v>378</v>
      </c>
      <c r="M54" s="238"/>
      <c r="N54" s="238"/>
      <c r="O54" s="679" t="s">
        <v>658</v>
      </c>
      <c r="P54" s="680"/>
      <c r="Q54" s="217">
        <f t="shared" si="3"/>
        <v>12</v>
      </c>
      <c r="R54" s="239" t="s">
        <v>657</v>
      </c>
    </row>
    <row r="55" spans="1:18">
      <c r="A55" s="216" t="s">
        <v>646</v>
      </c>
      <c r="B55" s="217">
        <f t="shared" si="2"/>
        <v>13</v>
      </c>
      <c r="C55" s="645" t="s">
        <v>675</v>
      </c>
      <c r="D55" s="647"/>
      <c r="E55" s="149">
        <v>40</v>
      </c>
      <c r="F55" s="149">
        <v>2</v>
      </c>
      <c r="G55" s="218" t="s">
        <v>378</v>
      </c>
      <c r="H55" s="218" t="s">
        <v>378</v>
      </c>
      <c r="I55" s="219"/>
      <c r="J55" s="219"/>
      <c r="K55" s="219"/>
      <c r="L55" s="218"/>
      <c r="M55" s="219">
        <v>2</v>
      </c>
      <c r="N55" s="238">
        <v>40</v>
      </c>
      <c r="O55" s="645" t="s">
        <v>676</v>
      </c>
      <c r="P55" s="647"/>
      <c r="Q55" s="217">
        <f t="shared" si="3"/>
        <v>14</v>
      </c>
      <c r="R55" s="239" t="s">
        <v>646</v>
      </c>
    </row>
    <row r="56" spans="1:18">
      <c r="A56" s="216" t="s">
        <v>656</v>
      </c>
      <c r="B56" s="217">
        <f t="shared" si="2"/>
        <v>15</v>
      </c>
      <c r="C56" s="679" t="s">
        <v>658</v>
      </c>
      <c r="D56" s="680"/>
      <c r="E56" s="149"/>
      <c r="F56" s="149"/>
      <c r="G56" s="219"/>
      <c r="H56" s="219"/>
      <c r="I56" s="218" t="s">
        <v>378</v>
      </c>
      <c r="J56" s="218" t="s">
        <v>378</v>
      </c>
      <c r="K56" s="219"/>
      <c r="L56" s="219"/>
      <c r="M56" s="149"/>
      <c r="N56" s="149"/>
      <c r="O56" s="679" t="s">
        <v>658</v>
      </c>
      <c r="P56" s="680"/>
      <c r="Q56" s="217">
        <f t="shared" si="3"/>
        <v>16</v>
      </c>
      <c r="R56" s="239" t="s">
        <v>656</v>
      </c>
    </row>
    <row r="57" spans="1:18">
      <c r="A57" s="216" t="s">
        <v>657</v>
      </c>
      <c r="B57" s="217">
        <f t="shared" si="2"/>
        <v>17</v>
      </c>
      <c r="C57" s="679" t="s">
        <v>677</v>
      </c>
      <c r="D57" s="680"/>
      <c r="E57" s="149">
        <v>40</v>
      </c>
      <c r="F57" s="149">
        <v>2</v>
      </c>
      <c r="G57" s="218"/>
      <c r="H57" s="219"/>
      <c r="I57" s="218"/>
      <c r="J57" s="219"/>
      <c r="K57" s="218" t="s">
        <v>378</v>
      </c>
      <c r="L57" s="218" t="s">
        <v>378</v>
      </c>
      <c r="M57" s="149">
        <v>2</v>
      </c>
      <c r="N57" s="149">
        <v>40</v>
      </c>
      <c r="O57" s="679" t="s">
        <v>678</v>
      </c>
      <c r="P57" s="680"/>
      <c r="Q57" s="217">
        <f t="shared" si="3"/>
        <v>18</v>
      </c>
      <c r="R57" s="239" t="s">
        <v>657</v>
      </c>
    </row>
    <row r="58" spans="1:18">
      <c r="A58" s="216" t="s">
        <v>646</v>
      </c>
      <c r="B58" s="217">
        <f t="shared" si="2"/>
        <v>19</v>
      </c>
      <c r="C58" s="679" t="s">
        <v>658</v>
      </c>
      <c r="D58" s="680"/>
      <c r="E58" s="149"/>
      <c r="F58" s="149"/>
      <c r="G58" s="250" t="s">
        <v>378</v>
      </c>
      <c r="H58" s="250" t="s">
        <v>378</v>
      </c>
      <c r="I58" s="238"/>
      <c r="J58" s="238"/>
      <c r="K58" s="238"/>
      <c r="L58" s="238"/>
      <c r="M58" s="149"/>
      <c r="N58" s="149"/>
      <c r="O58" s="679" t="s">
        <v>658</v>
      </c>
      <c r="P58" s="647"/>
      <c r="Q58" s="217">
        <f t="shared" si="3"/>
        <v>20</v>
      </c>
      <c r="R58" s="239" t="s">
        <v>646</v>
      </c>
    </row>
    <row r="59" spans="1:18">
      <c r="A59" s="216" t="s">
        <v>656</v>
      </c>
      <c r="B59" s="217">
        <f t="shared" si="2"/>
        <v>21</v>
      </c>
      <c r="C59" s="679" t="s">
        <v>679</v>
      </c>
      <c r="D59" s="680"/>
      <c r="E59" s="149">
        <v>40</v>
      </c>
      <c r="F59" s="149">
        <v>2</v>
      </c>
      <c r="G59" s="238"/>
      <c r="H59" s="238"/>
      <c r="I59" s="250" t="s">
        <v>378</v>
      </c>
      <c r="J59" s="250" t="s">
        <v>378</v>
      </c>
      <c r="K59" s="238"/>
      <c r="L59" s="238"/>
      <c r="M59" s="149">
        <v>2</v>
      </c>
      <c r="N59" s="149">
        <v>40</v>
      </c>
      <c r="O59" s="679" t="s">
        <v>680</v>
      </c>
      <c r="P59" s="680"/>
      <c r="Q59" s="217">
        <f t="shared" si="3"/>
        <v>22</v>
      </c>
      <c r="R59" s="239" t="s">
        <v>656</v>
      </c>
    </row>
    <row r="60" spans="1:18">
      <c r="A60" s="216" t="s">
        <v>657</v>
      </c>
      <c r="B60" s="217">
        <f t="shared" si="2"/>
        <v>23</v>
      </c>
      <c r="C60" s="679" t="s">
        <v>658</v>
      </c>
      <c r="D60" s="680"/>
      <c r="E60" s="149"/>
      <c r="F60" s="217"/>
      <c r="G60" s="238"/>
      <c r="H60" s="238"/>
      <c r="I60" s="238"/>
      <c r="J60" s="238"/>
      <c r="K60" s="250" t="s">
        <v>378</v>
      </c>
      <c r="L60" s="250" t="s">
        <v>378</v>
      </c>
      <c r="M60" s="217"/>
      <c r="N60" s="149"/>
      <c r="O60" s="679" t="s">
        <v>658</v>
      </c>
      <c r="P60" s="680"/>
      <c r="Q60" s="217">
        <f t="shared" si="3"/>
        <v>24</v>
      </c>
      <c r="R60" s="239" t="s">
        <v>657</v>
      </c>
    </row>
    <row r="61" spans="1:18">
      <c r="A61" s="216" t="s">
        <v>646</v>
      </c>
      <c r="B61" s="217">
        <f t="shared" si="2"/>
        <v>25</v>
      </c>
      <c r="C61" s="679" t="s">
        <v>658</v>
      </c>
      <c r="D61" s="680"/>
      <c r="E61" s="149"/>
      <c r="F61" s="149"/>
      <c r="G61" s="218" t="s">
        <v>378</v>
      </c>
      <c r="H61" s="218" t="s">
        <v>378</v>
      </c>
      <c r="I61" s="219"/>
      <c r="J61" s="219"/>
      <c r="K61" s="219"/>
      <c r="L61" s="218"/>
      <c r="M61" s="149"/>
      <c r="N61" s="149"/>
      <c r="O61" s="679" t="s">
        <v>658</v>
      </c>
      <c r="P61" s="680"/>
      <c r="Q61" s="217">
        <f t="shared" si="3"/>
        <v>26</v>
      </c>
      <c r="R61" s="239" t="s">
        <v>646</v>
      </c>
    </row>
    <row r="62" spans="1:18">
      <c r="A62" s="216" t="s">
        <v>656</v>
      </c>
      <c r="B62" s="217">
        <f t="shared" si="2"/>
        <v>27</v>
      </c>
      <c r="C62" s="679"/>
      <c r="D62" s="680"/>
      <c r="E62" s="149"/>
      <c r="F62" s="217"/>
      <c r="G62" s="219"/>
      <c r="H62" s="219"/>
      <c r="I62" s="218" t="s">
        <v>378</v>
      </c>
      <c r="J62" s="218" t="s">
        <v>378</v>
      </c>
      <c r="K62" s="219"/>
      <c r="L62" s="219"/>
      <c r="M62" s="217"/>
      <c r="N62" s="149"/>
      <c r="O62" s="679"/>
      <c r="P62" s="680"/>
      <c r="Q62" s="217">
        <f t="shared" si="3"/>
        <v>28</v>
      </c>
      <c r="R62" s="239" t="s">
        <v>656</v>
      </c>
    </row>
    <row r="63" spans="1:18">
      <c r="A63" s="216" t="s">
        <v>657</v>
      </c>
      <c r="B63" s="217">
        <f>B62+2</f>
        <v>29</v>
      </c>
      <c r="C63" s="679"/>
      <c r="D63" s="680"/>
      <c r="E63" s="149"/>
      <c r="F63" s="217"/>
      <c r="G63" s="218"/>
      <c r="H63" s="219"/>
      <c r="I63" s="219"/>
      <c r="J63" s="219"/>
      <c r="K63" s="218" t="s">
        <v>378</v>
      </c>
      <c r="L63" s="218" t="s">
        <v>378</v>
      </c>
      <c r="M63" s="217"/>
      <c r="N63" s="149"/>
      <c r="O63" s="679"/>
      <c r="P63" s="680"/>
      <c r="Q63" s="217">
        <f>Q62+2</f>
        <v>30</v>
      </c>
      <c r="R63" s="239" t="s">
        <v>657</v>
      </c>
    </row>
    <row r="64" spans="1:18">
      <c r="A64" s="216" t="s">
        <v>646</v>
      </c>
      <c r="B64" s="217">
        <f t="shared" si="2"/>
        <v>31</v>
      </c>
      <c r="C64" s="645" t="s">
        <v>378</v>
      </c>
      <c r="D64" s="647"/>
      <c r="E64" s="149" t="s">
        <v>378</v>
      </c>
      <c r="F64" s="149" t="s">
        <v>378</v>
      </c>
      <c r="G64" s="218" t="s">
        <v>378</v>
      </c>
      <c r="H64" s="218" t="s">
        <v>378</v>
      </c>
      <c r="I64" s="219"/>
      <c r="J64" s="219"/>
      <c r="K64" s="219"/>
      <c r="L64" s="218"/>
      <c r="M64" s="217"/>
      <c r="N64" s="149"/>
      <c r="O64" s="645" t="s">
        <v>378</v>
      </c>
      <c r="P64" s="647"/>
      <c r="Q64" s="217">
        <f t="shared" si="3"/>
        <v>32</v>
      </c>
      <c r="R64" s="239" t="s">
        <v>646</v>
      </c>
    </row>
    <row r="65" spans="1:18">
      <c r="A65" s="216" t="s">
        <v>656</v>
      </c>
      <c r="B65" s="217">
        <f t="shared" si="2"/>
        <v>33</v>
      </c>
      <c r="C65" s="679" t="s">
        <v>378</v>
      </c>
      <c r="D65" s="680"/>
      <c r="E65" s="149"/>
      <c r="F65" s="217"/>
      <c r="G65" s="219"/>
      <c r="H65" s="219"/>
      <c r="I65" s="218" t="s">
        <v>378</v>
      </c>
      <c r="J65" s="218" t="s">
        <v>378</v>
      </c>
      <c r="K65" s="219"/>
      <c r="L65" s="219"/>
      <c r="M65" s="217"/>
      <c r="N65" s="149"/>
      <c r="O65" s="679" t="s">
        <v>378</v>
      </c>
      <c r="P65" s="680"/>
      <c r="Q65" s="217">
        <f t="shared" si="3"/>
        <v>34</v>
      </c>
      <c r="R65" s="239" t="s">
        <v>656</v>
      </c>
    </row>
    <row r="66" spans="1:18">
      <c r="A66" s="216" t="s">
        <v>657</v>
      </c>
      <c r="B66" s="217">
        <f t="shared" si="2"/>
        <v>35</v>
      </c>
      <c r="C66" s="679" t="s">
        <v>378</v>
      </c>
      <c r="D66" s="680"/>
      <c r="E66" s="149"/>
      <c r="F66" s="217"/>
      <c r="G66" s="218"/>
      <c r="H66" s="218"/>
      <c r="I66" s="218"/>
      <c r="J66" s="219"/>
      <c r="K66" s="218" t="s">
        <v>378</v>
      </c>
      <c r="L66" s="218" t="s">
        <v>378</v>
      </c>
      <c r="M66" s="217"/>
      <c r="N66" s="149"/>
      <c r="O66" s="679" t="s">
        <v>378</v>
      </c>
      <c r="P66" s="680"/>
      <c r="Q66" s="217">
        <f t="shared" si="3"/>
        <v>36</v>
      </c>
      <c r="R66" s="239" t="s">
        <v>657</v>
      </c>
    </row>
    <row r="67" spans="1:18">
      <c r="A67" s="216" t="s">
        <v>646</v>
      </c>
      <c r="B67" s="217">
        <f t="shared" si="2"/>
        <v>37</v>
      </c>
      <c r="C67" s="645" t="s">
        <v>378</v>
      </c>
      <c r="D67" s="647"/>
      <c r="E67" s="149"/>
      <c r="F67" s="217"/>
      <c r="G67" s="250" t="s">
        <v>378</v>
      </c>
      <c r="H67" s="250" t="s">
        <v>378</v>
      </c>
      <c r="I67" s="218"/>
      <c r="J67" s="218"/>
      <c r="K67" s="217"/>
      <c r="L67" s="217"/>
      <c r="M67" s="217"/>
      <c r="N67" s="149"/>
      <c r="O67" s="645" t="s">
        <v>378</v>
      </c>
      <c r="P67" s="647"/>
      <c r="Q67" s="217">
        <f t="shared" si="3"/>
        <v>38</v>
      </c>
      <c r="R67" s="239" t="s">
        <v>646</v>
      </c>
    </row>
    <row r="68" spans="1:18">
      <c r="A68" s="216" t="s">
        <v>656</v>
      </c>
      <c r="B68" s="217">
        <f>B67+2</f>
        <v>39</v>
      </c>
      <c r="C68" s="679" t="s">
        <v>378</v>
      </c>
      <c r="D68" s="680"/>
      <c r="E68" s="149"/>
      <c r="F68" s="217"/>
      <c r="G68" s="217"/>
      <c r="H68" s="217"/>
      <c r="I68" s="218" t="s">
        <v>378</v>
      </c>
      <c r="J68" s="218" t="s">
        <v>378</v>
      </c>
      <c r="K68" s="218"/>
      <c r="L68" s="218"/>
      <c r="M68" s="217"/>
      <c r="N68" s="149"/>
      <c r="O68" s="679" t="s">
        <v>378</v>
      </c>
      <c r="P68" s="680"/>
      <c r="Q68" s="217">
        <f>Q67+2</f>
        <v>40</v>
      </c>
      <c r="R68" s="239" t="s">
        <v>656</v>
      </c>
    </row>
    <row r="69" spans="1:18">
      <c r="A69" s="216" t="s">
        <v>657</v>
      </c>
      <c r="B69" s="217">
        <f>B68+2</f>
        <v>41</v>
      </c>
      <c r="C69" s="679" t="s">
        <v>378</v>
      </c>
      <c r="D69" s="680"/>
      <c r="E69" s="217"/>
      <c r="F69" s="217"/>
      <c r="G69" s="217"/>
      <c r="H69" s="217"/>
      <c r="I69" s="219"/>
      <c r="J69" s="219"/>
      <c r="K69" s="218" t="s">
        <v>378</v>
      </c>
      <c r="L69" s="218" t="s">
        <v>378</v>
      </c>
      <c r="M69" s="217"/>
      <c r="N69" s="217"/>
      <c r="O69" s="679" t="s">
        <v>378</v>
      </c>
      <c r="P69" s="680"/>
      <c r="Q69" s="217"/>
      <c r="R69" s="239" t="s">
        <v>657</v>
      </c>
    </row>
    <row r="70" spans="1:18">
      <c r="A70" s="216" t="s">
        <v>646</v>
      </c>
      <c r="B70" s="217">
        <f>B69+2</f>
        <v>43</v>
      </c>
      <c r="C70" s="679"/>
      <c r="D70" s="680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79"/>
      <c r="P70" s="680"/>
      <c r="Q70" s="217"/>
      <c r="R70" s="239" t="s">
        <v>646</v>
      </c>
    </row>
    <row r="71" spans="1:18">
      <c r="A71" s="216" t="s">
        <v>656</v>
      </c>
      <c r="B71" s="217">
        <f>B70+2</f>
        <v>45</v>
      </c>
      <c r="C71" s="645"/>
      <c r="D71" s="647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645"/>
      <c r="P71" s="647"/>
      <c r="Q71" s="217"/>
      <c r="R71" s="239" t="s">
        <v>656</v>
      </c>
    </row>
    <row r="72" spans="1:18">
      <c r="A72" s="216" t="s">
        <v>657</v>
      </c>
      <c r="B72" s="217">
        <f>B71+2</f>
        <v>47</v>
      </c>
      <c r="C72" s="679"/>
      <c r="D72" s="680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79"/>
      <c r="P72" s="680"/>
      <c r="Q72" s="217"/>
      <c r="R72" s="239" t="s">
        <v>657</v>
      </c>
    </row>
    <row r="73" spans="1:18">
      <c r="A73" s="216"/>
      <c r="B73" s="217"/>
      <c r="C73" s="679"/>
      <c r="D73" s="680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79"/>
      <c r="P73" s="680"/>
      <c r="Q73" s="217"/>
    </row>
    <row r="74" spans="1:18">
      <c r="A74" s="216"/>
      <c r="B74" s="139"/>
      <c r="C74" s="141"/>
      <c r="D74" s="141"/>
      <c r="E74" s="681" t="s">
        <v>659</v>
      </c>
      <c r="F74" s="681"/>
      <c r="G74" s="682">
        <f>SUM(G49:H73)</f>
        <v>0</v>
      </c>
      <c r="H74" s="682"/>
      <c r="I74" s="682">
        <f>SUM(I49:J73)</f>
        <v>0</v>
      </c>
      <c r="J74" s="682"/>
      <c r="K74" s="682">
        <f>SUM(K49:L73)</f>
        <v>0</v>
      </c>
      <c r="L74" s="682"/>
      <c r="M74" s="141" t="s">
        <v>660</v>
      </c>
      <c r="N74" s="141"/>
      <c r="O74" s="683">
        <f>SUM(G49:L73)</f>
        <v>0</v>
      </c>
      <c r="P74" s="684"/>
      <c r="Q74" s="142"/>
    </row>
    <row r="75" spans="1:18">
      <c r="B75" s="143"/>
      <c r="E75" s="675" t="s">
        <v>661</v>
      </c>
      <c r="F75" s="675"/>
      <c r="G75" s="676">
        <f>G74*1.25</f>
        <v>0</v>
      </c>
      <c r="H75" s="676"/>
      <c r="I75" s="676">
        <f>I74*1.25</f>
        <v>0</v>
      </c>
      <c r="J75" s="676"/>
      <c r="K75" s="676">
        <f>K74*1.25</f>
        <v>0</v>
      </c>
      <c r="L75" s="676"/>
      <c r="M75" s="239" t="s">
        <v>662</v>
      </c>
      <c r="N75" s="239"/>
      <c r="O75" s="677">
        <f>O74</f>
        <v>0</v>
      </c>
      <c r="P75" s="630"/>
      <c r="Q75" s="144"/>
    </row>
    <row r="76" spans="1:18">
      <c r="B76" s="143"/>
      <c r="E76" s="675" t="s">
        <v>663</v>
      </c>
      <c r="F76" s="675"/>
      <c r="G76" s="678">
        <f>IF(MAX(G75:L75)=G75,G75,0)</f>
        <v>0</v>
      </c>
      <c r="H76" s="678"/>
      <c r="I76" s="678">
        <f>IF(MAX(G75:L75)=I75,I75,0)</f>
        <v>0</v>
      </c>
      <c r="J76" s="678"/>
      <c r="K76" s="678">
        <f>IF(MAX(G75:L75)=K75,K75,0)</f>
        <v>0</v>
      </c>
      <c r="L76" s="678"/>
      <c r="M76" s="239" t="s">
        <v>664</v>
      </c>
      <c r="N76" s="239"/>
      <c r="O76" s="630">
        <f>O75/L43/1.732</f>
        <v>0</v>
      </c>
      <c r="P76" s="630"/>
      <c r="Q76" s="144"/>
    </row>
    <row r="77" spans="1:18">
      <c r="B77" s="145"/>
      <c r="C77" s="147"/>
      <c r="D77" s="147"/>
      <c r="E77" s="672" t="s">
        <v>665</v>
      </c>
      <c r="F77" s="672"/>
      <c r="G77" s="673">
        <f>G76/277</f>
        <v>0</v>
      </c>
      <c r="H77" s="673"/>
      <c r="I77" s="673">
        <f>I76/277</f>
        <v>0</v>
      </c>
      <c r="J77" s="673"/>
      <c r="K77" s="673">
        <f>K76/277</f>
        <v>0</v>
      </c>
      <c r="L77" s="673"/>
      <c r="M77" s="147" t="s">
        <v>666</v>
      </c>
      <c r="N77" s="147"/>
      <c r="O77" s="674">
        <f>_xlfn.IFS(O76&lt;201,200,O76&lt;401,400,O76&lt;601,600,O76&lt;801,800,O76&lt;1001,1000,O76&lt;1201,1200,O76&lt;1601,1600,O76&lt;2001,2000,O76&lt;3001,3000,O76&lt;4001,4000,O76&lt;5001,5000,O76&lt;6001,6000)</f>
        <v>200</v>
      </c>
      <c r="P77" s="674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97" t="s">
        <v>406</v>
      </c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Q2" s="293"/>
      <c r="R2" s="294"/>
      <c r="S2" s="295" t="s">
        <v>407</v>
      </c>
      <c r="T2" s="294"/>
      <c r="U2" s="294"/>
      <c r="V2" s="294"/>
      <c r="W2" s="296" t="s">
        <v>407</v>
      </c>
      <c r="X2" s="294"/>
      <c r="Y2" s="297"/>
      <c r="AC2" s="292" t="s">
        <v>408</v>
      </c>
    </row>
    <row r="3" spans="2:39" ht="16.5" thickBot="1"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292"/>
      <c r="P3" s="292"/>
      <c r="Q3" s="298" t="s">
        <v>409</v>
      </c>
      <c r="S3" s="299">
        <v>46101</v>
      </c>
      <c r="U3" s="298" t="s">
        <v>410</v>
      </c>
      <c r="W3" s="299">
        <v>46101</v>
      </c>
      <c r="Y3" s="300"/>
      <c r="AC3" s="699" t="s">
        <v>411</v>
      </c>
      <c r="AD3" s="700"/>
      <c r="AE3" s="701"/>
      <c r="AF3" s="182"/>
      <c r="AG3" s="702" t="s">
        <v>412</v>
      </c>
      <c r="AH3" s="703"/>
      <c r="AI3" s="704"/>
      <c r="AJ3" s="182"/>
      <c r="AK3" s="183" t="s">
        <v>413</v>
      </c>
      <c r="AL3" s="184"/>
      <c r="AM3" s="185" t="s">
        <v>410</v>
      </c>
    </row>
    <row r="4" spans="2:39" ht="15.75" thickBot="1">
      <c r="B4" s="290" t="s">
        <v>414</v>
      </c>
      <c r="C4" s="301" t="s">
        <v>84</v>
      </c>
      <c r="D4" s="302" t="s">
        <v>415</v>
      </c>
      <c r="E4" s="303" t="s">
        <v>416</v>
      </c>
      <c r="F4" s="304" t="s">
        <v>417</v>
      </c>
      <c r="G4" s="305" t="s">
        <v>418</v>
      </c>
      <c r="H4" s="304" t="s">
        <v>419</v>
      </c>
      <c r="I4" s="304" t="s">
        <v>420</v>
      </c>
      <c r="J4" s="304" t="s">
        <v>421</v>
      </c>
      <c r="K4" s="305" t="s">
        <v>422</v>
      </c>
      <c r="L4" s="304" t="s">
        <v>423</v>
      </c>
      <c r="M4" s="306" t="s">
        <v>419</v>
      </c>
      <c r="N4" s="307" t="s">
        <v>420</v>
      </c>
      <c r="O4" s="292"/>
      <c r="P4" s="292"/>
      <c r="Q4" s="308" t="s">
        <v>424</v>
      </c>
      <c r="R4" s="309" t="s">
        <v>54</v>
      </c>
      <c r="S4" s="310" t="s">
        <v>425</v>
      </c>
      <c r="T4" s="309" t="s">
        <v>56</v>
      </c>
      <c r="U4" s="311" t="s">
        <v>426</v>
      </c>
      <c r="V4" s="309" t="s">
        <v>54</v>
      </c>
      <c r="W4" s="310" t="s">
        <v>425</v>
      </c>
      <c r="X4" s="309" t="s">
        <v>56</v>
      </c>
      <c r="Y4" s="312" t="s">
        <v>20</v>
      </c>
      <c r="AC4" s="186" t="s">
        <v>427</v>
      </c>
      <c r="AD4" s="187" t="s">
        <v>428</v>
      </c>
      <c r="AE4" s="188" t="s">
        <v>429</v>
      </c>
      <c r="AF4" s="182"/>
      <c r="AG4" s="189" t="s">
        <v>427</v>
      </c>
      <c r="AH4" s="190" t="s">
        <v>428</v>
      </c>
      <c r="AI4" s="191" t="s">
        <v>429</v>
      </c>
      <c r="AJ4" s="182"/>
      <c r="AK4" s="192" t="s">
        <v>427</v>
      </c>
      <c r="AL4" s="313" t="s">
        <v>430</v>
      </c>
      <c r="AM4" s="193" t="s">
        <v>431</v>
      </c>
    </row>
    <row r="5" spans="2:39" ht="15.75" thickBot="1">
      <c r="C5" s="314" t="s">
        <v>432</v>
      </c>
      <c r="D5" s="315">
        <v>0</v>
      </c>
      <c r="E5" s="316">
        <v>0</v>
      </c>
      <c r="F5" s="315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>
        <f>H5</f>
        <v>0</v>
      </c>
      <c r="K5" s="317" t="s">
        <v>433</v>
      </c>
      <c r="L5" s="318">
        <f>J5</f>
        <v>0</v>
      </c>
      <c r="M5" s="320">
        <f>L5</f>
        <v>0</v>
      </c>
      <c r="N5" s="321" t="s">
        <v>434</v>
      </c>
      <c r="O5" s="292"/>
      <c r="P5" s="292"/>
      <c r="Q5" s="322" t="s">
        <v>433</v>
      </c>
      <c r="R5" s="323">
        <f>SUMIF($G$5:$G$27,Q5,$F$5:$F$27)+SUMIF($G$33:$G$38,Q5,$F$33:$F$38)+SUMIF($G$44:$G$64,Q5,$F$44:$F$64)+SUMIF($K$5:$K$27,Q5,$J$5:$J$27)+SUMIF($K$44:$K$64,Q5,$J$44:$J$64)+SUMIF($K$33:$K$38,Q5,$J$33:$J$38)</f>
        <v>0</v>
      </c>
      <c r="S5" s="324">
        <f>_xlfn.IFS($Q$3="Cu",IF( AE6="","",AE6/1000),$Q$3="Al",IF(AI5="","",AI5/1000))</f>
        <v>0.30329</v>
      </c>
      <c r="T5" s="325">
        <f t="shared" ref="T5:T17" si="0">IF(S5="",0,R5*S5)</f>
        <v>0</v>
      </c>
      <c r="U5" s="326" t="s">
        <v>435</v>
      </c>
      <c r="V5" s="327">
        <f>SUMIF($N$5:$N$27,U5,$M$5:$M$27)+SUMIF($I$33:I$38,U5,H$33:H$38)+SUMIF(I$5:I$27,U5,H$5:H$27)+SUMIF(I$44:I$64,U5,H$44:H$64)+SUMIF(N$44:N$64,U5,M$44:M$64)</f>
        <v>0</v>
      </c>
      <c r="W5" s="328">
        <f>IF($U$3="PVC",AM6,AL6)/100</f>
        <v>0.2445</v>
      </c>
      <c r="X5" s="329">
        <f>V5*W5</f>
        <v>0</v>
      </c>
      <c r="Y5" s="330">
        <f>T5+X5</f>
        <v>0</v>
      </c>
      <c r="AC5" s="230" t="s">
        <v>436</v>
      </c>
      <c r="AD5" s="231" t="s">
        <v>437</v>
      </c>
      <c r="AE5" s="232">
        <v>289.60000000000002</v>
      </c>
      <c r="AF5" s="182"/>
      <c r="AG5" s="197">
        <v>10</v>
      </c>
      <c r="AH5" s="198" t="s">
        <v>438</v>
      </c>
      <c r="AI5" s="196">
        <v>280</v>
      </c>
      <c r="AJ5" s="182"/>
      <c r="AK5" s="200" t="s">
        <v>439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440</v>
      </c>
      <c r="R6" s="323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>
        <f t="shared" ref="S6:S8" si="2">_xlfn.IFS($Q$3="Cu",IF( AE7="","",AE7/1000),$Q$3="Al",IF(AI6="","",AI6/1000))</f>
        <v>0.56613000000000002</v>
      </c>
      <c r="T6" s="325">
        <f t="shared" si="0"/>
        <v>0</v>
      </c>
      <c r="U6" s="326" t="s">
        <v>434</v>
      </c>
      <c r="V6" s="327">
        <f>SUMIF($N$5:$N$27,U6,$M$5:$M$27)+SUMIF($I$33:I$38,U6,H$33:H$38)+SUMIF(I$5:I$27,U6,H$5:H$27)+SUMIF(I$44:I$64,U6,H$44:H$64)+SUMIF(N$44:N$64,U6,M$44:M$64)</f>
        <v>15</v>
      </c>
      <c r="W6" s="328">
        <f t="shared" ref="W6:W14" si="3">IF($U$3="PVC",AM7,AL7)/100</f>
        <v>0.29120000000000001</v>
      </c>
      <c r="X6" s="291">
        <f t="shared" ref="X6:X14" si="4">V6*W6</f>
        <v>4.3680000000000003</v>
      </c>
      <c r="Y6" s="330">
        <f t="shared" ref="Y6:Y26" si="5">T6+X6</f>
        <v>4.3680000000000003</v>
      </c>
      <c r="AC6" s="230" t="s">
        <v>441</v>
      </c>
      <c r="AD6" s="231" t="s">
        <v>437</v>
      </c>
      <c r="AE6" s="232">
        <v>303.29000000000002</v>
      </c>
      <c r="AF6" s="182"/>
      <c r="AG6" s="197">
        <v>8</v>
      </c>
      <c r="AH6" s="198" t="s">
        <v>438</v>
      </c>
      <c r="AI6" s="199" t="s">
        <v>378</v>
      </c>
      <c r="AJ6" s="182"/>
      <c r="AK6" s="200" t="s">
        <v>442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443</v>
      </c>
      <c r="R7" s="323">
        <f t="shared" si="1"/>
        <v>15</v>
      </c>
      <c r="S7" s="324">
        <f t="shared" si="2"/>
        <v>0.87103999999999993</v>
      </c>
      <c r="T7" s="325">
        <f t="shared" si="0"/>
        <v>13.065599999999998</v>
      </c>
      <c r="U7" s="326" t="s">
        <v>444</v>
      </c>
      <c r="V7" s="327">
        <f>SUMIF($N$5:$N$27,U7,$M$5:$M$27)+SUMIF($I$33:I$38,U7,H$33:H$38)+SUMIF(I$5:I$27,U7,H$5:H$27)+SUMIF(I$44:I$64,U7,H$44:H$64)+SUMIF(N$44:N$64,U7,M$44:M$64)</f>
        <v>0</v>
      </c>
      <c r="W7" s="328">
        <f t="shared" si="3"/>
        <v>0.4698</v>
      </c>
      <c r="X7" s="291">
        <f t="shared" si="4"/>
        <v>0</v>
      </c>
      <c r="Y7" s="330">
        <f t="shared" si="5"/>
        <v>13.065599999999998</v>
      </c>
      <c r="AC7" s="194" t="s">
        <v>445</v>
      </c>
      <c r="AD7" s="231" t="s">
        <v>437</v>
      </c>
      <c r="AE7" s="232">
        <v>566.13</v>
      </c>
      <c r="AF7" s="182"/>
      <c r="AG7" s="197">
        <v>6</v>
      </c>
      <c r="AH7" s="231" t="s">
        <v>438</v>
      </c>
      <c r="AI7" s="232">
        <v>306.36</v>
      </c>
      <c r="AJ7" s="182"/>
      <c r="AK7" s="203" t="s">
        <v>446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447</v>
      </c>
      <c r="R8" s="323">
        <f t="shared" si="1"/>
        <v>0</v>
      </c>
      <c r="S8" s="324">
        <f t="shared" si="2"/>
        <v>1.3329300000000002</v>
      </c>
      <c r="T8" s="325">
        <f t="shared" si="0"/>
        <v>0</v>
      </c>
      <c r="U8" s="326" t="s">
        <v>448</v>
      </c>
      <c r="V8" s="327">
        <f>SUMIF($N$5:$N$27,U8,$M$5:$M$27)+SUMIF($I$33:I$38,U8,H$33:H$38)+SUMIF(I$5:I$27,U8,H$5:H$27)+SUMIF(I$44:I$64,U8,H$44:H$64)+SUMIF(N$44:N$64,U8,M$44:M$64)</f>
        <v>0</v>
      </c>
      <c r="W8" s="328">
        <f t="shared" si="3"/>
        <v>0.61549999999999994</v>
      </c>
      <c r="X8" s="291">
        <f t="shared" si="4"/>
        <v>0</v>
      </c>
      <c r="Y8" s="330">
        <f t="shared" si="5"/>
        <v>0</v>
      </c>
      <c r="AC8" s="194" t="s">
        <v>449</v>
      </c>
      <c r="AD8" s="231" t="s">
        <v>437</v>
      </c>
      <c r="AE8" s="232">
        <v>871.04</v>
      </c>
      <c r="AF8" s="182"/>
      <c r="AG8" s="197">
        <v>4</v>
      </c>
      <c r="AH8" s="231" t="s">
        <v>438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450</v>
      </c>
      <c r="R9" s="323">
        <f t="shared" si="1"/>
        <v>0</v>
      </c>
      <c r="S9" s="324">
        <f t="shared" ref="S9:S26" si="6">_xlfn.IFS($Q$3="Cu",IF( AE11="","",AE11/1000),$Q$3="Al",IF(AI10="","",AI10/1000))</f>
        <v>2.1044</v>
      </c>
      <c r="T9" s="325">
        <f t="shared" si="0"/>
        <v>0</v>
      </c>
      <c r="U9" s="326" t="s">
        <v>451</v>
      </c>
      <c r="V9" s="327">
        <f>SUMIF($N$5:$N$27,U9,$M$5:$M$27)+SUMIF($I$33:I$38,U9,H$33:H$38)+SUMIF(I$5:I$27,U9,H$5:H$27)+SUMIF(I$44:I$64,U9,H$44:H$64)+SUMIF(N$44:N$64,U9,M$44:M$64)</f>
        <v>0</v>
      </c>
      <c r="W9" s="328">
        <f t="shared" si="3"/>
        <v>0.71290000000000009</v>
      </c>
      <c r="X9" s="291">
        <f t="shared" si="4"/>
        <v>0</v>
      </c>
      <c r="Y9" s="330">
        <f t="shared" si="5"/>
        <v>0</v>
      </c>
      <c r="AC9" s="194" t="s">
        <v>452</v>
      </c>
      <c r="AD9" s="231" t="s">
        <v>437</v>
      </c>
      <c r="AE9" s="232">
        <v>1332.93</v>
      </c>
      <c r="AF9" s="182"/>
      <c r="AG9" s="197" t="s">
        <v>453</v>
      </c>
      <c r="AH9" s="231" t="s">
        <v>438</v>
      </c>
      <c r="AI9" s="232">
        <v>366.81</v>
      </c>
      <c r="AJ9" s="182"/>
      <c r="AK9" s="203" t="s">
        <v>454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455</v>
      </c>
      <c r="R10" s="323">
        <f t="shared" si="1"/>
        <v>0</v>
      </c>
      <c r="S10" s="324">
        <f t="shared" si="6"/>
        <v>2.3983300000000001</v>
      </c>
      <c r="T10" s="325">
        <f>IF(S10="",0,R10*S10)</f>
        <v>0</v>
      </c>
      <c r="U10" s="326" t="s">
        <v>456</v>
      </c>
      <c r="V10" s="327">
        <f>SUMIF($N$5:$N$27,U10,$M$5:$M$27)+SUMIF($I$33:I$38,U10,H$33:H$38)+SUMIF(I$5:I$27,U10,H$5:H$27)+SUMIF(I$44:I$64,U10,H$44:H$64)+SUMIF(N$44:N$64,U10,M$44:M$64)</f>
        <v>15</v>
      </c>
      <c r="W10" s="328">
        <f t="shared" si="3"/>
        <v>0.88969999999999994</v>
      </c>
      <c r="X10" s="291">
        <f t="shared" si="4"/>
        <v>13.345499999999999</v>
      </c>
      <c r="Y10" s="330">
        <f t="shared" si="5"/>
        <v>13.345499999999999</v>
      </c>
      <c r="AC10" s="197" t="s">
        <v>453</v>
      </c>
      <c r="AD10" s="231" t="s">
        <v>457</v>
      </c>
      <c r="AE10" s="232">
        <v>1681.26</v>
      </c>
      <c r="AF10" s="182"/>
      <c r="AG10" s="197">
        <v>2</v>
      </c>
      <c r="AH10" s="231" t="s">
        <v>438</v>
      </c>
      <c r="AI10" s="232">
        <v>482.1</v>
      </c>
      <c r="AJ10" s="182"/>
      <c r="AK10" s="203" t="s">
        <v>458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459</v>
      </c>
      <c r="R11" s="323">
        <f t="shared" si="1"/>
        <v>0</v>
      </c>
      <c r="S11" s="324">
        <f t="shared" si="6"/>
        <v>2.9530400000000001</v>
      </c>
      <c r="T11" s="325">
        <f t="shared" si="0"/>
        <v>0</v>
      </c>
      <c r="U11" s="326" t="s">
        <v>460</v>
      </c>
      <c r="V11" s="327">
        <f>SUMIF($N$5:$N$27,U11,$M$5:$M$27)+SUMIF($I$33:I$38,U11,H$33:H$38)+SUMIF(I$5:I$27,U11,H$5:H$27)+SUMIF(I$44:I$64,U11,H$44:H$64)+SUMIF(N$44:N$64,U11,M$44:M$64)</f>
        <v>0</v>
      </c>
      <c r="W11" s="328">
        <f t="shared" si="3"/>
        <v>1.3959999999999999</v>
      </c>
      <c r="X11" s="291">
        <f t="shared" si="4"/>
        <v>0</v>
      </c>
      <c r="Y11" s="330">
        <f t="shared" si="5"/>
        <v>0</v>
      </c>
      <c r="AC11" s="194" t="s">
        <v>461</v>
      </c>
      <c r="AD11" s="231" t="s">
        <v>457</v>
      </c>
      <c r="AE11" s="232">
        <v>2104.4</v>
      </c>
      <c r="AF11" s="182"/>
      <c r="AG11" s="197">
        <v>1</v>
      </c>
      <c r="AH11" s="231" t="s">
        <v>438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462</v>
      </c>
      <c r="R12" s="323">
        <f t="shared" si="1"/>
        <v>0</v>
      </c>
      <c r="S12" s="324">
        <f t="shared" si="6"/>
        <v>3.6375799999999998</v>
      </c>
      <c r="T12" s="325">
        <f t="shared" si="0"/>
        <v>0</v>
      </c>
      <c r="U12" s="326" t="s">
        <v>463</v>
      </c>
      <c r="V12" s="327">
        <f>SUMIF($N$5:$N$27,U12,$M$5:$M$27)+SUMIF($I$33:I$38,U12,H$33:H$38)+SUMIF(I$5:I$27,U12,H$5:H$27)+SUMIF(I$44:I$64,U12,H$44:H$64)+SUMIF(N$44:N$64,U12,M$44:M$64)</f>
        <v>0</v>
      </c>
      <c r="W12" s="328">
        <f t="shared" si="3"/>
        <v>1.7033</v>
      </c>
      <c r="X12" s="329">
        <f>V12*W12</f>
        <v>0</v>
      </c>
      <c r="Y12" s="330">
        <f>T12+X12</f>
        <v>0</v>
      </c>
      <c r="AC12" s="194" t="s">
        <v>464</v>
      </c>
      <c r="AD12" s="231" t="s">
        <v>457</v>
      </c>
      <c r="AE12" s="232">
        <v>2398.33</v>
      </c>
      <c r="AF12" s="182"/>
      <c r="AG12" s="197" t="s">
        <v>465</v>
      </c>
      <c r="AH12" s="231" t="s">
        <v>438</v>
      </c>
      <c r="AI12" s="232">
        <v>750.45</v>
      </c>
      <c r="AJ12" s="182"/>
      <c r="AK12" s="203" t="s">
        <v>466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467</v>
      </c>
      <c r="R13" s="323">
        <f>SUMIF($G$5:$G$27,Q13,$F$5:$F$27)+SUMIF($G$33:$G$38,Q13,$F$33:$F$38)+SUMIF($G$44:$G$64,Q13,$F$44:$F$64)+SUMIF($K$5:$K$27,Q13,$J$5:$J$27)+SUMIF($K$44:$K$64,Q13,$J$44:$J$64)+SUMIF($K$33:$K$38,Q13,$J$33:$J$38)</f>
        <v>45</v>
      </c>
      <c r="S13" s="324">
        <f t="shared" si="6"/>
        <v>4.5658000000000003</v>
      </c>
      <c r="T13" s="325">
        <f t="shared" si="0"/>
        <v>205.46100000000001</v>
      </c>
      <c r="U13" s="326" t="s">
        <v>468</v>
      </c>
      <c r="V13" s="327">
        <f>SUMIF($N$5:$N$27,U13,$M$5:$M$27)+SUMIF($I$33:I$38,U13,H$33:H$38)+SUMIF(I$5:I$27,U13,H$5:H$27)+SUMIF(I$44:I$64,U13,H$44:H$64)+SUMIF(N$44:N$64,U13,M$44:M$64)</f>
        <v>0</v>
      </c>
      <c r="W13" s="328">
        <f t="shared" si="3"/>
        <v>2.25</v>
      </c>
      <c r="X13" s="291">
        <f>V13*W13</f>
        <v>0</v>
      </c>
      <c r="Y13" s="330">
        <f t="shared" si="5"/>
        <v>205.46100000000001</v>
      </c>
      <c r="AC13" s="205" t="s">
        <v>465</v>
      </c>
      <c r="AD13" s="231" t="s">
        <v>457</v>
      </c>
      <c r="AE13" s="232">
        <v>2953.04</v>
      </c>
      <c r="AF13" s="182"/>
      <c r="AG13" s="206" t="s">
        <v>469</v>
      </c>
      <c r="AH13" s="231" t="s">
        <v>438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470</v>
      </c>
      <c r="R14" s="323">
        <f t="shared" si="1"/>
        <v>0</v>
      </c>
      <c r="S14" s="324">
        <f t="shared" si="6"/>
        <v>5.7304499999999994</v>
      </c>
      <c r="T14" s="325">
        <f t="shared" si="0"/>
        <v>0</v>
      </c>
      <c r="U14" s="326" t="s">
        <v>471</v>
      </c>
      <c r="V14" s="327">
        <f>SUMIF($N$5:$N$27,U14,$M$5:$M$27)+SUMIF($I$33:I$38,U14,H$33:H$38)+SUMIF(I$5:I$27,U14,H$5:H$27)+SUMIF(I$44:I$64,U14,H$44:H$64)+SUMIF(N$44:N$64,U14,M$44:M$64)</f>
        <v>0</v>
      </c>
      <c r="W14" s="328">
        <f t="shared" si="3"/>
        <v>2.3163999999999998</v>
      </c>
      <c r="X14" s="291">
        <f t="shared" si="4"/>
        <v>0</v>
      </c>
      <c r="Y14" s="330">
        <f t="shared" si="5"/>
        <v>0</v>
      </c>
      <c r="AC14" s="205" t="s">
        <v>469</v>
      </c>
      <c r="AD14" s="231" t="s">
        <v>457</v>
      </c>
      <c r="AE14" s="232">
        <v>3637.58</v>
      </c>
      <c r="AF14" s="182"/>
      <c r="AG14" s="206" t="s">
        <v>472</v>
      </c>
      <c r="AH14" s="231" t="s">
        <v>438</v>
      </c>
      <c r="AI14" s="232">
        <v>1099.56</v>
      </c>
      <c r="AJ14" s="182"/>
      <c r="AK14" s="203" t="s">
        <v>473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474</v>
      </c>
      <c r="R15" s="323">
        <f t="shared" si="1"/>
        <v>0</v>
      </c>
      <c r="S15" s="324">
        <f t="shared" si="6"/>
        <v>6.6401599999999998</v>
      </c>
      <c r="T15" s="325">
        <f t="shared" si="0"/>
        <v>0</v>
      </c>
      <c r="U15" s="326" t="s">
        <v>475</v>
      </c>
      <c r="V15" s="327">
        <f>SUMIF($N$5:$N$27,U15,$M$5:$M$27)+SUMIF($I$33:I$38,U15,H$33:H$38)+SUMIF(I$5:I$27,U15,H$5:H$27)+SUMIF(I$44:I$64,U15,H$44:H$64)+SUMIF(N$44:N$64,U15,M$44:M$64)</f>
        <v>0</v>
      </c>
      <c r="W15" s="328">
        <f>IF($U$3="PVC",AM16,AL16)/100</f>
        <v>3.3106</v>
      </c>
      <c r="X15" s="291">
        <f>V15*W15</f>
        <v>0</v>
      </c>
      <c r="Y15" s="330">
        <f t="shared" si="5"/>
        <v>0</v>
      </c>
      <c r="AC15" s="205" t="s">
        <v>472</v>
      </c>
      <c r="AD15" s="231" t="s">
        <v>457</v>
      </c>
      <c r="AE15" s="232">
        <v>4565.8</v>
      </c>
      <c r="AF15" s="182"/>
      <c r="AG15" s="206" t="s">
        <v>476</v>
      </c>
      <c r="AH15" s="231" t="s">
        <v>438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477</v>
      </c>
      <c r="R16" s="323">
        <f t="shared" si="1"/>
        <v>0</v>
      </c>
      <c r="S16" s="324">
        <f t="shared" si="6"/>
        <v>7.9631999999999996</v>
      </c>
      <c r="T16" s="325">
        <f t="shared" si="0"/>
        <v>0</v>
      </c>
      <c r="Y16" s="330">
        <f t="shared" si="5"/>
        <v>0</v>
      </c>
      <c r="AC16" s="205" t="s">
        <v>476</v>
      </c>
      <c r="AD16" s="231" t="s">
        <v>457</v>
      </c>
      <c r="AE16" s="232">
        <v>5730.45</v>
      </c>
      <c r="AF16" s="182"/>
      <c r="AG16" s="206">
        <v>250</v>
      </c>
      <c r="AH16" s="231" t="s">
        <v>438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478</v>
      </c>
      <c r="R17" s="323">
        <f t="shared" si="1"/>
        <v>0</v>
      </c>
      <c r="S17" s="324">
        <f t="shared" si="6"/>
        <v>9.3241599999999991</v>
      </c>
      <c r="T17" s="325">
        <f t="shared" si="0"/>
        <v>0</v>
      </c>
      <c r="Y17" s="330">
        <f t="shared" si="5"/>
        <v>0</v>
      </c>
      <c r="AC17" s="194" t="s">
        <v>479</v>
      </c>
      <c r="AD17" s="231" t="s">
        <v>457</v>
      </c>
      <c r="AE17" s="232">
        <v>6640.16</v>
      </c>
      <c r="AF17" s="207"/>
      <c r="AG17" s="197">
        <v>300</v>
      </c>
      <c r="AH17" s="231" t="s">
        <v>438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480</v>
      </c>
      <c r="R18" s="327">
        <f t="shared" si="1"/>
        <v>0</v>
      </c>
      <c r="S18" s="324">
        <f t="shared" si="6"/>
        <v>10.60671</v>
      </c>
      <c r="T18" s="325">
        <f>IF(S18="",0,R18*S18)</f>
        <v>0</v>
      </c>
      <c r="Y18" s="330">
        <f>T18+X18</f>
        <v>0</v>
      </c>
      <c r="AC18" s="194" t="s">
        <v>481</v>
      </c>
      <c r="AD18" s="231" t="s">
        <v>457</v>
      </c>
      <c r="AE18" s="232">
        <v>7963.2</v>
      </c>
      <c r="AF18" s="207"/>
      <c r="AG18" s="197">
        <v>350</v>
      </c>
      <c r="AH18" s="231" t="s">
        <v>438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482</v>
      </c>
      <c r="R19" s="327">
        <f t="shared" si="1"/>
        <v>0</v>
      </c>
      <c r="S19" s="324">
        <f t="shared" si="6"/>
        <v>11.334</v>
      </c>
      <c r="T19" s="325">
        <f>IF(S19="",0,R19*S19)</f>
        <v>0</v>
      </c>
      <c r="Y19" s="330">
        <f t="shared" si="5"/>
        <v>0</v>
      </c>
      <c r="AC19" s="194" t="s">
        <v>483</v>
      </c>
      <c r="AD19" s="231" t="s">
        <v>457</v>
      </c>
      <c r="AE19" s="232">
        <v>9324.16</v>
      </c>
      <c r="AF19" s="207"/>
      <c r="AG19" s="197">
        <v>400</v>
      </c>
      <c r="AH19" s="231" t="s">
        <v>438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484</v>
      </c>
      <c r="R20" s="327">
        <f t="shared" si="1"/>
        <v>0</v>
      </c>
      <c r="S20" s="324">
        <f t="shared" si="6"/>
        <v>13.30059</v>
      </c>
      <c r="T20" s="325">
        <f t="shared" ref="T20:T26" si="7">IF(S20="",0,R20*S20)</f>
        <v>0</v>
      </c>
      <c r="Y20" s="330">
        <f t="shared" si="5"/>
        <v>0</v>
      </c>
      <c r="AC20" s="194" t="s">
        <v>485</v>
      </c>
      <c r="AD20" s="231" t="s">
        <v>457</v>
      </c>
      <c r="AE20" s="232">
        <v>10606.71</v>
      </c>
      <c r="AF20" s="207"/>
      <c r="AG20" s="197">
        <v>450</v>
      </c>
      <c r="AH20" s="198" t="s">
        <v>438</v>
      </c>
      <c r="AI20" s="199" t="s">
        <v>378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486</v>
      </c>
      <c r="R21" s="327">
        <f t="shared" si="1"/>
        <v>0</v>
      </c>
      <c r="S21" s="324">
        <f t="shared" si="6"/>
        <v>16.573820000000001</v>
      </c>
      <c r="T21" s="325">
        <f t="shared" si="7"/>
        <v>0</v>
      </c>
      <c r="Y21" s="330">
        <f t="shared" si="5"/>
        <v>0</v>
      </c>
      <c r="AC21" s="194" t="s">
        <v>487</v>
      </c>
      <c r="AD21" s="231" t="s">
        <v>457</v>
      </c>
      <c r="AE21" s="252">
        <v>11334</v>
      </c>
      <c r="AF21" s="207"/>
      <c r="AG21" s="197">
        <v>500</v>
      </c>
      <c r="AH21" s="231" t="s">
        <v>438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488</v>
      </c>
      <c r="R22" s="327">
        <f t="shared" si="1"/>
        <v>0</v>
      </c>
      <c r="S22" s="324" t="str">
        <f t="shared" si="6"/>
        <v/>
      </c>
      <c r="T22" s="325">
        <f t="shared" si="7"/>
        <v>0</v>
      </c>
      <c r="Y22" s="330">
        <f t="shared" si="5"/>
        <v>0</v>
      </c>
      <c r="AC22" s="194" t="s">
        <v>489</v>
      </c>
      <c r="AD22" s="236" t="s">
        <v>457</v>
      </c>
      <c r="AE22" s="237">
        <v>13300.59</v>
      </c>
      <c r="AF22" s="207"/>
      <c r="AG22" s="197">
        <v>600</v>
      </c>
      <c r="AH22" s="231" t="s">
        <v>438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490</v>
      </c>
      <c r="R23" s="323">
        <f t="shared" si="1"/>
        <v>0</v>
      </c>
      <c r="S23" s="324">
        <f t="shared" si="6"/>
        <v>25.920999999999999</v>
      </c>
      <c r="T23" s="325">
        <f t="shared" si="7"/>
        <v>0</v>
      </c>
      <c r="Y23" s="330">
        <f t="shared" si="5"/>
        <v>0</v>
      </c>
      <c r="AC23" s="194" t="s">
        <v>491</v>
      </c>
      <c r="AD23" s="195" t="s">
        <v>437</v>
      </c>
      <c r="AE23" s="196">
        <v>16573.82</v>
      </c>
      <c r="AF23" s="207"/>
      <c r="AG23" s="197">
        <v>700</v>
      </c>
      <c r="AH23" s="231" t="s">
        <v>438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492</v>
      </c>
      <c r="R24" s="323">
        <f t="shared" si="1"/>
        <v>0</v>
      </c>
      <c r="S24" s="324" t="str">
        <f t="shared" si="6"/>
        <v/>
      </c>
      <c r="T24" s="325">
        <f t="shared" si="7"/>
        <v>0</v>
      </c>
      <c r="Y24" s="330">
        <f t="shared" si="5"/>
        <v>0</v>
      </c>
      <c r="AC24" s="194" t="s">
        <v>493</v>
      </c>
      <c r="AD24" s="195" t="s">
        <v>437</v>
      </c>
      <c r="AE24" s="201" t="s">
        <v>378</v>
      </c>
      <c r="AF24" s="207"/>
      <c r="AG24" s="197">
        <v>750</v>
      </c>
      <c r="AH24" s="231" t="s">
        <v>438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494</v>
      </c>
      <c r="R25" s="323">
        <f t="shared" si="1"/>
        <v>0</v>
      </c>
      <c r="S25" s="324" t="str">
        <f t="shared" si="6"/>
        <v/>
      </c>
      <c r="T25" s="325">
        <f t="shared" si="7"/>
        <v>0</v>
      </c>
      <c r="Y25" s="330">
        <f>T25+X25</f>
        <v>0</v>
      </c>
      <c r="AC25" s="194" t="s">
        <v>495</v>
      </c>
      <c r="AD25" s="195" t="s">
        <v>437</v>
      </c>
      <c r="AE25" s="201">
        <v>25921</v>
      </c>
      <c r="AF25" s="207"/>
      <c r="AG25" s="206">
        <v>800</v>
      </c>
      <c r="AH25" s="198" t="s">
        <v>438</v>
      </c>
      <c r="AI25" s="201" t="s">
        <v>378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496</v>
      </c>
      <c r="R26" s="323">
        <f t="shared" si="1"/>
        <v>0</v>
      </c>
      <c r="S26" s="324">
        <f t="shared" si="6"/>
        <v>34.398000000000003</v>
      </c>
      <c r="T26" s="325">
        <f t="shared" si="7"/>
        <v>0</v>
      </c>
      <c r="Y26" s="330">
        <f t="shared" si="5"/>
        <v>0</v>
      </c>
      <c r="AC26" s="194" t="s">
        <v>497</v>
      </c>
      <c r="AD26" s="195" t="s">
        <v>437</v>
      </c>
      <c r="AE26" s="201" t="s">
        <v>378</v>
      </c>
      <c r="AF26" s="207"/>
      <c r="AG26" s="206">
        <v>900</v>
      </c>
      <c r="AH26" s="198" t="s">
        <v>438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>
        <f>SUM(Y5:Y26)+SUM(Y33:Y54)</f>
        <v>236.24010000000001</v>
      </c>
      <c r="AC27" s="194" t="s">
        <v>498</v>
      </c>
      <c r="AD27" s="195" t="s">
        <v>437</v>
      </c>
      <c r="AE27" s="201" t="s">
        <v>378</v>
      </c>
      <c r="AF27" s="207"/>
      <c r="AG27" s="211">
        <v>1000</v>
      </c>
      <c r="AH27" s="236" t="s">
        <v>438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56</v>
      </c>
      <c r="D28" s="338"/>
      <c r="E28" s="339">
        <f>SUM(E5:E27)</f>
        <v>0</v>
      </c>
      <c r="F28" s="338">
        <f>SUM(F5:F27)</f>
        <v>0</v>
      </c>
      <c r="G28" s="340"/>
      <c r="H28" s="338">
        <f>SUM(H5:H27)</f>
        <v>0</v>
      </c>
      <c r="I28" s="338"/>
      <c r="J28" s="338">
        <f>MAX(J5:J27)</f>
        <v>0</v>
      </c>
      <c r="K28" s="340"/>
      <c r="L28" s="338">
        <f>SUM(L5:L27)</f>
        <v>0</v>
      </c>
      <c r="M28" s="338">
        <f>SUM(M5:M27)</f>
        <v>0</v>
      </c>
      <c r="N28" s="341"/>
      <c r="O28" s="292"/>
      <c r="P28" s="292"/>
      <c r="AC28" s="212">
        <v>1000</v>
      </c>
      <c r="AD28" s="213" t="s">
        <v>437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499</v>
      </c>
      <c r="R29" s="343"/>
    </row>
    <row r="30" spans="3:40" ht="15" customHeight="1" thickBot="1">
      <c r="C30" s="697" t="s">
        <v>500</v>
      </c>
      <c r="D30" s="697"/>
      <c r="E30" s="697"/>
      <c r="F30" s="697"/>
      <c r="G30" s="697"/>
      <c r="H30" s="697"/>
      <c r="I30" s="697"/>
      <c r="J30" s="697"/>
      <c r="K30" s="697"/>
      <c r="L30" s="697"/>
      <c r="M30" s="344"/>
      <c r="N30" s="344"/>
      <c r="O30" s="292"/>
      <c r="P30" s="292"/>
      <c r="Q30" s="293"/>
      <c r="R30" s="294"/>
      <c r="S30" s="295" t="s">
        <v>407</v>
      </c>
      <c r="T30" s="294"/>
      <c r="U30" s="294"/>
      <c r="V30" s="294"/>
      <c r="W30" s="296" t="s">
        <v>407</v>
      </c>
      <c r="X30" s="294"/>
      <c r="Y30" s="297"/>
    </row>
    <row r="31" spans="3:40" ht="15.75" customHeight="1" thickBot="1"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344"/>
      <c r="N31" s="344"/>
      <c r="Q31" s="298" t="s">
        <v>501</v>
      </c>
      <c r="S31" s="299">
        <v>46101</v>
      </c>
      <c r="U31" s="298" t="s">
        <v>410</v>
      </c>
      <c r="W31" s="299">
        <v>46101</v>
      </c>
      <c r="Y31" s="300"/>
      <c r="AC31" s="345" t="s">
        <v>502</v>
      </c>
      <c r="AE31" s="292" t="s">
        <v>503</v>
      </c>
      <c r="AK31" s="292" t="s">
        <v>504</v>
      </c>
    </row>
    <row r="32" spans="3:40" ht="15" customHeight="1" thickTop="1" thickBot="1">
      <c r="C32" s="301" t="s">
        <v>505</v>
      </c>
      <c r="D32" s="302" t="s">
        <v>506</v>
      </c>
      <c r="E32" s="303" t="s">
        <v>416</v>
      </c>
      <c r="F32" s="304" t="s">
        <v>417</v>
      </c>
      <c r="G32" s="303" t="s">
        <v>418</v>
      </c>
      <c r="H32" s="304" t="s">
        <v>419</v>
      </c>
      <c r="I32" s="304" t="s">
        <v>420</v>
      </c>
      <c r="J32" s="304" t="s">
        <v>421</v>
      </c>
      <c r="K32" s="304" t="s">
        <v>422</v>
      </c>
      <c r="L32" s="302" t="s">
        <v>507</v>
      </c>
      <c r="O32" s="292"/>
      <c r="P32" s="292"/>
      <c r="Q32" s="308" t="s">
        <v>424</v>
      </c>
      <c r="R32" s="309" t="s">
        <v>54</v>
      </c>
      <c r="S32" s="310" t="s">
        <v>425</v>
      </c>
      <c r="T32" s="309" t="s">
        <v>56</v>
      </c>
      <c r="U32" s="311" t="s">
        <v>426</v>
      </c>
      <c r="V32" s="309" t="s">
        <v>54</v>
      </c>
      <c r="W32" s="310" t="s">
        <v>425</v>
      </c>
      <c r="X32" s="309" t="s">
        <v>56</v>
      </c>
      <c r="Y32" s="312" t="s">
        <v>20</v>
      </c>
      <c r="AC32" s="346" t="s">
        <v>508</v>
      </c>
      <c r="AD32" s="347" t="s">
        <v>7</v>
      </c>
      <c r="AE32" s="348" t="s">
        <v>505</v>
      </c>
      <c r="AF32" s="348" t="s">
        <v>364</v>
      </c>
      <c r="AG32" s="349" t="s">
        <v>509</v>
      </c>
      <c r="AI32" s="350">
        <v>20</v>
      </c>
      <c r="AJ32" s="350" t="s">
        <v>510</v>
      </c>
      <c r="AK32" s="351" t="s">
        <v>511</v>
      </c>
      <c r="AL32" s="352">
        <v>14500</v>
      </c>
      <c r="AM32" s="351"/>
      <c r="AN32" s="353" t="s">
        <v>504</v>
      </c>
    </row>
    <row r="33" spans="3:40" ht="15.75" customHeight="1" thickTop="1" thickBot="1">
      <c r="C33" s="314" t="s">
        <v>512</v>
      </c>
      <c r="D33" s="332">
        <v>1</v>
      </c>
      <c r="E33" s="316">
        <v>0</v>
      </c>
      <c r="F33" s="354">
        <f>(E33*4)*L33</f>
        <v>0</v>
      </c>
      <c r="G33" s="355" t="s">
        <v>486</v>
      </c>
      <c r="H33" s="318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>
        <f>E33*L33*0</f>
        <v>0</v>
      </c>
      <c r="K33" s="355" t="s">
        <v>447</v>
      </c>
      <c r="L33" s="356" t="s">
        <v>464</v>
      </c>
      <c r="M33" s="291" t="s">
        <v>409</v>
      </c>
      <c r="O33" s="292"/>
      <c r="P33" s="292"/>
      <c r="Q33" s="322" t="s">
        <v>433</v>
      </c>
      <c r="R33" s="323"/>
      <c r="S33" s="324">
        <f>_xlfn.IFS($Q$31="Cu",IF( AE6="","",AE6/1000),$Q$31="Al",IF(AI5="","",AI5/1000))</f>
        <v>0.28000000000000003</v>
      </c>
      <c r="T33" s="325">
        <f t="shared" ref="T33:T37" si="8">IF(S33="",0,R33*S33)</f>
        <v>0</v>
      </c>
      <c r="U33" s="326" t="s">
        <v>435</v>
      </c>
      <c r="V33" s="327"/>
      <c r="W33" s="328">
        <f>IF($U$31="PVC",AM6,AL6)/100</f>
        <v>0.2445</v>
      </c>
      <c r="X33" s="291">
        <f t="shared" ref="X33:X40" si="9">V33*W33</f>
        <v>0</v>
      </c>
      <c r="Y33" s="330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513</v>
      </c>
      <c r="AK33" s="361" t="s">
        <v>514</v>
      </c>
      <c r="AL33" s="362">
        <v>180</v>
      </c>
      <c r="AM33" s="362"/>
      <c r="AN33" s="363" t="s">
        <v>504</v>
      </c>
    </row>
    <row r="34" spans="3:40" ht="25.15" customHeight="1" thickBot="1">
      <c r="C34" s="314" t="s">
        <v>515</v>
      </c>
      <c r="D34" s="332">
        <v>2</v>
      </c>
      <c r="E34" s="316">
        <v>0</v>
      </c>
      <c r="F34" s="354">
        <f>(E34*4)*L34</f>
        <v>0</v>
      </c>
      <c r="G34" s="355" t="s">
        <v>486</v>
      </c>
      <c r="H34" s="318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>
        <f>E34*L34*0</f>
        <v>0</v>
      </c>
      <c r="K34" s="355" t="s">
        <v>447</v>
      </c>
      <c r="L34" s="356" t="s">
        <v>453</v>
      </c>
      <c r="O34" s="292"/>
      <c r="P34" s="292"/>
      <c r="Q34" s="326" t="s">
        <v>440</v>
      </c>
      <c r="R34" s="323"/>
      <c r="S34" s="324" t="str">
        <f t="shared" ref="S34:S54" si="10">_xlfn.IFS($Q$31="Cu",IF( AE7="","",AE7/1000),$Q$31="Al",IF(AI6="","",AI6/1000))</f>
        <v/>
      </c>
      <c r="T34" s="325">
        <f t="shared" si="8"/>
        <v>0</v>
      </c>
      <c r="U34" s="326" t="s">
        <v>434</v>
      </c>
      <c r="V34" s="327"/>
      <c r="W34" s="328">
        <f t="shared" ref="W34:W43" si="11">IF($U$31="PVC",AM7,AL7)/100</f>
        <v>0.29120000000000001</v>
      </c>
      <c r="X34" s="291">
        <f t="shared" si="9"/>
        <v>0</v>
      </c>
      <c r="Y34" s="330">
        <f t="shared" ref="Y34:Y39" si="12">T34+X34</f>
        <v>0</v>
      </c>
      <c r="AC34" s="360">
        <v>1</v>
      </c>
      <c r="AD34" s="360" t="s">
        <v>516</v>
      </c>
      <c r="AE34" s="361" t="s">
        <v>517</v>
      </c>
      <c r="AF34" s="362">
        <v>20426.82</v>
      </c>
      <c r="AG34" s="363" t="s">
        <v>503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443</v>
      </c>
      <c r="R35" s="323"/>
      <c r="S35" s="324">
        <f t="shared" si="10"/>
        <v>0.30636000000000002</v>
      </c>
      <c r="T35" s="325">
        <f t="shared" si="8"/>
        <v>0</v>
      </c>
      <c r="U35" s="326" t="s">
        <v>444</v>
      </c>
      <c r="V35" s="327"/>
      <c r="W35" s="328">
        <f t="shared" si="11"/>
        <v>0.4698</v>
      </c>
      <c r="X35" s="291">
        <f t="shared" si="9"/>
        <v>0</v>
      </c>
      <c r="Y35" s="330">
        <f t="shared" si="12"/>
        <v>0</v>
      </c>
      <c r="AC35" s="360">
        <v>2</v>
      </c>
      <c r="AD35" s="360" t="s">
        <v>516</v>
      </c>
      <c r="AE35" s="361" t="s">
        <v>518</v>
      </c>
      <c r="AF35" s="362">
        <v>31187</v>
      </c>
      <c r="AG35" s="363" t="s">
        <v>503</v>
      </c>
      <c r="AI35" s="360">
        <v>22</v>
      </c>
      <c r="AJ35" s="360" t="s">
        <v>519</v>
      </c>
      <c r="AK35" s="361" t="s">
        <v>517</v>
      </c>
      <c r="AL35" s="362">
        <v>1900</v>
      </c>
      <c r="AM35" s="362"/>
      <c r="AN35" s="363" t="s">
        <v>504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447</v>
      </c>
      <c r="R36" s="323"/>
      <c r="S36" s="324">
        <f t="shared" si="10"/>
        <v>0.37998000000000004</v>
      </c>
      <c r="T36" s="325">
        <f t="shared" si="8"/>
        <v>0</v>
      </c>
      <c r="U36" s="326" t="s">
        <v>448</v>
      </c>
      <c r="V36" s="323"/>
      <c r="W36" s="328">
        <f t="shared" si="11"/>
        <v>0.61549999999999994</v>
      </c>
      <c r="X36" s="291">
        <f t="shared" si="9"/>
        <v>0</v>
      </c>
      <c r="Y36" s="330">
        <f t="shared" si="12"/>
        <v>0</v>
      </c>
      <c r="AC36" s="360">
        <v>3</v>
      </c>
      <c r="AD36" s="360" t="s">
        <v>510</v>
      </c>
      <c r="AE36" s="361" t="s">
        <v>520</v>
      </c>
      <c r="AF36" s="362">
        <v>36812.5</v>
      </c>
      <c r="AG36" s="363" t="s">
        <v>503</v>
      </c>
      <c r="AI36" s="360">
        <v>23</v>
      </c>
      <c r="AJ36" s="360" t="s">
        <v>519</v>
      </c>
      <c r="AK36" s="361" t="s">
        <v>521</v>
      </c>
      <c r="AL36" s="362">
        <v>3400</v>
      </c>
      <c r="AM36" s="362"/>
      <c r="AN36" s="363" t="s">
        <v>504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450</v>
      </c>
      <c r="R37" s="323"/>
      <c r="S37" s="324">
        <f t="shared" si="10"/>
        <v>0.36681000000000002</v>
      </c>
      <c r="T37" s="325">
        <f t="shared" si="8"/>
        <v>0</v>
      </c>
      <c r="U37" s="326" t="s">
        <v>451</v>
      </c>
      <c r="V37" s="323"/>
      <c r="W37" s="328">
        <f t="shared" si="11"/>
        <v>0.71290000000000009</v>
      </c>
      <c r="X37" s="291">
        <f t="shared" si="9"/>
        <v>0</v>
      </c>
      <c r="Y37" s="330">
        <f t="shared" si="12"/>
        <v>0</v>
      </c>
      <c r="AC37" s="360">
        <v>4</v>
      </c>
      <c r="AD37" s="360" t="s">
        <v>510</v>
      </c>
      <c r="AE37" s="361" t="s">
        <v>522</v>
      </c>
      <c r="AF37" s="362">
        <v>43292.68</v>
      </c>
      <c r="AG37" s="363" t="s">
        <v>503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455</v>
      </c>
      <c r="R38" s="323"/>
      <c r="S38" s="324">
        <f t="shared" si="10"/>
        <v>0.48210000000000003</v>
      </c>
      <c r="T38" s="325">
        <f>IF(S38="",0,R38*S38)</f>
        <v>0</v>
      </c>
      <c r="U38" s="326" t="s">
        <v>456</v>
      </c>
      <c r="V38" s="327"/>
      <c r="W38" s="328">
        <f t="shared" si="11"/>
        <v>0.88969999999999994</v>
      </c>
      <c r="X38" s="291">
        <f t="shared" si="9"/>
        <v>0</v>
      </c>
      <c r="Y38" s="330">
        <f t="shared" si="12"/>
        <v>0</v>
      </c>
      <c r="AC38" s="360">
        <v>5</v>
      </c>
      <c r="AD38" s="360" t="s">
        <v>510</v>
      </c>
      <c r="AE38" s="361" t="s">
        <v>523</v>
      </c>
      <c r="AF38" s="362">
        <v>56750</v>
      </c>
      <c r="AG38" s="363" t="s">
        <v>503</v>
      </c>
      <c r="AI38" s="360">
        <v>24</v>
      </c>
      <c r="AJ38" s="360" t="s">
        <v>524</v>
      </c>
      <c r="AK38" s="361" t="s">
        <v>525</v>
      </c>
      <c r="AL38" s="362">
        <v>2970</v>
      </c>
      <c r="AM38" s="290"/>
      <c r="AN38" s="363" t="s">
        <v>504</v>
      </c>
    </row>
    <row r="39" spans="3:40" ht="15.75" thickBot="1">
      <c r="C39" s="337" t="s">
        <v>56</v>
      </c>
      <c r="D39" s="338"/>
      <c r="E39" s="339">
        <f>SUM(E33:E38)</f>
        <v>0</v>
      </c>
      <c r="F39" s="365">
        <f>SUM(F33:F38)</f>
        <v>0</v>
      </c>
      <c r="G39" s="338"/>
      <c r="H39" s="338">
        <f>SUM(H33:H37)</f>
        <v>0</v>
      </c>
      <c r="I39" s="338"/>
      <c r="J39" s="366">
        <f>SUM(J33:J38)</f>
        <v>0</v>
      </c>
      <c r="K39" s="338"/>
      <c r="L39" s="338"/>
      <c r="O39" s="292"/>
      <c r="P39" s="292"/>
      <c r="Q39" s="331" t="s">
        <v>459</v>
      </c>
      <c r="R39" s="323"/>
      <c r="S39" s="324">
        <f t="shared" si="10"/>
        <v>0.66733000000000009</v>
      </c>
      <c r="T39" s="325">
        <f t="shared" ref="T39:T45" si="13">IF(S39="",0,R39*S39)</f>
        <v>0</v>
      </c>
      <c r="U39" s="326" t="s">
        <v>460</v>
      </c>
      <c r="V39" s="327"/>
      <c r="W39" s="328">
        <f t="shared" si="11"/>
        <v>1.3959999999999999</v>
      </c>
      <c r="X39" s="291">
        <f t="shared" si="9"/>
        <v>0</v>
      </c>
      <c r="Y39" s="330">
        <f t="shared" si="12"/>
        <v>0</v>
      </c>
      <c r="AC39" s="360">
        <v>7</v>
      </c>
      <c r="AD39" s="360" t="s">
        <v>510</v>
      </c>
      <c r="AE39" s="361" t="s">
        <v>526</v>
      </c>
      <c r="AF39" s="367">
        <v>60000</v>
      </c>
      <c r="AG39" s="363" t="s">
        <v>503</v>
      </c>
      <c r="AI39" s="360">
        <v>25</v>
      </c>
      <c r="AJ39" s="360" t="s">
        <v>524</v>
      </c>
      <c r="AK39" s="361" t="s">
        <v>527</v>
      </c>
      <c r="AL39" s="362">
        <v>3250</v>
      </c>
      <c r="AM39" s="290"/>
      <c r="AN39" s="363" t="s">
        <v>504</v>
      </c>
    </row>
    <row r="40" spans="3:40" ht="15" customHeight="1" thickBot="1">
      <c r="O40" s="292"/>
      <c r="P40" s="292"/>
      <c r="Q40" s="331" t="s">
        <v>462</v>
      </c>
      <c r="R40" s="323"/>
      <c r="S40" s="324">
        <f t="shared" si="10"/>
        <v>0.75045000000000006</v>
      </c>
      <c r="T40" s="325">
        <f t="shared" si="13"/>
        <v>0</v>
      </c>
      <c r="U40" s="326" t="s">
        <v>463</v>
      </c>
      <c r="V40" s="327"/>
      <c r="W40" s="328">
        <f t="shared" si="11"/>
        <v>1.7033</v>
      </c>
      <c r="X40" s="291">
        <f t="shared" si="9"/>
        <v>0</v>
      </c>
      <c r="Y40" s="330">
        <f>T40+X40</f>
        <v>0</v>
      </c>
      <c r="AC40" s="360">
        <v>8</v>
      </c>
      <c r="AD40" s="360" t="s">
        <v>510</v>
      </c>
      <c r="AE40" s="361">
        <v>2500</v>
      </c>
      <c r="AF40" s="362">
        <v>58540</v>
      </c>
      <c r="AG40" s="363" t="s">
        <v>503</v>
      </c>
      <c r="AI40" s="360">
        <v>26</v>
      </c>
      <c r="AJ40" s="360" t="s">
        <v>524</v>
      </c>
      <c r="AK40" s="361" t="s">
        <v>528</v>
      </c>
      <c r="AL40" s="362">
        <v>5298</v>
      </c>
      <c r="AM40" s="290"/>
      <c r="AN40" s="363" t="s">
        <v>504</v>
      </c>
    </row>
    <row r="41" spans="3:40" ht="15.75" customHeight="1" thickBot="1">
      <c r="C41" s="697" t="s">
        <v>406</v>
      </c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7"/>
      <c r="O41" s="292"/>
      <c r="P41" s="292"/>
      <c r="Q41" s="331" t="s">
        <v>467</v>
      </c>
      <c r="R41" s="323"/>
      <c r="S41" s="324">
        <f t="shared" si="10"/>
        <v>0.88700999999999997</v>
      </c>
      <c r="T41" s="325">
        <f t="shared" si="13"/>
        <v>0</v>
      </c>
      <c r="U41" s="326" t="s">
        <v>468</v>
      </c>
      <c r="V41" s="327"/>
      <c r="W41" s="328">
        <f t="shared" si="11"/>
        <v>2.25</v>
      </c>
      <c r="X41" s="291">
        <f>V41*W41</f>
        <v>0</v>
      </c>
      <c r="Y41" s="330">
        <f t="shared" ref="Y41:Y45" si="14">T41+X41</f>
        <v>0</v>
      </c>
      <c r="AC41" s="360">
        <v>9</v>
      </c>
      <c r="AD41" s="360" t="s">
        <v>510</v>
      </c>
      <c r="AE41" s="361" t="s">
        <v>529</v>
      </c>
      <c r="AF41" s="367">
        <v>65000</v>
      </c>
      <c r="AG41" s="363" t="s">
        <v>503</v>
      </c>
      <c r="AI41" s="360">
        <v>27</v>
      </c>
      <c r="AJ41" s="360" t="s">
        <v>524</v>
      </c>
      <c r="AK41" s="361" t="s">
        <v>530</v>
      </c>
      <c r="AL41" s="362">
        <v>6000</v>
      </c>
      <c r="AM41" s="290"/>
      <c r="AN41" s="363" t="s">
        <v>504</v>
      </c>
    </row>
    <row r="42" spans="3:40" ht="15.75" thickBot="1"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292"/>
      <c r="P42" s="292"/>
      <c r="Q42" s="331" t="s">
        <v>470</v>
      </c>
      <c r="R42" s="323"/>
      <c r="S42" s="324">
        <f t="shared" si="10"/>
        <v>1.0995599999999999</v>
      </c>
      <c r="T42" s="325">
        <f t="shared" si="13"/>
        <v>0</v>
      </c>
      <c r="U42" s="326" t="s">
        <v>471</v>
      </c>
      <c r="V42" s="327"/>
      <c r="W42" s="328">
        <f t="shared" si="11"/>
        <v>2.3163999999999998</v>
      </c>
      <c r="X42" s="291">
        <f t="shared" ref="X42" si="15">V42*W42</f>
        <v>0</v>
      </c>
      <c r="Y42" s="330">
        <f t="shared" si="14"/>
        <v>0</v>
      </c>
      <c r="AC42" s="360">
        <v>10</v>
      </c>
      <c r="AD42" s="360" t="s">
        <v>510</v>
      </c>
      <c r="AE42" s="361" t="s">
        <v>531</v>
      </c>
      <c r="AF42" s="367">
        <v>67500</v>
      </c>
      <c r="AG42" s="363" t="s">
        <v>503</v>
      </c>
      <c r="AI42" s="360">
        <v>28</v>
      </c>
      <c r="AJ42" s="360" t="s">
        <v>524</v>
      </c>
      <c r="AK42" s="361" t="s">
        <v>532</v>
      </c>
      <c r="AL42" s="362">
        <v>7144</v>
      </c>
      <c r="AM42" s="290"/>
      <c r="AN42" s="363" t="s">
        <v>504</v>
      </c>
    </row>
    <row r="43" spans="3:40" ht="15.75" thickBot="1">
      <c r="C43" s="301" t="s">
        <v>81</v>
      </c>
      <c r="D43" s="302" t="s">
        <v>415</v>
      </c>
      <c r="E43" s="303" t="s">
        <v>416</v>
      </c>
      <c r="F43" s="304" t="s">
        <v>417</v>
      </c>
      <c r="G43" s="305" t="s">
        <v>418</v>
      </c>
      <c r="H43" s="304" t="s">
        <v>419</v>
      </c>
      <c r="I43" s="304" t="s">
        <v>420</v>
      </c>
      <c r="J43" s="304" t="s">
        <v>421</v>
      </c>
      <c r="K43" s="305" t="s">
        <v>422</v>
      </c>
      <c r="L43" s="304" t="s">
        <v>423</v>
      </c>
      <c r="M43" s="306" t="s">
        <v>419</v>
      </c>
      <c r="N43" s="307" t="s">
        <v>420</v>
      </c>
      <c r="O43" s="292"/>
      <c r="P43" s="292"/>
      <c r="Q43" s="331" t="s">
        <v>474</v>
      </c>
      <c r="R43" s="323"/>
      <c r="S43" s="324">
        <f t="shared" si="10"/>
        <v>1.2278</v>
      </c>
      <c r="T43" s="325">
        <f t="shared" si="13"/>
        <v>0</v>
      </c>
      <c r="U43" s="326" t="s">
        <v>475</v>
      </c>
      <c r="V43" s="323"/>
      <c r="W43" s="328">
        <f t="shared" si="11"/>
        <v>3.3106</v>
      </c>
      <c r="X43" s="291">
        <f>V43*W43</f>
        <v>0</v>
      </c>
      <c r="Y43" s="330">
        <f t="shared" si="14"/>
        <v>0</v>
      </c>
      <c r="AC43" s="360">
        <v>11</v>
      </c>
      <c r="AD43" s="360" t="s">
        <v>510</v>
      </c>
      <c r="AE43" s="361" t="s">
        <v>533</v>
      </c>
      <c r="AF43" s="367">
        <v>70000</v>
      </c>
      <c r="AG43" s="363" t="s">
        <v>503</v>
      </c>
      <c r="AI43" s="360">
        <v>29</v>
      </c>
      <c r="AJ43" s="360" t="s">
        <v>524</v>
      </c>
      <c r="AK43" s="361" t="s">
        <v>534</v>
      </c>
      <c r="AL43" s="362">
        <v>10493</v>
      </c>
      <c r="AM43" s="290"/>
      <c r="AN43" s="363" t="s">
        <v>504</v>
      </c>
    </row>
    <row r="44" spans="3:40" ht="15.75" thickBot="1">
      <c r="C44" s="314" t="s">
        <v>535</v>
      </c>
      <c r="D44" s="315">
        <v>0</v>
      </c>
      <c r="E44" s="290">
        <v>15</v>
      </c>
      <c r="F44" s="315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>
        <f t="shared" ref="L44" si="16">E44</f>
        <v>15</v>
      </c>
      <c r="M44" s="332">
        <f>L44</f>
        <v>15</v>
      </c>
      <c r="N44" s="321" t="s">
        <v>434</v>
      </c>
      <c r="O44" s="292"/>
      <c r="P44" s="292"/>
      <c r="Q44" s="331" t="s">
        <v>477</v>
      </c>
      <c r="R44" s="323"/>
      <c r="S44" s="324">
        <f t="shared" si="10"/>
        <v>1.4961600000000002</v>
      </c>
      <c r="T44" s="325">
        <f t="shared" si="13"/>
        <v>0</v>
      </c>
      <c r="Y44" s="330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524</v>
      </c>
      <c r="AK44" s="361" t="s">
        <v>536</v>
      </c>
      <c r="AL44" s="362">
        <v>14500</v>
      </c>
      <c r="AM44" s="290"/>
      <c r="AN44" s="363" t="s">
        <v>504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478</v>
      </c>
      <c r="R45" s="323"/>
      <c r="S45" s="324">
        <f t="shared" si="10"/>
        <v>2.0613699999999997</v>
      </c>
      <c r="T45" s="325">
        <f t="shared" si="13"/>
        <v>0</v>
      </c>
      <c r="Y45" s="330">
        <f t="shared" si="14"/>
        <v>0</v>
      </c>
      <c r="AC45" s="360">
        <v>12</v>
      </c>
      <c r="AD45" s="360" t="s">
        <v>519</v>
      </c>
      <c r="AE45" s="361" t="s">
        <v>537</v>
      </c>
      <c r="AF45" s="362">
        <v>650</v>
      </c>
      <c r="AG45" s="363" t="s">
        <v>503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480</v>
      </c>
      <c r="R46" s="232"/>
      <c r="S46" s="324">
        <f t="shared" si="10"/>
        <v>2.10412</v>
      </c>
      <c r="T46" s="325">
        <f>IF(S46="",0,R46*S46)</f>
        <v>0</v>
      </c>
      <c r="Y46" s="330">
        <f>T46+X46</f>
        <v>0</v>
      </c>
      <c r="AC46" s="360">
        <v>13</v>
      </c>
      <c r="AD46" s="360" t="s">
        <v>519</v>
      </c>
      <c r="AE46" s="361" t="s">
        <v>538</v>
      </c>
      <c r="AF46" s="362">
        <v>700</v>
      </c>
      <c r="AG46" s="363" t="s">
        <v>503</v>
      </c>
      <c r="AI46" s="360">
        <v>31</v>
      </c>
      <c r="AJ46" s="360" t="s">
        <v>539</v>
      </c>
      <c r="AK46" s="361" t="s">
        <v>540</v>
      </c>
      <c r="AL46" s="367">
        <v>1000</v>
      </c>
      <c r="AM46" s="290"/>
      <c r="AN46" s="363" t="s">
        <v>504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482</v>
      </c>
      <c r="R47" s="327"/>
      <c r="S47" s="324">
        <f>_xlfn.IFS($Q$31="Cu",IF( AE20="","",AE20/1000),$Q$31="Al",IF(AI21="","",AI21/1000))</f>
        <v>2.7204000000000002</v>
      </c>
      <c r="T47" s="325">
        <f>IF(S47="",0,R47*S47)</f>
        <v>0</v>
      </c>
      <c r="Y47" s="330">
        <f t="shared" ref="Y47:Y52" si="17">T47+X47</f>
        <v>0</v>
      </c>
      <c r="AC47" s="360">
        <v>14</v>
      </c>
      <c r="AD47" s="360" t="s">
        <v>519</v>
      </c>
      <c r="AE47" s="361" t="s">
        <v>541</v>
      </c>
      <c r="AF47" s="362">
        <v>1100</v>
      </c>
      <c r="AG47" s="363" t="s">
        <v>503</v>
      </c>
      <c r="AI47" s="360">
        <v>32</v>
      </c>
      <c r="AJ47" s="360" t="s">
        <v>539</v>
      </c>
      <c r="AK47" s="361" t="s">
        <v>541</v>
      </c>
      <c r="AL47" s="367">
        <v>1120</v>
      </c>
      <c r="AM47" s="290"/>
      <c r="AN47" s="363" t="s">
        <v>504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484</v>
      </c>
      <c r="R48" s="327"/>
      <c r="S48" s="324">
        <f>_xlfn.IFS($Q$31="Cu",IF( AE21="","",AE21/1000),$Q$31="Al",IF(AI21="","",AI21/1000))</f>
        <v>2.7204000000000002</v>
      </c>
      <c r="T48" s="325">
        <f>IF(S48="",0,R48*S48)</f>
        <v>0</v>
      </c>
      <c r="Y48" s="330">
        <f t="shared" si="17"/>
        <v>0</v>
      </c>
      <c r="AC48" s="360">
        <v>15</v>
      </c>
      <c r="AD48" s="360" t="s">
        <v>519</v>
      </c>
      <c r="AE48" s="361" t="s">
        <v>529</v>
      </c>
      <c r="AF48" s="362">
        <v>32500</v>
      </c>
      <c r="AG48" s="363" t="s">
        <v>503</v>
      </c>
      <c r="AI48" s="360">
        <v>33</v>
      </c>
      <c r="AJ48" s="360" t="s">
        <v>539</v>
      </c>
      <c r="AK48" s="361" t="s">
        <v>517</v>
      </c>
      <c r="AL48" s="367">
        <v>1660</v>
      </c>
      <c r="AM48" s="290"/>
      <c r="AN48" s="363" t="s">
        <v>504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486</v>
      </c>
      <c r="R49" s="327"/>
      <c r="S49" s="324">
        <f t="shared" si="10"/>
        <v>2.7204000000000002</v>
      </c>
      <c r="T49" s="325">
        <f t="shared" ref="T49:T54" si="18">IF(S49="",0,R49*S49)</f>
        <v>0</v>
      </c>
      <c r="Y49" s="330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539</v>
      </c>
      <c r="AK49" s="361" t="s">
        <v>521</v>
      </c>
      <c r="AL49" s="362">
        <v>5387</v>
      </c>
      <c r="AM49" s="290" t="s">
        <v>542</v>
      </c>
      <c r="AN49" s="363" t="s">
        <v>504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488</v>
      </c>
      <c r="R50" s="327"/>
      <c r="S50" s="324">
        <f t="shared" si="10"/>
        <v>3.44354</v>
      </c>
      <c r="T50" s="325">
        <f t="shared" si="18"/>
        <v>0</v>
      </c>
      <c r="Y50" s="330">
        <f t="shared" si="17"/>
        <v>0</v>
      </c>
      <c r="AC50" s="360">
        <v>17</v>
      </c>
      <c r="AD50" s="360" t="s">
        <v>513</v>
      </c>
      <c r="AE50" s="361" t="s">
        <v>543</v>
      </c>
      <c r="AF50" s="362">
        <v>580</v>
      </c>
      <c r="AG50" s="363" t="s">
        <v>503</v>
      </c>
      <c r="AI50" s="360">
        <v>35</v>
      </c>
      <c r="AJ50" s="360" t="s">
        <v>539</v>
      </c>
      <c r="AK50" s="361" t="s">
        <v>518</v>
      </c>
      <c r="AL50" s="367">
        <v>4650</v>
      </c>
      <c r="AM50" s="290"/>
      <c r="AN50" s="363" t="s">
        <v>504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490</v>
      </c>
      <c r="R51" s="323"/>
      <c r="S51" s="324">
        <f t="shared" si="10"/>
        <v>4.8090000000000002</v>
      </c>
      <c r="T51" s="325">
        <f t="shared" si="18"/>
        <v>0</v>
      </c>
      <c r="Y51" s="330">
        <f t="shared" si="17"/>
        <v>0</v>
      </c>
      <c r="AC51" s="360">
        <v>18</v>
      </c>
      <c r="AD51" s="360" t="s">
        <v>513</v>
      </c>
      <c r="AE51" s="361" t="s">
        <v>544</v>
      </c>
      <c r="AF51" s="362">
        <v>900</v>
      </c>
      <c r="AG51" s="363" t="s">
        <v>503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492</v>
      </c>
      <c r="R52" s="323"/>
      <c r="S52" s="324">
        <f t="shared" si="10"/>
        <v>4.859</v>
      </c>
      <c r="T52" s="325">
        <f t="shared" si="18"/>
        <v>0</v>
      </c>
      <c r="Y52" s="330">
        <f t="shared" si="17"/>
        <v>0</v>
      </c>
      <c r="AC52" s="360">
        <v>19</v>
      </c>
      <c r="AD52" s="360" t="s">
        <v>513</v>
      </c>
      <c r="AE52" s="361" t="s">
        <v>545</v>
      </c>
      <c r="AF52" s="362">
        <v>1450</v>
      </c>
      <c r="AG52" s="363" t="s">
        <v>503</v>
      </c>
      <c r="AI52" s="370">
        <v>36</v>
      </c>
      <c r="AJ52" s="360" t="s">
        <v>546</v>
      </c>
      <c r="AK52" s="361" t="s">
        <v>520</v>
      </c>
      <c r="AL52" s="362">
        <v>30000</v>
      </c>
      <c r="AM52" s="290"/>
      <c r="AN52" s="363" t="s">
        <v>504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494</v>
      </c>
      <c r="R53" s="323"/>
      <c r="S53" s="324" t="str">
        <f t="shared" si="10"/>
        <v/>
      </c>
      <c r="T53" s="325">
        <f t="shared" si="18"/>
        <v>0</v>
      </c>
      <c r="Y53" s="330">
        <f>T53+X53</f>
        <v>0</v>
      </c>
      <c r="AC53" s="360">
        <v>20</v>
      </c>
      <c r="AD53" s="360" t="s">
        <v>513</v>
      </c>
      <c r="AE53" s="361" t="s">
        <v>547</v>
      </c>
      <c r="AF53" s="362">
        <v>3100</v>
      </c>
      <c r="AG53" s="363" t="s">
        <v>503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496</v>
      </c>
      <c r="R54" s="323"/>
      <c r="S54" s="324">
        <f t="shared" si="10"/>
        <v>7.5659999999999998</v>
      </c>
      <c r="T54" s="325">
        <f t="shared" si="18"/>
        <v>0</v>
      </c>
      <c r="Y54" s="330">
        <f t="shared" ref="Y54" si="19">T54+X54</f>
        <v>0</v>
      </c>
      <c r="AC54" s="360">
        <v>21</v>
      </c>
      <c r="AD54" s="360" t="s">
        <v>513</v>
      </c>
      <c r="AE54" s="361" t="s">
        <v>521</v>
      </c>
      <c r="AF54" s="362">
        <v>3700</v>
      </c>
      <c r="AG54" s="363" t="s">
        <v>503</v>
      </c>
      <c r="AI54" s="375">
        <v>37</v>
      </c>
      <c r="AJ54" s="375" t="s">
        <v>548</v>
      </c>
      <c r="AK54" s="376" t="s">
        <v>521</v>
      </c>
      <c r="AL54" s="377">
        <v>1786</v>
      </c>
      <c r="AM54" s="377"/>
      <c r="AN54" s="378" t="s">
        <v>504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56</v>
      </c>
      <c r="D65" s="338"/>
      <c r="E65" s="340">
        <f>SUM(E44:E64)</f>
        <v>15</v>
      </c>
      <c r="F65" s="338">
        <f>SUM(F44:F64)</f>
        <v>45</v>
      </c>
      <c r="G65" s="340"/>
      <c r="H65" s="338">
        <f>SUM(H44:H64)</f>
        <v>15</v>
      </c>
      <c r="I65" s="338"/>
      <c r="J65" s="338">
        <f>SUM(J44:J64)</f>
        <v>15</v>
      </c>
      <c r="K65" s="340"/>
      <c r="L65" s="338">
        <f>SUM(L44:L64)</f>
        <v>15</v>
      </c>
      <c r="M65" s="338">
        <f>SUM(M44:M64)</f>
        <v>15</v>
      </c>
      <c r="N65" s="341"/>
      <c r="Q65" s="705" t="s">
        <v>549</v>
      </c>
      <c r="R65" s="706"/>
      <c r="S65" s="706"/>
      <c r="T65" s="706"/>
      <c r="U65" s="706"/>
      <c r="V65" s="706"/>
      <c r="W65" s="706"/>
      <c r="X65" s="706"/>
      <c r="Y65" s="706"/>
      <c r="Z65" s="707"/>
    </row>
    <row r="66" spans="3:26" ht="21.75" customHeight="1" thickBot="1">
      <c r="Q66" s="708"/>
      <c r="R66" s="709"/>
      <c r="S66" s="709"/>
      <c r="T66" s="709"/>
      <c r="U66" s="709"/>
      <c r="V66" s="709"/>
      <c r="W66" s="709"/>
      <c r="X66" s="709"/>
      <c r="Y66" s="709"/>
      <c r="Z66" s="710"/>
    </row>
    <row r="67" spans="3:26" ht="21.75" customHeight="1">
      <c r="C67" s="691" t="s">
        <v>550</v>
      </c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3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94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6"/>
      <c r="O68" s="292"/>
      <c r="P68" s="292"/>
      <c r="Q68" s="395"/>
      <c r="R68" s="309" t="s">
        <v>551</v>
      </c>
      <c r="S68" s="309" t="s">
        <v>552</v>
      </c>
      <c r="T68" s="309" t="s">
        <v>553</v>
      </c>
      <c r="U68" s="309" t="s">
        <v>554</v>
      </c>
      <c r="V68" s="309" t="s">
        <v>555</v>
      </c>
      <c r="W68" s="309" t="s">
        <v>556</v>
      </c>
      <c r="X68" s="309" t="s">
        <v>556</v>
      </c>
      <c r="Y68" s="309" t="s">
        <v>557</v>
      </c>
      <c r="Z68" s="312" t="s">
        <v>558</v>
      </c>
    </row>
    <row r="69" spans="3:26">
      <c r="C69" s="396" t="s">
        <v>559</v>
      </c>
      <c r="D69" s="397" t="s">
        <v>560</v>
      </c>
      <c r="E69" s="398" t="s">
        <v>561</v>
      </c>
      <c r="F69" s="398" t="s">
        <v>562</v>
      </c>
      <c r="G69" s="398" t="s">
        <v>563</v>
      </c>
      <c r="H69" s="398" t="s">
        <v>564</v>
      </c>
      <c r="I69" s="397" t="s">
        <v>565</v>
      </c>
      <c r="J69" s="398" t="s">
        <v>566</v>
      </c>
      <c r="K69" s="398" t="s">
        <v>567</v>
      </c>
      <c r="L69" s="398" t="s">
        <v>568</v>
      </c>
      <c r="M69" s="399" t="s">
        <v>569</v>
      </c>
      <c r="N69" s="398" t="s">
        <v>570</v>
      </c>
      <c r="O69" s="292"/>
      <c r="P69" s="292"/>
      <c r="Q69" s="395" t="s">
        <v>571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571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>
        <f>MAX(D44:D64)+MAX(D33:D38)</f>
        <v>2</v>
      </c>
      <c r="J70" s="404">
        <v>6</v>
      </c>
      <c r="K70" s="403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>
        <f>K70*2</f>
        <v>0</v>
      </c>
      <c r="M70" s="326">
        <f>K70*(MAX(D5:D27)+MAX(D44:D64))</f>
        <v>0</v>
      </c>
      <c r="N70" s="403">
        <f>L70</f>
        <v>0</v>
      </c>
      <c r="O70" s="292"/>
      <c r="P70" s="292"/>
      <c r="Q70" s="395" t="s">
        <v>425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425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>
        <f>115/110</f>
        <v>1.0454545454545454</v>
      </c>
      <c r="O71" s="292"/>
      <c r="P71" s="292"/>
      <c r="Q71" s="395" t="s">
        <v>505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545</v>
      </c>
    </row>
    <row r="72" spans="3:26" ht="15.75" thickBot="1">
      <c r="C72" s="412" t="s">
        <v>56</v>
      </c>
      <c r="D72" s="413">
        <f>D70*D71</f>
        <v>43.6</v>
      </c>
      <c r="E72" s="413">
        <f t="shared" ref="E72:K72" si="20">E71*E70</f>
        <v>39.6</v>
      </c>
      <c r="F72" s="413">
        <f t="shared" si="20"/>
        <v>182.73</v>
      </c>
      <c r="G72" s="413">
        <f t="shared" si="20"/>
        <v>41.573999999999998</v>
      </c>
      <c r="H72" s="413">
        <f>H71*H70</f>
        <v>300</v>
      </c>
      <c r="I72" s="413">
        <f t="shared" si="20"/>
        <v>69.739999999999995</v>
      </c>
      <c r="J72" s="413">
        <f t="shared" si="20"/>
        <v>330</v>
      </c>
      <c r="K72" s="413">
        <f t="shared" si="20"/>
        <v>0</v>
      </c>
      <c r="L72" s="413">
        <f>L70*L71</f>
        <v>0</v>
      </c>
      <c r="M72" s="413">
        <f>M70*M71</f>
        <v>0</v>
      </c>
      <c r="N72" s="413">
        <f>N70*N71</f>
        <v>0</v>
      </c>
      <c r="O72" s="292"/>
      <c r="P72" s="292"/>
      <c r="Q72" s="395" t="s">
        <v>509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559</v>
      </c>
      <c r="D73" s="397" t="s">
        <v>572</v>
      </c>
      <c r="E73" s="397" t="s">
        <v>573</v>
      </c>
      <c r="F73" s="397" t="s">
        <v>573</v>
      </c>
      <c r="G73" s="397" t="s">
        <v>574</v>
      </c>
      <c r="H73" s="397" t="s">
        <v>575</v>
      </c>
      <c r="I73" s="397" t="s">
        <v>576</v>
      </c>
      <c r="J73" s="397" t="s">
        <v>577</v>
      </c>
      <c r="K73" s="397" t="s">
        <v>578</v>
      </c>
      <c r="L73" s="398" t="s">
        <v>579</v>
      </c>
      <c r="M73" s="414" t="s">
        <v>580</v>
      </c>
      <c r="N73" s="397" t="s">
        <v>581</v>
      </c>
      <c r="O73" s="292"/>
      <c r="P73" s="292"/>
      <c r="Q73" s="415" t="s">
        <v>56</v>
      </c>
      <c r="R73" s="416">
        <f t="shared" ref="R73:Z73" si="21">R70*R69</f>
        <v>36813</v>
      </c>
      <c r="S73" s="417">
        <f t="shared" si="21"/>
        <v>0</v>
      </c>
      <c r="T73" s="417">
        <f t="shared" si="21"/>
        <v>0</v>
      </c>
      <c r="U73" s="417">
        <f t="shared" si="21"/>
        <v>0</v>
      </c>
      <c r="V73" s="416">
        <f t="shared" si="21"/>
        <v>0</v>
      </c>
      <c r="W73" s="416">
        <f t="shared" si="21"/>
        <v>0</v>
      </c>
      <c r="X73" s="418">
        <f t="shared" si="21"/>
        <v>0</v>
      </c>
      <c r="Y73" s="416">
        <f t="shared" si="21"/>
        <v>0</v>
      </c>
      <c r="Z73" s="419">
        <f t="shared" si="21"/>
        <v>0</v>
      </c>
    </row>
    <row r="74" spans="3:26" ht="15.75" thickBot="1">
      <c r="C74" s="408" t="s">
        <v>571</v>
      </c>
      <c r="D74" s="403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403">
        <v>1</v>
      </c>
      <c r="F74" s="403">
        <v>1</v>
      </c>
      <c r="G74" s="403">
        <f>(H65/10)+H39/10+(H28/10)</f>
        <v>1.5</v>
      </c>
      <c r="H74" s="404">
        <v>1</v>
      </c>
      <c r="I74" s="403">
        <f>I70</f>
        <v>2</v>
      </c>
      <c r="J74" s="420">
        <v>2</v>
      </c>
      <c r="K74" s="403">
        <v>1</v>
      </c>
      <c r="L74" s="403">
        <v>0</v>
      </c>
      <c r="M74" s="326">
        <f>L65+L28</f>
        <v>15</v>
      </c>
      <c r="N74" s="397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425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>
        <f>0.1</f>
        <v>0.1</v>
      </c>
      <c r="N75" s="403">
        <v>5</v>
      </c>
      <c r="O75" s="292"/>
      <c r="P75" s="292"/>
      <c r="Y75" s="422">
        <f>SUM(S73:Z73)</f>
        <v>0</v>
      </c>
    </row>
    <row r="76" spans="3:26" ht="15.75" thickBot="1">
      <c r="C76" s="412" t="s">
        <v>56</v>
      </c>
      <c r="D76" s="413">
        <f>D75*D74</f>
        <v>6.11</v>
      </c>
      <c r="E76" s="423">
        <f>E75*E74</f>
        <v>7.22</v>
      </c>
      <c r="F76" s="413">
        <f t="shared" ref="F76:H76" si="22">F75*F74</f>
        <v>11.06</v>
      </c>
      <c r="G76" s="413">
        <f t="shared" si="22"/>
        <v>1.9500000000000002</v>
      </c>
      <c r="H76" s="413">
        <f t="shared" si="22"/>
        <v>2500</v>
      </c>
      <c r="I76" s="413">
        <f>I75*I74</f>
        <v>14.44</v>
      </c>
      <c r="J76" s="413">
        <f>J75*J74</f>
        <v>675.46</v>
      </c>
      <c r="K76" s="413">
        <f>K75*K74</f>
        <v>125.57</v>
      </c>
      <c r="L76" s="413">
        <f t="shared" ref="L76:M76" si="23">L75*L74</f>
        <v>0</v>
      </c>
      <c r="M76" s="413">
        <f t="shared" si="23"/>
        <v>1.5</v>
      </c>
      <c r="N76" s="413">
        <f>N74*N75</f>
        <v>40</v>
      </c>
      <c r="O76" s="292"/>
      <c r="P76" s="292"/>
      <c r="Y76" s="240"/>
    </row>
    <row r="77" spans="3:26">
      <c r="C77" s="402" t="s">
        <v>559</v>
      </c>
      <c r="D77" s="397" t="s">
        <v>582</v>
      </c>
      <c r="E77" s="397" t="s">
        <v>583</v>
      </c>
      <c r="F77" s="397" t="s">
        <v>584</v>
      </c>
      <c r="G77" s="397" t="s">
        <v>585</v>
      </c>
      <c r="H77" s="397" t="s">
        <v>586</v>
      </c>
      <c r="I77" s="397" t="s">
        <v>587</v>
      </c>
      <c r="J77" s="397" t="s">
        <v>588</v>
      </c>
      <c r="K77" s="397" t="s">
        <v>589</v>
      </c>
      <c r="L77" s="398" t="s">
        <v>590</v>
      </c>
      <c r="M77" s="414" t="s">
        <v>591</v>
      </c>
      <c r="N77" s="397" t="s">
        <v>592</v>
      </c>
      <c r="O77" s="292"/>
      <c r="P77" s="292"/>
      <c r="Y77" s="240"/>
    </row>
    <row r="78" spans="3:26">
      <c r="C78" s="402" t="s">
        <v>571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425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56</v>
      </c>
      <c r="D80" s="413">
        <f t="shared" ref="D80:N80" si="24">D79*D78</f>
        <v>330</v>
      </c>
      <c r="E80" s="413">
        <f t="shared" si="24"/>
        <v>60</v>
      </c>
      <c r="F80" s="413">
        <f t="shared" si="24"/>
        <v>418</v>
      </c>
      <c r="G80" s="413">
        <f t="shared" si="24"/>
        <v>0</v>
      </c>
      <c r="H80" s="413">
        <f t="shared" si="24"/>
        <v>535.16</v>
      </c>
      <c r="I80" s="413">
        <f t="shared" si="24"/>
        <v>217.5</v>
      </c>
      <c r="J80" s="413">
        <f>J79*J78</f>
        <v>172.60000000000002</v>
      </c>
      <c r="K80" s="413">
        <f>K79*K78</f>
        <v>59</v>
      </c>
      <c r="L80" s="413">
        <f t="shared" si="24"/>
        <v>708</v>
      </c>
      <c r="M80" s="413">
        <f>M79*M78</f>
        <v>0</v>
      </c>
      <c r="N80" s="413">
        <f t="shared" si="24"/>
        <v>0</v>
      </c>
      <c r="P80" s="292"/>
      <c r="Y80" s="240"/>
    </row>
    <row r="81" spans="3:25" ht="19.5" customHeight="1" thickBot="1">
      <c r="C81" s="425" t="s">
        <v>593</v>
      </c>
      <c r="D81" s="426">
        <f>SUM(D72,D76,D80)</f>
        <v>379.71</v>
      </c>
      <c r="E81" s="426">
        <f t="shared" ref="E81:M81" si="25">SUM(E72,E76,E80)</f>
        <v>106.82</v>
      </c>
      <c r="F81" s="427">
        <f>SUM(F72,F76,F80)</f>
        <v>611.79</v>
      </c>
      <c r="G81" s="427">
        <f>SUM(G72,G76,G80)</f>
        <v>43.524000000000001</v>
      </c>
      <c r="H81" s="426">
        <f>SUM(H72,H76,H80)</f>
        <v>3335.16</v>
      </c>
      <c r="I81" s="428">
        <f>SUM(I72,I76,I80)</f>
        <v>301.68</v>
      </c>
      <c r="J81" s="426">
        <f t="shared" si="25"/>
        <v>1178.06</v>
      </c>
      <c r="K81" s="428">
        <f>SUM(K76,K80,K72)</f>
        <v>184.57</v>
      </c>
      <c r="L81" s="426">
        <f t="shared" si="25"/>
        <v>708</v>
      </c>
      <c r="M81" s="426">
        <f t="shared" si="25"/>
        <v>1.5</v>
      </c>
      <c r="N81" s="429">
        <f>SUM(N72,N76,N80)</f>
        <v>40</v>
      </c>
      <c r="P81" s="292"/>
      <c r="Y81" s="240"/>
    </row>
    <row r="82" spans="3:25" ht="15.75" thickBot="1">
      <c r="G82" s="291"/>
      <c r="M82" s="290"/>
      <c r="N82" s="422">
        <f>SUM(D81:N81)</f>
        <v>6890.8140000000003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594</v>
      </c>
      <c r="M84" s="432" t="s">
        <v>571</v>
      </c>
      <c r="N84" s="433" t="s">
        <v>595</v>
      </c>
      <c r="O84" s="433" t="s">
        <v>596</v>
      </c>
      <c r="Y84" s="240"/>
    </row>
    <row r="85" spans="3:25">
      <c r="C85" s="434" t="s">
        <v>7</v>
      </c>
      <c r="D85" s="435" t="s">
        <v>571</v>
      </c>
      <c r="E85" s="435" t="s">
        <v>425</v>
      </c>
      <c r="F85" s="436" t="s">
        <v>56</v>
      </c>
      <c r="I85" s="437" t="s">
        <v>58</v>
      </c>
      <c r="J85" s="433" t="s">
        <v>596</v>
      </c>
      <c r="K85" s="438"/>
      <c r="L85" s="439" t="s">
        <v>597</v>
      </c>
      <c r="M85" s="332">
        <v>0</v>
      </c>
      <c r="N85" s="440">
        <v>1000</v>
      </c>
      <c r="O85" s="441">
        <f>M85*N85</f>
        <v>0</v>
      </c>
      <c r="Y85" s="240"/>
    </row>
    <row r="86" spans="3:25">
      <c r="C86" s="397" t="s">
        <v>598</v>
      </c>
      <c r="D86" s="403">
        <f>MAX(D5:D27)+MAX(D44:D64)</f>
        <v>0</v>
      </c>
      <c r="E86" s="442">
        <v>40</v>
      </c>
      <c r="F86" s="442">
        <f>D86*E86</f>
        <v>0</v>
      </c>
      <c r="I86" s="439">
        <v>1000</v>
      </c>
      <c r="J86" s="441">
        <f>SUM(H94:H110)</f>
        <v>11394.63</v>
      </c>
      <c r="K86" s="405"/>
      <c r="L86" s="439" t="s">
        <v>599</v>
      </c>
      <c r="M86" s="443">
        <v>0</v>
      </c>
      <c r="N86" s="441">
        <v>1663</v>
      </c>
      <c r="O86" s="441">
        <f t="shared" ref="O86:O89" si="26">M86*N86</f>
        <v>0</v>
      </c>
      <c r="Y86" s="240"/>
    </row>
    <row r="87" spans="3:25">
      <c r="C87" s="397" t="s">
        <v>600</v>
      </c>
      <c r="D87" s="403">
        <f>MAX(D5:D27)+(MAX(D44:D64)/2)</f>
        <v>0</v>
      </c>
      <c r="E87" s="442">
        <v>56.1</v>
      </c>
      <c r="F87" s="442">
        <f>D87*E87</f>
        <v>0</v>
      </c>
      <c r="I87" s="439"/>
      <c r="J87" s="441"/>
      <c r="K87" s="405"/>
      <c r="L87" s="439" t="s">
        <v>601</v>
      </c>
      <c r="M87" s="443">
        <v>0</v>
      </c>
      <c r="N87" s="441">
        <v>495</v>
      </c>
      <c r="O87" s="441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602</v>
      </c>
      <c r="M88" s="332">
        <v>0</v>
      </c>
      <c r="N88" s="441">
        <v>0</v>
      </c>
      <c r="O88" s="441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603</v>
      </c>
      <c r="M89" s="332">
        <v>0</v>
      </c>
      <c r="N89" s="441">
        <v>105</v>
      </c>
      <c r="O89" s="441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604</v>
      </c>
      <c r="M90" s="441"/>
      <c r="N90" s="440"/>
      <c r="O90" s="441">
        <f>M90*N90</f>
        <v>0</v>
      </c>
      <c r="Y90" s="292"/>
    </row>
    <row r="91" spans="3:25" ht="15.75" thickBot="1">
      <c r="C91" s="414" t="s">
        <v>605</v>
      </c>
      <c r="D91" s="326">
        <f>MAX(D5:D27)*2+(MAX(D44:D64)*4)</f>
        <v>0</v>
      </c>
      <c r="E91" s="447">
        <v>110</v>
      </c>
      <c r="F91" s="442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>
        <f>(D92*E92)</f>
        <v>0</v>
      </c>
      <c r="G92" s="422">
        <f>SUM(F86:F92)</f>
        <v>0</v>
      </c>
      <c r="I92" s="451">
        <f>SUM(I86:I91)</f>
        <v>1000</v>
      </c>
      <c r="J92" s="451">
        <f>SUM(J86:J91)</f>
        <v>11394.63</v>
      </c>
      <c r="K92" s="405"/>
      <c r="L92" s="451"/>
      <c r="M92" s="451"/>
      <c r="N92" s="451"/>
      <c r="O92" s="451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571</v>
      </c>
      <c r="E94" s="435" t="s">
        <v>425</v>
      </c>
      <c r="F94" s="452" t="s">
        <v>606</v>
      </c>
      <c r="G94" s="435" t="s">
        <v>607</v>
      </c>
      <c r="H94" s="436" t="s">
        <v>56</v>
      </c>
      <c r="L94" s="431" t="s">
        <v>608</v>
      </c>
      <c r="M94" s="432" t="s">
        <v>571</v>
      </c>
      <c r="N94" s="433" t="s">
        <v>595</v>
      </c>
      <c r="O94" s="433" t="s">
        <v>596</v>
      </c>
      <c r="R94" s="292"/>
      <c r="S94" s="292"/>
      <c r="T94" s="292"/>
      <c r="Y94" s="292"/>
    </row>
    <row r="95" spans="3:25" ht="15.75" thickBot="1">
      <c r="C95" s="397" t="s">
        <v>609</v>
      </c>
      <c r="D95" s="420">
        <f>(((MAX(E44:E64,E5:E27))*2 )+ 60)</f>
        <v>90</v>
      </c>
      <c r="E95" s="442">
        <v>0.3</v>
      </c>
      <c r="F95" s="420">
        <v>30</v>
      </c>
      <c r="G95" s="420">
        <f>400</f>
        <v>400</v>
      </c>
      <c r="H95" s="442">
        <f>(D95*E95*F95)+(IF(D95&gt;0,400))</f>
        <v>1210</v>
      </c>
      <c r="L95" s="439" t="s">
        <v>610</v>
      </c>
      <c r="M95" s="332">
        <f>IF(U3="PVC",MAX(D44:D64) *1+MAX(D5:D27)*0.5+MAX(D33:D38)*1.5,0)+15</f>
        <v>18</v>
      </c>
      <c r="N95" s="441">
        <v>193.54</v>
      </c>
      <c r="O95" s="441">
        <f>M95*N95</f>
        <v>3483.72</v>
      </c>
      <c r="R95" s="292"/>
      <c r="S95" s="292"/>
      <c r="T95" s="292"/>
      <c r="Y95" s="292"/>
    </row>
    <row r="96" spans="3:25">
      <c r="C96" s="414" t="s">
        <v>611</v>
      </c>
      <c r="D96" s="326">
        <v>1</v>
      </c>
      <c r="E96" s="447">
        <f>_xlfn.IFS(F96&lt;7,433,F96&gt;=30,2957/30,F96&gt;=7,1103/7)</f>
        <v>98.566666666666663</v>
      </c>
      <c r="F96" s="326">
        <v>30</v>
      </c>
      <c r="G96" s="326">
        <f>IF(X3="PVC",1,0)</f>
        <v>0</v>
      </c>
      <c r="H96" s="409">
        <f>D96*E96*F96</f>
        <v>2957</v>
      </c>
      <c r="I96" s="431">
        <v>0</v>
      </c>
      <c r="J96" s="433">
        <v>0</v>
      </c>
      <c r="L96" s="439" t="s">
        <v>612</v>
      </c>
      <c r="M96" s="443">
        <f>IF(U3="PVC",MAX(D44:D64)*3 +MAX(D5:D27)*2+MAX(D33:D38)*2,0)</f>
        <v>4</v>
      </c>
      <c r="N96" s="441">
        <v>25.65</v>
      </c>
      <c r="O96" s="441">
        <f>M96*N96</f>
        <v>102.6</v>
      </c>
      <c r="R96" s="292"/>
      <c r="S96" s="292"/>
      <c r="T96" s="292"/>
      <c r="Y96" s="292"/>
    </row>
    <row r="97" spans="3:25" ht="15.75" thickBot="1">
      <c r="C97" s="453" t="s">
        <v>613</v>
      </c>
      <c r="D97" s="326">
        <v>0</v>
      </c>
      <c r="E97" s="447">
        <v>520</v>
      </c>
      <c r="F97" s="411">
        <v>1</v>
      </c>
      <c r="G97" s="326">
        <f>IF(X3="PVC",1,0)</f>
        <v>0</v>
      </c>
      <c r="H97" s="409">
        <f>D97*E97*F97</f>
        <v>0</v>
      </c>
      <c r="I97" s="439" t="s">
        <v>614</v>
      </c>
      <c r="J97" s="441">
        <v>2000</v>
      </c>
      <c r="L97" s="439" t="s">
        <v>615</v>
      </c>
      <c r="M97" s="443">
        <v>2</v>
      </c>
      <c r="N97" s="441">
        <v>169</v>
      </c>
      <c r="O97" s="441">
        <f>M97*N97</f>
        <v>338</v>
      </c>
      <c r="R97" s="292"/>
      <c r="S97" s="292"/>
      <c r="T97" s="292"/>
      <c r="Y97" s="292"/>
    </row>
    <row r="98" spans="3:25" ht="15.75" thickBot="1">
      <c r="C98" s="454" t="s">
        <v>616</v>
      </c>
      <c r="D98" s="333">
        <v>0</v>
      </c>
      <c r="E98" s="455">
        <f>_xlfn.IFS(F98&lt;7,563,F98&gt;=30,4503/30,F98&gt;=7,2146/7)</f>
        <v>563</v>
      </c>
      <c r="F98" s="333">
        <v>2</v>
      </c>
      <c r="G98" s="333">
        <f>IF(X3="PVC",1,0)+400*0</f>
        <v>0</v>
      </c>
      <c r="H98" s="450">
        <f>(D98*E98*F98)+G98</f>
        <v>0</v>
      </c>
      <c r="I98" s="448"/>
      <c r="J98" s="390"/>
      <c r="L98" s="451"/>
      <c r="M98" s="451"/>
      <c r="N98" s="451"/>
      <c r="O98" s="451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617</v>
      </c>
      <c r="D99" s="420">
        <v>0</v>
      </c>
      <c r="E99" s="442">
        <v>5.18</v>
      </c>
      <c r="F99" s="420">
        <v>30</v>
      </c>
      <c r="G99" s="420">
        <v>0</v>
      </c>
      <c r="H99" s="409">
        <f>D99*E99*F99</f>
        <v>0</v>
      </c>
      <c r="I99" s="451">
        <f>SUM(I97:I98)</f>
        <v>0</v>
      </c>
      <c r="J99" s="451">
        <f>SUM(J97:J98)</f>
        <v>2000</v>
      </c>
      <c r="R99" s="292"/>
      <c r="S99" s="292"/>
      <c r="T99" s="292"/>
      <c r="Y99" s="291"/>
    </row>
    <row r="100" spans="3:25">
      <c r="C100" s="397" t="s">
        <v>618</v>
      </c>
      <c r="D100" s="420">
        <v>1</v>
      </c>
      <c r="E100" s="442">
        <v>185</v>
      </c>
      <c r="F100" s="420">
        <v>15</v>
      </c>
      <c r="G100" s="420">
        <f>IF(X3="PVC",1,0)+400*0</f>
        <v>0</v>
      </c>
      <c r="H100" s="442">
        <f>(D100*E100*F100)+G100</f>
        <v>2775</v>
      </c>
      <c r="L100" s="431" t="s">
        <v>39</v>
      </c>
      <c r="M100" s="432" t="s">
        <v>571</v>
      </c>
      <c r="N100" s="433" t="s">
        <v>595</v>
      </c>
      <c r="O100" s="433" t="s">
        <v>596</v>
      </c>
      <c r="R100" s="292"/>
      <c r="S100" s="292"/>
      <c r="T100" s="292"/>
      <c r="Y100" s="291"/>
    </row>
    <row r="101" spans="3:25">
      <c r="C101" s="397" t="s">
        <v>619</v>
      </c>
      <c r="D101" s="420">
        <v>1</v>
      </c>
      <c r="E101" s="442">
        <f>267</f>
        <v>267</v>
      </c>
      <c r="F101" s="420">
        <v>1</v>
      </c>
      <c r="G101" s="420">
        <v>65</v>
      </c>
      <c r="H101" s="442">
        <f>D101*E101*F101+(IF(D101&gt;0,65))</f>
        <v>332</v>
      </c>
      <c r="L101" s="439" t="s">
        <v>620</v>
      </c>
      <c r="M101" s="332">
        <f>IF(U3="PVC",MAX(E44:E64)+MAX(E5:E27)+MAX(E33:E38),0)+20</f>
        <v>35</v>
      </c>
      <c r="N101" s="441">
        <v>40.81</v>
      </c>
      <c r="O101" s="441">
        <f>M101*N101</f>
        <v>1428.3500000000001</v>
      </c>
      <c r="R101" s="292"/>
    </row>
    <row r="102" spans="3:25">
      <c r="C102" s="397" t="s">
        <v>621</v>
      </c>
      <c r="D102" s="420">
        <v>0</v>
      </c>
      <c r="E102" s="442">
        <v>1000</v>
      </c>
      <c r="F102" s="420">
        <v>1</v>
      </c>
      <c r="G102" s="420">
        <v>0</v>
      </c>
      <c r="H102" s="442">
        <f>D102*E102*F102+(IF(D102&gt;0,0))</f>
        <v>0</v>
      </c>
      <c r="L102" s="439" t="s">
        <v>622</v>
      </c>
      <c r="M102" s="456">
        <f>((MAX(D5:D27)*2+MAX(D44:D64))/10)</f>
        <v>0</v>
      </c>
      <c r="N102" s="441">
        <f>1500</f>
        <v>1500</v>
      </c>
      <c r="O102" s="441">
        <f>M102*N102</f>
        <v>0</v>
      </c>
      <c r="R102" s="292"/>
    </row>
    <row r="103" spans="3:25" ht="15.75" thickBot="1">
      <c r="C103" s="397" t="s">
        <v>623</v>
      </c>
      <c r="D103" s="420">
        <v>1</v>
      </c>
      <c r="E103" s="442">
        <v>169</v>
      </c>
      <c r="F103" s="420">
        <v>1</v>
      </c>
      <c r="G103" s="420">
        <v>0</v>
      </c>
      <c r="H103" s="442">
        <f>D103*E103*F103+(IF(D103&gt;0,0))</f>
        <v>169</v>
      </c>
      <c r="L103" s="439"/>
      <c r="M103" s="443"/>
      <c r="N103" s="441"/>
      <c r="O103" s="441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624</v>
      </c>
      <c r="D104" s="256">
        <v>1</v>
      </c>
      <c r="E104" s="257">
        <v>155</v>
      </c>
      <c r="F104" s="256">
        <v>1</v>
      </c>
      <c r="G104" s="256">
        <v>0</v>
      </c>
      <c r="H104" s="257">
        <f>(D104*E104*F104)+(IF(D104&gt;0,G104,0))</f>
        <v>155</v>
      </c>
      <c r="L104" s="451"/>
      <c r="M104" s="451"/>
      <c r="N104" s="451"/>
      <c r="O104" s="451">
        <f>SUM(O101:O103)</f>
        <v>1428.3500000000001</v>
      </c>
      <c r="R104" s="292"/>
      <c r="S104" s="292"/>
      <c r="T104" s="292"/>
    </row>
    <row r="105" spans="3:25" ht="15.75" thickBot="1">
      <c r="C105" s="255" t="s">
        <v>625</v>
      </c>
      <c r="D105" s="256">
        <v>1</v>
      </c>
      <c r="E105" s="257">
        <v>175</v>
      </c>
      <c r="F105" s="256">
        <v>1</v>
      </c>
      <c r="G105" s="256">
        <v>0</v>
      </c>
      <c r="H105" s="257">
        <f>(D105*E105*F105)+(IF(D105&gt;0,G105,0))</f>
        <v>175</v>
      </c>
      <c r="R105" s="292"/>
      <c r="S105" s="292"/>
      <c r="T105" s="292"/>
    </row>
    <row r="106" spans="3:25">
      <c r="C106" s="255" t="s">
        <v>626</v>
      </c>
      <c r="D106" s="256">
        <v>1</v>
      </c>
      <c r="E106" s="263">
        <v>220</v>
      </c>
      <c r="F106" s="256">
        <v>1</v>
      </c>
      <c r="G106" s="256">
        <v>0</v>
      </c>
      <c r="H106" s="263">
        <f t="shared" ref="H106:H110" si="29">(D106*E106*F106)+(IF(D106&gt;0,G106,0))</f>
        <v>220</v>
      </c>
      <c r="L106" s="431" t="s">
        <v>90</v>
      </c>
      <c r="M106" s="432" t="s">
        <v>571</v>
      </c>
      <c r="N106" s="433" t="s">
        <v>595</v>
      </c>
      <c r="O106" s="433" t="s">
        <v>596</v>
      </c>
      <c r="R106" s="292"/>
      <c r="S106" s="292"/>
      <c r="T106" s="292"/>
    </row>
    <row r="107" spans="3:25">
      <c r="C107" s="255" t="s">
        <v>627</v>
      </c>
      <c r="D107" s="256">
        <v>1</v>
      </c>
      <c r="E107" s="263">
        <v>796.63</v>
      </c>
      <c r="F107" s="256">
        <v>1</v>
      </c>
      <c r="G107" s="256">
        <v>0</v>
      </c>
      <c r="H107" s="263">
        <f t="shared" si="29"/>
        <v>796.63</v>
      </c>
      <c r="L107" s="439" t="s">
        <v>628</v>
      </c>
      <c r="M107" s="332">
        <f>IF(U3="PVC",IF(COUNTIF(D44:D64,"&gt;=4")&gt;0,2,1)+IF(COUNTIF(D5:D27,"&gt;=4")&gt;0,2,1))</f>
        <v>2</v>
      </c>
      <c r="N107" s="441">
        <v>4900</v>
      </c>
      <c r="O107" s="441">
        <f>M107*N107</f>
        <v>9800</v>
      </c>
      <c r="R107" s="292"/>
      <c r="S107" s="292"/>
      <c r="T107" s="292"/>
    </row>
    <row r="108" spans="3:25">
      <c r="C108" s="255" t="s">
        <v>629</v>
      </c>
      <c r="D108" s="256">
        <v>1</v>
      </c>
      <c r="E108" s="263">
        <v>45</v>
      </c>
      <c r="F108" s="256">
        <v>1</v>
      </c>
      <c r="G108" s="256">
        <v>0</v>
      </c>
      <c r="H108" s="263">
        <f t="shared" si="29"/>
        <v>45</v>
      </c>
      <c r="L108" s="439" t="s">
        <v>630</v>
      </c>
      <c r="M108" s="443">
        <f>IF(U3="PVC",IF(COUNTIF(D44:D64,"&gt;=1")&gt;0,1)+IF(COUNTIF(D5:D27,"&gt;=1")&gt;0,1))</f>
        <v>0</v>
      </c>
      <c r="N108" s="441">
        <v>5200</v>
      </c>
      <c r="O108" s="441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631</v>
      </c>
      <c r="D109" s="256">
        <v>1</v>
      </c>
      <c r="E109" s="263">
        <v>750</v>
      </c>
      <c r="F109" s="256">
        <v>1</v>
      </c>
      <c r="G109" s="256">
        <v>0</v>
      </c>
      <c r="H109" s="263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632</v>
      </c>
      <c r="D110" s="256">
        <v>1</v>
      </c>
      <c r="E110" s="263">
        <v>1410</v>
      </c>
      <c r="F110" s="256">
        <v>1</v>
      </c>
      <c r="G110" s="256">
        <v>400</v>
      </c>
      <c r="H110" s="263">
        <f t="shared" si="29"/>
        <v>1810</v>
      </c>
      <c r="L110" s="451"/>
      <c r="M110" s="451"/>
      <c r="N110" s="451"/>
      <c r="O110" s="451">
        <f>SUM(O107:O109)</f>
        <v>9800</v>
      </c>
      <c r="R110" s="292"/>
      <c r="S110" s="292"/>
      <c r="T110" s="292"/>
    </row>
    <row r="111" spans="3:25" ht="15.75" thickBot="1">
      <c r="H111" s="451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2026-09-09T20:49:22Z</dcterms:modified>
  <dc:language>en-US</dc:language>
</cp:coreProperties>
</file>