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'Version'!$A$1:$C$56</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'Electrical'!$A$1:$X$259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3.7.2</t>
        </is>
      </c>
      <c r="C4" s="791" t="n"/>
      <c r="D4" s="791" t="n"/>
    </row>
    <row r="5" ht="16" customHeight="1" s="254">
      <c r="A5" s="794" t="inlineStr">
        <is>
          <t>Released</t>
        </is>
      </c>
      <c r="B5" s="796" t="inlineStr">
        <is>
          <t>2026-09-18</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b83387921f8472c2</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n"/>
      <c r="C10" s="800" t="inlineStr">
        <is>
          <t>e.g. Rev A, Rev B — increment each time you send it back</t>
        </is>
      </c>
      <c r="D10" s="943" t="n"/>
    </row>
    <row r="11" ht="16" customHeight="1" s="254">
      <c r="A11" s="781" t="inlineStr">
        <is>
          <t>Date completed</t>
        </is>
      </c>
      <c r="B11" s="799" t="n"/>
      <c r="C11" s="791" t="n"/>
      <c r="D11" s="791" t="n"/>
    </row>
    <row r="12" ht="16" customHeight="1" s="254">
      <c r="A12" s="781" t="inlineStr">
        <is>
          <t>Completed by</t>
        </is>
      </c>
      <c r="B12" s="799" t="n"/>
      <c r="C12" s="791" t="n"/>
      <c r="D12" s="791" t="n"/>
    </row>
    <row r="13" ht="16" customHeight="1" s="254">
      <c r="A13" s="781" t="inlineStr">
        <is>
          <t>Project reference</t>
        </is>
      </c>
      <c r="B13" s="799" t="n"/>
      <c r="C13" s="791" t="n"/>
      <c r="D13" s="791" t="n"/>
    </row>
    <row r="14" ht="16" customHeight="1" s="254">
      <c r="A14" s="781" t="inlineStr">
        <is>
          <t>Notes on this revision</t>
        </is>
      </c>
      <c r="B14" s="799" t="n"/>
      <c r="C14" s="800" t="inlineStr">
        <is>
          <t>What changed since the last version you sent</t>
        </is>
      </c>
      <c r="D14" s="791" t="n"/>
    </row>
    <row r="15" ht="31" customHeight="1" s="254">
      <c r="A15" s="781" t="inlineStr">
        <is>
          <t>File content hash</t>
        </is>
      </c>
      <c r="B15" s="791" t="inlineStr">
        <is>
          <t>b83387921f8472c2</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56" customHeight="1" s="254">
      <c r="A55" s="802" t="inlineStr">
        <is>
          <t>3.6.0</t>
        </is>
      </c>
      <c r="B55" s="802" t="inlineStr">
        <is>
          <t>2026-09-18</t>
        </is>
      </c>
      <c r="C55" s="944"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300" customHeight="1" s="254">
      <c r="A56" s="802" t="inlineStr">
        <is>
          <t>3.7.2</t>
        </is>
      </c>
      <c r="B56" s="802" t="inlineStr">
        <is>
          <t>2026-09-18</t>
        </is>
      </c>
      <c r="C56" s="944"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min="1" max="1" customWidth="1" style="253" width="42"/>
    <col min="2" max="2" customWidth="1" style="254" width="14"/>
    <col min="3" max="3" customWidth="1" style="253" width="46"/>
    <col min="4" max="4" customWidth="1" style="253" width="10"/>
    <col min="5" max="6" customWidth="1" style="254" width="12"/>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56" customHeight="1" s="254">
      <c r="A33" s="781" t="inlineStr">
        <is>
          <t>•</t>
        </is>
      </c>
      <c r="B33" s="781"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804" t="n"/>
      <c r="F33" s="804" t="n"/>
    </row>
    <row r="34" ht="43.5" customHeight="1" s="254">
      <c r="A34" s="781" t="inlineStr">
        <is>
          <t>•</t>
        </is>
      </c>
      <c r="B34" s="781" t="inlineStr">
        <is>
          <t>Set the project type on the Existing tab section A first — every section header on that tab then says whether it applies, and every check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43.5" customHeight="1" s="254">
      <c r="A38" s="781" t="inlineStr">
        <is>
          <t>•</t>
        </is>
      </c>
      <c r="B38" s="781" t="inlineStr">
        <is>
          <t>Section H is the removal scope. It is zero on a greenfield or add-load project and real money on a replacement. Section I is the capacity test for any site that keeps its service.</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min="1" max="1" customWidth="1" style="253" width="36"/>
    <col min="2" max="2" customWidth="1" style="253" width="30"/>
    <col min="3" max="3" customWidth="1" style="253" width="56"/>
    <col min="4" max="4" customWidth="1" style="253" width="9"/>
    <col min="5" max="6" customWidth="1" style="254" width="9"/>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n"/>
      <c r="C5" s="792" t="inlineStr">
        <is>
          <t>As it will appear on the proposal</t>
        </is>
      </c>
      <c r="D5" s="804" t="n"/>
      <c r="E5" s="804" t="n"/>
      <c r="F5" s="804" t="n"/>
    </row>
    <row r="6" ht="16" customHeight="1" s="254">
      <c r="A6" s="781" t="inlineStr">
        <is>
          <t>Client contact name</t>
        </is>
      </c>
      <c r="B6" s="799" t="n"/>
      <c r="C6" s="804" t="n"/>
      <c r="D6" s="804" t="n"/>
      <c r="E6" s="804" t="n"/>
      <c r="F6" s="804" t="n"/>
    </row>
    <row r="7" ht="16" customHeight="1" s="254">
      <c r="A7" s="781" t="inlineStr">
        <is>
          <t>Contact title</t>
        </is>
      </c>
      <c r="B7" s="799" t="n"/>
      <c r="C7" s="804" t="n"/>
      <c r="D7" s="804" t="n"/>
      <c r="E7" s="804" t="n"/>
      <c r="F7" s="804" t="n"/>
    </row>
    <row r="8" ht="16" customHeight="1" s="254">
      <c r="A8" s="781" t="inlineStr">
        <is>
          <t>Contact email</t>
        </is>
      </c>
      <c r="B8" s="799" t="n"/>
      <c r="C8" s="804" t="n"/>
      <c r="D8" s="804" t="n"/>
      <c r="E8" s="804" t="n"/>
      <c r="F8" s="804" t="n"/>
    </row>
    <row r="9" ht="16" customHeight="1" s="254">
      <c r="A9" s="781" t="inlineStr">
        <is>
          <t>Contact phone</t>
        </is>
      </c>
      <c r="B9" s="799" t="n"/>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n"/>
      <c r="C12" s="804" t="n"/>
      <c r="D12" s="804" t="n"/>
      <c r="E12" s="804" t="n"/>
      <c r="F12" s="804" t="n"/>
    </row>
    <row r="13" ht="16" customHeight="1" s="254">
      <c r="A13" s="781" t="inlineStr">
        <is>
          <t>Street address</t>
        </is>
      </c>
      <c r="B13" s="799" t="n"/>
      <c r="C13" s="804" t="n"/>
      <c r="D13" s="804" t="n"/>
      <c r="E13" s="804" t="n"/>
      <c r="F13" s="804" t="n"/>
    </row>
    <row r="14" ht="16" customHeight="1" s="254">
      <c r="A14" s="781" t="inlineStr">
        <is>
          <t>City / State / ZIP</t>
        </is>
      </c>
      <c r="B14" s="799" t="n"/>
      <c r="C14" s="804" t="n"/>
      <c r="D14" s="804" t="n"/>
      <c r="E14" s="804" t="n"/>
      <c r="F14" s="804" t="n"/>
    </row>
    <row r="15" ht="16" customHeight="1" s="254">
      <c r="A15" s="781" t="inlineStr">
        <is>
          <t>County</t>
        </is>
      </c>
      <c r="B15" s="799" t="n"/>
      <c r="C15" s="804" t="n"/>
      <c r="D15" s="804" t="n"/>
      <c r="E15" s="804" t="n"/>
      <c r="F15" s="804" t="n"/>
    </row>
    <row r="16" ht="16" customHeight="1" s="254">
      <c r="A16" s="781" t="inlineStr">
        <is>
          <t>Property type</t>
        </is>
      </c>
      <c r="B16" s="799" t="n"/>
      <c r="C16" s="792" t="inlineStr">
        <is>
          <t>Retail, dealership, fleet depot, hotel, grocery…</t>
        </is>
      </c>
      <c r="D16" s="804" t="n"/>
      <c r="E16" s="804" t="n"/>
      <c r="F16" s="804" t="n"/>
    </row>
    <row r="17" ht="43.5" customHeight="1" s="254">
      <c r="A17" s="781" t="inlineStr">
        <is>
          <t>Project type</t>
        </is>
      </c>
      <c r="B17" s="815">
        <f>Existing!B5</f>
        <v/>
      </c>
      <c r="C17" s="816" t="inlineStr">
        <is>
          <t>Set this on the Existing tab. An add-load site completes the Existing tab sections B, D and I; a replacement site completes it in full; a greenfield site with a new service leaves it alone.</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n"/>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n"/>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n"/>
      <c r="C27" s="792" t="inlineStr">
        <is>
          <t>From a recent bill</t>
        </is>
      </c>
      <c r="D27" s="804" t="n"/>
      <c r="E27" s="804" t="n"/>
      <c r="F27" s="804" t="n"/>
    </row>
    <row r="28" ht="16" customHeight="1" s="254">
      <c r="A28" s="781" t="inlineStr">
        <is>
          <t>Existing service size (A)</t>
        </is>
      </c>
      <c r="B28" s="818" t="n"/>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n"/>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n"/>
      <c r="C35" s="804" t="n"/>
      <c r="D35" s="804" t="n"/>
      <c r="E35" s="804" t="n"/>
      <c r="F35" s="804" t="n"/>
    </row>
    <row r="36" ht="16" customHeight="1" s="254">
      <c r="A36" s="781" t="inlineStr">
        <is>
          <t>RSM / account owner</t>
        </is>
      </c>
      <c r="B36" s="799" t="n"/>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n"/>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min="1" max="1" customWidth="1" style="253" width="34"/>
    <col min="2" max="2" customWidth="1" style="253" width="22"/>
    <col min="3" max="3" customWidth="1" style="253" width="36"/>
    <col min="4" max="4" customWidth="1" style="253" width="30"/>
    <col min="5" max="7" customWidth="1" style="254" width="9"/>
  </cols>
  <sheetData>
    <row r="1" ht="26" customHeight="1" s="254">
      <c r="A1" s="790" t="inlineStr">
        <is>
          <t>1B · EXISTING SITE — existing service, rip and replace, or replace and expand</t>
        </is>
      </c>
    </row>
    <row r="2" ht="31" customHeight="1" s="254">
      <c r="A2" s="816"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68.5" customHeight="1" s="254">
      <c r="A5" s="781" t="inlineStr">
        <is>
          <t>Project type</t>
        </is>
      </c>
      <c r="B5" s="807" t="inlineStr">
        <is>
          <t>Greenfield — new service</t>
        </is>
      </c>
      <c r="C5" s="816"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31" customHeight="1" s="254">
      <c r="A6" s="781" t="inlineStr">
        <is>
          <t>Age of the existing installation (years)</t>
        </is>
      </c>
      <c r="B6" s="818" t="n"/>
      <c r="C6" s="816" t="inlineStr">
        <is>
          <t>Drives whether the existing conductors and gear are worth reusing.</t>
        </is>
      </c>
      <c r="E6" s="804" t="n"/>
      <c r="F6" s="804" t="n"/>
      <c r="G6" s="804" t="n"/>
    </row>
    <row r="7" ht="31" customHeight="1" s="254">
      <c r="A7" s="781" t="inlineStr">
        <is>
          <t>Reason for replacement</t>
        </is>
      </c>
      <c r="B7" s="799" t="n"/>
      <c r="C7" s="816" t="inlineStr">
        <is>
          <t>End of life, unreliability, obsolete connectors, insufficient power, or a commercial decision.</t>
        </is>
      </c>
      <c r="E7" s="804" t="n"/>
      <c r="F7" s="804" t="n"/>
      <c r="G7" s="804" t="n"/>
    </row>
    <row r="8" ht="16" customHeight="1" s="254">
      <c r="A8" s="781" t="inlineStr">
        <is>
          <t>Who owns the existing equipment?</t>
        </is>
      </c>
      <c r="B8" s="799" t="n"/>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31" customHeight="1" s="254">
      <c r="A11" s="816"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n"/>
      <c r="C13" s="825" t="inlineStr">
        <is>
          <t>Existing service stays. No Rule 29 application, no new meter.</t>
        </is>
      </c>
      <c r="D13" s="299" t="n"/>
      <c r="E13" s="804" t="n"/>
      <c r="F13" s="804" t="n"/>
      <c r="G13" s="804" t="n"/>
    </row>
    <row r="14" ht="16" customHeight="1" s="254">
      <c r="A14" s="825" t="inlineStr">
        <is>
          <t>Service feeder to switchgear</t>
        </is>
      </c>
      <c r="B14" s="799" t="n"/>
      <c r="C14" s="825" t="inlineStr">
        <is>
          <t>Conductor from the point of delivery to the switchboard.</t>
        </is>
      </c>
      <c r="D14" s="299" t="n"/>
      <c r="E14" s="804" t="n"/>
      <c r="F14" s="804" t="n"/>
      <c r="G14" s="804" t="n"/>
    </row>
    <row r="15" ht="31" customHeight="1" s="254">
      <c r="A15" s="825" t="inlineStr">
        <is>
          <t>Main distribution switchgear</t>
        </is>
      </c>
      <c r="B15" s="799" t="n"/>
      <c r="C15" s="825" t="inlineStr">
        <is>
          <t>Switchboard, main breaker and metering section.</t>
        </is>
      </c>
      <c r="D15" s="804" t="n"/>
      <c r="E15" s="804" t="n"/>
      <c r="F15" s="804" t="n"/>
      <c r="G15" s="804" t="n"/>
    </row>
    <row r="16" ht="31" customHeight="1" s="254">
      <c r="A16" s="825" t="inlineStr">
        <is>
          <t>Branch conductors to each charger</t>
        </is>
      </c>
      <c r="B16" s="799" t="n"/>
      <c r="C16" s="825" t="inlineStr">
        <is>
          <t>The feeders from switchgear to cabinet. The single largest reuse saving.</t>
        </is>
      </c>
      <c r="D16" s="299" t="n"/>
      <c r="E16" s="804" t="n"/>
      <c r="F16" s="804" t="n"/>
      <c r="G16" s="804" t="n"/>
    </row>
    <row r="17" ht="31" customHeight="1" s="254">
      <c r="A17" s="825" t="inlineStr">
        <is>
          <t>Conduit and trench</t>
        </is>
      </c>
      <c r="B17" s="799" t="n"/>
      <c r="C17" s="825" t="inlineStr">
        <is>
          <t>Existing conduit reused; no re-trenching if the new cabinets land on the same pads.</t>
        </is>
      </c>
      <c r="D17" s="299" t="n"/>
      <c r="E17" s="804" t="n"/>
      <c r="F17" s="804" t="n"/>
      <c r="G17" s="804" t="n"/>
    </row>
    <row r="18" ht="31" customHeight="1" s="254">
      <c r="A18" s="825" t="inlineStr">
        <is>
          <t>Branch breakers</t>
        </is>
      </c>
      <c r="B18" s="799" t="n"/>
      <c r="C18" s="825" t="inlineStr">
        <is>
          <t>Sized to the new cabinet, not the old one. Usually cheap and always worth replacing.</t>
        </is>
      </c>
      <c r="D18" s="299" t="n"/>
      <c r="E18" s="804" t="n"/>
      <c r="F18" s="804" t="n"/>
      <c r="G18" s="804" t="n"/>
    </row>
    <row r="19" ht="16" customHeight="1" s="254">
      <c r="A19" s="825" t="inlineStr">
        <is>
          <t>Concrete pads</t>
        </is>
      </c>
      <c r="B19" s="799" t="n"/>
      <c r="C19" s="825" t="inlineStr">
        <is>
          <t>New cabinets rarely match the old footprint or anchor pattern.</t>
        </is>
      </c>
      <c r="D19" s="299" t="n"/>
      <c r="E19" s="804" t="n"/>
      <c r="F19" s="804" t="n"/>
      <c r="G19" s="804" t="n"/>
    </row>
    <row r="20" ht="16" customHeight="1" s="254">
      <c r="A20" s="825" t="inlineStr">
        <is>
          <t>Bollards and equipment protection</t>
        </is>
      </c>
      <c r="B20" s="799" t="n"/>
      <c r="C20" s="825" t="inlineStr">
        <is>
          <t>Usually disturbed by pad removal.</t>
        </is>
      </c>
      <c r="D20" s="804" t="n"/>
      <c r="E20" s="804" t="n"/>
      <c r="F20" s="804" t="n"/>
      <c r="G20" s="804" t="n"/>
    </row>
    <row r="21" ht="31" customHeight="1" s="254">
      <c r="A21" s="825" t="inlineStr">
        <is>
          <t>Paving and striping</t>
        </is>
      </c>
      <c r="B21" s="799" t="n"/>
      <c r="C21" s="825" t="inlineStr">
        <is>
          <t>Reinstatement around the new pads only.</t>
        </is>
      </c>
      <c r="D21" s="804" t="n"/>
      <c r="E21" s="804" t="n"/>
      <c r="F21" s="804" t="n"/>
      <c r="G21" s="804" t="n"/>
    </row>
    <row r="22" ht="31" customHeight="1" s="254">
      <c r="A22" s="825" t="inlineStr">
        <is>
          <t>ADA stalls and route</t>
        </is>
      </c>
      <c r="B22" s="799" t="n"/>
      <c r="C22" s="825" t="inlineStr">
        <is>
          <t>Reused if the layout is unchanged and still compliant.</t>
        </is>
      </c>
      <c r="D22" s="804" t="n"/>
      <c r="E22" s="804" t="n"/>
      <c r="F22" s="804" t="n"/>
      <c r="G22" s="804" t="n"/>
    </row>
    <row r="23" ht="16" customHeight="1" s="254">
      <c r="A23" s="825" t="inlineStr">
        <is>
          <t>Signage</t>
        </is>
      </c>
      <c r="B23" s="799" t="n"/>
      <c r="C23" s="825" t="inlineStr">
        <is>
          <t>Network branding, pricing and connector types all change.</t>
        </is>
      </c>
      <c r="D23" s="299" t="n"/>
      <c r="E23" s="804" t="n"/>
      <c r="F23" s="804" t="n"/>
      <c r="G23" s="804" t="n"/>
    </row>
    <row r="24" ht="16" customHeight="1" s="254">
      <c r="A24" s="825" t="inlineStr">
        <is>
          <t>Network and payment hardware</t>
        </is>
      </c>
      <c r="B24" s="799" t="n"/>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945">
        <f>IF(OR($B$5="Greenfield — new service",$B$5="Greenfield — add load to existing service"),"— skip: no existing chargers","— complete this section")</f>
        <v/>
      </c>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n"/>
      <c r="B33" s="818" t="n"/>
      <c r="C33" s="818" t="n"/>
      <c r="D33" s="799" t="n"/>
      <c r="E33" s="818" t="n"/>
      <c r="F33" s="819" t="n"/>
      <c r="G33" s="799" t="n"/>
    </row>
    <row r="34" ht="16" customHeight="1" s="254">
      <c r="A34" s="827" t="n"/>
      <c r="B34" s="818" t="n"/>
      <c r="C34" s="818" t="n"/>
      <c r="D34" s="799" t="n"/>
      <c r="E34" s="818" t="n"/>
      <c r="F34" s="819" t="n"/>
      <c r="G34" s="799" t="n"/>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945">
        <f>IF($B$5&lt;&gt;"Greenfield — new service","— complete this section","— skip: new service")</f>
        <v/>
      </c>
      <c r="C48" s="804" t="n"/>
      <c r="D48" s="804" t="n"/>
      <c r="E48" s="804" t="n"/>
      <c r="F48" s="804" t="n"/>
      <c r="G48" s="804" t="n"/>
    </row>
    <row r="49" ht="31" customHeight="1" s="254">
      <c r="A49" s="816"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31" customHeight="1" s="254">
      <c r="A50" s="781" t="inlineStr">
        <is>
          <t>Existing service size (A)</t>
        </is>
      </c>
      <c r="B50" s="831" t="n"/>
      <c r="C50" s="816" t="inlineStr">
        <is>
          <t>From the meter panel or the utility bill.</t>
        </is>
      </c>
      <c r="D50" s="804" t="n"/>
      <c r="E50" s="804" t="n"/>
      <c r="F50" s="804" t="n"/>
      <c r="G50" s="804" t="n"/>
    </row>
    <row r="51" ht="93.5" customHeight="1" s="254">
      <c r="A51" s="781" t="inlineStr">
        <is>
          <t>Existing service voltage</t>
        </is>
      </c>
      <c r="B51" s="832">
        <f>IF($B$5="Greenfield — new service","n/a",IF($B$13="RETAIN",Project!$B$29,"replaced — the new service voltage is on the Project tab"))</f>
        <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c r="C52" s="816" t="inlineStr">
        <is>
          <t>What is available for the new equipment without an upgrade.</t>
        </is>
      </c>
      <c r="E52" s="804" t="n"/>
      <c r="F52" s="804" t="n"/>
      <c r="G52" s="804" t="n"/>
    </row>
    <row r="53" ht="16" customHeight="1" s="254">
      <c r="A53" s="781" t="inlineStr">
        <is>
          <t>Existing switchgear frame (A)</t>
        </is>
      </c>
      <c r="B53" s="818" t="n"/>
      <c r="C53" s="816" t="inlineStr">
        <is>
          <t>The main breaker frame size.</t>
        </is>
      </c>
      <c r="D53" s="804" t="n"/>
      <c r="E53" s="804" t="n"/>
      <c r="F53" s="804" t="n"/>
      <c r="G53" s="804" t="n"/>
    </row>
    <row r="54" ht="16" customHeight="1" s="254">
      <c r="A54" s="781" t="inlineStr">
        <is>
          <t>Existing branch conductor size</t>
        </is>
      </c>
      <c r="B54" s="799" t="n"/>
      <c r="C54" s="816" t="inlineStr">
        <is>
          <t>e.g. 250 KCMIL Cu. Determines whether it can carry the new cabinet.</t>
        </is>
      </c>
      <c r="E54" s="804" t="n"/>
      <c r="F54" s="804" t="n"/>
      <c r="G54" s="804" t="n"/>
    </row>
    <row r="55" ht="16" customHeight="1" s="254">
      <c r="A55" s="781" t="inlineStr">
        <is>
          <t>Average branch run length (ft)</t>
        </is>
      </c>
      <c r="B55" s="818" t="n"/>
      <c r="C55" s="816" t="inlineStr">
        <is>
          <t>Switchgear to cabinet, per position.</t>
        </is>
      </c>
      <c r="D55" s="804" t="n"/>
      <c r="E55" s="804" t="n"/>
      <c r="F55" s="804" t="n"/>
      <c r="G55" s="804" t="n"/>
    </row>
    <row r="56" ht="31" customHeight="1" s="254">
      <c r="A56" s="781" t="inlineStr">
        <is>
          <t>Existing conduit size and type</t>
        </is>
      </c>
      <c r="B56" s="799" t="n"/>
      <c r="C56" s="816" t="inlineStr">
        <is>
          <t>e.g. 2-1/2 in PVC. Determines whether a larger conductor could be pulled if needed.</t>
        </is>
      </c>
      <c r="E56" s="804" t="n"/>
      <c r="F56" s="804" t="n"/>
      <c r="G56" s="804" t="n"/>
    </row>
    <row r="57" ht="31" customHeight="1" s="254">
      <c r="A57" s="781" t="inlineStr">
        <is>
          <t>Existing rate schedule</t>
        </is>
      </c>
      <c r="B57" s="799" t="n"/>
      <c r="C57" s="816" t="inlineStr">
        <is>
          <t>The tariff the site is billed on today.</t>
        </is>
      </c>
      <c r="D57" s="804" t="n"/>
      <c r="E57" s="804" t="n"/>
      <c r="F57" s="804" t="n"/>
      <c r="G57" s="804" t="n"/>
    </row>
    <row r="58" ht="16" customHeight="1" s="254">
      <c r="A58" s="781" t="inlineStr">
        <is>
          <t>Separately metered for EV today?</t>
        </is>
      </c>
      <c r="B58" s="799" t="n"/>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31" customHeight="1" s="254">
      <c r="A60" s="794" t="inlineStr">
        <is>
          <t>Does the existing service carry the new load?</t>
        </is>
      </c>
      <c r="B60" s="822">
        <f>$B$198</f>
        <v/>
      </c>
      <c r="C60" s="299" t="n"/>
      <c r="D60" s="814" t="inlineStr">
        <is>
          <t>Read from section I. Names the basis it used — measured peak demand, stated spare capacity, or service size.</t>
        </is>
      </c>
    </row>
    <row r="61" ht="43.5" customHeight="1" s="254">
      <c r="A61" s="794" t="inlineStr">
        <is>
          <t>Does the existing switchgear carry the new load?</t>
        </is>
      </c>
      <c r="B61" s="822">
        <f>$B$199</f>
        <v/>
      </c>
      <c r="C61" s="299" t="n"/>
      <c r="D61" s="814" t="inlineStr">
        <is>
          <t>Read from section I. The engine reads this row: a site that keeps its switchgear must read OK here before a model is built.</t>
        </is>
      </c>
    </row>
    <row r="62" ht="43.5" customHeight="1" s="254">
      <c r="A62" s="794" t="inlineStr">
        <is>
          <t>Load change from the existing installation</t>
        </is>
      </c>
      <c r="B62" s="822">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945">
        <f>IF(OR($B$5="Greenfield — new service",$B$5="Greenfield — add load to existing service"),"— skip: no charging history","— complete this section")</f>
        <v/>
      </c>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n"/>
      <c r="B67" s="818" t="n"/>
      <c r="C67" s="833" t="n"/>
      <c r="D67" s="818" t="n"/>
      <c r="E67" s="833" t="n"/>
      <c r="F67" s="834" t="n"/>
      <c r="G67" s="799" t="n"/>
    </row>
    <row r="68" ht="16" customHeight="1" s="254">
      <c r="A68" s="827" t="n"/>
      <c r="B68" s="818" t="n"/>
      <c r="C68" s="833" t="n"/>
      <c r="D68" s="818" t="n"/>
      <c r="E68" s="833" t="n"/>
      <c r="F68" s="834" t="n"/>
      <c r="G68" s="799" t="n"/>
    </row>
    <row r="69" ht="16" customHeight="1" s="254">
      <c r="A69" s="827" t="n"/>
      <c r="B69" s="818" t="n"/>
      <c r="C69" s="833" t="n"/>
      <c r="D69" s="818" t="n"/>
      <c r="E69" s="833" t="n"/>
      <c r="F69" s="834" t="n"/>
      <c r="G69" s="799" t="n"/>
    </row>
    <row r="70" ht="16" customHeight="1" s="254">
      <c r="A70" s="827" t="n"/>
      <c r="B70" s="818" t="n"/>
      <c r="C70" s="833" t="n"/>
      <c r="D70" s="818" t="n"/>
      <c r="E70" s="833" t="n"/>
      <c r="F70" s="834" t="n"/>
      <c r="G70" s="799" t="n"/>
    </row>
    <row r="71" ht="16" customHeight="1" s="254">
      <c r="A71" s="827" t="n"/>
      <c r="B71" s="818" t="n"/>
      <c r="C71" s="833" t="n"/>
      <c r="D71" s="818" t="n"/>
      <c r="E71" s="833" t="n"/>
      <c r="F71" s="834" t="n"/>
      <c r="G71" s="799" t="n"/>
    </row>
    <row r="72" ht="16" customHeight="1" s="254">
      <c r="A72" s="827" t="n"/>
      <c r="B72" s="818" t="n"/>
      <c r="C72" s="833" t="n"/>
      <c r="D72" s="818" t="n"/>
      <c r="E72" s="833" t="n"/>
      <c r="F72" s="834" t="n"/>
      <c r="G72" s="799" t="n"/>
    </row>
    <row r="73" ht="16" customHeight="1" s="254">
      <c r="A73" s="827" t="n"/>
      <c r="B73" s="818" t="n"/>
      <c r="C73" s="833" t="n"/>
      <c r="D73" s="818" t="n"/>
      <c r="E73" s="833" t="n"/>
      <c r="F73" s="834" t="n"/>
      <c r="G73" s="799" t="n"/>
    </row>
    <row r="74" ht="16" customHeight="1" s="254">
      <c r="A74" s="827" t="n"/>
      <c r="B74" s="818" t="n"/>
      <c r="C74" s="833" t="n"/>
      <c r="D74" s="818" t="n"/>
      <c r="E74" s="833" t="n"/>
      <c r="F74" s="834" t="n"/>
      <c r="G74" s="799" t="n"/>
    </row>
    <row r="75" ht="16" customHeight="1" s="254">
      <c r="A75" s="827" t="n"/>
      <c r="B75" s="818" t="n"/>
      <c r="C75" s="833" t="n"/>
      <c r="D75" s="818" t="n"/>
      <c r="E75" s="833" t="n"/>
      <c r="F75" s="834" t="n"/>
      <c r="G75" s="799" t="n"/>
    </row>
    <row r="76" ht="16" customHeight="1" s="254">
      <c r="A76" s="827" t="n"/>
      <c r="B76" s="818" t="n"/>
      <c r="C76" s="833" t="n"/>
      <c r="D76" s="818" t="n"/>
      <c r="E76" s="833" t="n"/>
      <c r="F76" s="834" t="n"/>
      <c r="G76" s="799" t="n"/>
    </row>
    <row r="77" ht="16" customHeight="1" s="254">
      <c r="A77" s="827" t="n"/>
      <c r="B77" s="818" t="n"/>
      <c r="C77" s="833" t="n"/>
      <c r="D77" s="818" t="n"/>
      <c r="E77" s="833" t="n"/>
      <c r="F77" s="834" t="n"/>
      <c r="G77" s="799" t="n"/>
    </row>
    <row r="78" ht="16" customHeight="1" s="254">
      <c r="A78" s="827" t="n"/>
      <c r="B78" s="818" t="n"/>
      <c r="C78" s="833" t="n"/>
      <c r="D78" s="818" t="n"/>
      <c r="E78" s="833" t="n"/>
      <c r="F78" s="834" t="n"/>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945">
        <f>IF(OR($B$5="Greenfield — new service",$B$5="Greenfield — add load to existing service"),"— skip: nothing to expand from","— complete this section")</f>
        <v/>
      </c>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n"/>
      <c r="C131" s="799" t="n"/>
      <c r="D131" s="839" t="n"/>
      <c r="E131" s="804" t="n"/>
      <c r="F131" s="804" t="n"/>
      <c r="G131" s="804" t="n"/>
    </row>
    <row r="132" ht="16" customHeight="1" s="254">
      <c r="A132" s="825" t="inlineStr">
        <is>
          <t>CCS1</t>
        </is>
      </c>
      <c r="B132" s="799" t="n"/>
      <c r="C132" s="799" t="n"/>
      <c r="D132" s="839" t="n"/>
      <c r="E132" s="804" t="n"/>
      <c r="F132" s="804" t="n"/>
      <c r="G132" s="804" t="n"/>
    </row>
    <row r="133" ht="16" customHeight="1" s="254">
      <c r="A133" s="825" t="inlineStr">
        <is>
          <t>CHAdeMO</t>
        </is>
      </c>
      <c r="B133" s="799" t="n"/>
      <c r="C133" s="799" t="n"/>
      <c r="D133" s="839" t="n"/>
      <c r="E133" s="804" t="n"/>
      <c r="F133" s="804" t="n"/>
      <c r="G133" s="804" t="n"/>
    </row>
    <row r="134" ht="16" customHeight="1" s="254">
      <c r="A134" s="825" t="inlineStr">
        <is>
          <t>J1772 (Level 2)</t>
        </is>
      </c>
      <c r="B134" s="799" t="n"/>
      <c r="C134" s="799" t="n"/>
      <c r="D134" s="839" t="n"/>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945">
        <f>IF(OR($B$5="Greenfield — new service",$B$5="Greenfield — add load to existing service"),"— skip: projection is on the Revenue tab","— derived from E and F")</f>
        <v/>
      </c>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945">
        <f>IF(OR($B$5="Greenfield — new service",$B$5="Greenfield — add load to existing service"),"— skip: nothing to remove","— complete this section")</f>
        <v/>
      </c>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c r="C174" s="825" t="inlineStr">
        <is>
          <t>Includes de-energising, lockout and terminations</t>
        </is>
      </c>
      <c r="D174" s="804" t="n"/>
      <c r="E174" s="804" t="n"/>
      <c r="F174" s="804" t="n"/>
      <c r="G174" s="804" t="n"/>
    </row>
    <row r="175" ht="16" customHeight="1" s="254">
      <c r="A175" s="825" t="inlineStr">
        <is>
          <t>Concrete pads to break out (ea)</t>
        </is>
      </c>
      <c r="B175" s="818" t="n"/>
      <c r="C175" s="825" t="inlineStr">
        <is>
          <t>Saw-cut, break, remove and dispose</t>
        </is>
      </c>
      <c r="D175" s="804" t="n"/>
      <c r="E175" s="804" t="n"/>
      <c r="F175" s="804" t="n"/>
      <c r="G175" s="804" t="n"/>
    </row>
    <row r="176" ht="16" customHeight="1" s="254">
      <c r="A176" s="825" t="inlineStr">
        <is>
          <t>Bollards to remove (ea)</t>
        </is>
      </c>
      <c r="B176" s="818" t="n"/>
      <c r="C176" s="843" t="n"/>
      <c r="D176" s="804" t="n"/>
      <c r="E176" s="804" t="n"/>
      <c r="F176" s="804" t="n"/>
      <c r="G176" s="804" t="n"/>
    </row>
    <row r="177" ht="16" customHeight="1" s="254">
      <c r="A177" s="825" t="inlineStr">
        <is>
          <t>Signage to remove (ea)</t>
        </is>
      </c>
      <c r="B177" s="818" t="n"/>
      <c r="C177" s="843" t="n"/>
      <c r="D177" s="804" t="n"/>
      <c r="E177" s="804" t="n"/>
      <c r="F177" s="804" t="n"/>
      <c r="G177" s="804" t="n"/>
    </row>
    <row r="178" ht="31" customHeight="1" s="254">
      <c r="A178" s="825" t="inlineStr">
        <is>
          <t>Disposal loads (ea)</t>
        </is>
      </c>
      <c r="B178" s="818" t="n"/>
      <c r="C178" s="825" t="inlineStr">
        <is>
          <t>Concrete and steel to a licensed facility</t>
        </is>
      </c>
      <c r="D178" s="804" t="n"/>
      <c r="E178" s="804" t="n"/>
      <c r="F178" s="804" t="n"/>
      <c r="G178" s="804" t="n"/>
    </row>
    <row r="179" ht="16" customHeight="1" s="254">
      <c r="A179" s="825" t="inlineStr">
        <is>
          <t>Equipment recycling or resale?</t>
        </is>
      </c>
      <c r="B179" s="799" t="n"/>
      <c r="C179" s="825" t="inlineStr">
        <is>
          <t>Working units may carry salvage value</t>
        </is>
      </c>
      <c r="D179" s="804" t="n"/>
      <c r="E179" s="804" t="n"/>
      <c r="F179" s="804" t="n"/>
      <c r="G179" s="804" t="n"/>
    </row>
    <row r="180" ht="16" customHeight="1" s="254">
      <c r="A180" s="825" t="inlineStr">
        <is>
          <t>Hazardous material identified?</t>
        </is>
      </c>
      <c r="B180" s="799" t="n"/>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n"/>
      <c r="C181" s="825" t="inlineStr">
        <is>
          <t>If the site cannot go dark, this is a separate cost</t>
        </is>
      </c>
      <c r="D181" s="804" t="n"/>
      <c r="E181" s="804" t="n"/>
      <c r="F181" s="804" t="n"/>
      <c r="G181" s="804" t="n"/>
    </row>
    <row r="182" ht="31" customHeight="1" s="254">
      <c r="A182" s="825" t="inlineStr">
        <is>
          <t>Site protection and traffic control (days)</t>
        </is>
      </c>
      <c r="B182" s="818" t="n"/>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row r="187" ht="16" customHeight="1" s="254">
      <c r="A187" s="811" t="n"/>
      <c r="B187" s="804" t="n"/>
      <c r="C187" s="804" t="n"/>
      <c r="D187" s="804" t="n"/>
      <c r="E187" s="804" t="n"/>
      <c r="F187" s="804" t="n"/>
      <c r="G187" s="804" t="n"/>
    </row>
    <row r="188" ht="47.25" customHeight="1" s="254">
      <c r="A188" s="798" t="inlineStr">
        <is>
          <t>I · Capacity of the existing service — add-load and replacement projects</t>
        </is>
      </c>
      <c r="B188" s="945">
        <f>IF($B$5&lt;&gt;"Greenfield — new service","— complete this section","— skip: new service")</f>
        <v/>
      </c>
      <c r="C188" s="804" t="n"/>
      <c r="D188" s="804" t="n"/>
      <c r="E188" s="804" t="n"/>
      <c r="F188" s="804" t="n"/>
      <c r="G188" s="804" t="n"/>
    </row>
    <row r="189" ht="56" customHeight="1" s="254">
      <c r="A189" s="816"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31" customHeight="1" s="254">
      <c r="A190" s="781" t="inlineStr">
        <is>
          <t>New load to be added (kW)</t>
        </is>
      </c>
      <c r="B190" s="946">
        <f>N(Electrical!$B$137)</f>
        <v/>
      </c>
      <c r="C190" s="816" t="inlineStr">
        <is>
          <t>From the Electrical tab: full nameplate from the equipment schedule, or the managed cap when load management is proposed.</t>
        </is>
      </c>
    </row>
    <row r="191" ht="31" customHeight="1" s="254">
      <c r="A191" s="781" t="inlineStr">
        <is>
          <t>New load at 125% (A)</t>
        </is>
      </c>
      <c r="B191" s="826">
        <f>IF(OR(N($B$190)=0,NOT(ISNUMBER($B$51))),0,$B$190*1000/($B$51*SQRT(3))*1.25)</f>
        <v/>
      </c>
      <c r="C191" s="816" t="inlineStr">
        <is>
          <t>kW × 1000 ÷ (V × √3) × 1.25 — the continuous-load rule. This is what the existing service has to have free.</t>
        </is>
      </c>
    </row>
    <row r="192" ht="43.5" customHeight="1" s="254">
      <c r="A192" s="781" t="inlineStr">
        <is>
          <t>Existing peak demand, last 12 months (kW)</t>
        </is>
      </c>
      <c r="B192" s="818" t="n"/>
      <c r="C192" s="816" t="inlineStr">
        <is>
          <t>Highest fifteen-minute demand on the utility interval data or bills for the last twelve months (NEC 220.87). The strongest basis there is. Leave blank if you do not have it — the row below then falls back to the spare capacity on row 52.</t>
        </is>
      </c>
    </row>
    <row r="193" ht="31" customHeight="1" s="254">
      <c r="A193" s="781" t="inlineStr">
        <is>
          <t>Existing peak demand at 125% (A)</t>
        </is>
      </c>
      <c r="B193" s="826">
        <f>IF(OR(NOT(ISNUMBER($B$192)),NOT(ISNUMBER($B$51))),0,$B$192*1000/($B$51*SQRT(3))*1.25)</f>
        <v/>
      </c>
      <c r="C193" s="816" t="inlineStr">
        <is>
          <t>What the code takes the existing load to be. Service headroom is the service size less this figure.</t>
        </is>
      </c>
    </row>
    <row r="194" ht="31" customHeight="1" s="254">
      <c r="A194" s="781" t="inlineStr">
        <is>
          <t>Load basis in force</t>
        </is>
      </c>
      <c r="B194" s="821">
        <f>IF(ISNUMBER($B$192),"NEC 220.87 — measured peak demand",IF(ISNUMBER($B$52),"Spare capacity stated on row 52",IF(ISNUMBER($B$50),"Service size only — no existing-load data","no basis yet")))</f>
        <v/>
      </c>
      <c r="C194" s="816" t="inlineStr">
        <is>
          <t>Which of the three answers the verdict rests on. Measured demand beats a stated figure; a stated figure beats the service size.</t>
        </is>
      </c>
    </row>
    <row r="195" ht="31" customHeight="1" s="254">
      <c r="A195" s="781" t="inlineStr">
        <is>
          <t>Capacity available for the new load (A)</t>
        </is>
      </c>
      <c r="B195" s="826">
        <f>IF(NOT(ISNUMBER($B$51)),0,IF(ISNUMBER($B$192),MAX(0,N($B$50)-$B$193),IF(ISNUMBER($B$52),$B$52+IF(AND(NOT(OR($B$5="Greenfield — new service",$B$5="Greenfield — add load to existing service")),$B$44&gt;0),$B$44*1000/($B$51*SQRT(3)),0),N($B$50))))</f>
        <v/>
      </c>
      <c r="C195" s="816" t="inlineStr">
        <is>
          <t>Service size less the existing demand at 125%; or the stated spare capacity plus, on a replacement, the current the removed chargers give back; or the bare service size.</t>
        </is>
      </c>
    </row>
    <row r="196" ht="31" customHeight="1" s="254">
      <c r="A196" s="781" t="inlineStr">
        <is>
          <t>Space on the existing gear for the new feeder?</t>
        </is>
      </c>
      <c r="B196" s="799" t="n"/>
      <c r="C196" s="816" t="inlineStr">
        <is>
          <t>A spare main-section breaker, a spare section or a tap position to land the new feeder. If there is none, a section extension or a tap box goes on the Electrical distribution schedule.</t>
        </is>
      </c>
    </row>
    <row r="197" ht="43.5" customHeight="1" s="254">
      <c r="A197" s="781" t="inlineStr">
        <is>
          <t>Utility notified of the added load?</t>
        </is>
      </c>
      <c r="B197" s="799" t="n"/>
      <c r="C197" s="816" t="inlineStr">
        <is>
          <t>Adding load to an existing service is still an application with most utilities (an added-load or increase-in-load request above a threshold), even when no new service is built. Record the application in Electrical section F.</t>
        </is>
      </c>
    </row>
    <row r="198" ht="43.5" customHeight="1" s="254">
      <c r="A198" s="794" t="inlineStr">
        <is>
          <t>Service verdict</t>
        </is>
      </c>
      <c r="B198" s="822">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814" t="inlineStr">
        <is>
          <t>Row 60 reads this. UPGRADE NEEDED means a new or enlarged service: change the project type or the register, and price the service as greenfield electrical.</t>
        </is>
      </c>
    </row>
    <row r="199" ht="56" customHeight="1" s="254">
      <c r="A199" s="794" t="inlineStr">
        <is>
          <t>Switchgear frame verdict</t>
        </is>
      </c>
      <c r="B199" s="822">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814" t="inlineStr">
        <is>
          <t>Row 61 reads this, and so does the engine. With measured demand the frame must carry existing demand plus the new load; with spare capacity it must carry the load already on it plus the new load.</t>
        </is>
      </c>
    </row>
    <row r="200" ht="31" customHeight="1" s="254">
      <c r="A200" s="794" t="inlineStr">
        <is>
          <t>Consistent with the Electrical and Project tabs?</t>
        </is>
      </c>
      <c r="B200" s="822">
        <f>IF($B$5="Greenfield — new service","n/a — greenfield",IF(AND(ISNUMBER(SEARCH("Existing",Electrical!$B$148)),N(Electrical!$B$149)=N($B$52),Electrical!$B$185="Added load to existing service",OR($B$14&lt;&gt;"RETAIN",LEFT(Electrical!$B$155,8)="Existing"),N(Project!$B$28)=N($B$50)),"OK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814" t="inlineStr">
        <is>
          <t>The same facts are entered on three tabs. This row says whether they agree; it does not fix them.</t>
        </is>
      </c>
    </row>
    <row r="201" ht="31" customHeight="1" s="254">
      <c r="A201" s="794" t="inlineStr">
        <is>
          <t>Ready for the engine?</t>
        </is>
      </c>
      <c r="B201" s="822">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814"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88">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E151:G151"/>
    <mergeCell ref="A136:G136"/>
    <mergeCell ref="C165:G165"/>
    <mergeCell ref="C19:D19"/>
    <mergeCell ref="C111:D111"/>
    <mergeCell ref="B200:C200"/>
    <mergeCell ref="C45:D45"/>
    <mergeCell ref="C14:D14"/>
    <mergeCell ref="C196:G196"/>
    <mergeCell ref="C143:G143"/>
    <mergeCell ref="C137:D137"/>
    <mergeCell ref="A49:G49"/>
    <mergeCell ref="A1:G1"/>
    <mergeCell ref="C139:D139"/>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min="1" max="1" customWidth="1" style="253" width="36"/>
    <col min="2" max="2" customWidth="1" style="253" width="16"/>
    <col min="3" max="3" customWidth="1" style="254" width="24"/>
    <col min="4" max="4" customWidth="1" style="253" width="44"/>
    <col min="5" max="5" customWidth="1" style="254" width="14"/>
    <col min="6" max="6" customWidth="1" style="253" width="14"/>
    <col min="7" max="7" customWidth="1" style="254" width="16"/>
    <col min="8" max="8" customWidth="1" style="253" width="16"/>
    <col min="9" max="9" customWidth="1" style="253" width="12"/>
    <col min="10" max="11" customWidth="1" style="253" width="16"/>
    <col min="12" max="12" customWidth="1" style="253" width="24"/>
    <col min="13" max="13" customWidth="1" style="253" width="14"/>
    <col min="14" max="14" customWidth="1" style="254" width="14"/>
    <col min="15" max="15" customWidth="1" style="253" width="14"/>
    <col min="16" max="16" customWidth="1" style="253" width="16"/>
    <col min="17" max="22" customWidth="1" style="254" width="13"/>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n"/>
      <c r="C7" s="807" t="n"/>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n"/>
      <c r="C8" s="807" t="n"/>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n"/>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59"/>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Mixed</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16"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43.5" customHeight="1" s="254">
      <c r="A10" s="781" t="inlineStr">
        <is>
          <t>Design ambient (C)</t>
        </is>
      </c>
      <c r="B10" s="818" t="n"/>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31"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n"/>
      <c r="M18" s="831" t="n"/>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n"/>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n"/>
      <c r="M19" s="831" t="n"/>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n"/>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n"/>
      <c r="M20" s="831" t="n"/>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n"/>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n"/>
      <c r="M21" s="831" t="n"/>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n"/>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n"/>
      <c r="M22" s="831" t="n"/>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n"/>
      <c r="M23" s="831" t="n"/>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16"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16"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31"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43.5"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56" customHeight="1" s="254">
      <c r="A143" s="781" t="inlineStr">
        <is>
          <t>Switchgear adequate?</t>
        </is>
      </c>
      <c r="B143" s="810">
        <f>IF(Existing!$B$15="RETAIN","n/a — the switchgear is retained; its adequacy is tested on the Existing tab row 61",IF(N($B$137)=0,"no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11" t="inlineStr">
        <is>
          <t>Stands down when the Existing tab retains the switchgear — a retained board is not a priced one.</t>
        </is>
      </c>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n"/>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c r="C149" s="814" t="inlineStr">
        <is>
          <t>0 if a new service is required. On an add-load site this is the figure on the Existing tab row 52.</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43.5" customHeight="1" s="254">
      <c r="A155" s="781" t="inlineStr">
        <is>
          <t>Who provides this run?</t>
        </is>
      </c>
      <c r="B155" s="799" t="inlineStr">
        <is>
          <t>Utility — EV infrastructure rule</t>
        </is>
      </c>
      <c r="C155" s="814" t="inlineStr">
        <is>
          <t>Utility, Zero Impact Energy, or Existing — retained (an add-load or replacement site whose service feeder stays). The verdict on the run below stands down when the utility provides it or it already exists.</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IF(LEFT($B$155,8)="Existing","n/a — the existing service feeder is retained, so it is not sized or costed here",IF(LEFT($B$155,7)="Utility","n/a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n"/>
      <c r="B165" s="807" t="n"/>
      <c r="C165" s="831" t="n"/>
      <c r="D165" s="831" t="n"/>
      <c r="E165" s="831" t="n"/>
      <c r="F165" s="831" t="n"/>
      <c r="G165" s="807" t="n"/>
      <c r="H165" s="807" t="n"/>
      <c r="I165" s="807" t="n"/>
      <c r="J165" s="807" t="n"/>
      <c r="K165" s="807" t="n"/>
      <c r="L165" s="878" t="n"/>
      <c r="M165" s="804" t="n"/>
      <c r="N165" s="804" t="n"/>
      <c r="O165" s="804" t="n"/>
      <c r="P165" s="804" t="n"/>
      <c r="Q165" s="804" t="n"/>
      <c r="R165" s="804" t="n"/>
      <c r="S165" s="804" t="n"/>
      <c r="T165" s="804" t="n"/>
      <c r="U165" s="804" t="n"/>
      <c r="V165" s="804" t="n"/>
      <c r="W165" s="804" t="n"/>
      <c r="X165" s="804" t="n"/>
    </row>
    <row r="166" ht="16" customHeight="1" s="254">
      <c r="A166" s="877" t="n"/>
      <c r="B166" s="807" t="n"/>
      <c r="C166" s="831" t="n"/>
      <c r="D166" s="831" t="n"/>
      <c r="E166" s="831" t="n"/>
      <c r="F166" s="831" t="n"/>
      <c r="G166" s="807" t="n"/>
      <c r="H166" s="807" t="n"/>
      <c r="I166" s="807" t="n"/>
      <c r="J166" s="807" t="n"/>
      <c r="K166" s="807" t="n"/>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16"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New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n"/>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n"/>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n"/>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n"/>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n"/>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n"/>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existing-service and replacement sites</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16" customHeight="1" s="254">
      <c r="A205" s="814"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add load to existing service","n/a — no existing chargers",IF(Existing!$B$5="Greenfield — new service","n/a — greenfield",Existing!$B$16))</f>
        <v/>
      </c>
      <c r="C211" s="882">
        <f>IF($B$211="n/a — no existing chargers","No existing chargers — this element is new and priced in full.",IF($B$211="n/a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add load to existing service","n/a — no existing chargers",IF(Existing!$B$5="Greenfield — new service","n/a — greenfield",Existing!$B$17))</f>
        <v/>
      </c>
      <c r="C212" s="882">
        <f>IF($B$212="n/a — no existing chargers","No existing chargers — this element is new and priced in full.",IF($B$212="n/a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add load to existing service","n/a — no existing chargers",IF(Existing!$B$5="Greenfield — new service","n/a — greenfield",Existing!$B$18))</f>
        <v/>
      </c>
      <c r="C213" s="882">
        <f>IF($B$213="n/a — no existing chargers","No existing chargers — this element is new and priced in full.",IF($B$213="n/a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service","n/a",Existing!$B$198)</f>
        <v/>
      </c>
      <c r="C215" s="814" t="inlineStr">
        <is>
          <t>The service verdict from the Existing tab section I, repeated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row r="238" ht="16" customHeight="1" s="254">
      <c r="A238" s="811" t="n"/>
      <c r="B238" s="804" t="n"/>
      <c r="C238" s="804" t="n"/>
      <c r="D238" s="804" t="n"/>
      <c r="E238" s="804" t="n"/>
      <c r="F238" s="804" t="n"/>
      <c r="G238" s="804" t="n"/>
      <c r="H238" s="804" t="n"/>
      <c r="I238" s="804" t="n"/>
      <c r="J238" s="804" t="n"/>
      <c r="K238" s="804" t="n"/>
      <c r="L238" s="804" t="n"/>
      <c r="M238" s="804" t="n"/>
      <c r="N238" s="804" t="n"/>
      <c r="O238" s="804" t="n"/>
      <c r="P238" s="804" t="n"/>
      <c r="Q238" s="804" t="n"/>
      <c r="R238" s="804" t="n"/>
      <c r="S238" s="804" t="n"/>
      <c r="T238" s="804" t="n"/>
      <c r="U238" s="804" t="n"/>
      <c r="V238" s="804" t="n"/>
      <c r="W238" s="804" t="n"/>
      <c r="X238" s="804" t="n"/>
    </row>
    <row r="239" ht="19.75" customHeight="1" s="254">
      <c r="A239" s="798" t="inlineStr">
        <is>
          <t>I · DISTRIBUTION FEEDERS — between the items on the distribution schedule (auto-sized)</t>
        </is>
      </c>
      <c r="I239" s="804" t="n"/>
      <c r="J239" s="804" t="n"/>
      <c r="K239" s="804" t="n"/>
      <c r="L239" s="804" t="n"/>
      <c r="M239" s="804" t="n"/>
      <c r="N239" s="804" t="n"/>
      <c r="O239" s="804" t="n"/>
      <c r="P239" s="804" t="n"/>
      <c r="Q239" s="804" t="n"/>
      <c r="R239" s="804" t="n"/>
      <c r="S239" s="804" t="n"/>
      <c r="T239" s="804" t="n"/>
      <c r="U239" s="804" t="n"/>
      <c r="V239" s="804" t="n"/>
      <c r="W239" s="804" t="n"/>
      <c r="X239" s="804" t="n"/>
    </row>
    <row r="240" ht="43.5" customHeight="1" s="254">
      <c r="A240" s="814"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40" s="804" t="n"/>
      <c r="V240" s="804" t="n"/>
      <c r="W240" s="804" t="n"/>
      <c r="X240" s="804" t="n"/>
    </row>
    <row r="241" ht="43.5" customHeight="1" s="254">
      <c r="A241" s="806" t="inlineStr">
        <is>
          <t>Feeder (auto)</t>
        </is>
      </c>
      <c r="B241" s="806" t="inlineStr">
        <is>
          <t>From — item or board it runs from</t>
        </is>
      </c>
      <c r="C241" s="806" t="inlineStr">
        <is>
          <t>To — item on the schedule it feeds</t>
        </is>
      </c>
      <c r="D241" s="806" t="inlineStr">
        <is>
          <t>Volts (auto)</t>
        </is>
      </c>
      <c r="E241" s="806" t="inlineStr">
        <is>
          <t>Phases (auto)</t>
        </is>
      </c>
      <c r="F241" s="806" t="inlineStr">
        <is>
          <t>Rating A of the item fed (auto)</t>
        </is>
      </c>
      <c r="G241" s="806" t="inlineStr">
        <is>
          <t>Floor A override</t>
        </is>
      </c>
      <c r="H241" s="806" t="inlineStr">
        <is>
          <t>Distance (ft)</t>
        </is>
      </c>
      <c r="I241" s="806" t="inlineStr">
        <is>
          <t>Sets (blank = 1)</t>
        </is>
      </c>
      <c r="J241" s="806" t="inlineStr">
        <is>
          <t>Conductor (auto)</t>
        </is>
      </c>
      <c r="K241" s="806" t="inlineStr">
        <is>
          <t>Conductor override</t>
        </is>
      </c>
      <c r="L241" s="806" t="inlineStr">
        <is>
          <t>Ampacity A (auto)</t>
        </is>
      </c>
      <c r="M241" s="806" t="inlineStr">
        <is>
          <t>Volt drop (auto)</t>
        </is>
      </c>
      <c r="N241" s="806" t="inlineStr">
        <is>
          <t>Ground (auto)</t>
        </is>
      </c>
      <c r="O241" s="806" t="inlineStr">
        <is>
          <t>Conduit (auto)</t>
        </is>
      </c>
      <c r="P241" s="806" t="inlineStr">
        <is>
          <t>Conduit override</t>
        </is>
      </c>
      <c r="Q241" s="806" t="inlineStr">
        <is>
          <t>Material $ (auto)</t>
        </is>
      </c>
      <c r="R241" s="806" t="inlineStr">
        <is>
          <t>Verdict (auto)</t>
        </is>
      </c>
      <c r="S241" s="806" t="inlineStr">
        <is>
          <t>Floor in force (auto)</t>
        </is>
      </c>
      <c r="T241" s="806" t="inlineStr">
        <is>
          <t>Sets in force (auto)</t>
        </is>
      </c>
      <c r="U241" s="806" t="inlineStr">
        <is>
          <t>Wires per set (auto)</t>
        </is>
      </c>
      <c r="V241" s="806" t="inlineStr">
        <is>
          <t>OCPD A (auto)</t>
        </is>
      </c>
      <c r="W241" s="804" t="n"/>
      <c r="X241" s="804" t="n"/>
    </row>
    <row r="242" ht="40" customHeight="1" s="254">
      <c r="A242" s="862">
        <f>IF($C242="","","Feeder 1")</f>
        <v/>
      </c>
      <c r="B242" s="807" t="n"/>
      <c r="C242" s="807" t="n"/>
      <c r="D242" s="865">
        <f>IF($C242="","",IFERROR(IF(INDEX($B$165:$B$176,MATCH($C242,$A$165:$A$176,0))="Transformer",IFERROR(INDEX($D$165:$D$176,MATCH($B242,$A$165:$A$176,0)),Project!$B$29),INDEX($D$165:$D$176,MATCH($C242,$A$165:$A$176,0))),""))</f>
        <v/>
      </c>
      <c r="E242" s="863">
        <f>IF($C242="","",IFERROR(INDEX($E$165:$E$176,MATCH($C242,$A$165:$A$176,0)),""))</f>
        <v/>
      </c>
      <c r="F242" s="865">
        <f>IF($C242="","",IFERROR(N(INDEX($F$165:$F$176,MATCH($C242,$A$165:$A$176,0))),0))</f>
        <v/>
      </c>
      <c r="G242" s="831" t="n"/>
      <c r="H242" s="831" t="n"/>
      <c r="I242" s="831" t="n"/>
      <c r="J242" s="863">
        <f>IF(OR(N($S242)=0,$B$10=""),"",IF(MAX(COUNTIF(SZ_AMP,"&lt;"&amp;(N($S242)/N($T242)))+1,IF(N($H242)=0,1,COUNTIF(SZ_Z,"&gt;"&amp;($B$13*N($D242)*1000/(IF(N($E242)=1,2,SQRT(3))*(N($S242)/1.25)/N($T242)*N($H242))))+1))&gt;ROWS(SZ_SIZE),"PARALLEL SETS",INDEX(SZ_SIZE,MAX(COUNTIF(SZ_AMP,"&lt;"&amp;(N($S242)/N($T242)))+1,IF(N($H242)=0,1,COUNTIF(SZ_Z,"&gt;"&amp;($B$13*N($D242)*1000/(IF(N($E242)=1,2,SQRT(3))*(N($S242)/1.25)/N($T242)*N($H242))))+1)))))</f>
        <v/>
      </c>
      <c r="K242" s="807" t="n"/>
      <c r="L242" s="865">
        <f>IF(OR(IF($K242&lt;&gt;"",$K242,$J242)="",IF($K242&lt;&gt;"",$K242,$J242)="PARALLEL SETS"),"",IFERROR(INDEX(SZ_AMP,MATCH(IF($K242&lt;&gt;"",$K242,$J242),SZ_SIZE,0))*N($T242),""))</f>
        <v/>
      </c>
      <c r="M242" s="866">
        <f>IF(OR(N($L242)=0,N($H242)=0),"",IFERROR(IF(N($E242)=1,2,SQRT(3))*(N($S242)/1.25)/N($T242)*N($H242)*INDEX(SZ_Z,MATCH(IF($K242&lt;&gt;"",$K242,$J242),SZ_SIZE,0))/1000/N($D242),""))</f>
        <v/>
      </c>
      <c r="N242" s="863">
        <f>IF(N($V242)=0,"",IFERROR(INDEX(IF($B$6="Cu",EGC_CU,EGC_AL),MATCH(N($V242),EGC_OCPD,1)+IF(ISNUMBER(MATCH(N($V242),EGC_OCPD,0)),0,1)),""))</f>
        <v/>
      </c>
      <c r="O242" s="863">
        <f>IF(N($L242)=0,"",IFERROR(INDEX(CND_3G,MATCH(IF($K242&lt;&gt;"",$K242,$J242),CND_SIZE,0)),""))</f>
        <v/>
      </c>
      <c r="P242" s="807" t="n"/>
      <c r="Q242" s="867">
        <f>IF(OR(N($H242)=0,N($L242)=0),0,IFERROR(N($H242)*N($T242)*N($U242)*INDEX(IF($B$6="Cu",WIRE_CU,WIRE_AL),MATCH(IF($K242&lt;&gt;"",$K242,$J242),WIRE_SIZE,0)),0)+IFERROR(N($H242)*N($T242)*INDEX(IF($B$6="Cu",WIRE_CU,WIRE_AL),MATCH($N242,WIRE_SIZE,0)),0)+IFERROR(N($H242)*N($T242)*INDEX(PVC_RATE,MATCH(IF($P242&lt;&gt;"",$P242,$O242),PVC_SIZE,0)),0))</f>
        <v/>
      </c>
      <c r="R242" s="863">
        <f>IF($C242="","",IF(N($S242)=0,"enter the item fed — its rating on the schedule sets the floor, or type a floor in column G",IF(N($H242)=0,"ENTER THE DISTANCE",IF($B$10="","SET THE DESIGN AMBIENT in block A",IF(IF($K242&lt;&gt;"",$K242,$J242)="PARALLEL SETS","PARALLEL SETS NEEDED — no single conductor carries "&amp;TEXT(N($S242),"#,##0")&amp;" A within the drop allowance; enter sets in column I",IF(N($L242)=0,"no ampacity on file for the override size — NEC Table 310.16 does not list it",IF(N($L242)&lt;N($S242),"UNDERSIZED — "&amp;TEXT(N($L242),"#,##0")&amp;" A provided against a floor of "&amp;TEXT(N($S242),"#,##0")&amp;" A",IF(N($M242)&gt;$B$13,"ampacity OK but voltage drop "&amp;TEXT(N($M242),"0.0%")&amp;" exceeds the allowance — ADVISORY, upsize or add a set","OK — "&amp;IF(N($T242)&gt;1,TEXT(N($T242),"0")&amp;" sets of ","")&amp;IF($K242&lt;&gt;"",$K242,$J242)&amp;IF($K242&lt;&gt;""," (override)","")&amp;", "&amp;TEXT(N($L242),"#,##0")&amp;" A against a "&amp;TEXT(N($S242),"#,##0")&amp;" A floor; drop "&amp;TEXT(N($M242),"0.0%")&amp;" (ADVISORY)"))))))))</f>
        <v/>
      </c>
      <c r="S242" s="865">
        <f>IF($C242="","",IF(N($G242)&gt;0,N($G242),N($F242)))</f>
        <v/>
      </c>
      <c r="T242" s="865">
        <f>IF($C242="","",IF(N($I242)&gt;0,N($I242),1))</f>
        <v/>
      </c>
      <c r="U242" s="865">
        <f>IF($C242="","",IF(N($E242)=1,2,IF(N($D242)&lt;=240,4,3)))</f>
        <v/>
      </c>
      <c r="V242" s="865">
        <f>IF(N($S242)=0,"",IF(ISNUMBER(MATCH(N($S242),OCPD_LIST,0)),N($S242),IF(N($S242)&gt;MAX(OCPD_LIST),MAX(OCPD_LIST),INDEX(OCPD_LIST,MATCH(N($S242),OCPD_LIST,1)+1))))</f>
        <v/>
      </c>
      <c r="W242" s="804" t="n"/>
      <c r="X242" s="804" t="n"/>
    </row>
    <row r="243" ht="40" customHeight="1" s="254">
      <c r="A243" s="862">
        <f>IF($C243="","","Feeder 2")</f>
        <v/>
      </c>
      <c r="B243" s="807" t="n"/>
      <c r="C243" s="807" t="n"/>
      <c r="D243" s="865">
        <f>IF($C243="","",IFERROR(IF(INDEX($B$165:$B$176,MATCH($C243,$A$165:$A$176,0))="Transformer",IFERROR(INDEX($D$165:$D$176,MATCH($B243,$A$165:$A$176,0)),Project!$B$29),INDEX($D$165:$D$176,MATCH($C243,$A$165:$A$176,0))),""))</f>
        <v/>
      </c>
      <c r="E243" s="863">
        <f>IF($C243="","",IFERROR(INDEX($E$165:$E$176,MATCH($C243,$A$165:$A$176,0)),""))</f>
        <v/>
      </c>
      <c r="F243" s="865">
        <f>IF($C243="","",IFERROR(N(INDEX($F$165:$F$176,MATCH($C243,$A$165:$A$176,0))),0))</f>
        <v/>
      </c>
      <c r="G243" s="831" t="n"/>
      <c r="H243" s="831" t="n"/>
      <c r="I243" s="831" t="n"/>
      <c r="J243" s="863">
        <f>IF(OR(N($S243)=0,$B$10=""),"",IF(MAX(COUNTIF(SZ_AMP,"&lt;"&amp;(N($S243)/N($T243)))+1,IF(N($H243)=0,1,COUNTIF(SZ_Z,"&gt;"&amp;($B$13*N($D243)*1000/(IF(N($E243)=1,2,SQRT(3))*(N($S243)/1.25)/N($T243)*N($H243))))+1))&gt;ROWS(SZ_SIZE),"PARALLEL SETS",INDEX(SZ_SIZE,MAX(COUNTIF(SZ_AMP,"&lt;"&amp;(N($S243)/N($T243)))+1,IF(N($H243)=0,1,COUNTIF(SZ_Z,"&gt;"&amp;($B$13*N($D243)*1000/(IF(N($E243)=1,2,SQRT(3))*(N($S243)/1.25)/N($T243)*N($H243))))+1)))))</f>
        <v/>
      </c>
      <c r="K243" s="807" t="n"/>
      <c r="L243" s="865">
        <f>IF(OR(IF($K243&lt;&gt;"",$K243,$J243)="",IF($K243&lt;&gt;"",$K243,$J243)="PARALLEL SETS"),"",IFERROR(INDEX(SZ_AMP,MATCH(IF($K243&lt;&gt;"",$K243,$J243),SZ_SIZE,0))*N($T243),""))</f>
        <v/>
      </c>
      <c r="M243" s="866">
        <f>IF(OR(N($L243)=0,N($H243)=0),"",IFERROR(IF(N($E243)=1,2,SQRT(3))*(N($S243)/1.25)/N($T243)*N($H243)*INDEX(SZ_Z,MATCH(IF($K243&lt;&gt;"",$K243,$J243),SZ_SIZE,0))/1000/N($D243),""))</f>
        <v/>
      </c>
      <c r="N243" s="863">
        <f>IF(N($V243)=0,"",IFERROR(INDEX(IF($B$6="Cu",EGC_CU,EGC_AL),MATCH(N($V243),EGC_OCPD,1)+IF(ISNUMBER(MATCH(N($V243),EGC_OCPD,0)),0,1)),""))</f>
        <v/>
      </c>
      <c r="O243" s="863">
        <f>IF(N($L243)=0,"",IFERROR(INDEX(CND_3G,MATCH(IF($K243&lt;&gt;"",$K243,$J243),CND_SIZE,0)),""))</f>
        <v/>
      </c>
      <c r="P243" s="807" t="n"/>
      <c r="Q243" s="867">
        <f>IF(OR(N($H243)=0,N($L243)=0),0,IFERROR(N($H243)*N($T243)*N($U243)*INDEX(IF($B$6="Cu",WIRE_CU,WIRE_AL),MATCH(IF($K243&lt;&gt;"",$K243,$J243),WIRE_SIZE,0)),0)+IFERROR(N($H243)*N($T243)*INDEX(IF($B$6="Cu",WIRE_CU,WIRE_AL),MATCH($N243,WIRE_SIZE,0)),0)+IFERROR(N($H243)*N($T243)*INDEX(PVC_RATE,MATCH(IF($P243&lt;&gt;"",$P243,$O243),PVC_SIZE,0)),0))</f>
        <v/>
      </c>
      <c r="R243" s="863">
        <f>IF($C243="","",IF(N($S243)=0,"enter the item fed — its rating on the schedule sets the floor, or type a floor in column G",IF(N($H243)=0,"ENTER THE DISTANCE",IF($B$10="","SET THE DESIGN AMBIENT in block A",IF(IF($K243&lt;&gt;"",$K243,$J243)="PARALLEL SETS","PARALLEL SETS NEEDED — no single conductor carries "&amp;TEXT(N($S243),"#,##0")&amp;" A within the drop allowance; enter sets in column I",IF(N($L243)=0,"no ampacity on file for the override size — NEC Table 310.16 does not list it",IF(N($L243)&lt;N($S243),"UNDERSIZED — "&amp;TEXT(N($L243),"#,##0")&amp;" A provided against a floor of "&amp;TEXT(N($S243),"#,##0")&amp;" A",IF(N($M243)&gt;$B$13,"ampacity OK but voltage drop "&amp;TEXT(N($M243),"0.0%")&amp;" exceeds the allowance — ADVISORY, upsize or add a set","OK — "&amp;IF(N($T243)&gt;1,TEXT(N($T243),"0")&amp;" sets of ","")&amp;IF($K243&lt;&gt;"",$K243,$J243)&amp;IF($K243&lt;&gt;""," (override)","")&amp;", "&amp;TEXT(N($L243),"#,##0")&amp;" A against a "&amp;TEXT(N($S243),"#,##0")&amp;" A floor; drop "&amp;TEXT(N($M243),"0.0%")&amp;" (ADVISORY)"))))))))</f>
        <v/>
      </c>
      <c r="S243" s="865">
        <f>IF($C243="","",IF(N($G243)&gt;0,N($G243),N($F243)))</f>
        <v/>
      </c>
      <c r="T243" s="865">
        <f>IF($C243="","",IF(N($I243)&gt;0,N($I243),1))</f>
        <v/>
      </c>
      <c r="U243" s="865">
        <f>IF($C243="","",IF(N($E243)=1,2,IF(N($D243)&lt;=240,4,3)))</f>
        <v/>
      </c>
      <c r="V243" s="865">
        <f>IF(N($S243)=0,"",IF(ISNUMBER(MATCH(N($S243),OCPD_LIST,0)),N($S243),IF(N($S243)&gt;MAX(OCPD_LIST),MAX(OCPD_LIST),INDEX(OCPD_LIST,MATCH(N($S243),OCPD_LIST,1)+1))))</f>
        <v/>
      </c>
      <c r="W243" s="804" t="n"/>
      <c r="X243" s="804" t="n"/>
    </row>
    <row r="244" ht="40" customHeight="1" s="254">
      <c r="A244" s="862">
        <f>IF($C244="","","Feeder 3")</f>
        <v/>
      </c>
      <c r="B244" s="807" t="n"/>
      <c r="C244" s="807" t="n"/>
      <c r="D244" s="865">
        <f>IF($C244="","",IFERROR(IF(INDEX($B$165:$B$176,MATCH($C244,$A$165:$A$176,0))="Transformer",IFERROR(INDEX($D$165:$D$176,MATCH($B244,$A$165:$A$176,0)),Project!$B$29),INDEX($D$165:$D$176,MATCH($C244,$A$165:$A$176,0))),""))</f>
        <v/>
      </c>
      <c r="E244" s="863">
        <f>IF($C244="","",IFERROR(INDEX($E$165:$E$176,MATCH($C244,$A$165:$A$176,0)),""))</f>
        <v/>
      </c>
      <c r="F244" s="865">
        <f>IF($C244="","",IFERROR(N(INDEX($F$165:$F$176,MATCH($C244,$A$165:$A$176,0))),0))</f>
        <v/>
      </c>
      <c r="G244" s="831" t="n"/>
      <c r="H244" s="831" t="n"/>
      <c r="I244" s="831" t="n"/>
      <c r="J244" s="863">
        <f>IF(OR(N($S244)=0,$B$10=""),"",IF(MAX(COUNTIF(SZ_AMP,"&lt;"&amp;(N($S244)/N($T244)))+1,IF(N($H244)=0,1,COUNTIF(SZ_Z,"&gt;"&amp;($B$13*N($D244)*1000/(IF(N($E244)=1,2,SQRT(3))*(N($S244)/1.25)/N($T244)*N($H244))))+1))&gt;ROWS(SZ_SIZE),"PARALLEL SETS",INDEX(SZ_SIZE,MAX(COUNTIF(SZ_AMP,"&lt;"&amp;(N($S244)/N($T244)))+1,IF(N($H244)=0,1,COUNTIF(SZ_Z,"&gt;"&amp;($B$13*N($D244)*1000/(IF(N($E244)=1,2,SQRT(3))*(N($S244)/1.25)/N($T244)*N($H244))))+1)))))</f>
        <v/>
      </c>
      <c r="K244" s="807" t="n"/>
      <c r="L244" s="865">
        <f>IF(OR(IF($K244&lt;&gt;"",$K244,$J244)="",IF($K244&lt;&gt;"",$K244,$J244)="PARALLEL SETS"),"",IFERROR(INDEX(SZ_AMP,MATCH(IF($K244&lt;&gt;"",$K244,$J244),SZ_SIZE,0))*N($T244),""))</f>
        <v/>
      </c>
      <c r="M244" s="866">
        <f>IF(OR(N($L244)=0,N($H244)=0),"",IFERROR(IF(N($E244)=1,2,SQRT(3))*(N($S244)/1.25)/N($T244)*N($H244)*INDEX(SZ_Z,MATCH(IF($K244&lt;&gt;"",$K244,$J244),SZ_SIZE,0))/1000/N($D244),""))</f>
        <v/>
      </c>
      <c r="N244" s="863">
        <f>IF(N($V244)=0,"",IFERROR(INDEX(IF($B$6="Cu",EGC_CU,EGC_AL),MATCH(N($V244),EGC_OCPD,1)+IF(ISNUMBER(MATCH(N($V244),EGC_OCPD,0)),0,1)),""))</f>
        <v/>
      </c>
      <c r="O244" s="863">
        <f>IF(N($L244)=0,"",IFERROR(INDEX(CND_3G,MATCH(IF($K244&lt;&gt;"",$K244,$J244),CND_SIZE,0)),""))</f>
        <v/>
      </c>
      <c r="P244" s="807" t="n"/>
      <c r="Q244" s="867">
        <f>IF(OR(N($H244)=0,N($L244)=0),0,IFERROR(N($H244)*N($T244)*N($U244)*INDEX(IF($B$6="Cu",WIRE_CU,WIRE_AL),MATCH(IF($K244&lt;&gt;"",$K244,$J244),WIRE_SIZE,0)),0)+IFERROR(N($H244)*N($T244)*INDEX(IF($B$6="Cu",WIRE_CU,WIRE_AL),MATCH($N244,WIRE_SIZE,0)),0)+IFERROR(N($H244)*N($T244)*INDEX(PVC_RATE,MATCH(IF($P244&lt;&gt;"",$P244,$O244),PVC_SIZE,0)),0))</f>
        <v/>
      </c>
      <c r="R244" s="863">
        <f>IF($C244="","",IF(N($S244)=0,"enter the item fed — its rating on the schedule sets the floor, or type a floor in column G",IF(N($H244)=0,"ENTER THE DISTANCE",IF($B$10="","SET THE DESIGN AMBIENT in block A",IF(IF($K244&lt;&gt;"",$K244,$J244)="PARALLEL SETS","PARALLEL SETS NEEDED — no single conductor carries "&amp;TEXT(N($S244),"#,##0")&amp;" A within the drop allowance; enter sets in column I",IF(N($L244)=0,"no ampacity on file for the override size — NEC Table 310.16 does not list it",IF(N($L244)&lt;N($S244),"UNDERSIZED — "&amp;TEXT(N($L244),"#,##0")&amp;" A provided against a floor of "&amp;TEXT(N($S244),"#,##0")&amp;" A",IF(N($M244)&gt;$B$13,"ampacity OK but voltage drop "&amp;TEXT(N($M244),"0.0%")&amp;" exceeds the allowance — ADVISORY, upsize or add a set","OK — "&amp;IF(N($T244)&gt;1,TEXT(N($T244),"0")&amp;" sets of ","")&amp;IF($K244&lt;&gt;"",$K244,$J244)&amp;IF($K244&lt;&gt;""," (override)","")&amp;", "&amp;TEXT(N($L244),"#,##0")&amp;" A against a "&amp;TEXT(N($S244),"#,##0")&amp;" A floor; drop "&amp;TEXT(N($M244),"0.0%")&amp;" (ADVISORY)"))))))))</f>
        <v/>
      </c>
      <c r="S244" s="865">
        <f>IF($C244="","",IF(N($G244)&gt;0,N($G244),N($F244)))</f>
        <v/>
      </c>
      <c r="T244" s="865">
        <f>IF($C244="","",IF(N($I244)&gt;0,N($I244),1))</f>
        <v/>
      </c>
      <c r="U244" s="865">
        <f>IF($C244="","",IF(N($E244)=1,2,IF(N($D244)&lt;=240,4,3)))</f>
        <v/>
      </c>
      <c r="V244" s="865">
        <f>IF(N($S244)=0,"",IF(ISNUMBER(MATCH(N($S244),OCPD_LIST,0)),N($S244),IF(N($S244)&gt;MAX(OCPD_LIST),MAX(OCPD_LIST),INDEX(OCPD_LIST,MATCH(N($S244),OCPD_LIST,1)+1))))</f>
        <v/>
      </c>
      <c r="W244" s="804" t="n"/>
      <c r="X244" s="804" t="n"/>
    </row>
    <row r="245" ht="40" customHeight="1" s="254">
      <c r="A245" s="862">
        <f>IF($C245="","","Feeder 4")</f>
        <v/>
      </c>
      <c r="B245" s="807" t="n"/>
      <c r="C245" s="807" t="n"/>
      <c r="D245" s="865">
        <f>IF($C245="","",IFERROR(IF(INDEX($B$165:$B$176,MATCH($C245,$A$165:$A$176,0))="Transformer",IFERROR(INDEX($D$165:$D$176,MATCH($B245,$A$165:$A$176,0)),Project!$B$29),INDEX($D$165:$D$176,MATCH($C245,$A$165:$A$176,0))),""))</f>
        <v/>
      </c>
      <c r="E245" s="863">
        <f>IF($C245="","",IFERROR(INDEX($E$165:$E$176,MATCH($C245,$A$165:$A$176,0)),""))</f>
        <v/>
      </c>
      <c r="F245" s="865">
        <f>IF($C245="","",IFERROR(N(INDEX($F$165:$F$176,MATCH($C245,$A$165:$A$176,0))),0))</f>
        <v/>
      </c>
      <c r="G245" s="831" t="n"/>
      <c r="H245" s="831" t="n"/>
      <c r="I245" s="831" t="n"/>
      <c r="J245" s="863">
        <f>IF(OR(N($S245)=0,$B$10=""),"",IF(MAX(COUNTIF(SZ_AMP,"&lt;"&amp;(N($S245)/N($T245)))+1,IF(N($H245)=0,1,COUNTIF(SZ_Z,"&gt;"&amp;($B$13*N($D245)*1000/(IF(N($E245)=1,2,SQRT(3))*(N($S245)/1.25)/N($T245)*N($H245))))+1))&gt;ROWS(SZ_SIZE),"PARALLEL SETS",INDEX(SZ_SIZE,MAX(COUNTIF(SZ_AMP,"&lt;"&amp;(N($S245)/N($T245)))+1,IF(N($H245)=0,1,COUNTIF(SZ_Z,"&gt;"&amp;($B$13*N($D245)*1000/(IF(N($E245)=1,2,SQRT(3))*(N($S245)/1.25)/N($T245)*N($H245))))+1)))))</f>
        <v/>
      </c>
      <c r="K245" s="807" t="n"/>
      <c r="L245" s="865">
        <f>IF(OR(IF($K245&lt;&gt;"",$K245,$J245)="",IF($K245&lt;&gt;"",$K245,$J245)="PARALLEL SETS"),"",IFERROR(INDEX(SZ_AMP,MATCH(IF($K245&lt;&gt;"",$K245,$J245),SZ_SIZE,0))*N($T245),""))</f>
        <v/>
      </c>
      <c r="M245" s="866">
        <f>IF(OR(N($L245)=0,N($H245)=0),"",IFERROR(IF(N($E245)=1,2,SQRT(3))*(N($S245)/1.25)/N($T245)*N($H245)*INDEX(SZ_Z,MATCH(IF($K245&lt;&gt;"",$K245,$J245),SZ_SIZE,0))/1000/N($D245),""))</f>
        <v/>
      </c>
      <c r="N245" s="863">
        <f>IF(N($V245)=0,"",IFERROR(INDEX(IF($B$6="Cu",EGC_CU,EGC_AL),MATCH(N($V245),EGC_OCPD,1)+IF(ISNUMBER(MATCH(N($V245),EGC_OCPD,0)),0,1)),""))</f>
        <v/>
      </c>
      <c r="O245" s="863">
        <f>IF(N($L245)=0,"",IFERROR(INDEX(CND_3G,MATCH(IF($K245&lt;&gt;"",$K245,$J245),CND_SIZE,0)),""))</f>
        <v/>
      </c>
      <c r="P245" s="807" t="n"/>
      <c r="Q245" s="867">
        <f>IF(OR(N($H245)=0,N($L245)=0),0,IFERROR(N($H245)*N($T245)*N($U245)*INDEX(IF($B$6="Cu",WIRE_CU,WIRE_AL),MATCH(IF($K245&lt;&gt;"",$K245,$J245),WIRE_SIZE,0)),0)+IFERROR(N($H245)*N($T245)*INDEX(IF($B$6="Cu",WIRE_CU,WIRE_AL),MATCH($N245,WIRE_SIZE,0)),0)+IFERROR(N($H245)*N($T245)*INDEX(PVC_RATE,MATCH(IF($P245&lt;&gt;"",$P245,$O245),PVC_SIZE,0)),0))</f>
        <v/>
      </c>
      <c r="R245" s="863">
        <f>IF($C245="","",IF(N($S245)=0,"enter the item fed — its rating on the schedule sets the floor, or type a floor in column G",IF(N($H245)=0,"ENTER THE DISTANCE",IF($B$10="","SET THE DESIGN AMBIENT in block A",IF(IF($K245&lt;&gt;"",$K245,$J245)="PARALLEL SETS","PARALLEL SETS NEEDED — no single conductor carries "&amp;TEXT(N($S245),"#,##0")&amp;" A within the drop allowance; enter sets in column I",IF(N($L245)=0,"no ampacity on file for the override size — NEC Table 310.16 does not list it",IF(N($L245)&lt;N($S245),"UNDERSIZED — "&amp;TEXT(N($L245),"#,##0")&amp;" A provided against a floor of "&amp;TEXT(N($S245),"#,##0")&amp;" A",IF(N($M245)&gt;$B$13,"ampacity OK but voltage drop "&amp;TEXT(N($M245),"0.0%")&amp;" exceeds the allowance — ADVISORY, upsize or add a set","OK — "&amp;IF(N($T245)&gt;1,TEXT(N($T245),"0")&amp;" sets of ","")&amp;IF($K245&lt;&gt;"",$K245,$J245)&amp;IF($K245&lt;&gt;""," (override)","")&amp;", "&amp;TEXT(N($L245),"#,##0")&amp;" A against a "&amp;TEXT(N($S245),"#,##0")&amp;" A floor; drop "&amp;TEXT(N($M245),"0.0%")&amp;" (ADVISORY)"))))))))</f>
        <v/>
      </c>
      <c r="S245" s="865">
        <f>IF($C245="","",IF(N($G245)&gt;0,N($G245),N($F245)))</f>
        <v/>
      </c>
      <c r="T245" s="865">
        <f>IF($C245="","",IF(N($I245)&gt;0,N($I245),1))</f>
        <v/>
      </c>
      <c r="U245" s="865">
        <f>IF($C245="","",IF(N($E245)=1,2,IF(N($D245)&lt;=240,4,3)))</f>
        <v/>
      </c>
      <c r="V245" s="865">
        <f>IF(N($S245)=0,"",IF(ISNUMBER(MATCH(N($S245),OCPD_LIST,0)),N($S245),IF(N($S245)&gt;MAX(OCPD_LIST),MAX(OCPD_LIST),INDEX(OCPD_LIST,MATCH(N($S245),OCPD_LIST,1)+1))))</f>
        <v/>
      </c>
      <c r="W245" s="804" t="n"/>
      <c r="X245" s="804" t="n"/>
    </row>
    <row r="246" ht="40" customHeight="1" s="254">
      <c r="A246" s="862">
        <f>IF($C246="","","Feeder 5")</f>
        <v/>
      </c>
      <c r="B246" s="807" t="n"/>
      <c r="C246" s="807" t="n"/>
      <c r="D246" s="865">
        <f>IF($C246="","",IFERROR(IF(INDEX($B$165:$B$176,MATCH($C246,$A$165:$A$176,0))="Transformer",IFERROR(INDEX($D$165:$D$176,MATCH($B246,$A$165:$A$176,0)),Project!$B$29),INDEX($D$165:$D$176,MATCH($C246,$A$165:$A$176,0))),""))</f>
        <v/>
      </c>
      <c r="E246" s="863">
        <f>IF($C246="","",IFERROR(INDEX($E$165:$E$176,MATCH($C246,$A$165:$A$176,0)),""))</f>
        <v/>
      </c>
      <c r="F246" s="865">
        <f>IF($C246="","",IFERROR(N(INDEX($F$165:$F$176,MATCH($C246,$A$165:$A$176,0))),0))</f>
        <v/>
      </c>
      <c r="G246" s="831" t="n"/>
      <c r="H246" s="831" t="n"/>
      <c r="I246" s="831" t="n"/>
      <c r="J246" s="863">
        <f>IF(OR(N($S246)=0,$B$10=""),"",IF(MAX(COUNTIF(SZ_AMP,"&lt;"&amp;(N($S246)/N($T246)))+1,IF(N($H246)=0,1,COUNTIF(SZ_Z,"&gt;"&amp;($B$13*N($D246)*1000/(IF(N($E246)=1,2,SQRT(3))*(N($S246)/1.25)/N($T246)*N($H246))))+1))&gt;ROWS(SZ_SIZE),"PARALLEL SETS",INDEX(SZ_SIZE,MAX(COUNTIF(SZ_AMP,"&lt;"&amp;(N($S246)/N($T246)))+1,IF(N($H246)=0,1,COUNTIF(SZ_Z,"&gt;"&amp;($B$13*N($D246)*1000/(IF(N($E246)=1,2,SQRT(3))*(N($S246)/1.25)/N($T246)*N($H246))))+1)))))</f>
        <v/>
      </c>
      <c r="K246" s="807" t="n"/>
      <c r="L246" s="865">
        <f>IF(OR(IF($K246&lt;&gt;"",$K246,$J246)="",IF($K246&lt;&gt;"",$K246,$J246)="PARALLEL SETS"),"",IFERROR(INDEX(SZ_AMP,MATCH(IF($K246&lt;&gt;"",$K246,$J246),SZ_SIZE,0))*N($T246),""))</f>
        <v/>
      </c>
      <c r="M246" s="866">
        <f>IF(OR(N($L246)=0,N($H246)=0),"",IFERROR(IF(N($E246)=1,2,SQRT(3))*(N($S246)/1.25)/N($T246)*N($H246)*INDEX(SZ_Z,MATCH(IF($K246&lt;&gt;"",$K246,$J246),SZ_SIZE,0))/1000/N($D246),""))</f>
        <v/>
      </c>
      <c r="N246" s="863">
        <f>IF(N($V246)=0,"",IFERROR(INDEX(IF($B$6="Cu",EGC_CU,EGC_AL),MATCH(N($V246),EGC_OCPD,1)+IF(ISNUMBER(MATCH(N($V246),EGC_OCPD,0)),0,1)),""))</f>
        <v/>
      </c>
      <c r="O246" s="863">
        <f>IF(N($L246)=0,"",IFERROR(INDEX(CND_3G,MATCH(IF($K246&lt;&gt;"",$K246,$J246),CND_SIZE,0)),""))</f>
        <v/>
      </c>
      <c r="P246" s="807" t="n"/>
      <c r="Q246" s="867">
        <f>IF(OR(N($H246)=0,N($L246)=0),0,IFERROR(N($H246)*N($T246)*N($U246)*INDEX(IF($B$6="Cu",WIRE_CU,WIRE_AL),MATCH(IF($K246&lt;&gt;"",$K246,$J246),WIRE_SIZE,0)),0)+IFERROR(N($H246)*N($T246)*INDEX(IF($B$6="Cu",WIRE_CU,WIRE_AL),MATCH($N246,WIRE_SIZE,0)),0)+IFERROR(N($H246)*N($T246)*INDEX(PVC_RATE,MATCH(IF($P246&lt;&gt;"",$P246,$O246),PVC_SIZE,0)),0))</f>
        <v/>
      </c>
      <c r="R246" s="863">
        <f>IF($C246="","",IF(N($S246)=0,"enter the item fed — its rating on the schedule sets the floor, or type a floor in column G",IF(N($H246)=0,"ENTER THE DISTANCE",IF($B$10="","SET THE DESIGN AMBIENT in block A",IF(IF($K246&lt;&gt;"",$K246,$J246)="PARALLEL SETS","PARALLEL SETS NEEDED — no single conductor carries "&amp;TEXT(N($S246),"#,##0")&amp;" A within the drop allowance; enter sets in column I",IF(N($L246)=0,"no ampacity on file for the override size — NEC Table 310.16 does not list it",IF(N($L246)&lt;N($S246),"UNDERSIZED — "&amp;TEXT(N($L246),"#,##0")&amp;" A provided against a floor of "&amp;TEXT(N($S246),"#,##0")&amp;" A",IF(N($M246)&gt;$B$13,"ampacity OK but voltage drop "&amp;TEXT(N($M246),"0.0%")&amp;" exceeds the allowance — ADVISORY, upsize or add a set","OK — "&amp;IF(N($T246)&gt;1,TEXT(N($T246),"0")&amp;" sets of ","")&amp;IF($K246&lt;&gt;"",$K246,$J246)&amp;IF($K246&lt;&gt;""," (override)","")&amp;", "&amp;TEXT(N($L246),"#,##0")&amp;" A against a "&amp;TEXT(N($S246),"#,##0")&amp;" A floor; drop "&amp;TEXT(N($M246),"0.0%")&amp;" (ADVISORY)"))))))))</f>
        <v/>
      </c>
      <c r="S246" s="865">
        <f>IF($C246="","",IF(N($G246)&gt;0,N($G246),N($F246)))</f>
        <v/>
      </c>
      <c r="T246" s="865">
        <f>IF($C246="","",IF(N($I246)&gt;0,N($I246),1))</f>
        <v/>
      </c>
      <c r="U246" s="865">
        <f>IF($C246="","",IF(N($E246)=1,2,IF(N($D246)&lt;=240,4,3)))</f>
        <v/>
      </c>
      <c r="V246" s="865">
        <f>IF(N($S246)=0,"",IF(ISNUMBER(MATCH(N($S246),OCPD_LIST,0)),N($S246),IF(N($S246)&gt;MAX(OCPD_LIST),MAX(OCPD_LIST),INDEX(OCPD_LIST,MATCH(N($S246),OCPD_LIST,1)+1))))</f>
        <v/>
      </c>
      <c r="W246" s="804" t="n"/>
      <c r="X246" s="804" t="n"/>
    </row>
    <row r="247" ht="40" customHeight="1" s="254">
      <c r="A247" s="862">
        <f>IF($C247="","","Feeder 6")</f>
        <v/>
      </c>
      <c r="B247" s="807" t="n"/>
      <c r="C247" s="807" t="n"/>
      <c r="D247" s="865">
        <f>IF($C247="","",IFERROR(IF(INDEX($B$165:$B$176,MATCH($C247,$A$165:$A$176,0))="Transformer",IFERROR(INDEX($D$165:$D$176,MATCH($B247,$A$165:$A$176,0)),Project!$B$29),INDEX($D$165:$D$176,MATCH($C247,$A$165:$A$176,0))),""))</f>
        <v/>
      </c>
      <c r="E247" s="863">
        <f>IF($C247="","",IFERROR(INDEX($E$165:$E$176,MATCH($C247,$A$165:$A$176,0)),""))</f>
        <v/>
      </c>
      <c r="F247" s="865">
        <f>IF($C247="","",IFERROR(N(INDEX($F$165:$F$176,MATCH($C247,$A$165:$A$176,0))),0))</f>
        <v/>
      </c>
      <c r="G247" s="831" t="n"/>
      <c r="H247" s="831" t="n"/>
      <c r="I247" s="831" t="n"/>
      <c r="J247" s="863">
        <f>IF(OR(N($S247)=0,$B$10=""),"",IF(MAX(COUNTIF(SZ_AMP,"&lt;"&amp;(N($S247)/N($T247)))+1,IF(N($H247)=0,1,COUNTIF(SZ_Z,"&gt;"&amp;($B$13*N($D247)*1000/(IF(N($E247)=1,2,SQRT(3))*(N($S247)/1.25)/N($T247)*N($H247))))+1))&gt;ROWS(SZ_SIZE),"PARALLEL SETS",INDEX(SZ_SIZE,MAX(COUNTIF(SZ_AMP,"&lt;"&amp;(N($S247)/N($T247)))+1,IF(N($H247)=0,1,COUNTIF(SZ_Z,"&gt;"&amp;($B$13*N($D247)*1000/(IF(N($E247)=1,2,SQRT(3))*(N($S247)/1.25)/N($T247)*N($H247))))+1)))))</f>
        <v/>
      </c>
      <c r="K247" s="807" t="n"/>
      <c r="L247" s="865">
        <f>IF(OR(IF($K247&lt;&gt;"",$K247,$J247)="",IF($K247&lt;&gt;"",$K247,$J247)="PARALLEL SETS"),"",IFERROR(INDEX(SZ_AMP,MATCH(IF($K247&lt;&gt;"",$K247,$J247),SZ_SIZE,0))*N($T247),""))</f>
        <v/>
      </c>
      <c r="M247" s="866">
        <f>IF(OR(N($L247)=0,N($H247)=0),"",IFERROR(IF(N($E247)=1,2,SQRT(3))*(N($S247)/1.25)/N($T247)*N($H247)*INDEX(SZ_Z,MATCH(IF($K247&lt;&gt;"",$K247,$J247),SZ_SIZE,0))/1000/N($D247),""))</f>
        <v/>
      </c>
      <c r="N247" s="863">
        <f>IF(N($V247)=0,"",IFERROR(INDEX(IF($B$6="Cu",EGC_CU,EGC_AL),MATCH(N($V247),EGC_OCPD,1)+IF(ISNUMBER(MATCH(N($V247),EGC_OCPD,0)),0,1)),""))</f>
        <v/>
      </c>
      <c r="O247" s="863">
        <f>IF(N($L247)=0,"",IFERROR(INDEX(CND_3G,MATCH(IF($K247&lt;&gt;"",$K247,$J247),CND_SIZE,0)),""))</f>
        <v/>
      </c>
      <c r="P247" s="807" t="n"/>
      <c r="Q247" s="867">
        <f>IF(OR(N($H247)=0,N($L247)=0),0,IFERROR(N($H247)*N($T247)*N($U247)*INDEX(IF($B$6="Cu",WIRE_CU,WIRE_AL),MATCH(IF($K247&lt;&gt;"",$K247,$J247),WIRE_SIZE,0)),0)+IFERROR(N($H247)*N($T247)*INDEX(IF($B$6="Cu",WIRE_CU,WIRE_AL),MATCH($N247,WIRE_SIZE,0)),0)+IFERROR(N($H247)*N($T247)*INDEX(PVC_RATE,MATCH(IF($P247&lt;&gt;"",$P247,$O247),PVC_SIZE,0)),0))</f>
        <v/>
      </c>
      <c r="R247" s="863">
        <f>IF($C247="","",IF(N($S247)=0,"enter the item fed — its rating on the schedule sets the floor, or type a floor in column G",IF(N($H247)=0,"ENTER THE DISTANCE",IF($B$10="","SET THE DESIGN AMBIENT in block A",IF(IF($K247&lt;&gt;"",$K247,$J247)="PARALLEL SETS","PARALLEL SETS NEEDED — no single conductor carries "&amp;TEXT(N($S247),"#,##0")&amp;" A within the drop allowance; enter sets in column I",IF(N($L247)=0,"no ampacity on file for the override size — NEC Table 310.16 does not list it",IF(N($L247)&lt;N($S247),"UNDERSIZED — "&amp;TEXT(N($L247),"#,##0")&amp;" A provided against a floor of "&amp;TEXT(N($S247),"#,##0")&amp;" A",IF(N($M247)&gt;$B$13,"ampacity OK but voltage drop "&amp;TEXT(N($M247),"0.0%")&amp;" exceeds the allowance — ADVISORY, upsize or add a set","OK — "&amp;IF(N($T247)&gt;1,TEXT(N($T247),"0")&amp;" sets of ","")&amp;IF($K247&lt;&gt;"",$K247,$J247)&amp;IF($K247&lt;&gt;""," (override)","")&amp;", "&amp;TEXT(N($L247),"#,##0")&amp;" A against a "&amp;TEXT(N($S247),"#,##0")&amp;" A floor; drop "&amp;TEXT(N($M247),"0.0%")&amp;" (ADVISORY)"))))))))</f>
        <v/>
      </c>
      <c r="S247" s="865">
        <f>IF($C247="","",IF(N($G247)&gt;0,N($G247),N($F247)))</f>
        <v/>
      </c>
      <c r="T247" s="865">
        <f>IF($C247="","",IF(N($I247)&gt;0,N($I247),1))</f>
        <v/>
      </c>
      <c r="U247" s="865">
        <f>IF($C247="","",IF(N($E247)=1,2,IF(N($D247)&lt;=240,4,3)))</f>
        <v/>
      </c>
      <c r="V247" s="865">
        <f>IF(N($S247)=0,"",IF(ISNUMBER(MATCH(N($S247),OCPD_LIST,0)),N($S247),IF(N($S247)&gt;MAX(OCPD_LIST),MAX(OCPD_LIST),INDEX(OCPD_LIST,MATCH(N($S247),OCPD_LIST,1)+1))))</f>
        <v/>
      </c>
      <c r="W247" s="804" t="n"/>
      <c r="X247" s="804" t="n"/>
    </row>
    <row r="248" ht="40" customHeight="1" s="254">
      <c r="A248" s="862">
        <f>IF($C248="","","Feeder 7")</f>
        <v/>
      </c>
      <c r="B248" s="807" t="n"/>
      <c r="C248" s="807" t="n"/>
      <c r="D248" s="865">
        <f>IF($C248="","",IFERROR(IF(INDEX($B$165:$B$176,MATCH($C248,$A$165:$A$176,0))="Transformer",IFERROR(INDEX($D$165:$D$176,MATCH($B248,$A$165:$A$176,0)),Project!$B$29),INDEX($D$165:$D$176,MATCH($C248,$A$165:$A$176,0))),""))</f>
        <v/>
      </c>
      <c r="E248" s="863">
        <f>IF($C248="","",IFERROR(INDEX($E$165:$E$176,MATCH($C248,$A$165:$A$176,0)),""))</f>
        <v/>
      </c>
      <c r="F248" s="865">
        <f>IF($C248="","",IFERROR(N(INDEX($F$165:$F$176,MATCH($C248,$A$165:$A$176,0))),0))</f>
        <v/>
      </c>
      <c r="G248" s="831" t="n"/>
      <c r="H248" s="831" t="n"/>
      <c r="I248" s="831" t="n"/>
      <c r="J248" s="863">
        <f>IF(OR(N($S248)=0,$B$10=""),"",IF(MAX(COUNTIF(SZ_AMP,"&lt;"&amp;(N($S248)/N($T248)))+1,IF(N($H248)=0,1,COUNTIF(SZ_Z,"&gt;"&amp;($B$13*N($D248)*1000/(IF(N($E248)=1,2,SQRT(3))*(N($S248)/1.25)/N($T248)*N($H248))))+1))&gt;ROWS(SZ_SIZE),"PARALLEL SETS",INDEX(SZ_SIZE,MAX(COUNTIF(SZ_AMP,"&lt;"&amp;(N($S248)/N($T248)))+1,IF(N($H248)=0,1,COUNTIF(SZ_Z,"&gt;"&amp;($B$13*N($D248)*1000/(IF(N($E248)=1,2,SQRT(3))*(N($S248)/1.25)/N($T248)*N($H248))))+1)))))</f>
        <v/>
      </c>
      <c r="K248" s="807" t="n"/>
      <c r="L248" s="865">
        <f>IF(OR(IF($K248&lt;&gt;"",$K248,$J248)="",IF($K248&lt;&gt;"",$K248,$J248)="PARALLEL SETS"),"",IFERROR(INDEX(SZ_AMP,MATCH(IF($K248&lt;&gt;"",$K248,$J248),SZ_SIZE,0))*N($T248),""))</f>
        <v/>
      </c>
      <c r="M248" s="866">
        <f>IF(OR(N($L248)=0,N($H248)=0),"",IFERROR(IF(N($E248)=1,2,SQRT(3))*(N($S248)/1.25)/N($T248)*N($H248)*INDEX(SZ_Z,MATCH(IF($K248&lt;&gt;"",$K248,$J248),SZ_SIZE,0))/1000/N($D248),""))</f>
        <v/>
      </c>
      <c r="N248" s="863">
        <f>IF(N($V248)=0,"",IFERROR(INDEX(IF($B$6="Cu",EGC_CU,EGC_AL),MATCH(N($V248),EGC_OCPD,1)+IF(ISNUMBER(MATCH(N($V248),EGC_OCPD,0)),0,1)),""))</f>
        <v/>
      </c>
      <c r="O248" s="863">
        <f>IF(N($L248)=0,"",IFERROR(INDEX(CND_3G,MATCH(IF($K248&lt;&gt;"",$K248,$J248),CND_SIZE,0)),""))</f>
        <v/>
      </c>
      <c r="P248" s="807" t="n"/>
      <c r="Q248" s="867">
        <f>IF(OR(N($H248)=0,N($L248)=0),0,IFERROR(N($H248)*N($T248)*N($U248)*INDEX(IF($B$6="Cu",WIRE_CU,WIRE_AL),MATCH(IF($K248&lt;&gt;"",$K248,$J248),WIRE_SIZE,0)),0)+IFERROR(N($H248)*N($T248)*INDEX(IF($B$6="Cu",WIRE_CU,WIRE_AL),MATCH($N248,WIRE_SIZE,0)),0)+IFERROR(N($H248)*N($T248)*INDEX(PVC_RATE,MATCH(IF($P248&lt;&gt;"",$P248,$O248),PVC_SIZE,0)),0))</f>
        <v/>
      </c>
      <c r="R248" s="863">
        <f>IF($C248="","",IF(N($S248)=0,"enter the item fed — its rating on the schedule sets the floor, or type a floor in column G",IF(N($H248)=0,"ENTER THE DISTANCE",IF($B$10="","SET THE DESIGN AMBIENT in block A",IF(IF($K248&lt;&gt;"",$K248,$J248)="PARALLEL SETS","PARALLEL SETS NEEDED — no single conductor carries "&amp;TEXT(N($S248),"#,##0")&amp;" A within the drop allowance; enter sets in column I",IF(N($L248)=0,"no ampacity on file for the override size — NEC Table 310.16 does not list it",IF(N($L248)&lt;N($S248),"UNDERSIZED — "&amp;TEXT(N($L248),"#,##0")&amp;" A provided against a floor of "&amp;TEXT(N($S248),"#,##0")&amp;" A",IF(N($M248)&gt;$B$13,"ampacity OK but voltage drop "&amp;TEXT(N($M248),"0.0%")&amp;" exceeds the allowance — ADVISORY, upsize or add a set","OK — "&amp;IF(N($T248)&gt;1,TEXT(N($T248),"0")&amp;" sets of ","")&amp;IF($K248&lt;&gt;"",$K248,$J248)&amp;IF($K248&lt;&gt;""," (override)","")&amp;", "&amp;TEXT(N($L248),"#,##0")&amp;" A against a "&amp;TEXT(N($S248),"#,##0")&amp;" A floor; drop "&amp;TEXT(N($M248),"0.0%")&amp;" (ADVISORY)"))))))))</f>
        <v/>
      </c>
      <c r="S248" s="865">
        <f>IF($C248="","",IF(N($G248)&gt;0,N($G248),N($F248)))</f>
        <v/>
      </c>
      <c r="T248" s="865">
        <f>IF($C248="","",IF(N($I248)&gt;0,N($I248),1))</f>
        <v/>
      </c>
      <c r="U248" s="865">
        <f>IF($C248="","",IF(N($E248)=1,2,IF(N($D248)&lt;=240,4,3)))</f>
        <v/>
      </c>
      <c r="V248" s="865">
        <f>IF(N($S248)=0,"",IF(ISNUMBER(MATCH(N($S248),OCPD_LIST,0)),N($S248),IF(N($S248)&gt;MAX(OCPD_LIST),MAX(OCPD_LIST),INDEX(OCPD_LIST,MATCH(N($S248),OCPD_LIST,1)+1))))</f>
        <v/>
      </c>
      <c r="W248" s="804" t="n"/>
      <c r="X248" s="804" t="n"/>
    </row>
    <row r="249" ht="40" customHeight="1" s="254">
      <c r="A249" s="862">
        <f>IF($C249="","","Feeder 8")</f>
        <v/>
      </c>
      <c r="B249" s="807" t="n"/>
      <c r="C249" s="807" t="n"/>
      <c r="D249" s="865">
        <f>IF($C249="","",IFERROR(IF(INDEX($B$165:$B$176,MATCH($C249,$A$165:$A$176,0))="Transformer",IFERROR(INDEX($D$165:$D$176,MATCH($B249,$A$165:$A$176,0)),Project!$B$29),INDEX($D$165:$D$176,MATCH($C249,$A$165:$A$176,0))),""))</f>
        <v/>
      </c>
      <c r="E249" s="863">
        <f>IF($C249="","",IFERROR(INDEX($E$165:$E$176,MATCH($C249,$A$165:$A$176,0)),""))</f>
        <v/>
      </c>
      <c r="F249" s="865">
        <f>IF($C249="","",IFERROR(N(INDEX($F$165:$F$176,MATCH($C249,$A$165:$A$176,0))),0))</f>
        <v/>
      </c>
      <c r="G249" s="831" t="n"/>
      <c r="H249" s="831" t="n"/>
      <c r="I249" s="831" t="n"/>
      <c r="J249" s="863">
        <f>IF(OR(N($S249)=0,$B$10=""),"",IF(MAX(COUNTIF(SZ_AMP,"&lt;"&amp;(N($S249)/N($T249)))+1,IF(N($H249)=0,1,COUNTIF(SZ_Z,"&gt;"&amp;($B$13*N($D249)*1000/(IF(N($E249)=1,2,SQRT(3))*(N($S249)/1.25)/N($T249)*N($H249))))+1))&gt;ROWS(SZ_SIZE),"PARALLEL SETS",INDEX(SZ_SIZE,MAX(COUNTIF(SZ_AMP,"&lt;"&amp;(N($S249)/N($T249)))+1,IF(N($H249)=0,1,COUNTIF(SZ_Z,"&gt;"&amp;($B$13*N($D249)*1000/(IF(N($E249)=1,2,SQRT(3))*(N($S249)/1.25)/N($T249)*N($H249))))+1)))))</f>
        <v/>
      </c>
      <c r="K249" s="807" t="n"/>
      <c r="L249" s="865">
        <f>IF(OR(IF($K249&lt;&gt;"",$K249,$J249)="",IF($K249&lt;&gt;"",$K249,$J249)="PARALLEL SETS"),"",IFERROR(INDEX(SZ_AMP,MATCH(IF($K249&lt;&gt;"",$K249,$J249),SZ_SIZE,0))*N($T249),""))</f>
        <v/>
      </c>
      <c r="M249" s="866">
        <f>IF(OR(N($L249)=0,N($H249)=0),"",IFERROR(IF(N($E249)=1,2,SQRT(3))*(N($S249)/1.25)/N($T249)*N($H249)*INDEX(SZ_Z,MATCH(IF($K249&lt;&gt;"",$K249,$J249),SZ_SIZE,0))/1000/N($D249),""))</f>
        <v/>
      </c>
      <c r="N249" s="863">
        <f>IF(N($V249)=0,"",IFERROR(INDEX(IF($B$6="Cu",EGC_CU,EGC_AL),MATCH(N($V249),EGC_OCPD,1)+IF(ISNUMBER(MATCH(N($V249),EGC_OCPD,0)),0,1)),""))</f>
        <v/>
      </c>
      <c r="O249" s="863">
        <f>IF(N($L249)=0,"",IFERROR(INDEX(CND_3G,MATCH(IF($K249&lt;&gt;"",$K249,$J249),CND_SIZE,0)),""))</f>
        <v/>
      </c>
      <c r="P249" s="807" t="n"/>
      <c r="Q249" s="867">
        <f>IF(OR(N($H249)=0,N($L249)=0),0,IFERROR(N($H249)*N($T249)*N($U249)*INDEX(IF($B$6="Cu",WIRE_CU,WIRE_AL),MATCH(IF($K249&lt;&gt;"",$K249,$J249),WIRE_SIZE,0)),0)+IFERROR(N($H249)*N($T249)*INDEX(IF($B$6="Cu",WIRE_CU,WIRE_AL),MATCH($N249,WIRE_SIZE,0)),0)+IFERROR(N($H249)*N($T249)*INDEX(PVC_RATE,MATCH(IF($P249&lt;&gt;"",$P249,$O249),PVC_SIZE,0)),0))</f>
        <v/>
      </c>
      <c r="R249" s="863">
        <f>IF($C249="","",IF(N($S249)=0,"enter the item fed — its rating on the schedule sets the floor, or type a floor in column G",IF(N($H249)=0,"ENTER THE DISTANCE",IF($B$10="","SET THE DESIGN AMBIENT in block A",IF(IF($K249&lt;&gt;"",$K249,$J249)="PARALLEL SETS","PARALLEL SETS NEEDED — no single conductor carries "&amp;TEXT(N($S249),"#,##0")&amp;" A within the drop allowance; enter sets in column I",IF(N($L249)=0,"no ampacity on file for the override size — NEC Table 310.16 does not list it",IF(N($L249)&lt;N($S249),"UNDERSIZED — "&amp;TEXT(N($L249),"#,##0")&amp;" A provided against a floor of "&amp;TEXT(N($S249),"#,##0")&amp;" A",IF(N($M249)&gt;$B$13,"ampacity OK but voltage drop "&amp;TEXT(N($M249),"0.0%")&amp;" exceeds the allowance — ADVISORY, upsize or add a set","OK — "&amp;IF(N($T249)&gt;1,TEXT(N($T249),"0")&amp;" sets of ","")&amp;IF($K249&lt;&gt;"",$K249,$J249)&amp;IF($K249&lt;&gt;""," (override)","")&amp;", "&amp;TEXT(N($L249),"#,##0")&amp;" A against a "&amp;TEXT(N($S249),"#,##0")&amp;" A floor; drop "&amp;TEXT(N($M249),"0.0%")&amp;" (ADVISORY)"))))))))</f>
        <v/>
      </c>
      <c r="S249" s="865">
        <f>IF($C249="","",IF(N($G249)&gt;0,N($G249),N($F249)))</f>
        <v/>
      </c>
      <c r="T249" s="865">
        <f>IF($C249="","",IF(N($I249)&gt;0,N($I249),1))</f>
        <v/>
      </c>
      <c r="U249" s="865">
        <f>IF($C249="","",IF(N($E249)=1,2,IF(N($D249)&lt;=240,4,3)))</f>
        <v/>
      </c>
      <c r="V249" s="865">
        <f>IF(N($S249)=0,"",IF(ISNUMBER(MATCH(N($S249),OCPD_LIST,0)),N($S249),IF(N($S249)&gt;MAX(OCPD_LIST),MAX(OCPD_LIST),INDEX(OCPD_LIST,MATCH(N($S249),OCPD_LIST,1)+1))))</f>
        <v/>
      </c>
      <c r="W249" s="804" t="n"/>
      <c r="X249" s="804" t="n"/>
    </row>
    <row r="250" ht="40" customHeight="1" s="254">
      <c r="A250" s="862">
        <f>IF($C250="","","Feeder 9")</f>
        <v/>
      </c>
      <c r="B250" s="807" t="n"/>
      <c r="C250" s="807" t="n"/>
      <c r="D250" s="865">
        <f>IF($C250="","",IFERROR(IF(INDEX($B$165:$B$176,MATCH($C250,$A$165:$A$176,0))="Transformer",IFERROR(INDEX($D$165:$D$176,MATCH($B250,$A$165:$A$176,0)),Project!$B$29),INDEX($D$165:$D$176,MATCH($C250,$A$165:$A$176,0))),""))</f>
        <v/>
      </c>
      <c r="E250" s="863">
        <f>IF($C250="","",IFERROR(INDEX($E$165:$E$176,MATCH($C250,$A$165:$A$176,0)),""))</f>
        <v/>
      </c>
      <c r="F250" s="865">
        <f>IF($C250="","",IFERROR(N(INDEX($F$165:$F$176,MATCH($C250,$A$165:$A$176,0))),0))</f>
        <v/>
      </c>
      <c r="G250" s="831" t="n"/>
      <c r="H250" s="831" t="n"/>
      <c r="I250" s="831" t="n"/>
      <c r="J250" s="863">
        <f>IF(OR(N($S250)=0,$B$10=""),"",IF(MAX(COUNTIF(SZ_AMP,"&lt;"&amp;(N($S250)/N($T250)))+1,IF(N($H250)=0,1,COUNTIF(SZ_Z,"&gt;"&amp;($B$13*N($D250)*1000/(IF(N($E250)=1,2,SQRT(3))*(N($S250)/1.25)/N($T250)*N($H250))))+1))&gt;ROWS(SZ_SIZE),"PARALLEL SETS",INDEX(SZ_SIZE,MAX(COUNTIF(SZ_AMP,"&lt;"&amp;(N($S250)/N($T250)))+1,IF(N($H250)=0,1,COUNTIF(SZ_Z,"&gt;"&amp;($B$13*N($D250)*1000/(IF(N($E250)=1,2,SQRT(3))*(N($S250)/1.25)/N($T250)*N($H250))))+1)))))</f>
        <v/>
      </c>
      <c r="K250" s="807" t="n"/>
      <c r="L250" s="865">
        <f>IF(OR(IF($K250&lt;&gt;"",$K250,$J250)="",IF($K250&lt;&gt;"",$K250,$J250)="PARALLEL SETS"),"",IFERROR(INDEX(SZ_AMP,MATCH(IF($K250&lt;&gt;"",$K250,$J250),SZ_SIZE,0))*N($T250),""))</f>
        <v/>
      </c>
      <c r="M250" s="866">
        <f>IF(OR(N($L250)=0,N($H250)=0),"",IFERROR(IF(N($E250)=1,2,SQRT(3))*(N($S250)/1.25)/N($T250)*N($H250)*INDEX(SZ_Z,MATCH(IF($K250&lt;&gt;"",$K250,$J250),SZ_SIZE,0))/1000/N($D250),""))</f>
        <v/>
      </c>
      <c r="N250" s="863">
        <f>IF(N($V250)=0,"",IFERROR(INDEX(IF($B$6="Cu",EGC_CU,EGC_AL),MATCH(N($V250),EGC_OCPD,1)+IF(ISNUMBER(MATCH(N($V250),EGC_OCPD,0)),0,1)),""))</f>
        <v/>
      </c>
      <c r="O250" s="863">
        <f>IF(N($L250)=0,"",IFERROR(INDEX(CND_3G,MATCH(IF($K250&lt;&gt;"",$K250,$J250),CND_SIZE,0)),""))</f>
        <v/>
      </c>
      <c r="P250" s="807" t="n"/>
      <c r="Q250" s="867">
        <f>IF(OR(N($H250)=0,N($L250)=0),0,IFERROR(N($H250)*N($T250)*N($U250)*INDEX(IF($B$6="Cu",WIRE_CU,WIRE_AL),MATCH(IF($K250&lt;&gt;"",$K250,$J250),WIRE_SIZE,0)),0)+IFERROR(N($H250)*N($T250)*INDEX(IF($B$6="Cu",WIRE_CU,WIRE_AL),MATCH($N250,WIRE_SIZE,0)),0)+IFERROR(N($H250)*N($T250)*INDEX(PVC_RATE,MATCH(IF($P250&lt;&gt;"",$P250,$O250),PVC_SIZE,0)),0))</f>
        <v/>
      </c>
      <c r="R250" s="863">
        <f>IF($C250="","",IF(N($S250)=0,"enter the item fed — its rating on the schedule sets the floor, or type a floor in column G",IF(N($H250)=0,"ENTER THE DISTANCE",IF($B$10="","SET THE DESIGN AMBIENT in block A",IF(IF($K250&lt;&gt;"",$K250,$J250)="PARALLEL SETS","PARALLEL SETS NEEDED — no single conductor carries "&amp;TEXT(N($S250),"#,##0")&amp;" A within the drop allowance; enter sets in column I",IF(N($L250)=0,"no ampacity on file for the override size — NEC Table 310.16 does not list it",IF(N($L250)&lt;N($S250),"UNDERSIZED — "&amp;TEXT(N($L250),"#,##0")&amp;" A provided against a floor of "&amp;TEXT(N($S250),"#,##0")&amp;" A",IF(N($M250)&gt;$B$13,"ampacity OK but voltage drop "&amp;TEXT(N($M250),"0.0%")&amp;" exceeds the allowance — ADVISORY, upsize or add a set","OK — "&amp;IF(N($T250)&gt;1,TEXT(N($T250),"0")&amp;" sets of ","")&amp;IF($K250&lt;&gt;"",$K250,$J250)&amp;IF($K250&lt;&gt;""," (override)","")&amp;", "&amp;TEXT(N($L250),"#,##0")&amp;" A against a "&amp;TEXT(N($S250),"#,##0")&amp;" A floor; drop "&amp;TEXT(N($M250),"0.0%")&amp;" (ADVISORY)"))))))))</f>
        <v/>
      </c>
      <c r="S250" s="865">
        <f>IF($C250="","",IF(N($G250)&gt;0,N($G250),N($F250)))</f>
        <v/>
      </c>
      <c r="T250" s="865">
        <f>IF($C250="","",IF(N($I250)&gt;0,N($I250),1))</f>
        <v/>
      </c>
      <c r="U250" s="865">
        <f>IF($C250="","",IF(N($E250)=1,2,IF(N($D250)&lt;=240,4,3)))</f>
        <v/>
      </c>
      <c r="V250" s="865">
        <f>IF(N($S250)=0,"",IF(ISNUMBER(MATCH(N($S250),OCPD_LIST,0)),N($S250),IF(N($S250)&gt;MAX(OCPD_LIST),MAX(OCPD_LIST),INDEX(OCPD_LIST,MATCH(N($S250),OCPD_LIST,1)+1))))</f>
        <v/>
      </c>
      <c r="W250" s="804" t="n"/>
      <c r="X250" s="804" t="n"/>
    </row>
    <row r="251" ht="40" customHeight="1" s="254">
      <c r="A251" s="862">
        <f>IF($C251="","","Feeder 10")</f>
        <v/>
      </c>
      <c r="B251" s="807" t="n"/>
      <c r="C251" s="807" t="n"/>
      <c r="D251" s="865">
        <f>IF($C251="","",IFERROR(IF(INDEX($B$165:$B$176,MATCH($C251,$A$165:$A$176,0))="Transformer",IFERROR(INDEX($D$165:$D$176,MATCH($B251,$A$165:$A$176,0)),Project!$B$29),INDEX($D$165:$D$176,MATCH($C251,$A$165:$A$176,0))),""))</f>
        <v/>
      </c>
      <c r="E251" s="863">
        <f>IF($C251="","",IFERROR(INDEX($E$165:$E$176,MATCH($C251,$A$165:$A$176,0)),""))</f>
        <v/>
      </c>
      <c r="F251" s="865">
        <f>IF($C251="","",IFERROR(N(INDEX($F$165:$F$176,MATCH($C251,$A$165:$A$176,0))),0))</f>
        <v/>
      </c>
      <c r="G251" s="831" t="n"/>
      <c r="H251" s="831" t="n"/>
      <c r="I251" s="831" t="n"/>
      <c r="J251" s="863">
        <f>IF(OR(N($S251)=0,$B$10=""),"",IF(MAX(COUNTIF(SZ_AMP,"&lt;"&amp;(N($S251)/N($T251)))+1,IF(N($H251)=0,1,COUNTIF(SZ_Z,"&gt;"&amp;($B$13*N($D251)*1000/(IF(N($E251)=1,2,SQRT(3))*(N($S251)/1.25)/N($T251)*N($H251))))+1))&gt;ROWS(SZ_SIZE),"PARALLEL SETS",INDEX(SZ_SIZE,MAX(COUNTIF(SZ_AMP,"&lt;"&amp;(N($S251)/N($T251)))+1,IF(N($H251)=0,1,COUNTIF(SZ_Z,"&gt;"&amp;($B$13*N($D251)*1000/(IF(N($E251)=1,2,SQRT(3))*(N($S251)/1.25)/N($T251)*N($H251))))+1)))))</f>
        <v/>
      </c>
      <c r="K251" s="807" t="n"/>
      <c r="L251" s="865">
        <f>IF(OR(IF($K251&lt;&gt;"",$K251,$J251)="",IF($K251&lt;&gt;"",$K251,$J251)="PARALLEL SETS"),"",IFERROR(INDEX(SZ_AMP,MATCH(IF($K251&lt;&gt;"",$K251,$J251),SZ_SIZE,0))*N($T251),""))</f>
        <v/>
      </c>
      <c r="M251" s="866">
        <f>IF(OR(N($L251)=0,N($H251)=0),"",IFERROR(IF(N($E251)=1,2,SQRT(3))*(N($S251)/1.25)/N($T251)*N($H251)*INDEX(SZ_Z,MATCH(IF($K251&lt;&gt;"",$K251,$J251),SZ_SIZE,0))/1000/N($D251),""))</f>
        <v/>
      </c>
      <c r="N251" s="863">
        <f>IF(N($V251)=0,"",IFERROR(INDEX(IF($B$6="Cu",EGC_CU,EGC_AL),MATCH(N($V251),EGC_OCPD,1)+IF(ISNUMBER(MATCH(N($V251),EGC_OCPD,0)),0,1)),""))</f>
        <v/>
      </c>
      <c r="O251" s="863">
        <f>IF(N($L251)=0,"",IFERROR(INDEX(CND_3G,MATCH(IF($K251&lt;&gt;"",$K251,$J251),CND_SIZE,0)),""))</f>
        <v/>
      </c>
      <c r="P251" s="807" t="n"/>
      <c r="Q251" s="867">
        <f>IF(OR(N($H251)=0,N($L251)=0),0,IFERROR(N($H251)*N($T251)*N($U251)*INDEX(IF($B$6="Cu",WIRE_CU,WIRE_AL),MATCH(IF($K251&lt;&gt;"",$K251,$J251),WIRE_SIZE,0)),0)+IFERROR(N($H251)*N($T251)*INDEX(IF($B$6="Cu",WIRE_CU,WIRE_AL),MATCH($N251,WIRE_SIZE,0)),0)+IFERROR(N($H251)*N($T251)*INDEX(PVC_RATE,MATCH(IF($P251&lt;&gt;"",$P251,$O251),PVC_SIZE,0)),0))</f>
        <v/>
      </c>
      <c r="R251" s="863">
        <f>IF($C251="","",IF(N($S251)=0,"enter the item fed — its rating on the schedule sets the floor, or type a floor in column G",IF(N($H251)=0,"ENTER THE DISTANCE",IF($B$10="","SET THE DESIGN AMBIENT in block A",IF(IF($K251&lt;&gt;"",$K251,$J251)="PARALLEL SETS","PARALLEL SETS NEEDED — no single conductor carries "&amp;TEXT(N($S251),"#,##0")&amp;" A within the drop allowance; enter sets in column I",IF(N($L251)=0,"no ampacity on file for the override size — NEC Table 310.16 does not list it",IF(N($L251)&lt;N($S251),"UNDERSIZED — "&amp;TEXT(N($L251),"#,##0")&amp;" A provided against a floor of "&amp;TEXT(N($S251),"#,##0")&amp;" A",IF(N($M251)&gt;$B$13,"ampacity OK but voltage drop "&amp;TEXT(N($M251),"0.0%")&amp;" exceeds the allowance — ADVISORY, upsize or add a set","OK — "&amp;IF(N($T251)&gt;1,TEXT(N($T251),"0")&amp;" sets of ","")&amp;IF($K251&lt;&gt;"",$K251,$J251)&amp;IF($K251&lt;&gt;""," (override)","")&amp;", "&amp;TEXT(N($L251),"#,##0")&amp;" A against a "&amp;TEXT(N($S251),"#,##0")&amp;" A floor; drop "&amp;TEXT(N($M251),"0.0%")&amp;" (ADVISORY)"))))))))</f>
        <v/>
      </c>
      <c r="S251" s="865">
        <f>IF($C251="","",IF(N($G251)&gt;0,N($G251),N($F251)))</f>
        <v/>
      </c>
      <c r="T251" s="865">
        <f>IF($C251="","",IF(N($I251)&gt;0,N($I251),1))</f>
        <v/>
      </c>
      <c r="U251" s="865">
        <f>IF($C251="","",IF(N($E251)=1,2,IF(N($D251)&lt;=240,4,3)))</f>
        <v/>
      </c>
      <c r="V251" s="865">
        <f>IF(N($S251)=0,"",IF(ISNUMBER(MATCH(N($S251),OCPD_LIST,0)),N($S251),IF(N($S251)&gt;MAX(OCPD_LIST),MAX(OCPD_LIST),INDEX(OCPD_LIST,MATCH(N($S251),OCPD_LIST,1)+1))))</f>
        <v/>
      </c>
      <c r="W251" s="804" t="n"/>
      <c r="X251" s="804" t="n"/>
    </row>
    <row r="252" ht="40" customHeight="1" s="254">
      <c r="A252" s="862">
        <f>IF($C252="","","Feeder 11")</f>
        <v/>
      </c>
      <c r="B252" s="807" t="n"/>
      <c r="C252" s="807" t="n"/>
      <c r="D252" s="865">
        <f>IF($C252="","",IFERROR(IF(INDEX($B$165:$B$176,MATCH($C252,$A$165:$A$176,0))="Transformer",IFERROR(INDEX($D$165:$D$176,MATCH($B252,$A$165:$A$176,0)),Project!$B$29),INDEX($D$165:$D$176,MATCH($C252,$A$165:$A$176,0))),""))</f>
        <v/>
      </c>
      <c r="E252" s="863">
        <f>IF($C252="","",IFERROR(INDEX($E$165:$E$176,MATCH($C252,$A$165:$A$176,0)),""))</f>
        <v/>
      </c>
      <c r="F252" s="865">
        <f>IF($C252="","",IFERROR(N(INDEX($F$165:$F$176,MATCH($C252,$A$165:$A$176,0))),0))</f>
        <v/>
      </c>
      <c r="G252" s="831" t="n"/>
      <c r="H252" s="831" t="n"/>
      <c r="I252" s="831" t="n"/>
      <c r="J252" s="863">
        <f>IF(OR(N($S252)=0,$B$10=""),"",IF(MAX(COUNTIF(SZ_AMP,"&lt;"&amp;(N($S252)/N($T252)))+1,IF(N($H252)=0,1,COUNTIF(SZ_Z,"&gt;"&amp;($B$13*N($D252)*1000/(IF(N($E252)=1,2,SQRT(3))*(N($S252)/1.25)/N($T252)*N($H252))))+1))&gt;ROWS(SZ_SIZE),"PARALLEL SETS",INDEX(SZ_SIZE,MAX(COUNTIF(SZ_AMP,"&lt;"&amp;(N($S252)/N($T252)))+1,IF(N($H252)=0,1,COUNTIF(SZ_Z,"&gt;"&amp;($B$13*N($D252)*1000/(IF(N($E252)=1,2,SQRT(3))*(N($S252)/1.25)/N($T252)*N($H252))))+1)))))</f>
        <v/>
      </c>
      <c r="K252" s="807" t="n"/>
      <c r="L252" s="865">
        <f>IF(OR(IF($K252&lt;&gt;"",$K252,$J252)="",IF($K252&lt;&gt;"",$K252,$J252)="PARALLEL SETS"),"",IFERROR(INDEX(SZ_AMP,MATCH(IF($K252&lt;&gt;"",$K252,$J252),SZ_SIZE,0))*N($T252),""))</f>
        <v/>
      </c>
      <c r="M252" s="866">
        <f>IF(OR(N($L252)=0,N($H252)=0),"",IFERROR(IF(N($E252)=1,2,SQRT(3))*(N($S252)/1.25)/N($T252)*N($H252)*INDEX(SZ_Z,MATCH(IF($K252&lt;&gt;"",$K252,$J252),SZ_SIZE,0))/1000/N($D252),""))</f>
        <v/>
      </c>
      <c r="N252" s="863">
        <f>IF(N($V252)=0,"",IFERROR(INDEX(IF($B$6="Cu",EGC_CU,EGC_AL),MATCH(N($V252),EGC_OCPD,1)+IF(ISNUMBER(MATCH(N($V252),EGC_OCPD,0)),0,1)),""))</f>
        <v/>
      </c>
      <c r="O252" s="863">
        <f>IF(N($L252)=0,"",IFERROR(INDEX(CND_3G,MATCH(IF($K252&lt;&gt;"",$K252,$J252),CND_SIZE,0)),""))</f>
        <v/>
      </c>
      <c r="P252" s="807" t="n"/>
      <c r="Q252" s="867">
        <f>IF(OR(N($H252)=0,N($L252)=0),0,IFERROR(N($H252)*N($T252)*N($U252)*INDEX(IF($B$6="Cu",WIRE_CU,WIRE_AL),MATCH(IF($K252&lt;&gt;"",$K252,$J252),WIRE_SIZE,0)),0)+IFERROR(N($H252)*N($T252)*INDEX(IF($B$6="Cu",WIRE_CU,WIRE_AL),MATCH($N252,WIRE_SIZE,0)),0)+IFERROR(N($H252)*N($T252)*INDEX(PVC_RATE,MATCH(IF($P252&lt;&gt;"",$P252,$O252),PVC_SIZE,0)),0))</f>
        <v/>
      </c>
      <c r="R252" s="863">
        <f>IF($C252="","",IF(N($S252)=0,"enter the item fed — its rating on the schedule sets the floor, or type a floor in column G",IF(N($H252)=0,"ENTER THE DISTANCE",IF($B$10="","SET THE DESIGN AMBIENT in block A",IF(IF($K252&lt;&gt;"",$K252,$J252)="PARALLEL SETS","PARALLEL SETS NEEDED — no single conductor carries "&amp;TEXT(N($S252),"#,##0")&amp;" A within the drop allowance; enter sets in column I",IF(N($L252)=0,"no ampacity on file for the override size — NEC Table 310.16 does not list it",IF(N($L252)&lt;N($S252),"UNDERSIZED — "&amp;TEXT(N($L252),"#,##0")&amp;" A provided against a floor of "&amp;TEXT(N($S252),"#,##0")&amp;" A",IF(N($M252)&gt;$B$13,"ampacity OK but voltage drop "&amp;TEXT(N($M252),"0.0%")&amp;" exceeds the allowance — ADVISORY, upsize or add a set","OK — "&amp;IF(N($T252)&gt;1,TEXT(N($T252),"0")&amp;" sets of ","")&amp;IF($K252&lt;&gt;"",$K252,$J252)&amp;IF($K252&lt;&gt;""," (override)","")&amp;", "&amp;TEXT(N($L252),"#,##0")&amp;" A against a "&amp;TEXT(N($S252),"#,##0")&amp;" A floor; drop "&amp;TEXT(N($M252),"0.0%")&amp;" (ADVISORY)"))))))))</f>
        <v/>
      </c>
      <c r="S252" s="865">
        <f>IF($C252="","",IF(N($G252)&gt;0,N($G252),N($F252)))</f>
        <v/>
      </c>
      <c r="T252" s="865">
        <f>IF($C252="","",IF(N($I252)&gt;0,N($I252),1))</f>
        <v/>
      </c>
      <c r="U252" s="865">
        <f>IF($C252="","",IF(N($E252)=1,2,IF(N($D252)&lt;=240,4,3)))</f>
        <v/>
      </c>
      <c r="V252" s="865">
        <f>IF(N($S252)=0,"",IF(ISNUMBER(MATCH(N($S252),OCPD_LIST,0)),N($S252),IF(N($S252)&gt;MAX(OCPD_LIST),MAX(OCPD_LIST),INDEX(OCPD_LIST,MATCH(N($S252),OCPD_LIST,1)+1))))</f>
        <v/>
      </c>
      <c r="W252" s="804" t="n"/>
      <c r="X252" s="804" t="n"/>
    </row>
    <row r="253" ht="40" customHeight="1" s="254">
      <c r="A253" s="862">
        <f>IF($C253="","","Feeder 12")</f>
        <v/>
      </c>
      <c r="B253" s="807" t="n"/>
      <c r="C253" s="807" t="n"/>
      <c r="D253" s="865">
        <f>IF($C253="","",IFERROR(IF(INDEX($B$165:$B$176,MATCH($C253,$A$165:$A$176,0))="Transformer",IFERROR(INDEX($D$165:$D$176,MATCH($B253,$A$165:$A$176,0)),Project!$B$29),INDEX($D$165:$D$176,MATCH($C253,$A$165:$A$176,0))),""))</f>
        <v/>
      </c>
      <c r="E253" s="863">
        <f>IF($C253="","",IFERROR(INDEX($E$165:$E$176,MATCH($C253,$A$165:$A$176,0)),""))</f>
        <v/>
      </c>
      <c r="F253" s="865">
        <f>IF($C253="","",IFERROR(N(INDEX($F$165:$F$176,MATCH($C253,$A$165:$A$176,0))),0))</f>
        <v/>
      </c>
      <c r="G253" s="831" t="n"/>
      <c r="H253" s="831" t="n"/>
      <c r="I253" s="831" t="n"/>
      <c r="J253" s="863">
        <f>IF(OR(N($S253)=0,$B$10=""),"",IF(MAX(COUNTIF(SZ_AMP,"&lt;"&amp;(N($S253)/N($T253)))+1,IF(N($H253)=0,1,COUNTIF(SZ_Z,"&gt;"&amp;($B$13*N($D253)*1000/(IF(N($E253)=1,2,SQRT(3))*(N($S253)/1.25)/N($T253)*N($H253))))+1))&gt;ROWS(SZ_SIZE),"PARALLEL SETS",INDEX(SZ_SIZE,MAX(COUNTIF(SZ_AMP,"&lt;"&amp;(N($S253)/N($T253)))+1,IF(N($H253)=0,1,COUNTIF(SZ_Z,"&gt;"&amp;($B$13*N($D253)*1000/(IF(N($E253)=1,2,SQRT(3))*(N($S253)/1.25)/N($T253)*N($H253))))+1)))))</f>
        <v/>
      </c>
      <c r="K253" s="807" t="n"/>
      <c r="L253" s="865">
        <f>IF(OR(IF($K253&lt;&gt;"",$K253,$J253)="",IF($K253&lt;&gt;"",$K253,$J253)="PARALLEL SETS"),"",IFERROR(INDEX(SZ_AMP,MATCH(IF($K253&lt;&gt;"",$K253,$J253),SZ_SIZE,0))*N($T253),""))</f>
        <v/>
      </c>
      <c r="M253" s="866">
        <f>IF(OR(N($L253)=0,N($H253)=0),"",IFERROR(IF(N($E253)=1,2,SQRT(3))*(N($S253)/1.25)/N($T253)*N($H253)*INDEX(SZ_Z,MATCH(IF($K253&lt;&gt;"",$K253,$J253),SZ_SIZE,0))/1000/N($D253),""))</f>
        <v/>
      </c>
      <c r="N253" s="863">
        <f>IF(N($V253)=0,"",IFERROR(INDEX(IF($B$6="Cu",EGC_CU,EGC_AL),MATCH(N($V253),EGC_OCPD,1)+IF(ISNUMBER(MATCH(N($V253),EGC_OCPD,0)),0,1)),""))</f>
        <v/>
      </c>
      <c r="O253" s="863">
        <f>IF(N($L253)=0,"",IFERROR(INDEX(CND_3G,MATCH(IF($K253&lt;&gt;"",$K253,$J253),CND_SIZE,0)),""))</f>
        <v/>
      </c>
      <c r="P253" s="807" t="n"/>
      <c r="Q253" s="867">
        <f>IF(OR(N($H253)=0,N($L253)=0),0,IFERROR(N($H253)*N($T253)*N($U253)*INDEX(IF($B$6="Cu",WIRE_CU,WIRE_AL),MATCH(IF($K253&lt;&gt;"",$K253,$J253),WIRE_SIZE,0)),0)+IFERROR(N($H253)*N($T253)*INDEX(IF($B$6="Cu",WIRE_CU,WIRE_AL),MATCH($N253,WIRE_SIZE,0)),0)+IFERROR(N($H253)*N($T253)*INDEX(PVC_RATE,MATCH(IF($P253&lt;&gt;"",$P253,$O253),PVC_SIZE,0)),0))</f>
        <v/>
      </c>
      <c r="R253" s="863">
        <f>IF($C253="","",IF(N($S253)=0,"enter the item fed — its rating on the schedule sets the floor, or type a floor in column G",IF(N($H253)=0,"ENTER THE DISTANCE",IF($B$10="","SET THE DESIGN AMBIENT in block A",IF(IF($K253&lt;&gt;"",$K253,$J253)="PARALLEL SETS","PARALLEL SETS NEEDED — no single conductor carries "&amp;TEXT(N($S253),"#,##0")&amp;" A within the drop allowance; enter sets in column I",IF(N($L253)=0,"no ampacity on file for the override size — NEC Table 310.16 does not list it",IF(N($L253)&lt;N($S253),"UNDERSIZED — "&amp;TEXT(N($L253),"#,##0")&amp;" A provided against a floor of "&amp;TEXT(N($S253),"#,##0")&amp;" A",IF(N($M253)&gt;$B$13,"ampacity OK but voltage drop "&amp;TEXT(N($M253),"0.0%")&amp;" exceeds the allowance — ADVISORY, upsize or add a set","OK — "&amp;IF(N($T253)&gt;1,TEXT(N($T253),"0")&amp;" sets of ","")&amp;IF($K253&lt;&gt;"",$K253,$J253)&amp;IF($K253&lt;&gt;""," (override)","")&amp;", "&amp;TEXT(N($L253),"#,##0")&amp;" A against a "&amp;TEXT(N($S253),"#,##0")&amp;" A floor; drop "&amp;TEXT(N($M253),"0.0%")&amp;" (ADVISORY)"))))))))</f>
        <v/>
      </c>
      <c r="S253" s="865">
        <f>IF($C253="","",IF(N($G253)&gt;0,N($G253),N($F253)))</f>
        <v/>
      </c>
      <c r="T253" s="865">
        <f>IF($C253="","",IF(N($I253)&gt;0,N($I253),1))</f>
        <v/>
      </c>
      <c r="U253" s="865">
        <f>IF($C253="","",IF(N($E253)=1,2,IF(N($D253)&lt;=240,4,3)))</f>
        <v/>
      </c>
      <c r="V253" s="865">
        <f>IF(N($S253)=0,"",IF(ISNUMBER(MATCH(N($S253),OCPD_LIST,0)),N($S253),IF(N($S253)&gt;MAX(OCPD_LIST),MAX(OCPD_LIST),INDEX(OCPD_LIST,MATCH(N($S253),OCPD_LIST,1)+1))))</f>
        <v/>
      </c>
      <c r="W253" s="804" t="n"/>
      <c r="X253" s="804" t="n"/>
    </row>
    <row r="254" ht="16" customHeight="1" s="254">
      <c r="A254" s="811" t="n"/>
      <c r="B254" s="804" t="n"/>
      <c r="C254" s="804" t="n"/>
      <c r="D254" s="804" t="n"/>
      <c r="E254" s="804" t="n"/>
      <c r="F254" s="804" t="n"/>
      <c r="G254" s="804" t="n"/>
      <c r="H254" s="804" t="n"/>
      <c r="I254" s="804" t="n"/>
      <c r="J254" s="804" t="n"/>
      <c r="K254" s="804" t="n"/>
      <c r="L254" s="804" t="n"/>
      <c r="M254" s="804" t="n"/>
      <c r="N254" s="804" t="n"/>
      <c r="O254" s="804" t="n"/>
      <c r="P254" s="804" t="n"/>
      <c r="Q254" s="804" t="n"/>
      <c r="R254" s="804" t="n"/>
      <c r="S254" s="804" t="n"/>
      <c r="T254" s="804" t="n"/>
      <c r="U254" s="804" t="n"/>
      <c r="V254" s="804" t="n"/>
      <c r="W254" s="804" t="n"/>
      <c r="X254" s="804" t="n"/>
    </row>
    <row r="255" ht="16" customHeight="1" s="254">
      <c r="A255" s="781" t="inlineStr">
        <is>
          <t>Feeders scheduled</t>
        </is>
      </c>
      <c r="B255" s="809">
        <f>COUNTA($C$242:$C$253)</f>
        <v/>
      </c>
      <c r="C255" s="814" t="inlineStr">
        <is>
          <t>Rows with an item fed.</t>
        </is>
      </c>
      <c r="M255" s="804" t="n"/>
      <c r="N255" s="804" t="n"/>
      <c r="O255" s="804" t="n"/>
      <c r="P255" s="804" t="n"/>
      <c r="Q255" s="804" t="n"/>
      <c r="R255" s="804" t="n"/>
      <c r="S255" s="804" t="n"/>
      <c r="T255" s="804" t="n"/>
      <c r="U255" s="804" t="n"/>
      <c r="V255" s="804" t="n"/>
      <c r="W255" s="804" t="n"/>
      <c r="X255" s="804" t="n"/>
    </row>
    <row r="256" ht="16" customHeight="1" s="254">
      <c r="A256" s="781" t="inlineStr">
        <is>
          <t>Distribution feeder material ($)</t>
        </is>
      </c>
      <c r="B256" s="870">
        <f>SUM($Q$242:$Q$253)</f>
        <v/>
      </c>
      <c r="C256" s="814" t="inlineStr">
        <is>
          <t>Conductor, ground and conduit for every feeder above, at RefData rates. The engine reads this row into the wire line.</t>
        </is>
      </c>
      <c r="M256" s="804" t="n"/>
      <c r="N256" s="804" t="n"/>
      <c r="O256" s="804" t="n"/>
      <c r="P256" s="804" t="n"/>
      <c r="Q256" s="804" t="n"/>
      <c r="R256" s="804" t="n"/>
      <c r="S256" s="804" t="n"/>
      <c r="T256" s="804" t="n"/>
      <c r="U256" s="804" t="n"/>
      <c r="V256" s="804" t="n"/>
      <c r="W256" s="804" t="n"/>
      <c r="X256" s="804" t="n"/>
    </row>
    <row r="257" ht="16" customHeight="1" s="254">
      <c r="A257" s="781" t="inlineStr">
        <is>
          <t>Feeder distance total (ft)</t>
        </is>
      </c>
      <c r="B257" s="809">
        <f>SUM($H$242:$H$253)</f>
        <v/>
      </c>
      <c r="C257" s="804" t="n"/>
      <c r="D257" s="804" t="n"/>
      <c r="E257" s="804" t="n"/>
      <c r="F257" s="804" t="n"/>
      <c r="G257" s="804" t="n"/>
      <c r="H257" s="804" t="n"/>
      <c r="I257" s="804" t="n"/>
      <c r="J257" s="804" t="n"/>
      <c r="K257" s="804" t="n"/>
      <c r="L257" s="804" t="n"/>
      <c r="M257" s="804" t="n"/>
      <c r="N257" s="804" t="n"/>
      <c r="O257" s="804" t="n"/>
      <c r="P257" s="804" t="n"/>
      <c r="Q257" s="804" t="n"/>
      <c r="R257" s="804" t="n"/>
      <c r="S257" s="804" t="n"/>
      <c r="T257" s="804" t="n"/>
      <c r="U257" s="804" t="n"/>
      <c r="V257" s="804" t="n"/>
      <c r="W257" s="804" t="n"/>
      <c r="X257" s="804" t="n"/>
    </row>
    <row r="258" ht="48" customHeight="1" s="254">
      <c r="A258" s="781" t="inlineStr">
        <is>
          <t>Every feeder sized and costed?</t>
        </is>
      </c>
      <c r="B258" s="810">
        <f>IF(COUNTA($C$242:$C$253)=0,"n/a — no distribution feeders scheduled; the charger runs start at the point of connection",IF(COUNTIF($R$242:$R$253,"UNDERSIZED*")+COUNTIF($R$242:$R$253,"PARALLEL*")+COUNTIF($R$242:$R$253,"ENTER*")+COUNTIF($R$242:$R$253,"enter*")+COUNTIF($R$242:$R$253,"no ampacity*")+COUNTIF($R$242:$R$253,"SET THE*")&gt;0,"ATTENTION — read the verdict column; a feeder with a problem there is a feeder priced wrong","OK — every feeder has a conductor, a ground, a conduit and a cost"))</f>
        <v/>
      </c>
      <c r="C258" s="804" t="n"/>
      <c r="D258" s="804" t="n"/>
      <c r="E258" s="804" t="n"/>
      <c r="F258" s="804" t="n"/>
      <c r="G258" s="804" t="n"/>
      <c r="H258" s="804" t="n"/>
      <c r="I258" s="804" t="n"/>
      <c r="J258" s="804" t="n"/>
      <c r="K258" s="804" t="n"/>
      <c r="L258" s="804" t="n"/>
      <c r="M258" s="804" t="n"/>
      <c r="N258" s="804" t="n"/>
      <c r="O258" s="804" t="n"/>
      <c r="P258" s="804" t="n"/>
      <c r="Q258" s="804" t="n"/>
      <c r="R258" s="804" t="n"/>
      <c r="S258" s="804" t="n"/>
      <c r="T258" s="804" t="n"/>
      <c r="U258" s="804" t="n"/>
      <c r="V258" s="804" t="n"/>
      <c r="W258" s="804" t="n"/>
      <c r="X258" s="804" t="n"/>
    </row>
    <row r="259" ht="84" customHeight="1" s="254">
      <c r="A259" s="781" t="inlineStr">
        <is>
          <t>Every scheduled item fed by a feeder?</t>
        </is>
      </c>
      <c r="B259" s="810">
        <f>IF(COUNTA($A$165:$A$176)=0,"n/a — nothing on the distribution schedule",TEXT(COUNTA($A$165:$A$176),"0")&amp;" item(s) on the schedule, "&amp;TEXT(COUNTA($C$242:$C$253),"0")&amp;" feeder(s) here — every panel, transformer and remote disconnect needs a feeder from what feeds it; a breaker mounted inside the board that feeds it does not. ADVISORY")</f>
        <v/>
      </c>
      <c r="C259" s="804" t="n"/>
      <c r="D259" s="804" t="n"/>
      <c r="E259" s="804" t="n"/>
      <c r="F259" s="804" t="n"/>
      <c r="G259" s="804" t="n"/>
      <c r="H259" s="804" t="n"/>
      <c r="I259" s="804" t="n"/>
      <c r="J259" s="804" t="n"/>
      <c r="K259" s="804" t="n"/>
      <c r="L259" s="804" t="n"/>
      <c r="M259" s="804" t="n"/>
      <c r="N259" s="804" t="n"/>
      <c r="O259" s="804" t="n"/>
      <c r="P259" s="804" t="n"/>
      <c r="Q259" s="804" t="n"/>
      <c r="R259" s="804" t="n"/>
      <c r="S259" s="804" t="n"/>
      <c r="T259" s="804" t="n"/>
      <c r="U259" s="804" t="n"/>
      <c r="V259" s="804" t="n"/>
      <c r="W259" s="804" t="n"/>
      <c r="X259" s="804" t="n"/>
    </row>
  </sheetData>
  <sheetProtection selectLockedCells="0" selectUnlockedCells="0" sheet="1" objects="0" insertRows="1" insertHyperlinks="1" autoFilter="1" scenarios="0" formatColumns="0" deleteColumns="1" insertColumns="1" pivotTables="1" deleteRows="1" formatCells="1" formatRows="0" sort="1"/>
  <mergeCells count="81">
    <mergeCell ref="C196:H196"/>
    <mergeCell ref="C85:H85"/>
    <mergeCell ref="C9:H9"/>
    <mergeCell ref="C133:H133"/>
    <mergeCell ref="C198:H198"/>
    <mergeCell ref="C11:H11"/>
    <mergeCell ref="A183:H183"/>
    <mergeCell ref="C144:H144"/>
    <mergeCell ref="A16:T16"/>
    <mergeCell ref="C81:H81"/>
    <mergeCell ref="C208:H208"/>
    <mergeCell ref="A239:H239"/>
    <mergeCell ref="A163:T163"/>
    <mergeCell ref="C13:H13"/>
    <mergeCell ref="C145:H145"/>
    <mergeCell ref="A5:H5"/>
    <mergeCell ref="C154:H154"/>
    <mergeCell ref="C210:H210"/>
    <mergeCell ref="C256:L256"/>
    <mergeCell ref="C89:H89"/>
    <mergeCell ref="C187:H187"/>
    <mergeCell ref="A240:T240"/>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255:L255"/>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Energy,Existing — retained"</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 sqref="B242:B253" showDropDown="0" showInputMessage="0" showErrorMessage="0" allowBlank="1" type="list">
      <formula1>$A$165:$A$176</formula1>
    </dataValidation>
    <dataValidation sqref="C242:C253" showDropDown="0" showInputMessage="0" showErrorMessage="0" allowBlank="1" type="list">
      <formula1>$A$165:$A$176</formula1>
    </dataValidation>
    <dataValidation sqref="K242:K253" showDropDown="0" showInputMessage="0" showErrorMessage="0" allowBlank="1" type="list">
      <formula1>WIRE_SIZE</formula1>
    </dataValidation>
    <dataValidation sqref="P242:P25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min="1" max="1" customWidth="1" style="253" width="36"/>
    <col min="2" max="2" customWidth="1" style="253" width="24"/>
    <col min="3" max="3" customWidth="1" style="253" width="40"/>
    <col min="4" max="4" customWidth="1" style="253" width="16"/>
    <col min="5" max="7" customWidth="1" style="254" width="10"/>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c r="C19" s="792" t="inlineStr">
        <is>
          <t>2% of stalls, min 1</t>
        </is>
      </c>
      <c r="D19" s="889" t="n">
        <v>4900</v>
      </c>
      <c r="E19" s="799" t="inlineStr">
        <is>
          <t>Y</t>
        </is>
      </c>
      <c r="F19" s="804" t="n"/>
      <c r="G19" s="804" t="n"/>
    </row>
    <row r="20" ht="16" customHeight="1" s="254">
      <c r="A20" s="888" t="inlineStr">
        <is>
          <t>ADA ramp (ea)</t>
        </is>
      </c>
      <c r="B20" s="799" t="n"/>
      <c r="C20" s="890" t="n"/>
      <c r="D20" s="889" t="n">
        <v>5200</v>
      </c>
      <c r="E20" s="799" t="inlineStr">
        <is>
          <t>Y</t>
        </is>
      </c>
      <c r="F20" s="804" t="n"/>
      <c r="G20" s="804" t="n"/>
    </row>
    <row r="21" ht="16" customHeight="1" s="254">
      <c r="A21" s="888" t="inlineStr">
        <is>
          <t>Bollards (ea)</t>
        </is>
      </c>
      <c r="B21" s="799" t="n"/>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c r="C25" s="792" t="inlineStr">
        <is>
          <t>Underground utility locate</t>
        </is>
      </c>
      <c r="D25" s="889" t="n">
        <v>2500</v>
      </c>
      <c r="E25" s="799" t="inlineStr">
        <is>
          <t>Y</t>
        </is>
      </c>
      <c r="F25" s="804" t="n"/>
      <c r="G25" s="804" t="n"/>
    </row>
    <row r="26" ht="16" customHeight="1" s="254">
      <c r="A26" s="888" t="inlineStr">
        <is>
          <t>GFI test (ea)</t>
        </is>
      </c>
      <c r="B26" s="799" t="n"/>
      <c r="C26" s="792" t="inlineStr">
        <is>
          <t>Required above 1000 sq ft gear area</t>
        </is>
      </c>
      <c r="D26" s="889" t="n">
        <v>3500</v>
      </c>
      <c r="E26" s="799" t="inlineStr">
        <is>
          <t>Y</t>
        </is>
      </c>
      <c r="F26" s="804" t="n"/>
      <c r="G26" s="804" t="n"/>
    </row>
    <row r="27" ht="16" customHeight="1" s="254">
      <c r="A27" s="888" t="inlineStr">
        <is>
          <t>Dump / disposal (lot)</t>
        </is>
      </c>
      <c r="B27" s="799" t="n"/>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c r="C40" s="889" t="n">
        <v>98.56666667</v>
      </c>
      <c r="D40" s="799" t="n"/>
      <c r="E40" s="799" t="inlineStr">
        <is>
          <t>Y</t>
        </is>
      </c>
      <c r="F40" s="804" t="n"/>
      <c r="G40" s="804" t="n"/>
    </row>
    <row r="41" ht="16" customHeight="1" s="254">
      <c r="A41" s="888" t="inlineStr">
        <is>
          <t>Dump Truck</t>
        </is>
      </c>
      <c r="B41" s="799" t="n"/>
      <c r="C41" s="889" t="n">
        <v>520</v>
      </c>
      <c r="D41" s="799" t="n"/>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c r="C50" s="889" t="n">
        <v>220</v>
      </c>
      <c r="D50" s="799" t="n"/>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0</v>
      </c>
      <c r="C81" s="792" t="inlineStr">
        <is>
          <t>AHJ — verify locally</t>
        </is>
      </c>
      <c r="D81" s="889" t="n">
        <v>4000</v>
      </c>
      <c r="E81" s="799" t="inlineStr">
        <is>
          <t>Y</t>
        </is>
      </c>
      <c r="F81" s="804" t="n"/>
      <c r="G81" s="804" t="n"/>
    </row>
    <row r="82" ht="16" customHeight="1" s="254">
      <c r="A82" s="888" t="inlineStr">
        <is>
          <t>Utility contract fees</t>
        </is>
      </c>
      <c r="B82" s="818" t="n">
        <v>0</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0</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0</v>
      </c>
      <c r="C85" s="792" t="inlineStr">
        <is>
          <t>Fire district — common on DCFC sites</t>
        </is>
      </c>
      <c r="D85" s="889" t="n">
        <v>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min="1" max="1" customWidth="1" style="253" width="36"/>
    <col min="2" max="2" customWidth="1" style="253" width="30"/>
    <col min="3" max="3" customWidth="1" style="253" width="56"/>
    <col min="4" max="4" customWidth="1" style="253" width="9"/>
    <col min="5" max="6" customWidth="1" style="254" width="9"/>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799" t="n"/>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81" customHeight="1" s="254">
      <c r="A10" s="876" t="inlineStr">
        <is>
          <t>Wire, conduit and peripherals</t>
        </is>
      </c>
      <c r="B10" s="885">
        <f>(Electrical!$B$86+Electrical!$B$128+Electrical!$B$256)*(1+Construction!$B$72)</f>
        <v/>
      </c>
      <c r="C10" s="903" t="n">
        <v>0</v>
      </c>
      <c r="D10" s="867">
        <f>$B10-$E10</f>
        <v/>
      </c>
      <c r="E10" s="885">
        <f>$B10*(1-$C10)</f>
        <v/>
      </c>
      <c r="F10" s="902" t="inlineStr">
        <is>
          <t>Charger runs, dispenser runs and the distribution feeders between the items on the schedule, at RefData rates, plus the materials markup. Not discounted. A service feeder Zero Impact Energy provides is priced by the model on its own line.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min="1" max="1" customWidth="1" style="253" width="36"/>
    <col min="2" max="2" customWidth="1" style="253" width="24"/>
    <col min="3" max="3" customWidth="1" style="253" width="38"/>
    <col min="4" max="4" customWidth="1" style="253" width="24"/>
    <col min="5" max="7" customWidth="1" style="254" width="9"/>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n"/>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n"/>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c r="C38" s="814" t="inlineStr">
        <is>
          <t>Only if the schedule has time-of-use periods, and then from ITS periods — not from a remembered 4-9 pm peak. Leave all three blank on a flat schedule.</t>
        </is>
      </c>
    </row>
    <row r="39" ht="16" customHeight="1" s="254">
      <c r="A39" s="781" t="inlineStr">
        <is>
          <t>Share off-peak</t>
        </is>
      </c>
      <c r="B39" s="887" t="n"/>
      <c r="C39" s="804" t="n"/>
      <c r="D39" s="804" t="n"/>
      <c r="E39" s="804" t="n"/>
      <c r="F39" s="804" t="n"/>
      <c r="G39" s="804" t="n"/>
    </row>
    <row r="40" ht="16" customHeight="1" s="254">
      <c r="A40" s="781" t="inlineStr">
        <is>
          <t>Share super off-peak</t>
        </is>
      </c>
      <c r="B40" s="887" t="n"/>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n"/>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Market benchmark — greenfield</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n"/>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n"/>
      <c r="C83" s="814" t="inlineStr">
        <is>
          <t>Yes / No. "No" is a perfectly good answer and the proposal will say so at the point of use; what is not acceptable is nobody knowing.</t>
        </is>
      </c>
    </row>
    <row r="84" ht="16" customHeight="1" s="254">
      <c r="A84" s="781" t="inlineStr">
        <is>
          <t>Verified by / date</t>
        </is>
      </c>
      <c r="B84" s="807" t="n"/>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c r="C92" s="814" t="inlineStr">
        <is>
          <t>The fixed monthly meter charge.</t>
        </is>
      </c>
      <c r="D92" s="804" t="n"/>
      <c r="E92" s="804" t="n"/>
      <c r="F92" s="804" t="n"/>
      <c r="G92" s="804" t="n"/>
    </row>
    <row r="93" hidden="1" outlineLevel="1" ht="31" customHeight="1" s="254">
      <c r="A93" s="781" t="inlineStr">
        <is>
          <t>Demand charge ($/kW-month)</t>
        </is>
      </c>
      <c r="B93" s="925" t="n"/>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min="1" max="1" customWidth="1" style="253" width="36"/>
    <col min="2" max="2" customWidth="1" style="253" width="30"/>
    <col min="3" max="3" customWidth="1" style="253" width="54"/>
    <col min="4" max="4" customWidth="1" style="253" width="9"/>
    <col min="5" max="6" customWidth="1" style="254" width="9"/>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n"/>
      <c r="C5" s="792" t="inlineStr">
        <is>
          <t>Yes / No / Pending</t>
        </is>
      </c>
      <c r="D5" s="804" t="n"/>
      <c r="E5" s="804" t="n"/>
      <c r="F5" s="804" t="n"/>
    </row>
    <row r="6" ht="16" customHeight="1" s="254">
      <c r="A6" s="781" t="inlineStr">
        <is>
          <t>Permit clears the 1 Jan 2022 test?</t>
        </is>
      </c>
      <c r="B6" s="799" t="n"/>
      <c r="C6" s="792" t="inlineStr">
        <is>
          <t>Yes / No</t>
        </is>
      </c>
      <c r="D6" s="804" t="n"/>
      <c r="E6" s="804" t="n"/>
      <c r="F6" s="804" t="n"/>
    </row>
    <row r="7" ht="16" customHeight="1" s="254">
      <c r="A7" s="781" t="inlineStr">
        <is>
          <t>Application filed?</t>
        </is>
      </c>
      <c r="B7" s="799" t="n"/>
      <c r="C7" s="792" t="inlineStr">
        <is>
          <t>Yes / No — with date</t>
        </is>
      </c>
      <c r="D7" s="804" t="n"/>
      <c r="E7" s="804" t="n"/>
      <c r="F7" s="804" t="n"/>
    </row>
    <row r="8" ht="16" customHeight="1" s="254">
      <c r="A8" s="781" t="inlineStr">
        <is>
          <t>Registered aggregator</t>
        </is>
      </c>
      <c r="B8" s="799" t="n"/>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0.04</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n"/>
      <c r="C26" s="792" t="inlineStr">
        <is>
          <t>e.g. Fast Charge California — name it even if it does not qualify</t>
        </is>
      </c>
      <c r="E26" s="804" t="n"/>
      <c r="F26" s="804" t="n"/>
    </row>
    <row r="27" ht="16" customHeight="1" s="254">
      <c r="A27" s="781" t="inlineStr">
        <is>
          <t>State programme outcome</t>
        </is>
      </c>
      <c r="B27" s="799" t="n"/>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min="1" max="1" customWidth="1" style="253" width="36"/>
    <col min="2" max="2" customWidth="1" style="253" width="30"/>
    <col min="3" max="3" customWidth="1" style="253" width="50"/>
    <col min="4" max="4" customWidth="1" style="253" width="24"/>
    <col min="5" max="5" customWidth="1" style="254" width="9"/>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Base case — no share</t>
        </is>
      </c>
      <c r="C9" s="792" t="inlineStr">
        <is>
          <t>A label so a reader knows which structure this is</t>
        </is>
      </c>
      <c r="D9" s="804" t="n"/>
      <c r="E9" s="804" t="n"/>
    </row>
    <row r="10" ht="16" customHeight="1" s="254">
      <c r="A10" s="781" t="inlineStr">
        <is>
          <t>Our share of the net carbon credit</t>
        </is>
      </c>
      <c r="B10" s="887" t="n">
        <v>0</v>
      </c>
      <c r="C10" s="792" t="inlineStr">
        <is>
          <t>0% = client keeps all of it</t>
        </is>
      </c>
      <c r="D10" s="804" t="n"/>
      <c r="E10" s="804" t="n"/>
    </row>
    <row r="11" ht="16" customHeight="1" s="254">
      <c r="A11" s="781" t="inlineStr">
        <is>
          <t>Our share of charging revenue</t>
        </is>
      </c>
      <c r="B11" s="887" t="n">
        <v>0</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We provide</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min="1" max="1" customWidth="1" style="253" width="38"/>
    <col min="2" max="2" customWidth="1" style="253" width="24"/>
    <col min="3" max="3" customWidth="1" style="254" width="12"/>
    <col min="4" max="4" customWidth="1" style="254" width="60"/>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c r="C10" s="939" t="inlineStr">
        <is>
          <t>$</t>
        </is>
      </c>
      <c r="D10" s="797" t="inlineStr">
        <is>
          <t>Vendor quote for the switchboard, before markup. Use this when the board is quoted rather than taken from the RefData frame schedule.</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c r="C19" s="939" t="inlineStr">
        <is>
          <t>amps</t>
        </is>
      </c>
      <c r="D19" s="799" t="n"/>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c r="C22" s="939" t="inlineStr">
        <is>
          <t>kWh</t>
        </is>
      </c>
      <c r="D22" s="799" t="n"/>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c r="C26" s="939" t="inlineStr">
        <is>
          <t>$/kWh</t>
        </is>
      </c>
      <c r="D26" s="799" t="n"/>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min="1" max="1" customWidth="1" style="253" width="44"/>
    <col min="2" max="2" customWidth="1" style="253" width="34"/>
    <col min="3" max="3" customWidth="1" style="253" width="52"/>
    <col min="4" max="4" customWidth="1" style="253" width="20.66"/>
    <col min="5" max="5" customWidth="1" style="438" width="30"/>
    <col min="6" max="6" customWidth="1" style="438" width="26"/>
    <col min="7" max="7" customWidth="1" style="253" width="22"/>
    <col min="8" max="8" customWidth="1" style="253" width="9"/>
    <col min="9" max="9" customWidth="1" style="253" width="34"/>
    <col min="10" max="10" customWidth="1" style="253" width="57"/>
    <col min="11" max="11" customWidth="1" style="253" width="34"/>
    <col min="12" max="21" customWidth="1" style="254" width="13"/>
    <col min="22" max="22" customWidth="1" style="253" width="9"/>
    <col min="23" max="23" customWidth="1" style="253" width="20"/>
    <col min="24" max="24" customWidth="1" style="253" width="13"/>
    <col min="25" max="25" customWidth="1" style="254" width="13"/>
    <col min="26" max="26" customWidth="1" style="253" width="9"/>
    <col min="27" max="29" customWidth="1" style="254" width="13"/>
    <col min="30" max="30" customWidth="1" style="253" width="25"/>
    <col min="31" max="31" customWidth="1" style="253" width="13"/>
    <col min="32" max="32" customWidth="1" style="253" width="9"/>
    <col min="33" max="33" customWidth="1" style="253" width="24"/>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 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 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H19" s="276" t="inlineStr">
        <is>
          <t>EV-HP Primary (&gt;150 kW)</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min="1" max="1" customWidth="1" style="253" width="44"/>
    <col min="2" max="2" customWidth="1" style="253" width="32"/>
    <col min="3" max="3" customWidth="1" style="253" width="54"/>
    <col min="4" max="4" customWidth="1" style="254" width="13"/>
    <col min="5" max="5" customWidth="1" style="253" width="9"/>
    <col min="6" max="6" customWidth="1" style="253" width="11"/>
    <col min="7" max="9" customWidth="1" style="254" width="13"/>
    <col min="10" max="10" customWidth="1" style="253" width="9"/>
    <col min="11" max="11" customWidth="1" style="253" width="11"/>
    <col min="12" max="13" customWidth="1" style="254" width="13"/>
    <col min="14" max="14" customWidth="1" style="253" width="34"/>
    <col min="15" max="16" customWidth="1" style="254" width="13"/>
    <col min="17" max="17" customWidth="1" style="253" width="11"/>
    <col min="18" max="18" customWidth="1" style="253" width="34"/>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2026-09-18T21:51:24Z</dcterms:modified>
  <cp:revision>0</cp:revision>
</cp:coreProperties>
</file>