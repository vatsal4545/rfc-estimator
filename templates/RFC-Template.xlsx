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<sst xmlns="http://schemas.openxmlformats.org/spreadsheetml/2006/main" count="789" uniqueCount="472">
  <si>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</si>
  <si>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</si>
  <si>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</si>
  <si>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</si>
  <si>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</si>
  <si>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</si>
  <si>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</si>
  <si>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</si>
  <si>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</si>
  <si>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</si>
  <si>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</si>
  <si>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</si>
  <si>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</si>
  <si>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</si>
  <si>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</si>
  <si>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</si>
  <si>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</si>
  <si>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</si>
  <si>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</si>
  <si>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</si>
  <si>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</si>
  <si>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</si>
  <si>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</si>
  <si>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</si>
  <si>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</si>
  <si>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</si>
  <si>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</si>
  <si>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</si>
  <si>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</si>
  <si>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</si>
  <si>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</si>
  <si>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</si>
  <si>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</si>
  <si>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</si>
  <si>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</si>
  <si>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</si>
  <si>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</si>
  <si>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</si>
  <si>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</si>
  <si>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</si>
  <si>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</si>
  <si>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</si>
  <si>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</si>
  <si>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</si>
  <si>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</si>
  <si>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</si>
  <si>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</si>
  <si>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</si>
  <si>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</si>
  <si>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</si>
  <si>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</si>
  <si>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</si>
  <si>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</si>
  <si>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</si>
  <si>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</si>
  <si>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</si>
  <si>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</si>
  <si>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</si>
  <si>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</si>
  <si>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</si>
  <si>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</si>
  <si>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</si>
  <si>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</si>
  <si>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</si>
  <si>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</si>
  <si>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</si>
  <si>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</si>
  <si>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</si>
  <si>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</si>
  <si>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</si>
  <si>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</si>
  <si>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</si>
  <si>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</si>
  <si>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</si>
  <si>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</si>
  <si>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</si>
  <si>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</si>
  <si>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</si>
  <si>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</si>
  <si>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</si>
  <si>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</si>
  <si>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</si>
  <si>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</si>
  <si>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</si>
  <si>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</si>
  <si>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</si>
  <si>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</si>
  <si>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</si>
  <si>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</si>
  <si>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</si>
  <si>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</si>
  <si>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</si>
  <si>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</si>
  <si>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</si>
  <si>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</si>
  <si>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</si>
  <si>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</si>
  <si>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</si>
  <si>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</si>
  <si>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</si>
  <si>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</si>
  <si>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</si>
  <si>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</si>
  <si>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</si>
  <si>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</si>
  <si>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</si>
  <si>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</si>
  <si>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</si>
  <si>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</si>
  <si>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</si>
  <si>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</si>
  <si>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</si>
  <si>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</si>
  <si>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</si>
  <si>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</si>
  <si>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</si>
  <si>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</si>
  <si>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</si>
  <si>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</si>
  <si>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</si>
  <si>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</si>
  <si>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</si>
  <si>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</si>
  <si>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</si>
  <si>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</si>
  <si>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</si>
  <si>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</si>
  <si>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</si>
  <si>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</si>
  <si>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</si>
  <si>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</si>
  <si>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</si>
  <si>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</si>
  <si>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</si>
  <si>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</si>
  <si>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</si>
  <si>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</si>
  <si>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</si>
  <si>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</si>
  <si>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</si>
  <si>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</si>
  <si>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</si>
  <si>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</si>
  <si>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</si>
  <si>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</si>
  <si>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</si>
  <si>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</si>
  <si>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</si>
  <si>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</si>
  <si>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</si>
  <si>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</si>
  <si>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</si>
  <si>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</si>
  <si>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</si>
  <si>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</si>
  <si>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</si>
  <si>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</si>
  <si>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</si>
  <si>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</si>
  <si>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</si>
  <si>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</si>
  <si>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</si>
  <si>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</si>
  <si>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</si>
  <si>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</si>
  <si>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</si>
  <si>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</si>
  <si>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</si>
  <si>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</si>
  <si>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</si>
  <si>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</si>
  <si>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</si>
  <si>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</si>
  <si>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</si>
  <si>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</si>
  <si>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</si>
  <si>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</si>
  <si>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</si>
  <si>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</si>
  <si>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</si>
  <si>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</si>
  <si>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</si>
  <si>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</si>
  <si>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</si>
  <si>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</si>
  <si>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</si>
  <si>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</si>
  <si>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</si>
  <si>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</si>
  <si>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</si>
  <si>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</si>
  <si>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</si>
  <si>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</si>
  <si>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</si>
  <si>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</si>
  <si>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</si>
  <si>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</si>
  <si>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</si>
  <si>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</si>
  <si>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</si>
  <si>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</si>
  <si>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</si>
  <si>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</si>
  <si>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</si>
  <si>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</si>
  <si>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</si>
  <si>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</si>
  <si>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</si>
  <si>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</si>
  <si>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</si>
  <si>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</si>
  <si>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</si>
  <si>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</si>
  <si>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</si>
  <si>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</si>
  <si>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</si>
  <si>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</si>
  <si>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</si>
  <si>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</si>
  <si>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</si>
  <si>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</si>
  <si>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</si>
  <si>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</si>
  <si>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</si>
  <si>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</si>
  <si>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</si>
  <si>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</si>
  <si>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</si>
  <si>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</si>
  <si>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</si>
  <si>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</si>
  <si>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</si>
  <si>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</si>
  <si>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</si>
  <si>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</si>
  <si>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</si>
  <si>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</si>
  <si>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</si>
  <si>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</si>
  <si>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</si>
  <si>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</si>
  <si>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</si>
  <si>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</si>
  <si>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</si>
  <si>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</si>
  <si>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</si>
  <si>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</si>
  <si>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</si>
  <si>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</si>
  <si>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</si>
  <si>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</si>
  <si>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</si>
  <si>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</si>
  <si>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</si>
  <si>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</si>
  <si>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</si>
  <si>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</si>
  <si>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</si>
  <si>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</si>
  <si>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</si>
  <si>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</si>
  <si>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</si>
  <si>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</si>
  <si>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</si>
  <si>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</si>
  <si>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</si>
  <si>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</si>
  <si>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</si>
  <si>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</si>
  <si>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</si>
  <si>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</si>
  <si>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</si>
  <si>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</si>
  <si>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</si>
  <si>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</si>
  <si>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</si>
  <si>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</si>
  <si>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</si>
  <si>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</si>
  <si>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</si>
  <si>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</si>
  <si>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</si>
  <si>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</si>
  <si>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</si>
  <si>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</si>
  <si>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</si>
  <si>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</si>
  <si>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</si>
  <si>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</si>
  <si>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</si>
  <si>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</si>
  <si>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</si>
  <si>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</si>
  <si>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</si>
  <si>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</si>
  <si>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</si>
  <si>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</si>
  <si>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</si>
  <si>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</si>
  <si>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</si>
  <si>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</si>
  <si>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</si>
  <si>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</si>
  <si>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</si>
  <si>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</si>
  <si>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</si>
  <si>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</si>
  <si>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</si>
  <si>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</si>
  <si>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</si>
  <si>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</si>
  <si>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</si>
  <si>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</si>
  <si>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</si>
  <si>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</si>
  <si>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</si>
  <si>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</si>
  <si>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</si>
  <si>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</si>
  <si>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</si>
  <si>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</si>
  <si>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</si>
  <si>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</si>
  <si>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</si>
  <si>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</si>
  <si>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</si>
  <si>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</si>
  <si>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</si>
  <si>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</si>
  <si>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</si>
  <si>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</si>
  <si>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</si>
  <si>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</si>
  <si>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</si>
  <si>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</si>
  <si>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</si>
  <si>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</si>
  <si>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</si>
  <si>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</si>
  <si>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</si>
  <si>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</si>
  <si>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</si>
  <si>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</si>
  <si>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</si>
  <si>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</si>
  <si>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</si>
  <si>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</si>
  <si>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</si>
  <si>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</si>
  <si>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</si>
  <si>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</si>
  <si>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</si>
  <si>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</si>
  <si>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</si>
  <si>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</si>
  <si>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</si>
  <si>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</si>
  <si>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</si>
  <si>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</si>
  <si>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</si>
  <si>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</si>
  <si>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</si>
  <si>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</si>
  <si>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</si>
  <si>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</si>
  <si>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</si>
  <si>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</si>
  <si>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</si>
  <si>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</si>
  <si>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</si>
  <si>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</si>
  <si>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</si>
  <si>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</si>
  <si>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</si>
  <si>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</si>
  <si>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</si>
  <si>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</si>
  <si>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</si>
  <si>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</si>
  <si>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</si>
  <si>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Concrete yd per L2 pad</t>
  </si>
  <si>
    <t>Concrete yd — switchgear pad</t>
  </si>
  <si>
    <t>Main switchgear 480V (website catalog)</t>
  </si>
  <si>
    <t>Concrete yd — step-down TX + sub-panel pad</t>
  </si>
  <si>
    <t>Size</t>
  </si>
  <si>
    <t>Price</t>
  </si>
  <si>
    <t>Concrete yd per bollard footing</t>
  </si>
  <si>
    <t>Utility transformer pad $ (DCFC)</t>
  </si>
  <si>
    <t>Commissioning $/DCFC</t>
  </si>
  <si>
    <t>Commissioning $/L2</t>
  </si>
  <si>
    <t>Equipment rentals base $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</si>
  <si>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</si>
  <si>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</si>
  <si>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</si>
  <si>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</si>
  <si>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</si>
  <si>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</si>
  <si>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</si>
  <si>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Sub-panel / distribution 208V</t>
  </si>
  <si>
    <t>Permit issuance $/charger</t>
  </si>
  <si>
    <t>Utility application $ (DCFC site)</t>
  </si>
  <si>
    <t>Utility application $ (L2-only site)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</si>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</sst>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10">
        <f>IF($A$23&lt;&gt;"","→ Takeoff","")</f>
      </c>
      <c r="H53" s="9">
        <f>SUMPRODUCT((Takeoff!$S$5:$S$28=1)*Takeoff!$J$5:$J$28)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10">
        <f>IF($A$24&lt;&gt;"","→ Takeoff","")</f>
      </c>
      <c r="H54" s="9">
        <f>SUMPRODUCT((Takeoff!$S$5:$S$28=2)*Takeoff!$J$5:$J$28)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10">
        <f>IF($A$25&lt;&gt;"","→ Takeoff","")</f>
      </c>
      <c r="H55" s="9">
        <f>SUMPRODUCT((Takeoff!$S$5:$S$28=3)*Takeoff!$J$5:$J$28)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10">
        <f>IF($A$26&lt;&gt;"","→ Takeoff","")</f>
      </c>
      <c r="H56" s="9">
        <f>SUMPRODUCT((Takeoff!$S$5:$S$28=4)*Takeoff!$J$5:$J$28)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10">
        <f>IF($A$27&lt;&gt;"","→ Takeoff","")</f>
      </c>
      <c r="H57" s="9">
        <f>SUMPRODUCT((Takeoff!$S$5:$S$28=5)*Takeoff!$J$5:$J$28)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10">
        <f>IF($A$28&lt;&gt;"","→ Takeoff","")</f>
      </c>
      <c r="H58" s="9">
        <f>SUMPRODUCT((Takeoff!$S$5:$S$28=6)*Takeoff!$J$5:$J$28)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10">
        <f>IF($A$29&lt;&gt;"","→ Takeoff","")</f>
      </c>
      <c r="H59" s="9">
        <f>SUMPRODUCT((Takeoff!$S$5:$S$28=7)*Takeoff!$J$5:$J$28)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10">
        <f>IF($A$30&lt;&gt;"","→ Takeoff","")</f>
      </c>
      <c r="H60" s="9">
        <f>SUMPRODUCT((Takeoff!$S$5:$S$28=8)*Takeoff!$J$5:$J$28)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10">
        <f>IF($A$31&lt;&gt;"","→ Takeoff","")</f>
      </c>
      <c r="H61" s="9">
        <f>SUMPRODUCT((Takeoff!$S$5:$S$28=9)*Takeoff!$J$5:$J$28)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10">
        <f>IF($A$32&lt;&gt;"","→ Takeoff","")</f>
      </c>
      <c r="H62" s="9">
        <f>SUMPRODUCT((Takeoff!$S$5:$S$28=10)*Takeoff!$J$5:$J$28)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10">
        <f>IF($A$33&lt;&gt;"","→ Takeoff","")</f>
      </c>
      <c r="H63" s="9">
        <f>SUMPRODUCT((Takeoff!$S$5:$S$28=11)*Takeoff!$J$5:$J$28)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10">
        <f>IF($A$34&lt;&gt;"","→ Takeoff","")</f>
      </c>
      <c r="H64" s="9">
        <f>SUMPRODUCT((Takeoff!$S$5:$S$28=12)*Takeoff!$J$5:$J$28)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RateCard!$A$4:$A$33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RateCard!$A$129:$A$153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>
        <f>IF(Intake!$A$23&lt;&gt;"",Intake!$B$23,0)</f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>
        <f>IF(Intake!$A$24&lt;&gt;"",Intake!$B$24,0)</f>
      </c>
      <c r="R4">
        <f>R3+Q3</f>
      </c>
    </row>
    <row r="5" spans="1:20" x14ac:dyDescent="0.25">
      <c r="A5">
        <v>1</v>
      </c>
      <c r="B5">
        <f>IF(S5&gt;0,INDEX(Intake!$A$23:$A$34,S5)&amp;" #"&amp;T5,"")</f>
      </c>
      <c r="C5">
        <f>IF(S5&gt;0,INDEX(Intake!$D$23:$D$34,S5),"")</f>
      </c>
      <c r="D5" s="5">
        <f>IF(S5&gt;0,INDEX(Intake!$B$53:$B$64,S5),"")</f>
      </c>
      <c r="E5" s="5">
        <f>IF(S5&gt;0,INDEX(Intake!$C$53:$C$64,S5),"")</f>
      </c>
      <c r="F5" s="5">
        <f>IF(S5&gt;0,IFERROR(INDEX(Intake!$D$53:$D$64,S5)/INDEX(Intake!$B$23:$B$34,S5),1),0)</f>
      </c>
      <c r="G5">
        <f>IF(S5&gt;0,INDEX(Intake!$E$53:$E$64,S5),0)</f>
      </c>
      <c r="H5" s="5">
        <f>IF(S5=0,0,IF($C5="DCFC",RunFtDcfc,RunFtL2)+StepFt*(SUMPRODUCT(($C$5:$C5=$C5)*1)-1))</f>
      </c>
      <c r="I5" s="9">
        <f>IF(OR($D5="",$F5=0),0,IF($E5="Cu",VLOOKUP($D5,WireTable,2,FALSE),VLOOKUP($D5,WireTable,3,FALSE)))</f>
      </c>
      <c r="J5" s="9">
        <f>$F5*$G5*$H5*$I5</f>
      </c>
      <c r="K5">
        <f>IF(S5&gt;0,INDEX(Intake!$J$53:$J$64,S5),"")</f>
      </c>
      <c r="Q5">
        <f>IF(Intake!$A$25&lt;&gt;"",Intake!$B$25,0)</f>
      </c>
      <c r="R5">
        <f>R4+Q4</f>
      </c>
      <c r="S5">
        <f>IF(A5&lt;=$Q$15,MATCH(A5-0.5,$R$3:$R$14,1),0)</f>
      </c>
      <c r="T5">
        <f>IF(S5&gt;0,A5-INDEX($R$3:$R$14,S5),0)</f>
      </c>
    </row>
    <row r="6" spans="1:20" x14ac:dyDescent="0.25">
      <c r="A6">
        <v>2</v>
      </c>
      <c r="B6">
        <f>IF(S6&gt;0,INDEX(Intake!$A$23:$A$34,S6)&amp;" #"&amp;T6,"")</f>
      </c>
      <c r="C6">
        <f>IF(S6&gt;0,INDEX(Intake!$D$23:$D$34,S6),"")</f>
      </c>
      <c r="D6" s="5">
        <f>IF(S6&gt;0,INDEX(Intake!$B$53:$B$64,S6),"")</f>
      </c>
      <c r="E6" s="5">
        <f>IF(S6&gt;0,INDEX(Intake!$C$53:$C$64,S6),"")</f>
      </c>
      <c r="F6" s="5">
        <f>IF(S6&gt;0,IFERROR(INDEX(Intake!$D$53:$D$64,S6)/INDEX(Intake!$B$23:$B$34,S6),1),0)</f>
      </c>
      <c r="G6">
        <f>IF(S6&gt;0,INDEX(Intake!$E$53:$E$64,S6),0)</f>
      </c>
      <c r="H6" s="5">
        <f>IF(S6=0,0,IF($C6="DCFC",RunFtDcfc,RunFtL2)+StepFt*(SUMPRODUCT(($C$5:$C6=$C6)*1)-1))</f>
      </c>
      <c r="I6" s="9">
        <f>IF(OR($D6="",$F6=0),0,IF($E6="Cu",VLOOKUP($D6,WireTable,2,FALSE),VLOOKUP($D6,WireTable,3,FALSE)))</f>
      </c>
      <c r="J6" s="9">
        <f>$F6*$G6*$H6*$I6</f>
      </c>
      <c r="K6">
        <f>IF(S6&gt;0,INDEX(Intake!$J$53:$J$64,S6),"")</f>
      </c>
      <c r="Q6">
        <f>IF(Intake!$A$26&lt;&gt;"",Intake!$B$26,0)</f>
      </c>
      <c r="R6">
        <f>R5+Q5</f>
      </c>
      <c r="S6">
        <f>IF(A6&lt;=$Q$15,MATCH(A6-0.5,$R$3:$R$14,1),0)</f>
      </c>
      <c r="T6">
        <f>IF(S6&gt;0,A6-INDEX($R$3:$R$14,S6),0)</f>
      </c>
    </row>
    <row r="7" spans="1:20" x14ac:dyDescent="0.25">
      <c r="A7">
        <v>3</v>
      </c>
      <c r="B7">
        <f>IF(S7&gt;0,INDEX(Intake!$A$23:$A$34,S7)&amp;" #"&amp;T7,"")</f>
      </c>
      <c r="C7">
        <f>IF(S7&gt;0,INDEX(Intake!$D$23:$D$34,S7),"")</f>
      </c>
      <c r="D7" s="5">
        <f>IF(S7&gt;0,INDEX(Intake!$B$53:$B$64,S7),"")</f>
      </c>
      <c r="E7" s="5">
        <f>IF(S7&gt;0,INDEX(Intake!$C$53:$C$64,S7),"")</f>
      </c>
      <c r="F7" s="5">
        <f>IF(S7&gt;0,IFERROR(INDEX(Intake!$D$53:$D$64,S7)/INDEX(Intake!$B$23:$B$34,S7),1),0)</f>
      </c>
      <c r="G7">
        <f>IF(S7&gt;0,INDEX(Intake!$E$53:$E$64,S7),0)</f>
      </c>
      <c r="H7" s="5">
        <f>IF(S7=0,0,IF($C7="DCFC",RunFtDcfc,RunFtL2)+StepFt*(SUMPRODUCT(($C$5:$C7=$C7)*1)-1))</f>
      </c>
      <c r="I7" s="9">
        <f>IF(OR($D7="",$F7=0),0,IF($E7="Cu",VLOOKUP($D7,WireTable,2,FALSE),VLOOKUP($D7,WireTable,3,FALSE)))</f>
      </c>
      <c r="J7" s="9">
        <f>$F7*$G7*$H7*$I7</f>
      </c>
      <c r="K7">
        <f>IF(S7&gt;0,INDEX(Intake!$J$53:$J$64,S7),"")</f>
      </c>
      <c r="Q7">
        <f>IF(Intake!$A$27&lt;&gt;"",Intake!$B$27,0)</f>
      </c>
      <c r="R7">
        <f>R6+Q6</f>
      </c>
      <c r="S7">
        <f>IF(A7&lt;=$Q$15,MATCH(A7-0.5,$R$3:$R$14,1),0)</f>
      </c>
      <c r="T7">
        <f>IF(S7&gt;0,A7-INDEX($R$3:$R$14,S7),0)</f>
      </c>
    </row>
    <row r="8" spans="1:20" x14ac:dyDescent="0.25">
      <c r="A8">
        <v>4</v>
      </c>
      <c r="B8">
        <f>IF(S8&gt;0,INDEX(Intake!$A$23:$A$34,S8)&amp;" #"&amp;T8,"")</f>
      </c>
      <c r="C8">
        <f>IF(S8&gt;0,INDEX(Intake!$D$23:$D$34,S8),"")</f>
      </c>
      <c r="D8" s="5">
        <f>IF(S8&gt;0,INDEX(Intake!$B$53:$B$64,S8),"")</f>
      </c>
      <c r="E8" s="5">
        <f>IF(S8&gt;0,INDEX(Intake!$C$53:$C$64,S8),"")</f>
      </c>
      <c r="F8" s="5">
        <f>IF(S8&gt;0,IFERROR(INDEX(Intake!$D$53:$D$64,S8)/INDEX(Intake!$B$23:$B$34,S8),1),0)</f>
      </c>
      <c r="G8">
        <f>IF(S8&gt;0,INDEX(Intake!$E$53:$E$64,S8),0)</f>
      </c>
      <c r="H8" s="5">
        <f>IF(S8=0,0,IF($C8="DCFC",RunFtDcfc,RunFtL2)+StepFt*(SUMPRODUCT(($C$5:$C8=$C8)*1)-1))</f>
      </c>
      <c r="I8" s="9">
        <f>IF(OR($D8="",$F8=0),0,IF($E8="Cu",VLOOKUP($D8,WireTable,2,FALSE),VLOOKUP($D8,WireTable,3,FALSE)))</f>
      </c>
      <c r="J8" s="9">
        <f>$F8*$G8*$H8*$I8</f>
      </c>
      <c r="K8">
        <f>IF(S8&gt;0,INDEX(Intake!$J$53:$J$64,S8),"")</f>
      </c>
      <c r="Q8">
        <f>IF(Intake!$A$28&lt;&gt;"",Intake!$B$28,0)</f>
      </c>
      <c r="R8">
        <f>R7+Q7</f>
      </c>
      <c r="S8">
        <f>IF(A8&lt;=$Q$15,MATCH(A8-0.5,$R$3:$R$14,1),0)</f>
      </c>
      <c r="T8">
        <f>IF(S8&gt;0,A8-INDEX($R$3:$R$14,S8),0)</f>
      </c>
    </row>
    <row r="9" spans="1:20" x14ac:dyDescent="0.25">
      <c r="A9">
        <v>5</v>
      </c>
      <c r="B9">
        <f>IF(S9&gt;0,INDEX(Intake!$A$23:$A$34,S9)&amp;" #"&amp;T9,"")</f>
      </c>
      <c r="C9">
        <f>IF(S9&gt;0,INDEX(Intake!$D$23:$D$34,S9),"")</f>
      </c>
      <c r="D9" s="5">
        <f>IF(S9&gt;0,INDEX(Intake!$B$53:$B$64,S9),"")</f>
      </c>
      <c r="E9" s="5">
        <f>IF(S9&gt;0,INDEX(Intake!$C$53:$C$64,S9),"")</f>
      </c>
      <c r="F9" s="5">
        <f>IF(S9&gt;0,IFERROR(INDEX(Intake!$D$53:$D$64,S9)/INDEX(Intake!$B$23:$B$34,S9),1),0)</f>
      </c>
      <c r="G9">
        <f>IF(S9&gt;0,INDEX(Intake!$E$53:$E$64,S9),0)</f>
      </c>
      <c r="H9" s="5">
        <f>IF(S9=0,0,IF($C9="DCFC",RunFtDcfc,RunFtL2)+StepFt*(SUMPRODUCT(($C$5:$C9=$C9)*1)-1))</f>
      </c>
      <c r="I9" s="9">
        <f>IF(OR($D9="",$F9=0),0,IF($E9="Cu",VLOOKUP($D9,WireTable,2,FALSE),VLOOKUP($D9,WireTable,3,FALSE)))</f>
      </c>
      <c r="J9" s="9">
        <f>$F9*$G9*$H9*$I9</f>
      </c>
      <c r="K9">
        <f>IF(S9&gt;0,INDEX(Intake!$J$53:$J$64,S9),"")</f>
      </c>
      <c r="Q9">
        <f>IF(Intake!$A$29&lt;&gt;"",Intake!$B$29,0)</f>
      </c>
      <c r="R9">
        <f>R8+Q8</f>
      </c>
      <c r="S9">
        <f>IF(A9&lt;=$Q$15,MATCH(A9-0.5,$R$3:$R$14,1),0)</f>
      </c>
      <c r="T9">
        <f>IF(S9&gt;0,A9-INDEX($R$3:$R$14,S9),0)</f>
      </c>
    </row>
    <row r="10" spans="1:20" x14ac:dyDescent="0.25">
      <c r="A10">
        <v>6</v>
      </c>
      <c r="B10">
        <f>IF(S10&gt;0,INDEX(Intake!$A$23:$A$34,S10)&amp;" #"&amp;T10,"")</f>
      </c>
      <c r="C10">
        <f>IF(S10&gt;0,INDEX(Intake!$D$23:$D$34,S10),"")</f>
      </c>
      <c r="D10" s="5">
        <f>IF(S10&gt;0,INDEX(Intake!$B$53:$B$64,S10),"")</f>
      </c>
      <c r="E10" s="5">
        <f>IF(S10&gt;0,INDEX(Intake!$C$53:$C$64,S10),"")</f>
      </c>
      <c r="F10" s="5">
        <f>IF(S10&gt;0,IFERROR(INDEX(Intake!$D$53:$D$64,S10)/INDEX(Intake!$B$23:$B$34,S10),1),0)</f>
      </c>
      <c r="G10">
        <f>IF(S10&gt;0,INDEX(Intake!$E$53:$E$64,S10),0)</f>
      </c>
      <c r="H10" s="5">
        <f>IF(S10=0,0,IF($C10="DCFC",RunFtDcfc,RunFtL2)+StepFt*(SUMPRODUCT(($C$5:$C10=$C10)*1)-1))</f>
      </c>
      <c r="I10" s="9">
        <f>IF(OR($D10="",$F10=0),0,IF($E10="Cu",VLOOKUP($D10,WireTable,2,FALSE),VLOOKUP($D10,WireTable,3,FALSE)))</f>
      </c>
      <c r="J10" s="9">
        <f>$F10*$G10*$H10*$I10</f>
      </c>
      <c r="K10">
        <f>IF(S10&gt;0,INDEX(Intake!$J$53:$J$64,S10),"")</f>
      </c>
      <c r="Q10">
        <f>IF(Intake!$A$30&lt;&gt;"",Intake!$B$30,0)</f>
      </c>
      <c r="R10">
        <f>R9+Q9</f>
      </c>
      <c r="S10">
        <f>IF(A10&lt;=$Q$15,MATCH(A10-0.5,$R$3:$R$14,1),0)</f>
      </c>
      <c r="T10">
        <f>IF(S10&gt;0,A10-INDEX($R$3:$R$14,S10),0)</f>
      </c>
    </row>
    <row r="11" spans="1:20" x14ac:dyDescent="0.25">
      <c r="A11">
        <v>7</v>
      </c>
      <c r="B11">
        <f>IF(S11&gt;0,INDEX(Intake!$A$23:$A$34,S11)&amp;" #"&amp;T11,"")</f>
      </c>
      <c r="C11">
        <f>IF(S11&gt;0,INDEX(Intake!$D$23:$D$34,S11),"")</f>
      </c>
      <c r="D11" s="5">
        <f>IF(S11&gt;0,INDEX(Intake!$B$53:$B$64,S11),"")</f>
      </c>
      <c r="E11" s="5">
        <f>IF(S11&gt;0,INDEX(Intake!$C$53:$C$64,S11),"")</f>
      </c>
      <c r="F11" s="5">
        <f>IF(S11&gt;0,IFERROR(INDEX(Intake!$D$53:$D$64,S11)/INDEX(Intake!$B$23:$B$34,S11),1),0)</f>
      </c>
      <c r="G11">
        <f>IF(S11&gt;0,INDEX(Intake!$E$53:$E$64,S11),0)</f>
      </c>
      <c r="H11" s="5">
        <f>IF(S11=0,0,IF($C11="DCFC",RunFtDcfc,RunFtL2)+StepFt*(SUMPRODUCT(($C$5:$C11=$C11)*1)-1))</f>
      </c>
      <c r="I11" s="9">
        <f>IF(OR($D11="",$F11=0),0,IF($E11="Cu",VLOOKUP($D11,WireTable,2,FALSE),VLOOKUP($D11,WireTable,3,FALSE)))</f>
      </c>
      <c r="J11" s="9">
        <f>$F11*$G11*$H11*$I11</f>
      </c>
      <c r="K11">
        <f>IF(S11&gt;0,INDEX(Intake!$J$53:$J$64,S11),"")</f>
      </c>
      <c r="Q11">
        <f>IF(Intake!$A$31&lt;&gt;"",Intake!$B$31,0)</f>
      </c>
      <c r="R11">
        <f>R10+Q10</f>
      </c>
      <c r="S11">
        <f>IF(A11&lt;=$Q$15,MATCH(A11-0.5,$R$3:$R$14,1),0)</f>
      </c>
      <c r="T11">
        <f>IF(S11&gt;0,A11-INDEX($R$3:$R$14,S11),0)</f>
      </c>
    </row>
    <row r="12" spans="1:20" x14ac:dyDescent="0.25">
      <c r="A12">
        <v>8</v>
      </c>
      <c r="B12">
        <f>IF(S12&gt;0,INDEX(Intake!$A$23:$A$34,S12)&amp;" #"&amp;T12,"")</f>
      </c>
      <c r="C12">
        <f>IF(S12&gt;0,INDEX(Intake!$D$23:$D$34,S12),"")</f>
      </c>
      <c r="D12" s="5">
        <f>IF(S12&gt;0,INDEX(Intake!$B$53:$B$64,S12),"")</f>
      </c>
      <c r="E12" s="5">
        <f>IF(S12&gt;0,INDEX(Intake!$C$53:$C$64,S12),"")</f>
      </c>
      <c r="F12" s="5">
        <f>IF(S12&gt;0,IFERROR(INDEX(Intake!$D$53:$D$64,S12)/INDEX(Intake!$B$23:$B$34,S12),1),0)</f>
      </c>
      <c r="G12">
        <f>IF(S12&gt;0,INDEX(Intake!$E$53:$E$64,S12),0)</f>
      </c>
      <c r="H12" s="5">
        <f>IF(S12=0,0,IF($C12="DCFC",RunFtDcfc,RunFtL2)+StepFt*(SUMPRODUCT(($C$5:$C12=$C12)*1)-1))</f>
      </c>
      <c r="I12" s="9">
        <f>IF(OR($D12="",$F12=0),0,IF($E12="Cu",VLOOKUP($D12,WireTable,2,FALSE),VLOOKUP($D12,WireTable,3,FALSE)))</f>
      </c>
      <c r="J12" s="9">
        <f>$F12*$G12*$H12*$I12</f>
      </c>
      <c r="K12">
        <f>IF(S12&gt;0,INDEX(Intake!$J$53:$J$64,S12),"")</f>
      </c>
      <c r="Q12">
        <f>IF(Intake!$A$32&lt;&gt;"",Intake!$B$32,0)</f>
      </c>
      <c r="R12">
        <f>R11+Q11</f>
      </c>
      <c r="S12">
        <f>IF(A12&lt;=$Q$15,MATCH(A12-0.5,$R$3:$R$14,1),0)</f>
      </c>
      <c r="T12">
        <f>IF(S12&gt;0,A12-INDEX($R$3:$R$14,S12),0)</f>
      </c>
    </row>
    <row r="13" spans="1:20" x14ac:dyDescent="0.25">
      <c r="A13">
        <v>9</v>
      </c>
      <c r="B13">
        <f>IF(S13&gt;0,INDEX(Intake!$A$23:$A$34,S13)&amp;" #"&amp;T13,"")</f>
      </c>
      <c r="C13">
        <f>IF(S13&gt;0,INDEX(Intake!$D$23:$D$34,S13),"")</f>
      </c>
      <c r="D13" s="5">
        <f>IF(S13&gt;0,INDEX(Intake!$B$53:$B$64,S13),"")</f>
      </c>
      <c r="E13" s="5">
        <f>IF(S13&gt;0,INDEX(Intake!$C$53:$C$64,S13),"")</f>
      </c>
      <c r="F13" s="5">
        <f>IF(S13&gt;0,IFERROR(INDEX(Intake!$D$53:$D$64,S13)/INDEX(Intake!$B$23:$B$34,S13),1),0)</f>
      </c>
      <c r="G13">
        <f>IF(S13&gt;0,INDEX(Intake!$E$53:$E$64,S13),0)</f>
      </c>
      <c r="H13" s="5">
        <f>IF(S13=0,0,IF($C13="DCFC",RunFtDcfc,RunFtL2)+StepFt*(SUMPRODUCT(($C$5:$C13=$C13)*1)-1))</f>
      </c>
      <c r="I13" s="9">
        <f>IF(OR($D13="",$F13=0),0,IF($E13="Cu",VLOOKUP($D13,WireTable,2,FALSE),VLOOKUP($D13,WireTable,3,FALSE)))</f>
      </c>
      <c r="J13" s="9">
        <f>$F13*$G13*$H13*$I13</f>
      </c>
      <c r="K13">
        <f>IF(S13&gt;0,INDEX(Intake!$J$53:$J$64,S13),"")</f>
      </c>
      <c r="Q13">
        <f>IF(Intake!$A$33&lt;&gt;"",Intake!$B$33,0)</f>
      </c>
      <c r="R13">
        <f>R12+Q12</f>
      </c>
      <c r="S13">
        <f>IF(A13&lt;=$Q$15,MATCH(A13-0.5,$R$3:$R$14,1),0)</f>
      </c>
      <c r="T13">
        <f>IF(S13&gt;0,A13-INDEX($R$3:$R$14,S13),0)</f>
      </c>
    </row>
    <row r="14" spans="1:20" x14ac:dyDescent="0.25">
      <c r="A14">
        <v>10</v>
      </c>
      <c r="B14">
        <f>IF(S14&gt;0,INDEX(Intake!$A$23:$A$34,S14)&amp;" #"&amp;T14,"")</f>
      </c>
      <c r="C14">
        <f>IF(S14&gt;0,INDEX(Intake!$D$23:$D$34,S14),"")</f>
      </c>
      <c r="D14" s="5">
        <f>IF(S14&gt;0,INDEX(Intake!$B$53:$B$64,S14),"")</f>
      </c>
      <c r="E14" s="5">
        <f>IF(S14&gt;0,INDEX(Intake!$C$53:$C$64,S14),"")</f>
      </c>
      <c r="F14" s="5">
        <f>IF(S14&gt;0,IFERROR(INDEX(Intake!$D$53:$D$64,S14)/INDEX(Intake!$B$23:$B$34,S14),1),0)</f>
      </c>
      <c r="G14">
        <f>IF(S14&gt;0,INDEX(Intake!$E$53:$E$64,S14),0)</f>
      </c>
      <c r="H14" s="5">
        <f>IF(S14=0,0,IF($C14="DCFC",RunFtDcfc,RunFtL2)+StepFt*(SUMPRODUCT(($C$5:$C14=$C14)*1)-1))</f>
      </c>
      <c r="I14" s="9">
        <f>IF(OR($D14="",$F14=0),0,IF($E14="Cu",VLOOKUP($D14,WireTable,2,FALSE),VLOOKUP($D14,WireTable,3,FALSE)))</f>
      </c>
      <c r="J14" s="9">
        <f>$F14*$G14*$H14*$I14</f>
      </c>
      <c r="K14">
        <f>IF(S14&gt;0,INDEX(Intake!$J$53:$J$64,S14),"")</f>
      </c>
      <c r="Q14">
        <f>IF(Intake!$A$34&lt;&gt;"",Intake!$B$34,0)</f>
      </c>
      <c r="R14">
        <f>R13+Q13</f>
      </c>
      <c r="S14">
        <f>IF(A14&lt;=$Q$15,MATCH(A14-0.5,$R$3:$R$14,1),0)</f>
      </c>
      <c r="T14">
        <f>IF(S14&gt;0,A14-INDEX($R$3:$R$14,S14),0)</f>
      </c>
    </row>
    <row r="15" spans="1:20" x14ac:dyDescent="0.25">
      <c r="A15">
        <v>11</v>
      </c>
      <c r="B15">
        <f>IF(S15&gt;0,INDEX(Intake!$A$23:$A$34,S15)&amp;" #"&amp;T15,"")</f>
      </c>
      <c r="C15">
        <f>IF(S15&gt;0,INDEX(Intake!$D$23:$D$34,S15),"")</f>
      </c>
      <c r="D15" s="5">
        <f>IF(S15&gt;0,INDEX(Intake!$B$53:$B$64,S15),"")</f>
      </c>
      <c r="E15" s="5">
        <f>IF(S15&gt;0,INDEX(Intake!$C$53:$C$64,S15),"")</f>
      </c>
      <c r="F15" s="5">
        <f>IF(S15&gt;0,IFERROR(INDEX(Intake!$D$53:$D$64,S15)/INDEX(Intake!$B$23:$B$34,S15),1),0)</f>
      </c>
      <c r="G15">
        <f>IF(S15&gt;0,INDEX(Intake!$E$53:$E$64,S15),0)</f>
      </c>
      <c r="H15" s="5">
        <f>IF(S15=0,0,IF($C15="DCFC",RunFtDcfc,RunFtL2)+StepFt*(SUMPRODUCT(($C$5:$C15=$C15)*1)-1))</f>
      </c>
      <c r="I15" s="9">
        <f>IF(OR($D15="",$F15=0),0,IF($E15="Cu",VLOOKUP($D15,WireTable,2,FALSE),VLOOKUP($D15,WireTable,3,FALSE)))</f>
      </c>
      <c r="J15" s="9">
        <f>$F15*$G15*$H15*$I15</f>
      </c>
      <c r="K15">
        <f>IF(S15&gt;0,INDEX(Intake!$J$53:$J$64,S15),"")</f>
      </c>
      <c r="Q15">
        <f>SUM(Q3:Q14)</f>
      </c>
      <c r="S15">
        <f>IF(A15&lt;=$Q$15,MATCH(A15-0.5,$R$3:$R$14,1),0)</f>
      </c>
      <c r="T15">
        <f>IF(S15&gt;0,A15-INDEX($R$3:$R$14,S15),0)</f>
      </c>
    </row>
    <row r="16" spans="1:20" x14ac:dyDescent="0.25">
      <c r="A16">
        <v>12</v>
      </c>
      <c r="B16">
        <f>IF(S16&gt;0,INDEX(Intake!$A$23:$A$34,S16)&amp;" #"&amp;T16,"")</f>
      </c>
      <c r="C16">
        <f>IF(S16&gt;0,INDEX(Intake!$D$23:$D$34,S16),"")</f>
      </c>
      <c r="D16" s="5">
        <f>IF(S16&gt;0,INDEX(Intake!$B$53:$B$64,S16),"")</f>
      </c>
      <c r="E16" s="5">
        <f>IF(S16&gt;0,INDEX(Intake!$C$53:$C$64,S16),"")</f>
      </c>
      <c r="F16" s="5">
        <f>IF(S16&gt;0,IFERROR(INDEX(Intake!$D$53:$D$64,S16)/INDEX(Intake!$B$23:$B$34,S16),1),0)</f>
      </c>
      <c r="G16">
        <f>IF(S16&gt;0,INDEX(Intake!$E$53:$E$64,S16),0)</f>
      </c>
      <c r="H16" s="5">
        <f>IF(S16=0,0,IF($C16="DCFC",RunFtDcfc,RunFtL2)+StepFt*(SUMPRODUCT(($C$5:$C16=$C16)*1)-1))</f>
      </c>
      <c r="I16" s="9">
        <f>IF(OR($D16="",$F16=0),0,IF($E16="Cu",VLOOKUP($D16,WireTable,2,FALSE),VLOOKUP($D16,WireTable,3,FALSE)))</f>
      </c>
      <c r="J16" s="9">
        <f>$F16*$G16*$H16*$I16</f>
      </c>
      <c r="K16">
        <f>IF(S16&gt;0,INDEX(Intake!$J$53:$J$64,S16),"")</f>
      </c>
      <c r="S16">
        <f>IF(A16&lt;=$Q$15,MATCH(A16-0.5,$R$3:$R$14,1),0)</f>
      </c>
      <c r="T16">
        <f>IF(S16&gt;0,A16-INDEX($R$3:$R$14,S16),0)</f>
      </c>
    </row>
    <row r="17" spans="1:20" x14ac:dyDescent="0.25">
      <c r="A17">
        <v>13</v>
      </c>
      <c r="B17">
        <f>IF(S17&gt;0,INDEX(Intake!$A$23:$A$34,S17)&amp;" #"&amp;T17,"")</f>
      </c>
      <c r="C17">
        <f>IF(S17&gt;0,INDEX(Intake!$D$23:$D$34,S17),"")</f>
      </c>
      <c r="D17" s="5">
        <f>IF(S17&gt;0,INDEX(Intake!$B$53:$B$64,S17),"")</f>
      </c>
      <c r="E17" s="5">
        <f>IF(S17&gt;0,INDEX(Intake!$C$53:$C$64,S17),"")</f>
      </c>
      <c r="F17" s="5">
        <f>IF(S17&gt;0,IFERROR(INDEX(Intake!$D$53:$D$64,S17)/INDEX(Intake!$B$23:$B$34,S17),1),0)</f>
      </c>
      <c r="G17">
        <f>IF(S17&gt;0,INDEX(Intake!$E$53:$E$64,S17),0)</f>
      </c>
      <c r="H17" s="5">
        <f>IF(S17=0,0,IF($C17="DCFC",RunFtDcfc,RunFtL2)+StepFt*(SUMPRODUCT(($C$5:$C17=$C17)*1)-1))</f>
      </c>
      <c r="I17" s="9">
        <f>IF(OR($D17="",$F17=0),0,IF($E17="Cu",VLOOKUP($D17,WireTable,2,FALSE),VLOOKUP($D17,WireTable,3,FALSE)))</f>
      </c>
      <c r="J17" s="9">
        <f>$F17*$G17*$H17*$I17</f>
      </c>
      <c r="K17">
        <f>IF(S17&gt;0,INDEX(Intake!$J$53:$J$64,S17),"")</f>
      </c>
      <c r="S17">
        <f>IF(A17&lt;=$Q$15,MATCH(A17-0.5,$R$3:$R$14,1),0)</f>
      </c>
      <c r="T17">
        <f>IF(S17&gt;0,A17-INDEX($R$3:$R$14,S17),0)</f>
      </c>
    </row>
    <row r="18" spans="1:20" x14ac:dyDescent="0.25">
      <c r="A18">
        <v>14</v>
      </c>
      <c r="B18">
        <f>IF(S18&gt;0,INDEX(Intake!$A$23:$A$34,S18)&amp;" #"&amp;T18,"")</f>
      </c>
      <c r="C18">
        <f>IF(S18&gt;0,INDEX(Intake!$D$23:$D$34,S18),"")</f>
      </c>
      <c r="D18" s="5">
        <f>IF(S18&gt;0,INDEX(Intake!$B$53:$B$64,S18),"")</f>
      </c>
      <c r="E18" s="5">
        <f>IF(S18&gt;0,INDEX(Intake!$C$53:$C$64,S18),"")</f>
      </c>
      <c r="F18" s="5">
        <f>IF(S18&gt;0,IFERROR(INDEX(Intake!$D$53:$D$64,S18)/INDEX(Intake!$B$23:$B$34,S18),1),0)</f>
      </c>
      <c r="G18">
        <f>IF(S18&gt;0,INDEX(Intake!$E$53:$E$64,S18),0)</f>
      </c>
      <c r="H18" s="5">
        <f>IF(S18=0,0,IF($C18="DCFC",RunFtDcfc,RunFtL2)+StepFt*(SUMPRODUCT(($C$5:$C18=$C18)*1)-1))</f>
      </c>
      <c r="I18" s="9">
        <f>IF(OR($D18="",$F18=0),0,IF($E18="Cu",VLOOKUP($D18,WireTable,2,FALSE),VLOOKUP($D18,WireTable,3,FALSE)))</f>
      </c>
      <c r="J18" s="9">
        <f>$F18*$G18*$H18*$I18</f>
      </c>
      <c r="K18">
        <f>IF(S18&gt;0,INDEX(Intake!$J$53:$J$64,S18),"")</f>
      </c>
      <c r="S18">
        <f>IF(A18&lt;=$Q$15,MATCH(A18-0.5,$R$3:$R$14,1),0)</f>
      </c>
      <c r="T18">
        <f>IF(S18&gt;0,A18-INDEX($R$3:$R$14,S18),0)</f>
      </c>
    </row>
    <row r="19" spans="1:20" x14ac:dyDescent="0.25">
      <c r="A19">
        <v>15</v>
      </c>
      <c r="B19">
        <f>IF(S19&gt;0,INDEX(Intake!$A$23:$A$34,S19)&amp;" #"&amp;T19,"")</f>
      </c>
      <c r="C19">
        <f>IF(S19&gt;0,INDEX(Intake!$D$23:$D$34,S19),"")</f>
      </c>
      <c r="D19" s="5">
        <f>IF(S19&gt;0,INDEX(Intake!$B$53:$B$64,S19),"")</f>
      </c>
      <c r="E19" s="5">
        <f>IF(S19&gt;0,INDEX(Intake!$C$53:$C$64,S19),"")</f>
      </c>
      <c r="F19" s="5">
        <f>IF(S19&gt;0,IFERROR(INDEX(Intake!$D$53:$D$64,S19)/INDEX(Intake!$B$23:$B$34,S19),1),0)</f>
      </c>
      <c r="G19">
        <f>IF(S19&gt;0,INDEX(Intake!$E$53:$E$64,S19),0)</f>
      </c>
      <c r="H19" s="5">
        <f>IF(S19=0,0,IF($C19="DCFC",RunFtDcfc,RunFtL2)+StepFt*(SUMPRODUCT(($C$5:$C19=$C19)*1)-1))</f>
      </c>
      <c r="I19" s="9">
        <f>IF(OR($D19="",$F19=0),0,IF($E19="Cu",VLOOKUP($D19,WireTable,2,FALSE),VLOOKUP($D19,WireTable,3,FALSE)))</f>
      </c>
      <c r="J19" s="9">
        <f>$F19*$G19*$H19*$I19</f>
      </c>
      <c r="K19">
        <f>IF(S19&gt;0,INDEX(Intake!$J$53:$J$64,S19),"")</f>
      </c>
      <c r="S19">
        <f>IF(A19&lt;=$Q$15,MATCH(A19-0.5,$R$3:$R$14,1),0)</f>
      </c>
      <c r="T19">
        <f>IF(S19&gt;0,A19-INDEX($R$3:$R$14,S19),0)</f>
      </c>
    </row>
    <row r="20" spans="1:20" x14ac:dyDescent="0.25">
      <c r="A20">
        <v>16</v>
      </c>
      <c r="B20">
        <f>IF(S20&gt;0,INDEX(Intake!$A$23:$A$34,S20)&amp;" #"&amp;T20,"")</f>
      </c>
      <c r="C20">
        <f>IF(S20&gt;0,INDEX(Intake!$D$23:$D$34,S20),"")</f>
      </c>
      <c r="D20" s="5">
        <f>IF(S20&gt;0,INDEX(Intake!$B$53:$B$64,S20),"")</f>
      </c>
      <c r="E20" s="5">
        <f>IF(S20&gt;0,INDEX(Intake!$C$53:$C$64,S20),"")</f>
      </c>
      <c r="F20" s="5">
        <f>IF(S20&gt;0,IFERROR(INDEX(Intake!$D$53:$D$64,S20)/INDEX(Intake!$B$23:$B$34,S20),1),0)</f>
      </c>
      <c r="G20">
        <f>IF(S20&gt;0,INDEX(Intake!$E$53:$E$64,S20),0)</f>
      </c>
      <c r="H20" s="5">
        <f>IF(S20=0,0,IF($C20="DCFC",RunFtDcfc,RunFtL2)+StepFt*(SUMPRODUCT(($C$5:$C20=$C20)*1)-1))</f>
      </c>
      <c r="I20" s="9">
        <f>IF(OR($D20="",$F20=0),0,IF($E20="Cu",VLOOKUP($D20,WireTable,2,FALSE),VLOOKUP($D20,WireTable,3,FALSE)))</f>
      </c>
      <c r="J20" s="9">
        <f>$F20*$G20*$H20*$I20</f>
      </c>
      <c r="K20">
        <f>IF(S20&gt;0,INDEX(Intake!$J$53:$J$64,S20),"")</f>
      </c>
      <c r="S20">
        <f>IF(A20&lt;=$Q$15,MATCH(A20-0.5,$R$3:$R$14,1),0)</f>
      </c>
      <c r="T20">
        <f>IF(S20&gt;0,A20-INDEX($R$3:$R$14,S20),0)</f>
      </c>
    </row>
    <row r="21" spans="1:20" x14ac:dyDescent="0.25">
      <c r="A21">
        <v>17</v>
      </c>
      <c r="B21">
        <f>IF(S21&gt;0,INDEX(Intake!$A$23:$A$34,S21)&amp;" #"&amp;T21,"")</f>
      </c>
      <c r="C21">
        <f>IF(S21&gt;0,INDEX(Intake!$D$23:$D$34,S21),"")</f>
      </c>
      <c r="D21" s="5">
        <f>IF(S21&gt;0,INDEX(Intake!$B$53:$B$64,S21),"")</f>
      </c>
      <c r="E21" s="5">
        <f>IF(S21&gt;0,INDEX(Intake!$C$53:$C$64,S21),"")</f>
      </c>
      <c r="F21" s="5">
        <f>IF(S21&gt;0,IFERROR(INDEX(Intake!$D$53:$D$64,S21)/INDEX(Intake!$B$23:$B$34,S21),1),0)</f>
      </c>
      <c r="G21">
        <f>IF(S21&gt;0,INDEX(Intake!$E$53:$E$64,S21),0)</f>
      </c>
      <c r="H21" s="5">
        <f>IF(S21=0,0,IF($C21="DCFC",RunFtDcfc,RunFtL2)+StepFt*(SUMPRODUCT(($C$5:$C21=$C21)*1)-1))</f>
      </c>
      <c r="I21" s="9">
        <f>IF(OR($D21="",$F21=0),0,IF($E21="Cu",VLOOKUP($D21,WireTable,2,FALSE),VLOOKUP($D21,WireTable,3,FALSE)))</f>
      </c>
      <c r="J21" s="9">
        <f>$F21*$G21*$H21*$I21</f>
      </c>
      <c r="K21">
        <f>IF(S21&gt;0,INDEX(Intake!$J$53:$J$64,S21),"")</f>
      </c>
      <c r="S21">
        <f>IF(A21&lt;=$Q$15,MATCH(A21-0.5,$R$3:$R$14,1),0)</f>
      </c>
      <c r="T21">
        <f>IF(S21&gt;0,A21-INDEX($R$3:$R$14,S21),0)</f>
      </c>
    </row>
    <row r="22" spans="1:20" x14ac:dyDescent="0.25">
      <c r="A22">
        <v>18</v>
      </c>
      <c r="B22">
        <f>IF(S22&gt;0,INDEX(Intake!$A$23:$A$34,S22)&amp;" #"&amp;T22,"")</f>
      </c>
      <c r="C22">
        <f>IF(S22&gt;0,INDEX(Intake!$D$23:$D$34,S22),"")</f>
      </c>
      <c r="D22" s="5">
        <f>IF(S22&gt;0,INDEX(Intake!$B$53:$B$64,S22),"")</f>
      </c>
      <c r="E22" s="5">
        <f>IF(S22&gt;0,INDEX(Intake!$C$53:$C$64,S22),"")</f>
      </c>
      <c r="F22" s="5">
        <f>IF(S22&gt;0,IFERROR(INDEX(Intake!$D$53:$D$64,S22)/INDEX(Intake!$B$23:$B$34,S22),1),0)</f>
      </c>
      <c r="G22">
        <f>IF(S22&gt;0,INDEX(Intake!$E$53:$E$64,S22),0)</f>
      </c>
      <c r="H22" s="5">
        <f>IF(S22=0,0,IF($C22="DCFC",RunFtDcfc,RunFtL2)+StepFt*(SUMPRODUCT(($C$5:$C22=$C22)*1)-1))</f>
      </c>
      <c r="I22" s="9">
        <f>IF(OR($D22="",$F22=0),0,IF($E22="Cu",VLOOKUP($D22,WireTable,2,FALSE),VLOOKUP($D22,WireTable,3,FALSE)))</f>
      </c>
      <c r="J22" s="9">
        <f>$F22*$G22*$H22*$I22</f>
      </c>
      <c r="K22">
        <f>IF(S22&gt;0,INDEX(Intake!$J$53:$J$64,S22),"")</f>
      </c>
      <c r="S22">
        <f>IF(A22&lt;=$Q$15,MATCH(A22-0.5,$R$3:$R$14,1),0)</f>
      </c>
      <c r="T22">
        <f>IF(S22&gt;0,A22-INDEX($R$3:$R$14,S22),0)</f>
      </c>
    </row>
    <row r="23" spans="1:20" x14ac:dyDescent="0.25">
      <c r="A23">
        <v>19</v>
      </c>
      <c r="B23">
        <f>IF(S23&gt;0,INDEX(Intake!$A$23:$A$34,S23)&amp;" #"&amp;T23,"")</f>
      </c>
      <c r="C23">
        <f>IF(S23&gt;0,INDEX(Intake!$D$23:$D$34,S23),"")</f>
      </c>
      <c r="D23" s="5">
        <f>IF(S23&gt;0,INDEX(Intake!$B$53:$B$64,S23),"")</f>
      </c>
      <c r="E23" s="5">
        <f>IF(S23&gt;0,INDEX(Intake!$C$53:$C$64,S23),"")</f>
      </c>
      <c r="F23" s="5">
        <f>IF(S23&gt;0,IFERROR(INDEX(Intake!$D$53:$D$64,S23)/INDEX(Intake!$B$23:$B$34,S23),1),0)</f>
      </c>
      <c r="G23">
        <f>IF(S23&gt;0,INDEX(Intake!$E$53:$E$64,S23),0)</f>
      </c>
      <c r="H23" s="5">
        <f>IF(S23=0,0,IF($C23="DCFC",RunFtDcfc,RunFtL2)+StepFt*(SUMPRODUCT(($C$5:$C23=$C23)*1)-1))</f>
      </c>
      <c r="I23" s="9">
        <f>IF(OR($D23="",$F23=0),0,IF($E23="Cu",VLOOKUP($D23,WireTable,2,FALSE),VLOOKUP($D23,WireTable,3,FALSE)))</f>
      </c>
      <c r="J23" s="9">
        <f>$F23*$G23*$H23*$I23</f>
      </c>
      <c r="K23">
        <f>IF(S23&gt;0,INDEX(Intake!$J$53:$J$64,S23),"")</f>
      </c>
      <c r="S23">
        <f>IF(A23&lt;=$Q$15,MATCH(A23-0.5,$R$3:$R$14,1),0)</f>
      </c>
      <c r="T23">
        <f>IF(S23&gt;0,A23-INDEX($R$3:$R$14,S23),0)</f>
      </c>
    </row>
    <row r="24" spans="1:20" x14ac:dyDescent="0.25">
      <c r="A24">
        <v>20</v>
      </c>
      <c r="B24">
        <f>IF(S24&gt;0,INDEX(Intake!$A$23:$A$34,S24)&amp;" #"&amp;T24,"")</f>
      </c>
      <c r="C24">
        <f>IF(S24&gt;0,INDEX(Intake!$D$23:$D$34,S24),"")</f>
      </c>
      <c r="D24" s="5">
        <f>IF(S24&gt;0,INDEX(Intake!$B$53:$B$64,S24),"")</f>
      </c>
      <c r="E24" s="5">
        <f>IF(S24&gt;0,INDEX(Intake!$C$53:$C$64,S24),"")</f>
      </c>
      <c r="F24" s="5">
        <f>IF(S24&gt;0,IFERROR(INDEX(Intake!$D$53:$D$64,S24)/INDEX(Intake!$B$23:$B$34,S24),1),0)</f>
      </c>
      <c r="G24">
        <f>IF(S24&gt;0,INDEX(Intake!$E$53:$E$64,S24),0)</f>
      </c>
      <c r="H24" s="5">
        <f>IF(S24=0,0,IF($C24="DCFC",RunFtDcfc,RunFtL2)+StepFt*(SUMPRODUCT(($C$5:$C24=$C24)*1)-1))</f>
      </c>
      <c r="I24" s="9">
        <f>IF(OR($D24="",$F24=0),0,IF($E24="Cu",VLOOKUP($D24,WireTable,2,FALSE),VLOOKUP($D24,WireTable,3,FALSE)))</f>
      </c>
      <c r="J24" s="9">
        <f>$F24*$G24*$H24*$I24</f>
      </c>
      <c r="K24">
        <f>IF(S24&gt;0,INDEX(Intake!$J$53:$J$64,S24),"")</f>
      </c>
      <c r="S24">
        <f>IF(A24&lt;=$Q$15,MATCH(A24-0.5,$R$3:$R$14,1),0)</f>
      </c>
      <c r="T24">
        <f>IF(S24&gt;0,A24-INDEX($R$3:$R$14,S24),0)</f>
      </c>
    </row>
    <row r="25" spans="1:20" x14ac:dyDescent="0.25">
      <c r="A25">
        <v>21</v>
      </c>
      <c r="B25">
        <f>IF(S25&gt;0,INDEX(Intake!$A$23:$A$34,S25)&amp;" #"&amp;T25,"")</f>
      </c>
      <c r="C25">
        <f>IF(S25&gt;0,INDEX(Intake!$D$23:$D$34,S25),"")</f>
      </c>
      <c r="D25" s="5">
        <f>IF(S25&gt;0,INDEX(Intake!$B$53:$B$64,S25),"")</f>
      </c>
      <c r="E25" s="5">
        <f>IF(S25&gt;0,INDEX(Intake!$C$53:$C$64,S25),"")</f>
      </c>
      <c r="F25" s="5">
        <f>IF(S25&gt;0,IFERROR(INDEX(Intake!$D$53:$D$64,S25)/INDEX(Intake!$B$23:$B$34,S25),1),0)</f>
      </c>
      <c r="G25">
        <f>IF(S25&gt;0,INDEX(Intake!$E$53:$E$64,S25),0)</f>
      </c>
      <c r="H25" s="5">
        <f>IF(S25=0,0,IF($C25="DCFC",RunFtDcfc,RunFtL2)+StepFt*(SUMPRODUCT(($C$5:$C25=$C25)*1)-1))</f>
      </c>
      <c r="I25" s="9">
        <f>IF(OR($D25="",$F25=0),0,IF($E25="Cu",VLOOKUP($D25,WireTable,2,FALSE),VLOOKUP($D25,WireTable,3,FALSE)))</f>
      </c>
      <c r="J25" s="9">
        <f>$F25*$G25*$H25*$I25</f>
      </c>
      <c r="K25">
        <f>IF(S25&gt;0,INDEX(Intake!$J$53:$J$64,S25),"")</f>
      </c>
      <c r="S25">
        <f>IF(A25&lt;=$Q$15,MATCH(A25-0.5,$R$3:$R$14,1),0)</f>
      </c>
      <c r="T25">
        <f>IF(S25&gt;0,A25-INDEX($R$3:$R$14,S25),0)</f>
      </c>
    </row>
    <row r="26" spans="1:20" x14ac:dyDescent="0.25">
      <c r="A26">
        <v>22</v>
      </c>
      <c r="B26">
        <f>IF(S26&gt;0,INDEX(Intake!$A$23:$A$34,S26)&amp;" #"&amp;T26,"")</f>
      </c>
      <c r="C26">
        <f>IF(S26&gt;0,INDEX(Intake!$D$23:$D$34,S26),"")</f>
      </c>
      <c r="D26" s="5">
        <f>IF(S26&gt;0,INDEX(Intake!$B$53:$B$64,S26),"")</f>
      </c>
      <c r="E26" s="5">
        <f>IF(S26&gt;0,INDEX(Intake!$C$53:$C$64,S26),"")</f>
      </c>
      <c r="F26" s="5">
        <f>IF(S26&gt;0,IFERROR(INDEX(Intake!$D$53:$D$64,S26)/INDEX(Intake!$B$23:$B$34,S26),1),0)</f>
      </c>
      <c r="G26">
        <f>IF(S26&gt;0,INDEX(Intake!$E$53:$E$64,S26),0)</f>
      </c>
      <c r="H26" s="5">
        <f>IF(S26=0,0,IF($C26="DCFC",RunFtDcfc,RunFtL2)+StepFt*(SUMPRODUCT(($C$5:$C26=$C26)*1)-1))</f>
      </c>
      <c r="I26" s="9">
        <f>IF(OR($D26="",$F26=0),0,IF($E26="Cu",VLOOKUP($D26,WireTable,2,FALSE),VLOOKUP($D26,WireTable,3,FALSE)))</f>
      </c>
      <c r="J26" s="9">
        <f>$F26*$G26*$H26*$I26</f>
      </c>
      <c r="K26">
        <f>IF(S26&gt;0,INDEX(Intake!$J$53:$J$64,S26),"")</f>
      </c>
      <c r="S26">
        <f>IF(A26&lt;=$Q$15,MATCH(A26-0.5,$R$3:$R$14,1),0)</f>
      </c>
      <c r="T26">
        <f>IF(S26&gt;0,A26-INDEX($R$3:$R$14,S26),0)</f>
      </c>
    </row>
    <row r="27" spans="1:20" x14ac:dyDescent="0.25">
      <c r="A27">
        <v>23</v>
      </c>
      <c r="B27">
        <f>IF(S27&gt;0,INDEX(Intake!$A$23:$A$34,S27)&amp;" #"&amp;T27,"")</f>
      </c>
      <c r="C27">
        <f>IF(S27&gt;0,INDEX(Intake!$D$23:$D$34,S27),"")</f>
      </c>
      <c r="D27" s="5">
        <f>IF(S27&gt;0,INDEX(Intake!$B$53:$B$64,S27),"")</f>
      </c>
      <c r="E27" s="5">
        <f>IF(S27&gt;0,INDEX(Intake!$C$53:$C$64,S27),"")</f>
      </c>
      <c r="F27" s="5">
        <f>IF(S27&gt;0,IFERROR(INDEX(Intake!$D$53:$D$64,S27)/INDEX(Intake!$B$23:$B$34,S27),1),0)</f>
      </c>
      <c r="G27">
        <f>IF(S27&gt;0,INDEX(Intake!$E$53:$E$64,S27),0)</f>
      </c>
      <c r="H27" s="5">
        <f>IF(S27=0,0,IF($C27="DCFC",RunFtDcfc,RunFtL2)+StepFt*(SUMPRODUCT(($C$5:$C27=$C27)*1)-1))</f>
      </c>
      <c r="I27" s="9">
        <f>IF(OR($D27="",$F27=0),0,IF($E27="Cu",VLOOKUP($D27,WireTable,2,FALSE),VLOOKUP($D27,WireTable,3,FALSE)))</f>
      </c>
      <c r="J27" s="9">
        <f>$F27*$G27*$H27*$I27</f>
      </c>
      <c r="K27">
        <f>IF(S27&gt;0,INDEX(Intake!$J$53:$J$64,S27),"")</f>
      </c>
      <c r="S27">
        <f>IF(A27&lt;=$Q$15,MATCH(A27-0.5,$R$3:$R$14,1),0)</f>
      </c>
      <c r="T27">
        <f>IF(S27&gt;0,A27-INDEX($R$3:$R$14,S27),0)</f>
      </c>
    </row>
    <row r="28" spans="1:20" x14ac:dyDescent="0.25">
      <c r="A28">
        <v>24</v>
      </c>
      <c r="B28">
        <f>IF(S28&gt;0,INDEX(Intake!$A$23:$A$34,S28)&amp;" #"&amp;T28,"")</f>
      </c>
      <c r="C28">
        <f>IF(S28&gt;0,INDEX(Intake!$D$23:$D$34,S28),"")</f>
      </c>
      <c r="D28" s="5">
        <f>IF(S28&gt;0,INDEX(Intake!$B$53:$B$64,S28),"")</f>
      </c>
      <c r="E28" s="5">
        <f>IF(S28&gt;0,INDEX(Intake!$C$53:$C$64,S28),"")</f>
      </c>
      <c r="F28" s="5">
        <f>IF(S28&gt;0,IFERROR(INDEX(Intake!$D$53:$D$64,S28)/INDEX(Intake!$B$23:$B$34,S28),1),0)</f>
      </c>
      <c r="G28">
        <f>IF(S28&gt;0,INDEX(Intake!$E$53:$E$64,S28),0)</f>
      </c>
      <c r="H28" s="5">
        <f>IF(S28=0,0,IF($C28="DCFC",RunFtDcfc,RunFtL2)+StepFt*(SUMPRODUCT(($C$5:$C28=$C28)*1)-1))</f>
      </c>
      <c r="I28" s="9">
        <f>IF(OR($D28="",$F28=0),0,IF($E28="Cu",VLOOKUP($D28,WireTable,2,FALSE),VLOOKUP($D28,WireTable,3,FALSE)))</f>
      </c>
      <c r="J28" s="9">
        <f>$F28*$G28*$H28*$I28</f>
      </c>
      <c r="K28">
        <f>IF(S28&gt;0,INDEX(Intake!$J$53:$J$64,S28),"")</f>
      </c>
      <c r="S28">
        <f>IF(A28&lt;=$Q$15,MATCH(A28-0.5,$R$3:$R$14,1),0)</f>
      </c>
      <c r="T28">
        <f>IF(S28&gt;0,A28-INDEX($R$3:$R$14,S28),0)</f>
      </c>
    </row>
    <row r="29" spans="1:10" x14ac:dyDescent="0.25">
      <c r="A29" s="3" t="s">
        <v>94</v>
      </c>
      <c r="J29" s="17">
        <f>SUM(J5:J28)</f>
      </c>
    </row>
    <row r="30" spans="2:2" x14ac:dyDescent="0.25">
      <c r="B30" s="18">
        <f>IF($Q$15&gt;24,"⚠ More than 24 chargers — rows truncated; use the app's Excel export for larger sites","")</f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RateCard!$A$129:$A$153</formula1>
    </dataValidation>
    <dataValidation type="list" allowBlank="1" sqref="D5:D28">
      <formula1>RateCard!$A$129:$A$153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101</v>
      </c>
      <c r="F17">
        <f>SUM(F5:F16)</f>
      </c>
    </row>
    <row r="18" spans="1:6" x14ac:dyDescent="0.25">
      <c r="A18" s="4" t="s">
        <v>102</v>
      </c>
      <c r="F18">
        <f>IF(AND(NDcfc&gt;0,NumL2&gt;0),TxKvaConnected*1000/(480*SQRT(3)),0)</f>
      </c>
    </row>
    <row r="19" spans="1:6" x14ac:dyDescent="0.25">
      <c r="A19" s="3" t="s">
        <v>103</v>
      </c>
      <c r="F19">
        <f>F17+F18</f>
      </c>
    </row>
    <row r="20" spans="1:6" x14ac:dyDescent="0.25">
      <c r="A20" s="3" t="s">
        <v>104</v>
      </c>
      <c r="F20">
        <f>F19*1.25</f>
      </c>
    </row>
    <row r="21" spans="1:6" x14ac:dyDescent="0.25">
      <c r="A21" s="3" t="s">
        <v>105</v>
      </c>
      <c r="D21" s="5"/>
      <c r="E21" s="10" t="s">
        <v>106</v>
      </c>
      <c r="F21">
        <f>IF(NDcfc&gt;0,IF(ISNUMBER($D$21),$D$21,INDEX(SgSizes,MIN(ROWS(SgSizes),COUNTIF(SgSizes,"&lt;"&amp;F20)+1))),0)</f>
      </c>
    </row>
    <row r="22" spans="1:6" x14ac:dyDescent="0.25">
      <c r="A22" s="3" t="s">
        <v>107</v>
      </c>
      <c r="F22" s="9">
        <f>IF(NDcfc&gt;0,IFERROR(VLOOKUP(SgSuggested,SgTable,2,FALSE),0),0)</f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109</v>
      </c>
      <c r="F38">
        <f>SUM(F26:F37)</f>
      </c>
    </row>
    <row r="39" spans="1:6" x14ac:dyDescent="0.25">
      <c r="A39" s="3" t="s">
        <v>110</v>
      </c>
      <c r="F39">
        <f>F38*1.25</f>
      </c>
    </row>
    <row r="40" spans="1:6" x14ac:dyDescent="0.25">
      <c r="A40" s="3" t="s">
        <v>111</v>
      </c>
      <c r="D40" s="5"/>
      <c r="E40" s="10" t="s">
        <v>106</v>
      </c>
      <c r="F40">
        <f>IF(NumL2&gt;0,IF(ISNUMBER($D$40),$D$40,INDEX(PnlSizes,MIN(ROWS(PnlSizes),COUNTIF(PnlSizes,"&lt;"&amp;F39)+1))),0)</f>
      </c>
    </row>
    <row r="41" spans="1:6" x14ac:dyDescent="0.25">
      <c r="A41" s="4" t="s">
        <v>112</v>
      </c>
      <c r="F41">
        <f>IF(NumL2=0,"—",IF(F40&gt;=1000,"Distribution panel","Sub-panel"))</f>
      </c>
    </row>
    <row r="42" spans="1:6" x14ac:dyDescent="0.25">
      <c r="A42" s="3" t="s">
        <v>113</v>
      </c>
      <c r="F42" s="9">
        <f>IF(NumL2&gt;0,IFERROR(VLOOKUP(F40,PnlTable,2,FALSE),0),0)</f>
      </c>
    </row>
    <row r="44" spans="1:1" x14ac:dyDescent="0.25">
      <c r="A44" s="3" t="s">
        <v>114</v>
      </c>
    </row>
    <row r="45" spans="1:6" x14ac:dyDescent="0.25">
      <c r="A45" s="4" t="s">
        <v>115</v>
      </c>
      <c r="F45">
        <f>IF(AND(NDcfc&gt;0,NumL2&gt;0),F38*208*SQRT(3)/1000,0)</f>
      </c>
    </row>
    <row r="46" spans="1:6" x14ac:dyDescent="0.25">
      <c r="A46" s="4" t="s">
        <v>116</v>
      </c>
      <c r="F46">
        <f>F45*1.25</f>
      </c>
    </row>
    <row r="47" spans="1:6" x14ac:dyDescent="0.25">
      <c r="A47" s="3" t="s">
        <v>117</v>
      </c>
      <c r="D47" s="5"/>
      <c r="E47" s="10" t="s">
        <v>106</v>
      </c>
      <c r="F47">
        <f>IF(F45&gt;0,IF(ISNUMBER($D$47),$D$47,INDEX(TxSizes,MIN(ROWS(TxSizes),COUNTIF(TxSizes,"&lt;"&amp;F46)+1))),0)</f>
      </c>
    </row>
    <row r="48" spans="1:6" x14ac:dyDescent="0.25">
      <c r="A48" s="3" t="s">
        <v>118</v>
      </c>
      <c r="F48" s="9">
        <f>IF(F47&gt;0,IFERROR(VLOOKUP(F47,TxTable,2,FALSE),0),0)</f>
      </c>
    </row>
    <row r="49" spans="1:6" x14ac:dyDescent="0.25">
      <c r="A49" s="4" t="s">
        <v>119</v>
      </c>
      <c r="F49">
        <f>IF(F47&gt;0,F47*1000/(480*SQRT(3)),0)</f>
      </c>
    </row>
    <row r="50" spans="1:6" x14ac:dyDescent="0.25">
      <c r="A50" s="4" t="s">
        <v>120</v>
      </c>
      <c r="F50">
        <f>IF(F47&gt;0,INDEX(StdBrk,MIN(ROWS(StdBrk),COUNTIF(StdBrk,"&lt;"&amp;F49*1.25)+1)),0)</f>
      </c>
    </row>
    <row r="51" spans="1:6" x14ac:dyDescent="0.25">
      <c r="A51" s="4" t="s">
        <v>121</v>
      </c>
      <c r="F51" s="9">
        <f>IF(F50&gt;0,IFERROR(VLOOKUP(F50,BrkTbl480,2,FALSE),0),0)</f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126</v>
      </c>
      <c r="F66" s="9">
        <f>SUM(F54:F65)+F51</f>
      </c>
    </row>
    <row r="68" spans="1:6" x14ac:dyDescent="0.25">
      <c r="A68" s="19" t="s">
        <v>127</v>
      </c>
      <c r="F68" s="20">
        <f>F22+F42+F48+F66</f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"UTILITY"</f>
      </c>
      <c r="H4" s="23" t="s">
        <v>139</v>
      </c>
      <c r="I4" t="s">
        <v>140</v>
      </c>
      <c r="M4" s="23" t="s">
        <v>141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IF($AA$17=1,3,"")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IF($AA$18=1,3,"")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IF($AA$17=1,"---","")</f>
      </c>
      <c r="D10" s="25"/>
      <c r="E10" s="25"/>
      <c r="F10" s="25"/>
      <c r="G10" s="25"/>
      <c r="H10" s="25"/>
      <c r="I10" s="25"/>
      <c r="J10" s="25">
        <f>IF($AA$17=1,ROUND($Z$17,0),"")</f>
      </c>
      <c r="K10" s="25">
        <f>IF($AA$18=1,ROUND($Z$18,0),"")</f>
      </c>
      <c r="L10" s="25"/>
      <c r="M10" s="25"/>
      <c r="N10" s="25">
        <f>IF($AA$18=1,"---","")</f>
      </c>
      <c r="O10" s="25">
        <v>6</v>
      </c>
      <c r="P10" t="s">
        <v>154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IF($AA$19=1,$X$19,"")</f>
      </c>
      <c r="D11" s="25">
        <f>IF($AA$19=1,$Y$19,"")</f>
      </c>
      <c r="E11" s="25">
        <f>IF($AA$19=1,3,"")</f>
      </c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>
        <f>IF($AA$20=1,3,"")</f>
      </c>
      <c r="M11" s="25">
        <f>IF($AA$20=1,$Y$20,"")</f>
      </c>
      <c r="N11" s="25">
        <f>IF($AA$20=1,$X$20,"")</f>
      </c>
      <c r="O11" s="25">
        <v>8</v>
      </c>
      <c r="P11" t="s">
        <v>152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IF($AA$19=1,"---","")</f>
      </c>
      <c r="D12" s="25"/>
      <c r="E12" s="25"/>
      <c r="F12" s="25"/>
      <c r="G12" s="25"/>
      <c r="H12" s="25">
        <f>IF($AA$19=1,ROUND($Z$19,0),"")</f>
      </c>
      <c r="I12" s="25">
        <f>IF($AA$20=1,ROUND($Z$20,0),"")</f>
      </c>
      <c r="J12" s="25"/>
      <c r="K12" s="25"/>
      <c r="L12" s="25"/>
      <c r="M12" s="25"/>
      <c r="N12" s="25">
        <f>IF($AA$20=1,"---","")</f>
      </c>
      <c r="O12" s="25">
        <v>10</v>
      </c>
      <c r="P12" t="s">
        <v>153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IF($AA$19=1,"---","")</f>
      </c>
      <c r="D13" s="25"/>
      <c r="E13" s="25"/>
      <c r="F13" s="25"/>
      <c r="G13" s="25"/>
      <c r="H13" s="25"/>
      <c r="I13" s="25"/>
      <c r="J13" s="25">
        <f>IF($AA$19=1,ROUND($Z$19,0),"")</f>
      </c>
      <c r="K13" s="25">
        <f>IF($AA$20=1,ROUND($Z$20,0),"")</f>
      </c>
      <c r="L13" s="25"/>
      <c r="M13" s="25"/>
      <c r="N13" s="25">
        <f>IF($AA$20=1,"---","")</f>
      </c>
      <c r="O13" s="25">
        <v>12</v>
      </c>
      <c r="P13" t="s">
        <v>154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IF($AA$21=1,$X$21,"")</f>
      </c>
      <c r="D14" s="25">
        <f>IF($AA$21=1,$Y$21,"")</f>
      </c>
      <c r="E14" s="25">
        <f>IF($AA$21=1,3,"")</f>
      </c>
      <c r="F14" s="25">
        <f>IF($AA$21=1,ROUND($Z$21,0),"")</f>
      </c>
      <c r="G14" s="25">
        <f>IF($AA$22=1,ROUND($Z$22,0),"")</f>
      </c>
      <c r="H14" s="25"/>
      <c r="I14" s="25"/>
      <c r="J14" s="25"/>
      <c r="K14" s="25"/>
      <c r="L14" s="25">
        <f>IF($AA$22=1,3,"")</f>
      </c>
      <c r="M14" s="25">
        <f>IF($AA$22=1,$Y$22,"")</f>
      </c>
      <c r="N14" s="25">
        <f>IF($AA$22=1,$X$22,"")</f>
      </c>
      <c r="O14" s="25">
        <v>14</v>
      </c>
      <c r="P14" t="s">
        <v>152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IF($AA$21=1,"---","")</f>
      </c>
      <c r="D15" s="25"/>
      <c r="E15" s="25"/>
      <c r="F15" s="25"/>
      <c r="G15" s="25"/>
      <c r="H15" s="25">
        <f>IF($AA$21=1,ROUND($Z$21,0),"")</f>
      </c>
      <c r="I15" s="25">
        <f>IF($AA$22=1,ROUND($Z$22,0),"")</f>
      </c>
      <c r="J15" s="25"/>
      <c r="K15" s="25"/>
      <c r="L15" s="25"/>
      <c r="M15" s="25"/>
      <c r="N15" s="25">
        <f>IF($AA$22=1,"---","")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IF($AA$21=1,"---","")</f>
      </c>
      <c r="D16" s="25"/>
      <c r="E16" s="25"/>
      <c r="F16" s="25"/>
      <c r="G16" s="25"/>
      <c r="H16" s="25"/>
      <c r="I16" s="25"/>
      <c r="J16" s="25">
        <f>IF($AA$21=1,ROUND($Z$21,0),"")</f>
      </c>
      <c r="K16" s="25">
        <f>IF($AA$22=1,ROUND($Z$22,0),"")</f>
      </c>
      <c r="L16" s="25"/>
      <c r="M16" s="25"/>
      <c r="N16" s="25">
        <f>IF($AA$22=1,"---","")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IF($AA$23=1,$X$23,"")</f>
      </c>
      <c r="D17" s="25">
        <f>IF($AA$23=1,$Y$23,"")</f>
      </c>
      <c r="E17" s="25">
        <f>IF($AA$23=1,3,"")</f>
      </c>
      <c r="F17" s="25">
        <f>IF($AA$23=1,ROUND($Z$23,0),"")</f>
      </c>
      <c r="G17" s="25">
        <f>IF($AA$24=1,ROUND($Z$24,0),"")</f>
      </c>
      <c r="H17" s="25"/>
      <c r="I17" s="25"/>
      <c r="J17" s="25"/>
      <c r="K17" s="25"/>
      <c r="L17" s="25">
        <f>IF($AA$24=1,3,"")</f>
      </c>
      <c r="M17" s="25">
        <f>IF($AA$24=1,$Y$24,"")</f>
      </c>
      <c r="N17" s="25">
        <f>IF($AA$24=1,$X$24,"")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153</v>
      </c>
      <c r="B18" s="25">
        <v>21</v>
      </c>
      <c r="C18" s="25">
        <f>IF($AA$23=1,"---","")</f>
      </c>
      <c r="D18" s="25"/>
      <c r="E18" s="25"/>
      <c r="F18" s="25"/>
      <c r="G18" s="25"/>
      <c r="H18" s="25">
        <f>IF($AA$23=1,ROUND($Z$23,0),"")</f>
      </c>
      <c r="I18" s="25">
        <f>IF($AA$24=1,ROUND($Z$24,0),"")</f>
      </c>
      <c r="J18" s="25"/>
      <c r="K18" s="25"/>
      <c r="L18" s="25"/>
      <c r="M18" s="25"/>
      <c r="N18" s="25">
        <f>IF($AA$24=1,"---","")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154</v>
      </c>
      <c r="B19" s="25">
        <v>23</v>
      </c>
      <c r="C19" s="25">
        <f>IF($AA$23=1,"---","")</f>
      </c>
      <c r="D19" s="25"/>
      <c r="E19" s="25"/>
      <c r="F19" s="25"/>
      <c r="G19" s="25"/>
      <c r="H19" s="25"/>
      <c r="I19" s="25"/>
      <c r="J19" s="25">
        <f>IF($AA$23=1,ROUND($Z$23,0),"")</f>
      </c>
      <c r="K19" s="25">
        <f>IF($AA$24=1,ROUND($Z$24,0),"")</f>
      </c>
      <c r="L19" s="25"/>
      <c r="M19" s="25"/>
      <c r="N19" s="25">
        <f>IF($AA$24=1,"---","")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152</v>
      </c>
      <c r="B20" s="25">
        <v>25</v>
      </c>
      <c r="C20" s="25">
        <f>IF($AA$25=1,$X$25,"")</f>
      </c>
      <c r="D20" s="25">
        <f>IF($AA$25=1,$Y$25,"")</f>
      </c>
      <c r="E20" s="25">
        <f>IF($AA$25=1,3,"")</f>
      </c>
      <c r="F20" s="25">
        <f>IF($AA$25=1,ROUND($Z$25,0),"")</f>
      </c>
      <c r="G20" s="25">
        <f>IF($AA$26=1,ROUND($Z$26,0),"")</f>
      </c>
      <c r="H20" s="25"/>
      <c r="I20" s="25"/>
      <c r="J20" s="25"/>
      <c r="K20" s="25"/>
      <c r="L20" s="25">
        <f>IF($AA$26=1,3,"")</f>
      </c>
      <c r="M20" s="25">
        <f>IF($AA$26=1,$Y$26,"")</f>
      </c>
      <c r="N20" s="25">
        <f>IF($AA$26=1,$X$26,"")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153</v>
      </c>
      <c r="B21" s="25">
        <v>27</v>
      </c>
      <c r="C21" s="25">
        <f>IF($AA$25=1,"---","")</f>
      </c>
      <c r="D21" s="25"/>
      <c r="E21" s="25"/>
      <c r="F21" s="25"/>
      <c r="G21" s="25"/>
      <c r="H21" s="25">
        <f>IF($AA$25=1,ROUND($Z$25,0),"")</f>
      </c>
      <c r="I21" s="25">
        <f>IF($AA$26=1,ROUND($Z$26,0),"")</f>
      </c>
      <c r="J21" s="25"/>
      <c r="K21" s="25"/>
      <c r="L21" s="25"/>
      <c r="M21" s="25"/>
      <c r="N21" s="25">
        <f>IF($AA$26=1,"---","")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154</v>
      </c>
      <c r="B22" s="25">
        <v>29</v>
      </c>
      <c r="C22" s="25">
        <f>IF($AA$25=1,"---","")</f>
      </c>
      <c r="D22" s="25"/>
      <c r="E22" s="25"/>
      <c r="F22" s="25"/>
      <c r="G22" s="25"/>
      <c r="H22" s="25"/>
      <c r="I22" s="25"/>
      <c r="J22" s="25">
        <f>IF($AA$25=1,ROUND($Z$25,0),"")</f>
      </c>
      <c r="K22" s="25">
        <f>IF($AA$26=1,ROUND($Z$26,0),"")</f>
      </c>
      <c r="L22" s="25"/>
      <c r="M22" s="25"/>
      <c r="N22" s="25">
        <f>IF($AA$26=1,"---","")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152</v>
      </c>
      <c r="B23" s="25">
        <v>31</v>
      </c>
      <c r="C23" s="25">
        <f>IF($AA$27=1,$X$27,"")</f>
      </c>
      <c r="D23" s="25">
        <f>IF($AA$27=1,$Y$27,"")</f>
      </c>
      <c r="E23" s="25">
        <f>IF($AA$27=1,3,"")</f>
      </c>
      <c r="F23" s="25">
        <f>IF($AA$27=1,ROUND($Z$27,0),"")</f>
      </c>
      <c r="G23" s="25">
        <f>IF($AA$28=1,ROUND($Z$28,0),"")</f>
      </c>
      <c r="H23" s="25"/>
      <c r="I23" s="25"/>
      <c r="J23" s="25"/>
      <c r="K23" s="25"/>
      <c r="L23" s="25">
        <f>IF($AA$28=1,3,"")</f>
      </c>
      <c r="M23" s="25">
        <f>IF($AA$28=1,$Y$28,"")</f>
      </c>
      <c r="N23" s="25">
        <f>IF($AA$28=1,$X$28,"")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153</v>
      </c>
      <c r="B24" s="25">
        <v>33</v>
      </c>
      <c r="C24" s="25">
        <f>IF($AA$27=1,"---","")</f>
      </c>
      <c r="D24" s="25"/>
      <c r="E24" s="25"/>
      <c r="F24" s="25"/>
      <c r="G24" s="25"/>
      <c r="H24" s="25">
        <f>IF($AA$27=1,ROUND($Z$27,0),"")</f>
      </c>
      <c r="I24" s="25">
        <f>IF($AA$28=1,ROUND($Z$28,0),"")</f>
      </c>
      <c r="J24" s="25"/>
      <c r="K24" s="25"/>
      <c r="L24" s="25"/>
      <c r="M24" s="25"/>
      <c r="N24" s="25">
        <f>IF($AA$28=1,"---","")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154</v>
      </c>
      <c r="B25" s="25">
        <v>35</v>
      </c>
      <c r="C25" s="25">
        <f>IF($AA$27=1,"---","")</f>
      </c>
      <c r="D25" s="25"/>
      <c r="E25" s="25"/>
      <c r="F25" s="25"/>
      <c r="G25" s="25"/>
      <c r="H25" s="25"/>
      <c r="I25" s="25"/>
      <c r="J25" s="25">
        <f>IF($AA$27=1,ROUND($Z$27,0),"")</f>
      </c>
      <c r="K25" s="25">
        <f>IF($AA$28=1,ROUND($Z$28,0),"")</f>
      </c>
      <c r="L25" s="25"/>
      <c r="M25" s="25"/>
      <c r="N25" s="25">
        <f>IF($AA$28=1,"---","")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152</v>
      </c>
      <c r="B26" s="25">
        <v>37</v>
      </c>
      <c r="C26" s="25">
        <f>IF($AA$29=1,$X$29,"")</f>
      </c>
      <c r="D26" s="25">
        <f>IF($AA$29=1,$Y$29,"")</f>
      </c>
      <c r="E26" s="25">
        <f>IF($AA$29=1,3,"")</f>
      </c>
      <c r="F26" s="25">
        <f>IF($AA$29=1,ROUND($Z$29,0),"")</f>
      </c>
      <c r="G26" s="25">
        <f>IF($AA$30=1,ROUND($Z$30,0),"")</f>
      </c>
      <c r="H26" s="25"/>
      <c r="I26" s="25"/>
      <c r="J26" s="25"/>
      <c r="K26" s="25"/>
      <c r="L26" s="25">
        <f>IF($AA$30=1,3,"")</f>
      </c>
      <c r="M26" s="25">
        <f>IF($AA$30=1,$Y$30,"")</f>
      </c>
      <c r="N26" s="25">
        <f>IF($AA$30=1,$X$30,"")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153</v>
      </c>
      <c r="B27" s="25">
        <v>39</v>
      </c>
      <c r="C27" s="25">
        <f>IF($AA$29=1,"---","")</f>
      </c>
      <c r="D27" s="25"/>
      <c r="E27" s="25"/>
      <c r="F27" s="25"/>
      <c r="G27" s="25"/>
      <c r="H27" s="25">
        <f>IF($AA$29=1,ROUND($Z$29,0),"")</f>
      </c>
      <c r="I27" s="25">
        <f>IF($AA$30=1,ROUND($Z$30,0),"")</f>
      </c>
      <c r="J27" s="25"/>
      <c r="K27" s="25"/>
      <c r="L27" s="25"/>
      <c r="M27" s="25"/>
      <c r="N27" s="25">
        <f>IF($AA$30=1,"---","")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154</v>
      </c>
      <c r="B28" s="25">
        <v>41</v>
      </c>
      <c r="C28" s="25">
        <f>IF($AA$29=1,"---","")</f>
      </c>
      <c r="D28" s="25"/>
      <c r="E28" s="25"/>
      <c r="F28" s="25"/>
      <c r="G28" s="25"/>
      <c r="H28" s="25"/>
      <c r="I28" s="25"/>
      <c r="J28" s="25">
        <f>IF($AA$29=1,ROUND($Z$29,0),"")</f>
      </c>
      <c r="K28" s="25">
        <f>IF($AA$30=1,ROUND($Z$30,0),"")</f>
      </c>
      <c r="L28" s="25"/>
      <c r="M28" s="25"/>
      <c r="N28" s="25">
        <f>IF($AA$30=1,"---","")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152</v>
      </c>
      <c r="B29" s="25">
        <v>43</v>
      </c>
      <c r="C29" s="25">
        <f>IF($AA$31=1,$X$31,"")</f>
      </c>
      <c r="D29" s="25">
        <f>IF($AA$31=1,$Y$31,"")</f>
      </c>
      <c r="E29" s="25">
        <f>IF($AA$31=1,3,"")</f>
      </c>
      <c r="F29" s="25">
        <f>IF($AA$31=1,ROUND($Z$31,0),"")</f>
      </c>
      <c r="G29" s="25">
        <f>IF($AA$32=1,ROUND($Z$32,0),"")</f>
      </c>
      <c r="H29" s="25"/>
      <c r="I29" s="25"/>
      <c r="J29" s="25"/>
      <c r="K29" s="25"/>
      <c r="L29" s="25">
        <f>IF($AA$32=1,3,"")</f>
      </c>
      <c r="M29" s="25">
        <f>IF($AA$32=1,$Y$32,"")</f>
      </c>
      <c r="N29" s="25">
        <f>IF($AA$32=1,$X$32,"")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153</v>
      </c>
      <c r="B30" s="25">
        <v>45</v>
      </c>
      <c r="C30" s="25">
        <f>IF($AA$31=1,"---","")</f>
      </c>
      <c r="D30" s="25"/>
      <c r="E30" s="25"/>
      <c r="F30" s="25"/>
      <c r="G30" s="25"/>
      <c r="H30" s="25">
        <f>IF($AA$31=1,ROUND($Z$31,0),"")</f>
      </c>
      <c r="I30" s="25">
        <f>IF($AA$32=1,ROUND($Z$32,0),"")</f>
      </c>
      <c r="J30" s="25"/>
      <c r="K30" s="25"/>
      <c r="L30" s="25"/>
      <c r="M30" s="25"/>
      <c r="N30" s="25">
        <f>IF($AA$32=1,"---","")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154</v>
      </c>
      <c r="B31" s="25">
        <v>47</v>
      </c>
      <c r="C31" s="25">
        <f>IF($AA$31=1,"---","")</f>
      </c>
      <c r="D31" s="25"/>
      <c r="E31" s="25"/>
      <c r="F31" s="25"/>
      <c r="G31" s="25"/>
      <c r="H31" s="25"/>
      <c r="I31" s="25"/>
      <c r="J31" s="25">
        <f>IF($AA$31=1,ROUND($Z$31,0),"")</f>
      </c>
      <c r="K31" s="25">
        <f>IF($AA$32=1,ROUND($Z$32,0),"")</f>
      </c>
      <c r="L31" s="25"/>
      <c r="M31" s="25"/>
      <c r="N31" s="25">
        <f>IF($AA$32=1,"---","")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</row>
    <row r="34" spans="3:14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</row>
    <row r="35" spans="3:14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N34/(480*SQRT(3))</f>
      </c>
    </row>
    <row r="36" spans="3:14" x14ac:dyDescent="0.25">
      <c r="C36" t="s">
        <v>162</v>
      </c>
      <c r="F36" s="28">
        <f>F35/(480/SQRT(3))</f>
      </c>
      <c r="G36" s="28"/>
      <c r="H36" s="28">
        <f>H35/(480/SQRT(3))</f>
      </c>
      <c r="I36" s="28"/>
      <c r="J36" s="28">
        <f>J35/(480/SQRT(3))</f>
      </c>
      <c r="K36" s="28"/>
      <c r="L36" s="23" t="s">
        <v>163</v>
      </c>
      <c r="M36" s="23"/>
      <c r="N36">
        <f>SgSuggested</f>
      </c>
    </row>
    <row r="38" spans="2:2" x14ac:dyDescent="0.25">
      <c r="B38" s="18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IF(TxKvaSuggested&gt;0,"EV_MAIN VIA "&amp;TxKvaSuggested&amp;" KVA XFMR","UTILITY")</f>
      </c>
      <c r="H4" s="23" t="s">
        <v>139</v>
      </c>
      <c r="I4" t="s">
        <v>140</v>
      </c>
      <c r="M4" s="23" t="s">
        <v>141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IF($AA$17=1,2,"")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IF($AA$18=1,2,"")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IF($AA$19=1,$X$19,"")</f>
      </c>
      <c r="D10" s="25">
        <f>IF($AA$19=1,$Y$19,"")</f>
      </c>
      <c r="E10" s="25">
        <f>IF($AA$19=1,2,"")</f>
      </c>
      <c r="F10" s="25"/>
      <c r="G10" s="25"/>
      <c r="H10" s="25"/>
      <c r="I10" s="25"/>
      <c r="J10" s="25">
        <f>IF($AA$19=1,ROUND($Z$19,0),"")</f>
      </c>
      <c r="K10" s="25">
        <f>IF($AA$20=1,ROUND($Z$20,0),"")</f>
      </c>
      <c r="L10" s="25">
        <f>IF($AA$20=1,2,"")</f>
      </c>
      <c r="M10" s="25">
        <f>IF($AA$20=1,$Y$20,"")</f>
      </c>
      <c r="N10" s="25">
        <f>IF($AA$20=1,$X$20,"")</f>
      </c>
      <c r="O10" s="25">
        <v>6</v>
      </c>
      <c r="P10" t="s">
        <v>154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IF($AA$19=1,"---","")</f>
      </c>
      <c r="D11" s="25"/>
      <c r="E11" s="25"/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/>
      <c r="M11" s="25"/>
      <c r="N11" s="25">
        <f>IF($AA$20=1,"---","")</f>
      </c>
      <c r="O11" s="25">
        <v>8</v>
      </c>
      <c r="P11" t="s">
        <v>152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IF($AA$21=1,$X$21,"")</f>
      </c>
      <c r="D12" s="25">
        <f>IF($AA$21=1,$Y$21,"")</f>
      </c>
      <c r="E12" s="25">
        <f>IF($AA$21=1,2,"")</f>
      </c>
      <c r="F12" s="25"/>
      <c r="G12" s="25"/>
      <c r="H12" s="25">
        <f>IF($AA$21=1,ROUND($Z$21,0),"")</f>
      </c>
      <c r="I12" s="25">
        <f>IF($AA$22=1,ROUND($Z$22,0),"")</f>
      </c>
      <c r="J12" s="25"/>
      <c r="K12" s="25"/>
      <c r="L12" s="25">
        <f>IF($AA$22=1,2,"")</f>
      </c>
      <c r="M12" s="25">
        <f>IF($AA$22=1,$Y$22,"")</f>
      </c>
      <c r="N12" s="25">
        <f>IF($AA$22=1,$X$22,"")</f>
      </c>
      <c r="O12" s="25">
        <v>10</v>
      </c>
      <c r="P12" t="s">
        <v>153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IF($AA$21=1,"---","")</f>
      </c>
      <c r="D13" s="25"/>
      <c r="E13" s="25"/>
      <c r="F13" s="25"/>
      <c r="G13" s="25"/>
      <c r="H13" s="25"/>
      <c r="I13" s="25"/>
      <c r="J13" s="25">
        <f>IF($AA$21=1,ROUND($Z$21,0),"")</f>
      </c>
      <c r="K13" s="25">
        <f>IF($AA$22=1,ROUND($Z$22,0),"")</f>
      </c>
      <c r="L13" s="25"/>
      <c r="M13" s="25"/>
      <c r="N13" s="25">
        <f>IF($AA$22=1,"---","")</f>
      </c>
      <c r="O13" s="25">
        <v>12</v>
      </c>
      <c r="P13" t="s">
        <v>154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IF($AA$23=1,$X$23,"")</f>
      </c>
      <c r="D14" s="25">
        <f>IF($AA$23=1,$Y$23,"")</f>
      </c>
      <c r="E14" s="25">
        <f>IF($AA$23=1,2,"")</f>
      </c>
      <c r="F14" s="25">
        <f>IF($AA$23=1,ROUND($Z$23,0),"")</f>
      </c>
      <c r="G14" s="25">
        <f>IF($AA$24=1,ROUND($Z$24,0),"")</f>
      </c>
      <c r="H14" s="25"/>
      <c r="I14" s="25"/>
      <c r="J14" s="25"/>
      <c r="K14" s="25"/>
      <c r="L14" s="25">
        <f>IF($AA$24=1,2,"")</f>
      </c>
      <c r="M14" s="25">
        <f>IF($AA$24=1,$Y$24,"")</f>
      </c>
      <c r="N14" s="25">
        <f>IF($AA$24=1,$X$24,"")</f>
      </c>
      <c r="O14" s="25">
        <v>14</v>
      </c>
      <c r="P14" t="s">
        <v>152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IF($AA$23=1,"---","")</f>
      </c>
      <c r="D15" s="25"/>
      <c r="E15" s="25"/>
      <c r="F15" s="25"/>
      <c r="G15" s="25"/>
      <c r="H15" s="25">
        <f>IF($AA$23=1,ROUND($Z$23,0),"")</f>
      </c>
      <c r="I15" s="25">
        <f>IF($AA$24=1,ROUND($Z$24,0),"")</f>
      </c>
      <c r="J15" s="25"/>
      <c r="K15" s="25"/>
      <c r="L15" s="25"/>
      <c r="M15" s="25"/>
      <c r="N15" s="25">
        <f>IF($AA$24=1,"---","")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IF($AA$25=1,$X$25,"")</f>
      </c>
      <c r="D16" s="25">
        <f>IF($AA$25=1,$Y$25,"")</f>
      </c>
      <c r="E16" s="25">
        <f>IF($AA$25=1,2,"")</f>
      </c>
      <c r="F16" s="25"/>
      <c r="G16" s="25"/>
      <c r="H16" s="25"/>
      <c r="I16" s="25"/>
      <c r="J16" s="25">
        <f>IF($AA$25=1,ROUND($Z$25,0),"")</f>
      </c>
      <c r="K16" s="25">
        <f>IF($AA$26=1,ROUND($Z$26,0),"")</f>
      </c>
      <c r="L16" s="25">
        <f>IF($AA$26=1,2,"")</f>
      </c>
      <c r="M16" s="25">
        <f>IF($AA$26=1,$Y$26,"")</f>
      </c>
      <c r="N16" s="25">
        <f>IF($AA$26=1,$X$26,"")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IF($AA$25=1,"---","")</f>
      </c>
      <c r="D17" s="25"/>
      <c r="E17" s="25"/>
      <c r="F17" s="25">
        <f>IF($AA$25=1,ROUND($Z$25,0),"")</f>
      </c>
      <c r="G17" s="25">
        <f>IF($AA$26=1,ROUND($Z$26,0),"")</f>
      </c>
      <c r="H17" s="25"/>
      <c r="I17" s="25"/>
      <c r="J17" s="25"/>
      <c r="K17" s="25"/>
      <c r="L17" s="25"/>
      <c r="M17" s="25"/>
      <c r="N17" s="25">
        <f>IF($AA$26=1,"---","")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153</v>
      </c>
      <c r="B18" s="25">
        <v>21</v>
      </c>
      <c r="C18" s="25">
        <f>IF($AA$27=1,$X$27,"")</f>
      </c>
      <c r="D18" s="25">
        <f>IF($AA$27=1,$Y$27,"")</f>
      </c>
      <c r="E18" s="25">
        <f>IF($AA$27=1,2,"")</f>
      </c>
      <c r="F18" s="25"/>
      <c r="G18" s="25"/>
      <c r="H18" s="25">
        <f>IF($AA$27=1,ROUND($Z$27,0),"")</f>
      </c>
      <c r="I18" s="25">
        <f>IF($AA$28=1,ROUND($Z$28,0),"")</f>
      </c>
      <c r="J18" s="25"/>
      <c r="K18" s="25"/>
      <c r="L18" s="25">
        <f>IF($AA$28=1,2,"")</f>
      </c>
      <c r="M18" s="25">
        <f>IF($AA$28=1,$Y$28,"")</f>
      </c>
      <c r="N18" s="25">
        <f>IF($AA$28=1,$X$28,"")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154</v>
      </c>
      <c r="B19" s="25">
        <v>23</v>
      </c>
      <c r="C19" s="25">
        <f>IF($AA$27=1,"---","")</f>
      </c>
      <c r="D19" s="25"/>
      <c r="E19" s="25"/>
      <c r="F19" s="25"/>
      <c r="G19" s="25"/>
      <c r="H19" s="25"/>
      <c r="I19" s="25"/>
      <c r="J19" s="25">
        <f>IF($AA$27=1,ROUND($Z$27,0),"")</f>
      </c>
      <c r="K19" s="25">
        <f>IF($AA$28=1,ROUND($Z$28,0),"")</f>
      </c>
      <c r="L19" s="25"/>
      <c r="M19" s="25"/>
      <c r="N19" s="25">
        <f>IF($AA$28=1,"---","")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152</v>
      </c>
      <c r="B20" s="25">
        <v>25</v>
      </c>
      <c r="C20" s="25">
        <f>IF($AA$29=1,$X$29,"")</f>
      </c>
      <c r="D20" s="25">
        <f>IF($AA$29=1,$Y$29,"")</f>
      </c>
      <c r="E20" s="25">
        <f>IF($AA$29=1,2,"")</f>
      </c>
      <c r="F20" s="25">
        <f>IF($AA$29=1,ROUND($Z$29,0),"")</f>
      </c>
      <c r="G20" s="25">
        <f>IF($AA$30=1,ROUND($Z$30,0),"")</f>
      </c>
      <c r="H20" s="25"/>
      <c r="I20" s="25"/>
      <c r="J20" s="25"/>
      <c r="K20" s="25"/>
      <c r="L20" s="25">
        <f>IF($AA$30=1,2,"")</f>
      </c>
      <c r="M20" s="25">
        <f>IF($AA$30=1,$Y$30,"")</f>
      </c>
      <c r="N20" s="25">
        <f>IF($AA$30=1,$X$30,"")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153</v>
      </c>
      <c r="B21" s="25">
        <v>27</v>
      </c>
      <c r="C21" s="25">
        <f>IF($AA$29=1,"---","")</f>
      </c>
      <c r="D21" s="25"/>
      <c r="E21" s="25"/>
      <c r="F21" s="25"/>
      <c r="G21" s="25"/>
      <c r="H21" s="25">
        <f>IF($AA$29=1,ROUND($Z$29,0),"")</f>
      </c>
      <c r="I21" s="25">
        <f>IF($AA$30=1,ROUND($Z$30,0),"")</f>
      </c>
      <c r="J21" s="25"/>
      <c r="K21" s="25"/>
      <c r="L21" s="25"/>
      <c r="M21" s="25"/>
      <c r="N21" s="25">
        <f>IF($AA$30=1,"---","")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154</v>
      </c>
      <c r="B22" s="25">
        <v>29</v>
      </c>
      <c r="C22" s="25">
        <f>IF($AA$31=1,$X$31,"")</f>
      </c>
      <c r="D22" s="25">
        <f>IF($AA$31=1,$Y$31,"")</f>
      </c>
      <c r="E22" s="25">
        <f>IF($AA$31=1,2,"")</f>
      </c>
      <c r="F22" s="25"/>
      <c r="G22" s="25"/>
      <c r="H22" s="25"/>
      <c r="I22" s="25"/>
      <c r="J22" s="25">
        <f>IF($AA$31=1,ROUND($Z$31,0),"")</f>
      </c>
      <c r="K22" s="25">
        <f>IF($AA$32=1,ROUND($Z$32,0),"")</f>
      </c>
      <c r="L22" s="25">
        <f>IF($AA$32=1,2,"")</f>
      </c>
      <c r="M22" s="25">
        <f>IF($AA$32=1,$Y$32,"")</f>
      </c>
      <c r="N22" s="25">
        <f>IF($AA$32=1,$X$32,"")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152</v>
      </c>
      <c r="B23" s="25">
        <v>31</v>
      </c>
      <c r="C23" s="25">
        <f>IF($AA$31=1,"---","")</f>
      </c>
      <c r="D23" s="25"/>
      <c r="E23" s="25"/>
      <c r="F23" s="25">
        <f>IF($AA$31=1,ROUND($Z$31,0),"")</f>
      </c>
      <c r="G23" s="25">
        <f>IF($AA$32=1,ROUND($Z$32,0),"")</f>
      </c>
      <c r="H23" s="25"/>
      <c r="I23" s="25"/>
      <c r="J23" s="25"/>
      <c r="K23" s="25"/>
      <c r="L23" s="25"/>
      <c r="M23" s="25"/>
      <c r="N23" s="25">
        <f>IF($AA$32=1,"---","")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153</v>
      </c>
      <c r="B24" s="25">
        <v>33</v>
      </c>
      <c r="C24" s="25">
        <f>IF($AA$33=1,$X$33,"")</f>
      </c>
      <c r="D24" s="25">
        <f>IF($AA$33=1,$Y$33,"")</f>
      </c>
      <c r="E24" s="25">
        <f>IF($AA$33=1,2,"")</f>
      </c>
      <c r="F24" s="25"/>
      <c r="G24" s="25"/>
      <c r="H24" s="25">
        <f>IF($AA$33=1,ROUND($Z$33,0),"")</f>
      </c>
      <c r="I24" s="25">
        <f>IF($AA$34=1,ROUND($Z$34,0),"")</f>
      </c>
      <c r="J24" s="25"/>
      <c r="K24" s="25"/>
      <c r="L24" s="25">
        <f>IF($AA$34=1,2,"")</f>
      </c>
      <c r="M24" s="25">
        <f>IF($AA$34=1,$Y$34,"")</f>
      </c>
      <c r="N24" s="25">
        <f>IF($AA$34=1,$X$34,"")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154</v>
      </c>
      <c r="B25" s="25">
        <v>35</v>
      </c>
      <c r="C25" s="25">
        <f>IF($AA$33=1,"---","")</f>
      </c>
      <c r="D25" s="25"/>
      <c r="E25" s="25"/>
      <c r="F25" s="25"/>
      <c r="G25" s="25"/>
      <c r="H25" s="25"/>
      <c r="I25" s="25"/>
      <c r="J25" s="25">
        <f>IF($AA$33=1,ROUND($Z$33,0),"")</f>
      </c>
      <c r="K25" s="25">
        <f>IF($AA$34=1,ROUND($Z$34,0),"")</f>
      </c>
      <c r="L25" s="25"/>
      <c r="M25" s="25"/>
      <c r="N25" s="25">
        <f>IF($AA$34=1,"---","")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152</v>
      </c>
      <c r="B26" s="25">
        <v>37</v>
      </c>
      <c r="C26" s="25">
        <f>IF($AA$35=1,$X$35,"")</f>
      </c>
      <c r="D26" s="25">
        <f>IF($AA$35=1,$Y$35,"")</f>
      </c>
      <c r="E26" s="25">
        <f>IF($AA$35=1,2,"")</f>
      </c>
      <c r="F26" s="25">
        <f>IF($AA$35=1,ROUND($Z$35,0),"")</f>
      </c>
      <c r="G26" s="25">
        <f>IF($AA$36=1,ROUND($Z$36,0),"")</f>
      </c>
      <c r="H26" s="25"/>
      <c r="I26" s="25"/>
      <c r="J26" s="25"/>
      <c r="K26" s="25"/>
      <c r="L26" s="25">
        <f>IF($AA$36=1,2,"")</f>
      </c>
      <c r="M26" s="25">
        <f>IF($AA$36=1,$Y$36,"")</f>
      </c>
      <c r="N26" s="25">
        <f>IF($AA$36=1,$X$36,"")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153</v>
      </c>
      <c r="B27" s="25">
        <v>39</v>
      </c>
      <c r="C27" s="25">
        <f>IF($AA$35=1,"---","")</f>
      </c>
      <c r="D27" s="25"/>
      <c r="E27" s="25"/>
      <c r="F27" s="25"/>
      <c r="G27" s="25"/>
      <c r="H27" s="25">
        <f>IF($AA$35=1,ROUND($Z$35,0),"")</f>
      </c>
      <c r="I27" s="25">
        <f>IF($AA$36=1,ROUND($Z$36,0),"")</f>
      </c>
      <c r="J27" s="25"/>
      <c r="K27" s="25"/>
      <c r="L27" s="25"/>
      <c r="M27" s="25"/>
      <c r="N27" s="25">
        <f>IF($AA$36=1,"---","")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154</v>
      </c>
      <c r="B28" s="25">
        <v>41</v>
      </c>
      <c r="C28" s="25">
        <f>IF($AA$37=1,$X$37,"")</f>
      </c>
      <c r="D28" s="25">
        <f>IF($AA$37=1,$Y$37,"")</f>
      </c>
      <c r="E28" s="25">
        <f>IF($AA$37=1,2,"")</f>
      </c>
      <c r="F28" s="25"/>
      <c r="G28" s="25"/>
      <c r="H28" s="25"/>
      <c r="I28" s="25"/>
      <c r="J28" s="25">
        <f>IF($AA$37=1,ROUND($Z$37,0),"")</f>
      </c>
      <c r="K28" s="25">
        <f>IF($AA$38=1,ROUND($Z$38,0),"")</f>
      </c>
      <c r="L28" s="25">
        <f>IF($AA$38=1,2,"")</f>
      </c>
      <c r="M28" s="25">
        <f>IF($AA$38=1,$Y$38,"")</f>
      </c>
      <c r="N28" s="25">
        <f>IF($AA$38=1,$X$38,"")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152</v>
      </c>
      <c r="B29" s="25">
        <v>43</v>
      </c>
      <c r="C29" s="25">
        <f>IF($AA$37=1,"---","")</f>
      </c>
      <c r="D29" s="25"/>
      <c r="E29" s="25"/>
      <c r="F29" s="25">
        <f>IF($AA$37=1,ROUND($Z$37,0),"")</f>
      </c>
      <c r="G29" s="25">
        <f>IF($AA$38=1,ROUND($Z$38,0),"")</f>
      </c>
      <c r="H29" s="25"/>
      <c r="I29" s="25"/>
      <c r="J29" s="25"/>
      <c r="K29" s="25"/>
      <c r="L29" s="25"/>
      <c r="M29" s="25"/>
      <c r="N29" s="25">
        <f>IF($AA$38=1,"---","")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153</v>
      </c>
      <c r="B30" s="25">
        <v>45</v>
      </c>
      <c r="C30" s="25">
        <f>IF($AA$39=1,$X$39,"")</f>
      </c>
      <c r="D30" s="25">
        <f>IF($AA$39=1,$Y$39,"")</f>
      </c>
      <c r="E30" s="25">
        <f>IF($AA$39=1,2,"")</f>
      </c>
      <c r="F30" s="25"/>
      <c r="G30" s="25"/>
      <c r="H30" s="25">
        <f>IF($AA$39=1,ROUND($Z$39,0),"")</f>
      </c>
      <c r="I30" s="25">
        <f>IF($AA$40=1,ROUND($Z$40,0),"")</f>
      </c>
      <c r="J30" s="25"/>
      <c r="K30" s="25"/>
      <c r="L30" s="25">
        <f>IF($AA$40=1,2,"")</f>
      </c>
      <c r="M30" s="25">
        <f>IF($AA$40=1,$Y$40,"")</f>
      </c>
      <c r="N30" s="25">
        <f>IF($AA$40=1,$X$40,"")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154</v>
      </c>
      <c r="B31" s="25">
        <v>47</v>
      </c>
      <c r="C31" s="25">
        <f>IF($AA$39=1,"---","")</f>
      </c>
      <c r="D31" s="25"/>
      <c r="E31" s="25"/>
      <c r="F31" s="25"/>
      <c r="G31" s="25"/>
      <c r="H31" s="25"/>
      <c r="I31" s="25"/>
      <c r="J31" s="25">
        <f>IF($AA$39=1,ROUND($Z$39,0),"")</f>
      </c>
      <c r="K31" s="25">
        <f>IF($AA$40=1,ROUND($Z$40,0),"")</f>
      </c>
      <c r="L31" s="25"/>
      <c r="M31" s="25"/>
      <c r="N31" s="25">
        <f>IF($AA$40=1,"---","")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162</v>
      </c>
      <c r="F36" s="28">
        <f>F35/120</f>
      </c>
      <c r="G36" s="28"/>
      <c r="H36" s="28">
        <f>H35/120</f>
      </c>
      <c r="I36" s="28"/>
      <c r="J36" s="28">
        <f>J35/120</f>
      </c>
      <c r="K36" s="28"/>
      <c r="L36" s="23" t="s">
        <v>163</v>
      </c>
      <c r="M36" s="23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18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>
        <f>LaborDays</f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>
        <f>WireTotal+SUM(Intake!E23:E34)+IF(NTotal&gt;0,DataBoxCost,0)</f>
      </c>
    </row>
    <row r="8" spans="1:2" x14ac:dyDescent="0.25">
      <c r="A8" t="s">
        <v>172</v>
      </c>
      <c r="B8" s="9">
        <f>GearTotal</f>
      </c>
    </row>
    <row r="9" spans="1:2" x14ac:dyDescent="0.25">
      <c r="A9" t="s">
        <v>173</v>
      </c>
      <c r="B9" s="9">
        <f>TrenchFt*TrenchRate*VLOOKUP(Terrain,TerrainTable,2,FALSE)+PeriphAsphalt</f>
      </c>
    </row>
    <row r="10" spans="1:2" x14ac:dyDescent="0.25">
      <c r="A10" t="s">
        <v>174</v>
      </c>
      <c r="B10" s="9">
        <f>IF(InstallMethod="Trenched",0,(ROUNDUP(RouteFt/10,0)+1)*EmtRackCost+ROUNDUP((SUMPRODUCT(Takeoff!$F$5:$F$28,Takeoff!$H$5:$H$28)+IF(InstallMethod="Surface EMT",SUMPRODUCT(Intake!$D$65:$D$67,Intake!$F$65:$F$67),0))/10,0)*EmtStrapCost)</f>
      </c>
    </row>
    <row r="11" spans="1:2" x14ac:dyDescent="0.25">
      <c r="A11" t="s">
        <v>175</v>
      </c>
      <c r="B11" s="9">
        <f>PeriphCivil</f>
      </c>
    </row>
    <row r="12" spans="1:2" x14ac:dyDescent="0.25">
      <c r="A12" t="s">
        <v>176</v>
      </c>
      <c r="B12" s="9">
        <f>PeriphSignage</f>
      </c>
    </row>
    <row r="13" spans="1:2" x14ac:dyDescent="0.25">
      <c r="A13" t="s">
        <v>177</v>
      </c>
      <c r="B13" s="9">
        <f>AdaCost</f>
      </c>
    </row>
    <row r="14" spans="1:2" x14ac:dyDescent="0.25">
      <c r="A14" t="s">
        <v>178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179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180</v>
      </c>
      <c r="B17" s="9">
        <f>IF(IncPermits="Yes",PermitBase+PermitPerChg*NTotal,0)</f>
      </c>
    </row>
    <row r="18" spans="1:2" x14ac:dyDescent="0.25">
      <c r="A18" t="s">
        <v>181</v>
      </c>
      <c r="B18" s="9">
        <f>IF(IncPermits="Yes",IF(NDcfc&gt;0,UtilAppDcfc+TransformerPad,UtilAppL2),0)</f>
      </c>
    </row>
    <row r="19" spans="1:2" x14ac:dyDescent="0.25">
      <c r="A19" s="3" t="s">
        <v>182</v>
      </c>
      <c r="B19" s="9">
        <f>SUM(B7:B18)</f>
      </c>
    </row>
    <row r="20" spans="1:2" x14ac:dyDescent="0.25">
      <c r="A20" t="s">
        <v>183</v>
      </c>
      <c r="B20" s="9">
        <f>B19*ContingencyPct</f>
      </c>
    </row>
    <row r="21" spans="1:2" x14ac:dyDescent="0.25">
      <c r="A21" s="3" t="s">
        <v>184</v>
      </c>
      <c r="B21" s="11">
        <f>B19+B20</f>
      </c>
    </row>
    <row r="23" spans="1:2" x14ac:dyDescent="0.25">
      <c r="A23" t="s">
        <v>185</v>
      </c>
      <c r="B23" s="9">
        <f>LaborBase*(1+ContingencyPct)</f>
      </c>
    </row>
    <row r="24" spans="1:2" x14ac:dyDescent="0.25">
      <c r="A24" t="s">
        <v>186</v>
      </c>
      <c r="B24" s="9">
        <f>ConstructionTotal*TaxPct</f>
      </c>
    </row>
    <row r="25" spans="1:2" x14ac:dyDescent="0.25">
      <c r="A25" s="31" t="s">
        <v>187</v>
      </c>
      <c r="B25" s="9">
        <f>ConstructionTotal+LaborCost</f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>
        <f>IF(IncHardware="Yes",SUM(Intake!F23:F34)*HardwareFactor,0)</f>
      </c>
    </row>
    <row r="29" spans="1:2" x14ac:dyDescent="0.25">
      <c r="A29" t="s">
        <v>190</v>
      </c>
      <c r="B29" s="9">
        <f>IF(IncHardware="Yes",CommDcfc*NDcfc+CommL2*NumL2,0)</f>
      </c>
    </row>
    <row r="30" spans="1:2" x14ac:dyDescent="0.25">
      <c r="A30" t="s">
        <v>191</v>
      </c>
      <c r="B30" s="9">
        <f>IF(IncHardware="Yes",NPorts*NetworkFeeMo*12*ContractYears,0)</f>
      </c>
    </row>
    <row r="31" spans="1:2" x14ac:dyDescent="0.25">
      <c r="A31" t="s">
        <v>192</v>
      </c>
      <c r="B31" s="9">
        <f>IF(IncHardware="Yes",ServicePlanYr*ContractYears,0)</f>
      </c>
    </row>
    <row r="32" spans="1:2" x14ac:dyDescent="0.25">
      <c r="A32" t="s">
        <v>193</v>
      </c>
      <c r="B32" s="9">
        <f>B28*TaxPct</f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195</v>
      </c>
      <c r="B36" s="9">
        <f>IF(IncSLD="Yes",IF(NDcfc&gt;0,6000+900*NDcfc+150*NumL2,2500+150*NumL2),0)</f>
      </c>
    </row>
    <row r="37" spans="1:3" x14ac:dyDescent="0.25">
      <c r="A37" t="s">
        <v>196</v>
      </c>
      <c r="B37" s="9">
        <f>C37*PmRate</f>
      </c>
      <c r="C37" s="32">
        <f>IF(IncCpm="Yes",MAX(24,ROUND(CpmPct*Valuation/PmRate,0)),0)</f>
      </c>
    </row>
    <row r="38" spans="1:2" x14ac:dyDescent="0.25">
      <c r="A38" t="s">
        <v>197</v>
      </c>
      <c r="B38" s="9">
        <f>IF(IncPermits="Yes",IF(NDcfc&gt;0,500+0.02*Valuation,300),0)</f>
      </c>
    </row>
    <row r="39" spans="1:2" x14ac:dyDescent="0.25">
      <c r="A39" s="3" t="s">
        <v>198</v>
      </c>
      <c r="B39" s="9">
        <f>SUM(B35:B38)</f>
      </c>
    </row>
    <row r="41" spans="1:2" x14ac:dyDescent="0.25">
      <c r="A41" s="13" t="s">
        <v>199</v>
      </c>
      <c r="B41" s="14">
        <f>ConstructionTotal+LaborCost+B24+B28+B29+B30+B31+B32+B39</f>
      </c>
    </row>
    <row r="42" spans="1:2" x14ac:dyDescent="0.25">
      <c r="A42" t="s">
        <v>200</v>
      </c>
      <c r="B42" s="9">
        <f>-RebateAmt</f>
      </c>
    </row>
    <row r="43" spans="1:2" x14ac:dyDescent="0.25">
      <c r="A43" s="19" t="s">
        <v>87</v>
      </c>
      <c r="B43" s="33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>
        <f>NTotal*BollardPerChg+IF(NDcfc&gt;0,BollardAtGear,0)+IF(AND(NDcfc&gt;0,NumL2&gt;0),BollardAtStepdown,0)</f>
      </c>
      <c r="C6" s="9">
        <f>BollardCost</f>
      </c>
      <c r="D6" s="9">
        <f>B6*C6</f>
      </c>
    </row>
    <row r="7" spans="1:4" x14ac:dyDescent="0.25">
      <c r="A7" t="s">
        <v>207</v>
      </c>
      <c r="B7">
        <f>NTotal</f>
      </c>
      <c r="C7" s="34">
        <v>40</v>
      </c>
      <c r="D7" s="9">
        <f>B7*C7</f>
      </c>
    </row>
    <row r="8" spans="1:4" x14ac:dyDescent="0.25">
      <c r="A8" t="s">
        <v>208</v>
      </c>
      <c r="B8">
        <f>NumL2+ROUNDUP(NDcfc/2,0)</f>
      </c>
      <c r="C8" s="34">
        <v>56.1</v>
      </c>
      <c r="D8" s="9">
        <f>B8*C8</f>
      </c>
    </row>
    <row r="9" spans="1:4" x14ac:dyDescent="0.25">
      <c r="A9" t="s">
        <v>209</v>
      </c>
      <c r="B9">
        <f>(NumL2*2+NDcfc)/10</f>
      </c>
      <c r="C9" s="34">
        <v>1500</v>
      </c>
      <c r="D9" s="9">
        <f>B9*C9</f>
      </c>
    </row>
    <row r="10" spans="1:4" x14ac:dyDescent="0.25">
      <c r="A10" s="3" t="s">
        <v>210</v>
      </c>
      <c r="D10" s="11">
        <f>SUM(D6:D9)</f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>
        <f>IF(InstallMethod="Surface EMT",0,CEILING(NDcfc*PadYdDcfc+IF(InstallMethod="Trenched",NumL2*PadYdL2,0)+IF(NDcfc&gt;0,PadYdGear,0)+IF(AND(NDcfc&gt;0,NumL2&gt;0),PadYdXfmr,0)+B6*PadYdBollard,1))</f>
      </c>
      <c r="C14" s="9">
        <f>ConcreteRate</f>
      </c>
      <c r="D14" s="9">
        <f>B14*C14</f>
      </c>
    </row>
    <row r="15" spans="1:4" x14ac:dyDescent="0.25">
      <c r="A15" t="s">
        <v>213</v>
      </c>
      <c r="B15">
        <f>IF(AND(B14&gt;0,B14&lt;8),1,0)</f>
      </c>
      <c r="C15" s="9">
        <f>ShortLoadFee</f>
      </c>
      <c r="D15" s="9">
        <f>B15*C15</f>
      </c>
    </row>
    <row r="16" spans="1:4" x14ac:dyDescent="0.25">
      <c r="A16" t="s">
        <v>214</v>
      </c>
      <c r="B16">
        <f>IF(InstallMethod="Surface EMT",0,NDcfc*3+IF(InstallMethod="Trenched",NumL2*2,0)+IF(AND(NDcfc&gt;0,NumL2&gt;0),3,IF(NTotal&gt;0,1,0))*2)</f>
      </c>
      <c r="C16" s="34">
        <v>25.65</v>
      </c>
      <c r="D16" s="9">
        <f>B16*C16</f>
      </c>
    </row>
    <row r="17" spans="1:4" x14ac:dyDescent="0.25">
      <c r="A17" t="s">
        <v>215</v>
      </c>
      <c r="B17">
        <f>NDcfc</f>
      </c>
      <c r="C17" s="9">
        <f>ConsumDcfc</f>
      </c>
      <c r="D17" s="9">
        <f>B17*C17</f>
      </c>
    </row>
    <row r="18" spans="1:4" x14ac:dyDescent="0.25">
      <c r="A18" t="s">
        <v>216</v>
      </c>
      <c r="B18">
        <f>NumL2</f>
      </c>
      <c r="C18" s="9">
        <f>ConsumL2</f>
      </c>
      <c r="D18" s="9">
        <f>B18*C18</f>
      </c>
    </row>
    <row r="19" spans="1:4" x14ac:dyDescent="0.25">
      <c r="A19" t="s">
        <v>217</v>
      </c>
      <c r="B19">
        <f>NTotal</f>
      </c>
      <c r="C19" s="34">
        <v>70.58</v>
      </c>
      <c r="D19" s="9">
        <f>B19*C19</f>
      </c>
    </row>
    <row r="20" spans="1:4" x14ac:dyDescent="0.25">
      <c r="A20" t="s">
        <v>218</v>
      </c>
      <c r="B20">
        <f>IF(TrenchFt&gt;0,MAX(1,ROUNDUP(TrenchFt/200,0)),0)</f>
      </c>
      <c r="C20" s="34">
        <v>160</v>
      </c>
      <c r="D20" s="9">
        <f>B20*C20</f>
      </c>
    </row>
    <row r="21" spans="1:4" x14ac:dyDescent="0.25">
      <c r="A21" t="s">
        <v>219</v>
      </c>
      <c r="B21">
        <f>IF(NDcfc&gt;0,IF(SgSuggested&gt;1000,1,0),0)</f>
      </c>
      <c r="C21" s="34">
        <v>2000</v>
      </c>
      <c r="D21" s="9">
        <f>B21*C21</f>
      </c>
    </row>
    <row r="22" spans="1:4" x14ac:dyDescent="0.25">
      <c r="A22" t="s">
        <v>220</v>
      </c>
      <c r="B22" s="8">
        <v>0</v>
      </c>
      <c r="C22" s="34">
        <v>55</v>
      </c>
      <c r="D22" s="9">
        <f>B22*C22</f>
      </c>
    </row>
    <row r="23" spans="1:4" x14ac:dyDescent="0.25">
      <c r="A23" t="s">
        <v>221</v>
      </c>
      <c r="B23" s="8">
        <v>0</v>
      </c>
      <c r="C23" s="34">
        <v>10</v>
      </c>
      <c r="D23" s="9">
        <f>B23*C23</f>
      </c>
    </row>
    <row r="24" spans="1:4" x14ac:dyDescent="0.25">
      <c r="A24" t="s">
        <v>222</v>
      </c>
      <c r="B24" s="8">
        <v>0</v>
      </c>
      <c r="C24" s="34">
        <v>19</v>
      </c>
      <c r="D24" s="9">
        <f>B24*C24</f>
      </c>
    </row>
    <row r="25" spans="1:4" x14ac:dyDescent="0.25">
      <c r="A25" s="3" t="s">
        <v>223</v>
      </c>
      <c r="D25" s="11">
        <f>SUM(D14:D24)</f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>
        <f>IF(InstallMethod="Surface EMT",0,(NumL2*2+NDcfc)*StallSqFt)</f>
      </c>
      <c r="C29" s="9">
        <f>AsphaltRate</f>
      </c>
      <c r="D29" s="9">
        <f>B29*C29</f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5" t="s">
        <v>228</v>
      </c>
      <c r="C2" s="36" t="s">
        <v>229</v>
      </c>
      <c r="D2" s="37" t="s">
        <v>230</v>
      </c>
      <c r="E2" s="38" t="s">
        <v>183</v>
      </c>
      <c r="F2" s="37" t="s">
        <v>231</v>
      </c>
      <c r="G2" s="39" t="s">
        <v>205</v>
      </c>
    </row>
    <row r="3" spans="2:11" x14ac:dyDescent="0.25">
      <c r="B3" s="40" t="s">
        <v>232</v>
      </c>
      <c r="C3" s="41">
        <v>1</v>
      </c>
      <c r="D3" s="42">
        <f>Estimate!B7+Estimate!B10+Estimate!B15</f>
      </c>
      <c r="E3" s="43">
        <f>ContingencyPct</f>
      </c>
      <c r="F3" s="42">
        <f>(D3*E3)+D3</f>
      </c>
      <c r="G3" s="44">
        <f>F3*C3</f>
      </c>
      <c r="J3" s="45" t="s">
        <v>233</v>
      </c>
      <c r="K3" s="46"/>
    </row>
    <row r="4" spans="2:11" x14ac:dyDescent="0.25">
      <c r="B4" s="40" t="s">
        <v>234</v>
      </c>
      <c r="C4" s="41">
        <v>1</v>
      </c>
      <c r="D4" s="42">
        <f>Panel!F22</f>
      </c>
      <c r="E4" s="43">
        <f>ContingencyPct</f>
      </c>
      <c r="F4" s="42">
        <f>(D4*E4)+D4</f>
      </c>
      <c r="G4" s="44">
        <f>F4*C4</f>
      </c>
      <c r="J4" s="47" t="s">
        <v>235</v>
      </c>
      <c r="K4" s="48">
        <f>IF(LaborDays&gt;0,LaborBase/LaborDays,0)</f>
      </c>
    </row>
    <row r="5" spans="2:11" x14ac:dyDescent="0.25">
      <c r="B5" s="40" t="s">
        <v>236</v>
      </c>
      <c r="C5" s="41">
        <v>1</v>
      </c>
      <c r="D5" s="42">
        <f>Panel!F42+Panel!F48+Panel!F66</f>
      </c>
      <c r="E5" s="43">
        <f>ContingencyPct</f>
      </c>
      <c r="F5" s="42">
        <f>(D5*E5)+D5</f>
      </c>
      <c r="G5" s="44">
        <f>F5*C5</f>
      </c>
      <c r="J5" s="47" t="s">
        <v>237</v>
      </c>
      <c r="K5" s="49">
        <f>LaborDays</f>
      </c>
    </row>
    <row r="6" spans="2:11" x14ac:dyDescent="0.25">
      <c r="B6" s="40" t="s">
        <v>238</v>
      </c>
      <c r="C6" s="41">
        <v>1</v>
      </c>
      <c r="D6" s="42">
        <f>Estimate!B12</f>
      </c>
      <c r="E6" s="43">
        <f>ContingencyPct</f>
      </c>
      <c r="F6" s="42">
        <f>(D6*E6)+D6</f>
      </c>
      <c r="G6" s="44">
        <f>F6*C6</f>
      </c>
      <c r="J6" s="47" t="s">
        <v>239</v>
      </c>
      <c r="K6" s="49">
        <f>K5/30</f>
      </c>
    </row>
    <row r="7" ht="15.75" customHeight="1" spans="2:11" x14ac:dyDescent="0.25">
      <c r="B7" s="40" t="s">
        <v>240</v>
      </c>
      <c r="C7" s="41">
        <v>1</v>
      </c>
      <c r="D7" s="42">
        <f>Estimate!B9</f>
      </c>
      <c r="E7" s="43">
        <f>ContingencyPct</f>
      </c>
      <c r="F7" s="42">
        <f>(D7*E7)+D7</f>
      </c>
      <c r="G7" s="44">
        <f>F7*C7</f>
      </c>
      <c r="J7" s="50" t="s">
        <v>241</v>
      </c>
      <c r="K7" s="51">
        <f>K5*K4</f>
      </c>
    </row>
    <row r="8" spans="2:7" x14ac:dyDescent="0.25">
      <c r="B8" s="40" t="s">
        <v>242</v>
      </c>
      <c r="C8" s="41">
        <v>1</v>
      </c>
      <c r="D8" s="42">
        <f>Estimate!B11</f>
      </c>
      <c r="E8" s="43">
        <f>ContingencyPct</f>
      </c>
      <c r="F8" s="42">
        <f>(D8*E8)+D8</f>
      </c>
      <c r="G8" s="44">
        <f>F8*C8</f>
      </c>
    </row>
    <row r="9" spans="2:7" x14ac:dyDescent="0.25">
      <c r="B9" s="40" t="s">
        <v>243</v>
      </c>
      <c r="C9" s="41">
        <v>1</v>
      </c>
      <c r="D9" s="42">
        <f>Estimate!B13</f>
      </c>
      <c r="E9" s="43">
        <f>ContingencyPct</f>
      </c>
      <c r="F9" s="42">
        <f>(D9*E9)+D9</f>
      </c>
      <c r="G9" s="44">
        <f>F9*C9</f>
      </c>
    </row>
    <row r="10" spans="2:7" x14ac:dyDescent="0.25">
      <c r="B10" s="40" t="s">
        <v>244</v>
      </c>
      <c r="C10" s="41">
        <v>1</v>
      </c>
      <c r="D10" s="42">
        <f>Estimate!B14</f>
      </c>
      <c r="E10" s="43">
        <f>ContingencyPct</f>
      </c>
      <c r="F10" s="42">
        <f>(D10*E10)+D10</f>
      </c>
      <c r="G10" s="44">
        <f>F10*C10</f>
      </c>
    </row>
    <row r="11" spans="2:7" x14ac:dyDescent="0.25">
      <c r="B11" s="40" t="s">
        <v>245</v>
      </c>
      <c r="C11" s="41">
        <v>1</v>
      </c>
      <c r="D11" s="42">
        <f>Estimate!B17</f>
      </c>
      <c r="E11" s="43">
        <f>ContingencyPct</f>
      </c>
      <c r="F11" s="42">
        <f>(D11*E11)+D11</f>
      </c>
      <c r="G11" s="44">
        <f>F11*C11</f>
      </c>
    </row>
    <row r="12" spans="2:7" x14ac:dyDescent="0.25">
      <c r="B12" s="40" t="s">
        <v>12</v>
      </c>
      <c r="C12" s="41">
        <v>1</v>
      </c>
      <c r="D12" s="42">
        <f>Estimate!B18</f>
      </c>
      <c r="E12" s="43">
        <f>ContingencyPct</f>
      </c>
      <c r="F12" s="42">
        <f>(D12*E12)+D12</f>
      </c>
      <c r="G12" s="44">
        <f>F12*C12</f>
      </c>
    </row>
    <row r="13" spans="2:7" x14ac:dyDescent="0.25">
      <c r="B13" s="40" t="s">
        <v>246</v>
      </c>
      <c r="C13" s="41">
        <v>1</v>
      </c>
      <c r="D13" s="42">
        <f>Estimate!B16</f>
      </c>
      <c r="E13" s="43">
        <f>ContingencyPct</f>
      </c>
      <c r="F13" s="42">
        <f>(D13*E13)+D13</f>
      </c>
      <c r="G13" s="44">
        <f>F13*C13</f>
      </c>
    </row>
    <row r="14" spans="2:7" x14ac:dyDescent="0.25">
      <c r="B14" s="40" t="s">
        <v>247</v>
      </c>
      <c r="C14" s="41">
        <v>1</v>
      </c>
      <c r="D14" s="42">
        <f>Estimate!B35+Estimate!B36+Estimate!B37</f>
      </c>
      <c r="E14" s="43">
        <v>0</v>
      </c>
      <c r="F14" s="42">
        <f>(D14*E14)+D14</f>
      </c>
      <c r="G14" s="44">
        <f>F14*C14</f>
      </c>
    </row>
    <row r="15" spans="2:7" x14ac:dyDescent="0.25">
      <c r="B15" s="52"/>
      <c r="C15" s="53"/>
      <c r="D15" s="54"/>
      <c r="E15" s="55"/>
      <c r="F15" s="54"/>
      <c r="G15" s="56">
        <f>SUM(G3:G13)</f>
      </c>
    </row>
    <row r="16" ht="15.75" customHeight="1" x14ac:dyDescent="0.25"/>
    <row r="17" ht="15.75" customHeight="1" spans="2:7" x14ac:dyDescent="0.25">
      <c r="B17" s="57" t="s">
        <v>248</v>
      </c>
      <c r="C17" s="57"/>
      <c r="D17" s="57"/>
      <c r="E17" s="57"/>
      <c r="F17" s="57"/>
      <c r="G17" s="57"/>
    </row>
    <row r="18" spans="2:7" x14ac:dyDescent="0.25">
      <c r="B18" s="40" t="s">
        <v>233</v>
      </c>
      <c r="C18" s="41">
        <f>K5</f>
      </c>
      <c r="D18" s="42">
        <f>K4</f>
      </c>
      <c r="E18" s="43">
        <f>ContingencyPct</f>
      </c>
      <c r="F18" s="42">
        <f>(D18*E18)+D18</f>
      </c>
      <c r="G18" s="44">
        <f>F18*C18</f>
      </c>
    </row>
    <row r="19" spans="2:7" x14ac:dyDescent="0.25">
      <c r="B19" s="52"/>
      <c r="C19" s="53"/>
      <c r="D19" s="54"/>
      <c r="E19" s="55"/>
      <c r="F19" s="54"/>
      <c r="G19" s="56">
        <f>SUM(G18)</f>
      </c>
    </row>
    <row r="20" ht="15.75" customHeight="1" spans="2:7" x14ac:dyDescent="0.25">
      <c r="B20" s="50"/>
      <c r="C20" s="58" t="s">
        <v>205</v>
      </c>
      <c r="D20" s="58"/>
      <c r="E20" s="58"/>
      <c r="F20" s="58"/>
      <c r="G20" s="59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257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258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261</v>
      </c>
      <c r="B9">
        <f>VLOOKUP(Terrain,TerrainTable,4,FALSE)</f>
      </c>
    </row>
    <row r="10" spans="1:2" x14ac:dyDescent="0.25">
      <c r="A10" s="3" t="s">
        <v>262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263</v>
      </c>
    </row>
    <row r="14" spans="1:4" x14ac:dyDescent="0.25">
      <c r="A14" s="60" t="s">
        <v>264</v>
      </c>
      <c r="B14" s="60" t="s">
        <v>253</v>
      </c>
      <c r="C14" s="60" t="s">
        <v>254</v>
      </c>
      <c r="D14" s="60" t="s">
        <v>255</v>
      </c>
    </row>
    <row r="15" spans="1:4" x14ac:dyDescent="0.25">
      <c r="A15" s="61" t="s">
        <v>265</v>
      </c>
      <c r="B15" s="61" t="s">
        <v>266</v>
      </c>
      <c r="C15" s="61" t="s">
        <v>267</v>
      </c>
      <c r="D15" s="61" t="s">
        <v>267</v>
      </c>
    </row>
    <row r="16" spans="1:4" x14ac:dyDescent="0.25">
      <c r="A16" s="61" t="s">
        <v>268</v>
      </c>
      <c r="B16" s="61" t="s">
        <v>266</v>
      </c>
      <c r="C16" s="61" t="s">
        <v>266</v>
      </c>
      <c r="D16" s="61" t="s">
        <v>267</v>
      </c>
    </row>
    <row r="17" spans="1:4" x14ac:dyDescent="0.25">
      <c r="A17" s="61" t="s">
        <v>269</v>
      </c>
      <c r="B17" s="61" t="s">
        <v>266</v>
      </c>
      <c r="C17" s="61" t="s">
        <v>266</v>
      </c>
      <c r="D17" s="61" t="s">
        <v>266</v>
      </c>
    </row>
    <row r="18" spans="1:4" x14ac:dyDescent="0.25">
      <c r="A18" s="61" t="s">
        <v>270</v>
      </c>
      <c r="B18" s="61" t="s">
        <v>266</v>
      </c>
      <c r="C18" s="61" t="s">
        <v>271</v>
      </c>
      <c r="D18" s="61" t="s">
        <v>271</v>
      </c>
    </row>
    <row r="19" spans="1:4" x14ac:dyDescent="0.25">
      <c r="A19" s="61" t="s">
        <v>272</v>
      </c>
      <c r="B19" s="61" t="s">
        <v>266</v>
      </c>
      <c r="C19" s="61" t="s">
        <v>273</v>
      </c>
      <c r="D19" s="61" t="s">
        <v>273</v>
      </c>
    </row>
    <row r="20" spans="1:4" x14ac:dyDescent="0.25">
      <c r="A20" s="61" t="s">
        <v>274</v>
      </c>
      <c r="B20" s="61" t="s">
        <v>275</v>
      </c>
      <c r="C20" s="61" t="s">
        <v>276</v>
      </c>
      <c r="D20" s="61" t="s">
        <v>277</v>
      </c>
    </row>
    <row r="22" spans="1:1" x14ac:dyDescent="0.25">
      <c r="A22" s="62" t="s">
        <v>278</v>
      </c>
    </row>
    <row r="23" spans="1:1" x14ac:dyDescent="0.25">
      <c r="A23" s="62" t="s">
        <v>279</v>
      </c>
    </row>
    <row r="24" spans="1:1" x14ac:dyDescent="0.25">
      <c r="A24" s="62" t="s">
        <v>280</v>
      </c>
    </row>
    <row r="25" spans="1:1" x14ac:dyDescent="0.25">
      <c r="A25" s="62" t="s">
        <v>281</v>
      </c>
    </row>
    <row r="26" spans="1:1" x14ac:dyDescent="0.25">
      <c r="A26" s="62" t="s">
        <v>282</v>
      </c>
    </row>
    <row r="27" spans="1:1" x14ac:dyDescent="0.25">
      <c r="A27" s="62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>
        <f>2</f>
      </c>
      <c r="C4">
        <f>4</f>
      </c>
      <c r="D4" t="s">
        <v>290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290</v>
      </c>
    </row>
    <row r="6" spans="1:4" x14ac:dyDescent="0.25">
      <c r="A6" t="s">
        <v>291</v>
      </c>
      <c r="B6">
        <f>IF(IncSLD="Yes",IF(NDcfc&gt;0,10+ROUNDUP(NDcfc/2,0),7),0)</f>
      </c>
      <c r="C6">
        <f>IF(IncSLD="Yes",IF(NDcfc&gt;0,17+ROUNDUP(NDcfc/2,0),14),0)</f>
      </c>
      <c r="D6" t="s">
        <v>290</v>
      </c>
    </row>
    <row r="7" spans="1:4" x14ac:dyDescent="0.25">
      <c r="A7" t="s">
        <v>292</v>
      </c>
      <c r="B7">
        <f>IF(IncPermits="Yes",IF(NDcfc&gt;0,20,5),0)</f>
      </c>
      <c r="C7">
        <f>IF(IncPermits="Yes",IF(NDcfc&gt;0,60,15),0)</f>
      </c>
      <c r="D7" t="s">
        <v>293</v>
      </c>
    </row>
    <row r="8" spans="1:4" x14ac:dyDescent="0.25">
      <c r="A8" t="s">
        <v>294</v>
      </c>
      <c r="B8">
        <f>IF(NDcfc&gt;0,85,20)</f>
      </c>
      <c r="C8">
        <f>IF(NDcfc&gt;0,250,60)</f>
      </c>
      <c r="D8" t="s">
        <v>295</v>
      </c>
    </row>
    <row r="9" spans="1:4" x14ac:dyDescent="0.25">
      <c r="A9" t="s">
        <v>296</v>
      </c>
      <c r="B9">
        <f>LaborDays</f>
      </c>
      <c r="C9">
        <f>LaborDays+7</f>
      </c>
      <c r="D9" t="s">
        <v>290</v>
      </c>
    </row>
    <row r="10" spans="1:4" x14ac:dyDescent="0.25">
      <c r="A10" t="s">
        <v>297</v>
      </c>
      <c r="B10">
        <f>5</f>
      </c>
      <c r="C10">
        <f>10</f>
      </c>
      <c r="D10" t="s">
        <v>290</v>
      </c>
    </row>
    <row r="12" spans="1:3" x14ac:dyDescent="0.25">
      <c r="A12" s="3" t="s">
        <v>298</v>
      </c>
      <c r="B12">
        <f>MAX(B4+B5+B6+B7+B9+B10,B8)</f>
      </c>
      <c r="C12">
        <f>MAX(C4+C5+C6+C7+C9+C10,C8)</f>
      </c>
    </row>
    <row r="13" spans="1:3" x14ac:dyDescent="0.25">
      <c r="A13" t="s">
        <v>299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4">
        <v>3000</v>
      </c>
      <c r="C4" s="34">
        <v>288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4">
        <v>553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4">
        <v>3500</v>
      </c>
      <c r="C5" s="34">
        <v>282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4">
        <v>540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4">
        <v>4000</v>
      </c>
      <c r="C6" s="34">
        <v>292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4">
        <v>563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4">
        <v>5000</v>
      </c>
      <c r="C7" s="34">
        <v>361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4">
        <v>688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4">
        <v>7500</v>
      </c>
      <c r="C8" s="34">
        <v>693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4">
        <v>1324</v>
      </c>
    </row>
    <row r="9" spans="1:16" x14ac:dyDescent="0.25">
      <c r="A9" t="s">
        <v>326</v>
      </c>
      <c r="B9" s="34">
        <v>5500</v>
      </c>
      <c r="C9" s="34">
        <v>443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4">
        <v>842</v>
      </c>
    </row>
    <row r="10" spans="1:18" x14ac:dyDescent="0.25">
      <c r="A10" t="s">
        <v>327</v>
      </c>
      <c r="B10" s="34">
        <v>6500</v>
      </c>
      <c r="C10" s="34">
        <v>460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4">
        <v>885</v>
      </c>
      <c r="Q10" t="s">
        <v>328</v>
      </c>
      <c r="R10" s="34">
        <v>40.81</v>
      </c>
    </row>
    <row r="11" spans="1:18" x14ac:dyDescent="0.25">
      <c r="A11" t="s">
        <v>329</v>
      </c>
      <c r="B11" s="34">
        <v>8500</v>
      </c>
      <c r="C11" s="34">
        <v>612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4">
        <v>1150</v>
      </c>
      <c r="Q11" t="s">
        <v>330</v>
      </c>
      <c r="R11" s="63">
        <v>0.1</v>
      </c>
    </row>
    <row r="12" spans="1:18" x14ac:dyDescent="0.25">
      <c r="A12" t="s">
        <v>331</v>
      </c>
      <c r="B12" s="34">
        <v>32000</v>
      </c>
      <c r="C12" s="34">
        <v>404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4">
        <v>831</v>
      </c>
      <c r="Q12" t="s">
        <v>334</v>
      </c>
      <c r="R12" s="63">
        <v>0.0725</v>
      </c>
    </row>
    <row r="13" spans="1:18" x14ac:dyDescent="0.25">
      <c r="A13" t="s">
        <v>335</v>
      </c>
      <c r="B13" s="34">
        <v>35000</v>
      </c>
      <c r="C13" s="34">
        <v>404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4">
        <v>831</v>
      </c>
      <c r="Q13" t="s">
        <v>336</v>
      </c>
      <c r="R13" s="34">
        <v>2250</v>
      </c>
    </row>
    <row r="14" spans="1:18" x14ac:dyDescent="0.25">
      <c r="A14" t="s">
        <v>337</v>
      </c>
      <c r="B14" s="34">
        <v>38000</v>
      </c>
      <c r="C14" s="34">
        <v>407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4">
        <v>842</v>
      </c>
      <c r="Q14" t="s">
        <v>338</v>
      </c>
      <c r="R14" s="34">
        <v>358</v>
      </c>
    </row>
    <row r="15" spans="1:18" x14ac:dyDescent="0.25">
      <c r="A15" t="s">
        <v>339</v>
      </c>
      <c r="B15" s="34">
        <v>42000</v>
      </c>
      <c r="C15" s="34">
        <v>407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4">
        <v>842</v>
      </c>
      <c r="Q15" t="s">
        <v>340</v>
      </c>
      <c r="R15" s="63">
        <v>0.05</v>
      </c>
    </row>
    <row r="16" spans="1:18" x14ac:dyDescent="0.25">
      <c r="A16" t="s">
        <v>341</v>
      </c>
      <c r="B16" s="34">
        <v>52000</v>
      </c>
      <c r="C16" s="34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4">
        <v>986</v>
      </c>
      <c r="Q16" t="s">
        <v>343</v>
      </c>
      <c r="R16" s="34">
        <v>1500</v>
      </c>
    </row>
    <row r="17" spans="1:18" x14ac:dyDescent="0.25">
      <c r="A17" t="s">
        <v>344</v>
      </c>
      <c r="B17" s="34">
        <v>57000</v>
      </c>
      <c r="C17" s="34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4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4">
        <v>60000</v>
      </c>
      <c r="C18" s="34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4">
        <v>1045</v>
      </c>
      <c r="Q18" t="s">
        <v>347</v>
      </c>
      <c r="R18" s="34">
        <v>1500</v>
      </c>
    </row>
    <row r="19" spans="1:18" x14ac:dyDescent="0.25">
      <c r="A19" t="s">
        <v>348</v>
      </c>
      <c r="B19" s="34">
        <v>66000</v>
      </c>
      <c r="C19" s="34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4">
        <v>1045</v>
      </c>
      <c r="Q19" t="s">
        <v>349</v>
      </c>
      <c r="R19" s="34">
        <v>6500</v>
      </c>
    </row>
    <row r="20" spans="1:18" x14ac:dyDescent="0.25">
      <c r="A20" t="s">
        <v>350</v>
      </c>
      <c r="B20" s="34">
        <v>72000</v>
      </c>
      <c r="C20" s="34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4">
        <v>1420</v>
      </c>
      <c r="Q20" t="s">
        <v>352</v>
      </c>
      <c r="R20" s="34">
        <v>4900</v>
      </c>
    </row>
    <row r="21" spans="1:18" x14ac:dyDescent="0.25">
      <c r="A21" t="s">
        <v>353</v>
      </c>
      <c r="B21" s="34">
        <v>79000</v>
      </c>
      <c r="C21" s="34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4">
        <v>1420</v>
      </c>
      <c r="Q21" t="s">
        <v>354</v>
      </c>
      <c r="R21" s="34">
        <v>3500</v>
      </c>
    </row>
    <row r="22" spans="1:18" x14ac:dyDescent="0.25">
      <c r="A22" t="s">
        <v>355</v>
      </c>
      <c r="B22" s="34">
        <v>80000</v>
      </c>
      <c r="C22" s="34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4">
        <v>1530</v>
      </c>
      <c r="Q22" t="s">
        <v>356</v>
      </c>
      <c r="R22" s="34">
        <v>5200</v>
      </c>
    </row>
    <row r="23" spans="1:18" x14ac:dyDescent="0.25">
      <c r="A23" t="s">
        <v>357</v>
      </c>
      <c r="B23" s="34">
        <v>88000</v>
      </c>
      <c r="C23" s="34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4">
        <v>1530</v>
      </c>
      <c r="Q23" t="s">
        <v>358</v>
      </c>
      <c r="R23" s="34">
        <v>165</v>
      </c>
    </row>
    <row r="24" spans="1:18" x14ac:dyDescent="0.25">
      <c r="A24" t="s">
        <v>25</v>
      </c>
      <c r="B24" s="34">
        <v>92000</v>
      </c>
      <c r="C24" s="34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4">
        <v>1774</v>
      </c>
      <c r="Q24" t="s">
        <v>213</v>
      </c>
      <c r="R24" s="34">
        <v>125</v>
      </c>
    </row>
    <row r="25" spans="1:18" x14ac:dyDescent="0.25">
      <c r="A25" t="s">
        <v>360</v>
      </c>
      <c r="B25" s="34">
        <v>100000</v>
      </c>
      <c r="C25" s="34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4">
        <v>1774</v>
      </c>
      <c r="Q25" t="s">
        <v>361</v>
      </c>
      <c r="R25" s="34">
        <v>5</v>
      </c>
    </row>
    <row r="26" spans="1:18" x14ac:dyDescent="0.25">
      <c r="A26" t="s">
        <v>362</v>
      </c>
      <c r="B26" s="34">
        <v>105000</v>
      </c>
      <c r="C26" s="34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4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4">
        <v>115000</v>
      </c>
      <c r="C27" s="34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4">
        <v>2124</v>
      </c>
      <c r="Q27" t="s">
        <v>365</v>
      </c>
      <c r="R27" s="34">
        <v>110</v>
      </c>
    </row>
    <row r="28" spans="1:18" x14ac:dyDescent="0.25">
      <c r="A28" t="s">
        <v>366</v>
      </c>
      <c r="B28" s="34">
        <v>120000</v>
      </c>
      <c r="C28" s="34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4">
        <v>2793</v>
      </c>
      <c r="Q28" t="s">
        <v>368</v>
      </c>
      <c r="R28" s="8">
        <v>2</v>
      </c>
    </row>
    <row r="29" spans="1:18" x14ac:dyDescent="0.25">
      <c r="A29" t="s">
        <v>369</v>
      </c>
      <c r="B29" s="34">
        <v>130000</v>
      </c>
      <c r="C29" s="34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4">
        <v>2793</v>
      </c>
      <c r="Q29" t="s">
        <v>370</v>
      </c>
      <c r="R29" s="8">
        <v>4</v>
      </c>
    </row>
    <row r="30" spans="1:18" x14ac:dyDescent="0.25">
      <c r="A30" t="s">
        <v>371</v>
      </c>
      <c r="B30" s="34">
        <v>135000</v>
      </c>
      <c r="C30" s="34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4">
        <v>2793</v>
      </c>
      <c r="Q30" t="s">
        <v>372</v>
      </c>
      <c r="R30" s="8">
        <v>3</v>
      </c>
    </row>
    <row r="31" spans="1:18" x14ac:dyDescent="0.25">
      <c r="A31" t="s">
        <v>373</v>
      </c>
      <c r="B31" s="34">
        <v>147000</v>
      </c>
      <c r="C31" s="34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4">
        <v>2793</v>
      </c>
      <c r="Q31" t="s">
        <v>374</v>
      </c>
      <c r="R31" s="34">
        <v>550</v>
      </c>
    </row>
    <row r="32" spans="1:18" x14ac:dyDescent="0.25">
      <c r="A32" t="s">
        <v>375</v>
      </c>
      <c r="B32" s="34">
        <v>155000</v>
      </c>
      <c r="C32" s="34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4">
        <v>3233</v>
      </c>
      <c r="Q32" t="s">
        <v>376</v>
      </c>
      <c r="R32" s="34">
        <v>275</v>
      </c>
    </row>
    <row r="33" spans="1:18" x14ac:dyDescent="0.25">
      <c r="A33" t="s">
        <v>377</v>
      </c>
      <c r="B33" s="34">
        <v>168000</v>
      </c>
      <c r="C33" s="34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4">
        <v>3233</v>
      </c>
      <c r="Q33" t="s">
        <v>378</v>
      </c>
      <c r="R33" s="8">
        <v>0.75</v>
      </c>
    </row>
    <row r="34" spans="1:18" x14ac:dyDescent="0.25">
      <c r="A34" s="2" t="s">
        <v>379</v>
      </c>
      <c r="Q34" t="s">
        <v>380</v>
      </c>
      <c r="R34" s="8">
        <v>0.35</v>
      </c>
    </row>
    <row r="35" spans="17:18" x14ac:dyDescent="0.25">
      <c r="Q35" t="s">
        <v>381</v>
      </c>
      <c r="R35" s="8">
        <v>1.75</v>
      </c>
    </row>
    <row r="36" spans="1:18" x14ac:dyDescent="0.25">
      <c r="A36" s="3" t="s">
        <v>382</v>
      </c>
      <c r="Q36" t="s">
        <v>383</v>
      </c>
      <c r="R36" s="8">
        <v>0.5</v>
      </c>
    </row>
    <row r="37" spans="1:18" x14ac:dyDescent="0.25">
      <c r="A37" s="7" t="s">
        <v>384</v>
      </c>
      <c r="B37" s="7" t="s">
        <v>385</v>
      </c>
      <c r="Q37" t="s">
        <v>386</v>
      </c>
      <c r="R37" s="8">
        <v>0.08</v>
      </c>
    </row>
    <row r="38" spans="1:18" x14ac:dyDescent="0.25">
      <c r="A38">
        <v>400</v>
      </c>
      <c r="B38" s="34">
        <v>20426.82</v>
      </c>
      <c r="Q38" t="s">
        <v>387</v>
      </c>
      <c r="R38" s="34">
        <v>5000</v>
      </c>
    </row>
    <row r="39" spans="1:18" x14ac:dyDescent="0.25">
      <c r="A39">
        <v>800</v>
      </c>
      <c r="B39" s="34">
        <v>31187</v>
      </c>
      <c r="Q39" t="s">
        <v>388</v>
      </c>
      <c r="R39" s="34">
        <v>1500</v>
      </c>
    </row>
    <row r="40" spans="1:18" x14ac:dyDescent="0.25">
      <c r="A40">
        <v>1000</v>
      </c>
      <c r="B40" s="34">
        <v>36812.5</v>
      </c>
      <c r="Q40" t="s">
        <v>389</v>
      </c>
      <c r="R40" s="34">
        <v>250</v>
      </c>
    </row>
    <row r="41" spans="1:18" x14ac:dyDescent="0.25">
      <c r="A41">
        <v>1200</v>
      </c>
      <c r="B41" s="34">
        <v>43292.68</v>
      </c>
      <c r="Q41" t="s">
        <v>390</v>
      </c>
      <c r="R41" s="34">
        <v>3519</v>
      </c>
    </row>
    <row r="42" spans="1:18" x14ac:dyDescent="0.25">
      <c r="A42">
        <v>1600</v>
      </c>
      <c r="B42" s="34">
        <v>56750</v>
      </c>
      <c r="Q42" t="s">
        <v>391</v>
      </c>
      <c r="R42" s="34">
        <v>261</v>
      </c>
    </row>
    <row r="43" spans="1:18" x14ac:dyDescent="0.25">
      <c r="A43">
        <v>2000</v>
      </c>
      <c r="B43" s="34">
        <v>55000</v>
      </c>
      <c r="Q43" t="s">
        <v>392</v>
      </c>
      <c r="R43" s="34">
        <v>4043</v>
      </c>
    </row>
    <row r="44" spans="1:18" x14ac:dyDescent="0.25">
      <c r="A44">
        <v>2500</v>
      </c>
      <c r="B44" s="34">
        <v>60000</v>
      </c>
      <c r="Q44" t="s">
        <v>393</v>
      </c>
      <c r="R44" s="34">
        <v>35</v>
      </c>
    </row>
    <row r="45" spans="1:18" x14ac:dyDescent="0.25">
      <c r="A45">
        <v>3000</v>
      </c>
      <c r="B45" s="34">
        <v>65000</v>
      </c>
      <c r="Q45" t="s">
        <v>394</v>
      </c>
      <c r="R45" s="34">
        <v>28</v>
      </c>
    </row>
    <row r="46" spans="1:18" x14ac:dyDescent="0.25">
      <c r="A46">
        <v>4000</v>
      </c>
      <c r="B46" s="34">
        <v>67500</v>
      </c>
      <c r="Q46" t="s">
        <v>395</v>
      </c>
      <c r="R46" s="34">
        <v>3.25</v>
      </c>
    </row>
    <row r="47" spans="1:18" x14ac:dyDescent="0.25">
      <c r="A47">
        <v>5000</v>
      </c>
      <c r="B47" s="34">
        <v>70000</v>
      </c>
      <c r="Q47" t="s">
        <v>396</v>
      </c>
      <c r="R47" s="8">
        <v>100</v>
      </c>
    </row>
    <row r="48" spans="17:18" x14ac:dyDescent="0.25">
      <c r="Q48" t="s">
        <v>397</v>
      </c>
      <c r="R48" s="34">
        <v>200</v>
      </c>
    </row>
    <row r="49" spans="1:18" x14ac:dyDescent="0.25">
      <c r="A49" s="3" t="s">
        <v>398</v>
      </c>
      <c r="Q49" t="s">
        <v>399</v>
      </c>
      <c r="R49" s="34">
        <v>60</v>
      </c>
    </row>
    <row r="50" spans="1:18" x14ac:dyDescent="0.25">
      <c r="A50" s="7" t="s">
        <v>384</v>
      </c>
      <c r="B50" s="7" t="s">
        <v>385</v>
      </c>
      <c r="Q50" t="s">
        <v>400</v>
      </c>
      <c r="R50" s="34">
        <v>2500</v>
      </c>
    </row>
    <row r="51" spans="1:18" x14ac:dyDescent="0.25">
      <c r="A51">
        <v>150</v>
      </c>
      <c r="B51" s="34">
        <v>1000</v>
      </c>
      <c r="Q51" t="s">
        <v>401</v>
      </c>
      <c r="R51" s="34">
        <v>800</v>
      </c>
    </row>
    <row r="52" spans="1:2" x14ac:dyDescent="0.25">
      <c r="A52">
        <v>250</v>
      </c>
      <c r="B52" s="34">
        <v>1120</v>
      </c>
    </row>
    <row r="53" spans="1:2" x14ac:dyDescent="0.25">
      <c r="A53">
        <v>400</v>
      </c>
      <c r="B53" s="34">
        <v>1660</v>
      </c>
    </row>
    <row r="54" spans="1:2" x14ac:dyDescent="0.25">
      <c r="A54">
        <v>600</v>
      </c>
      <c r="B54" s="34">
        <v>5387</v>
      </c>
    </row>
    <row r="55" spans="1:2" x14ac:dyDescent="0.25">
      <c r="A55">
        <v>800</v>
      </c>
      <c r="B55" s="34">
        <v>4650</v>
      </c>
    </row>
    <row r="56" spans="1:2" x14ac:dyDescent="0.25">
      <c r="A56">
        <v>1000</v>
      </c>
      <c r="B56" s="34">
        <v>30000</v>
      </c>
    </row>
    <row r="58" spans="1:1" x14ac:dyDescent="0.25">
      <c r="A58" s="3" t="s">
        <v>402</v>
      </c>
    </row>
    <row r="59" spans="1:2" x14ac:dyDescent="0.25">
      <c r="A59" s="7" t="s">
        <v>384</v>
      </c>
      <c r="B59" s="7" t="s">
        <v>385</v>
      </c>
    </row>
    <row r="60" spans="1:2" x14ac:dyDescent="0.25">
      <c r="A60">
        <v>75</v>
      </c>
      <c r="B60" s="34">
        <v>2970</v>
      </c>
    </row>
    <row r="61" spans="1:2" x14ac:dyDescent="0.25">
      <c r="A61">
        <v>112.5</v>
      </c>
      <c r="B61" s="34">
        <v>3250</v>
      </c>
    </row>
    <row r="62" spans="1:2" x14ac:dyDescent="0.25">
      <c r="A62">
        <v>150</v>
      </c>
      <c r="B62" s="34">
        <v>5298</v>
      </c>
    </row>
    <row r="63" spans="1:2" x14ac:dyDescent="0.25">
      <c r="A63">
        <v>175</v>
      </c>
      <c r="B63" s="34">
        <v>6000</v>
      </c>
    </row>
    <row r="64" spans="1:2" x14ac:dyDescent="0.25">
      <c r="A64">
        <v>225</v>
      </c>
      <c r="B64" s="34">
        <v>7144</v>
      </c>
    </row>
    <row r="65" spans="1:2" x14ac:dyDescent="0.25">
      <c r="A65">
        <v>300</v>
      </c>
      <c r="B65" s="34">
        <v>10493</v>
      </c>
    </row>
    <row r="66" spans="1:2" x14ac:dyDescent="0.25">
      <c r="A66">
        <v>500</v>
      </c>
      <c r="B66" s="34">
        <v>14500</v>
      </c>
    </row>
    <row r="68" spans="1:1" x14ac:dyDescent="0.25">
      <c r="A68" s="3" t="s">
        <v>403</v>
      </c>
    </row>
    <row r="69" spans="1:2" x14ac:dyDescent="0.25">
      <c r="A69" s="7" t="s">
        <v>384</v>
      </c>
      <c r="B69" s="7" t="s">
        <v>385</v>
      </c>
    </row>
    <row r="70" spans="1:2" x14ac:dyDescent="0.25">
      <c r="A70">
        <v>100</v>
      </c>
      <c r="B70" s="34">
        <v>350</v>
      </c>
    </row>
    <row r="71" spans="1:2" x14ac:dyDescent="0.25">
      <c r="A71">
        <v>125</v>
      </c>
      <c r="B71" s="34">
        <v>420</v>
      </c>
    </row>
    <row r="72" spans="1:2" x14ac:dyDescent="0.25">
      <c r="A72">
        <v>150</v>
      </c>
      <c r="B72" s="34">
        <v>480</v>
      </c>
    </row>
    <row r="73" spans="1:2" x14ac:dyDescent="0.25">
      <c r="A73">
        <v>175</v>
      </c>
      <c r="B73" s="34">
        <v>550</v>
      </c>
    </row>
    <row r="74" spans="1:2" x14ac:dyDescent="0.25">
      <c r="A74">
        <v>200</v>
      </c>
      <c r="B74" s="34">
        <v>650</v>
      </c>
    </row>
    <row r="75" spans="1:2" x14ac:dyDescent="0.25">
      <c r="A75">
        <v>225</v>
      </c>
      <c r="B75" s="34">
        <v>700</v>
      </c>
    </row>
    <row r="76" spans="1:2" x14ac:dyDescent="0.25">
      <c r="A76">
        <v>250</v>
      </c>
      <c r="B76" s="34">
        <v>750</v>
      </c>
    </row>
    <row r="77" spans="1:2" x14ac:dyDescent="0.25">
      <c r="A77">
        <v>300</v>
      </c>
      <c r="B77" s="34">
        <v>800</v>
      </c>
    </row>
    <row r="78" spans="1:2" x14ac:dyDescent="0.25">
      <c r="A78">
        <v>350</v>
      </c>
      <c r="B78" s="34">
        <v>1000</v>
      </c>
    </row>
    <row r="79" spans="1:2" x14ac:dyDescent="0.25">
      <c r="A79">
        <v>400</v>
      </c>
      <c r="B79" s="34">
        <v>1200</v>
      </c>
    </row>
    <row r="80" spans="1:2" x14ac:dyDescent="0.25">
      <c r="A80">
        <v>500</v>
      </c>
      <c r="B80" s="34">
        <v>1800</v>
      </c>
    </row>
    <row r="81" spans="1:2" x14ac:dyDescent="0.25">
      <c r="A81">
        <v>600</v>
      </c>
      <c r="B81" s="34">
        <v>2200</v>
      </c>
    </row>
    <row r="83" spans="1:1" x14ac:dyDescent="0.25">
      <c r="A83" s="3" t="s">
        <v>404</v>
      </c>
    </row>
    <row r="84" spans="1:2" x14ac:dyDescent="0.25">
      <c r="A84" s="7" t="s">
        <v>384</v>
      </c>
      <c r="B84" s="7" t="s">
        <v>385</v>
      </c>
    </row>
    <row r="85" spans="1:2" x14ac:dyDescent="0.25">
      <c r="A85">
        <v>40</v>
      </c>
      <c r="B85" s="34">
        <v>60</v>
      </c>
    </row>
    <row r="86" spans="1:2" x14ac:dyDescent="0.25">
      <c r="A86">
        <v>50</v>
      </c>
      <c r="B86" s="34">
        <v>75</v>
      </c>
    </row>
    <row r="87" spans="1:2" x14ac:dyDescent="0.25">
      <c r="A87">
        <v>60</v>
      </c>
      <c r="B87" s="34">
        <v>90</v>
      </c>
    </row>
    <row r="89" spans="1:1" x14ac:dyDescent="0.25">
      <c r="A89" s="3" t="s">
        <v>405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406</v>
      </c>
    </row>
    <row r="128" spans="1:5" x14ac:dyDescent="0.25">
      <c r="A128" s="7" t="s">
        <v>384</v>
      </c>
      <c r="B128" s="7" t="s">
        <v>407</v>
      </c>
      <c r="C128" s="7" t="s">
        <v>408</v>
      </c>
      <c r="D128" s="7" t="s">
        <v>409</v>
      </c>
      <c r="E128" s="7" t="s">
        <v>410</v>
      </c>
    </row>
    <row r="129" spans="1:5" x14ac:dyDescent="0.25">
      <c r="A129" t="s">
        <v>411</v>
      </c>
      <c r="B129" s="34">
        <v>0</v>
      </c>
      <c r="C129" s="34">
        <v>0</v>
      </c>
      <c r="D129">
        <v>20</v>
      </c>
      <c r="E129">
        <v>15</v>
      </c>
    </row>
    <row r="130" spans="1:5" x14ac:dyDescent="0.25">
      <c r="A130" t="s">
        <v>412</v>
      </c>
      <c r="B130" s="34">
        <v>0</v>
      </c>
      <c r="C130" s="34">
        <v>0</v>
      </c>
      <c r="D130">
        <v>25</v>
      </c>
      <c r="E130">
        <v>20</v>
      </c>
    </row>
    <row r="131" spans="1:5" x14ac:dyDescent="0.25">
      <c r="A131" t="s">
        <v>413</v>
      </c>
      <c r="B131" s="34">
        <v>0.30329</v>
      </c>
      <c r="C131" s="34">
        <v>0.28</v>
      </c>
      <c r="D131">
        <v>35</v>
      </c>
      <c r="E131">
        <v>30</v>
      </c>
    </row>
    <row r="132" spans="1:5" x14ac:dyDescent="0.25">
      <c r="A132" t="s">
        <v>414</v>
      </c>
      <c r="B132" s="34">
        <v>0.56613</v>
      </c>
      <c r="C132" s="34">
        <v>0</v>
      </c>
      <c r="D132">
        <v>50</v>
      </c>
      <c r="E132">
        <v>40</v>
      </c>
    </row>
    <row r="133" spans="1:5" x14ac:dyDescent="0.25">
      <c r="A133" t="s">
        <v>316</v>
      </c>
      <c r="B133" s="34">
        <v>0.87104</v>
      </c>
      <c r="C133" s="34">
        <v>0.30636</v>
      </c>
      <c r="D133">
        <v>65</v>
      </c>
      <c r="E133">
        <v>50</v>
      </c>
    </row>
    <row r="134" spans="1:5" x14ac:dyDescent="0.25">
      <c r="A134" t="s">
        <v>415</v>
      </c>
      <c r="B134" s="34">
        <v>1.33293</v>
      </c>
      <c r="C134" s="34">
        <v>0.37998</v>
      </c>
      <c r="D134">
        <v>85</v>
      </c>
      <c r="E134">
        <v>65</v>
      </c>
    </row>
    <row r="135" spans="1:5" x14ac:dyDescent="0.25">
      <c r="A135" t="s">
        <v>322</v>
      </c>
      <c r="B135" s="34">
        <v>1.68126</v>
      </c>
      <c r="C135" s="34">
        <v>0.36681</v>
      </c>
      <c r="D135">
        <v>100</v>
      </c>
      <c r="E135">
        <v>75</v>
      </c>
    </row>
    <row r="136" spans="1:5" x14ac:dyDescent="0.25">
      <c r="A136" t="s">
        <v>416</v>
      </c>
      <c r="B136" s="34">
        <v>2.1044</v>
      </c>
      <c r="C136" s="34">
        <v>0.4821</v>
      </c>
      <c r="D136">
        <v>115</v>
      </c>
      <c r="E136">
        <v>90</v>
      </c>
    </row>
    <row r="137" spans="1:5" x14ac:dyDescent="0.25">
      <c r="A137" t="s">
        <v>325</v>
      </c>
      <c r="B137" s="34">
        <v>2.39833</v>
      </c>
      <c r="C137" s="34">
        <v>0.66733</v>
      </c>
      <c r="D137">
        <v>130</v>
      </c>
      <c r="E137">
        <v>100</v>
      </c>
    </row>
    <row r="138" spans="1:5" x14ac:dyDescent="0.25">
      <c r="A138" t="s">
        <v>333</v>
      </c>
      <c r="B138" s="34">
        <v>2.95304</v>
      </c>
      <c r="C138" s="34">
        <v>0.75045</v>
      </c>
      <c r="D138">
        <v>150</v>
      </c>
      <c r="E138">
        <v>120</v>
      </c>
    </row>
    <row r="139" spans="1:5" x14ac:dyDescent="0.25">
      <c r="A139" t="s">
        <v>417</v>
      </c>
      <c r="B139" s="34">
        <v>3.63758</v>
      </c>
      <c r="C139" s="34">
        <v>0.88701</v>
      </c>
      <c r="D139">
        <v>175</v>
      </c>
      <c r="E139">
        <v>135</v>
      </c>
    </row>
    <row r="140" spans="1:5" x14ac:dyDescent="0.25">
      <c r="A140" t="s">
        <v>342</v>
      </c>
      <c r="B140" s="34">
        <v>4.5658</v>
      </c>
      <c r="C140" s="34">
        <v>1.09956</v>
      </c>
      <c r="D140">
        <v>200</v>
      </c>
      <c r="E140">
        <v>155</v>
      </c>
    </row>
    <row r="141" spans="1:5" x14ac:dyDescent="0.25">
      <c r="A141" t="s">
        <v>58</v>
      </c>
      <c r="B141" s="34">
        <v>5.73045</v>
      </c>
      <c r="C141" s="34">
        <v>1.2278</v>
      </c>
      <c r="D141">
        <v>230</v>
      </c>
      <c r="E141">
        <v>180</v>
      </c>
    </row>
    <row r="142" spans="1:5" x14ac:dyDescent="0.25">
      <c r="A142" t="s">
        <v>367</v>
      </c>
      <c r="B142" s="34">
        <v>6.64016</v>
      </c>
      <c r="C142" s="34">
        <v>1.49616</v>
      </c>
      <c r="D142">
        <v>255</v>
      </c>
      <c r="E142">
        <v>205</v>
      </c>
    </row>
    <row r="143" spans="1:5" x14ac:dyDescent="0.25">
      <c r="A143" t="s">
        <v>351</v>
      </c>
      <c r="B143" s="34">
        <v>7.9632</v>
      </c>
      <c r="C143" s="34">
        <v>2.06137</v>
      </c>
      <c r="D143">
        <v>285</v>
      </c>
      <c r="E143">
        <v>230</v>
      </c>
    </row>
    <row r="144" spans="1:5" x14ac:dyDescent="0.25">
      <c r="A144" t="s">
        <v>60</v>
      </c>
      <c r="B144" s="34">
        <v>9.32416</v>
      </c>
      <c r="C144" s="34">
        <v>2.10412</v>
      </c>
      <c r="D144">
        <v>310</v>
      </c>
      <c r="E144">
        <v>250</v>
      </c>
    </row>
    <row r="145" spans="1:5" x14ac:dyDescent="0.25">
      <c r="A145" t="s">
        <v>359</v>
      </c>
      <c r="B145" s="34">
        <v>10.60671</v>
      </c>
      <c r="C145" s="34">
        <v>2.45797</v>
      </c>
      <c r="D145">
        <v>335</v>
      </c>
      <c r="E145">
        <v>270</v>
      </c>
    </row>
    <row r="146" spans="1:5" x14ac:dyDescent="0.25">
      <c r="A146" t="s">
        <v>418</v>
      </c>
      <c r="B146" s="34">
        <v>11.334</v>
      </c>
      <c r="C146" s="34">
        <v>2.589</v>
      </c>
      <c r="D146">
        <v>355</v>
      </c>
      <c r="E146">
        <v>290</v>
      </c>
    </row>
    <row r="147" spans="1:5" x14ac:dyDescent="0.25">
      <c r="A147" t="s">
        <v>419</v>
      </c>
      <c r="B147" s="34">
        <v>13.30059</v>
      </c>
      <c r="C147" s="34">
        <v>2.7204</v>
      </c>
      <c r="D147">
        <v>380</v>
      </c>
      <c r="E147">
        <v>310</v>
      </c>
    </row>
    <row r="148" spans="1:5" x14ac:dyDescent="0.25">
      <c r="A148" t="s">
        <v>55</v>
      </c>
      <c r="B148" s="34">
        <v>16.57382</v>
      </c>
      <c r="C148" s="34">
        <v>3.44354</v>
      </c>
      <c r="D148">
        <v>420</v>
      </c>
      <c r="E148">
        <v>340</v>
      </c>
    </row>
    <row r="149" spans="1:5" x14ac:dyDescent="0.25">
      <c r="A149" t="s">
        <v>420</v>
      </c>
      <c r="B149" s="34">
        <v>0</v>
      </c>
      <c r="C149" s="34">
        <v>4.809</v>
      </c>
      <c r="D149">
        <v>460</v>
      </c>
      <c r="E149">
        <v>375</v>
      </c>
    </row>
    <row r="150" spans="1:5" x14ac:dyDescent="0.25">
      <c r="A150" t="s">
        <v>421</v>
      </c>
      <c r="B150" s="34">
        <v>25.921</v>
      </c>
      <c r="C150" s="34">
        <v>4.859</v>
      </c>
      <c r="D150">
        <v>475</v>
      </c>
      <c r="E150">
        <v>385</v>
      </c>
    </row>
    <row r="151" spans="1:5" x14ac:dyDescent="0.25">
      <c r="A151" t="s">
        <v>422</v>
      </c>
      <c r="B151" s="34">
        <v>0</v>
      </c>
      <c r="C151" s="34">
        <v>0</v>
      </c>
      <c r="D151">
        <v>490</v>
      </c>
      <c r="E151">
        <v>395</v>
      </c>
    </row>
    <row r="152" spans="1:5" x14ac:dyDescent="0.25">
      <c r="A152" t="s">
        <v>423</v>
      </c>
      <c r="B152" s="34">
        <v>0</v>
      </c>
      <c r="C152" s="34">
        <v>7.566</v>
      </c>
      <c r="D152">
        <v>520</v>
      </c>
      <c r="E152">
        <v>425</v>
      </c>
    </row>
    <row r="153" spans="1:5" x14ac:dyDescent="0.25">
      <c r="A153" t="s">
        <v>424</v>
      </c>
      <c r="B153" s="34">
        <v>34.398</v>
      </c>
      <c r="C153" s="34">
        <v>6.668</v>
      </c>
      <c r="D153">
        <v>545</v>
      </c>
      <c r="E153">
        <v>445</v>
      </c>
    </row>
    <row r="154" spans="1:1" x14ac:dyDescent="0.25">
      <c r="A154" s="2" t="s">
        <v>425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426</v>
      </c>
    </row>
    <row r="2" spans="1:1" x14ac:dyDescent="0.25">
      <c r="A2" s="64" t="s">
        <v>427</v>
      </c>
    </row>
    <row r="3" spans="1:1" x14ac:dyDescent="0.25">
      <c r="A3" s="64" t="s">
        <v>428</v>
      </c>
    </row>
    <row r="4" spans="1:1" x14ac:dyDescent="0.25">
      <c r="A4" s="64" t="s">
        <v>429</v>
      </c>
    </row>
    <row r="5" spans="1:1" x14ac:dyDescent="0.25">
      <c r="A5" s="64" t="s">
        <v>430</v>
      </c>
    </row>
    <row r="6" spans="1:1" x14ac:dyDescent="0.25">
      <c r="A6" s="64" t="s">
        <v>431</v>
      </c>
    </row>
    <row r="7" spans="1:1" x14ac:dyDescent="0.25">
      <c r="A7" s="64" t="s">
        <v>432</v>
      </c>
    </row>
    <row r="8" spans="1:1" x14ac:dyDescent="0.25">
      <c r="A8" s="64" t="s">
        <v>433</v>
      </c>
    </row>
    <row r="9" spans="1:1" x14ac:dyDescent="0.25">
      <c r="A9" s="64" t="s">
        <v>434</v>
      </c>
    </row>
    <row r="10" spans="1:1" x14ac:dyDescent="0.25">
      <c r="A10" s="64" t="s">
        <v>435</v>
      </c>
    </row>
    <row r="11" spans="1:1" x14ac:dyDescent="0.25">
      <c r="A11" s="64" t="s">
        <v>436</v>
      </c>
    </row>
    <row r="12" spans="1:1" x14ac:dyDescent="0.25">
      <c r="A12" s="64" t="s">
        <v>437</v>
      </c>
    </row>
    <row r="13" spans="1:1" x14ac:dyDescent="0.25">
      <c r="A13" s="64" t="s">
        <v>438</v>
      </c>
    </row>
    <row r="14" spans="1:1" x14ac:dyDescent="0.25">
      <c r="A14" s="64" t="s">
        <v>439</v>
      </c>
    </row>
    <row r="15" spans="1:1" x14ac:dyDescent="0.25">
      <c r="A15" s="64" t="s">
        <v>440</v>
      </c>
    </row>
    <row r="16" spans="1:1" x14ac:dyDescent="0.25">
      <c r="A16" s="64" t="s">
        <v>441</v>
      </c>
    </row>
    <row r="17" spans="1:1" x14ac:dyDescent="0.25">
      <c r="A17" s="64" t="s">
        <v>442</v>
      </c>
    </row>
    <row r="18" spans="1:1" x14ac:dyDescent="0.25">
      <c r="A18" s="64" t="s">
        <v>443</v>
      </c>
    </row>
    <row r="19" spans="1:1" x14ac:dyDescent="0.25">
      <c r="A19" s="64" t="s">
        <v>444</v>
      </c>
    </row>
    <row r="20" spans="1:1" x14ac:dyDescent="0.25">
      <c r="A20" s="64" t="s">
        <v>445</v>
      </c>
    </row>
    <row r="21" spans="1:1" x14ac:dyDescent="0.25">
      <c r="A21" s="64" t="s">
        <v>446</v>
      </c>
    </row>
    <row r="22" spans="1:1" x14ac:dyDescent="0.25">
      <c r="A22" s="64" t="s">
        <v>447</v>
      </c>
    </row>
    <row r="23" spans="1:1" x14ac:dyDescent="0.25">
      <c r="A23" s="64" t="s">
        <v>448</v>
      </c>
    </row>
    <row r="24" spans="1:1" x14ac:dyDescent="0.25">
      <c r="A24" s="64" t="s">
        <v>449</v>
      </c>
    </row>
    <row r="25" spans="1:1" x14ac:dyDescent="0.25">
      <c r="A25" s="64" t="s">
        <v>450</v>
      </c>
    </row>
    <row r="26" spans="1:1" x14ac:dyDescent="0.25">
      <c r="A26" s="64" t="s">
        <v>451</v>
      </c>
    </row>
    <row r="27" spans="1:1" x14ac:dyDescent="0.25">
      <c r="A27" s="64" t="s">
        <v>452</v>
      </c>
    </row>
    <row r="28" spans="1:1" x14ac:dyDescent="0.25">
      <c r="A28" s="64" t="s">
        <v>453</v>
      </c>
    </row>
    <row r="29" spans="1:1" x14ac:dyDescent="0.25">
      <c r="A29" s="64" t="s">
        <v>290</v>
      </c>
    </row>
    <row r="30" spans="1:1" x14ac:dyDescent="0.25">
      <c r="A30" s="19" t="s">
        <v>454</v>
      </c>
    </row>
    <row r="31" spans="1:1" x14ac:dyDescent="0.25">
      <c r="A31" s="64" t="s">
        <v>455</v>
      </c>
    </row>
    <row r="32" spans="1:1" x14ac:dyDescent="0.25">
      <c r="A32" s="64" t="s">
        <v>456</v>
      </c>
    </row>
    <row r="33" spans="1:1" x14ac:dyDescent="0.25">
      <c r="A33" s="64" t="s">
        <v>457</v>
      </c>
    </row>
    <row r="34" spans="1:1" x14ac:dyDescent="0.25">
      <c r="A34" s="64" t="s">
        <v>290</v>
      </c>
    </row>
    <row r="35" spans="1:1" x14ac:dyDescent="0.25">
      <c r="A35" s="19" t="s">
        <v>458</v>
      </c>
    </row>
    <row r="36" spans="1:1" x14ac:dyDescent="0.25">
      <c r="A36" s="64" t="s">
        <v>459</v>
      </c>
    </row>
    <row r="37" spans="1:1" x14ac:dyDescent="0.25">
      <c r="A37" s="64" t="s">
        <v>460</v>
      </c>
    </row>
    <row r="38" spans="1:1" x14ac:dyDescent="0.25">
      <c r="A38" s="64" t="s">
        <v>290</v>
      </c>
    </row>
    <row r="39" spans="1:1" x14ac:dyDescent="0.25">
      <c r="A39" s="19" t="s">
        <v>461</v>
      </c>
    </row>
    <row r="40" spans="1:1" x14ac:dyDescent="0.25">
      <c r="A40" s="64" t="s">
        <v>462</v>
      </c>
    </row>
    <row r="41" spans="1:1" x14ac:dyDescent="0.25">
      <c r="A41" s="64" t="s">
        <v>463</v>
      </c>
    </row>
    <row r="42" spans="1:1" x14ac:dyDescent="0.25">
      <c r="A42" s="64" t="s">
        <v>464</v>
      </c>
    </row>
    <row r="43" spans="1:1" x14ac:dyDescent="0.25">
      <c r="A43" s="64" t="s">
        <v>465</v>
      </c>
    </row>
    <row r="44" spans="1:1" x14ac:dyDescent="0.25">
      <c r="A44" s="64" t="s">
        <v>466</v>
      </c>
    </row>
    <row r="45" spans="1:1" x14ac:dyDescent="0.25">
      <c r="A45" s="64" t="s">
        <v>467</v>
      </c>
    </row>
    <row r="46" spans="1:1" x14ac:dyDescent="0.25">
      <c r="A46" s="64" t="s">
        <v>468</v>
      </c>
    </row>
    <row r="47" spans="1:1" x14ac:dyDescent="0.25">
      <c r="A47" s="64" t="s">
        <v>469</v>
      </c>
    </row>
    <row r="48" spans="1:1" x14ac:dyDescent="0.25">
      <c r="A48" s="64" t="s">
        <v>470</v>
      </c>
    </row>
    <row r="49" spans="1:1" x14ac:dyDescent="0.25">
      <c r="A49" s="64" t="s">
        <v>471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2026-09-01T18:00:22Z</dcterms:created>
  <dcterms:modified xsi:type="dcterms:W3CDTF">2026-09-01T18:00:22Z</dcterms:modified>
</cp:coreProperties>
</file>