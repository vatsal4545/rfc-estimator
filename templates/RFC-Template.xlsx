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ake" state="visible" r:id="rId4"/>
    <sheet sheetId="2" name="Panel" state="visible" r:id="rId5"/>
    <sheet sheetId="3" name="Panel 480V" state="visible" r:id="rId6"/>
    <sheet sheetId="4" name="Panel 208V" state="visible" r:id="rId7"/>
    <sheet sheetId="5" name="Estimate" state="visible" r:id="rId8"/>
    <sheet sheetId="6" name="Revenue" state="visible" r:id="rId9"/>
    <sheet sheetId="7" name="Financing" state="visible" r:id="rId10"/>
    <sheet sheetId="8" name="ADA" state="visible" r:id="rId11"/>
    <sheet sheetId="9" name="Timeline" state="visible" r:id="rId12"/>
    <sheet sheetId="10" name="RateCard" state="visible" r:id="rId13"/>
    <sheet sheetId="11" name="Instructions" state="visible" r:id="rId14"/>
  </sheets>
  <definedNames>
    <definedName name="ModelTable">RateCard!$A$4:$K$19</definedName>
    <definedName name="SgSizes">RateCard!$A$24:$A$33</definedName>
    <definedName name="SgTable">RateCard!$A$24:$B$33</definedName>
    <definedName name="PnlSizes">RateCard!$A$37:$A$42</definedName>
    <definedName name="PnlTable">RateCard!$A$37:$B$42</definedName>
    <definedName name="TxSizes">RateCard!$A$46:$A$52</definedName>
    <definedName name="TxTable">RateCard!$A$46:$B$52</definedName>
    <definedName name="Brk480Sizes">RateCard!$A$56:$A$67</definedName>
    <definedName name="BrkTbl480">RateCard!$A$56:$B$67</definedName>
    <definedName name="Brk208Sizes">RateCard!$A$71:$A$73</definedName>
    <definedName name="BrkTbl208">RateCard!$A$71:$B$73</definedName>
    <definedName name="StdBrk">RateCard!$A$76:$A$111</definedName>
    <definedName name="TerrainTable">RateCard!$L$4:$P$7</definedName>
    <definedName name="TrenchRate">RateCard!$M$10</definedName>
    <definedName name="ContingencyPct">RateCard!$M$11</definedName>
    <definedName name="TaxPct">RateCard!$M$12</definedName>
    <definedName name="LaborDayRate">RateCard!$M$13</definedName>
    <definedName name="PmRate">RateCard!$M$14</definedName>
    <definedName name="CpmPct">RateCard!$M$15</definedName>
    <definedName name="GprDayRate">RateCard!$M$16</definedName>
    <definedName name="GprFtPerDay">RateCard!$M$17</definedName>
    <definedName name="AdaVanCost">RateCard!$M$18</definedName>
    <definedName name="AdaStdCost">RateCard!$M$19</definedName>
    <definedName name="AdaAmbCost">RateCard!$M$20</definedName>
    <definedName name="AdaRampCost">RateCard!$M$21</definedName>
    <definedName name="CivilBase">RateCard!$M$22</definedName>
    <definedName name="CivilDcfc">RateCard!$M$23</definedName>
    <definedName name="CivilL2">RateCard!$M$24</definedName>
    <definedName name="SignageDcfc">RateCard!$M$25</definedName>
    <definedName name="SignageL2">RateCard!$M$26</definedName>
    <definedName name="TransformerPad">RateCard!$M$27</definedName>
    <definedName name="CommDcfc">RateCard!$M$28</definedName>
    <definedName name="CommL2">RateCard!$M$29</definedName>
    <definedName name="EquipBase">RateCard!$M$30</definedName>
    <definedName name="EquipPerDay">RateCard!$M$31</definedName>
    <definedName name="NTotal">Intake!$B$30</definedName>
    <definedName name="NDcfc">Intake!$B$31</definedName>
    <definedName name="NumL2">Intake!$B$32</definedName>
    <definedName name="NPorts">Intake!$B$33</definedName>
    <definedName name="FirstRunFt">Intake!$B$36</definedName>
    <definedName name="StepFt">Intake!$B$37</definedName>
    <definedName name="Terrain">Intake!$B$38</definedName>
    <definedName name="TrenchFt">Intake!$B$39</definedName>
    <definedName name="IncHardware">Intake!$B$42</definedName>
    <definedName name="IncSitePlan">Intake!$B$43</definedName>
    <definedName name="IncSLD">Intake!$B$44</definedName>
    <definedName name="IncCpm">Intake!$B$45</definedName>
    <definedName name="IncPermits">Intake!$B$46</definedName>
    <definedName name="IncGpr">Intake!$B$47</definedName>
    <definedName name="HardwareFactor">Intake!$B$50</definedName>
    <definedName name="RebateAmt">Intake!$B$51</definedName>
    <definedName name="NetworkFeeMo">Intake!$B$52</definedName>
    <definedName name="ContractYears">Intake!$B$53</definedName>
    <definedName name="ServicePlanYr">Intake!$B$54</definedName>
    <definedName name="FinanceApr">Intake!$B$55</definedName>
    <definedName name="FinanceYears">Intake!$B$56</definedName>
    <definedName name="SgSuggested">Panel!$F$15</definedName>
    <definedName name="TxKvaConnected">Panel!$F$33</definedName>
    <definedName name="TxKvaSuggested">Panel!$F$35</definedName>
    <definedName name="GearTotal">Panel!$F$51</definedName>
    <definedName name="LaborDays">Estimate!$B$4</definedName>
    <definedName name="ConstructionTotal">Estimate!$B$20</definedName>
    <definedName name="LaborCost">Estimate!$B$22</definedName>
    <definedName name="Valuation">Estimate!$B$24</definedName>
    <definedName name="TotalCost">Estimate!$B$40</definedName>
    <definedName name="CustomerTotal">Estimate!$B$42</definedName>
    <definedName name="RetailKwh">Revenue!$B$4</definedName>
    <definedName name="UtilityKwh">Revenue!$B$5</definedName>
    <definedName name="OpHours">Revenue!$B$6</definedName>
    <definedName name="OccPct">Revenue!$B$7</definedName>
    <definedName name="ChargePct">Revenue!$B$8</definedName>
    <definedName name="CcRate">Revenue!$B$9</definedName>
    <definedName name="DerateF">Revenue!$B$10</definedName>
    <definedName name="RevenueYr">Revenue!$B$21</definedName>
    <definedName name="CcYr">Revenue!$B$22</definedName>
    <definedName name="AnnualBenefit">Revenue!$B$23</definedName>
    <definedName name="PaybackYears">Revenue!$B$25</definedName>
    <definedName name="AdaVan">ADA!$B$4</definedName>
    <definedName name="AdaStd">ADA!$B$5</definedName>
    <definedName name="AdaAmb">ADA!$B$6</definedName>
    <definedName name="AdaCost">ADA!$B$10</definedName>
  </definedNames>
  <calcPr calcId="171027" fullCalcOnLoad="1"/>
</workbook>
</file>

<file path=xl/sharedStrings.xml><?xml version="1.0" encoding="utf-8"?>
<sst xmlns="http://schemas.openxmlformats.org/spreadsheetml/2006/main" count="535" uniqueCount="326">
  <si>
    <t>RFC INTAKE — EV Charging Project</t>
  </si>
  <si>
    <t>Fill the yellow cells only — Panel, Estimate, Revenue, Financing, ADA and Timeline calculate from them.</t>
  </si>
  <si>
    <t>OUR DETAILS</t>
  </si>
  <si>
    <t>Company</t>
  </si>
  <si>
    <t>Prepared by (CPM)</t>
  </si>
  <si>
    <t>CRA</t>
  </si>
  <si>
    <t>Phone</t>
  </si>
  <si>
    <t>Email</t>
  </si>
  <si>
    <t>PROJECT</t>
  </si>
  <si>
    <t>Client</t>
  </si>
  <si>
    <t>Site address</t>
  </si>
  <si>
    <t>City / AHJ</t>
  </si>
  <si>
    <t>Utility</t>
  </si>
  <si>
    <t>Incentive program (CALeVIP, CEC…)</t>
  </si>
  <si>
    <t>Application / project ID</t>
  </si>
  <si>
    <t>Date</t>
  </si>
  <si>
    <t>Scope of work</t>
  </si>
  <si>
    <t>CHARGERS</t>
  </si>
  <si>
    <t>Model</t>
  </si>
  <si>
    <t>Qty</t>
  </si>
  <si>
    <t>Hardware $/u</t>
  </si>
  <si>
    <t>Category</t>
  </si>
  <si>
    <t>Make-ready $</t>
  </si>
  <si>
    <t>Hardware $</t>
  </si>
  <si>
    <t>Ports</t>
  </si>
  <si>
    <t>DCFC 200kW</t>
  </si>
  <si>
    <t>L2 Single 40A</t>
  </si>
  <si>
    <t>Total chargers</t>
  </si>
  <si>
    <t>DCFC count</t>
  </si>
  <si>
    <t>L2 count</t>
  </si>
  <si>
    <t>Total ports</t>
  </si>
  <si>
    <t>SITE</t>
  </si>
  <si>
    <t>Distance to nearest charger (ft)</t>
  </si>
  <si>
    <t>Spacing per extra charger (ft)</t>
  </si>
  <si>
    <t>Terrain</t>
  </si>
  <si>
    <t>flat</t>
  </si>
  <si>
    <t>Trench length (ft) — overtype if surveyed</t>
  </si>
  <si>
    <t>INCLUDED SERVICES (Yes / No)</t>
  </si>
  <si>
    <t>Charger hardware</t>
  </si>
  <si>
    <t>Yes</t>
  </si>
  <si>
    <t>Site plan design (AutoCAD)</t>
  </si>
  <si>
    <t>SLD / electrical design</t>
  </si>
  <si>
    <t>Construction PM (CPM)</t>
  </si>
  <si>
    <t>Permitting fees</t>
  </si>
  <si>
    <t>Private utility scan (GPR)</t>
  </si>
  <si>
    <t>COMMERCIAL TERMS (from the RFC_V18 / Hoopa proposal structure)</t>
  </si>
  <si>
    <t>Hardware price factor</t>
  </si>
  <si>
    <t>1 = RateCard prices as-is; 1.155 = vendor cost × 1.05 contingency × 1.10 markup</t>
  </si>
  <si>
    <t>Rebate / incentive amount ($)</t>
  </si>
  <si>
    <t>Network (EVOLV) fee $/port/month</t>
  </si>
  <si>
    <t>Contract length (years)</t>
  </si>
  <si>
    <t>Service plan $/year (post-warranty)</t>
  </si>
  <si>
    <t>Financing APR</t>
  </si>
  <si>
    <t>Financing term (years)</t>
  </si>
  <si>
    <t>CBC 11B-812 accessible stalls required</t>
  </si>
  <si>
    <t>Main gear (auto — Panel sheet)</t>
  </si>
  <si>
    <t>TOTAL ESTIMATE</t>
  </si>
  <si>
    <t>CUSTOMER TOTAL (after rebate)</t>
  </si>
  <si>
    <t>Simple payback (years, revenue + credits)</t>
  </si>
  <si>
    <t>Panel Schedules — auto from Intake (mirrors the app's algorithm, NEC 625 continuous loads at 125%)</t>
  </si>
  <si>
    <t>PANEL SCHEDULE 1 — 480V SWITCHGEAR (LEVEL 3 / DCFC)</t>
  </si>
  <si>
    <t>Breaker A</t>
  </si>
  <si>
    <t>Circuits</t>
  </si>
  <si>
    <t>A per circuit</t>
  </si>
  <si>
    <t>Connected A</t>
  </si>
  <si>
    <t>DCFC connected amps</t>
  </si>
  <si>
    <t>+ Transformer primary reflection (raw)</t>
  </si>
  <si>
    <t>480V bus connected amps</t>
  </si>
  <si>
    <t>480V bus demand amps (×125%)</t>
  </si>
  <si>
    <t>Suggested main switchgear (A)</t>
  </si>
  <si>
    <t>Switchgear price (website catalog)</t>
  </si>
  <si>
    <t>PANEL SCHEDULE 2 — 208V PANEL (LEVEL 2)</t>
  </si>
  <si>
    <t>208V bus connected amps</t>
  </si>
  <si>
    <t>208V bus demand amps (×125%)</t>
  </si>
  <si>
    <t>Suggested 208V panel (A)</t>
  </si>
  <si>
    <t>Panel type</t>
  </si>
  <si>
    <t>Panel price</t>
  </si>
  <si>
    <t>STEP-DOWN TRANSFORMER (480V → 208V, only when both levels exist)</t>
  </si>
  <si>
    <t>Connected kVA (208V load)</t>
  </si>
  <si>
    <t>Demand kVA (×125%)</t>
  </si>
  <si>
    <t>Suggested transformer (kVA)</t>
  </si>
  <si>
    <t>Transformer price</t>
  </si>
  <si>
    <t>Primary FLA at 480V (selected TX)</t>
  </si>
  <si>
    <t>Primary breaker (125% of FLA, next standard)</t>
  </si>
  <si>
    <t>Primary breaker price</t>
  </si>
  <si>
    <t>BRANCH BREAKERS</t>
  </si>
  <si>
    <t>Voltage</t>
  </si>
  <si>
    <t>Unit $</t>
  </si>
  <si>
    <t>Total $</t>
  </si>
  <si>
    <t>Branch breakers total (incl. TX primary)</t>
  </si>
  <si>
    <t>GEAR TOTAL — switchgear + panel + transformer + breakers</t>
  </si>
  <si>
    <t>A $0 unit price means no catalog price for that size — add it on the RateCard before quoting.</t>
  </si>
  <si>
    <t>PANEL SCHEDULE</t>
  </si>
  <si>
    <t>engine — do not edit</t>
  </si>
  <si>
    <t>NAME</t>
  </si>
  <si>
    <t>EV_MAIN</t>
  </si>
  <si>
    <t>LOCATION</t>
  </si>
  <si>
    <t>OUTDOOR</t>
  </si>
  <si>
    <t>VOLTAGE</t>
  </si>
  <si>
    <t>277 / 480  3PH 4W</t>
  </si>
  <si>
    <t>MAIN</t>
  </si>
  <si>
    <t>FED BY</t>
  </si>
  <si>
    <t>ENCLOSURE</t>
  </si>
  <si>
    <t>NEMA3R</t>
  </si>
  <si>
    <t>BUS BAR</t>
  </si>
  <si>
    <t>MOUNTING</t>
  </si>
  <si>
    <t>SURFACE</t>
  </si>
  <si>
    <t>PANEL TYPE</t>
  </si>
  <si>
    <t>NF</t>
  </si>
  <si>
    <t>MAIN AIC</t>
  </si>
  <si>
    <t>65,000</t>
  </si>
  <si>
    <t>CKT</t>
  </si>
  <si>
    <t>DESCRIPTION</t>
  </si>
  <si>
    <t>BREAKER</t>
  </si>
  <si>
    <t>POLES</t>
  </si>
  <si>
    <t>A</t>
  </si>
  <si>
    <t>B</t>
  </si>
  <si>
    <t>C</t>
  </si>
  <si>
    <t>total circuits</t>
  </si>
  <si>
    <t>TOTAL VA</t>
  </si>
  <si>
    <t>TOTAL 3PH VA</t>
  </si>
  <si>
    <t>DEMAND VA</t>
  </si>
  <si>
    <t>TOTAL DEMAND VA</t>
  </si>
  <si>
    <t>HIGH PH VA</t>
  </si>
  <si>
    <t>TOTAL AMP</t>
  </si>
  <si>
    <t>HIGH PH AMP</t>
  </si>
  <si>
    <t>MAIN BREAKER</t>
  </si>
  <si>
    <t>EV_SUB</t>
  </si>
  <si>
    <t>120 / 208  3PH 4W</t>
  </si>
  <si>
    <t>22,000</t>
  </si>
  <si>
    <t>Budgetary Estimate (auto from Intake + Panel + RateCard)</t>
  </si>
  <si>
    <t>Structure mirrors the RFC_V18 Costs Internal → Summary chain. For the engineered takeoff use the app's Excel export.</t>
  </si>
  <si>
    <t>Construction labor days (derived)</t>
  </si>
  <si>
    <t>Electrical supply &amp; construction</t>
  </si>
  <si>
    <t>Electrical make-ready (wire, conduit, install hardware)</t>
  </si>
  <si>
    <t>Switchgear, panels &amp; transformer (Panel sheet)</t>
  </si>
  <si>
    <t>Trenching / asphalt cut (terrain-adjusted)</t>
  </si>
  <si>
    <t>Civil (concrete, rebar, wheel stops)</t>
  </si>
  <si>
    <t>Signage, striping &amp; bollards</t>
  </si>
  <si>
    <t>Accessible EVCS stalls + ramp (ADA sheet)</t>
  </si>
  <si>
    <t>Spoils haul-off / dump</t>
  </si>
  <si>
    <t>Equipment rentals</t>
  </si>
  <si>
    <t>Permit issuance (AHJ)</t>
  </si>
  <si>
    <t>Utility application + transformer pad</t>
  </si>
  <si>
    <t>Construction subtotal</t>
  </si>
  <si>
    <t>Contingency</t>
  </si>
  <si>
    <t>Construction total (loaded)</t>
  </si>
  <si>
    <t>Labor (days × rate, contingency-loaded)</t>
  </si>
  <si>
    <t>Sales tax on construction</t>
  </si>
  <si>
    <t>Permit valuation (construction + labor)</t>
  </si>
  <si>
    <t>Equipment purchase invoice</t>
  </si>
  <si>
    <t>Charger hardware (RateCard × price factor)</t>
  </si>
  <si>
    <t>Commissioning</t>
  </si>
  <si>
    <t>Network (EVOLV) fees — ports × $/mo × contract</t>
  </si>
  <si>
    <t>Service plan over contract (post-warranty years)</t>
  </si>
  <si>
    <t>Sales tax on charger hardware</t>
  </si>
  <si>
    <t>Design invoice</t>
  </si>
  <si>
    <t>SLD / electrical engineering (PE)</t>
  </si>
  <si>
    <t>Construction PM — hours in col C</t>
  </si>
  <si>
    <t>Plan check (AHJ, % of valuation for DCFC)</t>
  </si>
  <si>
    <t>Design subtotal</t>
  </si>
  <si>
    <t>TOTAL PROJECT COST</t>
  </si>
  <si>
    <t>Less: rebates / incentives (CALeVIP etc.)</t>
  </si>
  <si>
    <t>Revenue &amp; Payback (the Hoopa RFC revenue model, formula-driven)</t>
  </si>
  <si>
    <t>kWh/day = ports × occupancy × operating hours × charging% × port kW × derate. Credits = LCFS $/kW/yr on DCFC.</t>
  </si>
  <si>
    <t>Retail price $/kWh</t>
  </si>
  <si>
    <t>Utility cost $/kWh</t>
  </si>
  <si>
    <t>Hours of operation / day</t>
  </si>
  <si>
    <t>Stall occupancy %</t>
  </si>
  <si>
    <t>Charging % per occupied hour</t>
  </si>
  <si>
    <t>Carbon credit $/kW/yr (DCFC, LCFS)</t>
  </si>
  <si>
    <t>Charger derate factor</t>
  </si>
  <si>
    <t>kW/port</t>
  </si>
  <si>
    <t>kWh/day</t>
  </si>
  <si>
    <t>Rev $/day</t>
  </si>
  <si>
    <t>Net $/mo</t>
  </si>
  <si>
    <t>CC $/yr</t>
  </si>
  <si>
    <t>Totals</t>
  </si>
  <si>
    <t>Charging net revenue / year</t>
  </si>
  <si>
    <t>Carbon credits / year (DCFC)</t>
  </si>
  <si>
    <t>Total annual benefit</t>
  </si>
  <si>
    <t>Benefit over the contract (flat, no escalation)</t>
  </si>
  <si>
    <t>Simple payback (years)</t>
  </si>
  <si>
    <t>Assumptions from the Hoopa RFC 'standard-low' case (20% occupancy). Bump occupancy % for busier sites — their 'medium' case used 45-50%.</t>
  </si>
  <si>
    <t>Financing (DLL-style loan summary)</t>
  </si>
  <si>
    <t>Loan amount (customer total)</t>
  </si>
  <si>
    <t>Annual interest rate (Intake)</t>
  </si>
  <si>
    <t>Term (years, Intake)</t>
  </si>
  <si>
    <t>Monthly payment</t>
  </si>
  <si>
    <t>Total of payments</t>
  </si>
  <si>
    <t>Total interest</t>
  </si>
  <si>
    <t>Monthly revenue + credits (Revenue sheet)</t>
  </si>
  <si>
    <t>Net monthly cashflow during the term</t>
  </si>
  <si>
    <t>Mirrors the DLL amortization summary in the Hoopa RFC (their deal: 8.39% APR × 60 months). Negative net cashflow = the site doesn't cover its own loan yet.</t>
  </si>
  <si>
    <t>Accessible EVCS — CBC 11B-812 (auto from Intake)</t>
  </si>
  <si>
    <t>Total chargers (from Intake)</t>
  </si>
  <si>
    <t>Van accessible (12 ft + 5 ft aisle)</t>
  </si>
  <si>
    <t>Standard accessible (9 ft + 5 ft aisle)</t>
  </si>
  <si>
    <t>Ambulatory (10 ft, no aisle)</t>
  </si>
  <si>
    <t>Total accessible stalls</t>
  </si>
  <si>
    <t>Terrain regrade factor (2% slope rule)</t>
  </si>
  <si>
    <t>ADA construction cost</t>
  </si>
  <si>
    <t>CBC Table 11B-228.3.2.1 (2022 CBC — van divisor is 300; verify with your AHJ):</t>
  </si>
  <si>
    <t>Total EVCS</t>
  </si>
  <si>
    <t>Van</t>
  </si>
  <si>
    <t>Standard</t>
  </si>
  <si>
    <t>Ambulatory</t>
  </si>
  <si>
    <t>1 – 4</t>
  </si>
  <si>
    <t>1</t>
  </si>
  <si>
    <t>0</t>
  </si>
  <si>
    <t>5 – 25</t>
  </si>
  <si>
    <t>26 – 50</t>
  </si>
  <si>
    <t>51 – 75</t>
  </si>
  <si>
    <t>2</t>
  </si>
  <si>
    <t>76 – 100</t>
  </si>
  <si>
    <t>3</t>
  </si>
  <si>
    <t>101+</t>
  </si>
  <si>
    <t>1 + 1/300 over 100</t>
  </si>
  <si>
    <t>3 + 1/60 over 100</t>
  </si>
  <si>
    <t>3 + 1/50 over 100</t>
  </si>
  <si>
    <t>• Slope ≤ 2% in every direction under stalls and aisles — regrading is the big cost on sloped lots.</t>
  </si>
  <si>
    <t>• EVCS markings must NOT be blue (11B-812.9); stencil 'EV CHARGING ONLY' in 12-in letters.</t>
  </si>
  <si>
    <t>• ISA signs: none if ≤4 EVCS; van space only for 5-25; all van + standard for 26+. Never on ambulatory.</t>
  </si>
  <si>
    <t>• Accessible EVCS do NOT count toward regular ADA parking minimums (11B-208.1).</t>
  </si>
  <si>
    <t>• Charger operable parts must sit 15-48 in from grade with 30×48 in clear floor space.</t>
  </si>
  <si>
    <t>Schedule estimate (business days, auto from Intake)</t>
  </si>
  <si>
    <t>Phase</t>
  </si>
  <si>
    <t>Low</t>
  </si>
  <si>
    <t>High</t>
  </si>
  <si>
    <t>Note</t>
  </si>
  <si>
    <t>Site survey &amp; utility scan</t>
  </si>
  <si>
    <t/>
  </si>
  <si>
    <t>SLD / electrical design (PE)</t>
  </si>
  <si>
    <t>Plan check &amp; permits (AHJ)</t>
  </si>
  <si>
    <t>AB 970 clocks 20-40 days; real DCFC plan check 4-12 weeks</t>
  </si>
  <si>
    <t>Utility application &amp; new service (PARALLEL)</t>
  </si>
  <si>
    <t>PG&amp;E/SCE queues 4-12 months — usually the critical path on DCFC sites</t>
  </si>
  <si>
    <t>Construction</t>
  </si>
  <si>
    <t>Inspection &amp; commissioning</t>
  </si>
  <si>
    <t>End-to-end (sequential path vs parallel utility)</t>
  </si>
  <si>
    <t>≈ months (21 business days/month)</t>
  </si>
  <si>
    <t>Rate Card — every price the template uses. Edit the yellow cells; formulas follow.</t>
  </si>
  <si>
    <t>Make-ready $/u</t>
  </si>
  <si>
    <t>Circuits/u</t>
  </si>
  <si>
    <t>Unit input A</t>
  </si>
  <si>
    <t>Ports/u</t>
  </si>
  <si>
    <t>A/circuit</t>
  </si>
  <si>
    <t>Trench ×</t>
  </si>
  <si>
    <t>Labor ×</t>
  </si>
  <si>
    <t>ADA ×</t>
  </si>
  <si>
    <t>Spoils $/ft</t>
  </si>
  <si>
    <t>L2 Single</t>
  </si>
  <si>
    <t>L2</t>
  </si>
  <si>
    <t>sloped</t>
  </si>
  <si>
    <t>L2 Dual</t>
  </si>
  <si>
    <t>hilly</t>
  </si>
  <si>
    <t>L2 Dual 80A</t>
  </si>
  <si>
    <t>rocky</t>
  </si>
  <si>
    <t>L2 Dual 32A</t>
  </si>
  <si>
    <t>DCFC 50kW</t>
  </si>
  <si>
    <t>DCFC</t>
  </si>
  <si>
    <t>DCFC 60kW</t>
  </si>
  <si>
    <t>Trenching $/ft (flat baseline)</t>
  </si>
  <si>
    <t>DCFC 100kW</t>
  </si>
  <si>
    <t>Contingency %</t>
  </si>
  <si>
    <t>DCFC 120kW</t>
  </si>
  <si>
    <t>Sales tax %</t>
  </si>
  <si>
    <t>DCFC 160kW</t>
  </si>
  <si>
    <t>Labor crew $/day</t>
  </si>
  <si>
    <t>DCFC 180kW</t>
  </si>
  <si>
    <t>PM hourly rate (CPM)</t>
  </si>
  <si>
    <t>CPM % of construction</t>
  </si>
  <si>
    <t>DCFC 240kW</t>
  </si>
  <si>
    <t>GPR scan $/day</t>
  </si>
  <si>
    <t>DCFC 275kW</t>
  </si>
  <si>
    <t>GPR trench-ft per day</t>
  </si>
  <si>
    <t>DCFC 300kW</t>
  </si>
  <si>
    <t>ADA van stall $ (flat lot)</t>
  </si>
  <si>
    <t>DCFC 360kW</t>
  </si>
  <si>
    <t>ADA standard stall $ (flat lot)</t>
  </si>
  <si>
    <t>Make-ready $/u = wire, conduit &amp; install hardware (engine-calibrated, ~100-180 ft runs). Gear prices on the Panel sheet. Hardware $/u are budgetary — swap in CTX/vendor quotes.</t>
  </si>
  <si>
    <t>ADA ambulatory stall $ (flat lot)</t>
  </si>
  <si>
    <t>ADA ramp $</t>
  </si>
  <si>
    <t>Main switchgear 480V (website catalog)</t>
  </si>
  <si>
    <t>Civil mobilization base $</t>
  </si>
  <si>
    <t>Size</t>
  </si>
  <si>
    <t>Price</t>
  </si>
  <si>
    <t>Civil $/DCFC (concrete, rebar, stops)</t>
  </si>
  <si>
    <t>Civil $/L2</t>
  </si>
  <si>
    <t>Signage+bollards $/DCFC</t>
  </si>
  <si>
    <t>Signage $/L2</t>
  </si>
  <si>
    <t>Utility transformer pad $ (DCFC)</t>
  </si>
  <si>
    <t>Commissioning $/DCFC</t>
  </si>
  <si>
    <t>Commissioning $/L2</t>
  </si>
  <si>
    <t>Equipment rentals base $</t>
  </si>
  <si>
    <t>Equipment rentals $/labor-day</t>
  </si>
  <si>
    <t>Sub-panel / distribution 208V</t>
  </si>
  <si>
    <t>Step-down transformer 208V (kVA)</t>
  </si>
  <si>
    <t>Branch breakers 480V</t>
  </si>
  <si>
    <t>Branch breakers 208V</t>
  </si>
  <si>
    <t>Standard breaker sizes (NEC 240.6)</t>
  </si>
  <si>
    <t>HOW TO USE THIS TEMPLATE</t>
  </si>
  <si>
    <t>1. Fill the yellow cells on the Intake sheet: your details, client &amp; program IDs, chargers, site facts, services, commercial terms.</t>
  </si>
  <si>
    <t>2. Everything else calculates: Panel (sizing + gear pricing at website catalog rates), Panel 480V &amp; Panel 208V (plan-set style</t>
  </si>
  <si>
    <t xml:space="preserve">   schedules with phase-staggered circuits, ready for the drawing set), Estimate, Revenue &amp; Payback, Financing, ADA and Timeline.</t>
  </si>
  <si>
    <t xml:space="preserve">   The totals, gear pick and payback show at the bottom of the Intake sheet. Grid capacity: 16 circuits @480V / 24 @208V.</t>
  </si>
  <si>
    <t>3. Every price lives on the RateCard (yellow) — hardware, gear catalog, labor, tax, contingency. Change there, everything follows.</t>
  </si>
  <si>
    <t>WHAT WAS FOLDED IN FROM THE REAL RFC_V18 WORKBOOKS (VN Village, Boatman, CCMH, Hoopa, Bartell)</t>
  </si>
  <si>
    <t>• Costs Internal → Summary structure: per-line contingency, labor loaded with contingency, sales tax on construction and on chargers.</t>
  </si>
  <si>
    <t>• Hoopa proposal extras: EVOLV network fees ($39.99/port/mo × contract), service plans over contract, hardware price factor</t>
  </si>
  <si>
    <t xml:space="preserve">  (1.05 contingency × 1.10 markup when starting from vendor cost), rebate/incentive line, customer total after rebate.</t>
  </si>
  <si>
    <t>• Hoopa revenue model: occupancy × operating hours × charging% × derated port kW; $0.65/kWh retail vs $0.40/kWh utility;</t>
  </si>
  <si>
    <t xml:space="preserve">  LCFS carbon credits ≈ $71.67/kW/yr on DCFC; simple payback. Their financing: DLL loan at 8.39% APR × 60 months (PMT-based).</t>
  </si>
  <si>
    <t>• Intake carries the incentive program + application ID (CALeVIP / CEC style: D-00025, H-01007, I-271839…).</t>
  </si>
  <si>
    <t>WHAT THIS TEMPLATE IS</t>
  </si>
  <si>
    <t>A budgetary intake + estimate. Make-ready allowances are engine-calibrated per charger (~100-180 ft runs); gear is sized &amp; priced live.</t>
  </si>
  <si>
    <t>Accuracy target ±15% vs the full RFC Estimator app. For the engineered takeoff — exact NEC wire sizes and the vendor-ready BOM —</t>
  </si>
  <si>
    <t>build the project in the RFC Estimator web app and use its '⬇ Excel' export.</t>
  </si>
  <si>
    <t>KEY ASSUMPTIONS (2025-26 CA market, sources on file)</t>
  </si>
  <si>
    <t>• Buses, breakers and the transformer size at 125% of connected input amps (NEC 625 continuous loads), matching the app.</t>
  </si>
  <si>
    <t>• Terrain multipliers: trenching ×1.2 sloped / ×1.5 hilly / ×2.5 rocky; ADA regrade ×1.4/×1.7/×1.8 (2% slope rule). Solid rock: quote.</t>
  </si>
  <si>
    <t>• ADA per CBC 11B-812: van $6.5k, standard $4.9k (shop bid rate), ambulatory $3.5k flat-lot, ramp $5.2k. Markings must NOT be blue.</t>
  </si>
  <si>
    <t>• Permits: L2-only = streamlined flat fees (AB 1236); DCFC = plan check ≈ 2% of construction valuation + issuance + utility fees.</t>
  </si>
  <si>
    <t>• Design: site plan $2.5k + $150/charger (+$1k DCFC); SLD $6k + $900/DCFC + $150/L2 (PE). CPM = 5% of construction at $358/h.</t>
  </si>
  <si>
    <t>• GPR $1,500/day per 2,000 trench-ft. Utility energization on DCFC sites runs 4-12 months and sets the real schedule.</t>
  </si>
  <si>
    <t>• Charger hardware and 'budgetary' breaker prices are allowances — swap in CTX price-book / vendor quotes on the RateCard.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</si>
</sst>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&quot;$&quot;#,##0.00"/>
    <numFmt numFmtId="166" formatCode="#,##0.0"/>
  </numFmts>
  <fonts count="1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  <sz val="9"/>
    </font>
    <font>
      <b/>
    </font>
    <font/>
    <font>
      <b/>
      <sz val="10"/>
    </font>
    <font>
      <i/>
      <color rgb="FF666666"/>
      <sz val="8"/>
    </font>
    <font>
      <b/>
      <sz val="14"/>
    </font>
    <font>
      <b/>
      <sz val="13"/>
    </font>
    <font>
      <b/>
      <sz val="12"/>
    </font>
    <font>
      <i/>
      <color rgb="FFB45309"/>
      <sz val="9"/>
    </font>
    <font>
      <i/>
      <color rgb="FF999999"/>
      <sz val="8"/>
    </font>
    <font>
      <sz val="8"/>
    </font>
    <font>
      <i/>
      <color rgb="FFB45309"/>
    </font>
    <font>
      <i/>
      <sz val="9"/>
    </font>
    <font>
      <color rgb="FF666666"/>
      <sz val="9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F6DD"/>
      </patternFill>
    </fill>
    <fill>
      <patternFill patternType="solid">
        <fgColor rgb="FFE8EDF5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hair"/>
      <bottom style="hair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5" fillId="3" borderId="0" xfId="0" applyFont="1" applyFill="1"/>
    <xf numFmtId="0" fontId="0" fillId="2" borderId="0" xfId="0" applyFill="1"/>
    <xf numFmtId="165" fontId="0" fillId="0" borderId="0" xfId="0" applyNumberFormat="1"/>
    <xf numFmtId="0" fontId="6" fillId="0" borderId="0" xfId="0" applyFont="1"/>
    <xf numFmtId="165" fontId="0" fillId="2" borderId="1" xfId="0" applyNumberFormat="1" applyFill="1" applyBorder="1"/>
    <xf numFmtId="10" fontId="0" fillId="2" borderId="1" xfId="0" applyNumberFormat="1" applyFill="1" applyBorder="1"/>
    <xf numFmtId="0" fontId="7" fillId="0" borderId="0" xfId="0" applyFont="1"/>
    <xf numFmtId="165" fontId="7" fillId="3" borderId="0" xfId="0" applyNumberFormat="1" applyFont="1" applyFill="1"/>
    <xf numFmtId="165" fontId="3" fillId="0" borderId="0" xfId="0" applyNumberFormat="1" applyFont="1"/>
    <xf numFmtId="0" fontId="8" fillId="0" borderId="0" xfId="0" applyFont="1"/>
    <xf numFmtId="0" fontId="9" fillId="0" borderId="0" xfId="0" applyFont="1"/>
    <xf numFmtId="165" fontId="9" fillId="3" borderId="0" xfId="0" applyNumberFormat="1" applyFont="1" applyFill="1"/>
    <xf numFmtId="0" fontId="10" fillId="0" borderId="0" xfId="0" applyFont="1"/>
    <xf numFmtId="0" fontId="8" fillId="0" borderId="0" xfId="0" applyFont="1" applyAlignment="1">
      <alignment horizontal="center"/>
    </xf>
    <xf numFmtId="0" fontId="11" fillId="0" borderId="0" xfId="0" applyFont="1"/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2" xfId="0" applyBorder="1"/>
    <xf numFmtId="0" fontId="12" fillId="0" borderId="0" xfId="0" applyFont="1"/>
    <xf numFmtId="3" fontId="0" fillId="0" borderId="0" xfId="0" applyNumberFormat="1"/>
    <xf numFmtId="166" fontId="0" fillId="0" borderId="0" xfId="0" applyNumberFormat="1"/>
    <xf numFmtId="0" fontId="13" fillId="0" borderId="0" xfId="0" applyFont="1"/>
    <xf numFmtId="0" fontId="3" fillId="3" borderId="0" xfId="0" applyFont="1" applyFill="1"/>
    <xf numFmtId="0" fontId="0" fillId="3" borderId="0" xfId="0" applyFill="1"/>
    <xf numFmtId="0" fontId="14" fillId="0" borderId="0" xfId="0" applyFont="1"/>
    <xf numFmtId="1" fontId="0" fillId="0" borderId="0" xfId="0" applyNumberFormat="1"/>
    <xf numFmtId="165" fontId="9" fillId="0" borderId="0" xfId="0" applyNumberFormat="1" applyFont="1"/>
    <xf numFmtId="165" fontId="0" fillId="2" borderId="0" xfId="0" applyNumberFormat="1" applyFill="1"/>
    <xf numFmtId="10" fontId="0" fillId="2" borderId="0" xfId="0" applyNumberFormat="1" applyFill="1"/>
    <xf numFmtId="10" fontId="0" fillId="0" borderId="0" xfId="0" applyNumberFormat="1"/>
    <xf numFmtId="0" fontId="3" fillId="3" borderId="3" xfId="0" applyFont="1" applyFill="1" applyBorder="1"/>
    <xf numFmtId="0" fontId="0" fillId="0" borderId="3" xfId="0" applyBorder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6" customWidth="1"/>
    <col min="3" max="3" width="16" customWidth="1"/>
    <col min="4" max="4" width="10" customWidth="1"/>
    <col min="5" max="6" width="15" customWidth="1"/>
    <col min="7" max="7" width="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4" t="s">
        <v>3</v>
      </c>
      <c r="B5" s="5"/>
    </row>
    <row r="6" spans="1:2" x14ac:dyDescent="0.25">
      <c r="A6" s="4" t="s">
        <v>4</v>
      </c>
      <c r="B6" s="5"/>
    </row>
    <row r="7" spans="1:2" x14ac:dyDescent="0.25">
      <c r="A7" s="4" t="s">
        <v>5</v>
      </c>
      <c r="B7" s="5"/>
    </row>
    <row r="8" spans="1:2" x14ac:dyDescent="0.25">
      <c r="A8" s="4" t="s">
        <v>6</v>
      </c>
      <c r="B8" s="5"/>
    </row>
    <row r="9" spans="1:2" x14ac:dyDescent="0.25">
      <c r="A9" s="4" t="s">
        <v>7</v>
      </c>
      <c r="B9" s="5"/>
    </row>
    <row r="11" spans="1:1" x14ac:dyDescent="0.25">
      <c r="A11" s="3" t="s">
        <v>8</v>
      </c>
    </row>
    <row r="12" spans="1:2" x14ac:dyDescent="0.25">
      <c r="A12" s="4" t="s">
        <v>9</v>
      </c>
      <c r="B12" s="5"/>
    </row>
    <row r="13" spans="1:2" x14ac:dyDescent="0.25">
      <c r="A13" s="4" t="s">
        <v>10</v>
      </c>
      <c r="B13" s="5"/>
    </row>
    <row r="14" spans="1:2" x14ac:dyDescent="0.25">
      <c r="A14" s="4" t="s">
        <v>11</v>
      </c>
      <c r="B14" s="5"/>
    </row>
    <row r="15" spans="1:2" x14ac:dyDescent="0.25">
      <c r="A15" s="4" t="s">
        <v>12</v>
      </c>
      <c r="B15" s="5"/>
    </row>
    <row r="16" spans="1:2" x14ac:dyDescent="0.25">
      <c r="A16" s="4" t="s">
        <v>13</v>
      </c>
      <c r="B16" s="5"/>
    </row>
    <row r="17" spans="1:2" x14ac:dyDescent="0.25">
      <c r="A17" s="4" t="s">
        <v>14</v>
      </c>
      <c r="B17" s="5"/>
    </row>
    <row r="18" spans="1:2" x14ac:dyDescent="0.25">
      <c r="A18" s="4" t="s">
        <v>15</v>
      </c>
      <c r="B18" s="6">
        <f>TODAY()</f>
      </c>
    </row>
    <row r="19" spans="1:2" x14ac:dyDescent="0.25">
      <c r="A19" s="4" t="s">
        <v>16</v>
      </c>
      <c r="B19" s="5"/>
    </row>
    <row r="21" spans="1:1" x14ac:dyDescent="0.25">
      <c r="A21" s="3" t="s">
        <v>17</v>
      </c>
    </row>
    <row r="22" spans="1:7" x14ac:dyDescent="0.25">
      <c r="A22" s="7" t="s">
        <v>18</v>
      </c>
      <c r="B22" s="7" t="s">
        <v>19</v>
      </c>
      <c r="C22" s="7" t="s">
        <v>20</v>
      </c>
      <c r="D22" s="7" t="s">
        <v>21</v>
      </c>
      <c r="E22" s="7" t="s">
        <v>22</v>
      </c>
      <c r="F22" s="7" t="s">
        <v>23</v>
      </c>
      <c r="G22" s="7" t="s">
        <v>24</v>
      </c>
    </row>
    <row r="23" spans="1:7" x14ac:dyDescent="0.25">
      <c r="A23" s="8" t="s">
        <v>25</v>
      </c>
      <c r="B23" s="8">
        <v>6</v>
      </c>
      <c r="C23" s="9">
        <f>IFERROR(VLOOKUP($A23,ModelTable,2,FALSE),"")</f>
      </c>
      <c r="D23">
        <f>IFERROR(VLOOKUP($A23,ModelTable,4,FALSE),"")</f>
      </c>
      <c r="E23" s="9">
        <f>IFERROR($B23*VLOOKUP($A23,ModelTable,3,FALSE),0)</f>
      </c>
      <c r="F23" s="9">
        <f>IFERROR($B23*VLOOKUP($A23,ModelTable,2,FALSE),0)</f>
      </c>
      <c r="G23">
        <f>IFERROR($B23*VLOOKUP($A23,ModelTable,9,FALSE),0)</f>
      </c>
    </row>
    <row r="24" spans="1:7" x14ac:dyDescent="0.25">
      <c r="A24" s="8" t="s">
        <v>26</v>
      </c>
      <c r="B24" s="8">
        <v>5</v>
      </c>
      <c r="C24" s="9">
        <f>IFERROR(VLOOKUP($A24,ModelTable,2,FALSE),"")</f>
      </c>
      <c r="D24">
        <f>IFERROR(VLOOKUP($A24,ModelTable,4,FALSE),"")</f>
      </c>
      <c r="E24" s="9">
        <f>IFERROR($B24*VLOOKUP($A24,ModelTable,3,FALSE),0)</f>
      </c>
      <c r="F24" s="9">
        <f>IFERROR($B24*VLOOKUP($A24,ModelTable,2,FALSE),0)</f>
      </c>
      <c r="G24">
        <f>IFERROR($B24*VLOOKUP($A24,ModelTable,9,FALSE),0)</f>
      </c>
    </row>
    <row r="25" spans="1:7" x14ac:dyDescent="0.25">
      <c r="A25" s="8"/>
      <c r="B25" s="8"/>
      <c r="C25" s="9">
        <f>IFERROR(VLOOKUP($A25,ModelTable,2,FALSE),"")</f>
      </c>
      <c r="D25">
        <f>IFERROR(VLOOKUP($A25,ModelTable,4,FALSE),"")</f>
      </c>
      <c r="E25" s="9">
        <f>IFERROR($B25*VLOOKUP($A25,ModelTable,3,FALSE),0)</f>
      </c>
      <c r="F25" s="9">
        <f>IFERROR($B25*VLOOKUP($A25,ModelTable,2,FALSE),0)</f>
      </c>
      <c r="G25">
        <f>IFERROR($B25*VLOOKUP($A25,ModelTable,9,FALSE),0)</f>
      </c>
    </row>
    <row r="26" spans="1:7" x14ac:dyDescent="0.25">
      <c r="A26" s="8"/>
      <c r="B26" s="8"/>
      <c r="C26" s="9">
        <f>IFERROR(VLOOKUP($A26,ModelTable,2,FALSE),"")</f>
      </c>
      <c r="D26">
        <f>IFERROR(VLOOKUP($A26,ModelTable,4,FALSE),"")</f>
      </c>
      <c r="E26" s="9">
        <f>IFERROR($B26*VLOOKUP($A26,ModelTable,3,FALSE),0)</f>
      </c>
      <c r="F26" s="9">
        <f>IFERROR($B26*VLOOKUP($A26,ModelTable,2,FALSE),0)</f>
      </c>
      <c r="G26">
        <f>IFERROR($B26*VLOOKUP($A26,ModelTable,9,FALSE),0)</f>
      </c>
    </row>
    <row r="27" spans="1:7" x14ac:dyDescent="0.25">
      <c r="A27" s="8"/>
      <c r="B27" s="8"/>
      <c r="C27" s="9">
        <f>IFERROR(VLOOKUP($A27,ModelTable,2,FALSE),"")</f>
      </c>
      <c r="D27">
        <f>IFERROR(VLOOKUP($A27,ModelTable,4,FALSE),"")</f>
      </c>
      <c r="E27" s="9">
        <f>IFERROR($B27*VLOOKUP($A27,ModelTable,3,FALSE),0)</f>
      </c>
      <c r="F27" s="9">
        <f>IFERROR($B27*VLOOKUP($A27,ModelTable,2,FALSE),0)</f>
      </c>
      <c r="G27">
        <f>IFERROR($B27*VLOOKUP($A27,ModelTable,9,FALSE),0)</f>
      </c>
    </row>
    <row r="28" spans="1:7" x14ac:dyDescent="0.25">
      <c r="A28" s="8"/>
      <c r="B28" s="8"/>
      <c r="C28" s="9">
        <f>IFERROR(VLOOKUP($A28,ModelTable,2,FALSE),"")</f>
      </c>
      <c r="D28">
        <f>IFERROR(VLOOKUP($A28,ModelTable,4,FALSE),"")</f>
      </c>
      <c r="E28" s="9">
        <f>IFERROR($B28*VLOOKUP($A28,ModelTable,3,FALSE),0)</f>
      </c>
      <c r="F28" s="9">
        <f>IFERROR($B28*VLOOKUP($A28,ModelTable,2,FALSE),0)</f>
      </c>
      <c r="G28">
        <f>IFERROR($B28*VLOOKUP($A28,ModelTable,9,FALSE),0)</f>
      </c>
    </row>
    <row r="30" spans="1:2" x14ac:dyDescent="0.25">
      <c r="A30" s="4" t="s">
        <v>27</v>
      </c>
      <c r="B30">
        <f>SUM(B23:B28)</f>
      </c>
    </row>
    <row r="31" spans="1:2" x14ac:dyDescent="0.25">
      <c r="A31" s="4" t="s">
        <v>28</v>
      </c>
      <c r="B31">
        <f>SUMPRODUCT((D23:D28="DCFC")*B23:B28)</f>
      </c>
    </row>
    <row r="32" spans="1:2" x14ac:dyDescent="0.25">
      <c r="A32" s="4" t="s">
        <v>29</v>
      </c>
      <c r="B32">
        <f>SUMPRODUCT((D23:D28="L2")*B23:B28)</f>
      </c>
    </row>
    <row r="33" spans="1:2" x14ac:dyDescent="0.25">
      <c r="A33" s="4" t="s">
        <v>30</v>
      </c>
      <c r="B33">
        <f>SUM(G23:G28)</f>
      </c>
    </row>
    <row r="35" spans="1:1" x14ac:dyDescent="0.25">
      <c r="A35" s="3" t="s">
        <v>31</v>
      </c>
    </row>
    <row r="36" spans="1:2" x14ac:dyDescent="0.25">
      <c r="A36" s="4" t="s">
        <v>32</v>
      </c>
      <c r="B36" s="5">
        <v>100</v>
      </c>
    </row>
    <row r="37" spans="1:2" x14ac:dyDescent="0.25">
      <c r="A37" s="4" t="s">
        <v>33</v>
      </c>
      <c r="B37" s="5">
        <v>15</v>
      </c>
    </row>
    <row r="38" spans="1:2" x14ac:dyDescent="0.25">
      <c r="A38" s="4" t="s">
        <v>34</v>
      </c>
      <c r="B38" s="5" t="s">
        <v>35</v>
      </c>
    </row>
    <row r="39" spans="1:2" x14ac:dyDescent="0.25">
      <c r="A39" s="4" t="s">
        <v>36</v>
      </c>
      <c r="B39" s="5">
        <f>B36+B37*MAX(0,NTotal-1)</f>
      </c>
    </row>
    <row r="41" spans="1:1" x14ac:dyDescent="0.25">
      <c r="A41" s="3" t="s">
        <v>37</v>
      </c>
    </row>
    <row r="42" spans="1:2" x14ac:dyDescent="0.25">
      <c r="A42" s="4" t="s">
        <v>38</v>
      </c>
      <c r="B42" s="5" t="s">
        <v>39</v>
      </c>
    </row>
    <row r="43" spans="1:2" x14ac:dyDescent="0.25">
      <c r="A43" s="4" t="s">
        <v>40</v>
      </c>
      <c r="B43" s="5" t="s">
        <v>39</v>
      </c>
    </row>
    <row r="44" spans="1:2" x14ac:dyDescent="0.25">
      <c r="A44" s="4" t="s">
        <v>41</v>
      </c>
      <c r="B44" s="5" t="s">
        <v>39</v>
      </c>
    </row>
    <row r="45" spans="1:2" x14ac:dyDescent="0.25">
      <c r="A45" s="4" t="s">
        <v>42</v>
      </c>
      <c r="B45" s="5" t="s">
        <v>39</v>
      </c>
    </row>
    <row r="46" spans="1:2" x14ac:dyDescent="0.25">
      <c r="A46" s="4" t="s">
        <v>43</v>
      </c>
      <c r="B46" s="5" t="s">
        <v>39</v>
      </c>
    </row>
    <row r="47" spans="1:2" x14ac:dyDescent="0.25">
      <c r="A47" s="4" t="s">
        <v>44</v>
      </c>
      <c r="B47" s="5" t="s">
        <v>39</v>
      </c>
    </row>
    <row r="49" spans="1:1" x14ac:dyDescent="0.25">
      <c r="A49" s="3" t="s">
        <v>45</v>
      </c>
    </row>
    <row r="50" spans="1:3" x14ac:dyDescent="0.25">
      <c r="A50" s="4" t="s">
        <v>46</v>
      </c>
      <c r="B50" s="5">
        <v>1</v>
      </c>
      <c r="C50" s="10" t="s">
        <v>47</v>
      </c>
    </row>
    <row r="51" spans="1:2" x14ac:dyDescent="0.25">
      <c r="A51" s="4" t="s">
        <v>48</v>
      </c>
      <c r="B51" s="11">
        <v>0</v>
      </c>
    </row>
    <row r="52" spans="1:2" x14ac:dyDescent="0.25">
      <c r="A52" s="4" t="s">
        <v>49</v>
      </c>
      <c r="B52" s="11">
        <v>39.99</v>
      </c>
    </row>
    <row r="53" spans="1:2" x14ac:dyDescent="0.25">
      <c r="A53" s="4" t="s">
        <v>50</v>
      </c>
      <c r="B53" s="5">
        <v>5</v>
      </c>
    </row>
    <row r="54" spans="1:2" x14ac:dyDescent="0.25">
      <c r="A54" s="4" t="s">
        <v>51</v>
      </c>
      <c r="B54" s="11">
        <v>0</v>
      </c>
    </row>
    <row r="55" spans="1:2" x14ac:dyDescent="0.25">
      <c r="A55" s="4" t="s">
        <v>52</v>
      </c>
      <c r="B55" s="12">
        <v>0.0839</v>
      </c>
    </row>
    <row r="56" spans="1:2" x14ac:dyDescent="0.25">
      <c r="A56" s="4" t="s">
        <v>53</v>
      </c>
      <c r="B56" s="5">
        <v>5</v>
      </c>
    </row>
    <row r="58" spans="1:2" x14ac:dyDescent="0.25">
      <c r="A58" s="3" t="s">
        <v>54</v>
      </c>
      <c r="B58">
        <f>AdaVan&amp;" van + "&amp;AdaStd&amp;" standard + "&amp;AdaAmb&amp;" ambulatory"</f>
      </c>
    </row>
    <row r="59" spans="1:2" x14ac:dyDescent="0.25">
      <c r="A59" s="3" t="s">
        <v>55</v>
      </c>
      <c r="B59">
        <f>IF(NDcfc&gt;0,SgSuggested&amp;"A switchgear @ 480V","208V service")&amp;IF(TxKvaSuggested&gt;0," + "&amp;TxKvaSuggested&amp;" kVA step-down TX","")</f>
      </c>
    </row>
    <row r="60" spans="1:2" x14ac:dyDescent="0.25">
      <c r="A60" s="13" t="s">
        <v>56</v>
      </c>
      <c r="B60" s="14">
        <f>TotalCost</f>
      </c>
    </row>
    <row r="61" spans="1:2" x14ac:dyDescent="0.25">
      <c r="A61" s="3" t="s">
        <v>57</v>
      </c>
      <c r="B61" s="15">
        <f>CustomerTotal</f>
      </c>
    </row>
    <row r="62" spans="1:2" x14ac:dyDescent="0.25">
      <c r="A62" s="4" t="s">
        <v>58</v>
      </c>
      <c r="B62">
        <f>PaybackYears</f>
      </c>
    </row>
  </sheetData>
  <dataValidations count="3">
    <dataValidation type="list" allowBlank="1" sqref="A23:A28">
      <formula1>RateCard!$A$4:$A$19</formula1>
    </dataValidation>
    <dataValidation type="list" sqref="B38">
      <formula1>"flat,sloped,hilly,rocky"</formula1>
    </dataValidation>
    <dataValidation type="list" sqref="B42:B47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4" width="12" customWidth="1"/>
    <col min="5" max="6" width="14" customWidth="1"/>
  </cols>
  <sheetData>
    <row r="1" spans="1:1" x14ac:dyDescent="0.25">
      <c r="A1" s="16" t="s">
        <v>59</v>
      </c>
    </row>
    <row r="3" spans="1:1" x14ac:dyDescent="0.25">
      <c r="A3" s="3" t="s">
        <v>60</v>
      </c>
    </row>
    <row r="4" spans="1:6" x14ac:dyDescent="0.25">
      <c r="A4" s="7" t="s">
        <v>18</v>
      </c>
      <c r="B4" s="7" t="s">
        <v>19</v>
      </c>
      <c r="C4" s="7" t="s">
        <v>61</v>
      </c>
      <c r="D4" s="7" t="s">
        <v>62</v>
      </c>
      <c r="E4" s="7" t="s">
        <v>63</v>
      </c>
      <c r="F4" s="7" t="s">
        <v>64</v>
      </c>
    </row>
    <row r="5" spans="1:6" x14ac:dyDescent="0.25">
      <c r="A5">
        <f>IF(Intake!$D23="DCFC",Intake!$A23,"")</f>
      </c>
      <c r="B5">
        <f>IF(Intake!$D23="DCFC",Intake!$B23,0)</f>
      </c>
      <c r="C5">
        <f>IF(B5&gt;0,VLOOKUP(Intake!$A23,ModelTable,6,FALSE),"")</f>
      </c>
      <c r="D5">
        <f>IF(B5&gt;0,B5*VLOOKUP(Intake!$A23,ModelTable,7,FALSE),0)</f>
      </c>
      <c r="E5">
        <f>IF(B5&gt;0,VLOOKUP(Intake!$A23,ModelTable,8,FALSE),"")</f>
      </c>
      <c r="F5">
        <f>IF(B5&gt;0,B5*VLOOKUP(Intake!$A23,ModelTable,8,FALSE),0)</f>
      </c>
    </row>
    <row r="6" spans="1:6" x14ac:dyDescent="0.25">
      <c r="A6">
        <f>IF(Intake!$D24="DCFC",Intake!$A24,"")</f>
      </c>
      <c r="B6">
        <f>IF(Intake!$D24="DCFC",Intake!$B24,0)</f>
      </c>
      <c r="C6">
        <f>IF(B6&gt;0,VLOOKUP(Intake!$A24,ModelTable,6,FALSE),"")</f>
      </c>
      <c r="D6">
        <f>IF(B6&gt;0,B6*VLOOKUP(Intake!$A24,ModelTable,7,FALSE),0)</f>
      </c>
      <c r="E6">
        <f>IF(B6&gt;0,VLOOKUP(Intake!$A24,ModelTable,8,FALSE),"")</f>
      </c>
      <c r="F6">
        <f>IF(B6&gt;0,B6*VLOOKUP(Intake!$A24,ModelTable,8,FALSE),0)</f>
      </c>
    </row>
    <row r="7" spans="1:6" x14ac:dyDescent="0.25">
      <c r="A7">
        <f>IF(Intake!$D25="DCFC",Intake!$A25,"")</f>
      </c>
      <c r="B7">
        <f>IF(Intake!$D25="DCFC",Intake!$B25,0)</f>
      </c>
      <c r="C7">
        <f>IF(B7&gt;0,VLOOKUP(Intake!$A25,ModelTable,6,FALSE),"")</f>
      </c>
      <c r="D7">
        <f>IF(B7&gt;0,B7*VLOOKUP(Intake!$A25,ModelTable,7,FALSE),0)</f>
      </c>
      <c r="E7">
        <f>IF(B7&gt;0,VLOOKUP(Intake!$A25,ModelTable,8,FALSE),"")</f>
      </c>
      <c r="F7">
        <f>IF(B7&gt;0,B7*VLOOKUP(Intake!$A25,ModelTable,8,FALSE),0)</f>
      </c>
    </row>
    <row r="8" spans="1:6" x14ac:dyDescent="0.25">
      <c r="A8">
        <f>IF(Intake!$D26="DCFC",Intake!$A26,"")</f>
      </c>
      <c r="B8">
        <f>IF(Intake!$D26="DCFC",Intake!$B26,0)</f>
      </c>
      <c r="C8">
        <f>IF(B8&gt;0,VLOOKUP(Intake!$A26,ModelTable,6,FALSE),"")</f>
      </c>
      <c r="D8">
        <f>IF(B8&gt;0,B8*VLOOKUP(Intake!$A26,ModelTable,7,FALSE),0)</f>
      </c>
      <c r="E8">
        <f>IF(B8&gt;0,VLOOKUP(Intake!$A26,ModelTable,8,FALSE),"")</f>
      </c>
      <c r="F8">
        <f>IF(B8&gt;0,B8*VLOOKUP(Intake!$A26,ModelTable,8,FALSE),0)</f>
      </c>
    </row>
    <row r="9" spans="1:6" x14ac:dyDescent="0.25">
      <c r="A9">
        <f>IF(Intake!$D27="DCFC",Intake!$A27,"")</f>
      </c>
      <c r="B9">
        <f>IF(Intake!$D27="DCFC",Intake!$B27,0)</f>
      </c>
      <c r="C9">
        <f>IF(B9&gt;0,VLOOKUP(Intake!$A27,ModelTable,6,FALSE),"")</f>
      </c>
      <c r="D9">
        <f>IF(B9&gt;0,B9*VLOOKUP(Intake!$A27,ModelTable,7,FALSE),0)</f>
      </c>
      <c r="E9">
        <f>IF(B9&gt;0,VLOOKUP(Intake!$A27,ModelTable,8,FALSE),"")</f>
      </c>
      <c r="F9">
        <f>IF(B9&gt;0,B9*VLOOKUP(Intake!$A27,ModelTable,8,FALSE),0)</f>
      </c>
    </row>
    <row r="10" spans="1:6" x14ac:dyDescent="0.25">
      <c r="A10">
        <f>IF(Intake!$D28="DCFC",Intake!$A28,"")</f>
      </c>
      <c r="B10">
        <f>IF(Intake!$D28="DCFC",Intake!$B28,0)</f>
      </c>
      <c r="C10">
        <f>IF(B10&gt;0,VLOOKUP(Intake!$A28,ModelTable,6,FALSE),"")</f>
      </c>
      <c r="D10">
        <f>IF(B10&gt;0,B10*VLOOKUP(Intake!$A28,ModelTable,7,FALSE),0)</f>
      </c>
      <c r="E10">
        <f>IF(B10&gt;0,VLOOKUP(Intake!$A28,ModelTable,8,FALSE),"")</f>
      </c>
      <c r="F10">
        <f>IF(B10&gt;0,B10*VLOOKUP(Intake!$A28,ModelTable,8,FALSE),0)</f>
      </c>
    </row>
    <row r="11" spans="1:6" x14ac:dyDescent="0.25">
      <c r="A11" s="4" t="s">
        <v>65</v>
      </c>
      <c r="F11">
        <f>SUM(F5:F10)</f>
      </c>
    </row>
    <row r="12" spans="1:6" x14ac:dyDescent="0.25">
      <c r="A12" s="4" t="s">
        <v>66</v>
      </c>
      <c r="F12">
        <f>IF(AND(NDcfc&gt;0,NumL2&gt;0),TxKvaConnected*1000/(480*SQRT(3)),0)</f>
      </c>
    </row>
    <row r="13" spans="1:6" x14ac:dyDescent="0.25">
      <c r="A13" s="3" t="s">
        <v>67</v>
      </c>
      <c r="F13">
        <f>F11+F12</f>
      </c>
    </row>
    <row r="14" spans="1:6" x14ac:dyDescent="0.25">
      <c r="A14" s="3" t="s">
        <v>68</v>
      </c>
      <c r="F14">
        <f>F13*1.25</f>
      </c>
    </row>
    <row r="15" spans="1:6" x14ac:dyDescent="0.25">
      <c r="A15" s="3" t="s">
        <v>69</v>
      </c>
      <c r="F15">
        <f>IF(NDcfc&gt;0,INDEX(SgSizes,MIN(ROWS(SgSizes),COUNTIF(SgSizes,"&lt;"&amp;F14)+1)),0)</f>
      </c>
    </row>
    <row r="16" spans="1:6" x14ac:dyDescent="0.25">
      <c r="A16" s="3" t="s">
        <v>70</v>
      </c>
      <c r="F16" s="9">
        <f>IF(NDcfc&gt;0,VLOOKUP(SgSuggested,SgTable,2,FALSE),0)</f>
      </c>
    </row>
    <row r="18" spans="1:1" x14ac:dyDescent="0.25">
      <c r="A18" s="3" t="s">
        <v>71</v>
      </c>
    </row>
    <row r="19" spans="1:6" x14ac:dyDescent="0.25">
      <c r="A19" s="7" t="s">
        <v>18</v>
      </c>
      <c r="B19" s="7" t="s">
        <v>19</v>
      </c>
      <c r="C19" s="7" t="s">
        <v>61</v>
      </c>
      <c r="D19" s="7" t="s">
        <v>62</v>
      </c>
      <c r="E19" s="7" t="s">
        <v>63</v>
      </c>
      <c r="F19" s="7" t="s">
        <v>64</v>
      </c>
    </row>
    <row r="20" spans="1:6" x14ac:dyDescent="0.25">
      <c r="A20">
        <f>IF(Intake!$D23="L2",Intake!$A23,"")</f>
      </c>
      <c r="B20">
        <f>IF(Intake!$D23="L2",Intake!$B23,0)</f>
      </c>
      <c r="C20">
        <f>IF(B20&gt;0,VLOOKUP(Intake!$A23,ModelTable,6,FALSE),"")</f>
      </c>
      <c r="D20">
        <f>IF(B20&gt;0,B20*VLOOKUP(Intake!$A23,ModelTable,7,FALSE),0)</f>
      </c>
      <c r="E20">
        <f>IF(B20&gt;0,VLOOKUP(Intake!$A23,ModelTable,8,FALSE),"")</f>
      </c>
      <c r="F20">
        <f>IF(B20&gt;0,B20*VLOOKUP(Intake!$A23,ModelTable,8,FALSE),0)</f>
      </c>
    </row>
    <row r="21" spans="1:6" x14ac:dyDescent="0.25">
      <c r="A21">
        <f>IF(Intake!$D24="L2",Intake!$A24,"")</f>
      </c>
      <c r="B21">
        <f>IF(Intake!$D24="L2",Intake!$B24,0)</f>
      </c>
      <c r="C21">
        <f>IF(B21&gt;0,VLOOKUP(Intake!$A24,ModelTable,6,FALSE),"")</f>
      </c>
      <c r="D21">
        <f>IF(B21&gt;0,B21*VLOOKUP(Intake!$A24,ModelTable,7,FALSE),0)</f>
      </c>
      <c r="E21">
        <f>IF(B21&gt;0,VLOOKUP(Intake!$A24,ModelTable,8,FALSE),"")</f>
      </c>
      <c r="F21">
        <f>IF(B21&gt;0,B21*VLOOKUP(Intake!$A24,ModelTable,8,FALSE),0)</f>
      </c>
    </row>
    <row r="22" spans="1:6" x14ac:dyDescent="0.25">
      <c r="A22">
        <f>IF(Intake!$D25="L2",Intake!$A25,"")</f>
      </c>
      <c r="B22">
        <f>IF(Intake!$D25="L2",Intake!$B25,0)</f>
      </c>
      <c r="C22">
        <f>IF(B22&gt;0,VLOOKUP(Intake!$A25,ModelTable,6,FALSE),"")</f>
      </c>
      <c r="D22">
        <f>IF(B22&gt;0,B22*VLOOKUP(Intake!$A25,ModelTable,7,FALSE),0)</f>
      </c>
      <c r="E22">
        <f>IF(B22&gt;0,VLOOKUP(Intake!$A25,ModelTable,8,FALSE),"")</f>
      </c>
      <c r="F22">
        <f>IF(B22&gt;0,B22*VLOOKUP(Intake!$A25,ModelTable,8,FALSE),0)</f>
      </c>
    </row>
    <row r="23" spans="1:6" x14ac:dyDescent="0.25">
      <c r="A23">
        <f>IF(Intake!$D26="L2",Intake!$A26,"")</f>
      </c>
      <c r="B23">
        <f>IF(Intake!$D26="L2",Intake!$B26,0)</f>
      </c>
      <c r="C23">
        <f>IF(B23&gt;0,VLOOKUP(Intake!$A26,ModelTable,6,FALSE),"")</f>
      </c>
      <c r="D23">
        <f>IF(B23&gt;0,B23*VLOOKUP(Intake!$A26,ModelTable,7,FALSE),0)</f>
      </c>
      <c r="E23">
        <f>IF(B23&gt;0,VLOOKUP(Intake!$A26,ModelTable,8,FALSE),"")</f>
      </c>
      <c r="F23">
        <f>IF(B23&gt;0,B23*VLOOKUP(Intake!$A26,ModelTable,8,FALSE),0)</f>
      </c>
    </row>
    <row r="24" spans="1:6" x14ac:dyDescent="0.25">
      <c r="A24">
        <f>IF(Intake!$D27="L2",Intake!$A27,"")</f>
      </c>
      <c r="B24">
        <f>IF(Intake!$D27="L2",Intake!$B27,0)</f>
      </c>
      <c r="C24">
        <f>IF(B24&gt;0,VLOOKUP(Intake!$A27,ModelTable,6,FALSE),"")</f>
      </c>
      <c r="D24">
        <f>IF(B24&gt;0,B24*VLOOKUP(Intake!$A27,ModelTable,7,FALSE),0)</f>
      </c>
      <c r="E24">
        <f>IF(B24&gt;0,VLOOKUP(Intake!$A27,ModelTable,8,FALSE),"")</f>
      </c>
      <c r="F24">
        <f>IF(B24&gt;0,B24*VLOOKUP(Intake!$A27,ModelTable,8,FALSE),0)</f>
      </c>
    </row>
    <row r="25" spans="1:6" x14ac:dyDescent="0.25">
      <c r="A25">
        <f>IF(Intake!$D28="L2",Intake!$A28,"")</f>
      </c>
      <c r="B25">
        <f>IF(Intake!$D28="L2",Intake!$B28,0)</f>
      </c>
      <c r="C25">
        <f>IF(B25&gt;0,VLOOKUP(Intake!$A28,ModelTable,6,FALSE),"")</f>
      </c>
      <c r="D25">
        <f>IF(B25&gt;0,B25*VLOOKUP(Intake!$A28,ModelTable,7,FALSE),0)</f>
      </c>
      <c r="E25">
        <f>IF(B25&gt;0,VLOOKUP(Intake!$A28,ModelTable,8,FALSE),"")</f>
      </c>
      <c r="F25">
        <f>IF(B25&gt;0,B25*VLOOKUP(Intake!$A28,ModelTable,8,FALSE),0)</f>
      </c>
    </row>
    <row r="26" spans="1:6" x14ac:dyDescent="0.25">
      <c r="A26" s="3" t="s">
        <v>72</v>
      </c>
      <c r="F26">
        <f>SUM(F20:F25)</f>
      </c>
    </row>
    <row r="27" spans="1:6" x14ac:dyDescent="0.25">
      <c r="A27" s="3" t="s">
        <v>73</v>
      </c>
      <c r="F27">
        <f>F26*1.25</f>
      </c>
    </row>
    <row r="28" spans="1:6" x14ac:dyDescent="0.25">
      <c r="A28" s="3" t="s">
        <v>74</v>
      </c>
      <c r="F28">
        <f>IF(NumL2&gt;0,INDEX(PnlSizes,MIN(ROWS(PnlSizes),COUNTIF(PnlSizes,"&lt;"&amp;F27)+1)),0)</f>
      </c>
    </row>
    <row r="29" spans="1:6" x14ac:dyDescent="0.25">
      <c r="A29" s="4" t="s">
        <v>75</v>
      </c>
      <c r="F29">
        <f>IF(NumL2=0,"—",IF(F28&gt;=1000,"Distribution panel","Sub-panel"))</f>
      </c>
    </row>
    <row r="30" spans="1:6" x14ac:dyDescent="0.25">
      <c r="A30" s="3" t="s">
        <v>76</v>
      </c>
      <c r="F30" s="9">
        <f>IF(NumL2&gt;0,VLOOKUP(F28,PnlTable,2,FALSE),0)</f>
      </c>
    </row>
    <row r="32" spans="1:1" x14ac:dyDescent="0.25">
      <c r="A32" s="3" t="s">
        <v>77</v>
      </c>
    </row>
    <row r="33" spans="1:6" x14ac:dyDescent="0.25">
      <c r="A33" s="4" t="s">
        <v>78</v>
      </c>
      <c r="F33">
        <f>IF(AND(NDcfc&gt;0,NumL2&gt;0),F26*208*SQRT(3)/1000,0)</f>
      </c>
    </row>
    <row r="34" spans="1:6" x14ac:dyDescent="0.25">
      <c r="A34" s="4" t="s">
        <v>79</v>
      </c>
      <c r="F34">
        <f>F33*1.25</f>
      </c>
    </row>
    <row r="35" spans="1:6" x14ac:dyDescent="0.25">
      <c r="A35" s="3" t="s">
        <v>80</v>
      </c>
      <c r="F35">
        <f>IF(F33&gt;0,INDEX(TxSizes,MIN(ROWS(TxSizes),COUNTIF(TxSizes,"&lt;"&amp;F34)+1)),0)</f>
      </c>
    </row>
    <row r="36" spans="1:6" x14ac:dyDescent="0.25">
      <c r="A36" s="3" t="s">
        <v>81</v>
      </c>
      <c r="F36" s="9">
        <f>IF(F35&gt;0,VLOOKUP(F35,TxTable,2,FALSE),0)</f>
      </c>
    </row>
    <row r="37" spans="1:6" x14ac:dyDescent="0.25">
      <c r="A37" s="4" t="s">
        <v>82</v>
      </c>
      <c r="F37">
        <f>IF(F35&gt;0,F35*1000/(480*SQRT(3)),0)</f>
      </c>
    </row>
    <row r="38" spans="1:6" x14ac:dyDescent="0.25">
      <c r="A38" s="4" t="s">
        <v>83</v>
      </c>
      <c r="F38">
        <f>IF(F35&gt;0,INDEX(StdBrk,MIN(ROWS(StdBrk),COUNTIF(StdBrk,"&lt;"&amp;F37*1.25)+1)),0)</f>
      </c>
    </row>
    <row r="39" spans="1:6" x14ac:dyDescent="0.25">
      <c r="A39" s="4" t="s">
        <v>84</v>
      </c>
      <c r="F39" s="9">
        <f>IF(F38&gt;0,IFERROR(VLOOKUP(F38,BrkTbl480,2,FALSE),0),0)</f>
      </c>
    </row>
    <row r="41" spans="1:1" x14ac:dyDescent="0.25">
      <c r="A41" s="3" t="s">
        <v>85</v>
      </c>
    </row>
    <row r="42" spans="1:6" x14ac:dyDescent="0.25">
      <c r="A42" s="7" t="s">
        <v>18</v>
      </c>
      <c r="B42" s="7" t="s">
        <v>61</v>
      </c>
      <c r="C42" s="7" t="s">
        <v>86</v>
      </c>
      <c r="D42" s="7" t="s">
        <v>62</v>
      </c>
      <c r="E42" s="7" t="s">
        <v>87</v>
      </c>
      <c r="F42" s="7" t="s">
        <v>88</v>
      </c>
    </row>
    <row r="43" spans="1:6" x14ac:dyDescent="0.25">
      <c r="A43">
        <f>IF(Intake!$B23&gt;0,Intake!$A23,"")</f>
      </c>
      <c r="B43">
        <f>IF(Intake!$B23&gt;0,VLOOKUP(Intake!$A23,ModelTable,6,FALSE),"")</f>
      </c>
      <c r="C43">
        <f>IF(Intake!$B23&gt;0,VLOOKUP(Intake!$A23,ModelTable,5,FALSE),"")</f>
      </c>
      <c r="D43">
        <f>IF(Intake!$B23&gt;0,Intake!$B23*VLOOKUP(Intake!$A23,ModelTable,7,FALSE),0)</f>
      </c>
      <c r="E43" s="9">
        <f>IF(D43&gt;0,IF(C43=480,IFERROR(VLOOKUP(B43,BrkTbl480,2,FALSE),0),IFERROR(VLOOKUP(B43,BrkTbl208,2,FALSE),0)),0)</f>
      </c>
      <c r="F43" s="9">
        <f>D43*E43</f>
      </c>
    </row>
    <row r="44" spans="1:6" x14ac:dyDescent="0.25">
      <c r="A44">
        <f>IF(Intake!$B24&gt;0,Intake!$A24,"")</f>
      </c>
      <c r="B44">
        <f>IF(Intake!$B24&gt;0,VLOOKUP(Intake!$A24,ModelTable,6,FALSE),"")</f>
      </c>
      <c r="C44">
        <f>IF(Intake!$B24&gt;0,VLOOKUP(Intake!$A24,ModelTable,5,FALSE),"")</f>
      </c>
      <c r="D44">
        <f>IF(Intake!$B24&gt;0,Intake!$B24*VLOOKUP(Intake!$A24,ModelTable,7,FALSE),0)</f>
      </c>
      <c r="E44" s="9">
        <f>IF(D44&gt;0,IF(C44=480,IFERROR(VLOOKUP(B44,BrkTbl480,2,FALSE),0),IFERROR(VLOOKUP(B44,BrkTbl208,2,FALSE),0)),0)</f>
      </c>
      <c r="F44" s="9">
        <f>D44*E44</f>
      </c>
    </row>
    <row r="45" spans="1:6" x14ac:dyDescent="0.25">
      <c r="A45">
        <f>IF(Intake!$B25&gt;0,Intake!$A25,"")</f>
      </c>
      <c r="B45">
        <f>IF(Intake!$B25&gt;0,VLOOKUP(Intake!$A25,ModelTable,6,FALSE),"")</f>
      </c>
      <c r="C45">
        <f>IF(Intake!$B25&gt;0,VLOOKUP(Intake!$A25,ModelTable,5,FALSE),"")</f>
      </c>
      <c r="D45">
        <f>IF(Intake!$B25&gt;0,Intake!$B25*VLOOKUP(Intake!$A25,ModelTable,7,FALSE),0)</f>
      </c>
      <c r="E45" s="9">
        <f>IF(D45&gt;0,IF(C45=480,IFERROR(VLOOKUP(B45,BrkTbl480,2,FALSE),0),IFERROR(VLOOKUP(B45,BrkTbl208,2,FALSE),0)),0)</f>
      </c>
      <c r="F45" s="9">
        <f>D45*E45</f>
      </c>
    </row>
    <row r="46" spans="1:6" x14ac:dyDescent="0.25">
      <c r="A46">
        <f>IF(Intake!$B26&gt;0,Intake!$A26,"")</f>
      </c>
      <c r="B46">
        <f>IF(Intake!$B26&gt;0,VLOOKUP(Intake!$A26,ModelTable,6,FALSE),"")</f>
      </c>
      <c r="C46">
        <f>IF(Intake!$B26&gt;0,VLOOKUP(Intake!$A26,ModelTable,5,FALSE),"")</f>
      </c>
      <c r="D46">
        <f>IF(Intake!$B26&gt;0,Intake!$B26*VLOOKUP(Intake!$A26,ModelTable,7,FALSE),0)</f>
      </c>
      <c r="E46" s="9">
        <f>IF(D46&gt;0,IF(C46=480,IFERROR(VLOOKUP(B46,BrkTbl480,2,FALSE),0),IFERROR(VLOOKUP(B46,BrkTbl208,2,FALSE),0)),0)</f>
      </c>
      <c r="F46" s="9">
        <f>D46*E46</f>
      </c>
    </row>
    <row r="47" spans="1:6" x14ac:dyDescent="0.25">
      <c r="A47">
        <f>IF(Intake!$B27&gt;0,Intake!$A27,"")</f>
      </c>
      <c r="B47">
        <f>IF(Intake!$B27&gt;0,VLOOKUP(Intake!$A27,ModelTable,6,FALSE),"")</f>
      </c>
      <c r="C47">
        <f>IF(Intake!$B27&gt;0,VLOOKUP(Intake!$A27,ModelTable,5,FALSE),"")</f>
      </c>
      <c r="D47">
        <f>IF(Intake!$B27&gt;0,Intake!$B27*VLOOKUP(Intake!$A27,ModelTable,7,FALSE),0)</f>
      </c>
      <c r="E47" s="9">
        <f>IF(D47&gt;0,IF(C47=480,IFERROR(VLOOKUP(B47,BrkTbl480,2,FALSE),0),IFERROR(VLOOKUP(B47,BrkTbl208,2,FALSE),0)),0)</f>
      </c>
      <c r="F47" s="9">
        <f>D47*E47</f>
      </c>
    </row>
    <row r="48" spans="1:6" x14ac:dyDescent="0.25">
      <c r="A48">
        <f>IF(Intake!$B28&gt;0,Intake!$A28,"")</f>
      </c>
      <c r="B48">
        <f>IF(Intake!$B28&gt;0,VLOOKUP(Intake!$A28,ModelTable,6,FALSE),"")</f>
      </c>
      <c r="C48">
        <f>IF(Intake!$B28&gt;0,VLOOKUP(Intake!$A28,ModelTable,5,FALSE),"")</f>
      </c>
      <c r="D48">
        <f>IF(Intake!$B28&gt;0,Intake!$B28*VLOOKUP(Intake!$A28,ModelTable,7,FALSE),0)</f>
      </c>
      <c r="E48" s="9">
        <f>IF(D48&gt;0,IF(C48=480,IFERROR(VLOOKUP(B48,BrkTbl480,2,FALSE),0),IFERROR(VLOOKUP(B48,BrkTbl208,2,FALSE),0)),0)</f>
      </c>
      <c r="F48" s="9">
        <f>D48*E48</f>
      </c>
    </row>
    <row r="49" spans="1:6" x14ac:dyDescent="0.25">
      <c r="A49" s="3" t="s">
        <v>89</v>
      </c>
      <c r="F49" s="9">
        <f>SUM(F43:F48)+F39</f>
      </c>
    </row>
    <row r="51" spans="1:6" x14ac:dyDescent="0.25">
      <c r="A51" s="17" t="s">
        <v>90</v>
      </c>
      <c r="F51" s="18">
        <f>F16+F30+F36+F49</f>
      </c>
    </row>
    <row r="53" spans="1:1" x14ac:dyDescent="0.25">
      <c r="A53" s="19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3" width="26" customWidth="1"/>
    <col min="5" max="5" width="7" customWidth="1"/>
    <col min="6" max="11" width="11" customWidth="1"/>
    <col min="12" max="12" width="7" customWidth="1"/>
    <col min="14" max="14" width="26" customWidth="1"/>
    <col min="15" max="15" width="5" customWidth="1"/>
    <col min="16" max="16" width="4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  <col min="27" max="27" width="9" hidden="1" customWidth="1"/>
  </cols>
  <sheetData>
    <row r="1" spans="2:15" x14ac:dyDescent="0.25">
      <c r="B1" s="20" t="s">
        <v>92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8:18" x14ac:dyDescent="0.25">
      <c r="R2" s="21" t="s">
        <v>93</v>
      </c>
    </row>
    <row r="3" spans="2:20" x14ac:dyDescent="0.25">
      <c r="B3" s="22" t="s">
        <v>94</v>
      </c>
      <c r="C3" t="s">
        <v>95</v>
      </c>
      <c r="D3" s="22" t="s">
        <v>96</v>
      </c>
      <c r="E3" t="s">
        <v>97</v>
      </c>
      <c r="H3" s="22" t="s">
        <v>98</v>
      </c>
      <c r="I3" t="s">
        <v>99</v>
      </c>
      <c r="M3" s="22" t="s">
        <v>100</v>
      </c>
      <c r="N3">
        <f>SgSuggested&amp;" A 3P"</f>
      </c>
      <c r="S3">
        <f>IF(Intake!$D$23="DCFC",Intake!$B$23*IFERROR(VLOOKUP(Intake!$A$23,ModelTable,7,FALSE),0),0)</f>
      </c>
      <c r="T3">
        <v>0</v>
      </c>
    </row>
    <row r="4" spans="4:20" x14ac:dyDescent="0.25">
      <c r="D4" s="22" t="s">
        <v>101</v>
      </c>
      <c r="E4">
        <f>"UTILITY"</f>
      </c>
      <c r="H4" s="22" t="s">
        <v>102</v>
      </c>
      <c r="I4" t="s">
        <v>103</v>
      </c>
      <c r="M4" s="22" t="s">
        <v>104</v>
      </c>
      <c r="N4">
        <f>SgSuggested&amp;" A"</f>
      </c>
      <c r="S4">
        <f>IF(Intake!$D$24="DCFC",Intake!$B$24*IFERROR(VLOOKUP(Intake!$A$24,ModelTable,7,FALSE),0),0)</f>
      </c>
      <c r="T4">
        <f>T3+S3</f>
      </c>
    </row>
    <row r="5" spans="4:20" x14ac:dyDescent="0.25">
      <c r="D5" s="22" t="s">
        <v>105</v>
      </c>
      <c r="E5" t="s">
        <v>106</v>
      </c>
      <c r="H5" s="22" t="s">
        <v>107</v>
      </c>
      <c r="I5" t="s">
        <v>108</v>
      </c>
      <c r="M5" s="22" t="s">
        <v>109</v>
      </c>
      <c r="N5" t="s">
        <v>110</v>
      </c>
      <c r="S5">
        <f>IF(Intake!$D$25="DCFC",Intake!$B$25*IFERROR(VLOOKUP(Intake!$A$25,ModelTable,7,FALSE),0),0)</f>
      </c>
      <c r="T5">
        <f>T4+S4</f>
      </c>
    </row>
    <row r="6" spans="19:20" x14ac:dyDescent="0.25">
      <c r="S6">
        <f>IF(Intake!$D$26="DCFC",Intake!$B$26*IFERROR(VLOOKUP(Intake!$A$26,ModelTable,7,FALSE),0),0)</f>
      </c>
      <c r="T6">
        <f>T5+S5</f>
      </c>
    </row>
    <row r="7" spans="2:20" x14ac:dyDescent="0.25">
      <c r="B7" s="23" t="s">
        <v>111</v>
      </c>
      <c r="C7" s="23" t="s">
        <v>112</v>
      </c>
      <c r="D7" s="23" t="s">
        <v>113</v>
      </c>
      <c r="E7" s="23" t="s">
        <v>114</v>
      </c>
      <c r="F7" s="23" t="s">
        <v>115</v>
      </c>
      <c r="G7" s="23"/>
      <c r="H7" s="23" t="s">
        <v>116</v>
      </c>
      <c r="I7" s="23"/>
      <c r="J7" s="23" t="s">
        <v>117</v>
      </c>
      <c r="K7" s="23"/>
      <c r="L7" s="23" t="s">
        <v>114</v>
      </c>
      <c r="M7" s="23" t="s">
        <v>113</v>
      </c>
      <c r="N7" s="23" t="s">
        <v>112</v>
      </c>
      <c r="O7" s="23" t="s">
        <v>111</v>
      </c>
      <c r="S7">
        <f>IF(Intake!$D$27="DCFC",Intake!$B$27*IFERROR(VLOOKUP(Intake!$A$27,ModelTable,7,FALSE),0),0)</f>
      </c>
      <c r="T7">
        <f>T6+S6</f>
      </c>
    </row>
    <row r="8" spans="1:20" x14ac:dyDescent="0.25">
      <c r="A8" t="s">
        <v>115</v>
      </c>
      <c r="B8" s="24">
        <v>1</v>
      </c>
      <c r="C8" s="24">
        <f>IF($AA$12=1,$X$12,"")</f>
      </c>
      <c r="D8" s="24">
        <f>IF($AA$12=1,$Y$12,"")</f>
      </c>
      <c r="E8" s="24">
        <f>IF($AA$12=1,3,"")</f>
      </c>
      <c r="F8" s="24">
        <f>IF($AA$12=1,ROUND($Z$12,0),"")</f>
      </c>
      <c r="G8" s="24">
        <f>IF($AA$13=1,ROUND($Z$13,0),"")</f>
      </c>
      <c r="H8" s="24"/>
      <c r="I8" s="24"/>
      <c r="J8" s="24"/>
      <c r="K8" s="24"/>
      <c r="L8" s="24">
        <f>IF($AA$13=1,3,"")</f>
      </c>
      <c r="M8" s="24">
        <f>IF($AA$13=1,$Y$13,"")</f>
      </c>
      <c r="N8" s="24">
        <f>IF($AA$13=1,$X$13,"")</f>
      </c>
      <c r="O8" s="24">
        <v>2</v>
      </c>
      <c r="P8" t="s">
        <v>115</v>
      </c>
      <c r="S8">
        <f>IF(Intake!$D$28="DCFC",Intake!$B$28*IFERROR(VLOOKUP(Intake!$A$28,ModelTable,7,FALSE),0),0)</f>
      </c>
      <c r="T8">
        <f>T7+S7</f>
      </c>
    </row>
    <row r="9" spans="1:19" x14ac:dyDescent="0.25">
      <c r="A9" t="s">
        <v>116</v>
      </c>
      <c r="B9" s="24">
        <v>3</v>
      </c>
      <c r="C9" s="24">
        <f>IF($AA$12=1,"---","")</f>
      </c>
      <c r="D9" s="24"/>
      <c r="E9" s="24"/>
      <c r="F9" s="24"/>
      <c r="G9" s="24"/>
      <c r="H9" s="24">
        <f>IF($AA$12=1,ROUND($Z$12,0),"")</f>
      </c>
      <c r="I9" s="24">
        <f>IF($AA$13=1,ROUND($Z$13,0),"")</f>
      </c>
      <c r="J9" s="24"/>
      <c r="K9" s="24"/>
      <c r="L9" s="24"/>
      <c r="M9" s="24"/>
      <c r="N9" s="24">
        <f>IF($AA$13=1,"---","")</f>
      </c>
      <c r="O9" s="24">
        <v>4</v>
      </c>
      <c r="P9" t="s">
        <v>116</v>
      </c>
      <c r="R9" s="25" t="s">
        <v>118</v>
      </c>
      <c r="S9">
        <f>SUM(S3:S8)</f>
      </c>
    </row>
    <row r="10" spans="1:16" x14ac:dyDescent="0.25">
      <c r="A10" t="s">
        <v>117</v>
      </c>
      <c r="B10" s="24">
        <v>5</v>
      </c>
      <c r="C10" s="24">
        <f>IF($AA$12=1,"---","")</f>
      </c>
      <c r="D10" s="24"/>
      <c r="E10" s="24"/>
      <c r="F10" s="24"/>
      <c r="G10" s="24"/>
      <c r="H10" s="24"/>
      <c r="I10" s="24"/>
      <c r="J10" s="24">
        <f>IF($AA$12=1,ROUND($Z$12,0),"")</f>
      </c>
      <c r="K10" s="24">
        <f>IF($AA$13=1,ROUND($Z$13,0),"")</f>
      </c>
      <c r="L10" s="24"/>
      <c r="M10" s="24"/>
      <c r="N10" s="24">
        <f>IF($AA$13=1,"---","")</f>
      </c>
      <c r="O10" s="24">
        <v>6</v>
      </c>
      <c r="P10" t="s">
        <v>117</v>
      </c>
    </row>
    <row r="11" spans="1:16" x14ac:dyDescent="0.25">
      <c r="A11" t="s">
        <v>115</v>
      </c>
      <c r="B11" s="24">
        <v>7</v>
      </c>
      <c r="C11" s="24">
        <f>IF($AA$14=1,$X$14,"")</f>
      </c>
      <c r="D11" s="24">
        <f>IF($AA$14=1,$Y$14,"")</f>
      </c>
      <c r="E11" s="24">
        <f>IF($AA$14=1,3,"")</f>
      </c>
      <c r="F11" s="24">
        <f>IF($AA$14=1,ROUND($Z$14,0),"")</f>
      </c>
      <c r="G11" s="24">
        <f>IF($AA$15=1,ROUND($Z$15,0),"")</f>
      </c>
      <c r="H11" s="24"/>
      <c r="I11" s="24"/>
      <c r="J11" s="24"/>
      <c r="K11" s="24"/>
      <c r="L11" s="24">
        <f>IF($AA$15=1,3,"")</f>
      </c>
      <c r="M11" s="24">
        <f>IF($AA$15=1,$Y$15,"")</f>
      </c>
      <c r="N11" s="24">
        <f>IF($AA$15=1,$X$15,"")</f>
      </c>
      <c r="O11" s="24">
        <v>8</v>
      </c>
      <c r="P11" t="s">
        <v>115</v>
      </c>
    </row>
    <row r="12" spans="1:27" x14ac:dyDescent="0.25">
      <c r="A12" t="s">
        <v>116</v>
      </c>
      <c r="B12" s="24">
        <v>9</v>
      </c>
      <c r="C12" s="24">
        <f>IF($AA$14=1,"---","")</f>
      </c>
      <c r="D12" s="24"/>
      <c r="E12" s="24"/>
      <c r="F12" s="24"/>
      <c r="G12" s="24"/>
      <c r="H12" s="24">
        <f>IF($AA$14=1,ROUND($Z$14,0),"")</f>
      </c>
      <c r="I12" s="24">
        <f>IF($AA$15=1,ROUND($Z$15,0),"")</f>
      </c>
      <c r="J12" s="24"/>
      <c r="K12" s="24"/>
      <c r="L12" s="24"/>
      <c r="M12" s="24"/>
      <c r="N12" s="24">
        <f>IF($AA$15=1,"---","")</f>
      </c>
      <c r="O12" s="24">
        <v>10</v>
      </c>
      <c r="P12" t="s">
        <v>116</v>
      </c>
      <c r="S12">
        <v>1</v>
      </c>
      <c r="T12">
        <f>IF(S12&lt;=$S$9,MATCH(S12-0.5,$T$3:$T$8,1),0)</f>
      </c>
      <c r="U12">
        <f>IF(T12&gt;0,S12-INDEX($T$3:$T$8,T12),0)</f>
      </c>
      <c r="V12">
        <f>IF(T12&gt;0,INDEX(Intake!$A$23:$A$28,T12),"")</f>
      </c>
      <c r="W12">
        <f>IF(T12&gt;0,IFERROR(VLOOKUP(V12,ModelTable,7,FALSE),1),1)</f>
      </c>
      <c r="X12">
        <f>IF(T12&gt;0,UPPER(V12)&amp;" #"&amp;U12,IF(S12=$S$9+1,IF(TxKvaSuggested&gt;0,"XFMR "&amp;TxKvaSuggested&amp;" KVA - EV_SUB (208V)",""),""))</f>
      </c>
      <c r="Y12">
        <f>IF(T12&gt;0,IFERROR(VLOOKUP(V12,ModelTable,6,FALSE),0),IF(S12=$S$9+1,IF(TxKvaSuggested&gt;0,Panel!$F$38,0),0))</f>
      </c>
      <c r="Z12">
        <f>IF(T12&gt;0,IFERROR(VLOOKUP(V12,ModelTable,11,FALSE),0)*480/SQRT(3),IF(S12=$S$9+1,IF(TxKvaSuggested&gt;0,TxKvaConnected*1000/3,0),0))</f>
      </c>
      <c r="AA12">
        <f>IF(S12&lt;=$S$9,1,IF(S12=$S$9+1,IF(TxKvaSuggested&gt;0,1,0),0))</f>
      </c>
    </row>
    <row r="13" spans="1:27" x14ac:dyDescent="0.25">
      <c r="A13" t="s">
        <v>117</v>
      </c>
      <c r="B13" s="24">
        <v>11</v>
      </c>
      <c r="C13" s="24">
        <f>IF($AA$14=1,"---","")</f>
      </c>
      <c r="D13" s="24"/>
      <c r="E13" s="24"/>
      <c r="F13" s="24"/>
      <c r="G13" s="24"/>
      <c r="H13" s="24"/>
      <c r="I13" s="24"/>
      <c r="J13" s="24">
        <f>IF($AA$14=1,ROUND($Z$14,0),"")</f>
      </c>
      <c r="K13" s="24">
        <f>IF($AA$15=1,ROUND($Z$15,0),"")</f>
      </c>
      <c r="L13" s="24"/>
      <c r="M13" s="24"/>
      <c r="N13" s="24">
        <f>IF($AA$15=1,"---","")</f>
      </c>
      <c r="O13" s="24">
        <v>12</v>
      </c>
      <c r="P13" t="s">
        <v>117</v>
      </c>
      <c r="S13">
        <v>2</v>
      </c>
      <c r="T13">
        <f>IF(S13&lt;=$S$9,MATCH(S13-0.5,$T$3:$T$8,1),0)</f>
      </c>
      <c r="U13">
        <f>IF(T13&gt;0,S13-INDEX($T$3:$T$8,T13),0)</f>
      </c>
      <c r="V13">
        <f>IF(T13&gt;0,INDEX(Intake!$A$23:$A$28,T13),"")</f>
      </c>
      <c r="W13">
        <f>IF(T13&gt;0,IFERROR(VLOOKUP(V13,ModelTable,7,FALSE),1),1)</f>
      </c>
      <c r="X13">
        <f>IF(T13&gt;0,UPPER(V13)&amp;" #"&amp;U13,IF(S13=$S$9+1,IF(TxKvaSuggested&gt;0,"XFMR "&amp;TxKvaSuggested&amp;" KVA - EV_SUB (208V)",""),""))</f>
      </c>
      <c r="Y13">
        <f>IF(T13&gt;0,IFERROR(VLOOKUP(V13,ModelTable,6,FALSE),0),IF(S13=$S$9+1,IF(TxKvaSuggested&gt;0,Panel!$F$38,0),0))</f>
      </c>
      <c r="Z13">
        <f>IF(T13&gt;0,IFERROR(VLOOKUP(V13,ModelTable,11,FALSE),0)*480/SQRT(3),IF(S13=$S$9+1,IF(TxKvaSuggested&gt;0,TxKvaConnected*1000/3,0),0))</f>
      </c>
      <c r="AA13">
        <f>IF(S13&lt;=$S$9,1,IF(S13=$S$9+1,IF(TxKvaSuggested&gt;0,1,0),0))</f>
      </c>
    </row>
    <row r="14" spans="1:27" x14ac:dyDescent="0.25">
      <c r="A14" t="s">
        <v>115</v>
      </c>
      <c r="B14" s="24">
        <v>13</v>
      </c>
      <c r="C14" s="24">
        <f>IF($AA$16=1,$X$16,"")</f>
      </c>
      <c r="D14" s="24">
        <f>IF($AA$16=1,$Y$16,"")</f>
      </c>
      <c r="E14" s="24">
        <f>IF($AA$16=1,3,"")</f>
      </c>
      <c r="F14" s="24">
        <f>IF($AA$16=1,ROUND($Z$16,0),"")</f>
      </c>
      <c r="G14" s="24">
        <f>IF($AA$17=1,ROUND($Z$17,0),"")</f>
      </c>
      <c r="H14" s="24"/>
      <c r="I14" s="24"/>
      <c r="J14" s="24"/>
      <c r="K14" s="24"/>
      <c r="L14" s="24">
        <f>IF($AA$17=1,3,"")</f>
      </c>
      <c r="M14" s="24">
        <f>IF($AA$17=1,$Y$17,"")</f>
      </c>
      <c r="N14" s="24">
        <f>IF($AA$17=1,$X$17,"")</f>
      </c>
      <c r="O14" s="24">
        <v>14</v>
      </c>
      <c r="P14" t="s">
        <v>115</v>
      </c>
      <c r="S14">
        <v>3</v>
      </c>
      <c r="T14">
        <f>IF(S14&lt;=$S$9,MATCH(S14-0.5,$T$3:$T$8,1),0)</f>
      </c>
      <c r="U14">
        <f>IF(T14&gt;0,S14-INDEX($T$3:$T$8,T14),0)</f>
      </c>
      <c r="V14">
        <f>IF(T14&gt;0,INDEX(Intake!$A$23:$A$28,T14),"")</f>
      </c>
      <c r="W14">
        <f>IF(T14&gt;0,IFERROR(VLOOKUP(V14,ModelTable,7,FALSE),1),1)</f>
      </c>
      <c r="X14">
        <f>IF(T14&gt;0,UPPER(V14)&amp;" #"&amp;U14,IF(S14=$S$9+1,IF(TxKvaSuggested&gt;0,"XFMR "&amp;TxKvaSuggested&amp;" KVA - EV_SUB (208V)",""),""))</f>
      </c>
      <c r="Y14">
        <f>IF(T14&gt;0,IFERROR(VLOOKUP(V14,ModelTable,6,FALSE),0),IF(S14=$S$9+1,IF(TxKvaSuggested&gt;0,Panel!$F$38,0),0))</f>
      </c>
      <c r="Z14">
        <f>IF(T14&gt;0,IFERROR(VLOOKUP(V14,ModelTable,11,FALSE),0)*480/SQRT(3),IF(S14=$S$9+1,IF(TxKvaSuggested&gt;0,TxKvaConnected*1000/3,0),0))</f>
      </c>
      <c r="AA14">
        <f>IF(S14&lt;=$S$9,1,IF(S14=$S$9+1,IF(TxKvaSuggested&gt;0,1,0),0))</f>
      </c>
    </row>
    <row r="15" spans="1:27" x14ac:dyDescent="0.25">
      <c r="A15" t="s">
        <v>116</v>
      </c>
      <c r="B15" s="24">
        <v>15</v>
      </c>
      <c r="C15" s="24">
        <f>IF($AA$16=1,"---","")</f>
      </c>
      <c r="D15" s="24"/>
      <c r="E15" s="24"/>
      <c r="F15" s="24"/>
      <c r="G15" s="24"/>
      <c r="H15" s="24">
        <f>IF($AA$16=1,ROUND($Z$16,0),"")</f>
      </c>
      <c r="I15" s="24">
        <f>IF($AA$17=1,ROUND($Z$17,0),"")</f>
      </c>
      <c r="J15" s="24"/>
      <c r="K15" s="24"/>
      <c r="L15" s="24"/>
      <c r="M15" s="24"/>
      <c r="N15" s="24">
        <f>IF($AA$17=1,"---","")</f>
      </c>
      <c r="O15" s="24">
        <v>16</v>
      </c>
      <c r="P15" t="s">
        <v>116</v>
      </c>
      <c r="S15">
        <v>4</v>
      </c>
      <c r="T15">
        <f>IF(S15&lt;=$S$9,MATCH(S15-0.5,$T$3:$T$8,1),0)</f>
      </c>
      <c r="U15">
        <f>IF(T15&gt;0,S15-INDEX($T$3:$T$8,T15),0)</f>
      </c>
      <c r="V15">
        <f>IF(T15&gt;0,INDEX(Intake!$A$23:$A$28,T15),"")</f>
      </c>
      <c r="W15">
        <f>IF(T15&gt;0,IFERROR(VLOOKUP(V15,ModelTable,7,FALSE),1),1)</f>
      </c>
      <c r="X15">
        <f>IF(T15&gt;0,UPPER(V15)&amp;" #"&amp;U15,IF(S15=$S$9+1,IF(TxKvaSuggested&gt;0,"XFMR "&amp;TxKvaSuggested&amp;" KVA - EV_SUB (208V)",""),""))</f>
      </c>
      <c r="Y15">
        <f>IF(T15&gt;0,IFERROR(VLOOKUP(V15,ModelTable,6,FALSE),0),IF(S15=$S$9+1,IF(TxKvaSuggested&gt;0,Panel!$F$38,0),0))</f>
      </c>
      <c r="Z15">
        <f>IF(T15&gt;0,IFERROR(VLOOKUP(V15,ModelTable,11,FALSE),0)*480/SQRT(3),IF(S15=$S$9+1,IF(TxKvaSuggested&gt;0,TxKvaConnected*1000/3,0),0))</f>
      </c>
      <c r="AA15">
        <f>IF(S15&lt;=$S$9,1,IF(S15=$S$9+1,IF(TxKvaSuggested&gt;0,1,0),0))</f>
      </c>
    </row>
    <row r="16" spans="1:27" x14ac:dyDescent="0.25">
      <c r="A16" t="s">
        <v>117</v>
      </c>
      <c r="B16" s="24">
        <v>17</v>
      </c>
      <c r="C16" s="24">
        <f>IF($AA$16=1,"---","")</f>
      </c>
      <c r="D16" s="24"/>
      <c r="E16" s="24"/>
      <c r="F16" s="24"/>
      <c r="G16" s="24"/>
      <c r="H16" s="24"/>
      <c r="I16" s="24"/>
      <c r="J16" s="24">
        <f>IF($AA$16=1,ROUND($Z$16,0),"")</f>
      </c>
      <c r="K16" s="24">
        <f>IF($AA$17=1,ROUND($Z$17,0),"")</f>
      </c>
      <c r="L16" s="24"/>
      <c r="M16" s="24"/>
      <c r="N16" s="24">
        <f>IF($AA$17=1,"---","")</f>
      </c>
      <c r="O16" s="24">
        <v>18</v>
      </c>
      <c r="P16" t="s">
        <v>117</v>
      </c>
      <c r="S16">
        <v>5</v>
      </c>
      <c r="T16">
        <f>IF(S16&lt;=$S$9,MATCH(S16-0.5,$T$3:$T$8,1),0)</f>
      </c>
      <c r="U16">
        <f>IF(T16&gt;0,S16-INDEX($T$3:$T$8,T16),0)</f>
      </c>
      <c r="V16">
        <f>IF(T16&gt;0,INDEX(Intake!$A$23:$A$28,T16),"")</f>
      </c>
      <c r="W16">
        <f>IF(T16&gt;0,IFERROR(VLOOKUP(V16,ModelTable,7,FALSE),1),1)</f>
      </c>
      <c r="X16">
        <f>IF(T16&gt;0,UPPER(V16)&amp;" #"&amp;U16,IF(S16=$S$9+1,IF(TxKvaSuggested&gt;0,"XFMR "&amp;TxKvaSuggested&amp;" KVA - EV_SUB (208V)",""),""))</f>
      </c>
      <c r="Y16">
        <f>IF(T16&gt;0,IFERROR(VLOOKUP(V16,ModelTable,6,FALSE),0),IF(S16=$S$9+1,IF(TxKvaSuggested&gt;0,Panel!$F$38,0),0))</f>
      </c>
      <c r="Z16">
        <f>IF(T16&gt;0,IFERROR(VLOOKUP(V16,ModelTable,11,FALSE),0)*480/SQRT(3),IF(S16=$S$9+1,IF(TxKvaSuggested&gt;0,TxKvaConnected*1000/3,0),0))</f>
      </c>
      <c r="AA16">
        <f>IF(S16&lt;=$S$9,1,IF(S16=$S$9+1,IF(TxKvaSuggested&gt;0,1,0),0))</f>
      </c>
    </row>
    <row r="17" spans="1:27" x14ac:dyDescent="0.25">
      <c r="A17" t="s">
        <v>115</v>
      </c>
      <c r="B17" s="24">
        <v>19</v>
      </c>
      <c r="C17" s="24">
        <f>IF($AA$18=1,$X$18,"")</f>
      </c>
      <c r="D17" s="24">
        <f>IF($AA$18=1,$Y$18,"")</f>
      </c>
      <c r="E17" s="24">
        <f>IF($AA$18=1,3,"")</f>
      </c>
      <c r="F17" s="24">
        <f>IF($AA$18=1,ROUND($Z$18,0),"")</f>
      </c>
      <c r="G17" s="24">
        <f>IF($AA$19=1,ROUND($Z$19,0),"")</f>
      </c>
      <c r="H17" s="24"/>
      <c r="I17" s="24"/>
      <c r="J17" s="24"/>
      <c r="K17" s="24"/>
      <c r="L17" s="24">
        <f>IF($AA$19=1,3,"")</f>
      </c>
      <c r="M17" s="24">
        <f>IF($AA$19=1,$Y$19,"")</f>
      </c>
      <c r="N17" s="24">
        <f>IF($AA$19=1,$X$19,"")</f>
      </c>
      <c r="O17" s="24">
        <v>20</v>
      </c>
      <c r="P17" t="s">
        <v>115</v>
      </c>
      <c r="S17">
        <v>6</v>
      </c>
      <c r="T17">
        <f>IF(S17&lt;=$S$9,MATCH(S17-0.5,$T$3:$T$8,1),0)</f>
      </c>
      <c r="U17">
        <f>IF(T17&gt;0,S17-INDEX($T$3:$T$8,T17),0)</f>
      </c>
      <c r="V17">
        <f>IF(T17&gt;0,INDEX(Intake!$A$23:$A$28,T17),"")</f>
      </c>
      <c r="W17">
        <f>IF(T17&gt;0,IFERROR(VLOOKUP(V17,ModelTable,7,FALSE),1),1)</f>
      </c>
      <c r="X17">
        <f>IF(T17&gt;0,UPPER(V17)&amp;" #"&amp;U17,IF(S17=$S$9+1,IF(TxKvaSuggested&gt;0,"XFMR "&amp;TxKvaSuggested&amp;" KVA - EV_SUB (208V)",""),""))</f>
      </c>
      <c r="Y17">
        <f>IF(T17&gt;0,IFERROR(VLOOKUP(V17,ModelTable,6,FALSE),0),IF(S17=$S$9+1,IF(TxKvaSuggested&gt;0,Panel!$F$38,0),0))</f>
      </c>
      <c r="Z17">
        <f>IF(T17&gt;0,IFERROR(VLOOKUP(V17,ModelTable,11,FALSE),0)*480/SQRT(3),IF(S17=$S$9+1,IF(TxKvaSuggested&gt;0,TxKvaConnected*1000/3,0),0))</f>
      </c>
      <c r="AA17">
        <f>IF(S17&lt;=$S$9,1,IF(S17=$S$9+1,IF(TxKvaSuggested&gt;0,1,0),0))</f>
      </c>
    </row>
    <row r="18" spans="1:27" x14ac:dyDescent="0.25">
      <c r="A18" t="s">
        <v>116</v>
      </c>
      <c r="B18" s="24">
        <v>21</v>
      </c>
      <c r="C18" s="24">
        <f>IF($AA$18=1,"---","")</f>
      </c>
      <c r="D18" s="24"/>
      <c r="E18" s="24"/>
      <c r="F18" s="24"/>
      <c r="G18" s="24"/>
      <c r="H18" s="24">
        <f>IF($AA$18=1,ROUND($Z$18,0),"")</f>
      </c>
      <c r="I18" s="24">
        <f>IF($AA$19=1,ROUND($Z$19,0),"")</f>
      </c>
      <c r="J18" s="24"/>
      <c r="K18" s="24"/>
      <c r="L18" s="24"/>
      <c r="M18" s="24"/>
      <c r="N18" s="24">
        <f>IF($AA$19=1,"---","")</f>
      </c>
      <c r="O18" s="24">
        <v>22</v>
      </c>
      <c r="P18" t="s">
        <v>116</v>
      </c>
      <c r="S18">
        <v>7</v>
      </c>
      <c r="T18">
        <f>IF(S18&lt;=$S$9,MATCH(S18-0.5,$T$3:$T$8,1),0)</f>
      </c>
      <c r="U18">
        <f>IF(T18&gt;0,S18-INDEX($T$3:$T$8,T18),0)</f>
      </c>
      <c r="V18">
        <f>IF(T18&gt;0,INDEX(Intake!$A$23:$A$28,T18),"")</f>
      </c>
      <c r="W18">
        <f>IF(T18&gt;0,IFERROR(VLOOKUP(V18,ModelTable,7,FALSE),1),1)</f>
      </c>
      <c r="X18">
        <f>IF(T18&gt;0,UPPER(V18)&amp;" #"&amp;U18,IF(S18=$S$9+1,IF(TxKvaSuggested&gt;0,"XFMR "&amp;TxKvaSuggested&amp;" KVA - EV_SUB (208V)",""),""))</f>
      </c>
      <c r="Y18">
        <f>IF(T18&gt;0,IFERROR(VLOOKUP(V18,ModelTable,6,FALSE),0),IF(S18=$S$9+1,IF(TxKvaSuggested&gt;0,Panel!$F$38,0),0))</f>
      </c>
      <c r="Z18">
        <f>IF(T18&gt;0,IFERROR(VLOOKUP(V18,ModelTable,11,FALSE),0)*480/SQRT(3),IF(S18=$S$9+1,IF(TxKvaSuggested&gt;0,TxKvaConnected*1000/3,0),0))</f>
      </c>
      <c r="AA18">
        <f>IF(S18&lt;=$S$9,1,IF(S18=$S$9+1,IF(TxKvaSuggested&gt;0,1,0),0))</f>
      </c>
    </row>
    <row r="19" spans="1:27" x14ac:dyDescent="0.25">
      <c r="A19" t="s">
        <v>117</v>
      </c>
      <c r="B19" s="24">
        <v>23</v>
      </c>
      <c r="C19" s="24">
        <f>IF($AA$18=1,"---","")</f>
      </c>
      <c r="D19" s="24"/>
      <c r="E19" s="24"/>
      <c r="F19" s="24"/>
      <c r="G19" s="24"/>
      <c r="H19" s="24"/>
      <c r="I19" s="24"/>
      <c r="J19" s="24">
        <f>IF($AA$18=1,ROUND($Z$18,0),"")</f>
      </c>
      <c r="K19" s="24">
        <f>IF($AA$19=1,ROUND($Z$19,0),"")</f>
      </c>
      <c r="L19" s="24"/>
      <c r="M19" s="24"/>
      <c r="N19" s="24">
        <f>IF($AA$19=1,"---","")</f>
      </c>
      <c r="O19" s="24">
        <v>24</v>
      </c>
      <c r="P19" t="s">
        <v>117</v>
      </c>
      <c r="S19">
        <v>8</v>
      </c>
      <c r="T19">
        <f>IF(S19&lt;=$S$9,MATCH(S19-0.5,$T$3:$T$8,1),0)</f>
      </c>
      <c r="U19">
        <f>IF(T19&gt;0,S19-INDEX($T$3:$T$8,T19),0)</f>
      </c>
      <c r="V19">
        <f>IF(T19&gt;0,INDEX(Intake!$A$23:$A$28,T19),"")</f>
      </c>
      <c r="W19">
        <f>IF(T19&gt;0,IFERROR(VLOOKUP(V19,ModelTable,7,FALSE),1),1)</f>
      </c>
      <c r="X19">
        <f>IF(T19&gt;0,UPPER(V19)&amp;" #"&amp;U19,IF(S19=$S$9+1,IF(TxKvaSuggested&gt;0,"XFMR "&amp;TxKvaSuggested&amp;" KVA - EV_SUB (208V)",""),""))</f>
      </c>
      <c r="Y19">
        <f>IF(T19&gt;0,IFERROR(VLOOKUP(V19,ModelTable,6,FALSE),0),IF(S19=$S$9+1,IF(TxKvaSuggested&gt;0,Panel!$F$38,0),0))</f>
      </c>
      <c r="Z19">
        <f>IF(T19&gt;0,IFERROR(VLOOKUP(V19,ModelTable,11,FALSE),0)*480/SQRT(3),IF(S19=$S$9+1,IF(TxKvaSuggested&gt;0,TxKvaConnected*1000/3,0),0))</f>
      </c>
      <c r="AA19">
        <f>IF(S19&lt;=$S$9,1,IF(S19=$S$9+1,IF(TxKvaSuggested&gt;0,1,0),0))</f>
      </c>
    </row>
    <row r="20" spans="1:27" x14ac:dyDescent="0.25">
      <c r="A20" t="s">
        <v>115</v>
      </c>
      <c r="B20" s="24">
        <v>25</v>
      </c>
      <c r="C20" s="24">
        <f>IF($AA$20=1,$X$20,"")</f>
      </c>
      <c r="D20" s="24">
        <f>IF($AA$20=1,$Y$20,"")</f>
      </c>
      <c r="E20" s="24">
        <f>IF($AA$20=1,3,"")</f>
      </c>
      <c r="F20" s="24">
        <f>IF($AA$20=1,ROUND($Z$20,0),"")</f>
      </c>
      <c r="G20" s="24">
        <f>IF($AA$21=1,ROUND($Z$21,0),"")</f>
      </c>
      <c r="H20" s="24"/>
      <c r="I20" s="24"/>
      <c r="J20" s="24"/>
      <c r="K20" s="24"/>
      <c r="L20" s="24">
        <f>IF($AA$21=1,3,"")</f>
      </c>
      <c r="M20" s="24">
        <f>IF($AA$21=1,$Y$21,"")</f>
      </c>
      <c r="N20" s="24">
        <f>IF($AA$21=1,$X$21,"")</f>
      </c>
      <c r="O20" s="24">
        <v>26</v>
      </c>
      <c r="P20" t="s">
        <v>115</v>
      </c>
      <c r="S20">
        <v>9</v>
      </c>
      <c r="T20">
        <f>IF(S20&lt;=$S$9,MATCH(S20-0.5,$T$3:$T$8,1),0)</f>
      </c>
      <c r="U20">
        <f>IF(T20&gt;0,S20-INDEX($T$3:$T$8,T20),0)</f>
      </c>
      <c r="V20">
        <f>IF(T20&gt;0,INDEX(Intake!$A$23:$A$28,T20),"")</f>
      </c>
      <c r="W20">
        <f>IF(T20&gt;0,IFERROR(VLOOKUP(V20,ModelTable,7,FALSE),1),1)</f>
      </c>
      <c r="X20">
        <f>IF(T20&gt;0,UPPER(V20)&amp;" #"&amp;U20,IF(S20=$S$9+1,IF(TxKvaSuggested&gt;0,"XFMR "&amp;TxKvaSuggested&amp;" KVA - EV_SUB (208V)",""),""))</f>
      </c>
      <c r="Y20">
        <f>IF(T20&gt;0,IFERROR(VLOOKUP(V20,ModelTable,6,FALSE),0),IF(S20=$S$9+1,IF(TxKvaSuggested&gt;0,Panel!$F$38,0),0))</f>
      </c>
      <c r="Z20">
        <f>IF(T20&gt;0,IFERROR(VLOOKUP(V20,ModelTable,11,FALSE),0)*480/SQRT(3),IF(S20=$S$9+1,IF(TxKvaSuggested&gt;0,TxKvaConnected*1000/3,0),0))</f>
      </c>
      <c r="AA20">
        <f>IF(S20&lt;=$S$9,1,IF(S20=$S$9+1,IF(TxKvaSuggested&gt;0,1,0),0))</f>
      </c>
    </row>
    <row r="21" spans="1:27" x14ac:dyDescent="0.25">
      <c r="A21" t="s">
        <v>116</v>
      </c>
      <c r="B21" s="24">
        <v>27</v>
      </c>
      <c r="C21" s="24">
        <f>IF($AA$20=1,"---","")</f>
      </c>
      <c r="D21" s="24"/>
      <c r="E21" s="24"/>
      <c r="F21" s="24"/>
      <c r="G21" s="24"/>
      <c r="H21" s="24">
        <f>IF($AA$20=1,ROUND($Z$20,0),"")</f>
      </c>
      <c r="I21" s="24">
        <f>IF($AA$21=1,ROUND($Z$21,0),"")</f>
      </c>
      <c r="J21" s="24"/>
      <c r="K21" s="24"/>
      <c r="L21" s="24"/>
      <c r="M21" s="24"/>
      <c r="N21" s="24">
        <f>IF($AA$21=1,"---","")</f>
      </c>
      <c r="O21" s="24">
        <v>28</v>
      </c>
      <c r="P21" t="s">
        <v>116</v>
      </c>
      <c r="S21">
        <v>10</v>
      </c>
      <c r="T21">
        <f>IF(S21&lt;=$S$9,MATCH(S21-0.5,$T$3:$T$8,1),0)</f>
      </c>
      <c r="U21">
        <f>IF(T21&gt;0,S21-INDEX($T$3:$T$8,T21),0)</f>
      </c>
      <c r="V21">
        <f>IF(T21&gt;0,INDEX(Intake!$A$23:$A$28,T21),"")</f>
      </c>
      <c r="W21">
        <f>IF(T21&gt;0,IFERROR(VLOOKUP(V21,ModelTable,7,FALSE),1),1)</f>
      </c>
      <c r="X21">
        <f>IF(T21&gt;0,UPPER(V21)&amp;" #"&amp;U21,IF(S21=$S$9+1,IF(TxKvaSuggested&gt;0,"XFMR "&amp;TxKvaSuggested&amp;" KVA - EV_SUB (208V)",""),""))</f>
      </c>
      <c r="Y21">
        <f>IF(T21&gt;0,IFERROR(VLOOKUP(V21,ModelTable,6,FALSE),0),IF(S21=$S$9+1,IF(TxKvaSuggested&gt;0,Panel!$F$38,0),0))</f>
      </c>
      <c r="Z21">
        <f>IF(T21&gt;0,IFERROR(VLOOKUP(V21,ModelTable,11,FALSE),0)*480/SQRT(3),IF(S21=$S$9+1,IF(TxKvaSuggested&gt;0,TxKvaConnected*1000/3,0),0))</f>
      </c>
      <c r="AA21">
        <f>IF(S21&lt;=$S$9,1,IF(S21=$S$9+1,IF(TxKvaSuggested&gt;0,1,0),0))</f>
      </c>
    </row>
    <row r="22" spans="1:27" x14ac:dyDescent="0.25">
      <c r="A22" t="s">
        <v>117</v>
      </c>
      <c r="B22" s="24">
        <v>29</v>
      </c>
      <c r="C22" s="24">
        <f>IF($AA$20=1,"---","")</f>
      </c>
      <c r="D22" s="24"/>
      <c r="E22" s="24"/>
      <c r="F22" s="24"/>
      <c r="G22" s="24"/>
      <c r="H22" s="24"/>
      <c r="I22" s="24"/>
      <c r="J22" s="24">
        <f>IF($AA$20=1,ROUND($Z$20,0),"")</f>
      </c>
      <c r="K22" s="24">
        <f>IF($AA$21=1,ROUND($Z$21,0),"")</f>
      </c>
      <c r="L22" s="24"/>
      <c r="M22" s="24"/>
      <c r="N22" s="24">
        <f>IF($AA$21=1,"---","")</f>
      </c>
      <c r="O22" s="24">
        <v>30</v>
      </c>
      <c r="P22" t="s">
        <v>117</v>
      </c>
      <c r="S22">
        <v>11</v>
      </c>
      <c r="T22">
        <f>IF(S22&lt;=$S$9,MATCH(S22-0.5,$T$3:$T$8,1),0)</f>
      </c>
      <c r="U22">
        <f>IF(T22&gt;0,S22-INDEX($T$3:$T$8,T22),0)</f>
      </c>
      <c r="V22">
        <f>IF(T22&gt;0,INDEX(Intake!$A$23:$A$28,T22),"")</f>
      </c>
      <c r="W22">
        <f>IF(T22&gt;0,IFERROR(VLOOKUP(V22,ModelTable,7,FALSE),1),1)</f>
      </c>
      <c r="X22">
        <f>IF(T22&gt;0,UPPER(V22)&amp;" #"&amp;U22,IF(S22=$S$9+1,IF(TxKvaSuggested&gt;0,"XFMR "&amp;TxKvaSuggested&amp;" KVA - EV_SUB (208V)",""),""))</f>
      </c>
      <c r="Y22">
        <f>IF(T22&gt;0,IFERROR(VLOOKUP(V22,ModelTable,6,FALSE),0),IF(S22=$S$9+1,IF(TxKvaSuggested&gt;0,Panel!$F$38,0),0))</f>
      </c>
      <c r="Z22">
        <f>IF(T22&gt;0,IFERROR(VLOOKUP(V22,ModelTable,11,FALSE),0)*480/SQRT(3),IF(S22=$S$9+1,IF(TxKvaSuggested&gt;0,TxKvaConnected*1000/3,0),0))</f>
      </c>
      <c r="AA22">
        <f>IF(S22&lt;=$S$9,1,IF(S22=$S$9+1,IF(TxKvaSuggested&gt;0,1,0),0))</f>
      </c>
    </row>
    <row r="23" spans="1:27" x14ac:dyDescent="0.25">
      <c r="A23" t="s">
        <v>115</v>
      </c>
      <c r="B23" s="24">
        <v>31</v>
      </c>
      <c r="C23" s="24">
        <f>IF($AA$22=1,$X$22,"")</f>
      </c>
      <c r="D23" s="24">
        <f>IF($AA$22=1,$Y$22,"")</f>
      </c>
      <c r="E23" s="24">
        <f>IF($AA$22=1,3,"")</f>
      </c>
      <c r="F23" s="24">
        <f>IF($AA$22=1,ROUND($Z$22,0),"")</f>
      </c>
      <c r="G23" s="24">
        <f>IF($AA$23=1,ROUND($Z$23,0),"")</f>
      </c>
      <c r="H23" s="24"/>
      <c r="I23" s="24"/>
      <c r="J23" s="24"/>
      <c r="K23" s="24"/>
      <c r="L23" s="24">
        <f>IF($AA$23=1,3,"")</f>
      </c>
      <c r="M23" s="24">
        <f>IF($AA$23=1,$Y$23,"")</f>
      </c>
      <c r="N23" s="24">
        <f>IF($AA$23=1,$X$23,"")</f>
      </c>
      <c r="O23" s="24">
        <v>32</v>
      </c>
      <c r="P23" t="s">
        <v>115</v>
      </c>
      <c r="S23">
        <v>12</v>
      </c>
      <c r="T23">
        <f>IF(S23&lt;=$S$9,MATCH(S23-0.5,$T$3:$T$8,1),0)</f>
      </c>
      <c r="U23">
        <f>IF(T23&gt;0,S23-INDEX($T$3:$T$8,T23),0)</f>
      </c>
      <c r="V23">
        <f>IF(T23&gt;0,INDEX(Intake!$A$23:$A$28,T23),"")</f>
      </c>
      <c r="W23">
        <f>IF(T23&gt;0,IFERROR(VLOOKUP(V23,ModelTable,7,FALSE),1),1)</f>
      </c>
      <c r="X23">
        <f>IF(T23&gt;0,UPPER(V23)&amp;" #"&amp;U23,IF(S23=$S$9+1,IF(TxKvaSuggested&gt;0,"XFMR "&amp;TxKvaSuggested&amp;" KVA - EV_SUB (208V)",""),""))</f>
      </c>
      <c r="Y23">
        <f>IF(T23&gt;0,IFERROR(VLOOKUP(V23,ModelTable,6,FALSE),0),IF(S23=$S$9+1,IF(TxKvaSuggested&gt;0,Panel!$F$38,0),0))</f>
      </c>
      <c r="Z23">
        <f>IF(T23&gt;0,IFERROR(VLOOKUP(V23,ModelTable,11,FALSE),0)*480/SQRT(3),IF(S23=$S$9+1,IF(TxKvaSuggested&gt;0,TxKvaConnected*1000/3,0),0))</f>
      </c>
      <c r="AA23">
        <f>IF(S23&lt;=$S$9,1,IF(S23=$S$9+1,IF(TxKvaSuggested&gt;0,1,0),0))</f>
      </c>
    </row>
    <row r="24" spans="1:27" x14ac:dyDescent="0.25">
      <c r="A24" t="s">
        <v>116</v>
      </c>
      <c r="B24" s="24">
        <v>33</v>
      </c>
      <c r="C24" s="24">
        <f>IF($AA$22=1,"---","")</f>
      </c>
      <c r="D24" s="24"/>
      <c r="E24" s="24"/>
      <c r="F24" s="24"/>
      <c r="G24" s="24"/>
      <c r="H24" s="24">
        <f>IF($AA$22=1,ROUND($Z$22,0),"")</f>
      </c>
      <c r="I24" s="24">
        <f>IF($AA$23=1,ROUND($Z$23,0),"")</f>
      </c>
      <c r="J24" s="24"/>
      <c r="K24" s="24"/>
      <c r="L24" s="24"/>
      <c r="M24" s="24"/>
      <c r="N24" s="24">
        <f>IF($AA$23=1,"---","")</f>
      </c>
      <c r="O24" s="24">
        <v>34</v>
      </c>
      <c r="P24" t="s">
        <v>116</v>
      </c>
      <c r="S24">
        <v>13</v>
      </c>
      <c r="T24">
        <f>IF(S24&lt;=$S$9,MATCH(S24-0.5,$T$3:$T$8,1),0)</f>
      </c>
      <c r="U24">
        <f>IF(T24&gt;0,S24-INDEX($T$3:$T$8,T24),0)</f>
      </c>
      <c r="V24">
        <f>IF(T24&gt;0,INDEX(Intake!$A$23:$A$28,T24),"")</f>
      </c>
      <c r="W24">
        <f>IF(T24&gt;0,IFERROR(VLOOKUP(V24,ModelTable,7,FALSE),1),1)</f>
      </c>
      <c r="X24">
        <f>IF(T24&gt;0,UPPER(V24)&amp;" #"&amp;U24,IF(S24=$S$9+1,IF(TxKvaSuggested&gt;0,"XFMR "&amp;TxKvaSuggested&amp;" KVA - EV_SUB (208V)",""),""))</f>
      </c>
      <c r="Y24">
        <f>IF(T24&gt;0,IFERROR(VLOOKUP(V24,ModelTable,6,FALSE),0),IF(S24=$S$9+1,IF(TxKvaSuggested&gt;0,Panel!$F$38,0),0))</f>
      </c>
      <c r="Z24">
        <f>IF(T24&gt;0,IFERROR(VLOOKUP(V24,ModelTable,11,FALSE),0)*480/SQRT(3),IF(S24=$S$9+1,IF(TxKvaSuggested&gt;0,TxKvaConnected*1000/3,0),0))</f>
      </c>
      <c r="AA24">
        <f>IF(S24&lt;=$S$9,1,IF(S24=$S$9+1,IF(TxKvaSuggested&gt;0,1,0),0))</f>
      </c>
    </row>
    <row r="25" spans="1:27" x14ac:dyDescent="0.25">
      <c r="A25" t="s">
        <v>117</v>
      </c>
      <c r="B25" s="24">
        <v>35</v>
      </c>
      <c r="C25" s="24">
        <f>IF($AA$22=1,"---","")</f>
      </c>
      <c r="D25" s="24"/>
      <c r="E25" s="24"/>
      <c r="F25" s="24"/>
      <c r="G25" s="24"/>
      <c r="H25" s="24"/>
      <c r="I25" s="24"/>
      <c r="J25" s="24">
        <f>IF($AA$22=1,ROUND($Z$22,0),"")</f>
      </c>
      <c r="K25" s="24">
        <f>IF($AA$23=1,ROUND($Z$23,0),"")</f>
      </c>
      <c r="L25" s="24"/>
      <c r="M25" s="24"/>
      <c r="N25" s="24">
        <f>IF($AA$23=1,"---","")</f>
      </c>
      <c r="O25" s="24">
        <v>36</v>
      </c>
      <c r="P25" t="s">
        <v>117</v>
      </c>
      <c r="S25">
        <v>14</v>
      </c>
      <c r="T25">
        <f>IF(S25&lt;=$S$9,MATCH(S25-0.5,$T$3:$T$8,1),0)</f>
      </c>
      <c r="U25">
        <f>IF(T25&gt;0,S25-INDEX($T$3:$T$8,T25),0)</f>
      </c>
      <c r="V25">
        <f>IF(T25&gt;0,INDEX(Intake!$A$23:$A$28,T25),"")</f>
      </c>
      <c r="W25">
        <f>IF(T25&gt;0,IFERROR(VLOOKUP(V25,ModelTable,7,FALSE),1),1)</f>
      </c>
      <c r="X25">
        <f>IF(T25&gt;0,UPPER(V25)&amp;" #"&amp;U25,IF(S25=$S$9+1,IF(TxKvaSuggested&gt;0,"XFMR "&amp;TxKvaSuggested&amp;" KVA - EV_SUB (208V)",""),""))</f>
      </c>
      <c r="Y25">
        <f>IF(T25&gt;0,IFERROR(VLOOKUP(V25,ModelTable,6,FALSE),0),IF(S25=$S$9+1,IF(TxKvaSuggested&gt;0,Panel!$F$38,0),0))</f>
      </c>
      <c r="Z25">
        <f>IF(T25&gt;0,IFERROR(VLOOKUP(V25,ModelTable,11,FALSE),0)*480/SQRT(3),IF(S25=$S$9+1,IF(TxKvaSuggested&gt;0,TxKvaConnected*1000/3,0),0))</f>
      </c>
      <c r="AA25">
        <f>IF(S25&lt;=$S$9,1,IF(S25=$S$9+1,IF(TxKvaSuggested&gt;0,1,0),0))</f>
      </c>
    </row>
    <row r="26" spans="1:27" x14ac:dyDescent="0.25">
      <c r="A26" t="s">
        <v>115</v>
      </c>
      <c r="B26" s="24">
        <v>37</v>
      </c>
      <c r="C26" s="24">
        <f>IF($AA$24=1,$X$24,"")</f>
      </c>
      <c r="D26" s="24">
        <f>IF($AA$24=1,$Y$24,"")</f>
      </c>
      <c r="E26" s="24">
        <f>IF($AA$24=1,3,"")</f>
      </c>
      <c r="F26" s="24">
        <f>IF($AA$24=1,ROUND($Z$24,0),"")</f>
      </c>
      <c r="G26" s="24">
        <f>IF($AA$25=1,ROUND($Z$25,0),"")</f>
      </c>
      <c r="H26" s="24"/>
      <c r="I26" s="24"/>
      <c r="J26" s="24"/>
      <c r="K26" s="24"/>
      <c r="L26" s="24">
        <f>IF($AA$25=1,3,"")</f>
      </c>
      <c r="M26" s="24">
        <f>IF($AA$25=1,$Y$25,"")</f>
      </c>
      <c r="N26" s="24">
        <f>IF($AA$25=1,$X$25,"")</f>
      </c>
      <c r="O26" s="24">
        <v>38</v>
      </c>
      <c r="P26" t="s">
        <v>115</v>
      </c>
      <c r="S26">
        <v>15</v>
      </c>
      <c r="T26">
        <f>IF(S26&lt;=$S$9,MATCH(S26-0.5,$T$3:$T$8,1),0)</f>
      </c>
      <c r="U26">
        <f>IF(T26&gt;0,S26-INDEX($T$3:$T$8,T26),0)</f>
      </c>
      <c r="V26">
        <f>IF(T26&gt;0,INDEX(Intake!$A$23:$A$28,T26),"")</f>
      </c>
      <c r="W26">
        <f>IF(T26&gt;0,IFERROR(VLOOKUP(V26,ModelTable,7,FALSE),1),1)</f>
      </c>
      <c r="X26">
        <f>IF(T26&gt;0,UPPER(V26)&amp;" #"&amp;U26,IF(S26=$S$9+1,IF(TxKvaSuggested&gt;0,"XFMR "&amp;TxKvaSuggested&amp;" KVA - EV_SUB (208V)",""),""))</f>
      </c>
      <c r="Y26">
        <f>IF(T26&gt;0,IFERROR(VLOOKUP(V26,ModelTable,6,FALSE),0),IF(S26=$S$9+1,IF(TxKvaSuggested&gt;0,Panel!$F$38,0),0))</f>
      </c>
      <c r="Z26">
        <f>IF(T26&gt;0,IFERROR(VLOOKUP(V26,ModelTable,11,FALSE),0)*480/SQRT(3),IF(S26=$S$9+1,IF(TxKvaSuggested&gt;0,TxKvaConnected*1000/3,0),0))</f>
      </c>
      <c r="AA26">
        <f>IF(S26&lt;=$S$9,1,IF(S26=$S$9+1,IF(TxKvaSuggested&gt;0,1,0),0))</f>
      </c>
    </row>
    <row r="27" spans="1:27" x14ac:dyDescent="0.25">
      <c r="A27" t="s">
        <v>116</v>
      </c>
      <c r="B27" s="24">
        <v>39</v>
      </c>
      <c r="C27" s="24">
        <f>IF($AA$24=1,"---","")</f>
      </c>
      <c r="D27" s="24"/>
      <c r="E27" s="24"/>
      <c r="F27" s="24"/>
      <c r="G27" s="24"/>
      <c r="H27" s="24">
        <f>IF($AA$24=1,ROUND($Z$24,0),"")</f>
      </c>
      <c r="I27" s="24">
        <f>IF($AA$25=1,ROUND($Z$25,0),"")</f>
      </c>
      <c r="J27" s="24"/>
      <c r="K27" s="24"/>
      <c r="L27" s="24"/>
      <c r="M27" s="24"/>
      <c r="N27" s="24">
        <f>IF($AA$25=1,"---","")</f>
      </c>
      <c r="O27" s="24">
        <v>40</v>
      </c>
      <c r="P27" t="s">
        <v>116</v>
      </c>
      <c r="S27">
        <v>16</v>
      </c>
      <c r="T27">
        <f>IF(S27&lt;=$S$9,MATCH(S27-0.5,$T$3:$T$8,1),0)</f>
      </c>
      <c r="U27">
        <f>IF(T27&gt;0,S27-INDEX($T$3:$T$8,T27),0)</f>
      </c>
      <c r="V27">
        <f>IF(T27&gt;0,INDEX(Intake!$A$23:$A$28,T27),"")</f>
      </c>
      <c r="W27">
        <f>IF(T27&gt;0,IFERROR(VLOOKUP(V27,ModelTable,7,FALSE),1),1)</f>
      </c>
      <c r="X27">
        <f>IF(T27&gt;0,UPPER(V27)&amp;" #"&amp;U27,IF(S27=$S$9+1,IF(TxKvaSuggested&gt;0,"XFMR "&amp;TxKvaSuggested&amp;" KVA - EV_SUB (208V)",""),""))</f>
      </c>
      <c r="Y27">
        <f>IF(T27&gt;0,IFERROR(VLOOKUP(V27,ModelTable,6,FALSE),0),IF(S27=$S$9+1,IF(TxKvaSuggested&gt;0,Panel!$F$38,0),0))</f>
      </c>
      <c r="Z27">
        <f>IF(T27&gt;0,IFERROR(VLOOKUP(V27,ModelTable,11,FALSE),0)*480/SQRT(3),IF(S27=$S$9+1,IF(TxKvaSuggested&gt;0,TxKvaConnected*1000/3,0),0))</f>
      </c>
      <c r="AA27">
        <f>IF(S27&lt;=$S$9,1,IF(S27=$S$9+1,IF(TxKvaSuggested&gt;0,1,0),0))</f>
      </c>
    </row>
    <row r="28" spans="1:16" x14ac:dyDescent="0.25">
      <c r="A28" t="s">
        <v>117</v>
      </c>
      <c r="B28" s="24">
        <v>41</v>
      </c>
      <c r="C28" s="24">
        <f>IF($AA$24=1,"---","")</f>
      </c>
      <c r="D28" s="24"/>
      <c r="E28" s="24"/>
      <c r="F28" s="24"/>
      <c r="G28" s="24"/>
      <c r="H28" s="24"/>
      <c r="I28" s="24"/>
      <c r="J28" s="24">
        <f>IF($AA$24=1,ROUND($Z$24,0),"")</f>
      </c>
      <c r="K28" s="24">
        <f>IF($AA$25=1,ROUND($Z$25,0),"")</f>
      </c>
      <c r="L28" s="24"/>
      <c r="M28" s="24"/>
      <c r="N28" s="24">
        <f>IF($AA$25=1,"---","")</f>
      </c>
      <c r="O28" s="24">
        <v>42</v>
      </c>
      <c r="P28" t="s">
        <v>117</v>
      </c>
    </row>
    <row r="29" spans="1:16" x14ac:dyDescent="0.25">
      <c r="A29" t="s">
        <v>115</v>
      </c>
      <c r="B29" s="24">
        <v>43</v>
      </c>
      <c r="C29" s="24">
        <f>IF($AA$26=1,$X$26,"")</f>
      </c>
      <c r="D29" s="24">
        <f>IF($AA$26=1,$Y$26,"")</f>
      </c>
      <c r="E29" s="24">
        <f>IF($AA$26=1,3,"")</f>
      </c>
      <c r="F29" s="24">
        <f>IF($AA$26=1,ROUND($Z$26,0),"")</f>
      </c>
      <c r="G29" s="24">
        <f>IF($AA$27=1,ROUND($Z$27,0),"")</f>
      </c>
      <c r="H29" s="24"/>
      <c r="I29" s="24"/>
      <c r="J29" s="24"/>
      <c r="K29" s="24"/>
      <c r="L29" s="24">
        <f>IF($AA$27=1,3,"")</f>
      </c>
      <c r="M29" s="24">
        <f>IF($AA$27=1,$Y$27,"")</f>
      </c>
      <c r="N29" s="24">
        <f>IF($AA$27=1,$X$27,"")</f>
      </c>
      <c r="O29" s="24">
        <v>44</v>
      </c>
      <c r="P29" t="s">
        <v>115</v>
      </c>
    </row>
    <row r="30" spans="1:16" x14ac:dyDescent="0.25">
      <c r="A30" t="s">
        <v>116</v>
      </c>
      <c r="B30" s="24">
        <v>45</v>
      </c>
      <c r="C30" s="24">
        <f>IF($AA$26=1,"---","")</f>
      </c>
      <c r="D30" s="24"/>
      <c r="E30" s="24"/>
      <c r="F30" s="24"/>
      <c r="G30" s="24"/>
      <c r="H30" s="24">
        <f>IF($AA$26=1,ROUND($Z$26,0),"")</f>
      </c>
      <c r="I30" s="24">
        <f>IF($AA$27=1,ROUND($Z$27,0),"")</f>
      </c>
      <c r="J30" s="24"/>
      <c r="K30" s="24"/>
      <c r="L30" s="24"/>
      <c r="M30" s="24"/>
      <c r="N30" s="24">
        <f>IF($AA$27=1,"---","")</f>
      </c>
      <c r="O30" s="24">
        <v>46</v>
      </c>
      <c r="P30" t="s">
        <v>116</v>
      </c>
    </row>
    <row r="31" spans="1:16" x14ac:dyDescent="0.25">
      <c r="A31" t="s">
        <v>117</v>
      </c>
      <c r="B31" s="24">
        <v>47</v>
      </c>
      <c r="C31" s="24">
        <f>IF($AA$26=1,"---","")</f>
      </c>
      <c r="D31" s="24"/>
      <c r="E31" s="24"/>
      <c r="F31" s="24"/>
      <c r="G31" s="24"/>
      <c r="H31" s="24"/>
      <c r="I31" s="24"/>
      <c r="J31" s="24">
        <f>IF($AA$26=1,ROUND($Z$26,0),"")</f>
      </c>
      <c r="K31" s="24">
        <f>IF($AA$27=1,ROUND($Z$27,0),"")</f>
      </c>
      <c r="L31" s="24"/>
      <c r="M31" s="24"/>
      <c r="N31" s="24">
        <f>IF($AA$27=1,"---","")</f>
      </c>
      <c r="O31" s="24">
        <v>48</v>
      </c>
      <c r="P31" t="s">
        <v>117</v>
      </c>
    </row>
    <row r="33" spans="3:14" x14ac:dyDescent="0.25">
      <c r="C33" t="s">
        <v>119</v>
      </c>
      <c r="F33" s="26">
        <f>SUM(F8:G31)</f>
      </c>
      <c r="G33" s="26"/>
      <c r="H33" s="26">
        <f>SUM(H8:I31)</f>
      </c>
      <c r="I33" s="26"/>
      <c r="J33" s="26">
        <f>SUM(J8:K31)</f>
      </c>
      <c r="K33" s="26"/>
      <c r="L33" s="22" t="s">
        <v>120</v>
      </c>
      <c r="M33" s="22"/>
      <c r="N33" s="26">
        <f>F33+H33+J33</f>
      </c>
    </row>
    <row r="34" spans="3:14" x14ac:dyDescent="0.25">
      <c r="C34" t="s">
        <v>121</v>
      </c>
      <c r="F34" s="26">
        <f>F33*1.25</f>
      </c>
      <c r="G34" s="26"/>
      <c r="H34" s="26">
        <f>H33*1.25</f>
      </c>
      <c r="I34" s="26"/>
      <c r="J34" s="26">
        <f>J33*1.25</f>
      </c>
      <c r="K34" s="26"/>
      <c r="L34" s="22" t="s">
        <v>122</v>
      </c>
      <c r="M34" s="22"/>
      <c r="N34" s="26">
        <f>N33*1.25</f>
      </c>
    </row>
    <row r="35" spans="3:14" x14ac:dyDescent="0.25">
      <c r="C35" t="s">
        <v>123</v>
      </c>
      <c r="F35" s="26">
        <f>MAX($F$34,$H$34,$J$34)</f>
      </c>
      <c r="G35" s="26"/>
      <c r="H35" s="26">
        <f>MAX($F$34,$H$34,$J$34)</f>
      </c>
      <c r="I35" s="26"/>
      <c r="J35" s="26">
        <f>MAX($F$34,$H$34,$J$34)</f>
      </c>
      <c r="K35" s="26"/>
      <c r="L35" s="22" t="s">
        <v>124</v>
      </c>
      <c r="M35" s="22"/>
      <c r="N35" s="27">
        <f>N34/(480*SQRT(3))</f>
      </c>
    </row>
    <row r="36" spans="3:14" x14ac:dyDescent="0.25">
      <c r="C36" t="s">
        <v>125</v>
      </c>
      <c r="F36" s="27">
        <f>F35/(480/SQRT(3))</f>
      </c>
      <c r="G36" s="27"/>
      <c r="H36" s="27">
        <f>H35/(480/SQRT(3))</f>
      </c>
      <c r="I36" s="27"/>
      <c r="J36" s="27">
        <f>J35/(480/SQRT(3))</f>
      </c>
      <c r="K36" s="27"/>
      <c r="L36" s="22" t="s">
        <v>126</v>
      </c>
      <c r="M36" s="22"/>
      <c r="N36">
        <f>SgSuggested</f>
      </c>
    </row>
    <row r="38" spans="2:2" x14ac:dyDescent="0.25">
      <c r="B38" s="28">
        <f>IF($S$9+IF(TxKvaSuggested&gt;0,1,0)&gt;16,"⚠ More than 16 circuits — grid truncated, use the app's Excel export","")</f>
      </c>
    </row>
  </sheetData>
  <mergeCells count="20">
    <mergeCell ref="B1:O1"/>
    <mergeCell ref="F7:G7"/>
    <mergeCell ref="H7:I7"/>
    <mergeCell ref="J7:K7"/>
    <mergeCell ref="F33:G33"/>
    <mergeCell ref="H33:I33"/>
    <mergeCell ref="J33:K33"/>
    <mergeCell ref="L33:M33"/>
    <mergeCell ref="F34:G34"/>
    <mergeCell ref="H34:I34"/>
    <mergeCell ref="J34:K34"/>
    <mergeCell ref="L34:M34"/>
    <mergeCell ref="F35:G35"/>
    <mergeCell ref="H35:I35"/>
    <mergeCell ref="J35:K35"/>
    <mergeCell ref="L35:M35"/>
    <mergeCell ref="F36:G36"/>
    <mergeCell ref="H36:I36"/>
    <mergeCell ref="J36:K36"/>
    <mergeCell ref="L36:M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5" customWidth="1"/>
    <col min="3" max="3" width="26" customWidth="1"/>
    <col min="5" max="5" width="7" customWidth="1"/>
    <col min="6" max="11" width="11" customWidth="1"/>
    <col min="12" max="12" width="7" customWidth="1"/>
    <col min="14" max="14" width="26" customWidth="1"/>
    <col min="15" max="15" width="5" customWidth="1"/>
    <col min="16" max="16" width="4" customWidth="1"/>
    <col min="18" max="18" width="9" hidden="1" customWidth="1"/>
    <col min="19" max="19" width="9" hidden="1" customWidth="1"/>
    <col min="20" max="20" width="9" hidden="1" customWidth="1"/>
    <col min="21" max="21" width="9" hidden="1" customWidth="1"/>
    <col min="22" max="22" width="9" hidden="1" customWidth="1"/>
    <col min="23" max="23" width="9" hidden="1" customWidth="1"/>
    <col min="24" max="24" width="9" hidden="1" customWidth="1"/>
    <col min="25" max="25" width="9" hidden="1" customWidth="1"/>
    <col min="26" max="26" width="9" hidden="1" customWidth="1"/>
    <col min="27" max="27" width="9" hidden="1" customWidth="1"/>
  </cols>
  <sheetData>
    <row r="1" spans="2:15" x14ac:dyDescent="0.25">
      <c r="B1" s="20" t="s">
        <v>92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8:18" x14ac:dyDescent="0.25">
      <c r="R2" s="21" t="s">
        <v>93</v>
      </c>
    </row>
    <row r="3" spans="2:20" x14ac:dyDescent="0.25">
      <c r="B3" s="22" t="s">
        <v>94</v>
      </c>
      <c r="C3" t="s">
        <v>127</v>
      </c>
      <c r="D3" s="22" t="s">
        <v>96</v>
      </c>
      <c r="E3" t="s">
        <v>97</v>
      </c>
      <c r="H3" s="22" t="s">
        <v>98</v>
      </c>
      <c r="I3" t="s">
        <v>128</v>
      </c>
      <c r="M3" s="22" t="s">
        <v>100</v>
      </c>
      <c r="N3">
        <f>Panel!$F$28&amp;" A 3P"</f>
      </c>
      <c r="S3">
        <f>IF(Intake!$D$23="L2",Intake!$B$23*IFERROR(VLOOKUP(Intake!$A$23,ModelTable,7,FALSE),0),0)</f>
      </c>
      <c r="T3">
        <v>0</v>
      </c>
    </row>
    <row r="4" spans="4:20" x14ac:dyDescent="0.25">
      <c r="D4" s="22" t="s">
        <v>101</v>
      </c>
      <c r="E4">
        <f>IF(TxKvaSuggested&gt;0,"EV_MAIN VIA "&amp;TxKvaSuggested&amp;" KVA XFMR","UTILITY")</f>
      </c>
      <c r="H4" s="22" t="s">
        <v>102</v>
      </c>
      <c r="I4" t="s">
        <v>103</v>
      </c>
      <c r="M4" s="22" t="s">
        <v>104</v>
      </c>
      <c r="N4">
        <f>Panel!$F$28&amp;" A"</f>
      </c>
      <c r="S4">
        <f>IF(Intake!$D$24="L2",Intake!$B$24*IFERROR(VLOOKUP(Intake!$A$24,ModelTable,7,FALSE),0),0)</f>
      </c>
      <c r="T4">
        <f>T3+S3</f>
      </c>
    </row>
    <row r="5" spans="4:20" x14ac:dyDescent="0.25">
      <c r="D5" s="22" t="s">
        <v>105</v>
      </c>
      <c r="E5" t="s">
        <v>106</v>
      </c>
      <c r="H5" s="22" t="s">
        <v>107</v>
      </c>
      <c r="I5" t="s">
        <v>108</v>
      </c>
      <c r="M5" s="22" t="s">
        <v>109</v>
      </c>
      <c r="N5" t="s">
        <v>129</v>
      </c>
      <c r="S5">
        <f>IF(Intake!$D$25="L2",Intake!$B$25*IFERROR(VLOOKUP(Intake!$A$25,ModelTable,7,FALSE),0),0)</f>
      </c>
      <c r="T5">
        <f>T4+S4</f>
      </c>
    </row>
    <row r="6" spans="19:20" x14ac:dyDescent="0.25">
      <c r="S6">
        <f>IF(Intake!$D$26="L2",Intake!$B$26*IFERROR(VLOOKUP(Intake!$A$26,ModelTable,7,FALSE),0),0)</f>
      </c>
      <c r="T6">
        <f>T5+S5</f>
      </c>
    </row>
    <row r="7" spans="2:20" x14ac:dyDescent="0.25">
      <c r="B7" s="23" t="s">
        <v>111</v>
      </c>
      <c r="C7" s="23" t="s">
        <v>112</v>
      </c>
      <c r="D7" s="23" t="s">
        <v>113</v>
      </c>
      <c r="E7" s="23" t="s">
        <v>114</v>
      </c>
      <c r="F7" s="23" t="s">
        <v>115</v>
      </c>
      <c r="G7" s="23"/>
      <c r="H7" s="23" t="s">
        <v>116</v>
      </c>
      <c r="I7" s="23"/>
      <c r="J7" s="23" t="s">
        <v>117</v>
      </c>
      <c r="K7" s="23"/>
      <c r="L7" s="23" t="s">
        <v>114</v>
      </c>
      <c r="M7" s="23" t="s">
        <v>113</v>
      </c>
      <c r="N7" s="23" t="s">
        <v>112</v>
      </c>
      <c r="O7" s="23" t="s">
        <v>111</v>
      </c>
      <c r="S7">
        <f>IF(Intake!$D$27="L2",Intake!$B$27*IFERROR(VLOOKUP(Intake!$A$27,ModelTable,7,FALSE),0),0)</f>
      </c>
      <c r="T7">
        <f>T6+S6</f>
      </c>
    </row>
    <row r="8" spans="1:20" x14ac:dyDescent="0.25">
      <c r="A8" t="s">
        <v>115</v>
      </c>
      <c r="B8" s="24">
        <v>1</v>
      </c>
      <c r="C8" s="24">
        <f>IF($AA$12=1,$X$12,"")</f>
      </c>
      <c r="D8" s="24">
        <f>IF($AA$12=1,$Y$12,"")</f>
      </c>
      <c r="E8" s="24">
        <f>IF($AA$12=1,2,"")</f>
      </c>
      <c r="F8" s="24">
        <f>IF($AA$12=1,ROUND($Z$12,0),"")</f>
      </c>
      <c r="G8" s="24">
        <f>IF($AA$13=1,ROUND($Z$13,0),"")</f>
      </c>
      <c r="H8" s="24"/>
      <c r="I8" s="24"/>
      <c r="J8" s="24"/>
      <c r="K8" s="24"/>
      <c r="L8" s="24">
        <f>IF($AA$13=1,2,"")</f>
      </c>
      <c r="M8" s="24">
        <f>IF($AA$13=1,$Y$13,"")</f>
      </c>
      <c r="N8" s="24">
        <f>IF($AA$13=1,$X$13,"")</f>
      </c>
      <c r="O8" s="24">
        <v>2</v>
      </c>
      <c r="P8" t="s">
        <v>115</v>
      </c>
      <c r="S8">
        <f>IF(Intake!$D$28="L2",Intake!$B$28*IFERROR(VLOOKUP(Intake!$A$28,ModelTable,7,FALSE),0),0)</f>
      </c>
      <c r="T8">
        <f>T7+S7</f>
      </c>
    </row>
    <row r="9" spans="1:19" x14ac:dyDescent="0.25">
      <c r="A9" t="s">
        <v>116</v>
      </c>
      <c r="B9" s="24">
        <v>3</v>
      </c>
      <c r="C9" s="24">
        <f>IF($AA$12=1,"---","")</f>
      </c>
      <c r="D9" s="24"/>
      <c r="E9" s="24"/>
      <c r="F9" s="24"/>
      <c r="G9" s="24"/>
      <c r="H9" s="24">
        <f>IF($AA$12=1,ROUND($Z$12,0),"")</f>
      </c>
      <c r="I9" s="24">
        <f>IF($AA$13=1,ROUND($Z$13,0),"")</f>
      </c>
      <c r="J9" s="24"/>
      <c r="K9" s="24"/>
      <c r="L9" s="24"/>
      <c r="M9" s="24"/>
      <c r="N9" s="24">
        <f>IF($AA$13=1,"---","")</f>
      </c>
      <c r="O9" s="24">
        <v>4</v>
      </c>
      <c r="P9" t="s">
        <v>116</v>
      </c>
      <c r="R9" s="25" t="s">
        <v>118</v>
      </c>
      <c r="S9">
        <f>SUM(S3:S8)</f>
      </c>
    </row>
    <row r="10" spans="1:16" x14ac:dyDescent="0.25">
      <c r="A10" t="s">
        <v>117</v>
      </c>
      <c r="B10" s="24">
        <v>5</v>
      </c>
      <c r="C10" s="24">
        <f>IF($AA$14=1,$X$14,"")</f>
      </c>
      <c r="D10" s="24">
        <f>IF($AA$14=1,$Y$14,"")</f>
      </c>
      <c r="E10" s="24">
        <f>IF($AA$14=1,2,"")</f>
      </c>
      <c r="F10" s="24"/>
      <c r="G10" s="24"/>
      <c r="H10" s="24"/>
      <c r="I10" s="24"/>
      <c r="J10" s="24">
        <f>IF($AA$14=1,ROUND($Z$14,0),"")</f>
      </c>
      <c r="K10" s="24">
        <f>IF($AA$15=1,ROUND($Z$15,0),"")</f>
      </c>
      <c r="L10" s="24">
        <f>IF($AA$15=1,2,"")</f>
      </c>
      <c r="M10" s="24">
        <f>IF($AA$15=1,$Y$15,"")</f>
      </c>
      <c r="N10" s="24">
        <f>IF($AA$15=1,$X$15,"")</f>
      </c>
      <c r="O10" s="24">
        <v>6</v>
      </c>
      <c r="P10" t="s">
        <v>117</v>
      </c>
    </row>
    <row r="11" spans="1:16" x14ac:dyDescent="0.25">
      <c r="A11" t="s">
        <v>115</v>
      </c>
      <c r="B11" s="24">
        <v>7</v>
      </c>
      <c r="C11" s="24">
        <f>IF($AA$14=1,"---","")</f>
      </c>
      <c r="D11" s="24"/>
      <c r="E11" s="24"/>
      <c r="F11" s="24">
        <f>IF($AA$14=1,ROUND($Z$14,0),"")</f>
      </c>
      <c r="G11" s="24">
        <f>IF($AA$15=1,ROUND($Z$15,0),"")</f>
      </c>
      <c r="H11" s="24"/>
      <c r="I11" s="24"/>
      <c r="J11" s="24"/>
      <c r="K11" s="24"/>
      <c r="L11" s="24"/>
      <c r="M11" s="24"/>
      <c r="N11" s="24">
        <f>IF($AA$15=1,"---","")</f>
      </c>
      <c r="O11" s="24">
        <v>8</v>
      </c>
      <c r="P11" t="s">
        <v>115</v>
      </c>
    </row>
    <row r="12" spans="1:27" x14ac:dyDescent="0.25">
      <c r="A12" t="s">
        <v>116</v>
      </c>
      <c r="B12" s="24">
        <v>9</v>
      </c>
      <c r="C12" s="24">
        <f>IF($AA$16=1,$X$16,"")</f>
      </c>
      <c r="D12" s="24">
        <f>IF($AA$16=1,$Y$16,"")</f>
      </c>
      <c r="E12" s="24">
        <f>IF($AA$16=1,2,"")</f>
      </c>
      <c r="F12" s="24"/>
      <c r="G12" s="24"/>
      <c r="H12" s="24">
        <f>IF($AA$16=1,ROUND($Z$16,0),"")</f>
      </c>
      <c r="I12" s="24">
        <f>IF($AA$17=1,ROUND($Z$17,0),"")</f>
      </c>
      <c r="J12" s="24"/>
      <c r="K12" s="24"/>
      <c r="L12" s="24">
        <f>IF($AA$17=1,2,"")</f>
      </c>
      <c r="M12" s="24">
        <f>IF($AA$17=1,$Y$17,"")</f>
      </c>
      <c r="N12" s="24">
        <f>IF($AA$17=1,$X$17,"")</f>
      </c>
      <c r="O12" s="24">
        <v>10</v>
      </c>
      <c r="P12" t="s">
        <v>116</v>
      </c>
      <c r="S12">
        <v>1</v>
      </c>
      <c r="T12">
        <f>IF(S12&lt;=$S$9,MATCH(S12-0.5,$T$3:$T$8,1),0)</f>
      </c>
      <c r="U12">
        <f>IF(T12&gt;0,S12-INDEX($T$3:$T$8,T12),0)</f>
      </c>
      <c r="V12">
        <f>IF(T12&gt;0,INDEX(Intake!$A$23:$A$28,T12),"")</f>
      </c>
      <c r="W12">
        <f>IF(T12&gt;0,IFERROR(VLOOKUP(V12,ModelTable,7,FALSE),1),1)</f>
      </c>
      <c r="X12">
        <f>IF(T12&gt;0,UPPER(V12)&amp;" #"&amp;ROUNDUP(U12/W12,0)&amp;IF(W12&gt;1,CHAR(64+U12-(ROUNDUP(U12/W12,0)-1)*W12),""),"")</f>
      </c>
      <c r="Y12">
        <f>IF(T12&gt;0,IFERROR(VLOOKUP(V12,ModelTable,6,FALSE),0),0)</f>
      </c>
      <c r="Z12">
        <f>IF(T12&gt;0,IFERROR(VLOOKUP(V12,ModelTable,11,FALSE),0)*208/2,0)</f>
      </c>
      <c r="AA12">
        <f>IF(S12&lt;=$S$9,1,0)</f>
      </c>
    </row>
    <row r="13" spans="1:27" x14ac:dyDescent="0.25">
      <c r="A13" t="s">
        <v>117</v>
      </c>
      <c r="B13" s="24">
        <v>11</v>
      </c>
      <c r="C13" s="24">
        <f>IF($AA$16=1,"---","")</f>
      </c>
      <c r="D13" s="24"/>
      <c r="E13" s="24"/>
      <c r="F13" s="24"/>
      <c r="G13" s="24"/>
      <c r="H13" s="24"/>
      <c r="I13" s="24"/>
      <c r="J13" s="24">
        <f>IF($AA$16=1,ROUND($Z$16,0),"")</f>
      </c>
      <c r="K13" s="24">
        <f>IF($AA$17=1,ROUND($Z$17,0),"")</f>
      </c>
      <c r="L13" s="24"/>
      <c r="M13" s="24"/>
      <c r="N13" s="24">
        <f>IF($AA$17=1,"---","")</f>
      </c>
      <c r="O13" s="24">
        <v>12</v>
      </c>
      <c r="P13" t="s">
        <v>117</v>
      </c>
      <c r="S13">
        <v>2</v>
      </c>
      <c r="T13">
        <f>IF(S13&lt;=$S$9,MATCH(S13-0.5,$T$3:$T$8,1),0)</f>
      </c>
      <c r="U13">
        <f>IF(T13&gt;0,S13-INDEX($T$3:$T$8,T13),0)</f>
      </c>
      <c r="V13">
        <f>IF(T13&gt;0,INDEX(Intake!$A$23:$A$28,T13),"")</f>
      </c>
      <c r="W13">
        <f>IF(T13&gt;0,IFERROR(VLOOKUP(V13,ModelTable,7,FALSE),1),1)</f>
      </c>
      <c r="X13">
        <f>IF(T13&gt;0,UPPER(V13)&amp;" #"&amp;ROUNDUP(U13/W13,0)&amp;IF(W13&gt;1,CHAR(64+U13-(ROUNDUP(U13/W13,0)-1)*W13),""),"")</f>
      </c>
      <c r="Y13">
        <f>IF(T13&gt;0,IFERROR(VLOOKUP(V13,ModelTable,6,FALSE),0),0)</f>
      </c>
      <c r="Z13">
        <f>IF(T13&gt;0,IFERROR(VLOOKUP(V13,ModelTable,11,FALSE),0)*208/2,0)</f>
      </c>
      <c r="AA13">
        <f>IF(S13&lt;=$S$9,1,0)</f>
      </c>
    </row>
    <row r="14" spans="1:27" x14ac:dyDescent="0.25">
      <c r="A14" t="s">
        <v>115</v>
      </c>
      <c r="B14" s="24">
        <v>13</v>
      </c>
      <c r="C14" s="24">
        <f>IF($AA$18=1,$X$18,"")</f>
      </c>
      <c r="D14" s="24">
        <f>IF($AA$18=1,$Y$18,"")</f>
      </c>
      <c r="E14" s="24">
        <f>IF($AA$18=1,2,"")</f>
      </c>
      <c r="F14" s="24">
        <f>IF($AA$18=1,ROUND($Z$18,0),"")</f>
      </c>
      <c r="G14" s="24">
        <f>IF($AA$19=1,ROUND($Z$19,0),"")</f>
      </c>
      <c r="H14" s="24"/>
      <c r="I14" s="24"/>
      <c r="J14" s="24"/>
      <c r="K14" s="24"/>
      <c r="L14" s="24">
        <f>IF($AA$19=1,2,"")</f>
      </c>
      <c r="M14" s="24">
        <f>IF($AA$19=1,$Y$19,"")</f>
      </c>
      <c r="N14" s="24">
        <f>IF($AA$19=1,$X$19,"")</f>
      </c>
      <c r="O14" s="24">
        <v>14</v>
      </c>
      <c r="P14" t="s">
        <v>115</v>
      </c>
      <c r="S14">
        <v>3</v>
      </c>
      <c r="T14">
        <f>IF(S14&lt;=$S$9,MATCH(S14-0.5,$T$3:$T$8,1),0)</f>
      </c>
      <c r="U14">
        <f>IF(T14&gt;0,S14-INDEX($T$3:$T$8,T14),0)</f>
      </c>
      <c r="V14">
        <f>IF(T14&gt;0,INDEX(Intake!$A$23:$A$28,T14),"")</f>
      </c>
      <c r="W14">
        <f>IF(T14&gt;0,IFERROR(VLOOKUP(V14,ModelTable,7,FALSE),1),1)</f>
      </c>
      <c r="X14">
        <f>IF(T14&gt;0,UPPER(V14)&amp;" #"&amp;ROUNDUP(U14/W14,0)&amp;IF(W14&gt;1,CHAR(64+U14-(ROUNDUP(U14/W14,0)-1)*W14),""),"")</f>
      </c>
      <c r="Y14">
        <f>IF(T14&gt;0,IFERROR(VLOOKUP(V14,ModelTable,6,FALSE),0),0)</f>
      </c>
      <c r="Z14">
        <f>IF(T14&gt;0,IFERROR(VLOOKUP(V14,ModelTable,11,FALSE),0)*208/2,0)</f>
      </c>
      <c r="AA14">
        <f>IF(S14&lt;=$S$9,1,0)</f>
      </c>
    </row>
    <row r="15" spans="1:27" x14ac:dyDescent="0.25">
      <c r="A15" t="s">
        <v>116</v>
      </c>
      <c r="B15" s="24">
        <v>15</v>
      </c>
      <c r="C15" s="24">
        <f>IF($AA$18=1,"---","")</f>
      </c>
      <c r="D15" s="24"/>
      <c r="E15" s="24"/>
      <c r="F15" s="24"/>
      <c r="G15" s="24"/>
      <c r="H15" s="24">
        <f>IF($AA$18=1,ROUND($Z$18,0),"")</f>
      </c>
      <c r="I15" s="24">
        <f>IF($AA$19=1,ROUND($Z$19,0),"")</f>
      </c>
      <c r="J15" s="24"/>
      <c r="K15" s="24"/>
      <c r="L15" s="24"/>
      <c r="M15" s="24"/>
      <c r="N15" s="24">
        <f>IF($AA$19=1,"---","")</f>
      </c>
      <c r="O15" s="24">
        <v>16</v>
      </c>
      <c r="P15" t="s">
        <v>116</v>
      </c>
      <c r="S15">
        <v>4</v>
      </c>
      <c r="T15">
        <f>IF(S15&lt;=$S$9,MATCH(S15-0.5,$T$3:$T$8,1),0)</f>
      </c>
      <c r="U15">
        <f>IF(T15&gt;0,S15-INDEX($T$3:$T$8,T15),0)</f>
      </c>
      <c r="V15">
        <f>IF(T15&gt;0,INDEX(Intake!$A$23:$A$28,T15),"")</f>
      </c>
      <c r="W15">
        <f>IF(T15&gt;0,IFERROR(VLOOKUP(V15,ModelTable,7,FALSE),1),1)</f>
      </c>
      <c r="X15">
        <f>IF(T15&gt;0,UPPER(V15)&amp;" #"&amp;ROUNDUP(U15/W15,0)&amp;IF(W15&gt;1,CHAR(64+U15-(ROUNDUP(U15/W15,0)-1)*W15),""),"")</f>
      </c>
      <c r="Y15">
        <f>IF(T15&gt;0,IFERROR(VLOOKUP(V15,ModelTable,6,FALSE),0),0)</f>
      </c>
      <c r="Z15">
        <f>IF(T15&gt;0,IFERROR(VLOOKUP(V15,ModelTable,11,FALSE),0)*208/2,0)</f>
      </c>
      <c r="AA15">
        <f>IF(S15&lt;=$S$9,1,0)</f>
      </c>
    </row>
    <row r="16" spans="1:27" x14ac:dyDescent="0.25">
      <c r="A16" t="s">
        <v>117</v>
      </c>
      <c r="B16" s="24">
        <v>17</v>
      </c>
      <c r="C16" s="24">
        <f>IF($AA$20=1,$X$20,"")</f>
      </c>
      <c r="D16" s="24">
        <f>IF($AA$20=1,$Y$20,"")</f>
      </c>
      <c r="E16" s="24">
        <f>IF($AA$20=1,2,"")</f>
      </c>
      <c r="F16" s="24"/>
      <c r="G16" s="24"/>
      <c r="H16" s="24"/>
      <c r="I16" s="24"/>
      <c r="J16" s="24">
        <f>IF($AA$20=1,ROUND($Z$20,0),"")</f>
      </c>
      <c r="K16" s="24">
        <f>IF($AA$21=1,ROUND($Z$21,0),"")</f>
      </c>
      <c r="L16" s="24">
        <f>IF($AA$21=1,2,"")</f>
      </c>
      <c r="M16" s="24">
        <f>IF($AA$21=1,$Y$21,"")</f>
      </c>
      <c r="N16" s="24">
        <f>IF($AA$21=1,$X$21,"")</f>
      </c>
      <c r="O16" s="24">
        <v>18</v>
      </c>
      <c r="P16" t="s">
        <v>117</v>
      </c>
      <c r="S16">
        <v>5</v>
      </c>
      <c r="T16">
        <f>IF(S16&lt;=$S$9,MATCH(S16-0.5,$T$3:$T$8,1),0)</f>
      </c>
      <c r="U16">
        <f>IF(T16&gt;0,S16-INDEX($T$3:$T$8,T16),0)</f>
      </c>
      <c r="V16">
        <f>IF(T16&gt;0,INDEX(Intake!$A$23:$A$28,T16),"")</f>
      </c>
      <c r="W16">
        <f>IF(T16&gt;0,IFERROR(VLOOKUP(V16,ModelTable,7,FALSE),1),1)</f>
      </c>
      <c r="X16">
        <f>IF(T16&gt;0,UPPER(V16)&amp;" #"&amp;ROUNDUP(U16/W16,0)&amp;IF(W16&gt;1,CHAR(64+U16-(ROUNDUP(U16/W16,0)-1)*W16),""),"")</f>
      </c>
      <c r="Y16">
        <f>IF(T16&gt;0,IFERROR(VLOOKUP(V16,ModelTable,6,FALSE),0),0)</f>
      </c>
      <c r="Z16">
        <f>IF(T16&gt;0,IFERROR(VLOOKUP(V16,ModelTable,11,FALSE),0)*208/2,0)</f>
      </c>
      <c r="AA16">
        <f>IF(S16&lt;=$S$9,1,0)</f>
      </c>
    </row>
    <row r="17" spans="1:27" x14ac:dyDescent="0.25">
      <c r="A17" t="s">
        <v>115</v>
      </c>
      <c r="B17" s="24">
        <v>19</v>
      </c>
      <c r="C17" s="24">
        <f>IF($AA$20=1,"---","")</f>
      </c>
      <c r="D17" s="24"/>
      <c r="E17" s="24"/>
      <c r="F17" s="24">
        <f>IF($AA$20=1,ROUND($Z$20,0),"")</f>
      </c>
      <c r="G17" s="24">
        <f>IF($AA$21=1,ROUND($Z$21,0),"")</f>
      </c>
      <c r="H17" s="24"/>
      <c r="I17" s="24"/>
      <c r="J17" s="24"/>
      <c r="K17" s="24"/>
      <c r="L17" s="24"/>
      <c r="M17" s="24"/>
      <c r="N17" s="24">
        <f>IF($AA$21=1,"---","")</f>
      </c>
      <c r="O17" s="24">
        <v>20</v>
      </c>
      <c r="P17" t="s">
        <v>115</v>
      </c>
      <c r="S17">
        <v>6</v>
      </c>
      <c r="T17">
        <f>IF(S17&lt;=$S$9,MATCH(S17-0.5,$T$3:$T$8,1),0)</f>
      </c>
      <c r="U17">
        <f>IF(T17&gt;0,S17-INDEX($T$3:$T$8,T17),0)</f>
      </c>
      <c r="V17">
        <f>IF(T17&gt;0,INDEX(Intake!$A$23:$A$28,T17),"")</f>
      </c>
      <c r="W17">
        <f>IF(T17&gt;0,IFERROR(VLOOKUP(V17,ModelTable,7,FALSE),1),1)</f>
      </c>
      <c r="X17">
        <f>IF(T17&gt;0,UPPER(V17)&amp;" #"&amp;ROUNDUP(U17/W17,0)&amp;IF(W17&gt;1,CHAR(64+U17-(ROUNDUP(U17/W17,0)-1)*W17),""),"")</f>
      </c>
      <c r="Y17">
        <f>IF(T17&gt;0,IFERROR(VLOOKUP(V17,ModelTable,6,FALSE),0),0)</f>
      </c>
      <c r="Z17">
        <f>IF(T17&gt;0,IFERROR(VLOOKUP(V17,ModelTable,11,FALSE),0)*208/2,0)</f>
      </c>
      <c r="AA17">
        <f>IF(S17&lt;=$S$9,1,0)</f>
      </c>
    </row>
    <row r="18" spans="1:27" x14ac:dyDescent="0.25">
      <c r="A18" t="s">
        <v>116</v>
      </c>
      <c r="B18" s="24">
        <v>21</v>
      </c>
      <c r="C18" s="24">
        <f>IF($AA$22=1,$X$22,"")</f>
      </c>
      <c r="D18" s="24">
        <f>IF($AA$22=1,$Y$22,"")</f>
      </c>
      <c r="E18" s="24">
        <f>IF($AA$22=1,2,"")</f>
      </c>
      <c r="F18" s="24"/>
      <c r="G18" s="24"/>
      <c r="H18" s="24">
        <f>IF($AA$22=1,ROUND($Z$22,0),"")</f>
      </c>
      <c r="I18" s="24">
        <f>IF($AA$23=1,ROUND($Z$23,0),"")</f>
      </c>
      <c r="J18" s="24"/>
      <c r="K18" s="24"/>
      <c r="L18" s="24">
        <f>IF($AA$23=1,2,"")</f>
      </c>
      <c r="M18" s="24">
        <f>IF($AA$23=1,$Y$23,"")</f>
      </c>
      <c r="N18" s="24">
        <f>IF($AA$23=1,$X$23,"")</f>
      </c>
      <c r="O18" s="24">
        <v>22</v>
      </c>
      <c r="P18" t="s">
        <v>116</v>
      </c>
      <c r="S18">
        <v>7</v>
      </c>
      <c r="T18">
        <f>IF(S18&lt;=$S$9,MATCH(S18-0.5,$T$3:$T$8,1),0)</f>
      </c>
      <c r="U18">
        <f>IF(T18&gt;0,S18-INDEX($T$3:$T$8,T18),0)</f>
      </c>
      <c r="V18">
        <f>IF(T18&gt;0,INDEX(Intake!$A$23:$A$28,T18),"")</f>
      </c>
      <c r="W18">
        <f>IF(T18&gt;0,IFERROR(VLOOKUP(V18,ModelTable,7,FALSE),1),1)</f>
      </c>
      <c r="X18">
        <f>IF(T18&gt;0,UPPER(V18)&amp;" #"&amp;ROUNDUP(U18/W18,0)&amp;IF(W18&gt;1,CHAR(64+U18-(ROUNDUP(U18/W18,0)-1)*W18),""),"")</f>
      </c>
      <c r="Y18">
        <f>IF(T18&gt;0,IFERROR(VLOOKUP(V18,ModelTable,6,FALSE),0),0)</f>
      </c>
      <c r="Z18">
        <f>IF(T18&gt;0,IFERROR(VLOOKUP(V18,ModelTable,11,FALSE),0)*208/2,0)</f>
      </c>
      <c r="AA18">
        <f>IF(S18&lt;=$S$9,1,0)</f>
      </c>
    </row>
    <row r="19" spans="1:27" x14ac:dyDescent="0.25">
      <c r="A19" t="s">
        <v>117</v>
      </c>
      <c r="B19" s="24">
        <v>23</v>
      </c>
      <c r="C19" s="24">
        <f>IF($AA$22=1,"---","")</f>
      </c>
      <c r="D19" s="24"/>
      <c r="E19" s="24"/>
      <c r="F19" s="24"/>
      <c r="G19" s="24"/>
      <c r="H19" s="24"/>
      <c r="I19" s="24"/>
      <c r="J19" s="24">
        <f>IF($AA$22=1,ROUND($Z$22,0),"")</f>
      </c>
      <c r="K19" s="24">
        <f>IF($AA$23=1,ROUND($Z$23,0),"")</f>
      </c>
      <c r="L19" s="24"/>
      <c r="M19" s="24"/>
      <c r="N19" s="24">
        <f>IF($AA$23=1,"---","")</f>
      </c>
      <c r="O19" s="24">
        <v>24</v>
      </c>
      <c r="P19" t="s">
        <v>117</v>
      </c>
      <c r="S19">
        <v>8</v>
      </c>
      <c r="T19">
        <f>IF(S19&lt;=$S$9,MATCH(S19-0.5,$T$3:$T$8,1),0)</f>
      </c>
      <c r="U19">
        <f>IF(T19&gt;0,S19-INDEX($T$3:$T$8,T19),0)</f>
      </c>
      <c r="V19">
        <f>IF(T19&gt;0,INDEX(Intake!$A$23:$A$28,T19),"")</f>
      </c>
      <c r="W19">
        <f>IF(T19&gt;0,IFERROR(VLOOKUP(V19,ModelTable,7,FALSE),1),1)</f>
      </c>
      <c r="X19">
        <f>IF(T19&gt;0,UPPER(V19)&amp;" #"&amp;ROUNDUP(U19/W19,0)&amp;IF(W19&gt;1,CHAR(64+U19-(ROUNDUP(U19/W19,0)-1)*W19),""),"")</f>
      </c>
      <c r="Y19">
        <f>IF(T19&gt;0,IFERROR(VLOOKUP(V19,ModelTable,6,FALSE),0),0)</f>
      </c>
      <c r="Z19">
        <f>IF(T19&gt;0,IFERROR(VLOOKUP(V19,ModelTable,11,FALSE),0)*208/2,0)</f>
      </c>
      <c r="AA19">
        <f>IF(S19&lt;=$S$9,1,0)</f>
      </c>
    </row>
    <row r="20" spans="1:27" x14ac:dyDescent="0.25">
      <c r="A20" t="s">
        <v>115</v>
      </c>
      <c r="B20" s="24">
        <v>25</v>
      </c>
      <c r="C20" s="24">
        <f>IF($AA$24=1,$X$24,"")</f>
      </c>
      <c r="D20" s="24">
        <f>IF($AA$24=1,$Y$24,"")</f>
      </c>
      <c r="E20" s="24">
        <f>IF($AA$24=1,2,"")</f>
      </c>
      <c r="F20" s="24">
        <f>IF($AA$24=1,ROUND($Z$24,0),"")</f>
      </c>
      <c r="G20" s="24">
        <f>IF($AA$25=1,ROUND($Z$25,0),"")</f>
      </c>
      <c r="H20" s="24"/>
      <c r="I20" s="24"/>
      <c r="J20" s="24"/>
      <c r="K20" s="24"/>
      <c r="L20" s="24">
        <f>IF($AA$25=1,2,"")</f>
      </c>
      <c r="M20" s="24">
        <f>IF($AA$25=1,$Y$25,"")</f>
      </c>
      <c r="N20" s="24">
        <f>IF($AA$25=1,$X$25,"")</f>
      </c>
      <c r="O20" s="24">
        <v>26</v>
      </c>
      <c r="P20" t="s">
        <v>115</v>
      </c>
      <c r="S20">
        <v>9</v>
      </c>
      <c r="T20">
        <f>IF(S20&lt;=$S$9,MATCH(S20-0.5,$T$3:$T$8,1),0)</f>
      </c>
      <c r="U20">
        <f>IF(T20&gt;0,S20-INDEX($T$3:$T$8,T20),0)</f>
      </c>
      <c r="V20">
        <f>IF(T20&gt;0,INDEX(Intake!$A$23:$A$28,T20),"")</f>
      </c>
      <c r="W20">
        <f>IF(T20&gt;0,IFERROR(VLOOKUP(V20,ModelTable,7,FALSE),1),1)</f>
      </c>
      <c r="X20">
        <f>IF(T20&gt;0,UPPER(V20)&amp;" #"&amp;ROUNDUP(U20/W20,0)&amp;IF(W20&gt;1,CHAR(64+U20-(ROUNDUP(U20/W20,0)-1)*W20),""),"")</f>
      </c>
      <c r="Y20">
        <f>IF(T20&gt;0,IFERROR(VLOOKUP(V20,ModelTable,6,FALSE),0),0)</f>
      </c>
      <c r="Z20">
        <f>IF(T20&gt;0,IFERROR(VLOOKUP(V20,ModelTable,11,FALSE),0)*208/2,0)</f>
      </c>
      <c r="AA20">
        <f>IF(S20&lt;=$S$9,1,0)</f>
      </c>
    </row>
    <row r="21" spans="1:27" x14ac:dyDescent="0.25">
      <c r="A21" t="s">
        <v>116</v>
      </c>
      <c r="B21" s="24">
        <v>27</v>
      </c>
      <c r="C21" s="24">
        <f>IF($AA$24=1,"---","")</f>
      </c>
      <c r="D21" s="24"/>
      <c r="E21" s="24"/>
      <c r="F21" s="24"/>
      <c r="G21" s="24"/>
      <c r="H21" s="24">
        <f>IF($AA$24=1,ROUND($Z$24,0),"")</f>
      </c>
      <c r="I21" s="24">
        <f>IF($AA$25=1,ROUND($Z$25,0),"")</f>
      </c>
      <c r="J21" s="24"/>
      <c r="K21" s="24"/>
      <c r="L21" s="24"/>
      <c r="M21" s="24"/>
      <c r="N21" s="24">
        <f>IF($AA$25=1,"---","")</f>
      </c>
      <c r="O21" s="24">
        <v>28</v>
      </c>
      <c r="P21" t="s">
        <v>116</v>
      </c>
      <c r="S21">
        <v>10</v>
      </c>
      <c r="T21">
        <f>IF(S21&lt;=$S$9,MATCH(S21-0.5,$T$3:$T$8,1),0)</f>
      </c>
      <c r="U21">
        <f>IF(T21&gt;0,S21-INDEX($T$3:$T$8,T21),0)</f>
      </c>
      <c r="V21">
        <f>IF(T21&gt;0,INDEX(Intake!$A$23:$A$28,T21),"")</f>
      </c>
      <c r="W21">
        <f>IF(T21&gt;0,IFERROR(VLOOKUP(V21,ModelTable,7,FALSE),1),1)</f>
      </c>
      <c r="X21">
        <f>IF(T21&gt;0,UPPER(V21)&amp;" #"&amp;ROUNDUP(U21/W21,0)&amp;IF(W21&gt;1,CHAR(64+U21-(ROUNDUP(U21/W21,0)-1)*W21),""),"")</f>
      </c>
      <c r="Y21">
        <f>IF(T21&gt;0,IFERROR(VLOOKUP(V21,ModelTable,6,FALSE),0),0)</f>
      </c>
      <c r="Z21">
        <f>IF(T21&gt;0,IFERROR(VLOOKUP(V21,ModelTable,11,FALSE),0)*208/2,0)</f>
      </c>
      <c r="AA21">
        <f>IF(S21&lt;=$S$9,1,0)</f>
      </c>
    </row>
    <row r="22" spans="1:27" x14ac:dyDescent="0.25">
      <c r="A22" t="s">
        <v>117</v>
      </c>
      <c r="B22" s="24">
        <v>29</v>
      </c>
      <c r="C22" s="24">
        <f>IF($AA$26=1,$X$26,"")</f>
      </c>
      <c r="D22" s="24">
        <f>IF($AA$26=1,$Y$26,"")</f>
      </c>
      <c r="E22" s="24">
        <f>IF($AA$26=1,2,"")</f>
      </c>
      <c r="F22" s="24"/>
      <c r="G22" s="24"/>
      <c r="H22" s="24"/>
      <c r="I22" s="24"/>
      <c r="J22" s="24">
        <f>IF($AA$26=1,ROUND($Z$26,0),"")</f>
      </c>
      <c r="K22" s="24">
        <f>IF($AA$27=1,ROUND($Z$27,0),"")</f>
      </c>
      <c r="L22" s="24">
        <f>IF($AA$27=1,2,"")</f>
      </c>
      <c r="M22" s="24">
        <f>IF($AA$27=1,$Y$27,"")</f>
      </c>
      <c r="N22" s="24">
        <f>IF($AA$27=1,$X$27,"")</f>
      </c>
      <c r="O22" s="24">
        <v>30</v>
      </c>
      <c r="P22" t="s">
        <v>117</v>
      </c>
      <c r="S22">
        <v>11</v>
      </c>
      <c r="T22">
        <f>IF(S22&lt;=$S$9,MATCH(S22-0.5,$T$3:$T$8,1),0)</f>
      </c>
      <c r="U22">
        <f>IF(T22&gt;0,S22-INDEX($T$3:$T$8,T22),0)</f>
      </c>
      <c r="V22">
        <f>IF(T22&gt;0,INDEX(Intake!$A$23:$A$28,T22),"")</f>
      </c>
      <c r="W22">
        <f>IF(T22&gt;0,IFERROR(VLOOKUP(V22,ModelTable,7,FALSE),1),1)</f>
      </c>
      <c r="X22">
        <f>IF(T22&gt;0,UPPER(V22)&amp;" #"&amp;ROUNDUP(U22/W22,0)&amp;IF(W22&gt;1,CHAR(64+U22-(ROUNDUP(U22/W22,0)-1)*W22),""),"")</f>
      </c>
      <c r="Y22">
        <f>IF(T22&gt;0,IFERROR(VLOOKUP(V22,ModelTable,6,FALSE),0),0)</f>
      </c>
      <c r="Z22">
        <f>IF(T22&gt;0,IFERROR(VLOOKUP(V22,ModelTable,11,FALSE),0)*208/2,0)</f>
      </c>
      <c r="AA22">
        <f>IF(S22&lt;=$S$9,1,0)</f>
      </c>
    </row>
    <row r="23" spans="1:27" x14ac:dyDescent="0.25">
      <c r="A23" t="s">
        <v>115</v>
      </c>
      <c r="B23" s="24">
        <v>31</v>
      </c>
      <c r="C23" s="24">
        <f>IF($AA$26=1,"---","")</f>
      </c>
      <c r="D23" s="24"/>
      <c r="E23" s="24"/>
      <c r="F23" s="24">
        <f>IF($AA$26=1,ROUND($Z$26,0),"")</f>
      </c>
      <c r="G23" s="24">
        <f>IF($AA$27=1,ROUND($Z$27,0),"")</f>
      </c>
      <c r="H23" s="24"/>
      <c r="I23" s="24"/>
      <c r="J23" s="24"/>
      <c r="K23" s="24"/>
      <c r="L23" s="24"/>
      <c r="M23" s="24"/>
      <c r="N23" s="24">
        <f>IF($AA$27=1,"---","")</f>
      </c>
      <c r="O23" s="24">
        <v>32</v>
      </c>
      <c r="P23" t="s">
        <v>115</v>
      </c>
      <c r="S23">
        <v>12</v>
      </c>
      <c r="T23">
        <f>IF(S23&lt;=$S$9,MATCH(S23-0.5,$T$3:$T$8,1),0)</f>
      </c>
      <c r="U23">
        <f>IF(T23&gt;0,S23-INDEX($T$3:$T$8,T23),0)</f>
      </c>
      <c r="V23">
        <f>IF(T23&gt;0,INDEX(Intake!$A$23:$A$28,T23),"")</f>
      </c>
      <c r="W23">
        <f>IF(T23&gt;0,IFERROR(VLOOKUP(V23,ModelTable,7,FALSE),1),1)</f>
      </c>
      <c r="X23">
        <f>IF(T23&gt;0,UPPER(V23)&amp;" #"&amp;ROUNDUP(U23/W23,0)&amp;IF(W23&gt;1,CHAR(64+U23-(ROUNDUP(U23/W23,0)-1)*W23),""),"")</f>
      </c>
      <c r="Y23">
        <f>IF(T23&gt;0,IFERROR(VLOOKUP(V23,ModelTable,6,FALSE),0),0)</f>
      </c>
      <c r="Z23">
        <f>IF(T23&gt;0,IFERROR(VLOOKUP(V23,ModelTable,11,FALSE),0)*208/2,0)</f>
      </c>
      <c r="AA23">
        <f>IF(S23&lt;=$S$9,1,0)</f>
      </c>
    </row>
    <row r="24" spans="1:27" x14ac:dyDescent="0.25">
      <c r="A24" t="s">
        <v>116</v>
      </c>
      <c r="B24" s="24">
        <v>33</v>
      </c>
      <c r="C24" s="24">
        <f>IF($AA$28=1,$X$28,"")</f>
      </c>
      <c r="D24" s="24">
        <f>IF($AA$28=1,$Y$28,"")</f>
      </c>
      <c r="E24" s="24">
        <f>IF($AA$28=1,2,"")</f>
      </c>
      <c r="F24" s="24"/>
      <c r="G24" s="24"/>
      <c r="H24" s="24">
        <f>IF($AA$28=1,ROUND($Z$28,0),"")</f>
      </c>
      <c r="I24" s="24">
        <f>IF($AA$29=1,ROUND($Z$29,0),"")</f>
      </c>
      <c r="J24" s="24"/>
      <c r="K24" s="24"/>
      <c r="L24" s="24">
        <f>IF($AA$29=1,2,"")</f>
      </c>
      <c r="M24" s="24">
        <f>IF($AA$29=1,$Y$29,"")</f>
      </c>
      <c r="N24" s="24">
        <f>IF($AA$29=1,$X$29,"")</f>
      </c>
      <c r="O24" s="24">
        <v>34</v>
      </c>
      <c r="P24" t="s">
        <v>116</v>
      </c>
      <c r="S24">
        <v>13</v>
      </c>
      <c r="T24">
        <f>IF(S24&lt;=$S$9,MATCH(S24-0.5,$T$3:$T$8,1),0)</f>
      </c>
      <c r="U24">
        <f>IF(T24&gt;0,S24-INDEX($T$3:$T$8,T24),0)</f>
      </c>
      <c r="V24">
        <f>IF(T24&gt;0,INDEX(Intake!$A$23:$A$28,T24),"")</f>
      </c>
      <c r="W24">
        <f>IF(T24&gt;0,IFERROR(VLOOKUP(V24,ModelTable,7,FALSE),1),1)</f>
      </c>
      <c r="X24">
        <f>IF(T24&gt;0,UPPER(V24)&amp;" #"&amp;ROUNDUP(U24/W24,0)&amp;IF(W24&gt;1,CHAR(64+U24-(ROUNDUP(U24/W24,0)-1)*W24),""),"")</f>
      </c>
      <c r="Y24">
        <f>IF(T24&gt;0,IFERROR(VLOOKUP(V24,ModelTable,6,FALSE),0),0)</f>
      </c>
      <c r="Z24">
        <f>IF(T24&gt;0,IFERROR(VLOOKUP(V24,ModelTable,11,FALSE),0)*208/2,0)</f>
      </c>
      <c r="AA24">
        <f>IF(S24&lt;=$S$9,1,0)</f>
      </c>
    </row>
    <row r="25" spans="1:27" x14ac:dyDescent="0.25">
      <c r="A25" t="s">
        <v>117</v>
      </c>
      <c r="B25" s="24">
        <v>35</v>
      </c>
      <c r="C25" s="24">
        <f>IF($AA$28=1,"---","")</f>
      </c>
      <c r="D25" s="24"/>
      <c r="E25" s="24"/>
      <c r="F25" s="24"/>
      <c r="G25" s="24"/>
      <c r="H25" s="24"/>
      <c r="I25" s="24"/>
      <c r="J25" s="24">
        <f>IF($AA$28=1,ROUND($Z$28,0),"")</f>
      </c>
      <c r="K25" s="24">
        <f>IF($AA$29=1,ROUND($Z$29,0),"")</f>
      </c>
      <c r="L25" s="24"/>
      <c r="M25" s="24"/>
      <c r="N25" s="24">
        <f>IF($AA$29=1,"---","")</f>
      </c>
      <c r="O25" s="24">
        <v>36</v>
      </c>
      <c r="P25" t="s">
        <v>117</v>
      </c>
      <c r="S25">
        <v>14</v>
      </c>
      <c r="T25">
        <f>IF(S25&lt;=$S$9,MATCH(S25-0.5,$T$3:$T$8,1),0)</f>
      </c>
      <c r="U25">
        <f>IF(T25&gt;0,S25-INDEX($T$3:$T$8,T25),0)</f>
      </c>
      <c r="V25">
        <f>IF(T25&gt;0,INDEX(Intake!$A$23:$A$28,T25),"")</f>
      </c>
      <c r="W25">
        <f>IF(T25&gt;0,IFERROR(VLOOKUP(V25,ModelTable,7,FALSE),1),1)</f>
      </c>
      <c r="X25">
        <f>IF(T25&gt;0,UPPER(V25)&amp;" #"&amp;ROUNDUP(U25/W25,0)&amp;IF(W25&gt;1,CHAR(64+U25-(ROUNDUP(U25/W25,0)-1)*W25),""),"")</f>
      </c>
      <c r="Y25">
        <f>IF(T25&gt;0,IFERROR(VLOOKUP(V25,ModelTable,6,FALSE),0),0)</f>
      </c>
      <c r="Z25">
        <f>IF(T25&gt;0,IFERROR(VLOOKUP(V25,ModelTable,11,FALSE),0)*208/2,0)</f>
      </c>
      <c r="AA25">
        <f>IF(S25&lt;=$S$9,1,0)</f>
      </c>
    </row>
    <row r="26" spans="1:27" x14ac:dyDescent="0.25">
      <c r="A26" t="s">
        <v>115</v>
      </c>
      <c r="B26" s="24">
        <v>37</v>
      </c>
      <c r="C26" s="24">
        <f>IF($AA$30=1,$X$30,"")</f>
      </c>
      <c r="D26" s="24">
        <f>IF($AA$30=1,$Y$30,"")</f>
      </c>
      <c r="E26" s="24">
        <f>IF($AA$30=1,2,"")</f>
      </c>
      <c r="F26" s="24">
        <f>IF($AA$30=1,ROUND($Z$30,0),"")</f>
      </c>
      <c r="G26" s="24">
        <f>IF($AA$31=1,ROUND($Z$31,0),"")</f>
      </c>
      <c r="H26" s="24"/>
      <c r="I26" s="24"/>
      <c r="J26" s="24"/>
      <c r="K26" s="24"/>
      <c r="L26" s="24">
        <f>IF($AA$31=1,2,"")</f>
      </c>
      <c r="M26" s="24">
        <f>IF($AA$31=1,$Y$31,"")</f>
      </c>
      <c r="N26" s="24">
        <f>IF($AA$31=1,$X$31,"")</f>
      </c>
      <c r="O26" s="24">
        <v>38</v>
      </c>
      <c r="P26" t="s">
        <v>115</v>
      </c>
      <c r="S26">
        <v>15</v>
      </c>
      <c r="T26">
        <f>IF(S26&lt;=$S$9,MATCH(S26-0.5,$T$3:$T$8,1),0)</f>
      </c>
      <c r="U26">
        <f>IF(T26&gt;0,S26-INDEX($T$3:$T$8,T26),0)</f>
      </c>
      <c r="V26">
        <f>IF(T26&gt;0,INDEX(Intake!$A$23:$A$28,T26),"")</f>
      </c>
      <c r="W26">
        <f>IF(T26&gt;0,IFERROR(VLOOKUP(V26,ModelTable,7,FALSE),1),1)</f>
      </c>
      <c r="X26">
        <f>IF(T26&gt;0,UPPER(V26)&amp;" #"&amp;ROUNDUP(U26/W26,0)&amp;IF(W26&gt;1,CHAR(64+U26-(ROUNDUP(U26/W26,0)-1)*W26),""),"")</f>
      </c>
      <c r="Y26">
        <f>IF(T26&gt;0,IFERROR(VLOOKUP(V26,ModelTable,6,FALSE),0),0)</f>
      </c>
      <c r="Z26">
        <f>IF(T26&gt;0,IFERROR(VLOOKUP(V26,ModelTable,11,FALSE),0)*208/2,0)</f>
      </c>
      <c r="AA26">
        <f>IF(S26&lt;=$S$9,1,0)</f>
      </c>
    </row>
    <row r="27" spans="1:27" x14ac:dyDescent="0.25">
      <c r="A27" t="s">
        <v>116</v>
      </c>
      <c r="B27" s="24">
        <v>39</v>
      </c>
      <c r="C27" s="24">
        <f>IF($AA$30=1,"---","")</f>
      </c>
      <c r="D27" s="24"/>
      <c r="E27" s="24"/>
      <c r="F27" s="24"/>
      <c r="G27" s="24"/>
      <c r="H27" s="24">
        <f>IF($AA$30=1,ROUND($Z$30,0),"")</f>
      </c>
      <c r="I27" s="24">
        <f>IF($AA$31=1,ROUND($Z$31,0),"")</f>
      </c>
      <c r="J27" s="24"/>
      <c r="K27" s="24"/>
      <c r="L27" s="24"/>
      <c r="M27" s="24"/>
      <c r="N27" s="24">
        <f>IF($AA$31=1,"---","")</f>
      </c>
      <c r="O27" s="24">
        <v>40</v>
      </c>
      <c r="P27" t="s">
        <v>116</v>
      </c>
      <c r="S27">
        <v>16</v>
      </c>
      <c r="T27">
        <f>IF(S27&lt;=$S$9,MATCH(S27-0.5,$T$3:$T$8,1),0)</f>
      </c>
      <c r="U27">
        <f>IF(T27&gt;0,S27-INDEX($T$3:$T$8,T27),0)</f>
      </c>
      <c r="V27">
        <f>IF(T27&gt;0,INDEX(Intake!$A$23:$A$28,T27),"")</f>
      </c>
      <c r="W27">
        <f>IF(T27&gt;0,IFERROR(VLOOKUP(V27,ModelTable,7,FALSE),1),1)</f>
      </c>
      <c r="X27">
        <f>IF(T27&gt;0,UPPER(V27)&amp;" #"&amp;ROUNDUP(U27/W27,0)&amp;IF(W27&gt;1,CHAR(64+U27-(ROUNDUP(U27/W27,0)-1)*W27),""),"")</f>
      </c>
      <c r="Y27">
        <f>IF(T27&gt;0,IFERROR(VLOOKUP(V27,ModelTable,6,FALSE),0),0)</f>
      </c>
      <c r="Z27">
        <f>IF(T27&gt;0,IFERROR(VLOOKUP(V27,ModelTable,11,FALSE),0)*208/2,0)</f>
      </c>
      <c r="AA27">
        <f>IF(S27&lt;=$S$9,1,0)</f>
      </c>
    </row>
    <row r="28" spans="1:27" x14ac:dyDescent="0.25">
      <c r="A28" t="s">
        <v>117</v>
      </c>
      <c r="B28" s="24">
        <v>41</v>
      </c>
      <c r="C28" s="24">
        <f>IF($AA$32=1,$X$32,"")</f>
      </c>
      <c r="D28" s="24">
        <f>IF($AA$32=1,$Y$32,"")</f>
      </c>
      <c r="E28" s="24">
        <f>IF($AA$32=1,2,"")</f>
      </c>
      <c r="F28" s="24"/>
      <c r="G28" s="24"/>
      <c r="H28" s="24"/>
      <c r="I28" s="24"/>
      <c r="J28" s="24">
        <f>IF($AA$32=1,ROUND($Z$32,0),"")</f>
      </c>
      <c r="K28" s="24">
        <f>IF($AA$33=1,ROUND($Z$33,0),"")</f>
      </c>
      <c r="L28" s="24">
        <f>IF($AA$33=1,2,"")</f>
      </c>
      <c r="M28" s="24">
        <f>IF($AA$33=1,$Y$33,"")</f>
      </c>
      <c r="N28" s="24">
        <f>IF($AA$33=1,$X$33,"")</f>
      </c>
      <c r="O28" s="24">
        <v>42</v>
      </c>
      <c r="P28" t="s">
        <v>117</v>
      </c>
      <c r="S28">
        <v>17</v>
      </c>
      <c r="T28">
        <f>IF(S28&lt;=$S$9,MATCH(S28-0.5,$T$3:$T$8,1),0)</f>
      </c>
      <c r="U28">
        <f>IF(T28&gt;0,S28-INDEX($T$3:$T$8,T28),0)</f>
      </c>
      <c r="V28">
        <f>IF(T28&gt;0,INDEX(Intake!$A$23:$A$28,T28),"")</f>
      </c>
      <c r="W28">
        <f>IF(T28&gt;0,IFERROR(VLOOKUP(V28,ModelTable,7,FALSE),1),1)</f>
      </c>
      <c r="X28">
        <f>IF(T28&gt;0,UPPER(V28)&amp;" #"&amp;ROUNDUP(U28/W28,0)&amp;IF(W28&gt;1,CHAR(64+U28-(ROUNDUP(U28/W28,0)-1)*W28),""),"")</f>
      </c>
      <c r="Y28">
        <f>IF(T28&gt;0,IFERROR(VLOOKUP(V28,ModelTable,6,FALSE),0),0)</f>
      </c>
      <c r="Z28">
        <f>IF(T28&gt;0,IFERROR(VLOOKUP(V28,ModelTable,11,FALSE),0)*208/2,0)</f>
      </c>
      <c r="AA28">
        <f>IF(S28&lt;=$S$9,1,0)</f>
      </c>
    </row>
    <row r="29" spans="1:27" x14ac:dyDescent="0.25">
      <c r="A29" t="s">
        <v>115</v>
      </c>
      <c r="B29" s="24">
        <v>43</v>
      </c>
      <c r="C29" s="24">
        <f>IF($AA$32=1,"---","")</f>
      </c>
      <c r="D29" s="24"/>
      <c r="E29" s="24"/>
      <c r="F29" s="24">
        <f>IF($AA$32=1,ROUND($Z$32,0),"")</f>
      </c>
      <c r="G29" s="24">
        <f>IF($AA$33=1,ROUND($Z$33,0),"")</f>
      </c>
      <c r="H29" s="24"/>
      <c r="I29" s="24"/>
      <c r="J29" s="24"/>
      <c r="K29" s="24"/>
      <c r="L29" s="24"/>
      <c r="M29" s="24"/>
      <c r="N29" s="24">
        <f>IF($AA$33=1,"---","")</f>
      </c>
      <c r="O29" s="24">
        <v>44</v>
      </c>
      <c r="P29" t="s">
        <v>115</v>
      </c>
      <c r="S29">
        <v>18</v>
      </c>
      <c r="T29">
        <f>IF(S29&lt;=$S$9,MATCH(S29-0.5,$T$3:$T$8,1),0)</f>
      </c>
      <c r="U29">
        <f>IF(T29&gt;0,S29-INDEX($T$3:$T$8,T29),0)</f>
      </c>
      <c r="V29">
        <f>IF(T29&gt;0,INDEX(Intake!$A$23:$A$28,T29),"")</f>
      </c>
      <c r="W29">
        <f>IF(T29&gt;0,IFERROR(VLOOKUP(V29,ModelTable,7,FALSE),1),1)</f>
      </c>
      <c r="X29">
        <f>IF(T29&gt;0,UPPER(V29)&amp;" #"&amp;ROUNDUP(U29/W29,0)&amp;IF(W29&gt;1,CHAR(64+U29-(ROUNDUP(U29/W29,0)-1)*W29),""),"")</f>
      </c>
      <c r="Y29">
        <f>IF(T29&gt;0,IFERROR(VLOOKUP(V29,ModelTable,6,FALSE),0),0)</f>
      </c>
      <c r="Z29">
        <f>IF(T29&gt;0,IFERROR(VLOOKUP(V29,ModelTable,11,FALSE),0)*208/2,0)</f>
      </c>
      <c r="AA29">
        <f>IF(S29&lt;=$S$9,1,0)</f>
      </c>
    </row>
    <row r="30" spans="1:27" x14ac:dyDescent="0.25">
      <c r="A30" t="s">
        <v>116</v>
      </c>
      <c r="B30" s="24">
        <v>45</v>
      </c>
      <c r="C30" s="24">
        <f>IF($AA$34=1,$X$34,"")</f>
      </c>
      <c r="D30" s="24">
        <f>IF($AA$34=1,$Y$34,"")</f>
      </c>
      <c r="E30" s="24">
        <f>IF($AA$34=1,2,"")</f>
      </c>
      <c r="F30" s="24"/>
      <c r="G30" s="24"/>
      <c r="H30" s="24">
        <f>IF($AA$34=1,ROUND($Z$34,0),"")</f>
      </c>
      <c r="I30" s="24">
        <f>IF($AA$35=1,ROUND($Z$35,0),"")</f>
      </c>
      <c r="J30" s="24"/>
      <c r="K30" s="24"/>
      <c r="L30" s="24">
        <f>IF($AA$35=1,2,"")</f>
      </c>
      <c r="M30" s="24">
        <f>IF($AA$35=1,$Y$35,"")</f>
      </c>
      <c r="N30" s="24">
        <f>IF($AA$35=1,$X$35,"")</f>
      </c>
      <c r="O30" s="24">
        <v>46</v>
      </c>
      <c r="P30" t="s">
        <v>116</v>
      </c>
      <c r="S30">
        <v>19</v>
      </c>
      <c r="T30">
        <f>IF(S30&lt;=$S$9,MATCH(S30-0.5,$T$3:$T$8,1),0)</f>
      </c>
      <c r="U30">
        <f>IF(T30&gt;0,S30-INDEX($T$3:$T$8,T30),0)</f>
      </c>
      <c r="V30">
        <f>IF(T30&gt;0,INDEX(Intake!$A$23:$A$28,T30),"")</f>
      </c>
      <c r="W30">
        <f>IF(T30&gt;0,IFERROR(VLOOKUP(V30,ModelTable,7,FALSE),1),1)</f>
      </c>
      <c r="X30">
        <f>IF(T30&gt;0,UPPER(V30)&amp;" #"&amp;ROUNDUP(U30/W30,0)&amp;IF(W30&gt;1,CHAR(64+U30-(ROUNDUP(U30/W30,0)-1)*W30),""),"")</f>
      </c>
      <c r="Y30">
        <f>IF(T30&gt;0,IFERROR(VLOOKUP(V30,ModelTable,6,FALSE),0),0)</f>
      </c>
      <c r="Z30">
        <f>IF(T30&gt;0,IFERROR(VLOOKUP(V30,ModelTable,11,FALSE),0)*208/2,0)</f>
      </c>
      <c r="AA30">
        <f>IF(S30&lt;=$S$9,1,0)</f>
      </c>
    </row>
    <row r="31" spans="1:27" x14ac:dyDescent="0.25">
      <c r="A31" t="s">
        <v>117</v>
      </c>
      <c r="B31" s="24">
        <v>47</v>
      </c>
      <c r="C31" s="24">
        <f>IF($AA$34=1,"---","")</f>
      </c>
      <c r="D31" s="24"/>
      <c r="E31" s="24"/>
      <c r="F31" s="24"/>
      <c r="G31" s="24"/>
      <c r="H31" s="24"/>
      <c r="I31" s="24"/>
      <c r="J31" s="24">
        <f>IF($AA$34=1,ROUND($Z$34,0),"")</f>
      </c>
      <c r="K31" s="24">
        <f>IF($AA$35=1,ROUND($Z$35,0),"")</f>
      </c>
      <c r="L31" s="24"/>
      <c r="M31" s="24"/>
      <c r="N31" s="24">
        <f>IF($AA$35=1,"---","")</f>
      </c>
      <c r="O31" s="24">
        <v>48</v>
      </c>
      <c r="P31" t="s">
        <v>117</v>
      </c>
      <c r="S31">
        <v>20</v>
      </c>
      <c r="T31">
        <f>IF(S31&lt;=$S$9,MATCH(S31-0.5,$T$3:$T$8,1),0)</f>
      </c>
      <c r="U31">
        <f>IF(T31&gt;0,S31-INDEX($T$3:$T$8,T31),0)</f>
      </c>
      <c r="V31">
        <f>IF(T31&gt;0,INDEX(Intake!$A$23:$A$28,T31),"")</f>
      </c>
      <c r="W31">
        <f>IF(T31&gt;0,IFERROR(VLOOKUP(V31,ModelTable,7,FALSE),1),1)</f>
      </c>
      <c r="X31">
        <f>IF(T31&gt;0,UPPER(V31)&amp;" #"&amp;ROUNDUP(U31/W31,0)&amp;IF(W31&gt;1,CHAR(64+U31-(ROUNDUP(U31/W31,0)-1)*W31),""),"")</f>
      </c>
      <c r="Y31">
        <f>IF(T31&gt;0,IFERROR(VLOOKUP(V31,ModelTable,6,FALSE),0),0)</f>
      </c>
      <c r="Z31">
        <f>IF(T31&gt;0,IFERROR(VLOOKUP(V31,ModelTable,11,FALSE),0)*208/2,0)</f>
      </c>
      <c r="AA31">
        <f>IF(S31&lt;=$S$9,1,0)</f>
      </c>
    </row>
    <row r="32" spans="19:27" x14ac:dyDescent="0.25">
      <c r="S32">
        <v>21</v>
      </c>
      <c r="T32">
        <f>IF(S32&lt;=$S$9,MATCH(S32-0.5,$T$3:$T$8,1),0)</f>
      </c>
      <c r="U32">
        <f>IF(T32&gt;0,S32-INDEX($T$3:$T$8,T32),0)</f>
      </c>
      <c r="V32">
        <f>IF(T32&gt;0,INDEX(Intake!$A$23:$A$28,T32),"")</f>
      </c>
      <c r="W32">
        <f>IF(T32&gt;0,IFERROR(VLOOKUP(V32,ModelTable,7,FALSE),1),1)</f>
      </c>
      <c r="X32">
        <f>IF(T32&gt;0,UPPER(V32)&amp;" #"&amp;ROUNDUP(U32/W32,0)&amp;IF(W32&gt;1,CHAR(64+U32-(ROUNDUP(U32/W32,0)-1)*W32),""),"")</f>
      </c>
      <c r="Y32">
        <f>IF(T32&gt;0,IFERROR(VLOOKUP(V32,ModelTable,6,FALSE),0),0)</f>
      </c>
      <c r="Z32">
        <f>IF(T32&gt;0,IFERROR(VLOOKUP(V32,ModelTable,11,FALSE),0)*208/2,0)</f>
      </c>
      <c r="AA32">
        <f>IF(S32&lt;=$S$9,1,0)</f>
      </c>
    </row>
    <row r="33" spans="3:27" x14ac:dyDescent="0.25">
      <c r="C33" t="s">
        <v>119</v>
      </c>
      <c r="F33" s="26">
        <f>SUM(F8:G31)</f>
      </c>
      <c r="G33" s="26"/>
      <c r="H33" s="26">
        <f>SUM(H8:I31)</f>
      </c>
      <c r="I33" s="26"/>
      <c r="J33" s="26">
        <f>SUM(J8:K31)</f>
      </c>
      <c r="K33" s="26"/>
      <c r="L33" s="22" t="s">
        <v>120</v>
      </c>
      <c r="M33" s="22"/>
      <c r="N33" s="26">
        <f>F33+H33+J33</f>
      </c>
      <c r="S33">
        <v>22</v>
      </c>
      <c r="T33">
        <f>IF(S33&lt;=$S$9,MATCH(S33-0.5,$T$3:$T$8,1),0)</f>
      </c>
      <c r="U33">
        <f>IF(T33&gt;0,S33-INDEX($T$3:$T$8,T33),0)</f>
      </c>
      <c r="V33">
        <f>IF(T33&gt;0,INDEX(Intake!$A$23:$A$28,T33),"")</f>
      </c>
      <c r="W33">
        <f>IF(T33&gt;0,IFERROR(VLOOKUP(V33,ModelTable,7,FALSE),1),1)</f>
      </c>
      <c r="X33">
        <f>IF(T33&gt;0,UPPER(V33)&amp;" #"&amp;ROUNDUP(U33/W33,0)&amp;IF(W33&gt;1,CHAR(64+U33-(ROUNDUP(U33/W33,0)-1)*W33),""),"")</f>
      </c>
      <c r="Y33">
        <f>IF(T33&gt;0,IFERROR(VLOOKUP(V33,ModelTable,6,FALSE),0),0)</f>
      </c>
      <c r="Z33">
        <f>IF(T33&gt;0,IFERROR(VLOOKUP(V33,ModelTable,11,FALSE),0)*208/2,0)</f>
      </c>
      <c r="AA33">
        <f>IF(S33&lt;=$S$9,1,0)</f>
      </c>
    </row>
    <row r="34" spans="3:27" x14ac:dyDescent="0.25">
      <c r="C34" t="s">
        <v>121</v>
      </c>
      <c r="F34" s="26">
        <f>F33*1.25</f>
      </c>
      <c r="G34" s="26"/>
      <c r="H34" s="26">
        <f>H33*1.25</f>
      </c>
      <c r="I34" s="26"/>
      <c r="J34" s="26">
        <f>J33*1.25</f>
      </c>
      <c r="K34" s="26"/>
      <c r="L34" s="22" t="s">
        <v>122</v>
      </c>
      <c r="M34" s="22"/>
      <c r="N34" s="26">
        <f>N33*1.25</f>
      </c>
      <c r="S34">
        <v>23</v>
      </c>
      <c r="T34">
        <f>IF(S34&lt;=$S$9,MATCH(S34-0.5,$T$3:$T$8,1),0)</f>
      </c>
      <c r="U34">
        <f>IF(T34&gt;0,S34-INDEX($T$3:$T$8,T34),0)</f>
      </c>
      <c r="V34">
        <f>IF(T34&gt;0,INDEX(Intake!$A$23:$A$28,T34),"")</f>
      </c>
      <c r="W34">
        <f>IF(T34&gt;0,IFERROR(VLOOKUP(V34,ModelTable,7,FALSE),1),1)</f>
      </c>
      <c r="X34">
        <f>IF(T34&gt;0,UPPER(V34)&amp;" #"&amp;ROUNDUP(U34/W34,0)&amp;IF(W34&gt;1,CHAR(64+U34-(ROUNDUP(U34/W34,0)-1)*W34),""),"")</f>
      </c>
      <c r="Y34">
        <f>IF(T34&gt;0,IFERROR(VLOOKUP(V34,ModelTable,6,FALSE),0),0)</f>
      </c>
      <c r="Z34">
        <f>IF(T34&gt;0,IFERROR(VLOOKUP(V34,ModelTable,11,FALSE),0)*208/2,0)</f>
      </c>
      <c r="AA34">
        <f>IF(S34&lt;=$S$9,1,0)</f>
      </c>
    </row>
    <row r="35" spans="3:27" x14ac:dyDescent="0.25">
      <c r="C35" t="s">
        <v>123</v>
      </c>
      <c r="F35" s="26">
        <f>MAX($F$34,$H$34,$J$34)</f>
      </c>
      <c r="G35" s="26"/>
      <c r="H35" s="26">
        <f>MAX($F$34,$H$34,$J$34)</f>
      </c>
      <c r="I35" s="26"/>
      <c r="J35" s="26">
        <f>MAX($F$34,$H$34,$J$34)</f>
      </c>
      <c r="K35" s="26"/>
      <c r="L35" s="22" t="s">
        <v>124</v>
      </c>
      <c r="M35" s="22"/>
      <c r="N35" s="27">
        <f>N34/(208*SQRT(3))</f>
      </c>
      <c r="S35">
        <v>24</v>
      </c>
      <c r="T35">
        <f>IF(S35&lt;=$S$9,MATCH(S35-0.5,$T$3:$T$8,1),0)</f>
      </c>
      <c r="U35">
        <f>IF(T35&gt;0,S35-INDEX($T$3:$T$8,T35),0)</f>
      </c>
      <c r="V35">
        <f>IF(T35&gt;0,INDEX(Intake!$A$23:$A$28,T35),"")</f>
      </c>
      <c r="W35">
        <f>IF(T35&gt;0,IFERROR(VLOOKUP(V35,ModelTable,7,FALSE),1),1)</f>
      </c>
      <c r="X35">
        <f>IF(T35&gt;0,UPPER(V35)&amp;" #"&amp;ROUNDUP(U35/W35,0)&amp;IF(W35&gt;1,CHAR(64+U35-(ROUNDUP(U35/W35,0)-1)*W35),""),"")</f>
      </c>
      <c r="Y35">
        <f>IF(T35&gt;0,IFERROR(VLOOKUP(V35,ModelTable,6,FALSE),0),0)</f>
      </c>
      <c r="Z35">
        <f>IF(T35&gt;0,IFERROR(VLOOKUP(V35,ModelTable,11,FALSE),0)*208/2,0)</f>
      </c>
      <c r="AA35">
        <f>IF(S35&lt;=$S$9,1,0)</f>
      </c>
    </row>
    <row r="36" spans="3:14" x14ac:dyDescent="0.25">
      <c r="C36" t="s">
        <v>125</v>
      </c>
      <c r="F36" s="27">
        <f>F35/120</f>
      </c>
      <c r="G36" s="27"/>
      <c r="H36" s="27">
        <f>H35/120</f>
      </c>
      <c r="I36" s="27"/>
      <c r="J36" s="27">
        <f>J35/120</f>
      </c>
      <c r="K36" s="27"/>
      <c r="L36" s="22" t="s">
        <v>126</v>
      </c>
      <c r="M36" s="22"/>
      <c r="N36">
        <f>Panel!$F$28</f>
      </c>
    </row>
    <row r="38" spans="2:2" x14ac:dyDescent="0.25">
      <c r="B38" s="28">
        <f>IF($S$9&gt;24,"⚠ More than 24 circuits — grid truncated, use the app's Excel export","")</f>
      </c>
    </row>
  </sheetData>
  <mergeCells count="20">
    <mergeCell ref="B1:O1"/>
    <mergeCell ref="F7:G7"/>
    <mergeCell ref="H7:I7"/>
    <mergeCell ref="J7:K7"/>
    <mergeCell ref="F33:G33"/>
    <mergeCell ref="H33:I33"/>
    <mergeCell ref="J33:K33"/>
    <mergeCell ref="L33:M33"/>
    <mergeCell ref="F34:G34"/>
    <mergeCell ref="H34:I34"/>
    <mergeCell ref="J34:K34"/>
    <mergeCell ref="L34:M34"/>
    <mergeCell ref="F35:G35"/>
    <mergeCell ref="H35:I35"/>
    <mergeCell ref="J35:K35"/>
    <mergeCell ref="L35:M35"/>
    <mergeCell ref="F36:G36"/>
    <mergeCell ref="H36:I36"/>
    <mergeCell ref="J36:K36"/>
    <mergeCell ref="L36:M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4" customWidth="1"/>
    <col min="2" max="2" width="16" customWidth="1"/>
    <col min="3" max="3" width="12" customWidth="1"/>
  </cols>
  <sheetData>
    <row r="1" spans="1:1" x14ac:dyDescent="0.25">
      <c r="A1" s="16" t="s">
        <v>130</v>
      </c>
    </row>
    <row r="2" spans="1:1" x14ac:dyDescent="0.25">
      <c r="A2" s="2" t="s">
        <v>131</v>
      </c>
    </row>
    <row r="4" spans="1:2" x14ac:dyDescent="0.25">
      <c r="A4" s="4" t="s">
        <v>132</v>
      </c>
      <c r="B4">
        <f>IF(NTotal&lt;=0,0,ROUNDUP((8+2.5*NDcfc+1*NumL2+TrenchFt/40)*VLOOKUP(Terrain,TerrainTable,3,FALSE),0))</f>
      </c>
    </row>
    <row r="6" spans="1:2" x14ac:dyDescent="0.25">
      <c r="A6" s="29" t="s">
        <v>133</v>
      </c>
      <c r="B6" s="30"/>
    </row>
    <row r="7" spans="1:2" x14ac:dyDescent="0.25">
      <c r="A7" t="s">
        <v>134</v>
      </c>
      <c r="B7" s="9">
        <f>SUM(Intake!E23:E28)</f>
      </c>
    </row>
    <row r="8" spans="1:2" x14ac:dyDescent="0.25">
      <c r="A8" t="s">
        <v>135</v>
      </c>
      <c r="B8" s="9">
        <f>GearTotal</f>
      </c>
    </row>
    <row r="9" spans="1:2" x14ac:dyDescent="0.25">
      <c r="A9" t="s">
        <v>136</v>
      </c>
      <c r="B9" s="9">
        <f>TrenchFt*TrenchRate*VLOOKUP(Terrain,TerrainTable,2,FALSE)</f>
      </c>
    </row>
    <row r="10" spans="1:2" x14ac:dyDescent="0.25">
      <c r="A10" t="s">
        <v>137</v>
      </c>
      <c r="B10" s="9">
        <f>IF(NTotal&gt;0,CivilBase,0)+NDcfc*CivilDcfc+NumL2*CivilL2</f>
      </c>
    </row>
    <row r="11" spans="1:2" x14ac:dyDescent="0.25">
      <c r="A11" t="s">
        <v>138</v>
      </c>
      <c r="B11" s="9">
        <f>NDcfc*SignageDcfc+NumL2*SignageL2</f>
      </c>
    </row>
    <row r="12" spans="1:2" x14ac:dyDescent="0.25">
      <c r="A12" t="s">
        <v>139</v>
      </c>
      <c r="B12" s="9">
        <f>AdaCost</f>
      </c>
    </row>
    <row r="13" spans="1:2" x14ac:dyDescent="0.25">
      <c r="A13" t="s">
        <v>140</v>
      </c>
      <c r="B13" s="9">
        <f>TrenchFt*VLOOKUP(Terrain,TerrainTable,5,FALSE)</f>
      </c>
    </row>
    <row r="14" spans="1:2" x14ac:dyDescent="0.25">
      <c r="A14" t="s">
        <v>44</v>
      </c>
      <c r="B14" s="9">
        <f>IF(IncGpr="Yes",MAX(1,ROUNDUP(TrenchFt/GprFtPerDay,0))*GprDayRate,0)</f>
      </c>
    </row>
    <row r="15" spans="1:2" x14ac:dyDescent="0.25">
      <c r="A15" t="s">
        <v>141</v>
      </c>
      <c r="B15" s="9">
        <f>IF(NTotal&gt;0,EquipBase+EquipPerDay*LaborDays,0)</f>
      </c>
    </row>
    <row r="16" spans="1:2" x14ac:dyDescent="0.25">
      <c r="A16" t="s">
        <v>142</v>
      </c>
      <c r="B16" s="9">
        <f>IF(IncPermits="Yes",200+60*NTotal,0)</f>
      </c>
    </row>
    <row r="17" spans="1:2" x14ac:dyDescent="0.25">
      <c r="A17" t="s">
        <v>143</v>
      </c>
      <c r="B17" s="9">
        <f>IF(IncPermits="Yes",IF(NDcfc&gt;0,2500+TransformerPad,800),0)</f>
      </c>
    </row>
    <row r="18" spans="1:2" x14ac:dyDescent="0.25">
      <c r="A18" s="3" t="s">
        <v>144</v>
      </c>
      <c r="B18" s="9">
        <f>SUM(B7:B17)</f>
      </c>
    </row>
    <row r="19" spans="1:2" x14ac:dyDescent="0.25">
      <c r="A19" t="s">
        <v>145</v>
      </c>
      <c r="B19" s="9">
        <f>B18*ContingencyPct</f>
      </c>
    </row>
    <row r="20" spans="1:2" x14ac:dyDescent="0.25">
      <c r="A20" s="3" t="s">
        <v>146</v>
      </c>
      <c r="B20" s="15">
        <f>B18+B19</f>
      </c>
    </row>
    <row r="22" spans="1:2" x14ac:dyDescent="0.25">
      <c r="A22" t="s">
        <v>147</v>
      </c>
      <c r="B22" s="9">
        <f>LaborDays*LaborDayRate*(1+ContingencyPct)</f>
      </c>
    </row>
    <row r="23" spans="1:2" x14ac:dyDescent="0.25">
      <c r="A23" t="s">
        <v>148</v>
      </c>
      <c r="B23" s="9">
        <f>ConstructionTotal*TaxPct</f>
      </c>
    </row>
    <row r="24" spans="1:2" x14ac:dyDescent="0.25">
      <c r="A24" s="31" t="s">
        <v>149</v>
      </c>
      <c r="B24" s="9">
        <f>ConstructionTotal+LaborCost</f>
      </c>
    </row>
    <row r="26" spans="1:2" x14ac:dyDescent="0.25">
      <c r="A26" s="29" t="s">
        <v>150</v>
      </c>
      <c r="B26" s="30"/>
    </row>
    <row r="27" spans="1:2" x14ac:dyDescent="0.25">
      <c r="A27" t="s">
        <v>151</v>
      </c>
      <c r="B27" s="9">
        <f>IF(IncHardware="Yes",SUM(Intake!F23:F28)*HardwareFactor,0)</f>
      </c>
    </row>
    <row r="28" spans="1:2" x14ac:dyDescent="0.25">
      <c r="A28" t="s">
        <v>152</v>
      </c>
      <c r="B28" s="9">
        <f>IF(IncHardware="Yes",CommDcfc*NDcfc+CommL2*NumL2,0)</f>
      </c>
    </row>
    <row r="29" spans="1:2" x14ac:dyDescent="0.25">
      <c r="A29" t="s">
        <v>153</v>
      </c>
      <c r="B29" s="9">
        <f>IF(IncHardware="Yes",NPorts*NetworkFeeMo*12*ContractYears,0)</f>
      </c>
    </row>
    <row r="30" spans="1:2" x14ac:dyDescent="0.25">
      <c r="A30" t="s">
        <v>154</v>
      </c>
      <c r="B30" s="9">
        <f>IF(IncHardware="Yes",ServicePlanYr*ContractYears,0)</f>
      </c>
    </row>
    <row r="31" spans="1:2" x14ac:dyDescent="0.25">
      <c r="A31" t="s">
        <v>155</v>
      </c>
      <c r="B31" s="9">
        <f>B27*TaxPct</f>
      </c>
    </row>
    <row r="33" spans="1:2" x14ac:dyDescent="0.25">
      <c r="A33" s="29" t="s">
        <v>156</v>
      </c>
      <c r="B33" s="30"/>
    </row>
    <row r="34" spans="1:2" x14ac:dyDescent="0.25">
      <c r="A34" t="s">
        <v>40</v>
      </c>
      <c r="B34" s="9">
        <f>IF(IncSitePlan="Yes",2500+150*NTotal+IF(NDcfc&gt;0,1000,0),0)</f>
      </c>
    </row>
    <row r="35" spans="1:2" x14ac:dyDescent="0.25">
      <c r="A35" t="s">
        <v>157</v>
      </c>
      <c r="B35" s="9">
        <f>IF(IncSLD="Yes",IF(NDcfc&gt;0,6000+900*NDcfc+150*NumL2,2500+150*NumL2),0)</f>
      </c>
    </row>
    <row r="36" spans="1:3" x14ac:dyDescent="0.25">
      <c r="A36" t="s">
        <v>158</v>
      </c>
      <c r="B36" s="9">
        <f>C36*PmRate</f>
      </c>
      <c r="C36" s="32">
        <f>IF(IncCpm="Yes",MAX(24,ROUND(CpmPct*Valuation/PmRate,0)),0)</f>
      </c>
    </row>
    <row r="37" spans="1:2" x14ac:dyDescent="0.25">
      <c r="A37" t="s">
        <v>159</v>
      </c>
      <c r="B37" s="9">
        <f>IF(IncPermits="Yes",IF(NDcfc&gt;0,500+0.02*Valuation,300),0)</f>
      </c>
    </row>
    <row r="38" spans="1:2" x14ac:dyDescent="0.25">
      <c r="A38" s="3" t="s">
        <v>160</v>
      </c>
      <c r="B38" s="9">
        <f>SUM(B34:B37)</f>
      </c>
    </row>
    <row r="40" spans="1:2" x14ac:dyDescent="0.25">
      <c r="A40" s="13" t="s">
        <v>161</v>
      </c>
      <c r="B40" s="14">
        <f>ConstructionTotal+LaborCost+B23+B27+B28+B29+B30+B31+B38</f>
      </c>
    </row>
    <row r="41" spans="1:2" x14ac:dyDescent="0.25">
      <c r="A41" t="s">
        <v>162</v>
      </c>
      <c r="B41" s="9">
        <f>-RebateAmt</f>
      </c>
    </row>
    <row r="42" spans="1:2" x14ac:dyDescent="0.25">
      <c r="A42" s="17" t="s">
        <v>57</v>
      </c>
      <c r="B42" s="33">
        <f>TotalCost-RebateAmt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15" outlineLevelRow="0" outlineLevelCol="0" x14ac:dyDescent="55"/>
  <cols>
    <col min="1" max="1" width="30" customWidth="1"/>
    <col min="2" max="3" width="10" customWidth="1"/>
    <col min="4" max="4" width="12" customWidth="1"/>
    <col min="5" max="8" width="13" customWidth="1"/>
  </cols>
  <sheetData>
    <row r="1" spans="1:1" x14ac:dyDescent="0.25">
      <c r="A1" s="16" t="s">
        <v>163</v>
      </c>
    </row>
    <row r="2" spans="1:1" x14ac:dyDescent="0.25">
      <c r="A2" s="2" t="s">
        <v>164</v>
      </c>
    </row>
    <row r="4" spans="1:2" x14ac:dyDescent="0.25">
      <c r="A4" s="4" t="s">
        <v>165</v>
      </c>
      <c r="B4" s="34">
        <v>0.65</v>
      </c>
    </row>
    <row r="5" spans="1:2" x14ac:dyDescent="0.25">
      <c r="A5" s="4" t="s">
        <v>166</v>
      </c>
      <c r="B5" s="34">
        <v>0.4</v>
      </c>
    </row>
    <row r="6" spans="1:2" x14ac:dyDescent="0.25">
      <c r="A6" s="4" t="s">
        <v>167</v>
      </c>
      <c r="B6" s="8">
        <v>12</v>
      </c>
    </row>
    <row r="7" spans="1:2" x14ac:dyDescent="0.25">
      <c r="A7" s="4" t="s">
        <v>168</v>
      </c>
      <c r="B7" s="35">
        <v>0.2</v>
      </c>
    </row>
    <row r="8" spans="1:2" x14ac:dyDescent="0.25">
      <c r="A8" s="4" t="s">
        <v>169</v>
      </c>
      <c r="B8" s="35">
        <v>0.5</v>
      </c>
    </row>
    <row r="9" spans="1:2" x14ac:dyDescent="0.25">
      <c r="A9" s="4" t="s">
        <v>170</v>
      </c>
      <c r="B9" s="34">
        <v>71.6667</v>
      </c>
    </row>
    <row r="10" spans="1:2" x14ac:dyDescent="0.25">
      <c r="A10" s="4" t="s">
        <v>171</v>
      </c>
      <c r="B10" s="8">
        <v>0.98</v>
      </c>
    </row>
    <row r="12" spans="1:8" x14ac:dyDescent="0.25">
      <c r="A12" s="7" t="s">
        <v>18</v>
      </c>
      <c r="B12" s="7" t="s">
        <v>19</v>
      </c>
      <c r="C12" s="7" t="s">
        <v>24</v>
      </c>
      <c r="D12" s="7" t="s">
        <v>172</v>
      </c>
      <c r="E12" s="7" t="s">
        <v>173</v>
      </c>
      <c r="F12" s="7" t="s">
        <v>174</v>
      </c>
      <c r="G12" s="7" t="s">
        <v>175</v>
      </c>
      <c r="H12" s="7" t="s">
        <v>176</v>
      </c>
    </row>
    <row r="13" spans="1:8" x14ac:dyDescent="0.25">
      <c r="A13">
        <f>IF(Intake!$B23&gt;0,Intake!$A23,"")</f>
      </c>
      <c r="B13">
        <f>IF(Intake!$B23&gt;0,Intake!$B23,0)</f>
      </c>
      <c r="C13">
        <f>Intake!$G23</f>
      </c>
      <c r="D13">
        <f>IF(B13&gt;0,VLOOKUP(Intake!$A23,ModelTable,10,FALSE),0)</f>
      </c>
      <c r="E13">
        <f>C13*OccPct*OpHours*ChargePct*D13*DerateF</f>
      </c>
      <c r="F13" s="9">
        <f>E13*RetailKwh</f>
      </c>
      <c r="G13" s="9">
        <f>E13*30*(RetailKwh-UtilityKwh)</f>
      </c>
      <c r="H13" s="9">
        <f>IF(B13&lt;=0,0,IF(VLOOKUP(Intake!$A23,ModelTable,4,FALSE)="DCFC",B13*D13*CcRate,0))</f>
      </c>
    </row>
    <row r="14" spans="1:8" x14ac:dyDescent="0.25">
      <c r="A14">
        <f>IF(Intake!$B24&gt;0,Intake!$A24,"")</f>
      </c>
      <c r="B14">
        <f>IF(Intake!$B24&gt;0,Intake!$B24,0)</f>
      </c>
      <c r="C14">
        <f>Intake!$G24</f>
      </c>
      <c r="D14">
        <f>IF(B14&gt;0,VLOOKUP(Intake!$A24,ModelTable,10,FALSE),0)</f>
      </c>
      <c r="E14">
        <f>C14*OccPct*OpHours*ChargePct*D14*DerateF</f>
      </c>
      <c r="F14" s="9">
        <f>E14*RetailKwh</f>
      </c>
      <c r="G14" s="9">
        <f>E14*30*(RetailKwh-UtilityKwh)</f>
      </c>
      <c r="H14" s="9">
        <f>IF(B14&lt;=0,0,IF(VLOOKUP(Intake!$A24,ModelTable,4,FALSE)="DCFC",B14*D14*CcRate,0))</f>
      </c>
    </row>
    <row r="15" spans="1:8" x14ac:dyDescent="0.25">
      <c r="A15">
        <f>IF(Intake!$B25&gt;0,Intake!$A25,"")</f>
      </c>
      <c r="B15">
        <f>IF(Intake!$B25&gt;0,Intake!$B25,0)</f>
      </c>
      <c r="C15">
        <f>Intake!$G25</f>
      </c>
      <c r="D15">
        <f>IF(B15&gt;0,VLOOKUP(Intake!$A25,ModelTable,10,FALSE),0)</f>
      </c>
      <c r="E15">
        <f>C15*OccPct*OpHours*ChargePct*D15*DerateF</f>
      </c>
      <c r="F15" s="9">
        <f>E15*RetailKwh</f>
      </c>
      <c r="G15" s="9">
        <f>E15*30*(RetailKwh-UtilityKwh)</f>
      </c>
      <c r="H15" s="9">
        <f>IF(B15&lt;=0,0,IF(VLOOKUP(Intake!$A25,ModelTable,4,FALSE)="DCFC",B15*D15*CcRate,0))</f>
      </c>
    </row>
    <row r="16" spans="1:8" x14ac:dyDescent="0.25">
      <c r="A16">
        <f>IF(Intake!$B26&gt;0,Intake!$A26,"")</f>
      </c>
      <c r="B16">
        <f>IF(Intake!$B26&gt;0,Intake!$B26,0)</f>
      </c>
      <c r="C16">
        <f>Intake!$G26</f>
      </c>
      <c r="D16">
        <f>IF(B16&gt;0,VLOOKUP(Intake!$A26,ModelTable,10,FALSE),0)</f>
      </c>
      <c r="E16">
        <f>C16*OccPct*OpHours*ChargePct*D16*DerateF</f>
      </c>
      <c r="F16" s="9">
        <f>E16*RetailKwh</f>
      </c>
      <c r="G16" s="9">
        <f>E16*30*(RetailKwh-UtilityKwh)</f>
      </c>
      <c r="H16" s="9">
        <f>IF(B16&lt;=0,0,IF(VLOOKUP(Intake!$A26,ModelTable,4,FALSE)="DCFC",B16*D16*CcRate,0))</f>
      </c>
    </row>
    <row r="17" spans="1:8" x14ac:dyDescent="0.25">
      <c r="A17">
        <f>IF(Intake!$B27&gt;0,Intake!$A27,"")</f>
      </c>
      <c r="B17">
        <f>IF(Intake!$B27&gt;0,Intake!$B27,0)</f>
      </c>
      <c r="C17">
        <f>Intake!$G27</f>
      </c>
      <c r="D17">
        <f>IF(B17&gt;0,VLOOKUP(Intake!$A27,ModelTable,10,FALSE),0)</f>
      </c>
      <c r="E17">
        <f>C17*OccPct*OpHours*ChargePct*D17*DerateF</f>
      </c>
      <c r="F17" s="9">
        <f>E17*RetailKwh</f>
      </c>
      <c r="G17" s="9">
        <f>E17*30*(RetailKwh-UtilityKwh)</f>
      </c>
      <c r="H17" s="9">
        <f>IF(B17&lt;=0,0,IF(VLOOKUP(Intake!$A27,ModelTable,4,FALSE)="DCFC",B17*D17*CcRate,0))</f>
      </c>
    </row>
    <row r="18" spans="1:8" x14ac:dyDescent="0.25">
      <c r="A18">
        <f>IF(Intake!$B28&gt;0,Intake!$A28,"")</f>
      </c>
      <c r="B18">
        <f>IF(Intake!$B28&gt;0,Intake!$B28,0)</f>
      </c>
      <c r="C18">
        <f>Intake!$G28</f>
      </c>
      <c r="D18">
        <f>IF(B18&gt;0,VLOOKUP(Intake!$A28,ModelTable,10,FALSE),0)</f>
      </c>
      <c r="E18">
        <f>C18*OccPct*OpHours*ChargePct*D18*DerateF</f>
      </c>
      <c r="F18" s="9">
        <f>E18*RetailKwh</f>
      </c>
      <c r="G18" s="9">
        <f>E18*30*(RetailKwh-UtilityKwh)</f>
      </c>
      <c r="H18" s="9">
        <f>IF(B18&lt;=0,0,IF(VLOOKUP(Intake!$A28,ModelTable,4,FALSE)="DCFC",B18*D18*CcRate,0))</f>
      </c>
    </row>
    <row r="19" spans="1:8" x14ac:dyDescent="0.25">
      <c r="A19" s="3" t="s">
        <v>177</v>
      </c>
      <c r="E19">
        <f>SUM(E13:E18)</f>
      </c>
      <c r="G19" s="9">
        <f>SUM(G13:G18)</f>
      </c>
      <c r="H19" s="9">
        <f>SUM(H13:H18)</f>
      </c>
    </row>
    <row r="21" spans="1:2" x14ac:dyDescent="0.25">
      <c r="A21" s="3" t="s">
        <v>178</v>
      </c>
      <c r="B21" s="9">
        <f>G19*12</f>
      </c>
    </row>
    <row r="22" spans="1:2" x14ac:dyDescent="0.25">
      <c r="A22" s="3" t="s">
        <v>179</v>
      </c>
      <c r="B22" s="9">
        <f>H19</f>
      </c>
    </row>
    <row r="23" spans="1:2" x14ac:dyDescent="0.25">
      <c r="A23" s="3" t="s">
        <v>180</v>
      </c>
      <c r="B23" s="9">
        <f>RevenueYr+CcYr</f>
      </c>
    </row>
    <row r="24" spans="1:2" x14ac:dyDescent="0.25">
      <c r="A24" s="4" t="s">
        <v>181</v>
      </c>
      <c r="B24" s="9">
        <f>AnnualBenefit*ContractYears</f>
      </c>
    </row>
    <row r="25" spans="1:2" x14ac:dyDescent="0.25">
      <c r="A25" s="3" t="s">
        <v>182</v>
      </c>
      <c r="B25">
        <f>IF(AnnualBenefit&gt;0,ROUND(CustomerTotal/AnnualBenefit,1),"n/a")</f>
      </c>
    </row>
    <row r="27" spans="1:1" x14ac:dyDescent="0.25">
      <c r="A27" s="2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8" customWidth="1"/>
    <col min="2" max="2" width="16" customWidth="1"/>
  </cols>
  <sheetData>
    <row r="1" spans="1:1" x14ac:dyDescent="0.25">
      <c r="A1" s="16" t="s">
        <v>184</v>
      </c>
    </row>
    <row r="3" spans="1:2" x14ac:dyDescent="0.25">
      <c r="A3" s="4" t="s">
        <v>185</v>
      </c>
      <c r="B3" s="9">
        <f>CustomerTotal</f>
      </c>
    </row>
    <row r="4" spans="1:2" x14ac:dyDescent="0.25">
      <c r="A4" s="4" t="s">
        <v>186</v>
      </c>
      <c r="B4" s="36">
        <f>FinanceApr</f>
      </c>
    </row>
    <row r="5" spans="1:2" x14ac:dyDescent="0.25">
      <c r="A5" s="4" t="s">
        <v>187</v>
      </c>
      <c r="B5">
        <f>FinanceYears</f>
      </c>
    </row>
    <row r="6" spans="1:2" x14ac:dyDescent="0.25">
      <c r="A6" s="3" t="s">
        <v>188</v>
      </c>
      <c r="B6" s="9">
        <f>IF(FinanceApr&gt;0,-PMT(FinanceApr/12,FinanceYears*12,CustomerTotal),CustomerTotal/(FinanceYears*12))</f>
      </c>
    </row>
    <row r="7" spans="1:2" x14ac:dyDescent="0.25">
      <c r="A7" s="4" t="s">
        <v>189</v>
      </c>
      <c r="B7" s="9">
        <f>B6*FinanceYears*12</f>
      </c>
    </row>
    <row r="8" spans="1:2" x14ac:dyDescent="0.25">
      <c r="A8" s="4" t="s">
        <v>190</v>
      </c>
      <c r="B8" s="9">
        <f>B7-B3</f>
      </c>
    </row>
    <row r="10" spans="1:2" x14ac:dyDescent="0.25">
      <c r="A10" s="4" t="s">
        <v>191</v>
      </c>
      <c r="B10" s="9">
        <f>AnnualBenefit/12</f>
      </c>
    </row>
    <row r="11" spans="1:2" x14ac:dyDescent="0.25">
      <c r="A11" s="3" t="s">
        <v>192</v>
      </c>
      <c r="B11" s="9">
        <f>B10-B6</f>
      </c>
    </row>
    <row r="13" spans="1:1" x14ac:dyDescent="0.25">
      <c r="A13" s="2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40" customWidth="1"/>
    <col min="2" max="2" width="16" customWidth="1"/>
    <col min="3" max="3" width="60" customWidth="1"/>
  </cols>
  <sheetData>
    <row r="1" spans="1:1" x14ac:dyDescent="0.25">
      <c r="A1" s="16" t="s">
        <v>194</v>
      </c>
    </row>
    <row r="3" spans="1:2" x14ac:dyDescent="0.25">
      <c r="A3" s="4" t="s">
        <v>195</v>
      </c>
      <c r="B3">
        <f>NTotal</f>
      </c>
    </row>
    <row r="4" spans="1:2" x14ac:dyDescent="0.25">
      <c r="A4" s="4" t="s">
        <v>196</v>
      </c>
      <c r="B4">
        <f>IF(NTotal&lt;=0,0,IF(NTotal&lt;=100,1,1+ROUNDUP((NTotal-100)/300,0)))</f>
      </c>
    </row>
    <row r="5" spans="1:2" x14ac:dyDescent="0.25">
      <c r="A5" s="4" t="s">
        <v>197</v>
      </c>
      <c r="B5">
        <f>IF(NTotal&lt;=4,0,IF(NTotal&lt;=50,1,IF(NTotal&lt;=75,2,IF(NTotal&lt;=100,3,3+ROUNDUP((NTotal-100)/60,0)))))</f>
      </c>
    </row>
    <row r="6" spans="1:2" x14ac:dyDescent="0.25">
      <c r="A6" s="4" t="s">
        <v>198</v>
      </c>
      <c r="B6">
        <f>IF(NTotal&lt;=25,0,IF(NTotal&lt;=50,1,IF(NTotal&lt;=75,2,IF(NTotal&lt;=100,3,3+ROUNDUP((NTotal-100)/50,0)))))</f>
      </c>
    </row>
    <row r="7" spans="1:2" x14ac:dyDescent="0.25">
      <c r="A7" s="3" t="s">
        <v>199</v>
      </c>
      <c r="B7">
        <f>AdaVan+AdaStd+AdaAmb</f>
      </c>
    </row>
    <row r="9" spans="1:2" x14ac:dyDescent="0.25">
      <c r="A9" s="4" t="s">
        <v>200</v>
      </c>
      <c r="B9">
        <f>VLOOKUP(Terrain,TerrainTable,4,FALSE)</f>
      </c>
    </row>
    <row r="10" spans="1:2" x14ac:dyDescent="0.25">
      <c r="A10" s="3" t="s">
        <v>201</v>
      </c>
      <c r="B10" s="9">
        <f>(AdaVan*AdaVanCost+AdaStd*AdaStdCost+AdaAmb*AdaAmbCost)*VLOOKUP(Terrain,TerrainTable,4,FALSE)+IF(NTotal&gt;0,AdaRampCost,0)</f>
      </c>
    </row>
    <row r="13" spans="1:1" x14ac:dyDescent="0.25">
      <c r="A13" s="3" t="s">
        <v>202</v>
      </c>
    </row>
    <row r="14" spans="1:4" x14ac:dyDescent="0.25">
      <c r="A14" s="37" t="s">
        <v>203</v>
      </c>
      <c r="B14" s="37" t="s">
        <v>204</v>
      </c>
      <c r="C14" s="37" t="s">
        <v>205</v>
      </c>
      <c r="D14" s="37" t="s">
        <v>206</v>
      </c>
    </row>
    <row r="15" spans="1:4" x14ac:dyDescent="0.25">
      <c r="A15" s="38" t="s">
        <v>207</v>
      </c>
      <c r="B15" s="38" t="s">
        <v>208</v>
      </c>
      <c r="C15" s="38" t="s">
        <v>209</v>
      </c>
      <c r="D15" s="38" t="s">
        <v>209</v>
      </c>
    </row>
    <row r="16" spans="1:4" x14ac:dyDescent="0.25">
      <c r="A16" s="38" t="s">
        <v>210</v>
      </c>
      <c r="B16" s="38" t="s">
        <v>208</v>
      </c>
      <c r="C16" s="38" t="s">
        <v>208</v>
      </c>
      <c r="D16" s="38" t="s">
        <v>209</v>
      </c>
    </row>
    <row r="17" spans="1:4" x14ac:dyDescent="0.25">
      <c r="A17" s="38" t="s">
        <v>211</v>
      </c>
      <c r="B17" s="38" t="s">
        <v>208</v>
      </c>
      <c r="C17" s="38" t="s">
        <v>208</v>
      </c>
      <c r="D17" s="38" t="s">
        <v>208</v>
      </c>
    </row>
    <row r="18" spans="1:4" x14ac:dyDescent="0.25">
      <c r="A18" s="38" t="s">
        <v>212</v>
      </c>
      <c r="B18" s="38" t="s">
        <v>208</v>
      </c>
      <c r="C18" s="38" t="s">
        <v>213</v>
      </c>
      <c r="D18" s="38" t="s">
        <v>213</v>
      </c>
    </row>
    <row r="19" spans="1:4" x14ac:dyDescent="0.25">
      <c r="A19" s="38" t="s">
        <v>214</v>
      </c>
      <c r="B19" s="38" t="s">
        <v>208</v>
      </c>
      <c r="C19" s="38" t="s">
        <v>215</v>
      </c>
      <c r="D19" s="38" t="s">
        <v>215</v>
      </c>
    </row>
    <row r="20" spans="1:4" x14ac:dyDescent="0.25">
      <c r="A20" s="38" t="s">
        <v>216</v>
      </c>
      <c r="B20" s="38" t="s">
        <v>217</v>
      </c>
      <c r="C20" s="38" t="s">
        <v>218</v>
      </c>
      <c r="D20" s="38" t="s">
        <v>219</v>
      </c>
    </row>
    <row r="22" spans="1:1" x14ac:dyDescent="0.25">
      <c r="A22" s="39" t="s">
        <v>220</v>
      </c>
    </row>
    <row r="23" spans="1:1" x14ac:dyDescent="0.25">
      <c r="A23" s="39" t="s">
        <v>221</v>
      </c>
    </row>
    <row r="24" spans="1:1" x14ac:dyDescent="0.25">
      <c r="A24" s="39" t="s">
        <v>222</v>
      </c>
    </row>
    <row r="25" spans="1:1" x14ac:dyDescent="0.25">
      <c r="A25" s="39" t="s">
        <v>223</v>
      </c>
    </row>
    <row r="26" spans="1:1" x14ac:dyDescent="0.25">
      <c r="A26" s="39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40" customWidth="1"/>
    <col min="2" max="3" width="12" customWidth="1"/>
    <col min="4" max="4" width="60" customWidth="1"/>
  </cols>
  <sheetData>
    <row r="1" spans="1:1" x14ac:dyDescent="0.25">
      <c r="A1" s="16" t="s">
        <v>225</v>
      </c>
    </row>
    <row r="3" spans="1:4" x14ac:dyDescent="0.25">
      <c r="A3" s="7" t="s">
        <v>226</v>
      </c>
      <c r="B3" s="7" t="s">
        <v>227</v>
      </c>
      <c r="C3" s="7" t="s">
        <v>228</v>
      </c>
      <c r="D3" s="7" t="s">
        <v>229</v>
      </c>
    </row>
    <row r="4" spans="1:4" x14ac:dyDescent="0.25">
      <c r="A4" t="s">
        <v>230</v>
      </c>
      <c r="B4">
        <f>2</f>
      </c>
      <c r="C4">
        <f>4</f>
      </c>
      <c r="D4" t="s">
        <v>231</v>
      </c>
    </row>
    <row r="5" spans="1:4" x14ac:dyDescent="0.25">
      <c r="A5" t="s">
        <v>40</v>
      </c>
      <c r="B5">
        <f>IF(IncSitePlan="Yes",5+ROUNDUP(NTotal/4,0),0)</f>
      </c>
      <c r="C5">
        <f>IF(IncSitePlan="Yes",10+ROUNDUP(NTotal/4,0),0)</f>
      </c>
      <c r="D5" t="s">
        <v>231</v>
      </c>
    </row>
    <row r="6" spans="1:4" x14ac:dyDescent="0.25">
      <c r="A6" t="s">
        <v>232</v>
      </c>
      <c r="B6">
        <f>IF(IncSLD="Yes",IF(NDcfc&gt;0,10+ROUNDUP(NDcfc/2,0),7),0)</f>
      </c>
      <c r="C6">
        <f>IF(IncSLD="Yes",IF(NDcfc&gt;0,17+ROUNDUP(NDcfc/2,0),14),0)</f>
      </c>
      <c r="D6" t="s">
        <v>231</v>
      </c>
    </row>
    <row r="7" spans="1:4" x14ac:dyDescent="0.25">
      <c r="A7" t="s">
        <v>233</v>
      </c>
      <c r="B7">
        <f>IF(IncPermits="Yes",IF(NDcfc&gt;0,20,5),0)</f>
      </c>
      <c r="C7">
        <f>IF(IncPermits="Yes",IF(NDcfc&gt;0,60,15),0)</f>
      </c>
      <c r="D7" t="s">
        <v>234</v>
      </c>
    </row>
    <row r="8" spans="1:4" x14ac:dyDescent="0.25">
      <c r="A8" t="s">
        <v>235</v>
      </c>
      <c r="B8">
        <f>IF(NDcfc&gt;0,85,20)</f>
      </c>
      <c r="C8">
        <f>IF(NDcfc&gt;0,250,60)</f>
      </c>
      <c r="D8" t="s">
        <v>236</v>
      </c>
    </row>
    <row r="9" spans="1:4" x14ac:dyDescent="0.25">
      <c r="A9" t="s">
        <v>237</v>
      </c>
      <c r="B9">
        <f>LaborDays</f>
      </c>
      <c r="C9">
        <f>LaborDays+7</f>
      </c>
      <c r="D9" t="s">
        <v>231</v>
      </c>
    </row>
    <row r="10" spans="1:4" x14ac:dyDescent="0.25">
      <c r="A10" t="s">
        <v>238</v>
      </c>
      <c r="B10">
        <f>5</f>
      </c>
      <c r="C10">
        <f>10</f>
      </c>
      <c r="D10" t="s">
        <v>231</v>
      </c>
    </row>
    <row r="12" spans="1:3" x14ac:dyDescent="0.25">
      <c r="A12" s="3" t="s">
        <v>239</v>
      </c>
      <c r="B12">
        <f>MAX(B4+B5+B6+B7+B9+B10,B8)</f>
      </c>
      <c r="C12">
        <f>MAX(C4+C5+C6+C7+C9+C10,C8)</f>
      </c>
    </row>
    <row r="13" spans="1:3" x14ac:dyDescent="0.25">
      <c r="A13" t="s">
        <v>240</v>
      </c>
      <c r="B13">
        <f>ROUND(B12/21,1)</f>
      </c>
      <c r="C13">
        <f>ROUND(C12/21,1)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"/>
  <sheetFormatPr defaultRowHeight="15" outlineLevelRow="0" outlineLevelCol="0" x14ac:dyDescent="55"/>
  <cols>
    <col min="1" max="1" width="22" customWidth="1"/>
    <col min="2" max="2" width="14" customWidth="1"/>
    <col min="3" max="3" width="15" customWidth="1"/>
    <col min="4" max="4" width="10" customWidth="1"/>
    <col min="6" max="6" width="12" customWidth="1"/>
    <col min="7" max="7" width="11" customWidth="1"/>
    <col min="8" max="8" width="12" customWidth="1"/>
    <col min="11" max="11" width="10" customWidth="1"/>
    <col min="12" max="12" width="34" customWidth="1"/>
    <col min="13" max="13" width="12" customWidth="1"/>
  </cols>
  <sheetData>
    <row r="1" spans="1:1" x14ac:dyDescent="0.25">
      <c r="A1" s="16" t="s">
        <v>241</v>
      </c>
    </row>
    <row r="3" spans="1:16" x14ac:dyDescent="0.25">
      <c r="A3" s="7" t="s">
        <v>18</v>
      </c>
      <c r="B3" s="7" t="s">
        <v>20</v>
      </c>
      <c r="C3" s="7" t="s">
        <v>242</v>
      </c>
      <c r="D3" s="7" t="s">
        <v>21</v>
      </c>
      <c r="E3" s="7" t="s">
        <v>86</v>
      </c>
      <c r="F3" s="7" t="s">
        <v>61</v>
      </c>
      <c r="G3" s="7" t="s">
        <v>243</v>
      </c>
      <c r="H3" s="7" t="s">
        <v>244</v>
      </c>
      <c r="I3" s="7" t="s">
        <v>245</v>
      </c>
      <c r="J3" s="7" t="s">
        <v>172</v>
      </c>
      <c r="K3" s="7" t="s">
        <v>246</v>
      </c>
      <c r="L3" s="7" t="s">
        <v>34</v>
      </c>
      <c r="M3" s="7" t="s">
        <v>247</v>
      </c>
      <c r="N3" s="7" t="s">
        <v>248</v>
      </c>
      <c r="O3" s="7" t="s">
        <v>249</v>
      </c>
      <c r="P3" s="7" t="s">
        <v>250</v>
      </c>
    </row>
    <row r="4" spans="1:16" x14ac:dyDescent="0.25">
      <c r="A4" t="s">
        <v>251</v>
      </c>
      <c r="B4" s="34">
        <v>3000</v>
      </c>
      <c r="C4" s="34">
        <v>795</v>
      </c>
      <c r="D4" t="s">
        <v>252</v>
      </c>
      <c r="E4">
        <v>208</v>
      </c>
      <c r="F4">
        <v>50</v>
      </c>
      <c r="G4">
        <v>1</v>
      </c>
      <c r="H4">
        <v>37</v>
      </c>
      <c r="I4">
        <v>1</v>
      </c>
      <c r="J4">
        <v>7.7</v>
      </c>
      <c r="K4">
        <v>37</v>
      </c>
      <c r="L4" t="s">
        <v>35</v>
      </c>
      <c r="M4" s="8">
        <v>1</v>
      </c>
      <c r="N4" s="8">
        <v>1</v>
      </c>
      <c r="O4" s="8">
        <v>1</v>
      </c>
      <c r="P4" s="8">
        <v>5</v>
      </c>
    </row>
    <row r="5" spans="1:16" x14ac:dyDescent="0.25">
      <c r="A5" t="s">
        <v>26</v>
      </c>
      <c r="B5" s="34">
        <v>4000</v>
      </c>
      <c r="C5" s="34">
        <v>879</v>
      </c>
      <c r="D5" t="s">
        <v>252</v>
      </c>
      <c r="E5">
        <v>208</v>
      </c>
      <c r="F5">
        <v>50</v>
      </c>
      <c r="G5">
        <v>1</v>
      </c>
      <c r="H5">
        <v>40</v>
      </c>
      <c r="I5">
        <v>1</v>
      </c>
      <c r="J5">
        <v>8.32</v>
      </c>
      <c r="K5">
        <v>40</v>
      </c>
      <c r="L5" t="s">
        <v>253</v>
      </c>
      <c r="M5" s="8">
        <v>1.2</v>
      </c>
      <c r="N5" s="8">
        <v>1.15</v>
      </c>
      <c r="O5" s="8">
        <v>1.4</v>
      </c>
      <c r="P5" s="8">
        <v>6</v>
      </c>
    </row>
    <row r="6" spans="1:16" x14ac:dyDescent="0.25">
      <c r="A6" t="s">
        <v>254</v>
      </c>
      <c r="B6" s="34">
        <v>7500</v>
      </c>
      <c r="C6" s="34">
        <v>2367</v>
      </c>
      <c r="D6" t="s">
        <v>252</v>
      </c>
      <c r="E6">
        <v>208</v>
      </c>
      <c r="F6">
        <v>125</v>
      </c>
      <c r="G6">
        <v>2</v>
      </c>
      <c r="H6">
        <v>92.3</v>
      </c>
      <c r="I6">
        <v>2</v>
      </c>
      <c r="J6">
        <v>19.2</v>
      </c>
      <c r="K6">
        <v>92.3</v>
      </c>
      <c r="L6" t="s">
        <v>255</v>
      </c>
      <c r="M6" s="8">
        <v>1.5</v>
      </c>
      <c r="N6" s="8">
        <v>1.3</v>
      </c>
      <c r="O6" s="8">
        <v>1.7</v>
      </c>
      <c r="P6" s="8">
        <v>8</v>
      </c>
    </row>
    <row r="7" spans="1:16" x14ac:dyDescent="0.25">
      <c r="A7" t="s">
        <v>256</v>
      </c>
      <c r="B7" s="34">
        <v>6500</v>
      </c>
      <c r="C7" s="34">
        <v>1383</v>
      </c>
      <c r="D7" t="s">
        <v>252</v>
      </c>
      <c r="E7">
        <v>208</v>
      </c>
      <c r="F7">
        <v>50</v>
      </c>
      <c r="G7">
        <v>2</v>
      </c>
      <c r="H7">
        <v>80</v>
      </c>
      <c r="I7">
        <v>2</v>
      </c>
      <c r="J7">
        <v>8.32</v>
      </c>
      <c r="K7">
        <v>40</v>
      </c>
      <c r="L7" t="s">
        <v>257</v>
      </c>
      <c r="M7" s="8">
        <v>2.5</v>
      </c>
      <c r="N7" s="8">
        <v>1.5</v>
      </c>
      <c r="O7" s="8">
        <v>1.8</v>
      </c>
      <c r="P7" s="8">
        <v>12</v>
      </c>
    </row>
    <row r="8" spans="1:11" x14ac:dyDescent="0.25">
      <c r="A8" t="s">
        <v>258</v>
      </c>
      <c r="B8" s="34">
        <v>5500</v>
      </c>
      <c r="C8" s="34">
        <v>1198</v>
      </c>
      <c r="D8" t="s">
        <v>252</v>
      </c>
      <c r="E8">
        <v>208</v>
      </c>
      <c r="F8">
        <v>40</v>
      </c>
      <c r="G8">
        <v>2</v>
      </c>
      <c r="H8">
        <v>64</v>
      </c>
      <c r="I8">
        <v>2</v>
      </c>
      <c r="J8">
        <v>6.656</v>
      </c>
      <c r="K8">
        <v>32</v>
      </c>
    </row>
    <row r="9" spans="1:11" x14ac:dyDescent="0.25">
      <c r="A9" t="s">
        <v>259</v>
      </c>
      <c r="B9" s="34">
        <v>32000</v>
      </c>
      <c r="C9" s="34">
        <v>1941</v>
      </c>
      <c r="D9" t="s">
        <v>260</v>
      </c>
      <c r="E9">
        <v>480</v>
      </c>
      <c r="F9">
        <v>100</v>
      </c>
      <c r="G9">
        <v>1</v>
      </c>
      <c r="H9">
        <v>60.1</v>
      </c>
      <c r="I9">
        <v>1</v>
      </c>
      <c r="J9">
        <v>50</v>
      </c>
      <c r="K9">
        <v>60.1</v>
      </c>
    </row>
    <row r="10" spans="1:13" x14ac:dyDescent="0.25">
      <c r="A10" t="s">
        <v>261</v>
      </c>
      <c r="B10" s="34">
        <v>38000</v>
      </c>
      <c r="C10" s="34">
        <v>1875</v>
      </c>
      <c r="D10" t="s">
        <v>260</v>
      </c>
      <c r="E10">
        <v>480</v>
      </c>
      <c r="F10">
        <v>100</v>
      </c>
      <c r="G10">
        <v>1</v>
      </c>
      <c r="H10">
        <v>72.2</v>
      </c>
      <c r="I10">
        <v>1</v>
      </c>
      <c r="J10">
        <v>60</v>
      </c>
      <c r="K10">
        <v>72.2</v>
      </c>
      <c r="L10" t="s">
        <v>262</v>
      </c>
      <c r="M10" s="34">
        <v>40.81</v>
      </c>
    </row>
    <row r="11" spans="1:13" x14ac:dyDescent="0.25">
      <c r="A11" t="s">
        <v>263</v>
      </c>
      <c r="B11" s="34">
        <v>52000</v>
      </c>
      <c r="C11" s="34">
        <v>2787</v>
      </c>
      <c r="D11" t="s">
        <v>260</v>
      </c>
      <c r="E11">
        <v>480</v>
      </c>
      <c r="F11">
        <v>200</v>
      </c>
      <c r="G11">
        <v>1</v>
      </c>
      <c r="H11">
        <v>120.3</v>
      </c>
      <c r="I11">
        <v>1</v>
      </c>
      <c r="J11">
        <v>100</v>
      </c>
      <c r="K11">
        <v>120.3</v>
      </c>
      <c r="L11" t="s">
        <v>264</v>
      </c>
      <c r="M11" s="35">
        <v>0.1</v>
      </c>
    </row>
    <row r="12" spans="1:13" x14ac:dyDescent="0.25">
      <c r="A12" t="s">
        <v>265</v>
      </c>
      <c r="B12" s="34">
        <v>60000</v>
      </c>
      <c r="C12" s="34">
        <v>2692</v>
      </c>
      <c r="D12" t="s">
        <v>260</v>
      </c>
      <c r="E12">
        <v>480</v>
      </c>
      <c r="F12">
        <v>200</v>
      </c>
      <c r="G12">
        <v>1</v>
      </c>
      <c r="H12">
        <v>144.3</v>
      </c>
      <c r="I12">
        <v>1</v>
      </c>
      <c r="J12">
        <v>120</v>
      </c>
      <c r="K12">
        <v>144.3</v>
      </c>
      <c r="L12" t="s">
        <v>266</v>
      </c>
      <c r="M12" s="35">
        <v>0.0725</v>
      </c>
    </row>
    <row r="13" spans="1:13" x14ac:dyDescent="0.25">
      <c r="A13" t="s">
        <v>267</v>
      </c>
      <c r="B13" s="34">
        <v>72000</v>
      </c>
      <c r="C13" s="34">
        <v>4288</v>
      </c>
      <c r="D13" t="s">
        <v>260</v>
      </c>
      <c r="E13">
        <v>480</v>
      </c>
      <c r="F13">
        <v>300</v>
      </c>
      <c r="G13">
        <v>1</v>
      </c>
      <c r="H13">
        <v>192.5</v>
      </c>
      <c r="I13">
        <v>1</v>
      </c>
      <c r="J13">
        <v>160</v>
      </c>
      <c r="K13">
        <v>192.5</v>
      </c>
      <c r="L13" t="s">
        <v>268</v>
      </c>
      <c r="M13" s="34">
        <v>2250</v>
      </c>
    </row>
    <row r="14" spans="1:13" x14ac:dyDescent="0.25">
      <c r="A14" t="s">
        <v>269</v>
      </c>
      <c r="B14" s="34">
        <v>80000</v>
      </c>
      <c r="C14" s="34">
        <v>4658</v>
      </c>
      <c r="D14" t="s">
        <v>260</v>
      </c>
      <c r="E14">
        <v>480</v>
      </c>
      <c r="F14">
        <v>400</v>
      </c>
      <c r="G14">
        <v>1</v>
      </c>
      <c r="H14">
        <v>216.5</v>
      </c>
      <c r="I14">
        <v>1</v>
      </c>
      <c r="J14">
        <v>180</v>
      </c>
      <c r="K14">
        <v>216.5</v>
      </c>
      <c r="L14" t="s">
        <v>270</v>
      </c>
      <c r="M14" s="34">
        <v>358</v>
      </c>
    </row>
    <row r="15" spans="1:13" x14ac:dyDescent="0.25">
      <c r="A15" t="s">
        <v>25</v>
      </c>
      <c r="B15" s="34">
        <v>92000</v>
      </c>
      <c r="C15" s="34">
        <v>5901</v>
      </c>
      <c r="D15" t="s">
        <v>260</v>
      </c>
      <c r="E15">
        <v>480</v>
      </c>
      <c r="F15">
        <v>350</v>
      </c>
      <c r="G15">
        <v>1</v>
      </c>
      <c r="H15">
        <v>265</v>
      </c>
      <c r="I15">
        <v>1</v>
      </c>
      <c r="J15">
        <v>200</v>
      </c>
      <c r="K15">
        <v>265</v>
      </c>
      <c r="L15" t="s">
        <v>271</v>
      </c>
      <c r="M15" s="35">
        <v>0.05</v>
      </c>
    </row>
    <row r="16" spans="1:13" x14ac:dyDescent="0.25">
      <c r="A16" t="s">
        <v>272</v>
      </c>
      <c r="B16" s="34">
        <v>105000</v>
      </c>
      <c r="C16" s="34">
        <v>5647</v>
      </c>
      <c r="D16" t="s">
        <v>260</v>
      </c>
      <c r="E16">
        <v>480</v>
      </c>
      <c r="F16">
        <v>400</v>
      </c>
      <c r="G16">
        <v>1</v>
      </c>
      <c r="H16">
        <v>320</v>
      </c>
      <c r="I16">
        <v>1</v>
      </c>
      <c r="J16">
        <v>240</v>
      </c>
      <c r="K16">
        <v>320</v>
      </c>
      <c r="L16" t="s">
        <v>273</v>
      </c>
      <c r="M16" s="34">
        <v>1500</v>
      </c>
    </row>
    <row r="17" spans="1:13" x14ac:dyDescent="0.25">
      <c r="A17" t="s">
        <v>274</v>
      </c>
      <c r="B17" s="34">
        <v>120000</v>
      </c>
      <c r="C17" s="34">
        <v>7936</v>
      </c>
      <c r="D17" t="s">
        <v>260</v>
      </c>
      <c r="E17">
        <v>480</v>
      </c>
      <c r="F17">
        <v>500</v>
      </c>
      <c r="G17">
        <v>1</v>
      </c>
      <c r="H17">
        <v>385</v>
      </c>
      <c r="I17">
        <v>1</v>
      </c>
      <c r="J17">
        <v>275</v>
      </c>
      <c r="K17">
        <v>385</v>
      </c>
      <c r="L17" t="s">
        <v>275</v>
      </c>
      <c r="M17" s="8">
        <v>2000</v>
      </c>
    </row>
    <row r="18" spans="1:13" x14ac:dyDescent="0.25">
      <c r="A18" t="s">
        <v>276</v>
      </c>
      <c r="B18" s="34">
        <v>135000</v>
      </c>
      <c r="C18" s="34">
        <v>7754</v>
      </c>
      <c r="D18" t="s">
        <v>260</v>
      </c>
      <c r="E18">
        <v>480</v>
      </c>
      <c r="F18">
        <v>500</v>
      </c>
      <c r="G18">
        <v>1</v>
      </c>
      <c r="H18">
        <v>360.8</v>
      </c>
      <c r="I18">
        <v>1</v>
      </c>
      <c r="J18">
        <v>300</v>
      </c>
      <c r="K18">
        <v>360.8</v>
      </c>
      <c r="L18" t="s">
        <v>277</v>
      </c>
      <c r="M18" s="34">
        <v>6500</v>
      </c>
    </row>
    <row r="19" spans="1:13" x14ac:dyDescent="0.25">
      <c r="A19" t="s">
        <v>278</v>
      </c>
      <c r="B19" s="34">
        <v>155000</v>
      </c>
      <c r="C19" s="34">
        <v>10709</v>
      </c>
      <c r="D19" t="s">
        <v>260</v>
      </c>
      <c r="E19">
        <v>480</v>
      </c>
      <c r="F19">
        <v>600</v>
      </c>
      <c r="G19">
        <v>1</v>
      </c>
      <c r="H19">
        <v>433</v>
      </c>
      <c r="I19">
        <v>1</v>
      </c>
      <c r="J19">
        <v>360</v>
      </c>
      <c r="K19">
        <v>433</v>
      </c>
      <c r="L19" t="s">
        <v>279</v>
      </c>
      <c r="M19" s="34">
        <v>4900</v>
      </c>
    </row>
    <row r="20" spans="1:13" x14ac:dyDescent="0.25">
      <c r="A20" s="2" t="s">
        <v>280</v>
      </c>
      <c r="L20" t="s">
        <v>281</v>
      </c>
      <c r="M20" s="34">
        <v>3500</v>
      </c>
    </row>
    <row r="21" spans="12:13" x14ac:dyDescent="0.25">
      <c r="L21" t="s">
        <v>282</v>
      </c>
      <c r="M21" s="34">
        <v>5200</v>
      </c>
    </row>
    <row r="22" spans="1:13" x14ac:dyDescent="0.25">
      <c r="A22" s="3" t="s">
        <v>283</v>
      </c>
      <c r="L22" t="s">
        <v>284</v>
      </c>
      <c r="M22" s="34">
        <v>2903</v>
      </c>
    </row>
    <row r="23" spans="1:13" x14ac:dyDescent="0.25">
      <c r="A23" s="7" t="s">
        <v>285</v>
      </c>
      <c r="B23" s="7" t="s">
        <v>286</v>
      </c>
      <c r="L23" t="s">
        <v>287</v>
      </c>
      <c r="M23" s="34">
        <v>758</v>
      </c>
    </row>
    <row r="24" spans="1:13" x14ac:dyDescent="0.25">
      <c r="A24">
        <v>400</v>
      </c>
      <c r="B24" s="34">
        <v>20426.82</v>
      </c>
      <c r="L24" t="s">
        <v>288</v>
      </c>
      <c r="M24" s="34">
        <v>302</v>
      </c>
    </row>
    <row r="25" spans="1:13" x14ac:dyDescent="0.25">
      <c r="A25">
        <v>800</v>
      </c>
      <c r="B25" s="34">
        <v>31187</v>
      </c>
      <c r="L25" t="s">
        <v>289</v>
      </c>
      <c r="M25" s="34">
        <v>658</v>
      </c>
    </row>
    <row r="26" spans="1:13" x14ac:dyDescent="0.25">
      <c r="A26">
        <v>1000</v>
      </c>
      <c r="B26" s="34">
        <v>36812.5</v>
      </c>
      <c r="L26" t="s">
        <v>290</v>
      </c>
      <c r="M26" s="34">
        <v>396</v>
      </c>
    </row>
    <row r="27" spans="1:13" x14ac:dyDescent="0.25">
      <c r="A27">
        <v>1200</v>
      </c>
      <c r="B27" s="34">
        <v>43292.68</v>
      </c>
      <c r="L27" t="s">
        <v>291</v>
      </c>
      <c r="M27" s="34">
        <v>5000</v>
      </c>
    </row>
    <row r="28" spans="1:13" x14ac:dyDescent="0.25">
      <c r="A28">
        <v>1600</v>
      </c>
      <c r="B28" s="34">
        <v>56750</v>
      </c>
      <c r="L28" t="s">
        <v>292</v>
      </c>
      <c r="M28" s="34">
        <v>1500</v>
      </c>
    </row>
    <row r="29" spans="1:13" x14ac:dyDescent="0.25">
      <c r="A29">
        <v>2000</v>
      </c>
      <c r="B29" s="34">
        <v>60000</v>
      </c>
      <c r="L29" t="s">
        <v>293</v>
      </c>
      <c r="M29" s="34">
        <v>250</v>
      </c>
    </row>
    <row r="30" spans="1:13" x14ac:dyDescent="0.25">
      <c r="A30">
        <v>2500</v>
      </c>
      <c r="B30" s="34">
        <v>58540</v>
      </c>
      <c r="L30" t="s">
        <v>294</v>
      </c>
      <c r="M30" s="34">
        <v>3519</v>
      </c>
    </row>
    <row r="31" spans="1:13" x14ac:dyDescent="0.25">
      <c r="A31">
        <v>3000</v>
      </c>
      <c r="B31" s="34">
        <v>65000</v>
      </c>
      <c r="L31" t="s">
        <v>295</v>
      </c>
      <c r="M31" s="34">
        <v>261</v>
      </c>
    </row>
    <row r="32" spans="1:2" x14ac:dyDescent="0.25">
      <c r="A32">
        <v>4000</v>
      </c>
      <c r="B32" s="34">
        <v>67500</v>
      </c>
    </row>
    <row r="33" spans="1:2" x14ac:dyDescent="0.25">
      <c r="A33">
        <v>5000</v>
      </c>
      <c r="B33" s="34">
        <v>70000</v>
      </c>
    </row>
    <row r="35" spans="1:1" x14ac:dyDescent="0.25">
      <c r="A35" s="3" t="s">
        <v>296</v>
      </c>
    </row>
    <row r="36" spans="1:2" x14ac:dyDescent="0.25">
      <c r="A36" s="7" t="s">
        <v>285</v>
      </c>
      <c r="B36" s="7" t="s">
        <v>286</v>
      </c>
    </row>
    <row r="37" spans="1:2" x14ac:dyDescent="0.25">
      <c r="A37">
        <v>150</v>
      </c>
      <c r="B37" s="34">
        <v>1000</v>
      </c>
    </row>
    <row r="38" spans="1:2" x14ac:dyDescent="0.25">
      <c r="A38">
        <v>250</v>
      </c>
      <c r="B38" s="34">
        <v>1120</v>
      </c>
    </row>
    <row r="39" spans="1:2" x14ac:dyDescent="0.25">
      <c r="A39">
        <v>400</v>
      </c>
      <c r="B39" s="34">
        <v>1660</v>
      </c>
    </row>
    <row r="40" spans="1:2" x14ac:dyDescent="0.25">
      <c r="A40">
        <v>600</v>
      </c>
      <c r="B40" s="34">
        <v>5387</v>
      </c>
    </row>
    <row r="41" spans="1:2" x14ac:dyDescent="0.25">
      <c r="A41">
        <v>800</v>
      </c>
      <c r="B41" s="34">
        <v>4650</v>
      </c>
    </row>
    <row r="42" spans="1:2" x14ac:dyDescent="0.25">
      <c r="A42">
        <v>1000</v>
      </c>
      <c r="B42" s="34">
        <v>30000</v>
      </c>
    </row>
    <row r="44" spans="1:1" x14ac:dyDescent="0.25">
      <c r="A44" s="3" t="s">
        <v>297</v>
      </c>
    </row>
    <row r="45" spans="1:2" x14ac:dyDescent="0.25">
      <c r="A45" s="7" t="s">
        <v>285</v>
      </c>
      <c r="B45" s="7" t="s">
        <v>286</v>
      </c>
    </row>
    <row r="46" spans="1:2" x14ac:dyDescent="0.25">
      <c r="A46">
        <v>75</v>
      </c>
      <c r="B46" s="34">
        <v>2970</v>
      </c>
    </row>
    <row r="47" spans="1:2" x14ac:dyDescent="0.25">
      <c r="A47">
        <v>112.5</v>
      </c>
      <c r="B47" s="34">
        <v>3250</v>
      </c>
    </row>
    <row r="48" spans="1:2" x14ac:dyDescent="0.25">
      <c r="A48">
        <v>150</v>
      </c>
      <c r="B48" s="34">
        <v>5298</v>
      </c>
    </row>
    <row r="49" spans="1:2" x14ac:dyDescent="0.25">
      <c r="A49">
        <v>175</v>
      </c>
      <c r="B49" s="34">
        <v>6000</v>
      </c>
    </row>
    <row r="50" spans="1:2" x14ac:dyDescent="0.25">
      <c r="A50">
        <v>225</v>
      </c>
      <c r="B50" s="34">
        <v>7144</v>
      </c>
    </row>
    <row r="51" spans="1:2" x14ac:dyDescent="0.25">
      <c r="A51">
        <v>300</v>
      </c>
      <c r="B51" s="34">
        <v>10493</v>
      </c>
    </row>
    <row r="52" spans="1:2" x14ac:dyDescent="0.25">
      <c r="A52">
        <v>500</v>
      </c>
      <c r="B52" s="34">
        <v>14500</v>
      </c>
    </row>
    <row r="54" spans="1:1" x14ac:dyDescent="0.25">
      <c r="A54" s="3" t="s">
        <v>298</v>
      </c>
    </row>
    <row r="55" spans="1:2" x14ac:dyDescent="0.25">
      <c r="A55" s="7" t="s">
        <v>285</v>
      </c>
      <c r="B55" s="7" t="s">
        <v>286</v>
      </c>
    </row>
    <row r="56" spans="1:2" x14ac:dyDescent="0.25">
      <c r="A56">
        <v>100</v>
      </c>
      <c r="B56" s="34">
        <v>350</v>
      </c>
    </row>
    <row r="57" spans="1:2" x14ac:dyDescent="0.25">
      <c r="A57">
        <v>125</v>
      </c>
      <c r="B57" s="34">
        <v>420</v>
      </c>
    </row>
    <row r="58" spans="1:2" x14ac:dyDescent="0.25">
      <c r="A58">
        <v>150</v>
      </c>
      <c r="B58" s="34">
        <v>480</v>
      </c>
    </row>
    <row r="59" spans="1:2" x14ac:dyDescent="0.25">
      <c r="A59">
        <v>175</v>
      </c>
      <c r="B59" s="34">
        <v>550</v>
      </c>
    </row>
    <row r="60" spans="1:2" x14ac:dyDescent="0.25">
      <c r="A60">
        <v>200</v>
      </c>
      <c r="B60" s="34">
        <v>650</v>
      </c>
    </row>
    <row r="61" spans="1:2" x14ac:dyDescent="0.25">
      <c r="A61">
        <v>225</v>
      </c>
      <c r="B61" s="34">
        <v>700</v>
      </c>
    </row>
    <row r="62" spans="1:2" x14ac:dyDescent="0.25">
      <c r="A62">
        <v>250</v>
      </c>
      <c r="B62" s="34">
        <v>750</v>
      </c>
    </row>
    <row r="63" spans="1:2" x14ac:dyDescent="0.25">
      <c r="A63">
        <v>300</v>
      </c>
      <c r="B63" s="34">
        <v>800</v>
      </c>
    </row>
    <row r="64" spans="1:2" x14ac:dyDescent="0.25">
      <c r="A64">
        <v>350</v>
      </c>
      <c r="B64" s="34">
        <v>1000</v>
      </c>
    </row>
    <row r="65" spans="1:2" x14ac:dyDescent="0.25">
      <c r="A65">
        <v>400</v>
      </c>
      <c r="B65" s="34">
        <v>1200</v>
      </c>
    </row>
    <row r="66" spans="1:2" x14ac:dyDescent="0.25">
      <c r="A66">
        <v>500</v>
      </c>
      <c r="B66" s="34">
        <v>1800</v>
      </c>
    </row>
    <row r="67" spans="1:2" x14ac:dyDescent="0.25">
      <c r="A67">
        <v>600</v>
      </c>
      <c r="B67" s="34">
        <v>2200</v>
      </c>
    </row>
    <row r="69" spans="1:1" x14ac:dyDescent="0.25">
      <c r="A69" s="3" t="s">
        <v>299</v>
      </c>
    </row>
    <row r="70" spans="1:2" x14ac:dyDescent="0.25">
      <c r="A70" s="7" t="s">
        <v>285</v>
      </c>
      <c r="B70" s="7" t="s">
        <v>286</v>
      </c>
    </row>
    <row r="71" spans="1:2" x14ac:dyDescent="0.25">
      <c r="A71">
        <v>40</v>
      </c>
      <c r="B71" s="34">
        <v>60</v>
      </c>
    </row>
    <row r="72" spans="1:2" x14ac:dyDescent="0.25">
      <c r="A72">
        <v>50</v>
      </c>
      <c r="B72" s="34">
        <v>75</v>
      </c>
    </row>
    <row r="73" spans="1:2" x14ac:dyDescent="0.25">
      <c r="A73">
        <v>60</v>
      </c>
      <c r="B73" s="34">
        <v>90</v>
      </c>
    </row>
    <row r="75" spans="1:1" x14ac:dyDescent="0.25">
      <c r="A75" s="3" t="s">
        <v>300</v>
      </c>
    </row>
    <row r="76" spans="1:1" x14ac:dyDescent="0.25">
      <c r="A76">
        <v>15</v>
      </c>
    </row>
    <row r="77" spans="1:1" x14ac:dyDescent="0.25">
      <c r="A77">
        <v>20</v>
      </c>
    </row>
    <row r="78" spans="1:1" x14ac:dyDescent="0.25">
      <c r="A78">
        <v>25</v>
      </c>
    </row>
    <row r="79" spans="1:1" x14ac:dyDescent="0.25">
      <c r="A79">
        <v>30</v>
      </c>
    </row>
    <row r="80" spans="1:1" x14ac:dyDescent="0.25">
      <c r="A80">
        <v>35</v>
      </c>
    </row>
    <row r="81" spans="1:1" x14ac:dyDescent="0.25">
      <c r="A81">
        <v>40</v>
      </c>
    </row>
    <row r="82" spans="1:1" x14ac:dyDescent="0.25">
      <c r="A82">
        <v>45</v>
      </c>
    </row>
    <row r="83" spans="1:1" x14ac:dyDescent="0.25">
      <c r="A83">
        <v>50</v>
      </c>
    </row>
    <row r="84" spans="1:1" x14ac:dyDescent="0.25">
      <c r="A84">
        <v>60</v>
      </c>
    </row>
    <row r="85" spans="1:1" x14ac:dyDescent="0.25">
      <c r="A85">
        <v>70</v>
      </c>
    </row>
    <row r="86" spans="1:1" x14ac:dyDescent="0.25">
      <c r="A86">
        <v>80</v>
      </c>
    </row>
    <row r="87" spans="1:1" x14ac:dyDescent="0.25">
      <c r="A87">
        <v>90</v>
      </c>
    </row>
    <row r="88" spans="1:1" x14ac:dyDescent="0.25">
      <c r="A88">
        <v>100</v>
      </c>
    </row>
    <row r="89" spans="1:1" x14ac:dyDescent="0.25">
      <c r="A89">
        <v>110</v>
      </c>
    </row>
    <row r="90" spans="1:1" x14ac:dyDescent="0.25">
      <c r="A90">
        <v>125</v>
      </c>
    </row>
    <row r="91" spans="1:1" x14ac:dyDescent="0.25">
      <c r="A91">
        <v>150</v>
      </c>
    </row>
    <row r="92" spans="1:1" x14ac:dyDescent="0.25">
      <c r="A92">
        <v>175</v>
      </c>
    </row>
    <row r="93" spans="1:1" x14ac:dyDescent="0.25">
      <c r="A93">
        <v>200</v>
      </c>
    </row>
    <row r="94" spans="1:1" x14ac:dyDescent="0.25">
      <c r="A94">
        <v>225</v>
      </c>
    </row>
    <row r="95" spans="1:1" x14ac:dyDescent="0.25">
      <c r="A95">
        <v>250</v>
      </c>
    </row>
    <row r="96" spans="1:1" x14ac:dyDescent="0.25">
      <c r="A96">
        <v>300</v>
      </c>
    </row>
    <row r="97" spans="1:1" x14ac:dyDescent="0.25">
      <c r="A97">
        <v>350</v>
      </c>
    </row>
    <row r="98" spans="1:1" x14ac:dyDescent="0.25">
      <c r="A98">
        <v>400</v>
      </c>
    </row>
    <row r="99" spans="1:1" x14ac:dyDescent="0.25">
      <c r="A99">
        <v>450</v>
      </c>
    </row>
    <row r="100" spans="1:1" x14ac:dyDescent="0.25">
      <c r="A100">
        <v>500</v>
      </c>
    </row>
    <row r="101" spans="1:1" x14ac:dyDescent="0.25">
      <c r="A101">
        <v>600</v>
      </c>
    </row>
    <row r="102" spans="1:1" x14ac:dyDescent="0.25">
      <c r="A102">
        <v>700</v>
      </c>
    </row>
    <row r="103" spans="1:1" x14ac:dyDescent="0.25">
      <c r="A103">
        <v>800</v>
      </c>
    </row>
    <row r="104" spans="1:1" x14ac:dyDescent="0.25">
      <c r="A104">
        <v>1000</v>
      </c>
    </row>
    <row r="105" spans="1:1" x14ac:dyDescent="0.25">
      <c r="A105">
        <v>1200</v>
      </c>
    </row>
    <row r="106" spans="1:1" x14ac:dyDescent="0.25">
      <c r="A106">
        <v>1600</v>
      </c>
    </row>
    <row r="107" spans="1:1" x14ac:dyDescent="0.25">
      <c r="A107">
        <v>2000</v>
      </c>
    </row>
    <row r="108" spans="1:1" x14ac:dyDescent="0.25">
      <c r="A108">
        <v>2500</v>
      </c>
    </row>
    <row r="109" spans="1:1" x14ac:dyDescent="0.25">
      <c r="A109">
        <v>3000</v>
      </c>
    </row>
    <row r="110" spans="1:1" x14ac:dyDescent="0.25">
      <c r="A110">
        <v>4000</v>
      </c>
    </row>
    <row r="111" spans="1:1" x14ac:dyDescent="0.25">
      <c r="A111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FormatPr defaultRowHeight="15" outlineLevelRow="0" outlineLevelCol="0" x14ac:dyDescent="55"/>
  <cols>
    <col min="1" max="1" width="114" customWidth="1"/>
  </cols>
  <sheetData>
    <row r="1" spans="1:1" x14ac:dyDescent="0.25">
      <c r="A1" s="17" t="s">
        <v>301</v>
      </c>
    </row>
    <row r="2" spans="1:1" x14ac:dyDescent="0.25">
      <c r="A2" s="40" t="s">
        <v>302</v>
      </c>
    </row>
    <row r="3" spans="1:1" x14ac:dyDescent="0.25">
      <c r="A3" s="40" t="s">
        <v>303</v>
      </c>
    </row>
    <row r="4" spans="1:1" x14ac:dyDescent="0.25">
      <c r="A4" s="40" t="s">
        <v>304</v>
      </c>
    </row>
    <row r="5" spans="1:1" x14ac:dyDescent="0.25">
      <c r="A5" s="40" t="s">
        <v>305</v>
      </c>
    </row>
    <row r="6" spans="1:1" x14ac:dyDescent="0.25">
      <c r="A6" s="40" t="s">
        <v>306</v>
      </c>
    </row>
    <row r="7" spans="1:1" x14ac:dyDescent="0.25">
      <c r="A7" s="40" t="s">
        <v>231</v>
      </c>
    </row>
    <row r="8" spans="1:1" x14ac:dyDescent="0.25">
      <c r="A8" s="17" t="s">
        <v>307</v>
      </c>
    </row>
    <row r="9" spans="1:1" x14ac:dyDescent="0.25">
      <c r="A9" s="40" t="s">
        <v>308</v>
      </c>
    </row>
    <row r="10" spans="1:1" x14ac:dyDescent="0.25">
      <c r="A10" s="40" t="s">
        <v>309</v>
      </c>
    </row>
    <row r="11" spans="1:1" x14ac:dyDescent="0.25">
      <c r="A11" s="40" t="s">
        <v>310</v>
      </c>
    </row>
    <row r="12" spans="1:1" x14ac:dyDescent="0.25">
      <c r="A12" s="40" t="s">
        <v>311</v>
      </c>
    </row>
    <row r="13" spans="1:1" x14ac:dyDescent="0.25">
      <c r="A13" s="40" t="s">
        <v>312</v>
      </c>
    </row>
    <row r="14" spans="1:1" x14ac:dyDescent="0.25">
      <c r="A14" s="40" t="s">
        <v>313</v>
      </c>
    </row>
    <row r="15" spans="1:1" x14ac:dyDescent="0.25">
      <c r="A15" s="40" t="s">
        <v>231</v>
      </c>
    </row>
    <row r="16" spans="1:1" x14ac:dyDescent="0.25">
      <c r="A16" s="17" t="s">
        <v>314</v>
      </c>
    </row>
    <row r="17" spans="1:1" x14ac:dyDescent="0.25">
      <c r="A17" s="40" t="s">
        <v>315</v>
      </c>
    </row>
    <row r="18" spans="1:1" x14ac:dyDescent="0.25">
      <c r="A18" s="40" t="s">
        <v>316</v>
      </c>
    </row>
    <row r="19" spans="1:1" x14ac:dyDescent="0.25">
      <c r="A19" s="40" t="s">
        <v>317</v>
      </c>
    </row>
    <row r="20" spans="1:1" x14ac:dyDescent="0.25">
      <c r="A20" s="40" t="s">
        <v>231</v>
      </c>
    </row>
    <row r="21" spans="1:1" x14ac:dyDescent="0.25">
      <c r="A21" s="17" t="s">
        <v>318</v>
      </c>
    </row>
    <row r="22" spans="1:1" x14ac:dyDescent="0.25">
      <c r="A22" s="40" t="s">
        <v>319</v>
      </c>
    </row>
    <row r="23" spans="1:1" x14ac:dyDescent="0.25">
      <c r="A23" s="40" t="s">
        <v>320</v>
      </c>
    </row>
    <row r="24" spans="1:1" x14ac:dyDescent="0.25">
      <c r="A24" s="40" t="s">
        <v>321</v>
      </c>
    </row>
    <row r="25" spans="1:1" x14ac:dyDescent="0.25">
      <c r="A25" s="40" t="s">
        <v>322</v>
      </c>
    </row>
    <row r="26" spans="1:1" x14ac:dyDescent="0.25">
      <c r="A26" s="40" t="s">
        <v>323</v>
      </c>
    </row>
    <row r="27" spans="1:1" x14ac:dyDescent="0.25">
      <c r="A27" s="40" t="s">
        <v>324</v>
      </c>
    </row>
    <row r="28" spans="1:1" x14ac:dyDescent="0.25">
      <c r="A28" s="40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Intake</vt:lpstr>
      <vt:lpstr>Panel</vt:lpstr>
      <vt:lpstr>Panel 480V</vt:lpstr>
      <vt:lpstr>Panel 208V</vt:lpstr>
      <vt:lpstr>Estimate</vt:lpstr>
      <vt:lpstr>Revenue</vt:lpstr>
      <vt:lpstr>Financing</vt:lpstr>
      <vt:lpstr>ADA</vt:lpstr>
      <vt:lpstr>Timeline</vt:lpstr>
      <vt:lpstr>RateCard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RFC Estimator</dc:creator>
  <dc:title/>
  <dc:subject/>
  <dc:description/>
  <cp:keywords/>
  <cp:category/>
  <cp:lastModifiedBy>Unknown</cp:lastModifiedBy>
  <dcterms:created xsi:type="dcterms:W3CDTF">2026-08-24T19:02:26Z</dcterms:created>
  <dcterms:modified xsi:type="dcterms:W3CDTF">2026-08-24T19:02:26Z</dcterms:modified>
</cp:coreProperties>
</file>