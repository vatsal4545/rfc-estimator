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Takeoff" state="visible" r:id="rId5"/>
    <sheet sheetId="3" name="Panel" state="visible" r:id="rId6"/>
    <sheet sheetId="4" name="Panel 480V" state="visible" r:id="rId7"/>
    <sheet sheetId="5" name="Panel 208V" state="visible" r:id="rId8"/>
    <sheet sheetId="6" name="Estimate" state="visible" r:id="rId9"/>
    <sheet sheetId="7" name="Peripherals" state="visible" r:id="rId10"/>
    <sheet sheetId="8" name="Costs Internal" state="visible" r:id="rId11"/>
    <sheet sheetId="9" name="ADA" state="visible" r:id="rId12"/>
    <sheet sheetId="10" name="Timeline" state="visible" r:id="rId13"/>
    <sheet sheetId="11" name="RateCard" state="visible" r:id="rId14"/>
    <sheet sheetId="12" name="Instructions" state="visible" r:id="rId15"/>
  </sheets>
  <definedNames>
    <definedName name="ModelTable">RateCard!$A$4:$P$38</definedName>
    <definedName name="SgSizes">RateCard!$A$43:$A$54</definedName>
    <definedName name="SgTable">RateCard!$A$43:$B$54</definedName>
    <definedName name="PnlSizes">RateCard!$A$58:$A$63</definedName>
    <definedName name="PnlTable">RateCard!$A$58:$B$63</definedName>
    <definedName name="TxSizes">RateCard!$A$67:$A$73</definedName>
    <definedName name="TxTable">RateCard!$A$67:$B$73</definedName>
    <definedName name="Brk480Sizes">RateCard!$A$77:$A$88</definedName>
    <definedName name="BrkTbl480">RateCard!$A$77:$B$88</definedName>
    <definedName name="Brk208Sizes">RateCard!$A$92:$A$94</definedName>
    <definedName name="BrkTbl208">RateCard!$A$92:$B$94</definedName>
    <definedName name="StdBrk">RateCard!$A$97:$A$133</definedName>
    <definedName name="WireSizes">RateCard!$A$137:$A$161</definedName>
    <definedName name="WireTable">RateCard!$A$137:$E$161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DataBoxCost">RateCard!$R$18</definedName>
    <definedName name="AdaVanCost">RateCard!$R$19</definedName>
    <definedName name="AdaStdCost">RateCard!$R$20</definedName>
    <definedName name="AdaAmbCost">RateCard!$R$21</definedName>
    <definedName name="AdaRampCost">RateCard!$R$22</definedName>
    <definedName name="ConcreteRate">RateCard!$R$23</definedName>
    <definedName name="ShortLoadFee">RateCard!$R$24</definedName>
    <definedName name="AsphaltRate">RateCard!$R$25</definedName>
    <definedName name="StallSqFt">RateCard!$R$26</definedName>
    <definedName name="BollardCost">RateCard!$R$27</definedName>
    <definedName name="BollardPerChg">RateCard!$R$28</definedName>
    <definedName name="BollardAtGear">RateCard!$R$29</definedName>
    <definedName name="BollardAtStepdown">RateCard!$R$30</definedName>
    <definedName name="ConsumDcfc">RateCard!$R$31</definedName>
    <definedName name="ConsumL2">RateCard!$R$32</definedName>
    <definedName name="PadYdDcfc">RateCard!$R$33</definedName>
    <definedName name="PadYdL2">RateCard!$R$34</definedName>
    <definedName name="PadYdGear">RateCard!$R$35</definedName>
    <definedName name="PadYdXfmr">RateCard!$R$36</definedName>
    <definedName name="PadYdBollard">RateCard!$R$37</definedName>
    <definedName name="TransformerPad">RateCard!$R$38</definedName>
    <definedName name="CommDcfc">RateCard!$R$39</definedName>
    <definedName name="CommL2">RateCard!$R$40</definedName>
    <definedName name="EquipBase">RateCard!$R$41</definedName>
    <definedName name="EquipPerDay">RateCard!$R$42</definedName>
    <definedName name="EquipBaseEmt">RateCard!$R$43</definedName>
    <definedName name="EquipPerDayEmt">RateCard!$R$44</definedName>
    <definedName name="EmtRackCost">RateCard!$R$45</definedName>
    <definedName name="EmtStrapCost">RateCard!$R$46</definedName>
    <definedName name="EmtFtPerDay">RateCard!$R$47</definedName>
    <definedName name="PermitBase">RateCard!$R$48</definedName>
    <definedName name="PermitPerChg">RateCard!$R$49</definedName>
    <definedName name="UtilAppDcfc">RateCard!$R$50</definedName>
    <definedName name="UtilAppL2">RateCard!$R$51</definedName>
    <definedName name="ServiceBoxCost">RateCard!$R$52</definedName>
    <definedName name="NTotal">Intake!$B$36</definedName>
    <definedName name="NDcfc">Intake!$B$37</definedName>
    <definedName name="NumL2">Intake!$B$38</definedName>
    <definedName name="NPorts">Intake!$B$39</definedName>
    <definedName name="RunFtDcfc">Intake!$B$42</definedName>
    <definedName name="RunFtL2">Intake!$B$43</definedName>
    <definedName name="StepFt">Intake!$B$44</definedName>
    <definedName name="Terrain">Intake!$B$45</definedName>
    <definedName name="InstallMethod">Intake!$B$46</definedName>
    <definedName name="RouteFt">Intake!$B$47</definedName>
    <definedName name="TrenchFt">Intake!$B$48</definedName>
    <definedName name="LaborDays">Intake!$B$49</definedName>
    <definedName name="WireTotal">Intake!$H$68</definedName>
    <definedName name="LaborBase">Intake!$D$75</definedName>
    <definedName name="IncHardware">Intake!$B$78</definedName>
    <definedName name="IncSitePlan">Intake!$B$79</definedName>
    <definedName name="IncSLD">Intake!$B$80</definedName>
    <definedName name="IncCpm">Intake!$B$81</definedName>
    <definedName name="IncPermits">Intake!$B$82</definedName>
    <definedName name="IncGpr">Intake!$B$83</definedName>
    <definedName name="HardwareFactor">Intake!$B$86</definedName>
    <definedName name="RebateAmt">Intake!$B$87</definedName>
    <definedName name="NetworkFeeMo">Intake!$B$88</definedName>
    <definedName name="ContractYears">Intake!$B$89</definedName>
    <definedName name="ServicePlanYr">Intake!$B$90</definedName>
    <definedName name="TakeoffWire">Takeoff!$J$29</definedName>
    <definedName name="SgSuggested">Panel!$F$21</definedName>
    <definedName name="TxKvaConnected">Panel!$F$45</definedName>
    <definedName name="TxKvaSuggested">Panel!$F$47</definedName>
    <definedName name="GearTotal">Panel!$F$68</definedName>
    <definedName name="ConstructionTotal">Estimate!$B$21</definedName>
    <definedName name="LaborCost">Estimate!$B$23</definedName>
    <definedName name="Valuation">Estimate!$B$25</definedName>
    <definedName name="TotalCost">Estimate!$B$41</definedName>
    <definedName name="CustomerTotal">Estimate!$B$43</definedName>
    <definedName name="PeriphSignage">Peripherals!$D$10</definedName>
    <definedName name="PeriphCivil">Peripherals!$D$25</definedName>
    <definedName name="PeriphAsphalt">Peripherals!$D$29</definedName>
    <definedName name="AdaVan">ADA!$C$8</definedName>
    <definedName name="AdaStd">ADA!$D$8</definedName>
    <definedName name="AdaAmb">ADA!$E$8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<sst xmlns="http://schemas.openxmlformats.org/spreadsheetml/2006/main" count="810" uniqueCount="478">
  <si>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</si>
  <si>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</si>
  <si>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</si>
  <si>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</si>
  <si>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</si>
  <si>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</si>
  <si>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</si>
  <si>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</si>
  <si>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</si>
  <si>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</si>
  <si>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</si>
  <si>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</si>
  <si>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</si>
  <si>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</si>
  <si>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</si>
  <si>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</si>
  <si>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</si>
  <si>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 — one line per model, or qty 1 per line for per-charger distances/breakers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</si>
  <si>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</si>
  <si>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</si>
  <si>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</si>
  <si>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</si>
  <si>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</si>
  <si>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</si>
  <si>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</si>
  <si>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</si>
  <si>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</si>
  <si>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</si>
  <si>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</si>
  <si>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</si>
  <si>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</si>
  <si>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</si>
  <si>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</si>
  <si>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</si>
  <si>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</si>
  <si>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</si>
  <si>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</si>
  <si>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Install method (Trenched / Surface EMT / Hybrid)</t>
  </si>
  <si>
    <t>Trenched</t>
  </si>
  <si>
    <t>Surface EMT = garage ceiling racks, no digging. Hybrid = EMT inside, trench only the utility→switchgear section.</t>
  </si>
  <si>
    <t>Conduit route (ft) — the path the runs follow; overtype if surveyed</t>
  </si>
  <si>
    <t>Trench length (ft) — auto from the method; overtype if surveyed</t>
  </si>
  <si>
    <t>Construction labor days — overtype if known</t>
  </si>
  <si>
    <t>WIRE RUNS &amp; FEEDERS — line defaults; per-charger lengths live on the Takeoff sheet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</si>
  <si>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</si>
  <si>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</si>
  <si>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</si>
  <si>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</si>
  <si>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</si>
  <si>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</si>
  <si>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</si>
  <si>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</si>
  <si>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Breaker ovr (A)</t>
  </si>
  <si>
    <t>Breaker A used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</si>
  <si>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</si>
  <si>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</si>
  <si>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</si>
  <si>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</si>
  <si>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</si>
  <si>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</si>
  <si>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</si>
  <si>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 (Takeoff chargers + feeders)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</si>
  <si>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</si>
  <si>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</si>
  <si>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</si>
  <si>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</si>
  <si>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</si>
  <si>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</si>
  <si>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</si>
  <si>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</si>
  <si>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</si>
  <si>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</si>
  <si>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</si>
  <si>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</si>
  <si>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</si>
  <si>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</si>
  <si>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</si>
  <si>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</si>
  <si>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</si>
  <si>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</si>
  <si>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</si>
  <si>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</si>
  <si>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</si>
  <si>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</si>
  <si>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Accessible stalls (CBC 11B-228.3: L2 and DCFC counted separately)</t>
  </si>
  <si>
    <t>Main gear (auto — Panel sheet)</t>
  </si>
  <si>
    <t>TOTAL ESTIMATE</t>
  </si>
  <si>
    <t>CUSTOMER TOTAL (after rebate)</t>
  </si>
  <si>
    <t>TAKEOFF — one row per charger (wire length, size, runs all editable)</t>
  </si>
  <si>
    <t>Rows expand from the Intake charger lines in order. Yellow cells default from the Intake line + distance ladder — overtype any of them (e.g. the surveyed one-way ft per charger) and the wire $ reprices into the estimate. Clear an overtype by re-entering the default.</t>
  </si>
  <si>
    <t>engine — do not edit</t>
  </si>
  <si>
    <t>#</t>
  </si>
  <si>
    <t>Charger</t>
  </si>
  <si>
    <t>Breaker A</t>
  </si>
  <si>
    <t>Charger wire total → Intake / Estimate</t>
  </si>
  <si>
    <t>Conduit &amp; terminations are in the per-charger install allowance (RateCard); this sheet prices the conductors. Breaker column mirrors the Intake line (override it there).</t>
  </si>
  <si>
    <t>Panel Schedules — auto from Intake (mirrors the app's algorithm, NEC 625 continuous loads at 125%)</t>
  </si>
  <si>
    <t>PANEL SCHEDULE 1 — 480V SWITCHGEAR (LEVEL 3 / DCFC)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</si>
  <si>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</si>
  <si>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</si>
  <si>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</si>
  <si>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</si>
  <si>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</si>
  <si>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</si>
  <si>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</si>
  <si>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Main switchgear (A) — auto, or type an override in D21</t>
  </si>
  <si>
    <t>← override</t>
  </si>
  <si>
    <t>Switchgear price (website catalog)</t>
  </si>
  <si>
    <t>PANEL SCHEDULE 2 — 208V PANEL (LEVEL 2)</t>
  </si>
  <si>
    <t>208V bus connected amps (line)</t>
  </si>
  <si>
    <t>208V bus demand amps (×125%)</t>
  </si>
  <si>
    <t>208V panel (A) — auto, or type an override in D40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</si>
  <si>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</si>
  <si>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</si>
  <si>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</si>
  <si>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</si>
  <si>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</si>
  <si>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Transformer (kVA) — auto, or type an override in D47</t>
  </si>
  <si>
    <t>Transformer price</t>
  </si>
  <si>
    <t>Primary FLA at 480V (selected TX)</t>
  </si>
  <si>
    <t>Primary breaker (125% of FLA, next standard)</t>
  </si>
  <si>
    <t>Primary breaker price</t>
  </si>
  <si>
    <t>BRANCH BREAKERS (sizes from the Intake's Breaker column — overrides included)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</si>
  <si>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</si>
  <si>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</si>
  <si>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</si>
  <si>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</si>
  <si>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</si>
  <si>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</si>
  <si>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Yellow D-column cells override the auto gear size (D21 switchgear, D40 panel, D47 transformer) — the primary breaker, feeder runs on the Intake, and prices all re-derive. Clear the cell to go back to auto. Branch breaker sizes come from the Intake wire-runs Breaker column.</t>
  </si>
  <si>
    <t>PANEL SCHEDULE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</si>
  <si>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</si>
  <si>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</si>
  <si>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</si>
  <si>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</si>
  <si>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</si>
  <si>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</si>
  <si>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</si>
  <si>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</si>
  <si>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</si>
  <si>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</si>
  <si>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</si>
  <si>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</si>
  <si>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</si>
  <si>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</si>
  <si>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</si>
  <si>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</si>
  <si>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</si>
  <si>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</si>
  <si>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</si>
  <si>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</si>
  <si>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</si>
  <si>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</si>
  <si>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</si>
  <si>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</si>
  <si>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</si>
  <si>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</si>
  <si>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</si>
  <si>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</si>
  <si>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</si>
  <si>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</si>
  <si>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</si>
  <si>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</si>
  <si>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</si>
  <si>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</si>
  <si>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</si>
  <si>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</si>
  <si>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</si>
  <si>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</si>
  <si>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</si>
  <si>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</si>
  <si>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(Takeoff + feeders) + conduit &amp; install allowance + data box + Christy box</t>
  </si>
  <si>
    <t>Switchgear, panels &amp; transformer (Panel sheet)</t>
  </si>
  <si>
    <t>Trenching / asphalt cut (terrain-adj.) + stall paving</t>
  </si>
  <si>
    <t>Surface EMT supports — strut racks @ 10 ft + straps (NEC 358.30)</t>
  </si>
  <si>
    <t>Civil — concrete, rebar, consumables (Peripherals sheet)</t>
  </si>
  <si>
    <t>Signage, striping &amp; bollards (Peripherals sheet)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</si>
  <si>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</si>
  <si>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</si>
  <si>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</si>
  <si>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</si>
  <si>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</si>
  <si>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</si>
  <si>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</si>
  <si>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</si>
  <si>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</si>
  <si>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</si>
  <si>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</si>
  <si>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</si>
  <si>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</si>
  <si>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</si>
  <si>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</si>
  <si>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</si>
  <si>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</si>
  <si>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</si>
  <si>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</si>
  <si>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(% of loaded labour — CEO basis)</t>
  </si>
  <si>
    <t>Plan check (AHJ, % of valuation for DCFC)</t>
  </si>
  <si>
    <t>Design subtotal</t>
  </si>
  <si>
    <t>TOTAL PROJECT COST</t>
  </si>
  <si>
    <t>Less: rebates / incentives (CALeVIP etc.)</t>
  </si>
  <si>
    <t>Peripherals — signage, protection &amp; civil detail (auto from Intake + RateCard)</t>
  </si>
  <si>
    <t>Quantities follow the Intake charger counts; edit rates on the RateCard (or the yellow cells below). Trench-cut asphalt prices on the Estimate; the asphalt here is stall patch-back only.</t>
  </si>
  <si>
    <t>SIGNAGE &amp; PROTECTION</t>
  </si>
  <si>
    <t>Item</t>
  </si>
  <si>
    <t>Total</t>
  </si>
  <si>
    <t>Bollards (2/charger + 4-5 at switchgear + 3 at step-down/sub-panel)</t>
  </si>
  <si>
    <t>Signs</t>
  </si>
  <si>
    <t>Sign posts</t>
  </si>
  <si>
    <t>Striping (per 10-stall lot)</t>
  </si>
  <si>
    <t>Signage &amp; protection subtotal</t>
  </si>
  <si>
    <t>CONCRETE &amp; CIVIL</t>
  </si>
  <si>
    <t>Concrete order — 2500 PSI (yd, rounded up to whole yards)</t>
  </si>
  <si>
    <t>Concrete short-load fee (order &lt; 8 yd)</t>
  </si>
  <si>
    <t>Rebar (#4 mats — 3/DCFC pad, 2/L2 pad, 2/feeder)</t>
  </si>
  <si>
    <t>Forming &amp; anchoring consumables — DCFC pads</t>
  </si>
  <si>
    <t>Forming &amp; anchoring consumables — L2 pads</t>
  </si>
  <si>
    <t>Wheel stops</t>
  </si>
  <si>
    <t>Christy boxes (1 per 200 trench-ft)</t>
  </si>
  <si>
    <t>GFI test (service &gt; 1000A)</t>
  </si>
  <si>
    <t>Plywood (manual count)</t>
  </si>
  <si>
    <t>2x4 lumber (manual count)</t>
  </si>
  <si>
    <t>Sono tubes (manual count)</t>
  </si>
  <si>
    <t>Civil subtotal (feeds Estimate B11)</t>
  </si>
  <si>
    <t>ASPHALT — STALL PATCH-BACK</t>
  </si>
  <si>
    <t>Qty (SF)</t>
  </si>
  <si>
    <t>Asphalt paving — parking stalls (2 stalls/L2, 1/DCFC × SF/stall)</t>
  </si>
  <si>
    <t>Feeds the Estimate's trenching/asphalt row (B9). Overtype the qty formula with surveyed SF when the patch limits are drawn.</t>
  </si>
  <si>
    <t>Electrical Supply &amp; Construction Management Costs</t>
  </si>
  <si>
    <t>Quantity</t>
  </si>
  <si>
    <t>Individual Cost</t>
  </si>
  <si>
    <t>Final Cost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</si>
  <si>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</si>
  <si>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</si>
  <si>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</si>
  <si>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</si>
  <si>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</si>
  <si>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</si>
  <si>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</si>
  <si>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</si>
  <si>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</si>
  <si>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</si>
  <si>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</si>
  <si>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</si>
  <si>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</si>
  <si>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</si>
  <si>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</si>
  <si>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</si>
  <si>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</si>
  <si>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11B-228.3 / 11B-812 (auto from Intake)</t>
  </si>
  <si>
    <t>Each charging level (L2, DCFC) counts as its own facility per 11B-228.3.2 — the table below runs once per level, then sums.</t>
  </si>
  <si>
    <t>Facility (charging level)</t>
  </si>
  <si>
    <t>Chargers</t>
  </si>
  <si>
    <t>Van</t>
  </si>
  <si>
    <t>Standard</t>
  </si>
  <si>
    <t>Ambulatory</t>
  </si>
  <si>
    <t>Level 2 (208/240V AC)</t>
  </si>
  <si>
    <t>Level 3 / DCFC</t>
  </si>
  <si>
    <t>SITE TOTAL (sum of facilities)</t>
  </si>
  <si>
    <t>Override quantities (blank = code minimum)</t>
  </si>
  <si>
    <t>STALLS USED (override, else code)</t>
  </si>
  <si>
    <t>Terrain regrade factor (2% slope rule)</t>
  </si>
  <si>
    <t>ADA construction cost</t>
  </si>
  <si>
    <t>CBC Table 11B-228.3.2.1 — applied PER FACILITY (per charging level), not to the combined count (van divisor 300 per 2022/2025 CBC; verify with your AHJ):</t>
  </si>
  <si>
    <t>EVCS per facility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</si>
  <si>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</si>
  <si>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</si>
  <si>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</si>
  <si>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</si>
  <si>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</si>
  <si>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</si>
  <si>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</si>
  <si>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</si>
  <si>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</si>
  <si>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</si>
  <si>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</si>
  <si>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</si>
  <si>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</si>
  <si>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11B-228.3.2: each charging level AND connector type is a separate facility — mixing CCS + NACS on one power level can add facilities; verify with the AHJ.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</si>
  <si>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</si>
  <si>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</si>
  <si>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 (per facility):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</si>
  <si>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</si>
  <si>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</si>
  <si>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</si>
  <si>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</si>
  <si>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</si>
  <si>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</si>
  <si>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</si>
  <si>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</si>
  <si>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</si>
  <si>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</si>
  <si>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</si>
  <si>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</si>
  <si>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</si>
  <si>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</si>
  <si>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</si>
  <si>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</si>
  <si>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</si>
  <si>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</si>
  <si>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</si>
  <si>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</si>
  <si>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</si>
  <si>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</si>
  <si>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</si>
  <si>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</si>
  <si>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</si>
  <si>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</si>
  <si>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</si>
  <si>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Install EMT $/u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</si>
  <si>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</si>
  <si>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</si>
  <si>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</si>
  <si>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</si>
  <si>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</si>
  <si>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</si>
  <si>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</si>
  <si>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</si>
  <si>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</si>
  <si>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</si>
  <si>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</si>
  <si>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</si>
  <si>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</si>
  <si>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</si>
  <si>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</si>
  <si>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</si>
  <si>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</si>
  <si>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</si>
  <si>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</si>
  <si>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</si>
  <si>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</si>
  <si>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</si>
  <si>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</si>
  <si>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</si>
  <si>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</si>
  <si>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</si>
  <si>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 (CEO basis, fully burdened)</t>
  </si>
  <si>
    <t>DCFC 60kW</t>
  </si>
  <si>
    <t>PM hourly rate (CPM)</t>
  </si>
  <si>
    <t>DCFC 60kW Dual</t>
  </si>
  <si>
    <t>Construction PM % of loaded labour (CEO basis)</t>
  </si>
  <si>
    <t>DCFC 100kW</t>
  </si>
  <si>
    <t>3/0 AWG</t>
  </si>
  <si>
    <t>GPR scan $/day</t>
  </si>
  <si>
    <t>DCFC 100kW Dual</t>
  </si>
  <si>
    <t>GPR trench-ft per day</t>
  </si>
  <si>
    <t>DCFC 120kW</t>
  </si>
  <si>
    <t>Data/comms box $ (one per site)</t>
  </si>
  <si>
    <t>DCFC 120kW Dual</t>
  </si>
  <si>
    <t>ADA van stall $ (flat lot)</t>
  </si>
  <si>
    <t>DCFC 160kW</t>
  </si>
  <si>
    <t>300 kcmil</t>
  </si>
  <si>
    <t>ADA standard stall $ (flat lot)</t>
  </si>
  <si>
    <t>DCFC 160kW Dual</t>
  </si>
  <si>
    <t>ADA ambulatory stall $ (flat lot)</t>
  </si>
  <si>
    <t>DCFC 180kW</t>
  </si>
  <si>
    <t>ADA ramp $</t>
  </si>
  <si>
    <t>DCFC 180kW Dual</t>
  </si>
  <si>
    <t>Concrete $/yd (2500 PSI delivered)</t>
  </si>
  <si>
    <t>400 kcmil</t>
  </si>
  <si>
    <t>DCFC 200kW Dual</t>
  </si>
  <si>
    <t>Asphalt stall paving $/SF</t>
  </si>
  <si>
    <t>DCFC 240kW</t>
  </si>
  <si>
    <t>Stall patch-back SF per stall (9x18)</t>
  </si>
  <si>
    <t>DCFC 240kW Dual</t>
  </si>
  <si>
    <t>Bollard installed $/ea</t>
  </si>
  <si>
    <t>DCFC 275kW</t>
  </si>
  <si>
    <t>250 kcmil</t>
  </si>
  <si>
    <t>Bollards per charger</t>
  </si>
  <si>
    <t>DCFC 275kW Dual</t>
  </si>
  <si>
    <t>Bollards at switchgear (4-5)</t>
  </si>
  <si>
    <t>DCFC 300kW</t>
  </si>
  <si>
    <t>Bollards at step-down TX + sub-panel</t>
  </si>
  <si>
    <t>DCFC 300kW Dual</t>
  </si>
  <si>
    <t>Forming consumables $/DCFC (anchors, ells, forms)</t>
  </si>
  <si>
    <t>DCFC 360kW</t>
  </si>
  <si>
    <t>Forming consumables $/L2</t>
  </si>
  <si>
    <t>DCFC 360kW Dual</t>
  </si>
  <si>
    <t>Concrete yd per DCFC pad</t>
  </si>
  <si>
    <t>DCFC 30kW</t>
  </si>
  <si>
    <t>8 AWG</t>
  </si>
  <si>
    <t>Concrete yd per L2 pad</t>
  </si>
  <si>
    <t>L2 Single 48A</t>
  </si>
  <si>
    <t>Concrete yd — switchgear pad</t>
  </si>
  <si>
    <t>Power cabinet 360kW</t>
  </si>
  <si>
    <t>Concrete yd — step-down TX + sub-panel pad</t>
  </si>
  <si>
    <t>Power cabinet 480kW</t>
  </si>
  <si>
    <t>Concrete yd per bollard footing</t>
  </si>
  <si>
    <t>Power cabinet 1280kW</t>
  </si>
  <si>
    <t>Utility transformer pad $ (DCFC)</t>
  </si>
  <si>
    <t>Install $/u = conduit, terminations &amp; install hardware (engine-calibrated) — wire is priced on the Intake's Wire Runs block. 'Install EMT $/u' is the same allowance with surface EMT conduit (garage installs; strut racks are a separate Estimate line). Hardware $/u are budgetary — swap in CTX/vendor quotes.</t>
  </si>
  <si>
    <t>Commissioning $/DCFC</t>
  </si>
  <si>
    <t>Commissioning $/L2</t>
  </si>
  <si>
    <t>Main switchgear 480V (website catalog)</t>
  </si>
  <si>
    <t>Equipment rentals base $</t>
  </si>
  <si>
    <t>Size</t>
  </si>
  <si>
    <t>Price</t>
  </si>
  <si>
    <t>Equipment rentals $/labor-day</t>
  </si>
  <si>
    <t>Equipment base $ (surface EMT — lift, no dig gear)</t>
  </si>
  <si>
    <t>Equipment $/labor-day (surface EMT)</t>
  </si>
  <si>
    <t>Strut trapeze rack $ (strut+rod+anchors, NEC 358.30)</t>
  </si>
  <si>
    <t>Strut conduit strap $ (per pipe per rack)</t>
  </si>
  <si>
    <t>Surface EMT route-ft per crew-day</t>
  </si>
  <si>
    <t>Permit issuance base $ (AHJ)</t>
  </si>
  <si>
    <t>Permit issuance $/charger</t>
  </si>
  <si>
    <t>Utility application $ (DCFC site)</t>
  </si>
  <si>
    <t>Utility application $ (L2-only site)</t>
  </si>
  <si>
    <t>Christy box at the point of connection $ (one per site, traffic lid)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</si>
  <si>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</si>
  <si>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</si>
  <si>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</si>
  <si>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</si>
  <si>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</si>
  <si>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</si>
  <si>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</si>
  <si>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</si>
  <si>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</si>
  <si>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</si>
  <si>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</si>
  <si>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</si>
  <si>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</si>
  <si>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</si>
  <si>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</si>
  <si>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</si>
  <si>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</si>
  <si>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</si>
  <si>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</si>
  <si>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</si>
  <si>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</si>
  <si>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</si>
  <si>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</si>
  <si>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</si>
  <si>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</si>
  <si>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</si>
  <si>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</si>
  <si>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</si>
  <si>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CHARGERS: 12 lines (model × qty). TAKEOFF SHEET: one row per INDIVIDUAL charger — L2 and L3 — with its own</t>
  </si>
  <si>
    <t xml:space="preserve">   yellow wire size, material, runs and one-way ft. Defaults fill from the Intake line + the distance ladder; overtype the</t>
  </si>
  <si>
    <t xml:space="preserve">   surveyed length (or a different size) per charger and the wire $ reprices straight into the Estimate — same as the</t>
  </si>
  <si>
    <t xml:space="preserve">   website's Takeoff tab. The Intake's WIRE RUNS block holds each line's DEFAULTS plus the three service feeders; its</t>
  </si>
  <si>
    <t xml:space="preserve">   Wire $ column reads the Takeoff rows back, so nothing double-counts. On long runs, extra parallel runs split the</t>
  </si>
  <si>
    <t xml:space="preserve">   amps so each set can use smaller wire — often cheaper than one fat conductor.</t>
  </si>
  <si>
    <t xml:space="preserve">   BREAKER COLUMN (col I): overrides the model's breaker for that line — flows into the Panel sheet's branch-breaker</t>
  </si>
  <si>
    <t xml:space="preserve">   pricing and both plan-set schedules. NEC 625.41 wants ≥125% of continuous amps; the template does not police it.</t>
  </si>
  <si>
    <t xml:space="preserve">   LABOR BREAKDOWN: itemize by role/phase (foreman, crew, flagger…); the total feeds the estimate, contingency-loaded.</t>
  </si>
  <si>
    <t xml:space="preserve">   INSTALL METHOD (Intake B46): 'Trenched' = underground PVC (the classic outdoor lot). 'Surface EMT' = garage install on</t>
  </si>
  <si>
    <t xml:space="preserve">   strut trapeze racks every 10 ft (NEC 358.30) — zero trenching, racks/straps priced on the Estimate, install allowance</t>
  </si>
  <si>
    <t xml:space="preserve">   switches to the EMT column, dig-gear rentals swap for a scissor lift. 'Hybrid' = chargers in EMT inside the structure,</t>
  </si>
  <si>
    <t xml:space="preserve">   trench only the utility → switchgear service section (feeder lengths, rows 65-67).</t>
  </si>
  <si>
    <t xml:space="preserve">   PANEL SHEET OVERRIDES: type a size in the yellow D-cells (D21 switchgear, D40 panel, D47 transformer) to force gear one</t>
  </si>
  <si>
    <t xml:space="preserve">   frame up/down — the primary breaker, Intake feeder runs and prices all re-derive. Clear the cell to go back to auto.</t>
  </si>
  <si>
    <t xml:space="preserve">   ADA SHEET OVERRIDES: row 7 yellow cells replace the code-minimum stall counts (like the website's Peripherals tab);</t>
  </si>
  <si>
    <t xml:space="preserve">   utility/permit fee rates (PermitBase, PermitPerChg, UtilAppDcfc, UtilAppL2) are yellow scalars on the RateCard.</t>
  </si>
  <si>
    <t xml:space="preserve">   PERIPHERALS SHEET: itemized bollards (2/charger + 4-5 at switchgear + 3 at step-down/sub-panel), concrete order rounded</t>
  </si>
  <si>
    <t xml:space="preserve">   up to whole yards (2500 PSI ConcreteRate + ShortLoadFee on the RateCard), asphalt stall patch-back (AsphaltRate $/SF),</t>
  </si>
  <si>
    <t xml:space="preserve">   forming consumables per pad, rebar, wheel stops. Its subtotals feed Estimate rows 9/11/12 — edit rates, not formulas.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</si>
  <si>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</si>
  <si>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</si>
  <si>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</si>
  <si>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</si>
  <si>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</si>
  <si>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</si>
  <si>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</si>
  <si>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</si>
  <si>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</si>
  <si>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</si>
  <si>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</si>
  <si>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</si>
  <si>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</si>
  <si>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</si>
  <si>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11B-228.3: L2 and DCFC count as SEPARATE facilities — the stall table runs once per level, then sums (see ADA sheet).</t>
  </si>
  <si>
    <t>• ADA stall rates: van $6.5k, standard $4.9k (shop bid rate), ambulatory $3.5k flat-lot, ramp $5.2k. Markings must NOT be blue.</t>
  </si>
  <si>
    <t>• Surface EMT: strut trapeze $28 + $3.25/strap per pipe per rack (every 10 ft, NEC 358.30); EMT hangs ~100 route-ft/crew-day.</t>
  </si>
  <si>
    <t xml:space="preserve">   Open-air decks are damp/wet locations — swap set-screw fittings for listed raintight compression (≈2-3× price) per 358.42.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</si>
  <si>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</si>
  <si>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Construction PM = 15% of loaded labour (CEO basis).</t>
  </si>
  <si>
    <t>• 450 kcmil: ampacity and the Al $/ft are interpolated (not NEC 310.16 / not on the vendor list) — verify before quoting.</t>
  </si>
  <si>
    <t>• Charger hardware = CTX price-book list prices (EVSE Project Intake 2.9.0); breaker prices are allowances — swap in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</si>
</sst>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i/>
      <color rgb="FF999999"/>
      <sz val="8"/>
    </font>
    <font>
      <i/>
      <color rgb="FFB45309"/>
    </font>
    <font>
      <b/>
      <sz val="12"/>
    </font>
    <font>
      <i/>
      <color rgb="FFB45309"/>
      <sz val="9"/>
    </font>
    <font>
      <sz val="8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0" fontId="6" fillId="0" borderId="0" xfId="0" applyFont="1"/>
    <xf numFmtId="165" fontId="3" fillId="0" borderId="0" xfId="0" applyNumberFormat="1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3" fillId="3" borderId="0" xfId="0" applyNumberFormat="1" applyFont="1" applyFill="1"/>
    <xf numFmtId="0" fontId="10" fillId="0" borderId="0" xfId="0" applyFont="1"/>
    <xf numFmtId="0" fontId="11" fillId="0" borderId="0" xfId="0" applyFont="1"/>
    <xf numFmtId="165" fontId="11" fillId="3" borderId="0" xfId="0" applyNumberFormat="1" applyFont="1" applyFill="1"/>
    <xf numFmtId="0" fontId="12" fillId="0" borderId="0" xfId="0" applyFont="1"/>
    <xf numFmtId="0" fontId="8" fillId="0" borderId="0" xfId="0" applyFont="1" applyAlignment="1">
      <alignment horizontal="center"/>
    </xf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3" fillId="0" borderId="0" xfId="0" applyFont="1"/>
    <xf numFmtId="3" fontId="0" fillId="0" borderId="0" xfId="0" applyNumberFormat="1"/>
    <xf numFmtId="166" fontId="0" fillId="0" borderId="0" xfId="0" applyNumberForma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65" fontId="11" fillId="0" borderId="0" xfId="0" applyNumberFormat="1" applyFont="1"/>
    <xf numFmtId="165" fontId="0" fillId="2" borderId="0" xfId="0" applyNumberFormat="1" applyFill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  <col min="9" max="9" width="14" customWidth="1"/>
    <col min="10" max="10" width="13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 t="n">
        <f>TODAY()</f>
        <v>46276</v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 t="n">
        <f>IFERROR(VLOOKUP($A23,ModelTable,2,FALSE),"")</f>
        <v>68000</v>
      </c>
      <c r="D23" t="str">
        <f>IFERROR(VLOOKUP($A23,ModelTable,4,FALSE),"")</f>
        <v>DCFC</v>
      </c>
      <c r="E23" s="9" t="n">
        <f>IFERROR($B23*VLOOKUP($A23,ModelTable,IF(InstallMethod="Trenched",3,16),FALSE),0)</f>
        <v>5592</v>
      </c>
      <c r="F23" s="9" t="n">
        <f>IFERROR($B23*VLOOKUP($A23,ModelTable,2,FALSE),0)</f>
        <v>408000</v>
      </c>
      <c r="G23" t="n">
        <f>IFERROR($B23*VLOOKUP($A23,ModelTable,9,FALSE),0)</f>
        <v>6</v>
      </c>
    </row>
    <row r="24" spans="1:7" x14ac:dyDescent="0.25">
      <c r="A24" s="8" t="s">
        <v>26</v>
      </c>
      <c r="B24" s="8">
        <v>5</v>
      </c>
      <c r="C24" s="9" t="n">
        <f>IFERROR(VLOOKUP($A24,ModelTable,2,FALSE),"")</f>
        <v>1402.5</v>
      </c>
      <c r="D24" t="str">
        <f>IFERROR(VLOOKUP($A24,ModelTable,4,FALSE),"")</f>
        <v>L2</v>
      </c>
      <c r="E24" s="9" t="n">
        <f>IFERROR($B24*VLOOKUP($A24,ModelTable,IF(InstallMethod="Trenched",3,16),FALSE),0)</f>
        <v>1435</v>
      </c>
      <c r="F24" s="9" t="n">
        <f>IFERROR($B24*VLOOKUP($A24,ModelTable,2,FALSE),0)</f>
        <v>7012.5</v>
      </c>
      <c r="G24" t="n">
        <f>IFERROR($B24*VLOOKUP($A24,ModelTable,9,FALSE),0)</f>
        <v>5</v>
      </c>
    </row>
    <row r="25" spans="1:7" x14ac:dyDescent="0.25">
      <c r="A25" s="8"/>
      <c r="B25" s="8"/>
      <c r="C25" s="9" t="str">
        <f>IFERROR(VLOOKUP($A25,ModelTable,2,FALSE),"")</f>
        <v/>
      </c>
      <c r="D25" t="str">
        <f>IFERROR(VLOOKUP($A25,ModelTable,4,FALSE),"")</f>
        <v/>
      </c>
      <c r="E25" s="9" t="n">
        <f>IFERROR($B25*VLOOKUP($A25,ModelTable,IF(InstallMethod="Trenched",3,16),FALSE),0)</f>
        <v>0</v>
      </c>
      <c r="F25" s="9" t="n">
        <f>IFERROR($B25*VLOOKUP($A25,ModelTable,2,FALSE),0)</f>
        <v>0</v>
      </c>
      <c r="G25" t="n">
        <f>IFERROR($B25*VLOOKUP($A25,ModelTable,9,FALSE),0)</f>
        <v>0</v>
      </c>
    </row>
    <row r="26" spans="1:7" x14ac:dyDescent="0.25">
      <c r="A26" s="8"/>
      <c r="B26" s="8"/>
      <c r="C26" s="9" t="str">
        <f>IFERROR(VLOOKUP($A26,ModelTable,2,FALSE),"")</f>
        <v/>
      </c>
      <c r="D26" t="str">
        <f>IFERROR(VLOOKUP($A26,ModelTable,4,FALSE),"")</f>
        <v/>
      </c>
      <c r="E26" s="9" t="n">
        <f>IFERROR($B26*VLOOKUP($A26,ModelTable,IF(InstallMethod="Trenched",3,16),FALSE),0)</f>
        <v>0</v>
      </c>
      <c r="F26" s="9" t="n">
        <f>IFERROR($B26*VLOOKUP($A26,ModelTable,2,FALSE),0)</f>
        <v>0</v>
      </c>
      <c r="G26" t="n">
        <f>IFERROR($B26*VLOOKUP($A26,ModelTable,9,FALSE),0)</f>
        <v>0</v>
      </c>
    </row>
    <row r="27" spans="1:7" x14ac:dyDescent="0.25">
      <c r="A27" s="8"/>
      <c r="B27" s="8"/>
      <c r="C27" s="9" t="str">
        <f>IFERROR(VLOOKUP($A27,ModelTable,2,FALSE),"")</f>
        <v/>
      </c>
      <c r="D27" t="str">
        <f>IFERROR(VLOOKUP($A27,ModelTable,4,FALSE),"")</f>
        <v/>
      </c>
      <c r="E27" s="9" t="n">
        <f>IFERROR($B27*VLOOKUP($A27,ModelTable,IF(InstallMethod="Trenched",3,16),FALSE),0)</f>
        <v>0</v>
      </c>
      <c r="F27" s="9" t="n">
        <f>IFERROR($B27*VLOOKUP($A27,ModelTable,2,FALSE),0)</f>
        <v>0</v>
      </c>
      <c r="G27" t="n">
        <f>IFERROR($B27*VLOOKUP($A27,ModelTable,9,FALSE),0)</f>
        <v>0</v>
      </c>
    </row>
    <row r="28" spans="1:7" x14ac:dyDescent="0.25">
      <c r="A28" s="8"/>
      <c r="B28" s="8"/>
      <c r="C28" s="9" t="str">
        <f>IFERROR(VLOOKUP($A28,ModelTable,2,FALSE),"")</f>
        <v/>
      </c>
      <c r="D28" t="str">
        <f>IFERROR(VLOOKUP($A28,ModelTable,4,FALSE),"")</f>
        <v/>
      </c>
      <c r="E28" s="9" t="n">
        <f>IFERROR($B28*VLOOKUP($A28,ModelTable,IF(InstallMethod="Trenched",3,16),FALSE),0)</f>
        <v>0</v>
      </c>
      <c r="F28" s="9" t="n">
        <f>IFERROR($B28*VLOOKUP($A28,ModelTable,2,FALSE),0)</f>
        <v>0</v>
      </c>
      <c r="G28" t="n">
        <f>IFERROR($B28*VLOOKUP($A28,ModelTable,9,FALSE),0)</f>
        <v>0</v>
      </c>
    </row>
    <row r="29" spans="1:7" x14ac:dyDescent="0.25">
      <c r="A29" s="8"/>
      <c r="B29" s="8"/>
      <c r="C29" s="9" t="str">
        <f>IFERROR(VLOOKUP($A29,ModelTable,2,FALSE),"")</f>
        <v/>
      </c>
      <c r="D29" t="str">
        <f>IFERROR(VLOOKUP($A29,ModelTable,4,FALSE),"")</f>
        <v/>
      </c>
      <c r="E29" s="9" t="n">
        <f>IFERROR($B29*VLOOKUP($A29,ModelTable,IF(InstallMethod="Trenched",3,16),FALSE),0)</f>
        <v>0</v>
      </c>
      <c r="F29" s="9" t="n">
        <f>IFERROR($B29*VLOOKUP($A29,ModelTable,2,FALSE),0)</f>
        <v>0</v>
      </c>
      <c r="G29" t="n">
        <f>IFERROR($B29*VLOOKUP($A29,ModelTable,9,FALSE),0)</f>
        <v>0</v>
      </c>
    </row>
    <row r="30" spans="1:7" x14ac:dyDescent="0.25">
      <c r="A30" s="8"/>
      <c r="B30" s="8"/>
      <c r="C30" s="9" t="str">
        <f>IFERROR(VLOOKUP($A30,ModelTable,2,FALSE),"")</f>
        <v/>
      </c>
      <c r="D30" t="str">
        <f>IFERROR(VLOOKUP($A30,ModelTable,4,FALSE),"")</f>
        <v/>
      </c>
      <c r="E30" s="9" t="n">
        <f>IFERROR($B30*VLOOKUP($A30,ModelTable,IF(InstallMethod="Trenched",3,16),FALSE),0)</f>
        <v>0</v>
      </c>
      <c r="F30" s="9" t="n">
        <f>IFERROR($B30*VLOOKUP($A30,ModelTable,2,FALSE),0)</f>
        <v>0</v>
      </c>
      <c r="G30" t="n">
        <f>IFERROR($B30*VLOOKUP($A30,ModelTable,9,FALSE),0)</f>
        <v>0</v>
      </c>
    </row>
    <row r="31" spans="1:7" x14ac:dyDescent="0.25">
      <c r="A31" s="8"/>
      <c r="B31" s="8"/>
      <c r="C31" s="9" t="str">
        <f>IFERROR(VLOOKUP($A31,ModelTable,2,FALSE),"")</f>
        <v/>
      </c>
      <c r="D31" t="str">
        <f>IFERROR(VLOOKUP($A31,ModelTable,4,FALSE),"")</f>
        <v/>
      </c>
      <c r="E31" s="9" t="n">
        <f>IFERROR($B31*VLOOKUP($A31,ModelTable,IF(InstallMethod="Trenched",3,16),FALSE),0)</f>
        <v>0</v>
      </c>
      <c r="F31" s="9" t="n">
        <f>IFERROR($B31*VLOOKUP($A31,ModelTable,2,FALSE),0)</f>
        <v>0</v>
      </c>
      <c r="G31" t="n">
        <f>IFERROR($B31*VLOOKUP($A31,ModelTable,9,FALSE),0)</f>
        <v>0</v>
      </c>
    </row>
    <row r="32" spans="1:7" x14ac:dyDescent="0.25">
      <c r="A32" s="8"/>
      <c r="B32" s="8"/>
      <c r="C32" s="9" t="str">
        <f>IFERROR(VLOOKUP($A32,ModelTable,2,FALSE),"")</f>
        <v/>
      </c>
      <c r="D32" t="str">
        <f>IFERROR(VLOOKUP($A32,ModelTable,4,FALSE),"")</f>
        <v/>
      </c>
      <c r="E32" s="9" t="n">
        <f>IFERROR($B32*VLOOKUP($A32,ModelTable,IF(InstallMethod="Trenched",3,16),FALSE),0)</f>
        <v>0</v>
      </c>
      <c r="F32" s="9" t="n">
        <f>IFERROR($B32*VLOOKUP($A32,ModelTable,2,FALSE),0)</f>
        <v>0</v>
      </c>
      <c r="G32" t="n">
        <f>IFERROR($B32*VLOOKUP($A32,ModelTable,9,FALSE),0)</f>
        <v>0</v>
      </c>
    </row>
    <row r="33" spans="1:7" x14ac:dyDescent="0.25">
      <c r="A33" s="8"/>
      <c r="B33" s="8"/>
      <c r="C33" s="9" t="str">
        <f>IFERROR(VLOOKUP($A33,ModelTable,2,FALSE),"")</f>
        <v/>
      </c>
      <c r="D33" t="str">
        <f>IFERROR(VLOOKUP($A33,ModelTable,4,FALSE),"")</f>
        <v/>
      </c>
      <c r="E33" s="9" t="n">
        <f>IFERROR($B33*VLOOKUP($A33,ModelTable,IF(InstallMethod="Trenched",3,16),FALSE),0)</f>
        <v>0</v>
      </c>
      <c r="F33" s="9" t="n">
        <f>IFERROR($B33*VLOOKUP($A33,ModelTable,2,FALSE),0)</f>
        <v>0</v>
      </c>
      <c r="G33" t="n">
        <f>IFERROR($B33*VLOOKUP($A33,ModelTable,9,FALSE),0)</f>
        <v>0</v>
      </c>
    </row>
    <row r="34" spans="1:7" x14ac:dyDescent="0.25">
      <c r="A34" s="8"/>
      <c r="B34" s="8"/>
      <c r="C34" s="9" t="str">
        <f>IFERROR(VLOOKUP($A34,ModelTable,2,FALSE),"")</f>
        <v/>
      </c>
      <c r="D34" t="str">
        <f>IFERROR(VLOOKUP($A34,ModelTable,4,FALSE),"")</f>
        <v/>
      </c>
      <c r="E34" s="9" t="n">
        <f>IFERROR($B34*VLOOKUP($A34,ModelTable,IF(InstallMethod="Trenched",3,16),FALSE),0)</f>
        <v>0</v>
      </c>
      <c r="F34" s="9" t="n">
        <f>IFERROR($B34*VLOOKUP($A34,ModelTable,2,FALSE),0)</f>
        <v>0</v>
      </c>
      <c r="G34" t="n">
        <f>IFERROR($B34*VLOOKUP($A34,ModelTable,9,FALSE),0)</f>
        <v>0</v>
      </c>
    </row>
    <row r="36" spans="1:2" x14ac:dyDescent="0.25">
      <c r="A36" s="4" t="s">
        <v>27</v>
      </c>
      <c r="B36" t="n">
        <f>SUM(B23:B34)</f>
        <v>11</v>
      </c>
    </row>
    <row r="37" spans="1:2" x14ac:dyDescent="0.25">
      <c r="A37" s="4" t="s">
        <v>28</v>
      </c>
      <c r="B37" t="n">
        <f>SUMPRODUCT((D23:D34="DCFC")*B23:B34)</f>
        <v>6</v>
      </c>
    </row>
    <row r="38" spans="1:2" x14ac:dyDescent="0.25">
      <c r="A38" s="4" t="s">
        <v>29</v>
      </c>
      <c r="B38" t="n">
        <f>SUMPRODUCT((D23:D34="L2")*B23:B34)</f>
        <v>5</v>
      </c>
    </row>
    <row r="39" spans="1:2" x14ac:dyDescent="0.25">
      <c r="A39" s="4" t="s">
        <v>30</v>
      </c>
      <c r="B39" t="n">
        <f>SUM(G23:G34)</f>
        <v>11</v>
      </c>
    </row>
    <row r="41" spans="1:1" x14ac:dyDescent="0.25">
      <c r="A41" s="3" t="s">
        <v>31</v>
      </c>
    </row>
    <row r="42" spans="1:2" x14ac:dyDescent="0.25">
      <c r="A42" s="4" t="s">
        <v>32</v>
      </c>
      <c r="B42" s="5">
        <v>100</v>
      </c>
    </row>
    <row r="43" spans="1:2" x14ac:dyDescent="0.25">
      <c r="A43" s="4" t="s">
        <v>33</v>
      </c>
      <c r="B43" s="5">
        <v>100</v>
      </c>
    </row>
    <row r="44" spans="1:2" x14ac:dyDescent="0.25">
      <c r="A44" s="4" t="s">
        <v>34</v>
      </c>
      <c r="B44" s="5">
        <v>15</v>
      </c>
    </row>
    <row r="45" spans="1:2" x14ac:dyDescent="0.25">
      <c r="A45" s="4" t="s">
        <v>35</v>
      </c>
      <c r="B45" s="5" t="s">
        <v>36</v>
      </c>
    </row>
    <row r="46" spans="1:3" x14ac:dyDescent="0.25">
      <c r="A46" s="4" t="s">
        <v>37</v>
      </c>
      <c r="B46" s="5" t="s">
        <v>38</v>
      </c>
      <c r="C46" s="10" t="s">
        <v>39</v>
      </c>
    </row>
    <row r="47" spans="1:2" x14ac:dyDescent="0.25">
      <c r="A47" s="4" t="s">
        <v>40</v>
      </c>
      <c r="B47" s="5" t="n">
        <f>IF(NDcfc&gt;0,RunFtDcfc+StepFt*(NDcfc-1),0)+IF(NumL2&gt;0,RunFtL2+StepFt*(NumL2-1),0)</f>
        <v>335</v>
      </c>
    </row>
    <row r="48" spans="1:2" x14ac:dyDescent="0.25">
      <c r="A48" s="4" t="s">
        <v>41</v>
      </c>
      <c r="B48" s="5" t="n">
        <f>IF(InstallMethod="Surface EMT",0,IF(InstallMethod="Hybrid",SUMPRODUCT(($D$65:$D$67&gt;0)*$F$65:$F$67),RouteFt))</f>
        <v>335</v>
      </c>
    </row>
    <row r="49" spans="1:2" x14ac:dyDescent="0.25">
      <c r="A49" s="4" t="s">
        <v>42</v>
      </c>
      <c r="B49" s="5" t="n">
        <f>IF(NTotal&lt;=0,0,ROUNDUP((8+2.5*NDcfc+1*(SUMPRODUCT(($D$23:$D$34="L2")*$G$23:$G$34)-NumL2)+0.25*(2*NumL2-SUMPRODUCT(($D$23:$D$34="L2")*$G$23:$G$34))+TrenchFt/40)*VLOOKUP(Terrain,TerrainTable,3,FALSE)+IF(InstallMethod="Trenched",0,RouteFt/EmtFtPerDay),0))</f>
        <v>33</v>
      </c>
    </row>
    <row r="50" spans="1:1" x14ac:dyDescent="0.25">
      <c r="A50" s="3" t="s">
        <v>43</v>
      </c>
    </row>
    <row r="51" spans="1:10" x14ac:dyDescent="0.25">
      <c r="A51" s="7" t="s">
        <v>44</v>
      </c>
      <c r="B51" s="7" t="s">
        <v>45</v>
      </c>
      <c r="C51" s="7" t="s">
        <v>46</v>
      </c>
      <c r="D51" s="7" t="s">
        <v>47</v>
      </c>
      <c r="E51" s="7" t="s">
        <v>48</v>
      </c>
      <c r="F51" s="7" t="s">
        <v>49</v>
      </c>
      <c r="G51" s="7" t="s">
        <v>50</v>
      </c>
      <c r="H51" s="7" t="s">
        <v>51</v>
      </c>
      <c r="I51" s="7" t="s">
        <v>52</v>
      </c>
      <c r="J51" s="7" t="s">
        <v>53</v>
      </c>
    </row>
    <row r="53" spans="1:10" x14ac:dyDescent="0.25">
      <c r="A53" t="str">
        <f>IF($A$23&lt;&gt;"",$A$23,"")</f>
        <v>DCFC 200kW</v>
      </c>
      <c r="B53" s="5" t="str">
        <f>IFERROR(VLOOKUP($A$23,ModelTable,14,FALSE),"")</f>
        <v>400 kcmil</v>
      </c>
      <c r="C53" s="5" t="str">
        <f>IFERROR(VLOOKUP($A$23,ModelTable,15,FALSE),"Cu")</f>
        <v>Cu</v>
      </c>
      <c r="D53" s="5" t="n">
        <f>IFERROR($B$23*VLOOKUP($A$23,ModelTable,12,FALSE),0)</f>
        <v>6</v>
      </c>
      <c r="E53" t="n">
        <f>IFERROR(VLOOKUP($A$23,ModelTable,13,FALSE),0)</f>
        <v>3</v>
      </c>
      <c r="F53" s="10" t="str">
        <f>IF($A$23&lt;&gt;"","→ Takeoff","")</f>
        <v>→ Takeoff</v>
      </c>
      <c r="H53" s="9" t="n">
        <f>SUMPRODUCT((Takeoff!$S$5:$S$28=1)*Takeoff!$J$5:$J$28)</f>
        <v>26251.60725</v>
      </c>
      <c r="I53" s="5"/>
      <c r="J53" t="n">
        <f>IF($A$23="","",IF(ISNUMBER($I$53),$I$53,IFERROR(VLOOKUP($A$23,ModelTable,6,FALSE),"")))</f>
        <v>350</v>
      </c>
    </row>
    <row r="54" spans="1:10" x14ac:dyDescent="0.25">
      <c r="A54" t="str">
        <f>IF($A$24&lt;&gt;"",$A$24,"")</f>
        <v>L2 Single 40A</v>
      </c>
      <c r="B54" s="5" t="str">
        <f>IFERROR(VLOOKUP($A$24,ModelTable,14,FALSE),"")</f>
        <v>6 AWG</v>
      </c>
      <c r="C54" s="5" t="str">
        <f>IFERROR(VLOOKUP($A$24,ModelTable,15,FALSE),"Cu")</f>
        <v>Cu</v>
      </c>
      <c r="D54" s="5" t="n">
        <f>IFERROR($B$24*VLOOKUP($A$24,ModelTable,12,FALSE),0)</f>
        <v>5</v>
      </c>
      <c r="E54" t="n">
        <f>IFERROR(VLOOKUP($A$24,ModelTable,13,FALSE),0)</f>
        <v>2</v>
      </c>
      <c r="F54" s="10" t="str">
        <f>IF($A$24&lt;&gt;"","→ Takeoff","")</f>
        <v>→ Takeoff</v>
      </c>
      <c r="H54" s="9" t="n">
        <f>SUMPRODUCT((Takeoff!$S$5:$S$28=2)*Takeoff!$J$5:$J$28)</f>
        <v>1132.352</v>
      </c>
      <c r="I54" s="5"/>
      <c r="J54" t="n">
        <f>IF($A$24="","",IF(ISNUMBER($I$54),$I$54,IFERROR(VLOOKUP($A$24,ModelTable,6,FALSE),"")))</f>
        <v>50</v>
      </c>
    </row>
    <row r="55" spans="1:10" x14ac:dyDescent="0.25">
      <c r="A55" t="str">
        <f>IF($A$25&lt;&gt;"",$A$25,"")</f>
        <v/>
      </c>
      <c r="B55" s="5" t="str">
        <f>IFERROR(VLOOKUP($A$25,ModelTable,14,FALSE),"")</f>
        <v/>
      </c>
      <c r="C55" s="5" t="str">
        <f>IFERROR(VLOOKUP($A$25,ModelTable,15,FALSE),"Cu")</f>
        <v>Cu</v>
      </c>
      <c r="D55" s="5" t="n">
        <f>IFERROR($B$25*VLOOKUP($A$25,ModelTable,12,FALSE),0)</f>
        <v>0</v>
      </c>
      <c r="E55" t="n">
        <f>IFERROR(VLOOKUP($A$25,ModelTable,13,FALSE),0)</f>
        <v>0</v>
      </c>
      <c r="F55" s="10" t="str">
        <f>IF($A$25&lt;&gt;"","→ Takeoff","")</f>
        <v/>
      </c>
      <c r="H55" s="9" t="n">
        <f>SUMPRODUCT((Takeoff!$S$5:$S$28=3)*Takeoff!$J$5:$J$28)</f>
        <v>0</v>
      </c>
      <c r="I55" s="5"/>
      <c r="J55" t="str">
        <f>IF($A$25="","",IF(ISNUMBER($I$55),$I$55,IFERROR(VLOOKUP($A$25,ModelTable,6,FALSE),"")))</f>
        <v/>
      </c>
    </row>
    <row r="56" spans="1:10" x14ac:dyDescent="0.25">
      <c r="A56" t="str">
        <f>IF($A$26&lt;&gt;"",$A$26,"")</f>
        <v/>
      </c>
      <c r="B56" s="5" t="str">
        <f>IFERROR(VLOOKUP($A$26,ModelTable,14,FALSE),"")</f>
        <v/>
      </c>
      <c r="C56" s="5" t="str">
        <f>IFERROR(VLOOKUP($A$26,ModelTable,15,FALSE),"Cu")</f>
        <v>Cu</v>
      </c>
      <c r="D56" s="5" t="n">
        <f>IFERROR($B$26*VLOOKUP($A$26,ModelTable,12,FALSE),0)</f>
        <v>0</v>
      </c>
      <c r="E56" t="n">
        <f>IFERROR(VLOOKUP($A$26,ModelTable,13,FALSE),0)</f>
        <v>0</v>
      </c>
      <c r="F56" s="10" t="str">
        <f>IF($A$26&lt;&gt;"","→ Takeoff","")</f>
        <v/>
      </c>
      <c r="H56" s="9" t="n">
        <f>SUMPRODUCT((Takeoff!$S$5:$S$28=4)*Takeoff!$J$5:$J$28)</f>
        <v>0</v>
      </c>
      <c r="I56" s="5"/>
      <c r="J56" t="str">
        <f>IF($A$26="","",IF(ISNUMBER($I$56),$I$56,IFERROR(VLOOKUP($A$26,ModelTable,6,FALSE),"")))</f>
        <v/>
      </c>
    </row>
    <row r="57" spans="1:10" x14ac:dyDescent="0.25">
      <c r="A57" t="str">
        <f>IF($A$27&lt;&gt;"",$A$27,"")</f>
        <v/>
      </c>
      <c r="B57" s="5" t="str">
        <f>IFERROR(VLOOKUP($A$27,ModelTable,14,FALSE),"")</f>
        <v/>
      </c>
      <c r="C57" s="5" t="str">
        <f>IFERROR(VLOOKUP($A$27,ModelTable,15,FALSE),"Cu")</f>
        <v>Cu</v>
      </c>
      <c r="D57" s="5" t="n">
        <f>IFERROR($B$27*VLOOKUP($A$27,ModelTable,12,FALSE),0)</f>
        <v>0</v>
      </c>
      <c r="E57" t="n">
        <f>IFERROR(VLOOKUP($A$27,ModelTable,13,FALSE),0)</f>
        <v>0</v>
      </c>
      <c r="F57" s="10" t="str">
        <f>IF($A$27&lt;&gt;"","→ Takeoff","")</f>
        <v/>
      </c>
      <c r="H57" s="9" t="n">
        <f>SUMPRODUCT((Takeoff!$S$5:$S$28=5)*Takeoff!$J$5:$J$28)</f>
        <v>0</v>
      </c>
      <c r="I57" s="5"/>
      <c r="J57" t="str">
        <f>IF($A$27="","",IF(ISNUMBER($I$57),$I$57,IFERROR(VLOOKUP($A$27,ModelTable,6,FALSE),"")))</f>
        <v/>
      </c>
    </row>
    <row r="58" spans="1:10" x14ac:dyDescent="0.25">
      <c r="A58" t="str">
        <f>IF($A$28&lt;&gt;"",$A$28,"")</f>
        <v/>
      </c>
      <c r="B58" s="5" t="str">
        <f>IFERROR(VLOOKUP($A$28,ModelTable,14,FALSE),"")</f>
        <v/>
      </c>
      <c r="C58" s="5" t="str">
        <f>IFERROR(VLOOKUP($A$28,ModelTable,15,FALSE),"Cu")</f>
        <v>Cu</v>
      </c>
      <c r="D58" s="5" t="n">
        <f>IFERROR($B$28*VLOOKUP($A$28,ModelTable,12,FALSE),0)</f>
        <v>0</v>
      </c>
      <c r="E58" t="n">
        <f>IFERROR(VLOOKUP($A$28,ModelTable,13,FALSE),0)</f>
        <v>0</v>
      </c>
      <c r="F58" s="10" t="str">
        <f>IF($A$28&lt;&gt;"","→ Takeoff","")</f>
        <v/>
      </c>
      <c r="H58" s="9" t="n">
        <f>SUMPRODUCT((Takeoff!$S$5:$S$28=6)*Takeoff!$J$5:$J$28)</f>
        <v>0</v>
      </c>
      <c r="I58" s="5"/>
      <c r="J58" t="str">
        <f>IF($A$28="","",IF(ISNUMBER($I$58),$I$58,IFERROR(VLOOKUP($A$28,ModelTable,6,FALSE),"")))</f>
        <v/>
      </c>
    </row>
    <row r="59" spans="1:10" x14ac:dyDescent="0.25">
      <c r="A59" t="str">
        <f>IF($A$29&lt;&gt;"",$A$29,"")</f>
        <v/>
      </c>
      <c r="B59" s="5" t="str">
        <f>IFERROR(VLOOKUP($A$29,ModelTable,14,FALSE),"")</f>
        <v/>
      </c>
      <c r="C59" s="5" t="str">
        <f>IFERROR(VLOOKUP($A$29,ModelTable,15,FALSE),"Cu")</f>
        <v>Cu</v>
      </c>
      <c r="D59" s="5" t="n">
        <f>IFERROR($B$29*VLOOKUP($A$29,ModelTable,12,FALSE),0)</f>
        <v>0</v>
      </c>
      <c r="E59" t="n">
        <f>IFERROR(VLOOKUP($A$29,ModelTable,13,FALSE),0)</f>
        <v>0</v>
      </c>
      <c r="F59" s="10" t="str">
        <f>IF($A$29&lt;&gt;"","→ Takeoff","")</f>
        <v/>
      </c>
      <c r="H59" s="9" t="n">
        <f>SUMPRODUCT((Takeoff!$S$5:$S$28=7)*Takeoff!$J$5:$J$28)</f>
        <v>0</v>
      </c>
      <c r="I59" s="5"/>
      <c r="J59" t="str">
        <f>IF($A$29="","",IF(ISNUMBER($I$59),$I$59,IFERROR(VLOOKUP($A$29,ModelTable,6,FALSE),"")))</f>
        <v/>
      </c>
    </row>
    <row r="60" spans="1:10" x14ac:dyDescent="0.25">
      <c r="A60" t="str">
        <f>IF($A$30&lt;&gt;"",$A$30,"")</f>
        <v/>
      </c>
      <c r="B60" s="5" t="str">
        <f>IFERROR(VLOOKUP($A$30,ModelTable,14,FALSE),"")</f>
        <v/>
      </c>
      <c r="C60" s="5" t="str">
        <f>IFERROR(VLOOKUP($A$30,ModelTable,15,FALSE),"Cu")</f>
        <v>Cu</v>
      </c>
      <c r="D60" s="5" t="n">
        <f>IFERROR($B$30*VLOOKUP($A$30,ModelTable,12,FALSE),0)</f>
        <v>0</v>
      </c>
      <c r="E60" t="n">
        <f>IFERROR(VLOOKUP($A$30,ModelTable,13,FALSE),0)</f>
        <v>0</v>
      </c>
      <c r="F60" s="10" t="str">
        <f>IF($A$30&lt;&gt;"","→ Takeoff","")</f>
        <v/>
      </c>
      <c r="H60" s="9" t="n">
        <f>SUMPRODUCT((Takeoff!$S$5:$S$28=8)*Takeoff!$J$5:$J$28)</f>
        <v>0</v>
      </c>
      <c r="I60" s="5"/>
      <c r="J60" t="str">
        <f>IF($A$30="","",IF(ISNUMBER($I$60),$I$60,IFERROR(VLOOKUP($A$30,ModelTable,6,FALSE),"")))</f>
        <v/>
      </c>
    </row>
    <row r="61" spans="1:10" x14ac:dyDescent="0.25">
      <c r="A61" t="str">
        <f>IF($A$31&lt;&gt;"",$A$31,"")</f>
        <v/>
      </c>
      <c r="B61" s="5" t="str">
        <f>IFERROR(VLOOKUP($A$31,ModelTable,14,FALSE),"")</f>
        <v/>
      </c>
      <c r="C61" s="5" t="str">
        <f>IFERROR(VLOOKUP($A$31,ModelTable,15,FALSE),"Cu")</f>
        <v>Cu</v>
      </c>
      <c r="D61" s="5" t="n">
        <f>IFERROR($B$31*VLOOKUP($A$31,ModelTable,12,FALSE),0)</f>
        <v>0</v>
      </c>
      <c r="E61" t="n">
        <f>IFERROR(VLOOKUP($A$31,ModelTable,13,FALSE),0)</f>
        <v>0</v>
      </c>
      <c r="F61" s="10" t="str">
        <f>IF($A$31&lt;&gt;"","→ Takeoff","")</f>
        <v/>
      </c>
      <c r="H61" s="9" t="n">
        <f>SUMPRODUCT((Takeoff!$S$5:$S$28=9)*Takeoff!$J$5:$J$28)</f>
        <v>0</v>
      </c>
      <c r="I61" s="5"/>
      <c r="J61" t="str">
        <f>IF($A$31="","",IF(ISNUMBER($I$61),$I$61,IFERROR(VLOOKUP($A$31,ModelTable,6,FALSE),"")))</f>
        <v/>
      </c>
    </row>
    <row r="62" spans="1:10" x14ac:dyDescent="0.25">
      <c r="A62" t="str">
        <f>IF($A$32&lt;&gt;"",$A$32,"")</f>
        <v/>
      </c>
      <c r="B62" s="5" t="str">
        <f>IFERROR(VLOOKUP($A$32,ModelTable,14,FALSE),"")</f>
        <v/>
      </c>
      <c r="C62" s="5" t="str">
        <f>IFERROR(VLOOKUP($A$32,ModelTable,15,FALSE),"Cu")</f>
        <v>Cu</v>
      </c>
      <c r="D62" s="5" t="n">
        <f>IFERROR($B$32*VLOOKUP($A$32,ModelTable,12,FALSE),0)</f>
        <v>0</v>
      </c>
      <c r="E62" t="n">
        <f>IFERROR(VLOOKUP($A$32,ModelTable,13,FALSE),0)</f>
        <v>0</v>
      </c>
      <c r="F62" s="10" t="str">
        <f>IF($A$32&lt;&gt;"","→ Takeoff","")</f>
        <v/>
      </c>
      <c r="H62" s="9" t="n">
        <f>SUMPRODUCT((Takeoff!$S$5:$S$28=10)*Takeoff!$J$5:$J$28)</f>
        <v>0</v>
      </c>
      <c r="I62" s="5"/>
      <c r="J62" t="str">
        <f>IF($A$32="","",IF(ISNUMBER($I$62),$I$62,IFERROR(VLOOKUP($A$32,ModelTable,6,FALSE),"")))</f>
        <v/>
      </c>
    </row>
    <row r="63" spans="1:10" x14ac:dyDescent="0.25">
      <c r="A63" t="str">
        <f>IF($A$33&lt;&gt;"",$A$33,"")</f>
        <v/>
      </c>
      <c r="B63" s="5" t="str">
        <f>IFERROR(VLOOKUP($A$33,ModelTable,14,FALSE),"")</f>
        <v/>
      </c>
      <c r="C63" s="5" t="str">
        <f>IFERROR(VLOOKUP($A$33,ModelTable,15,FALSE),"Cu")</f>
        <v>Cu</v>
      </c>
      <c r="D63" s="5" t="n">
        <f>IFERROR($B$33*VLOOKUP($A$33,ModelTable,12,FALSE),0)</f>
        <v>0</v>
      </c>
      <c r="E63" t="n">
        <f>IFERROR(VLOOKUP($A$33,ModelTable,13,FALSE),0)</f>
        <v>0</v>
      </c>
      <c r="F63" s="10" t="str">
        <f>IF($A$33&lt;&gt;"","→ Takeoff","")</f>
        <v/>
      </c>
      <c r="H63" s="9" t="n">
        <f>SUMPRODUCT((Takeoff!$S$5:$S$28=11)*Takeoff!$J$5:$J$28)</f>
        <v>0</v>
      </c>
      <c r="I63" s="5"/>
      <c r="J63" t="str">
        <f>IF($A$33="","",IF(ISNUMBER($I$63),$I$63,IFERROR(VLOOKUP($A$33,ModelTable,6,FALSE),"")))</f>
        <v/>
      </c>
    </row>
    <row r="64" spans="1:10" x14ac:dyDescent="0.25">
      <c r="A64" t="str">
        <f>IF($A$34&lt;&gt;"",$A$34,"")</f>
        <v/>
      </c>
      <c r="B64" s="5" t="str">
        <f>IFERROR(VLOOKUP($A$34,ModelTable,14,FALSE),"")</f>
        <v/>
      </c>
      <c r="C64" s="5" t="str">
        <f>IFERROR(VLOOKUP($A$34,ModelTable,15,FALSE),"Cu")</f>
        <v>Cu</v>
      </c>
      <c r="D64" s="5" t="n">
        <f>IFERROR($B$34*VLOOKUP($A$34,ModelTable,12,FALSE),0)</f>
        <v>0</v>
      </c>
      <c r="E64" t="n">
        <f>IFERROR(VLOOKUP($A$34,ModelTable,13,FALSE),0)</f>
        <v>0</v>
      </c>
      <c r="F64" s="10" t="str">
        <f>IF($A$34&lt;&gt;"","→ Takeoff","")</f>
        <v/>
      </c>
      <c r="H64" s="9" t="n">
        <f>SUMPRODUCT((Takeoff!$S$5:$S$28=12)*Takeoff!$J$5:$J$28)</f>
        <v>0</v>
      </c>
      <c r="I64" s="5"/>
      <c r="J64" t="str">
        <f>IF($A$34="","",IF(ISNUMBER($I$64),$I$64,IFERROR(VLOOKUP($A$34,ModelTable,6,FALSE),"")))</f>
        <v/>
      </c>
    </row>
    <row r="65" spans="1:8" x14ac:dyDescent="0.25">
      <c r="A65" t="s">
        <v>54</v>
      </c>
      <c r="B65" s="5" t="s">
        <v>55</v>
      </c>
      <c r="C65" s="5" t="s">
        <v>56</v>
      </c>
      <c r="D65" s="5" t="n">
        <f>IF(NDcfc&gt;0,MAX(1,ROUNDUP(Panel!$F$19*1.25/VLOOKUP($B$65,WireTable,IF($C$65="Cu",4,5),FALSE),0)),0)</f>
        <v>7</v>
      </c>
      <c r="E65">
        <v>4</v>
      </c>
      <c r="F65" s="5">
        <v>25</v>
      </c>
      <c r="G65" s="9" t="n">
        <f>IF(OR($B$65="",$D$65=0),0,IF($C$65="Cu",VLOOKUP($B$65,WireTable,2,FALSE),VLOOKUP($B$65,WireTable,3,FALSE)))</f>
        <v>3.44354</v>
      </c>
      <c r="H65" s="9" t="n">
        <f>$D$65*$E$65*$F$65*$G$65</f>
        <v>2410.478</v>
      </c>
    </row>
    <row r="66" spans="1:8" x14ac:dyDescent="0.25">
      <c r="A66" t="s">
        <v>57</v>
      </c>
      <c r="B66" s="5" t="s">
        <v>58</v>
      </c>
      <c r="C66" s="5" t="s">
        <v>56</v>
      </c>
      <c r="D66" s="5" t="n">
        <f>IF(TxKvaSuggested&gt;0,MAX(1,ROUNDUP(Panel!$F$49*1.25/VLOOKUP($B$66,WireTable,IF($C$66="Cu",4,5),FALSE),0)),0)</f>
        <v>1</v>
      </c>
      <c r="E66">
        <v>4</v>
      </c>
      <c r="F66" s="5">
        <v>15</v>
      </c>
      <c r="G66" s="9" t="n">
        <f>IF(OR($B$66="",$D$66=0),0,IF($C$66="Cu",VLOOKUP($B$66,WireTable,2,FALSE),VLOOKUP($B$66,WireTable,3,FALSE)))</f>
        <v>1.2278</v>
      </c>
      <c r="H66" s="9" t="n">
        <f>$D$66*$E$66*$F$66*$G$66</f>
        <v>73.668</v>
      </c>
    </row>
    <row r="67" spans="1:8" x14ac:dyDescent="0.25">
      <c r="A67" t="s">
        <v>59</v>
      </c>
      <c r="B67" s="5" t="s">
        <v>60</v>
      </c>
      <c r="C67" s="5" t="s">
        <v>56</v>
      </c>
      <c r="D67" s="5" t="n">
        <f>IF(NumL2&gt;0,MAX(1,ROUNDUP(IF(TxKvaSuggested&gt;0,TxKvaSuggested*1000/(208*SQRT(3)),Panel!$F$38)*1.25/VLOOKUP($B$67,WireTable,IF($C$67="Cu",4,5),FALSE),0)),0)</f>
        <v>2</v>
      </c>
      <c r="E67">
        <v>4</v>
      </c>
      <c r="F67" s="5">
        <v>15</v>
      </c>
      <c r="G67" s="9" t="n">
        <f>IF(OR($B$67="",$D$67=0),0,IF($C$67="Cu",VLOOKUP($B$67,WireTable,2,FALSE),VLOOKUP($B$67,WireTable,3,FALSE)))</f>
        <v>2.10412</v>
      </c>
      <c r="H67" s="9" t="n">
        <f>$D$67*$E$67*$F$67*$G$67</f>
        <v>252.49439999999998</v>
      </c>
    </row>
    <row r="68" spans="1:8" x14ac:dyDescent="0.25">
      <c r="A68" s="3" t="s">
        <v>61</v>
      </c>
      <c r="H68" s="11" t="n">
        <f>SUM(H53:H67)</f>
        <v>30120.59965</v>
      </c>
    </row>
    <row r="70" spans="1:1" x14ac:dyDescent="0.25">
      <c r="A70" s="3" t="s">
        <v>62</v>
      </c>
    </row>
    <row r="71" spans="1:4" x14ac:dyDescent="0.25">
      <c r="A71" s="7" t="s">
        <v>63</v>
      </c>
      <c r="B71" s="7" t="s">
        <v>64</v>
      </c>
      <c r="C71" s="7" t="s">
        <v>65</v>
      </c>
      <c r="D71" s="7" t="s">
        <v>66</v>
      </c>
    </row>
    <row r="72" spans="1:4" x14ac:dyDescent="0.25">
      <c r="A72" s="5" t="s">
        <v>67</v>
      </c>
      <c r="B72" s="5" t="n">
        <f>LaborDays</f>
        <v>33</v>
      </c>
      <c r="C72" s="12" t="n">
        <f>LaborDayRate</f>
        <v>2750</v>
      </c>
      <c r="D72" s="9" t="n">
        <f>$B$72*$C$72</f>
        <v>90750</v>
      </c>
    </row>
    <row r="73" spans="1:4" x14ac:dyDescent="0.25">
      <c r="A73" s="5"/>
      <c r="B73" s="5">
        <v>0</v>
      </c>
      <c r="C73" s="12">
        <v>0</v>
      </c>
      <c r="D73" s="9" t="n">
        <f>$B$73*$C$73</f>
        <v>0</v>
      </c>
    </row>
    <row r="74" spans="1:4" x14ac:dyDescent="0.25">
      <c r="A74" s="5"/>
      <c r="B74" s="5">
        <v>0</v>
      </c>
      <c r="C74" s="12">
        <v>0</v>
      </c>
      <c r="D74" s="9" t="n">
        <f>$B$74*$C$74</f>
        <v>0</v>
      </c>
    </row>
    <row r="75" spans="1:4" x14ac:dyDescent="0.25">
      <c r="A75" s="3" t="s">
        <v>68</v>
      </c>
      <c r="D75" s="11" t="n">
        <f>SUM(D72:D74)</f>
        <v>90750</v>
      </c>
    </row>
    <row r="77" spans="1:1" x14ac:dyDescent="0.25">
      <c r="A77" s="3" t="s">
        <v>69</v>
      </c>
    </row>
    <row r="78" spans="1:2" x14ac:dyDescent="0.25">
      <c r="A78" s="4" t="s">
        <v>70</v>
      </c>
      <c r="B78" s="5" t="s">
        <v>71</v>
      </c>
    </row>
    <row r="79" spans="1:2" x14ac:dyDescent="0.25">
      <c r="A79" s="4" t="s">
        <v>72</v>
      </c>
      <c r="B79" s="5" t="s">
        <v>71</v>
      </c>
    </row>
    <row r="80" spans="1:2" x14ac:dyDescent="0.25">
      <c r="A80" s="4" t="s">
        <v>73</v>
      </c>
      <c r="B80" s="5" t="s">
        <v>71</v>
      </c>
    </row>
    <row r="81" spans="1:2" x14ac:dyDescent="0.25">
      <c r="A81" s="4" t="s">
        <v>74</v>
      </c>
      <c r="B81" s="5" t="s">
        <v>71</v>
      </c>
    </row>
    <row r="82" spans="1:2" x14ac:dyDescent="0.25">
      <c r="A82" s="4" t="s">
        <v>75</v>
      </c>
      <c r="B82" s="5" t="s">
        <v>71</v>
      </c>
    </row>
    <row r="83" spans="1:2" x14ac:dyDescent="0.25">
      <c r="A83" s="4" t="s">
        <v>76</v>
      </c>
      <c r="B83" s="5" t="s">
        <v>71</v>
      </c>
    </row>
    <row r="85" spans="1:1" x14ac:dyDescent="0.25">
      <c r="A85" s="3" t="s">
        <v>77</v>
      </c>
    </row>
    <row r="86" spans="1:3" x14ac:dyDescent="0.25">
      <c r="A86" s="4" t="s">
        <v>78</v>
      </c>
      <c r="B86" s="5">
        <v>1</v>
      </c>
      <c r="C86" s="10" t="s">
        <v>79</v>
      </c>
    </row>
    <row r="87" spans="1:2" x14ac:dyDescent="0.25">
      <c r="A87" s="4" t="s">
        <v>80</v>
      </c>
      <c r="B87" s="12">
        <v>0</v>
      </c>
    </row>
    <row r="88" spans="1:2" x14ac:dyDescent="0.25">
      <c r="A88" s="4" t="s">
        <v>81</v>
      </c>
      <c r="B88" s="12">
        <v>39.99</v>
      </c>
    </row>
    <row r="89" spans="1:2" x14ac:dyDescent="0.25">
      <c r="A89" s="4" t="s">
        <v>82</v>
      </c>
      <c r="B89" s="5">
        <v>5</v>
      </c>
    </row>
    <row r="90" spans="1:2" x14ac:dyDescent="0.25">
      <c r="A90" s="4" t="s">
        <v>83</v>
      </c>
      <c r="B90" s="12">
        <v>0</v>
      </c>
    </row>
    <row r="92" spans="1:2" x14ac:dyDescent="0.25">
      <c r="A92" s="3" t="s">
        <v>84</v>
      </c>
      <c r="B92" t="str">
        <f>AdaVan&amp;" van + "&amp;AdaStd&amp;" standard + "&amp;AdaAmb&amp;" ambulatory"</f>
        <v>2 van + 2 standard + 0 ambulatory</v>
      </c>
    </row>
    <row r="93" spans="1:2" x14ac:dyDescent="0.25">
      <c r="A93" s="3" t="s">
        <v>85</v>
      </c>
      <c r="B93" t="str">
        <f>IF(NDcfc&gt;0,SgSuggested&amp;"A switchgear @ 480V","208V service")&amp;IF(TxKvaSuggested&gt;0," + "&amp;TxKvaSuggested&amp;" kVA step-down TX","")</f>
        <v>2500A switchgear @ 480V + 75 kVA step-down TX</v>
      </c>
    </row>
    <row r="94" spans="1:2" x14ac:dyDescent="0.25">
      <c r="A94" s="13" t="s">
        <v>86</v>
      </c>
      <c r="B94" s="14" t="n">
        <f>TotalCost</f>
        <v>862996.6162318876</v>
      </c>
    </row>
    <row r="95" spans="1:2" x14ac:dyDescent="0.25">
      <c r="A95" s="3" t="s">
        <v>87</v>
      </c>
      <c r="B95" s="11" t="n">
        <f>CustomerTotal</f>
        <v>862996.6162318876</v>
      </c>
    </row>
  </sheetData>
  <dataValidations count="6">
    <dataValidation type="list" allowBlank="1" sqref="A23:A34">
      <formula1>RateCard!$A$4:$A$38</formula1>
    </dataValidation>
    <dataValidation type="list" sqref="B45">
      <formula1>"flat,sloped,hilly,rocky"</formula1>
    </dataValidation>
    <dataValidation type="list" sqref="B46">
      <formula1>"Trenched,Surface EMT,Hybrid"</formula1>
    </dataValidation>
    <dataValidation type="list" allowBlank="1" sqref="B53:B67">
      <formula1>RateCard!$A$137:$A$161</formula1>
    </dataValidation>
    <dataValidation type="list" sqref="B78:B83">
      <formula1>"Yes,No"</formula1>
    </dataValidation>
    <dataValidation type="list" allowBlank="1" sqref="C53:C67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22" customWidth="1"/>
    <col min="4" max="4" width="12" customWidth="1"/>
    <col min="6" max="6" width="7" customWidth="1"/>
    <col min="8" max="8" width="11" customWidth="1"/>
    <col min="10" max="10" width="12" customWidth="1"/>
    <col min="11" max="11" width="10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</cols>
  <sheetData>
    <row r="1" spans="1:1" x14ac:dyDescent="0.25">
      <c r="A1" s="15" t="s">
        <v>88</v>
      </c>
    </row>
    <row r="2" spans="1:17" x14ac:dyDescent="0.25">
      <c r="A2" s="2" t="s">
        <v>89</v>
      </c>
      <c r="Q2" s="16" t="s">
        <v>90</v>
      </c>
    </row>
    <row r="3" spans="17:18" x14ac:dyDescent="0.25">
      <c r="Q3" t="n">
        <f>IF(Intake!$A$23&lt;&gt;"",Intake!$B$23,0)</f>
        <v>6</v>
      </c>
      <c r="R3">
        <v>0</v>
      </c>
    </row>
    <row r="4" spans="1:18" x14ac:dyDescent="0.25">
      <c r="A4" s="7" t="s">
        <v>91</v>
      </c>
      <c r="B4" s="7" t="s">
        <v>92</v>
      </c>
      <c r="C4" s="7" t="s">
        <v>21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  <c r="I4" s="7" t="s">
        <v>50</v>
      </c>
      <c r="J4" s="7" t="s">
        <v>51</v>
      </c>
      <c r="K4" s="7" t="s">
        <v>93</v>
      </c>
      <c r="Q4" t="n">
        <f>IF(Intake!$A$24&lt;&gt;"",Intake!$B$24,0)</f>
        <v>5</v>
      </c>
      <c r="R4" t="n">
        <f>R3+Q3</f>
        <v>6</v>
      </c>
    </row>
    <row r="5" spans="1:20" x14ac:dyDescent="0.25">
      <c r="A5">
        <v>1</v>
      </c>
      <c r="B5" t="str">
        <f>IF(S5&gt;0,INDEX(Intake!$A$23:$A$34,S5)&amp;" #"&amp;T5,"")</f>
        <v>DCFC 200kW #1</v>
      </c>
      <c r="C5" t="str">
        <f>IF(S5&gt;0,INDEX(Intake!$D$23:$D$34,S5),"")</f>
        <v>DCFC</v>
      </c>
      <c r="D5" s="5" t="str">
        <f>IF(S5&gt;0,INDEX(Intake!$B$53:$B$64,S5),"")</f>
        <v>400 kcmil</v>
      </c>
      <c r="E5" s="5" t="str">
        <f>IF(S5&gt;0,INDEX(Intake!$C$53:$C$64,S5),"")</f>
        <v>Cu</v>
      </c>
      <c r="F5" s="5" t="n">
        <f>IF(S5&gt;0,IFERROR(INDEX(Intake!$D$53:$D$64,S5)/INDEX(Intake!$B$23:$B$34,S5),1),0)</f>
        <v>1</v>
      </c>
      <c r="G5" t="n">
        <f>IF(S5&gt;0,INDEX(Intake!$E$53:$E$64,S5),0)</f>
        <v>3</v>
      </c>
      <c r="H5" s="5" t="n">
        <f>IF(S5=0,0,IF($C5="DCFC",RunFtDcfc,RunFtL2)+StepFt*(SUMPRODUCT(($C$5:$C5=$C5)*1)-1))</f>
        <v>100</v>
      </c>
      <c r="I5" s="9" t="n">
        <f>IF(OR($D5="",$F5=0),0,IF($E5="Cu",VLOOKUP($D5,WireTable,2,FALSE),VLOOKUP($D5,WireTable,3,FALSE)))</f>
        <v>10.60671</v>
      </c>
      <c r="J5" s="9" t="n">
        <f>$F5*$G5*$H5*$I5</f>
        <v>3182.013</v>
      </c>
      <c r="K5" t="n">
        <f>IF(S5&gt;0,INDEX(Intake!$J$53:$J$64,S5),"")</f>
        <v>350</v>
      </c>
      <c r="Q5" t="n">
        <f>IF(Intake!$A$25&lt;&gt;"",Intake!$B$25,0)</f>
        <v>0</v>
      </c>
      <c r="R5" t="n">
        <f>R4+Q4</f>
        <v>11</v>
      </c>
      <c r="S5" t="n">
        <f>IF(A5&lt;=$Q$15,MATCH(A5-0.5,$R$3:$R$14,1),0)</f>
        <v>1</v>
      </c>
      <c r="T5" t="n">
        <f>IF(S5&gt;0,A5-INDEX($R$3:$R$14,S5),0)</f>
        <v>1</v>
      </c>
    </row>
    <row r="6" spans="1:20" x14ac:dyDescent="0.25">
      <c r="A6">
        <v>2</v>
      </c>
      <c r="B6" t="str">
        <f>IF(S6&gt;0,INDEX(Intake!$A$23:$A$34,S6)&amp;" #"&amp;T6,"")</f>
        <v>DCFC 200kW #2</v>
      </c>
      <c r="C6" t="str">
        <f>IF(S6&gt;0,INDEX(Intake!$D$23:$D$34,S6),"")</f>
        <v>DCFC</v>
      </c>
      <c r="D6" s="5" t="str">
        <f>IF(S6&gt;0,INDEX(Intake!$B$53:$B$64,S6),"")</f>
        <v>400 kcmil</v>
      </c>
      <c r="E6" s="5" t="str">
        <f>IF(S6&gt;0,INDEX(Intake!$C$53:$C$64,S6),"")</f>
        <v>Cu</v>
      </c>
      <c r="F6" s="5" t="n">
        <f>IF(S6&gt;0,IFERROR(INDEX(Intake!$D$53:$D$64,S6)/INDEX(Intake!$B$23:$B$34,S6),1),0)</f>
        <v>1</v>
      </c>
      <c r="G6" t="n">
        <f>IF(S6&gt;0,INDEX(Intake!$E$53:$E$64,S6),0)</f>
        <v>3</v>
      </c>
      <c r="H6" s="5" t="n">
        <f>IF(S6=0,0,IF($C6="DCFC",RunFtDcfc,RunFtL2)+StepFt*(SUMPRODUCT(($C$5:$C6=$C6)*1)-1))</f>
        <v>115</v>
      </c>
      <c r="I6" s="9" t="n">
        <f>IF(OR($D6="",$F6=0),0,IF($E6="Cu",VLOOKUP($D6,WireTable,2,FALSE),VLOOKUP($D6,WireTable,3,FALSE)))</f>
        <v>10.60671</v>
      </c>
      <c r="J6" s="9" t="n">
        <f>$F6*$G6*$H6*$I6</f>
        <v>3659.31495</v>
      </c>
      <c r="K6" t="n">
        <f>IF(S6&gt;0,INDEX(Intake!$J$53:$J$64,S6),"")</f>
        <v>350</v>
      </c>
      <c r="Q6" t="n">
        <f>IF(Intake!$A$26&lt;&gt;"",Intake!$B$26,0)</f>
        <v>0</v>
      </c>
      <c r="R6" t="n">
        <f>R5+Q5</f>
        <v>11</v>
      </c>
      <c r="S6" t="n">
        <f>IF(A6&lt;=$Q$15,MATCH(A6-0.5,$R$3:$R$14,1),0)</f>
        <v>1</v>
      </c>
      <c r="T6" t="n">
        <f>IF(S6&gt;0,A6-INDEX($R$3:$R$14,S6),0)</f>
        <v>2</v>
      </c>
    </row>
    <row r="7" spans="1:20" x14ac:dyDescent="0.25">
      <c r="A7">
        <v>3</v>
      </c>
      <c r="B7" t="str">
        <f>IF(S7&gt;0,INDEX(Intake!$A$23:$A$34,S7)&amp;" #"&amp;T7,"")</f>
        <v>DCFC 200kW #3</v>
      </c>
      <c r="C7" t="str">
        <f>IF(S7&gt;0,INDEX(Intake!$D$23:$D$34,S7),"")</f>
        <v>DCFC</v>
      </c>
      <c r="D7" s="5" t="str">
        <f>IF(S7&gt;0,INDEX(Intake!$B$53:$B$64,S7),"")</f>
        <v>400 kcmil</v>
      </c>
      <c r="E7" s="5" t="str">
        <f>IF(S7&gt;0,INDEX(Intake!$C$53:$C$64,S7),"")</f>
        <v>Cu</v>
      </c>
      <c r="F7" s="5" t="n">
        <f>IF(S7&gt;0,IFERROR(INDEX(Intake!$D$53:$D$64,S7)/INDEX(Intake!$B$23:$B$34,S7),1),0)</f>
        <v>1</v>
      </c>
      <c r="G7" t="n">
        <f>IF(S7&gt;0,INDEX(Intake!$E$53:$E$64,S7),0)</f>
        <v>3</v>
      </c>
      <c r="H7" s="5" t="n">
        <f>IF(S7=0,0,IF($C7="DCFC",RunFtDcfc,RunFtL2)+StepFt*(SUMPRODUCT(($C$5:$C7=$C7)*1)-1))</f>
        <v>130</v>
      </c>
      <c r="I7" s="9" t="n">
        <f>IF(OR($D7="",$F7=0),0,IF($E7="Cu",VLOOKUP($D7,WireTable,2,FALSE),VLOOKUP($D7,WireTable,3,FALSE)))</f>
        <v>10.60671</v>
      </c>
      <c r="J7" s="9" t="n">
        <f>$F7*$G7*$H7*$I7</f>
        <v>4136.6169</v>
      </c>
      <c r="K7" t="n">
        <f>IF(S7&gt;0,INDEX(Intake!$J$53:$J$64,S7),"")</f>
        <v>350</v>
      </c>
      <c r="Q7" t="n">
        <f>IF(Intake!$A$27&lt;&gt;"",Intake!$B$27,0)</f>
        <v>0</v>
      </c>
      <c r="R7" t="n">
        <f>R6+Q6</f>
        <v>11</v>
      </c>
      <c r="S7" t="n">
        <f>IF(A7&lt;=$Q$15,MATCH(A7-0.5,$R$3:$R$14,1),0)</f>
        <v>1</v>
      </c>
      <c r="T7" t="n">
        <f>IF(S7&gt;0,A7-INDEX($R$3:$R$14,S7),0)</f>
        <v>3</v>
      </c>
    </row>
    <row r="8" spans="1:20" x14ac:dyDescent="0.25">
      <c r="A8">
        <v>4</v>
      </c>
      <c r="B8" t="str">
        <f>IF(S8&gt;0,INDEX(Intake!$A$23:$A$34,S8)&amp;" #"&amp;T8,"")</f>
        <v>DCFC 200kW #4</v>
      </c>
      <c r="C8" t="str">
        <f>IF(S8&gt;0,INDEX(Intake!$D$23:$D$34,S8),"")</f>
        <v>DCFC</v>
      </c>
      <c r="D8" s="5" t="str">
        <f>IF(S8&gt;0,INDEX(Intake!$B$53:$B$64,S8),"")</f>
        <v>400 kcmil</v>
      </c>
      <c r="E8" s="5" t="str">
        <f>IF(S8&gt;0,INDEX(Intake!$C$53:$C$64,S8),"")</f>
        <v>Cu</v>
      </c>
      <c r="F8" s="5" t="n">
        <f>IF(S8&gt;0,IFERROR(INDEX(Intake!$D$53:$D$64,S8)/INDEX(Intake!$B$23:$B$34,S8),1),0)</f>
        <v>1</v>
      </c>
      <c r="G8" t="n">
        <f>IF(S8&gt;0,INDEX(Intake!$E$53:$E$64,S8),0)</f>
        <v>3</v>
      </c>
      <c r="H8" s="5" t="n">
        <f>IF(S8=0,0,IF($C8="DCFC",RunFtDcfc,RunFtL2)+StepFt*(SUMPRODUCT(($C$5:$C8=$C8)*1)-1))</f>
        <v>145</v>
      </c>
      <c r="I8" s="9" t="n">
        <f>IF(OR($D8="",$F8=0),0,IF($E8="Cu",VLOOKUP($D8,WireTable,2,FALSE),VLOOKUP($D8,WireTable,3,FALSE)))</f>
        <v>10.60671</v>
      </c>
      <c r="J8" s="9" t="n">
        <f>$F8*$G8*$H8*$I8</f>
        <v>4613.91885</v>
      </c>
      <c r="K8" t="n">
        <f>IF(S8&gt;0,INDEX(Intake!$J$53:$J$64,S8),"")</f>
        <v>350</v>
      </c>
      <c r="Q8" t="n">
        <f>IF(Intake!$A$28&lt;&gt;"",Intake!$B$28,0)</f>
        <v>0</v>
      </c>
      <c r="R8" t="n">
        <f>R7+Q7</f>
        <v>11</v>
      </c>
      <c r="S8" t="n">
        <f>IF(A8&lt;=$Q$15,MATCH(A8-0.5,$R$3:$R$14,1),0)</f>
        <v>1</v>
      </c>
      <c r="T8" t="n">
        <f>IF(S8&gt;0,A8-INDEX($R$3:$R$14,S8),0)</f>
        <v>4</v>
      </c>
    </row>
    <row r="9" spans="1:20" x14ac:dyDescent="0.25">
      <c r="A9">
        <v>5</v>
      </c>
      <c r="B9" t="str">
        <f>IF(S9&gt;0,INDEX(Intake!$A$23:$A$34,S9)&amp;" #"&amp;T9,"")</f>
        <v>DCFC 200kW #5</v>
      </c>
      <c r="C9" t="str">
        <f>IF(S9&gt;0,INDEX(Intake!$D$23:$D$34,S9),"")</f>
        <v>DCFC</v>
      </c>
      <c r="D9" s="5" t="str">
        <f>IF(S9&gt;0,INDEX(Intake!$B$53:$B$64,S9),"")</f>
        <v>400 kcmil</v>
      </c>
      <c r="E9" s="5" t="str">
        <f>IF(S9&gt;0,INDEX(Intake!$C$53:$C$64,S9),"")</f>
        <v>Cu</v>
      </c>
      <c r="F9" s="5" t="n">
        <f>IF(S9&gt;0,IFERROR(INDEX(Intake!$D$53:$D$64,S9)/INDEX(Intake!$B$23:$B$34,S9),1),0)</f>
        <v>1</v>
      </c>
      <c r="G9" t="n">
        <f>IF(S9&gt;0,INDEX(Intake!$E$53:$E$64,S9),0)</f>
        <v>3</v>
      </c>
      <c r="H9" s="5" t="n">
        <f>IF(S9=0,0,IF($C9="DCFC",RunFtDcfc,RunFtL2)+StepFt*(SUMPRODUCT(($C$5:$C9=$C9)*1)-1))</f>
        <v>160</v>
      </c>
      <c r="I9" s="9" t="n">
        <f>IF(OR($D9="",$F9=0),0,IF($E9="Cu",VLOOKUP($D9,WireTable,2,FALSE),VLOOKUP($D9,WireTable,3,FALSE)))</f>
        <v>10.60671</v>
      </c>
      <c r="J9" s="9" t="n">
        <f>$F9*$G9*$H9*$I9</f>
        <v>5091.2208</v>
      </c>
      <c r="K9" t="n">
        <f>IF(S9&gt;0,INDEX(Intake!$J$53:$J$64,S9),"")</f>
        <v>350</v>
      </c>
      <c r="Q9" t="n">
        <f>IF(Intake!$A$29&lt;&gt;"",Intake!$B$29,0)</f>
        <v>0</v>
      </c>
      <c r="R9" t="n">
        <f>R8+Q8</f>
        <v>11</v>
      </c>
      <c r="S9" t="n">
        <f>IF(A9&lt;=$Q$15,MATCH(A9-0.5,$R$3:$R$14,1),0)</f>
        <v>1</v>
      </c>
      <c r="T9" t="n">
        <f>IF(S9&gt;0,A9-INDEX($R$3:$R$14,S9),0)</f>
        <v>5</v>
      </c>
    </row>
    <row r="10" spans="1:20" x14ac:dyDescent="0.25">
      <c r="A10">
        <v>6</v>
      </c>
      <c r="B10" t="str">
        <f>IF(S10&gt;0,INDEX(Intake!$A$23:$A$34,S10)&amp;" #"&amp;T10,"")</f>
        <v>DCFC 200kW #6</v>
      </c>
      <c r="C10" t="str">
        <f>IF(S10&gt;0,INDEX(Intake!$D$23:$D$34,S10),"")</f>
        <v>DCFC</v>
      </c>
      <c r="D10" s="5" t="str">
        <f>IF(S10&gt;0,INDEX(Intake!$B$53:$B$64,S10),"")</f>
        <v>400 kcmil</v>
      </c>
      <c r="E10" s="5" t="str">
        <f>IF(S10&gt;0,INDEX(Intake!$C$53:$C$64,S10),"")</f>
        <v>Cu</v>
      </c>
      <c r="F10" s="5" t="n">
        <f>IF(S10&gt;0,IFERROR(INDEX(Intake!$D$53:$D$64,S10)/INDEX(Intake!$B$23:$B$34,S10),1),0)</f>
        <v>1</v>
      </c>
      <c r="G10" t="n">
        <f>IF(S10&gt;0,INDEX(Intake!$E$53:$E$64,S10),0)</f>
        <v>3</v>
      </c>
      <c r="H10" s="5" t="n">
        <f>IF(S10=0,0,IF($C10="DCFC",RunFtDcfc,RunFtL2)+StepFt*(SUMPRODUCT(($C$5:$C10=$C10)*1)-1))</f>
        <v>175</v>
      </c>
      <c r="I10" s="9" t="n">
        <f>IF(OR($D10="",$F10=0),0,IF($E10="Cu",VLOOKUP($D10,WireTable,2,FALSE),VLOOKUP($D10,WireTable,3,FALSE)))</f>
        <v>10.60671</v>
      </c>
      <c r="J10" s="9" t="n">
        <f>$F10*$G10*$H10*$I10</f>
        <v>5568.52275</v>
      </c>
      <c r="K10" t="n">
        <f>IF(S10&gt;0,INDEX(Intake!$J$53:$J$64,S10),"")</f>
        <v>350</v>
      </c>
      <c r="Q10" t="n">
        <f>IF(Intake!$A$30&lt;&gt;"",Intake!$B$30,0)</f>
        <v>0</v>
      </c>
      <c r="R10" t="n">
        <f>R9+Q9</f>
        <v>11</v>
      </c>
      <c r="S10" t="n">
        <f>IF(A10&lt;=$Q$15,MATCH(A10-0.5,$R$3:$R$14,1),0)</f>
        <v>1</v>
      </c>
      <c r="T10" t="n">
        <f>IF(S10&gt;0,A10-INDEX($R$3:$R$14,S10),0)</f>
        <v>6</v>
      </c>
    </row>
    <row r="11" spans="1:20" x14ac:dyDescent="0.25">
      <c r="A11">
        <v>7</v>
      </c>
      <c r="B11" t="str">
        <f>IF(S11&gt;0,INDEX(Intake!$A$23:$A$34,S11)&amp;" #"&amp;T11,"")</f>
        <v>L2 Single 40A #1</v>
      </c>
      <c r="C11" t="str">
        <f>IF(S11&gt;0,INDEX(Intake!$D$23:$D$34,S11),"")</f>
        <v>L2</v>
      </c>
      <c r="D11" s="5" t="str">
        <f>IF(S11&gt;0,INDEX(Intake!$B$53:$B$64,S11),"")</f>
        <v>6 AWG</v>
      </c>
      <c r="E11" s="5" t="str">
        <f>IF(S11&gt;0,INDEX(Intake!$C$53:$C$64,S11),"")</f>
        <v>Cu</v>
      </c>
      <c r="F11" s="5" t="n">
        <f>IF(S11&gt;0,IFERROR(INDEX(Intake!$D$53:$D$64,S11)/INDEX(Intake!$B$23:$B$34,S11),1),0)</f>
        <v>1</v>
      </c>
      <c r="G11" t="n">
        <f>IF(S11&gt;0,INDEX(Intake!$E$53:$E$64,S11),0)</f>
        <v>2</v>
      </c>
      <c r="H11" s="5" t="n">
        <f>IF(S11=0,0,IF($C11="DCFC",RunFtDcfc,RunFtL2)+StepFt*(SUMPRODUCT(($C$5:$C11=$C11)*1)-1))</f>
        <v>100</v>
      </c>
      <c r="I11" s="9" t="n">
        <f>IF(OR($D11="",$F11=0),0,IF($E11="Cu",VLOOKUP($D11,WireTable,2,FALSE),VLOOKUP($D11,WireTable,3,FALSE)))</f>
        <v>0.87104</v>
      </c>
      <c r="J11" s="9" t="n">
        <f>$F11*$G11*$H11*$I11</f>
        <v>174.208</v>
      </c>
      <c r="K11" t="n">
        <f>IF(S11&gt;0,INDEX(Intake!$J$53:$J$64,S11),"")</f>
        <v>50</v>
      </c>
      <c r="Q11" t="n">
        <f>IF(Intake!$A$31&lt;&gt;"",Intake!$B$31,0)</f>
        <v>0</v>
      </c>
      <c r="R11" t="n">
        <f>R10+Q10</f>
        <v>11</v>
      </c>
      <c r="S11" t="n">
        <f>IF(A11&lt;=$Q$15,MATCH(A11-0.5,$R$3:$R$14,1),0)</f>
        <v>2</v>
      </c>
      <c r="T11" t="n">
        <f>IF(S11&gt;0,A11-INDEX($R$3:$R$14,S11),0)</f>
        <v>1</v>
      </c>
    </row>
    <row r="12" spans="1:20" x14ac:dyDescent="0.25">
      <c r="A12">
        <v>8</v>
      </c>
      <c r="B12" t="str">
        <f>IF(S12&gt;0,INDEX(Intake!$A$23:$A$34,S12)&amp;" #"&amp;T12,"")</f>
        <v>L2 Single 40A #2</v>
      </c>
      <c r="C12" t="str">
        <f>IF(S12&gt;0,INDEX(Intake!$D$23:$D$34,S12),"")</f>
        <v>L2</v>
      </c>
      <c r="D12" s="5" t="str">
        <f>IF(S12&gt;0,INDEX(Intake!$B$53:$B$64,S12),"")</f>
        <v>6 AWG</v>
      </c>
      <c r="E12" s="5" t="str">
        <f>IF(S12&gt;0,INDEX(Intake!$C$53:$C$64,S12),"")</f>
        <v>Cu</v>
      </c>
      <c r="F12" s="5" t="n">
        <f>IF(S12&gt;0,IFERROR(INDEX(Intake!$D$53:$D$64,S12)/INDEX(Intake!$B$23:$B$34,S12),1),0)</f>
        <v>1</v>
      </c>
      <c r="G12" t="n">
        <f>IF(S12&gt;0,INDEX(Intake!$E$53:$E$64,S12),0)</f>
        <v>2</v>
      </c>
      <c r="H12" s="5" t="n">
        <f>IF(S12=0,0,IF($C12="DCFC",RunFtDcfc,RunFtL2)+StepFt*(SUMPRODUCT(($C$5:$C12=$C12)*1)-1))</f>
        <v>115</v>
      </c>
      <c r="I12" s="9" t="n">
        <f>IF(OR($D12="",$F12=0),0,IF($E12="Cu",VLOOKUP($D12,WireTable,2,FALSE),VLOOKUP($D12,WireTable,3,FALSE)))</f>
        <v>0.87104</v>
      </c>
      <c r="J12" s="9" t="n">
        <f>$F12*$G12*$H12*$I12</f>
        <v>200.3392</v>
      </c>
      <c r="K12" t="n">
        <f>IF(S12&gt;0,INDEX(Intake!$J$53:$J$64,S12),"")</f>
        <v>50</v>
      </c>
      <c r="Q12" t="n">
        <f>IF(Intake!$A$32&lt;&gt;"",Intake!$B$32,0)</f>
        <v>0</v>
      </c>
      <c r="R12" t="n">
        <f>R11+Q11</f>
        <v>11</v>
      </c>
      <c r="S12" t="n">
        <f>IF(A12&lt;=$Q$15,MATCH(A12-0.5,$R$3:$R$14,1),0)</f>
        <v>2</v>
      </c>
      <c r="T12" t="n">
        <f>IF(S12&gt;0,A12-INDEX($R$3:$R$14,S12),0)</f>
        <v>2</v>
      </c>
    </row>
    <row r="13" spans="1:20" x14ac:dyDescent="0.25">
      <c r="A13">
        <v>9</v>
      </c>
      <c r="B13" t="str">
        <f>IF(S13&gt;0,INDEX(Intake!$A$23:$A$34,S13)&amp;" #"&amp;T13,"")</f>
        <v>L2 Single 40A #3</v>
      </c>
      <c r="C13" t="str">
        <f>IF(S13&gt;0,INDEX(Intake!$D$23:$D$34,S13),"")</f>
        <v>L2</v>
      </c>
      <c r="D13" s="5" t="str">
        <f>IF(S13&gt;0,INDEX(Intake!$B$53:$B$64,S13),"")</f>
        <v>6 AWG</v>
      </c>
      <c r="E13" s="5" t="str">
        <f>IF(S13&gt;0,INDEX(Intake!$C$53:$C$64,S13),"")</f>
        <v>Cu</v>
      </c>
      <c r="F13" s="5" t="n">
        <f>IF(S13&gt;0,IFERROR(INDEX(Intake!$D$53:$D$64,S13)/INDEX(Intake!$B$23:$B$34,S13),1),0)</f>
        <v>1</v>
      </c>
      <c r="G13" t="n">
        <f>IF(S13&gt;0,INDEX(Intake!$E$53:$E$64,S13),0)</f>
        <v>2</v>
      </c>
      <c r="H13" s="5" t="n">
        <f>IF(S13=0,0,IF($C13="DCFC",RunFtDcfc,RunFtL2)+StepFt*(SUMPRODUCT(($C$5:$C13=$C13)*1)-1))</f>
        <v>130</v>
      </c>
      <c r="I13" s="9" t="n">
        <f>IF(OR($D13="",$F13=0),0,IF($E13="Cu",VLOOKUP($D13,WireTable,2,FALSE),VLOOKUP($D13,WireTable,3,FALSE)))</f>
        <v>0.87104</v>
      </c>
      <c r="J13" s="9" t="n">
        <f>$F13*$G13*$H13*$I13</f>
        <v>226.4704</v>
      </c>
      <c r="K13" t="n">
        <f>IF(S13&gt;0,INDEX(Intake!$J$53:$J$64,S13),"")</f>
        <v>50</v>
      </c>
      <c r="Q13" t="n">
        <f>IF(Intake!$A$33&lt;&gt;"",Intake!$B$33,0)</f>
        <v>0</v>
      </c>
      <c r="R13" t="n">
        <f>R12+Q12</f>
        <v>11</v>
      </c>
      <c r="S13" t="n">
        <f>IF(A13&lt;=$Q$15,MATCH(A13-0.5,$R$3:$R$14,1),0)</f>
        <v>2</v>
      </c>
      <c r="T13" t="n">
        <f>IF(S13&gt;0,A13-INDEX($R$3:$R$14,S13),0)</f>
        <v>3</v>
      </c>
    </row>
    <row r="14" spans="1:20" x14ac:dyDescent="0.25">
      <c r="A14">
        <v>10</v>
      </c>
      <c r="B14" t="str">
        <f>IF(S14&gt;0,INDEX(Intake!$A$23:$A$34,S14)&amp;" #"&amp;T14,"")</f>
        <v>L2 Single 40A #4</v>
      </c>
      <c r="C14" t="str">
        <f>IF(S14&gt;0,INDEX(Intake!$D$23:$D$34,S14),"")</f>
        <v>L2</v>
      </c>
      <c r="D14" s="5" t="str">
        <f>IF(S14&gt;0,INDEX(Intake!$B$53:$B$64,S14),"")</f>
        <v>6 AWG</v>
      </c>
      <c r="E14" s="5" t="str">
        <f>IF(S14&gt;0,INDEX(Intake!$C$53:$C$64,S14),"")</f>
        <v>Cu</v>
      </c>
      <c r="F14" s="5" t="n">
        <f>IF(S14&gt;0,IFERROR(INDEX(Intake!$D$53:$D$64,S14)/INDEX(Intake!$B$23:$B$34,S14),1),0)</f>
        <v>1</v>
      </c>
      <c r="G14" t="n">
        <f>IF(S14&gt;0,INDEX(Intake!$E$53:$E$64,S14),0)</f>
        <v>2</v>
      </c>
      <c r="H14" s="5" t="n">
        <f>IF(S14=0,0,IF($C14="DCFC",RunFtDcfc,RunFtL2)+StepFt*(SUMPRODUCT(($C$5:$C14=$C14)*1)-1))</f>
        <v>145</v>
      </c>
      <c r="I14" s="9" t="n">
        <f>IF(OR($D14="",$F14=0),0,IF($E14="Cu",VLOOKUP($D14,WireTable,2,FALSE),VLOOKUP($D14,WireTable,3,FALSE)))</f>
        <v>0.87104</v>
      </c>
      <c r="J14" s="9" t="n">
        <f>$F14*$G14*$H14*$I14</f>
        <v>252.60160000000002</v>
      </c>
      <c r="K14" t="n">
        <f>IF(S14&gt;0,INDEX(Intake!$J$53:$J$64,S14),"")</f>
        <v>50</v>
      </c>
      <c r="Q14" t="n">
        <f>IF(Intake!$A$34&lt;&gt;"",Intake!$B$34,0)</f>
        <v>0</v>
      </c>
      <c r="R14" t="n">
        <f>R13+Q13</f>
        <v>11</v>
      </c>
      <c r="S14" t="n">
        <f>IF(A14&lt;=$Q$15,MATCH(A14-0.5,$R$3:$R$14,1),0)</f>
        <v>2</v>
      </c>
      <c r="T14" t="n">
        <f>IF(S14&gt;0,A14-INDEX($R$3:$R$14,S14),0)</f>
        <v>4</v>
      </c>
    </row>
    <row r="15" spans="1:20" x14ac:dyDescent="0.25">
      <c r="A15">
        <v>11</v>
      </c>
      <c r="B15" t="str">
        <f>IF(S15&gt;0,INDEX(Intake!$A$23:$A$34,S15)&amp;" #"&amp;T15,"")</f>
        <v>L2 Single 40A #5</v>
      </c>
      <c r="C15" t="str">
        <f>IF(S15&gt;0,INDEX(Intake!$D$23:$D$34,S15),"")</f>
        <v>L2</v>
      </c>
      <c r="D15" s="5" t="str">
        <f>IF(S15&gt;0,INDEX(Intake!$B$53:$B$64,S15),"")</f>
        <v>6 AWG</v>
      </c>
      <c r="E15" s="5" t="str">
        <f>IF(S15&gt;0,INDEX(Intake!$C$53:$C$64,S15),"")</f>
        <v>Cu</v>
      </c>
      <c r="F15" s="5" t="n">
        <f>IF(S15&gt;0,IFERROR(INDEX(Intake!$D$53:$D$64,S15)/INDEX(Intake!$B$23:$B$34,S15),1),0)</f>
        <v>1</v>
      </c>
      <c r="G15" t="n">
        <f>IF(S15&gt;0,INDEX(Intake!$E$53:$E$64,S15),0)</f>
        <v>2</v>
      </c>
      <c r="H15" s="5" t="n">
        <f>IF(S15=0,0,IF($C15="DCFC",RunFtDcfc,RunFtL2)+StepFt*(SUMPRODUCT(($C$5:$C15=$C15)*1)-1))</f>
        <v>160</v>
      </c>
      <c r="I15" s="9" t="n">
        <f>IF(OR($D15="",$F15=0),0,IF($E15="Cu",VLOOKUP($D15,WireTable,2,FALSE),VLOOKUP($D15,WireTable,3,FALSE)))</f>
        <v>0.87104</v>
      </c>
      <c r="J15" s="9" t="n">
        <f>$F15*$G15*$H15*$I15</f>
        <v>278.7328</v>
      </c>
      <c r="K15" t="n">
        <f>IF(S15&gt;0,INDEX(Intake!$J$53:$J$64,S15),"")</f>
        <v>50</v>
      </c>
      <c r="Q15" t="n">
        <f>SUM(Q3:Q14)</f>
        <v>11</v>
      </c>
      <c r="S15" t="n">
        <f>IF(A15&lt;=$Q$15,MATCH(A15-0.5,$R$3:$R$14,1),0)</f>
        <v>2</v>
      </c>
      <c r="T15" t="n">
        <f>IF(S15&gt;0,A15-INDEX($R$3:$R$14,S15),0)</f>
        <v>5</v>
      </c>
    </row>
    <row r="16" spans="1:20" x14ac:dyDescent="0.25">
      <c r="A16">
        <v>12</v>
      </c>
      <c r="B16" t="str">
        <f>IF(S16&gt;0,INDEX(Intake!$A$23:$A$34,S16)&amp;" #"&amp;T16,"")</f>
        <v/>
      </c>
      <c r="C16" t="str">
        <f>IF(S16&gt;0,INDEX(Intake!$D$23:$D$34,S16),"")</f>
        <v/>
      </c>
      <c r="D16" s="5" t="str">
        <f>IF(S16&gt;0,INDEX(Intake!$B$53:$B$64,S16),"")</f>
        <v/>
      </c>
      <c r="E16" s="5" t="str">
        <f>IF(S16&gt;0,INDEX(Intake!$C$53:$C$64,S16),"")</f>
        <v/>
      </c>
      <c r="F16" s="5" t="n">
        <f>IF(S16&gt;0,IFERROR(INDEX(Intake!$D$53:$D$64,S16)/INDEX(Intake!$B$23:$B$34,S16),1),0)</f>
        <v>0</v>
      </c>
      <c r="G16" t="n">
        <f>IF(S16&gt;0,INDEX(Intake!$E$53:$E$64,S16),0)</f>
        <v>0</v>
      </c>
      <c r="H16" s="5" t="n">
        <f>IF(S16=0,0,IF($C16="DCFC",RunFtDcfc,RunFtL2)+StepFt*(SUMPRODUCT(($C$5:$C16=$C16)*1)-1))</f>
        <v>0</v>
      </c>
      <c r="I16" s="9" t="n">
        <f>IF(OR($D16="",$F16=0),0,IF($E16="Cu",VLOOKUP($D16,WireTable,2,FALSE),VLOOKUP($D16,WireTable,3,FALSE)))</f>
        <v>0</v>
      </c>
      <c r="J16" s="9" t="n">
        <f>$F16*$G16*$H16*$I16</f>
        <v>0</v>
      </c>
      <c r="K16" t="str">
        <f>IF(S16&gt;0,INDEX(Intake!$J$53:$J$64,S16),"")</f>
        <v/>
      </c>
      <c r="S16" t="n">
        <f>IF(A16&lt;=$Q$15,MATCH(A16-0.5,$R$3:$R$14,1),0)</f>
        <v>0</v>
      </c>
      <c r="T16" t="n">
        <f>IF(S16&gt;0,A16-INDEX($R$3:$R$14,S16),0)</f>
        <v>0</v>
      </c>
    </row>
    <row r="17" spans="1:20" x14ac:dyDescent="0.25">
      <c r="A17">
        <v>13</v>
      </c>
      <c r="B17" t="str">
        <f>IF(S17&gt;0,INDEX(Intake!$A$23:$A$34,S17)&amp;" #"&amp;T17,"")</f>
        <v/>
      </c>
      <c r="C17" t="str">
        <f>IF(S17&gt;0,INDEX(Intake!$D$23:$D$34,S17),"")</f>
        <v/>
      </c>
      <c r="D17" s="5" t="str">
        <f>IF(S17&gt;0,INDEX(Intake!$B$53:$B$64,S17),"")</f>
        <v/>
      </c>
      <c r="E17" s="5" t="str">
        <f>IF(S17&gt;0,INDEX(Intake!$C$53:$C$64,S17),"")</f>
        <v/>
      </c>
      <c r="F17" s="5" t="n">
        <f>IF(S17&gt;0,IFERROR(INDEX(Intake!$D$53:$D$64,S17)/INDEX(Intake!$B$23:$B$34,S17),1),0)</f>
        <v>0</v>
      </c>
      <c r="G17" t="n">
        <f>IF(S17&gt;0,INDEX(Intake!$E$53:$E$64,S17),0)</f>
        <v>0</v>
      </c>
      <c r="H17" s="5" t="n">
        <f>IF(S17=0,0,IF($C17="DCFC",RunFtDcfc,RunFtL2)+StepFt*(SUMPRODUCT(($C$5:$C17=$C17)*1)-1))</f>
        <v>0</v>
      </c>
      <c r="I17" s="9" t="n">
        <f>IF(OR($D17="",$F17=0),0,IF($E17="Cu",VLOOKUP($D17,WireTable,2,FALSE),VLOOKUP($D17,WireTable,3,FALSE)))</f>
        <v>0</v>
      </c>
      <c r="J17" s="9" t="n">
        <f>$F17*$G17*$H17*$I17</f>
        <v>0</v>
      </c>
      <c r="K17" t="str">
        <f>IF(S17&gt;0,INDEX(Intake!$J$53:$J$64,S17),"")</f>
        <v/>
      </c>
      <c r="S17" t="n">
        <f>IF(A17&lt;=$Q$15,MATCH(A17-0.5,$R$3:$R$14,1),0)</f>
        <v>0</v>
      </c>
      <c r="T17" t="n">
        <f>IF(S17&gt;0,A17-INDEX($R$3:$R$14,S17),0)</f>
        <v>0</v>
      </c>
    </row>
    <row r="18" spans="1:20" x14ac:dyDescent="0.25">
      <c r="A18">
        <v>14</v>
      </c>
      <c r="B18" t="str">
        <f>IF(S18&gt;0,INDEX(Intake!$A$23:$A$34,S18)&amp;" #"&amp;T18,"")</f>
        <v/>
      </c>
      <c r="C18" t="str">
        <f>IF(S18&gt;0,INDEX(Intake!$D$23:$D$34,S18),"")</f>
        <v/>
      </c>
      <c r="D18" s="5" t="str">
        <f>IF(S18&gt;0,INDEX(Intake!$B$53:$B$64,S18),"")</f>
        <v/>
      </c>
      <c r="E18" s="5" t="str">
        <f>IF(S18&gt;0,INDEX(Intake!$C$53:$C$64,S18),"")</f>
        <v/>
      </c>
      <c r="F18" s="5" t="n">
        <f>IF(S18&gt;0,IFERROR(INDEX(Intake!$D$53:$D$64,S18)/INDEX(Intake!$B$23:$B$34,S18),1),0)</f>
        <v>0</v>
      </c>
      <c r="G18" t="n">
        <f>IF(S18&gt;0,INDEX(Intake!$E$53:$E$64,S18),0)</f>
        <v>0</v>
      </c>
      <c r="H18" s="5" t="n">
        <f>IF(S18=0,0,IF($C18="DCFC",RunFtDcfc,RunFtL2)+StepFt*(SUMPRODUCT(($C$5:$C18=$C18)*1)-1))</f>
        <v>0</v>
      </c>
      <c r="I18" s="9" t="n">
        <f>IF(OR($D18="",$F18=0),0,IF($E18="Cu",VLOOKUP($D18,WireTable,2,FALSE),VLOOKUP($D18,WireTable,3,FALSE)))</f>
        <v>0</v>
      </c>
      <c r="J18" s="9" t="n">
        <f>$F18*$G18*$H18*$I18</f>
        <v>0</v>
      </c>
      <c r="K18" t="str">
        <f>IF(S18&gt;0,INDEX(Intake!$J$53:$J$64,S18),"")</f>
        <v/>
      </c>
      <c r="S18" t="n">
        <f>IF(A18&lt;=$Q$15,MATCH(A18-0.5,$R$3:$R$14,1),0)</f>
        <v>0</v>
      </c>
      <c r="T18" t="n">
        <f>IF(S18&gt;0,A18-INDEX($R$3:$R$14,S18),0)</f>
        <v>0</v>
      </c>
    </row>
    <row r="19" spans="1:20" x14ac:dyDescent="0.25">
      <c r="A19">
        <v>15</v>
      </c>
      <c r="B19" t="str">
        <f>IF(S19&gt;0,INDEX(Intake!$A$23:$A$34,S19)&amp;" #"&amp;T19,"")</f>
        <v/>
      </c>
      <c r="C19" t="str">
        <f>IF(S19&gt;0,INDEX(Intake!$D$23:$D$34,S19),"")</f>
        <v/>
      </c>
      <c r="D19" s="5" t="str">
        <f>IF(S19&gt;0,INDEX(Intake!$B$53:$B$64,S19),"")</f>
        <v/>
      </c>
      <c r="E19" s="5" t="str">
        <f>IF(S19&gt;0,INDEX(Intake!$C$53:$C$64,S19),"")</f>
        <v/>
      </c>
      <c r="F19" s="5" t="n">
        <f>IF(S19&gt;0,IFERROR(INDEX(Intake!$D$53:$D$64,S19)/INDEX(Intake!$B$23:$B$34,S19),1),0)</f>
        <v>0</v>
      </c>
      <c r="G19" t="n">
        <f>IF(S19&gt;0,INDEX(Intake!$E$53:$E$64,S19),0)</f>
        <v>0</v>
      </c>
      <c r="H19" s="5" t="n">
        <f>IF(S19=0,0,IF($C19="DCFC",RunFtDcfc,RunFtL2)+StepFt*(SUMPRODUCT(($C$5:$C19=$C19)*1)-1))</f>
        <v>0</v>
      </c>
      <c r="I19" s="9" t="n">
        <f>IF(OR($D19="",$F19=0),0,IF($E19="Cu",VLOOKUP($D19,WireTable,2,FALSE),VLOOKUP($D19,WireTable,3,FALSE)))</f>
        <v>0</v>
      </c>
      <c r="J19" s="9" t="n">
        <f>$F19*$G19*$H19*$I19</f>
        <v>0</v>
      </c>
      <c r="K19" t="str">
        <f>IF(S19&gt;0,INDEX(Intake!$J$53:$J$64,S19),"")</f>
        <v/>
      </c>
      <c r="S19" t="n">
        <f>IF(A19&lt;=$Q$15,MATCH(A19-0.5,$R$3:$R$14,1),0)</f>
        <v>0</v>
      </c>
      <c r="T19" t="n">
        <f>IF(S19&gt;0,A19-INDEX($R$3:$R$14,S19),0)</f>
        <v>0</v>
      </c>
    </row>
    <row r="20" spans="1:20" x14ac:dyDescent="0.25">
      <c r="A20">
        <v>16</v>
      </c>
      <c r="B20" t="str">
        <f>IF(S20&gt;0,INDEX(Intake!$A$23:$A$34,S20)&amp;" #"&amp;T20,"")</f>
        <v/>
      </c>
      <c r="C20" t="str">
        <f>IF(S20&gt;0,INDEX(Intake!$D$23:$D$34,S20),"")</f>
        <v/>
      </c>
      <c r="D20" s="5" t="str">
        <f>IF(S20&gt;0,INDEX(Intake!$B$53:$B$64,S20),"")</f>
        <v/>
      </c>
      <c r="E20" s="5" t="str">
        <f>IF(S20&gt;0,INDEX(Intake!$C$53:$C$64,S20),"")</f>
        <v/>
      </c>
      <c r="F20" s="5" t="n">
        <f>IF(S20&gt;0,IFERROR(INDEX(Intake!$D$53:$D$64,S20)/INDEX(Intake!$B$23:$B$34,S20),1),0)</f>
        <v>0</v>
      </c>
      <c r="G20" t="n">
        <f>IF(S20&gt;0,INDEX(Intake!$E$53:$E$64,S20),0)</f>
        <v>0</v>
      </c>
      <c r="H20" s="5" t="n">
        <f>IF(S20=0,0,IF($C20="DCFC",RunFtDcfc,RunFtL2)+StepFt*(SUMPRODUCT(($C$5:$C20=$C20)*1)-1))</f>
        <v>0</v>
      </c>
      <c r="I20" s="9" t="n">
        <f>IF(OR($D20="",$F20=0),0,IF($E20="Cu",VLOOKUP($D20,WireTable,2,FALSE),VLOOKUP($D20,WireTable,3,FALSE)))</f>
        <v>0</v>
      </c>
      <c r="J20" s="9" t="n">
        <f>$F20*$G20*$H20*$I20</f>
        <v>0</v>
      </c>
      <c r="K20" t="str">
        <f>IF(S20&gt;0,INDEX(Intake!$J$53:$J$64,S20),"")</f>
        <v/>
      </c>
      <c r="S20" t="n">
        <f>IF(A20&lt;=$Q$15,MATCH(A20-0.5,$R$3:$R$14,1),0)</f>
        <v>0</v>
      </c>
      <c r="T20" t="n">
        <f>IF(S20&gt;0,A20-INDEX($R$3:$R$14,S20),0)</f>
        <v>0</v>
      </c>
    </row>
    <row r="21" spans="1:20" x14ac:dyDescent="0.25">
      <c r="A21">
        <v>17</v>
      </c>
      <c r="B21" t="str">
        <f>IF(S21&gt;0,INDEX(Intake!$A$23:$A$34,S21)&amp;" #"&amp;T21,"")</f>
        <v/>
      </c>
      <c r="C21" t="str">
        <f>IF(S21&gt;0,INDEX(Intake!$D$23:$D$34,S21),"")</f>
        <v/>
      </c>
      <c r="D21" s="5" t="str">
        <f>IF(S21&gt;0,INDEX(Intake!$B$53:$B$64,S21),"")</f>
        <v/>
      </c>
      <c r="E21" s="5" t="str">
        <f>IF(S21&gt;0,INDEX(Intake!$C$53:$C$64,S21),"")</f>
        <v/>
      </c>
      <c r="F21" s="5" t="n">
        <f>IF(S21&gt;0,IFERROR(INDEX(Intake!$D$53:$D$64,S21)/INDEX(Intake!$B$23:$B$34,S21),1),0)</f>
        <v>0</v>
      </c>
      <c r="G21" t="n">
        <f>IF(S21&gt;0,INDEX(Intake!$E$53:$E$64,S21),0)</f>
        <v>0</v>
      </c>
      <c r="H21" s="5" t="n">
        <f>IF(S21=0,0,IF($C21="DCFC",RunFtDcfc,RunFtL2)+StepFt*(SUMPRODUCT(($C$5:$C21=$C21)*1)-1))</f>
        <v>0</v>
      </c>
      <c r="I21" s="9" t="n">
        <f>IF(OR($D21="",$F21=0),0,IF($E21="Cu",VLOOKUP($D21,WireTable,2,FALSE),VLOOKUP($D21,WireTable,3,FALSE)))</f>
        <v>0</v>
      </c>
      <c r="J21" s="9" t="n">
        <f>$F21*$G21*$H21*$I21</f>
        <v>0</v>
      </c>
      <c r="K21" t="str">
        <f>IF(S21&gt;0,INDEX(Intake!$J$53:$J$64,S21),"")</f>
        <v/>
      </c>
      <c r="S21" t="n">
        <f>IF(A21&lt;=$Q$15,MATCH(A21-0.5,$R$3:$R$14,1),0)</f>
        <v>0</v>
      </c>
      <c r="T21" t="n">
        <f>IF(S21&gt;0,A21-INDEX($R$3:$R$14,S21),0)</f>
        <v>0</v>
      </c>
    </row>
    <row r="22" spans="1:20" x14ac:dyDescent="0.25">
      <c r="A22">
        <v>18</v>
      </c>
      <c r="B22" t="str">
        <f>IF(S22&gt;0,INDEX(Intake!$A$23:$A$34,S22)&amp;" #"&amp;T22,"")</f>
        <v/>
      </c>
      <c r="C22" t="str">
        <f>IF(S22&gt;0,INDEX(Intake!$D$23:$D$34,S22),"")</f>
        <v/>
      </c>
      <c r="D22" s="5" t="str">
        <f>IF(S22&gt;0,INDEX(Intake!$B$53:$B$64,S22),"")</f>
        <v/>
      </c>
      <c r="E22" s="5" t="str">
        <f>IF(S22&gt;0,INDEX(Intake!$C$53:$C$64,S22),"")</f>
        <v/>
      </c>
      <c r="F22" s="5" t="n">
        <f>IF(S22&gt;0,IFERROR(INDEX(Intake!$D$53:$D$64,S22)/INDEX(Intake!$B$23:$B$34,S22),1),0)</f>
        <v>0</v>
      </c>
      <c r="G22" t="n">
        <f>IF(S22&gt;0,INDEX(Intake!$E$53:$E$64,S22),0)</f>
        <v>0</v>
      </c>
      <c r="H22" s="5" t="n">
        <f>IF(S22=0,0,IF($C22="DCFC",RunFtDcfc,RunFtL2)+StepFt*(SUMPRODUCT(($C$5:$C22=$C22)*1)-1))</f>
        <v>0</v>
      </c>
      <c r="I22" s="9" t="n">
        <f>IF(OR($D22="",$F22=0),0,IF($E22="Cu",VLOOKUP($D22,WireTable,2,FALSE),VLOOKUP($D22,WireTable,3,FALSE)))</f>
        <v>0</v>
      </c>
      <c r="J22" s="9" t="n">
        <f>$F22*$G22*$H22*$I22</f>
        <v>0</v>
      </c>
      <c r="K22" t="str">
        <f>IF(S22&gt;0,INDEX(Intake!$J$53:$J$64,S22),"")</f>
        <v/>
      </c>
      <c r="S22" t="n">
        <f>IF(A22&lt;=$Q$15,MATCH(A22-0.5,$R$3:$R$14,1),0)</f>
        <v>0</v>
      </c>
      <c r="T22" t="n">
        <f>IF(S22&gt;0,A22-INDEX($R$3:$R$14,S22),0)</f>
        <v>0</v>
      </c>
    </row>
    <row r="23" spans="1:20" x14ac:dyDescent="0.25">
      <c r="A23">
        <v>19</v>
      </c>
      <c r="B23" t="str">
        <f>IF(S23&gt;0,INDEX(Intake!$A$23:$A$34,S23)&amp;" #"&amp;T23,"")</f>
        <v/>
      </c>
      <c r="C23" t="str">
        <f>IF(S23&gt;0,INDEX(Intake!$D$23:$D$34,S23),"")</f>
        <v/>
      </c>
      <c r="D23" s="5" t="str">
        <f>IF(S23&gt;0,INDEX(Intake!$B$53:$B$64,S23),"")</f>
        <v/>
      </c>
      <c r="E23" s="5" t="str">
        <f>IF(S23&gt;0,INDEX(Intake!$C$53:$C$64,S23),"")</f>
        <v/>
      </c>
      <c r="F23" s="5" t="n">
        <f>IF(S23&gt;0,IFERROR(INDEX(Intake!$D$53:$D$64,S23)/INDEX(Intake!$B$23:$B$34,S23),1),0)</f>
        <v>0</v>
      </c>
      <c r="G23" t="n">
        <f>IF(S23&gt;0,INDEX(Intake!$E$53:$E$64,S23),0)</f>
        <v>0</v>
      </c>
      <c r="H23" s="5" t="n">
        <f>IF(S23=0,0,IF($C23="DCFC",RunFtDcfc,RunFtL2)+StepFt*(SUMPRODUCT(($C$5:$C23=$C23)*1)-1))</f>
        <v>0</v>
      </c>
      <c r="I23" s="9" t="n">
        <f>IF(OR($D23="",$F23=0),0,IF($E23="Cu",VLOOKUP($D23,WireTable,2,FALSE),VLOOKUP($D23,WireTable,3,FALSE)))</f>
        <v>0</v>
      </c>
      <c r="J23" s="9" t="n">
        <f>$F23*$G23*$H23*$I23</f>
        <v>0</v>
      </c>
      <c r="K23" t="str">
        <f>IF(S23&gt;0,INDEX(Intake!$J$53:$J$64,S23),"")</f>
        <v/>
      </c>
      <c r="S23" t="n">
        <f>IF(A23&lt;=$Q$15,MATCH(A23-0.5,$R$3:$R$14,1),0)</f>
        <v>0</v>
      </c>
      <c r="T23" t="n">
        <f>IF(S23&gt;0,A23-INDEX($R$3:$R$14,S23),0)</f>
        <v>0</v>
      </c>
    </row>
    <row r="24" spans="1:20" x14ac:dyDescent="0.25">
      <c r="A24">
        <v>20</v>
      </c>
      <c r="B24" t="str">
        <f>IF(S24&gt;0,INDEX(Intake!$A$23:$A$34,S24)&amp;" #"&amp;T24,"")</f>
        <v/>
      </c>
      <c r="C24" t="str">
        <f>IF(S24&gt;0,INDEX(Intake!$D$23:$D$34,S24),"")</f>
        <v/>
      </c>
      <c r="D24" s="5" t="str">
        <f>IF(S24&gt;0,INDEX(Intake!$B$53:$B$64,S24),"")</f>
        <v/>
      </c>
      <c r="E24" s="5" t="str">
        <f>IF(S24&gt;0,INDEX(Intake!$C$53:$C$64,S24),"")</f>
        <v/>
      </c>
      <c r="F24" s="5" t="n">
        <f>IF(S24&gt;0,IFERROR(INDEX(Intake!$D$53:$D$64,S24)/INDEX(Intake!$B$23:$B$34,S24),1),0)</f>
        <v>0</v>
      </c>
      <c r="G24" t="n">
        <f>IF(S24&gt;0,INDEX(Intake!$E$53:$E$64,S24),0)</f>
        <v>0</v>
      </c>
      <c r="H24" s="5" t="n">
        <f>IF(S24=0,0,IF($C24="DCFC",RunFtDcfc,RunFtL2)+StepFt*(SUMPRODUCT(($C$5:$C24=$C24)*1)-1))</f>
        <v>0</v>
      </c>
      <c r="I24" s="9" t="n">
        <f>IF(OR($D24="",$F24=0),0,IF($E24="Cu",VLOOKUP($D24,WireTable,2,FALSE),VLOOKUP($D24,WireTable,3,FALSE)))</f>
        <v>0</v>
      </c>
      <c r="J24" s="9" t="n">
        <f>$F24*$G24*$H24*$I24</f>
        <v>0</v>
      </c>
      <c r="K24" t="str">
        <f>IF(S24&gt;0,INDEX(Intake!$J$53:$J$64,S24),"")</f>
        <v/>
      </c>
      <c r="S24" t="n">
        <f>IF(A24&lt;=$Q$15,MATCH(A24-0.5,$R$3:$R$14,1),0)</f>
        <v>0</v>
      </c>
      <c r="T24" t="n">
        <f>IF(S24&gt;0,A24-INDEX($R$3:$R$14,S24),0)</f>
        <v>0</v>
      </c>
    </row>
    <row r="25" spans="1:20" x14ac:dyDescent="0.25">
      <c r="A25">
        <v>21</v>
      </c>
      <c r="B25" t="str">
        <f>IF(S25&gt;0,INDEX(Intake!$A$23:$A$34,S25)&amp;" #"&amp;T25,"")</f>
        <v/>
      </c>
      <c r="C25" t="str">
        <f>IF(S25&gt;0,INDEX(Intake!$D$23:$D$34,S25),"")</f>
        <v/>
      </c>
      <c r="D25" s="5" t="str">
        <f>IF(S25&gt;0,INDEX(Intake!$B$53:$B$64,S25),"")</f>
        <v/>
      </c>
      <c r="E25" s="5" t="str">
        <f>IF(S25&gt;0,INDEX(Intake!$C$53:$C$64,S25),"")</f>
        <v/>
      </c>
      <c r="F25" s="5" t="n">
        <f>IF(S25&gt;0,IFERROR(INDEX(Intake!$D$53:$D$64,S25)/INDEX(Intake!$B$23:$B$34,S25),1),0)</f>
        <v>0</v>
      </c>
      <c r="G25" t="n">
        <f>IF(S25&gt;0,INDEX(Intake!$E$53:$E$64,S25),0)</f>
        <v>0</v>
      </c>
      <c r="H25" s="5" t="n">
        <f>IF(S25=0,0,IF($C25="DCFC",RunFtDcfc,RunFtL2)+StepFt*(SUMPRODUCT(($C$5:$C25=$C25)*1)-1))</f>
        <v>0</v>
      </c>
      <c r="I25" s="9" t="n">
        <f>IF(OR($D25="",$F25=0),0,IF($E25="Cu",VLOOKUP($D25,WireTable,2,FALSE),VLOOKUP($D25,WireTable,3,FALSE)))</f>
        <v>0</v>
      </c>
      <c r="J25" s="9" t="n">
        <f>$F25*$G25*$H25*$I25</f>
        <v>0</v>
      </c>
      <c r="K25" t="str">
        <f>IF(S25&gt;0,INDEX(Intake!$J$53:$J$64,S25),"")</f>
        <v/>
      </c>
      <c r="S25" t="n">
        <f>IF(A25&lt;=$Q$15,MATCH(A25-0.5,$R$3:$R$14,1),0)</f>
        <v>0</v>
      </c>
      <c r="T25" t="n">
        <f>IF(S25&gt;0,A25-INDEX($R$3:$R$14,S25),0)</f>
        <v>0</v>
      </c>
    </row>
    <row r="26" spans="1:20" x14ac:dyDescent="0.25">
      <c r="A26">
        <v>22</v>
      </c>
      <c r="B26" t="str">
        <f>IF(S26&gt;0,INDEX(Intake!$A$23:$A$34,S26)&amp;" #"&amp;T26,"")</f>
        <v/>
      </c>
      <c r="C26" t="str">
        <f>IF(S26&gt;0,INDEX(Intake!$D$23:$D$34,S26),"")</f>
        <v/>
      </c>
      <c r="D26" s="5" t="str">
        <f>IF(S26&gt;0,INDEX(Intake!$B$53:$B$64,S26),"")</f>
        <v/>
      </c>
      <c r="E26" s="5" t="str">
        <f>IF(S26&gt;0,INDEX(Intake!$C$53:$C$64,S26),"")</f>
        <v/>
      </c>
      <c r="F26" s="5" t="n">
        <f>IF(S26&gt;0,IFERROR(INDEX(Intake!$D$53:$D$64,S26)/INDEX(Intake!$B$23:$B$34,S26),1),0)</f>
        <v>0</v>
      </c>
      <c r="G26" t="n">
        <f>IF(S26&gt;0,INDEX(Intake!$E$53:$E$64,S26),0)</f>
        <v>0</v>
      </c>
      <c r="H26" s="5" t="n">
        <f>IF(S26=0,0,IF($C26="DCFC",RunFtDcfc,RunFtL2)+StepFt*(SUMPRODUCT(($C$5:$C26=$C26)*1)-1))</f>
        <v>0</v>
      </c>
      <c r="I26" s="9" t="n">
        <f>IF(OR($D26="",$F26=0),0,IF($E26="Cu",VLOOKUP($D26,WireTable,2,FALSE),VLOOKUP($D26,WireTable,3,FALSE)))</f>
        <v>0</v>
      </c>
      <c r="J26" s="9" t="n">
        <f>$F26*$G26*$H26*$I26</f>
        <v>0</v>
      </c>
      <c r="K26" t="str">
        <f>IF(S26&gt;0,INDEX(Intake!$J$53:$J$64,S26),"")</f>
        <v/>
      </c>
      <c r="S26" t="n">
        <f>IF(A26&lt;=$Q$15,MATCH(A26-0.5,$R$3:$R$14,1),0)</f>
        <v>0</v>
      </c>
      <c r="T26" t="n">
        <f>IF(S26&gt;0,A26-INDEX($R$3:$R$14,S26),0)</f>
        <v>0</v>
      </c>
    </row>
    <row r="27" spans="1:20" x14ac:dyDescent="0.25">
      <c r="A27">
        <v>23</v>
      </c>
      <c r="B27" t="str">
        <f>IF(S27&gt;0,INDEX(Intake!$A$23:$A$34,S27)&amp;" #"&amp;T27,"")</f>
        <v/>
      </c>
      <c r="C27" t="str">
        <f>IF(S27&gt;0,INDEX(Intake!$D$23:$D$34,S27),"")</f>
        <v/>
      </c>
      <c r="D27" s="5" t="str">
        <f>IF(S27&gt;0,INDEX(Intake!$B$53:$B$64,S27),"")</f>
        <v/>
      </c>
      <c r="E27" s="5" t="str">
        <f>IF(S27&gt;0,INDEX(Intake!$C$53:$C$64,S27),"")</f>
        <v/>
      </c>
      <c r="F27" s="5" t="n">
        <f>IF(S27&gt;0,IFERROR(INDEX(Intake!$D$53:$D$64,S27)/INDEX(Intake!$B$23:$B$34,S27),1),0)</f>
        <v>0</v>
      </c>
      <c r="G27" t="n">
        <f>IF(S27&gt;0,INDEX(Intake!$E$53:$E$64,S27),0)</f>
        <v>0</v>
      </c>
      <c r="H27" s="5" t="n">
        <f>IF(S27=0,0,IF($C27="DCFC",RunFtDcfc,RunFtL2)+StepFt*(SUMPRODUCT(($C$5:$C27=$C27)*1)-1))</f>
        <v>0</v>
      </c>
      <c r="I27" s="9" t="n">
        <f>IF(OR($D27="",$F27=0),0,IF($E27="Cu",VLOOKUP($D27,WireTable,2,FALSE),VLOOKUP($D27,WireTable,3,FALSE)))</f>
        <v>0</v>
      </c>
      <c r="J27" s="9" t="n">
        <f>$F27*$G27*$H27*$I27</f>
        <v>0</v>
      </c>
      <c r="K27" t="str">
        <f>IF(S27&gt;0,INDEX(Intake!$J$53:$J$64,S27),"")</f>
        <v/>
      </c>
      <c r="S27" t="n">
        <f>IF(A27&lt;=$Q$15,MATCH(A27-0.5,$R$3:$R$14,1),0)</f>
        <v>0</v>
      </c>
      <c r="T27" t="n">
        <f>IF(S27&gt;0,A27-INDEX($R$3:$R$14,S27),0)</f>
        <v>0</v>
      </c>
    </row>
    <row r="28" spans="1:20" x14ac:dyDescent="0.25">
      <c r="A28">
        <v>24</v>
      </c>
      <c r="B28" t="str">
        <f>IF(S28&gt;0,INDEX(Intake!$A$23:$A$34,S28)&amp;" #"&amp;T28,"")</f>
        <v/>
      </c>
      <c r="C28" t="str">
        <f>IF(S28&gt;0,INDEX(Intake!$D$23:$D$34,S28),"")</f>
        <v/>
      </c>
      <c r="D28" s="5" t="str">
        <f>IF(S28&gt;0,INDEX(Intake!$B$53:$B$64,S28),"")</f>
        <v/>
      </c>
      <c r="E28" s="5" t="str">
        <f>IF(S28&gt;0,INDEX(Intake!$C$53:$C$64,S28),"")</f>
        <v/>
      </c>
      <c r="F28" s="5" t="n">
        <f>IF(S28&gt;0,IFERROR(INDEX(Intake!$D$53:$D$64,S28)/INDEX(Intake!$B$23:$B$34,S28),1),0)</f>
        <v>0</v>
      </c>
      <c r="G28" t="n">
        <f>IF(S28&gt;0,INDEX(Intake!$E$53:$E$64,S28),0)</f>
        <v>0</v>
      </c>
      <c r="H28" s="5" t="n">
        <f>IF(S28=0,0,IF($C28="DCFC",RunFtDcfc,RunFtL2)+StepFt*(SUMPRODUCT(($C$5:$C28=$C28)*1)-1))</f>
        <v>0</v>
      </c>
      <c r="I28" s="9" t="n">
        <f>IF(OR($D28="",$F28=0),0,IF($E28="Cu",VLOOKUP($D28,WireTable,2,FALSE),VLOOKUP($D28,WireTable,3,FALSE)))</f>
        <v>0</v>
      </c>
      <c r="J28" s="9" t="n">
        <f>$F28*$G28*$H28*$I28</f>
        <v>0</v>
      </c>
      <c r="K28" t="str">
        <f>IF(S28&gt;0,INDEX(Intake!$J$53:$J$64,S28),"")</f>
        <v/>
      </c>
      <c r="S28" t="n">
        <f>IF(A28&lt;=$Q$15,MATCH(A28-0.5,$R$3:$R$14,1),0)</f>
        <v>0</v>
      </c>
      <c r="T28" t="n">
        <f>IF(S28&gt;0,A28-INDEX($R$3:$R$14,S28),0)</f>
        <v>0</v>
      </c>
    </row>
    <row r="29" spans="1:10" x14ac:dyDescent="0.25">
      <c r="A29" s="3" t="s">
        <v>94</v>
      </c>
      <c r="J29" s="17" t="n">
        <f>SUM(J5:J28)</f>
        <v>27383.95925</v>
      </c>
    </row>
    <row r="30" spans="2:2" x14ac:dyDescent="0.25">
      <c r="B30" s="18" t="str">
        <f>IF($Q$15&gt;24,"⚠ More than 24 chargers — rows truncated; use the app's Excel export for larger sites","")</f>
        <v/>
      </c>
    </row>
    <row r="31" spans="2:2" x14ac:dyDescent="0.25">
      <c r="B31" s="2" t="s">
        <v>95</v>
      </c>
    </row>
  </sheetData>
  <dataValidations count="4">
    <dataValidation type="list" allowBlank="1" sqref="D10:D28">
      <formula1>RateCard!$A$137:$A$161</formula1>
    </dataValidation>
    <dataValidation type="list" allowBlank="1" sqref="D5:D28">
      <formula1>RateCard!$A$137:$A$161</formula1>
    </dataValidation>
    <dataValidation type="list" allowBlank="1" sqref="E10:E28">
      <formula1>"Cu,Al"</formula1>
    </dataValidation>
    <dataValidation type="list" allowBlank="1" sqref="E5:E28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96</v>
      </c>
    </row>
    <row r="3" spans="1:1" x14ac:dyDescent="0.25">
      <c r="A3" s="3" t="s">
        <v>97</v>
      </c>
    </row>
    <row r="4" spans="1:6" x14ac:dyDescent="0.25">
      <c r="A4" s="7" t="s">
        <v>18</v>
      </c>
      <c r="B4" s="7" t="s">
        <v>19</v>
      </c>
      <c r="C4" s="7" t="s">
        <v>93</v>
      </c>
      <c r="D4" s="7" t="s">
        <v>98</v>
      </c>
      <c r="E4" s="7" t="s">
        <v>99</v>
      </c>
      <c r="F4" s="7" t="s">
        <v>100</v>
      </c>
    </row>
    <row r="5" spans="1:6" x14ac:dyDescent="0.25">
      <c r="A5" t="str">
        <f>IF(Intake!$D23="DCFC",Intake!$A23,"")</f>
        <v>DCFC 200kW</v>
      </c>
      <c r="B5" t="n">
        <f>IF(Intake!$D23="DCFC",Intake!$B23,0)</f>
        <v>6</v>
      </c>
      <c r="C5" t="n">
        <f>IF(B5&gt;0,Intake!$J$53,"")</f>
        <v>350</v>
      </c>
      <c r="D5" t="n">
        <f>IF(B5&gt;0,B5*VLOOKUP(Intake!$A23,ModelTable,7,FALSE),0)</f>
        <v>6</v>
      </c>
      <c r="E5" t="n">
        <f>IF(B5&gt;0,VLOOKUP(Intake!$A23,ModelTable,8,FALSE),"")</f>
        <v>265</v>
      </c>
      <c r="F5" t="n">
        <f>IF(B5&gt;0,B5*VLOOKUP(Intake!$A23,ModelTable,8,FALSE),0)</f>
        <v>1590</v>
      </c>
    </row>
    <row r="6" spans="1:6" x14ac:dyDescent="0.25">
      <c r="A6" t="str">
        <f>IF(Intake!$D24="DCFC",Intake!$A24,"")</f>
        <v/>
      </c>
      <c r="B6" t="n">
        <f>IF(Intake!$D24="DCFC",Intake!$B24,0)</f>
        <v>0</v>
      </c>
      <c r="C6" t="str">
        <f>IF(B6&gt;0,Intake!$J$54,"")</f>
        <v/>
      </c>
      <c r="D6" t="n">
        <f>IF(B6&gt;0,B6*VLOOKUP(Intake!$A24,ModelTable,7,FALSE),0)</f>
        <v>0</v>
      </c>
      <c r="E6" t="str">
        <f>IF(B6&gt;0,VLOOKUP(Intake!$A24,ModelTable,8,FALSE),"")</f>
        <v/>
      </c>
      <c r="F6" t="n">
        <f>IF(B6&gt;0,B6*VLOOKUP(Intake!$A24,ModelTable,8,FALSE),0)</f>
        <v>0</v>
      </c>
    </row>
    <row r="7" spans="1:6" x14ac:dyDescent="0.25">
      <c r="A7" t="str">
        <f>IF(Intake!$D25="DCFC",Intake!$A25,"")</f>
        <v/>
      </c>
      <c r="B7" t="n">
        <f>IF(Intake!$D25="DCFC",Intake!$B25,0)</f>
        <v>0</v>
      </c>
      <c r="C7" t="str">
        <f>IF(B7&gt;0,Intake!$J$55,"")</f>
        <v/>
      </c>
      <c r="D7" t="n">
        <f>IF(B7&gt;0,B7*VLOOKUP(Intake!$A25,ModelTable,7,FALSE),0)</f>
        <v>0</v>
      </c>
      <c r="E7" t="str">
        <f>IF(B7&gt;0,VLOOKUP(Intake!$A25,ModelTable,8,FALSE),"")</f>
        <v/>
      </c>
      <c r="F7" t="n">
        <f>IF(B7&gt;0,B7*VLOOKUP(Intake!$A25,ModelTable,8,FALSE),0)</f>
        <v>0</v>
      </c>
    </row>
    <row r="8" spans="1:6" x14ac:dyDescent="0.25">
      <c r="A8" t="str">
        <f>IF(Intake!$D26="DCFC",Intake!$A26,"")</f>
        <v/>
      </c>
      <c r="B8" t="n">
        <f>IF(Intake!$D26="DCFC",Intake!$B26,0)</f>
        <v>0</v>
      </c>
      <c r="C8" t="str">
        <f>IF(B8&gt;0,Intake!$J$56,"")</f>
        <v/>
      </c>
      <c r="D8" t="n">
        <f>IF(B8&gt;0,B8*VLOOKUP(Intake!$A26,ModelTable,7,FALSE),0)</f>
        <v>0</v>
      </c>
      <c r="E8" t="str">
        <f>IF(B8&gt;0,VLOOKUP(Intake!$A26,ModelTable,8,FALSE),"")</f>
        <v/>
      </c>
      <c r="F8" t="n">
        <f>IF(B8&gt;0,B8*VLOOKUP(Intake!$A26,ModelTable,8,FALSE),0)</f>
        <v>0</v>
      </c>
    </row>
    <row r="9" spans="1:6" x14ac:dyDescent="0.25">
      <c r="A9" t="str">
        <f>IF(Intake!$D27="DCFC",Intake!$A27,"")</f>
        <v/>
      </c>
      <c r="B9" t="n">
        <f>IF(Intake!$D27="DCFC",Intake!$B27,0)</f>
        <v>0</v>
      </c>
      <c r="C9" t="str">
        <f>IF(B9&gt;0,Intake!$J$57,"")</f>
        <v/>
      </c>
      <c r="D9" t="n">
        <f>IF(B9&gt;0,B9*VLOOKUP(Intake!$A27,ModelTable,7,FALSE),0)</f>
        <v>0</v>
      </c>
      <c r="E9" t="str">
        <f>IF(B9&gt;0,VLOOKUP(Intake!$A27,ModelTable,8,FALSE),"")</f>
        <v/>
      </c>
      <c r="F9" t="n">
        <f>IF(B9&gt;0,B9*VLOOKUP(Intake!$A27,ModelTable,8,FALSE),0)</f>
        <v>0</v>
      </c>
    </row>
    <row r="10" spans="1:6" x14ac:dyDescent="0.25">
      <c r="A10" t="str">
        <f>IF(Intake!$D28="DCFC",Intake!$A28,"")</f>
        <v/>
      </c>
      <c r="B10" t="n">
        <f>IF(Intake!$D28="DCFC",Intake!$B28,0)</f>
        <v>0</v>
      </c>
      <c r="C10" t="str">
        <f>IF(B10&gt;0,Intake!$J$58,"")</f>
        <v/>
      </c>
      <c r="D10" t="n">
        <f>IF(B10&gt;0,B10*VLOOKUP(Intake!$A28,ModelTable,7,FALSE),0)</f>
        <v>0</v>
      </c>
      <c r="E10" t="str">
        <f>IF(B10&gt;0,VLOOKUP(Intake!$A28,ModelTable,8,FALSE),"")</f>
        <v/>
      </c>
      <c r="F10" t="n">
        <f>IF(B10&gt;0,B10*VLOOKUP(Intake!$A28,ModelTable,8,FALSE),0)</f>
        <v>0</v>
      </c>
    </row>
    <row r="11" spans="1:6" x14ac:dyDescent="0.25">
      <c r="A11" t="str">
        <f>IF(Intake!$D29="DCFC",Intake!$A29,"")</f>
        <v/>
      </c>
      <c r="B11" t="n">
        <f>IF(Intake!$D29="DCFC",Intake!$B29,0)</f>
        <v>0</v>
      </c>
      <c r="C11" t="str">
        <f>IF(B11&gt;0,Intake!$J$59,"")</f>
        <v/>
      </c>
      <c r="D11" t="n">
        <f>IF(B11&gt;0,B11*VLOOKUP(Intake!$A29,ModelTable,7,FALSE),0)</f>
        <v>0</v>
      </c>
      <c r="E11" t="str">
        <f>IF(B11&gt;0,VLOOKUP(Intake!$A29,ModelTable,8,FALSE),"")</f>
        <v/>
      </c>
      <c r="F11" t="n">
        <f>IF(B11&gt;0,B11*VLOOKUP(Intake!$A29,ModelTable,8,FALSE),0)</f>
        <v>0</v>
      </c>
    </row>
    <row r="12" spans="1:6" x14ac:dyDescent="0.25">
      <c r="A12" t="str">
        <f>IF(Intake!$D30="DCFC",Intake!$A30,"")</f>
        <v/>
      </c>
      <c r="B12" t="n">
        <f>IF(Intake!$D30="DCFC",Intake!$B30,0)</f>
        <v>0</v>
      </c>
      <c r="C12" t="str">
        <f>IF(B12&gt;0,Intake!$J$60,"")</f>
        <v/>
      </c>
      <c r="D12" t="n">
        <f>IF(B12&gt;0,B12*VLOOKUP(Intake!$A30,ModelTable,7,FALSE),0)</f>
        <v>0</v>
      </c>
      <c r="E12" t="str">
        <f>IF(B12&gt;0,VLOOKUP(Intake!$A30,ModelTable,8,FALSE),"")</f>
        <v/>
      </c>
      <c r="F12" t="n">
        <f>IF(B12&gt;0,B12*VLOOKUP(Intake!$A30,ModelTable,8,FALSE),0)</f>
        <v>0</v>
      </c>
    </row>
    <row r="13" spans="1:6" x14ac:dyDescent="0.25">
      <c r="A13" t="str">
        <f>IF(Intake!$D31="DCFC",Intake!$A31,"")</f>
        <v/>
      </c>
      <c r="B13" t="n">
        <f>IF(Intake!$D31="DCFC",Intake!$B31,0)</f>
        <v>0</v>
      </c>
      <c r="C13" t="str">
        <f>IF(B13&gt;0,Intake!$J$61,"")</f>
        <v/>
      </c>
      <c r="D13" t="n">
        <f>IF(B13&gt;0,B13*VLOOKUP(Intake!$A31,ModelTable,7,FALSE),0)</f>
        <v>0</v>
      </c>
      <c r="E13" t="str">
        <f>IF(B13&gt;0,VLOOKUP(Intake!$A31,ModelTable,8,FALSE),"")</f>
        <v/>
      </c>
      <c r="F13" t="n">
        <f>IF(B13&gt;0,B13*VLOOKUP(Intake!$A31,ModelTable,8,FALSE),0)</f>
        <v>0</v>
      </c>
    </row>
    <row r="14" spans="1:6" x14ac:dyDescent="0.25">
      <c r="A14" t="str">
        <f>IF(Intake!$D32="DCFC",Intake!$A32,"")</f>
        <v/>
      </c>
      <c r="B14" t="n">
        <f>IF(Intake!$D32="DCFC",Intake!$B32,0)</f>
        <v>0</v>
      </c>
      <c r="C14" t="str">
        <f>IF(B14&gt;0,Intake!$J$62,"")</f>
        <v/>
      </c>
      <c r="D14" t="n">
        <f>IF(B14&gt;0,B14*VLOOKUP(Intake!$A32,ModelTable,7,FALSE),0)</f>
        <v>0</v>
      </c>
      <c r="E14" t="str">
        <f>IF(B14&gt;0,VLOOKUP(Intake!$A32,ModelTable,8,FALSE),"")</f>
        <v/>
      </c>
      <c r="F14" t="n">
        <f>IF(B14&gt;0,B14*VLOOKUP(Intake!$A32,ModelTable,8,FALSE),0)</f>
        <v>0</v>
      </c>
    </row>
    <row r="15" spans="1:6" x14ac:dyDescent="0.25">
      <c r="A15" t="str">
        <f>IF(Intake!$D33="DCFC",Intake!$A33,"")</f>
        <v/>
      </c>
      <c r="B15" t="n">
        <f>IF(Intake!$D33="DCFC",Intake!$B33,0)</f>
        <v>0</v>
      </c>
      <c r="C15" t="str">
        <f>IF(B15&gt;0,Intake!$J$63,"")</f>
        <v/>
      </c>
      <c r="D15" t="n">
        <f>IF(B15&gt;0,B15*VLOOKUP(Intake!$A33,ModelTable,7,FALSE),0)</f>
        <v>0</v>
      </c>
      <c r="E15" t="str">
        <f>IF(B15&gt;0,VLOOKUP(Intake!$A33,ModelTable,8,FALSE),"")</f>
        <v/>
      </c>
      <c r="F15" t="n">
        <f>IF(B15&gt;0,B15*VLOOKUP(Intake!$A33,ModelTable,8,FALSE),0)</f>
        <v>0</v>
      </c>
    </row>
    <row r="16" spans="1:6" x14ac:dyDescent="0.25">
      <c r="A16" t="str">
        <f>IF(Intake!$D34="DCFC",Intake!$A34,"")</f>
        <v/>
      </c>
      <c r="B16" t="n">
        <f>IF(Intake!$D34="DCFC",Intake!$B34,0)</f>
        <v>0</v>
      </c>
      <c r="C16" t="str">
        <f>IF(B16&gt;0,Intake!$J$64,"")</f>
        <v/>
      </c>
      <c r="D16" t="n">
        <f>IF(B16&gt;0,B16*VLOOKUP(Intake!$A34,ModelTable,7,FALSE),0)</f>
        <v>0</v>
      </c>
      <c r="E16" t="str">
        <f>IF(B16&gt;0,VLOOKUP(Intake!$A34,ModelTable,8,FALSE),"")</f>
        <v/>
      </c>
      <c r="F16" t="n">
        <f>IF(B16&gt;0,B16*VLOOKUP(Intake!$A34,ModelTable,8,FALSE),0)</f>
        <v>0</v>
      </c>
    </row>
    <row r="17" spans="1:6" x14ac:dyDescent="0.25">
      <c r="A17" s="4" t="s">
        <v>101</v>
      </c>
      <c r="F17" t="n">
        <f>SUM(F5:F16)</f>
        <v>1590</v>
      </c>
    </row>
    <row r="18" spans="1:6" x14ac:dyDescent="0.25">
      <c r="A18" s="4" t="s">
        <v>102</v>
      </c>
      <c r="F18" t="n">
        <f>IF(AND(NDcfc&gt;0,NumL2&gt;0),TxKvaConnected*1000/(480*SQRT(3)),0)</f>
        <v>50.03702332976758</v>
      </c>
    </row>
    <row r="19" spans="1:6" x14ac:dyDescent="0.25">
      <c r="A19" s="3" t="s">
        <v>103</v>
      </c>
      <c r="F19" t="n">
        <f>F17+F18</f>
        <v>1640.0370233297676</v>
      </c>
    </row>
    <row r="20" spans="1:6" x14ac:dyDescent="0.25">
      <c r="A20" s="3" t="s">
        <v>104</v>
      </c>
      <c r="F20" t="n">
        <f>F19*1.25</f>
        <v>2050.0462791622094</v>
      </c>
    </row>
    <row r="21" spans="1:6" x14ac:dyDescent="0.25">
      <c r="A21" s="3" t="s">
        <v>105</v>
      </c>
      <c r="D21" s="5"/>
      <c r="E21" s="10" t="s">
        <v>106</v>
      </c>
      <c r="F21" t="n">
        <f>IF(NDcfc&gt;0,IF(ISNUMBER($D$21),$D$21,INDEX(SgSizes,MIN(ROWS(SgSizes),COUNTIF(SgSizes,"&lt;"&amp;F20)+1))),0)</f>
        <v>2500</v>
      </c>
    </row>
    <row r="22" spans="1:6" x14ac:dyDescent="0.25">
      <c r="A22" s="3" t="s">
        <v>107</v>
      </c>
      <c r="F22" s="9" t="n">
        <f>IF(NDcfc&gt;0,IFERROR(VLOOKUP(SgSuggested,SgTable,2,FALSE),0),0)</f>
        <v>60000</v>
      </c>
    </row>
    <row r="24" spans="1:1" x14ac:dyDescent="0.25">
      <c r="A24" s="3" t="s">
        <v>108</v>
      </c>
    </row>
    <row r="25" spans="1:6" x14ac:dyDescent="0.25">
      <c r="A25" s="7" t="s">
        <v>18</v>
      </c>
      <c r="B25" s="7" t="s">
        <v>19</v>
      </c>
      <c r="C25" s="7" t="s">
        <v>93</v>
      </c>
      <c r="D25" s="7" t="s">
        <v>98</v>
      </c>
      <c r="E25" s="7" t="s">
        <v>99</v>
      </c>
      <c r="F25" s="7" t="s">
        <v>100</v>
      </c>
    </row>
    <row r="26" spans="1:6" x14ac:dyDescent="0.25">
      <c r="A26" t="str">
        <f>IF(Intake!$D23="L2",Intake!$A23,"")</f>
        <v/>
      </c>
      <c r="B26" t="n">
        <f>IF(Intake!$D23="L2",Intake!$B23,0)</f>
        <v>0</v>
      </c>
      <c r="C26" t="str">
        <f>IF(B26&gt;0,Intake!$J$53,"")</f>
        <v/>
      </c>
      <c r="D26" t="n">
        <f>IF(B26&gt;0,B26*VLOOKUP(Intake!$A23,ModelTable,7,FALSE),0)</f>
        <v>0</v>
      </c>
      <c r="E26" t="str">
        <f>IF(B26&gt;0,VLOOKUP(Intake!$A23,ModelTable,8,FALSE),"")</f>
        <v/>
      </c>
      <c r="F26" t="n">
        <f>IF(B26&gt;0,B26*VLOOKUP(Intake!$A23,ModelTable,8,FALSE),0)</f>
        <v>0</v>
      </c>
    </row>
    <row r="27" spans="1:6" x14ac:dyDescent="0.25">
      <c r="A27" t="str">
        <f>IF(Intake!$D24="L2",Intake!$A24,"")</f>
        <v>L2 Single 40A</v>
      </c>
      <c r="B27" t="n">
        <f>IF(Intake!$D24="L2",Intake!$B24,0)</f>
        <v>5</v>
      </c>
      <c r="C27" t="n">
        <f>IF(B27&gt;0,Intake!$J$54,"")</f>
        <v>50</v>
      </c>
      <c r="D27" t="n">
        <f>IF(B27&gt;0,B27*VLOOKUP(Intake!$A24,ModelTable,7,FALSE),0)</f>
        <v>5</v>
      </c>
      <c r="E27" t="n">
        <f>IF(B27&gt;0,VLOOKUP(Intake!$A24,ModelTable,8,FALSE),"")</f>
        <v>40</v>
      </c>
      <c r="F27" t="n">
        <f>IF(B27&gt;0,B27*VLOOKUP(Intake!$A24,ModelTable,8,FALSE),0)</f>
        <v>200</v>
      </c>
    </row>
    <row r="28" spans="1:6" x14ac:dyDescent="0.25">
      <c r="A28" t="str">
        <f>IF(Intake!$D25="L2",Intake!$A25,"")</f>
        <v/>
      </c>
      <c r="B28" t="n">
        <f>IF(Intake!$D25="L2",Intake!$B25,0)</f>
        <v>0</v>
      </c>
      <c r="C28" t="str">
        <f>IF(B28&gt;0,Intake!$J$55,"")</f>
        <v/>
      </c>
      <c r="D28" t="n">
        <f>IF(B28&gt;0,B28*VLOOKUP(Intake!$A25,ModelTable,7,FALSE),0)</f>
        <v>0</v>
      </c>
      <c r="E28" t="str">
        <f>IF(B28&gt;0,VLOOKUP(Intake!$A25,ModelTable,8,FALSE),"")</f>
        <v/>
      </c>
      <c r="F28" t="n">
        <f>IF(B28&gt;0,B28*VLOOKUP(Intake!$A25,ModelTable,8,FALSE),0)</f>
        <v>0</v>
      </c>
    </row>
    <row r="29" spans="1:6" x14ac:dyDescent="0.25">
      <c r="A29" t="str">
        <f>IF(Intake!$D26="L2",Intake!$A26,"")</f>
        <v/>
      </c>
      <c r="B29" t="n">
        <f>IF(Intake!$D26="L2",Intake!$B26,0)</f>
        <v>0</v>
      </c>
      <c r="C29" t="str">
        <f>IF(B29&gt;0,Intake!$J$56,"")</f>
        <v/>
      </c>
      <c r="D29" t="n">
        <f>IF(B29&gt;0,B29*VLOOKUP(Intake!$A26,ModelTable,7,FALSE),0)</f>
        <v>0</v>
      </c>
      <c r="E29" t="str">
        <f>IF(B29&gt;0,VLOOKUP(Intake!$A26,ModelTable,8,FALSE),"")</f>
        <v/>
      </c>
      <c r="F29" t="n">
        <f>IF(B29&gt;0,B29*VLOOKUP(Intake!$A26,ModelTable,8,FALSE),0)</f>
        <v>0</v>
      </c>
    </row>
    <row r="30" spans="1:6" x14ac:dyDescent="0.25">
      <c r="A30" t="str">
        <f>IF(Intake!$D27="L2",Intake!$A27,"")</f>
        <v/>
      </c>
      <c r="B30" t="n">
        <f>IF(Intake!$D27="L2",Intake!$B27,0)</f>
        <v>0</v>
      </c>
      <c r="C30" t="str">
        <f>IF(B30&gt;0,Intake!$J$57,"")</f>
        <v/>
      </c>
      <c r="D30" t="n">
        <f>IF(B30&gt;0,B30*VLOOKUP(Intake!$A27,ModelTable,7,FALSE),0)</f>
        <v>0</v>
      </c>
      <c r="E30" t="str">
        <f>IF(B30&gt;0,VLOOKUP(Intake!$A27,ModelTable,8,FALSE),"")</f>
        <v/>
      </c>
      <c r="F30" t="n">
        <f>IF(B30&gt;0,B30*VLOOKUP(Intake!$A27,ModelTable,8,FALSE),0)</f>
        <v>0</v>
      </c>
    </row>
    <row r="31" spans="1:6" x14ac:dyDescent="0.25">
      <c r="A31" t="str">
        <f>IF(Intake!$D28="L2",Intake!$A28,"")</f>
        <v/>
      </c>
      <c r="B31" t="n">
        <f>IF(Intake!$D28="L2",Intake!$B28,0)</f>
        <v>0</v>
      </c>
      <c r="C31" t="str">
        <f>IF(B31&gt;0,Intake!$J$58,"")</f>
        <v/>
      </c>
      <c r="D31" t="n">
        <f>IF(B31&gt;0,B31*VLOOKUP(Intake!$A28,ModelTable,7,FALSE),0)</f>
        <v>0</v>
      </c>
      <c r="E31" t="str">
        <f>IF(B31&gt;0,VLOOKUP(Intake!$A28,ModelTable,8,FALSE),"")</f>
        <v/>
      </c>
      <c r="F31" t="n">
        <f>IF(B31&gt;0,B31*VLOOKUP(Intake!$A28,ModelTable,8,FALSE),0)</f>
        <v>0</v>
      </c>
    </row>
    <row r="32" spans="1:6" x14ac:dyDescent="0.25">
      <c r="A32" t="str">
        <f>IF(Intake!$D29="L2",Intake!$A29,"")</f>
        <v/>
      </c>
      <c r="B32" t="n">
        <f>IF(Intake!$D29="L2",Intake!$B29,0)</f>
        <v>0</v>
      </c>
      <c r="C32" t="str">
        <f>IF(B32&gt;0,Intake!$J$59,"")</f>
        <v/>
      </c>
      <c r="D32" t="n">
        <f>IF(B32&gt;0,B32*VLOOKUP(Intake!$A29,ModelTable,7,FALSE),0)</f>
        <v>0</v>
      </c>
      <c r="E32" t="str">
        <f>IF(B32&gt;0,VLOOKUP(Intake!$A29,ModelTable,8,FALSE),"")</f>
        <v/>
      </c>
      <c r="F32" t="n">
        <f>IF(B32&gt;0,B32*VLOOKUP(Intake!$A29,ModelTable,8,FALSE),0)</f>
        <v>0</v>
      </c>
    </row>
    <row r="33" spans="1:6" x14ac:dyDescent="0.25">
      <c r="A33" t="str">
        <f>IF(Intake!$D30="L2",Intake!$A30,"")</f>
        <v/>
      </c>
      <c r="B33" t="n">
        <f>IF(Intake!$D30="L2",Intake!$B30,0)</f>
        <v>0</v>
      </c>
      <c r="C33" t="str">
        <f>IF(B33&gt;0,Intake!$J$60,"")</f>
        <v/>
      </c>
      <c r="D33" t="n">
        <f>IF(B33&gt;0,B33*VLOOKUP(Intake!$A30,ModelTable,7,FALSE),0)</f>
        <v>0</v>
      </c>
      <c r="E33" t="str">
        <f>IF(B33&gt;0,VLOOKUP(Intake!$A30,ModelTable,8,FALSE),"")</f>
        <v/>
      </c>
      <c r="F33" t="n">
        <f>IF(B33&gt;0,B33*VLOOKUP(Intake!$A30,ModelTable,8,FALSE),0)</f>
        <v>0</v>
      </c>
    </row>
    <row r="34" spans="1:6" x14ac:dyDescent="0.25">
      <c r="A34" t="str">
        <f>IF(Intake!$D31="L2",Intake!$A31,"")</f>
        <v/>
      </c>
      <c r="B34" t="n">
        <f>IF(Intake!$D31="L2",Intake!$B31,0)</f>
        <v>0</v>
      </c>
      <c r="C34" t="str">
        <f>IF(B34&gt;0,Intake!$J$61,"")</f>
        <v/>
      </c>
      <c r="D34" t="n">
        <f>IF(B34&gt;0,B34*VLOOKUP(Intake!$A31,ModelTable,7,FALSE),0)</f>
        <v>0</v>
      </c>
      <c r="E34" t="str">
        <f>IF(B34&gt;0,VLOOKUP(Intake!$A31,ModelTable,8,FALSE),"")</f>
        <v/>
      </c>
      <c r="F34" t="n">
        <f>IF(B34&gt;0,B34*VLOOKUP(Intake!$A31,ModelTable,8,FALSE),0)</f>
        <v>0</v>
      </c>
    </row>
    <row r="35" spans="1:6" x14ac:dyDescent="0.25">
      <c r="A35" t="str">
        <f>IF(Intake!$D32="L2",Intake!$A32,"")</f>
        <v/>
      </c>
      <c r="B35" t="n">
        <f>IF(Intake!$D32="L2",Intake!$B32,0)</f>
        <v>0</v>
      </c>
      <c r="C35" t="str">
        <f>IF(B35&gt;0,Intake!$J$62,"")</f>
        <v/>
      </c>
      <c r="D35" t="n">
        <f>IF(B35&gt;0,B35*VLOOKUP(Intake!$A32,ModelTable,7,FALSE),0)</f>
        <v>0</v>
      </c>
      <c r="E35" t="str">
        <f>IF(B35&gt;0,VLOOKUP(Intake!$A32,ModelTable,8,FALSE),"")</f>
        <v/>
      </c>
      <c r="F35" t="n">
        <f>IF(B35&gt;0,B35*VLOOKUP(Intake!$A32,ModelTable,8,FALSE),0)</f>
        <v>0</v>
      </c>
    </row>
    <row r="36" spans="1:6" x14ac:dyDescent="0.25">
      <c r="A36" t="str">
        <f>IF(Intake!$D33="L2",Intake!$A33,"")</f>
        <v/>
      </c>
      <c r="B36" t="n">
        <f>IF(Intake!$D33="L2",Intake!$B33,0)</f>
        <v>0</v>
      </c>
      <c r="C36" t="str">
        <f>IF(B36&gt;0,Intake!$J$63,"")</f>
        <v/>
      </c>
      <c r="D36" t="n">
        <f>IF(B36&gt;0,B36*VLOOKUP(Intake!$A33,ModelTable,7,FALSE),0)</f>
        <v>0</v>
      </c>
      <c r="E36" t="str">
        <f>IF(B36&gt;0,VLOOKUP(Intake!$A33,ModelTable,8,FALSE),"")</f>
        <v/>
      </c>
      <c r="F36" t="n">
        <f>IF(B36&gt;0,B36*VLOOKUP(Intake!$A33,ModelTable,8,FALSE),0)</f>
        <v>0</v>
      </c>
    </row>
    <row r="37" spans="1:6" x14ac:dyDescent="0.25">
      <c r="A37" t="str">
        <f>IF(Intake!$D34="L2",Intake!$A34,"")</f>
        <v/>
      </c>
      <c r="B37" t="n">
        <f>IF(Intake!$D34="L2",Intake!$B34,0)</f>
        <v>0</v>
      </c>
      <c r="C37" t="str">
        <f>IF(B37&gt;0,Intake!$J$64,"")</f>
        <v/>
      </c>
      <c r="D37" t="n">
        <f>IF(B37&gt;0,B37*VLOOKUP(Intake!$A34,ModelTable,7,FALSE),0)</f>
        <v>0</v>
      </c>
      <c r="E37" t="str">
        <f>IF(B37&gt;0,VLOOKUP(Intake!$A34,ModelTable,8,FALSE),"")</f>
        <v/>
      </c>
      <c r="F37" t="n">
        <f>IF(B37&gt;0,B37*VLOOKUP(Intake!$A34,ModelTable,8,FALSE),0)</f>
        <v>0</v>
      </c>
    </row>
    <row r="38" spans="1:6" x14ac:dyDescent="0.25">
      <c r="A38" s="3" t="s">
        <v>109</v>
      </c>
      <c r="F38" t="n">
        <f>SUM(F26:F37)/SQRT(3)</f>
        <v>115.47005383792516</v>
      </c>
    </row>
    <row r="39" spans="1:6" x14ac:dyDescent="0.25">
      <c r="A39" s="3" t="s">
        <v>110</v>
      </c>
      <c r="F39" t="n">
        <f>F38*1.25</f>
        <v>144.33756729740645</v>
      </c>
    </row>
    <row r="40" spans="1:6" x14ac:dyDescent="0.25">
      <c r="A40" s="3" t="s">
        <v>111</v>
      </c>
      <c r="D40" s="5"/>
      <c r="E40" s="10" t="s">
        <v>106</v>
      </c>
      <c r="F40" t="n">
        <f>IF(NumL2&gt;0,IF(ISNUMBER($D$40),$D$40,INDEX(PnlSizes,MIN(ROWS(PnlSizes),COUNTIF(PnlSizes,"&lt;"&amp;F39)+1))),0)</f>
        <v>150</v>
      </c>
    </row>
    <row r="41" spans="1:6" x14ac:dyDescent="0.25">
      <c r="A41" s="4" t="s">
        <v>112</v>
      </c>
      <c r="F41" t="str">
        <f>IF(NumL2=0,"—",IF(F40&gt;=1000,"Distribution panel","Sub-panel"))</f>
        <v>Sub-panel</v>
      </c>
    </row>
    <row r="42" spans="1:6" x14ac:dyDescent="0.25">
      <c r="A42" s="3" t="s">
        <v>113</v>
      </c>
      <c r="F42" s="9" t="n">
        <f>IF(NumL2&gt;0,IFERROR(VLOOKUP(F40,PnlTable,2,FALSE),0),0)</f>
        <v>1000</v>
      </c>
    </row>
    <row r="44" spans="1:1" x14ac:dyDescent="0.25">
      <c r="A44" s="3" t="s">
        <v>114</v>
      </c>
    </row>
    <row r="45" spans="1:6" x14ac:dyDescent="0.25">
      <c r="A45" s="4" t="s">
        <v>115</v>
      </c>
      <c r="F45" t="n">
        <f>IF(AND(NDcfc&gt;0,NumL2&gt;0),F38*208*SQRT(3)/1000,0)</f>
        <v>41.60000000000001</v>
      </c>
    </row>
    <row r="46" spans="1:6" x14ac:dyDescent="0.25">
      <c r="A46" s="4" t="s">
        <v>116</v>
      </c>
      <c r="F46" t="n">
        <f>F45*1.25</f>
        <v>52.000000000000014</v>
      </c>
    </row>
    <row r="47" spans="1:6" x14ac:dyDescent="0.25">
      <c r="A47" s="3" t="s">
        <v>117</v>
      </c>
      <c r="D47" s="5"/>
      <c r="E47" s="10" t="s">
        <v>106</v>
      </c>
      <c r="F47" t="n">
        <f>IF(F45&gt;0,IF(ISNUMBER($D$47),$D$47,INDEX(TxSizes,MIN(ROWS(TxSizes),COUNTIF(TxSizes,"&lt;"&amp;F46)+1))),0)</f>
        <v>75</v>
      </c>
    </row>
    <row r="48" spans="1:6" x14ac:dyDescent="0.25">
      <c r="A48" s="3" t="s">
        <v>118</v>
      </c>
      <c r="F48" s="9" t="n">
        <f>IF(F47&gt;0,IFERROR(VLOOKUP(F47,TxTable,2,FALSE),0),0)</f>
        <v>2970</v>
      </c>
    </row>
    <row r="49" spans="1:6" x14ac:dyDescent="0.25">
      <c r="A49" s="4" t="s">
        <v>119</v>
      </c>
      <c r="F49" t="n">
        <f>IF(F47&gt;0,F47*1000/(480*SQRT(3)),0)</f>
        <v>90.21097956087904</v>
      </c>
    </row>
    <row r="50" spans="1:6" x14ac:dyDescent="0.25">
      <c r="A50" s="4" t="s">
        <v>120</v>
      </c>
      <c r="F50" t="n">
        <f>IF(F47&gt;0,INDEX(StdBrk,MIN(ROWS(StdBrk),COUNTIF(StdBrk,"&lt;"&amp;F49*1.25)+1)),0)</f>
        <v>125</v>
      </c>
    </row>
    <row r="51" spans="1:6" x14ac:dyDescent="0.25">
      <c r="A51" s="4" t="s">
        <v>121</v>
      </c>
      <c r="F51" s="9" t="n">
        <f>IF(F50&gt;0,IFERROR(VLOOKUP(F50,BrkTbl480,2,FALSE),0),0)</f>
        <v>420</v>
      </c>
    </row>
    <row r="52" spans="1:1" x14ac:dyDescent="0.25">
      <c r="A52" s="3" t="s">
        <v>122</v>
      </c>
    </row>
    <row r="53" spans="1:6" x14ac:dyDescent="0.25">
      <c r="A53" s="7" t="s">
        <v>18</v>
      </c>
      <c r="B53" s="7" t="s">
        <v>93</v>
      </c>
      <c r="C53" s="7" t="s">
        <v>123</v>
      </c>
      <c r="D53" s="7" t="s">
        <v>98</v>
      </c>
      <c r="E53" s="7" t="s">
        <v>124</v>
      </c>
      <c r="F53" s="7" t="s">
        <v>125</v>
      </c>
    </row>
    <row r="54" spans="1:6" x14ac:dyDescent="0.25">
      <c r="A54" t="str">
        <f>IF(Intake!$B23&gt;0,Intake!$A23,"")</f>
        <v>DCFC 200kW</v>
      </c>
      <c r="B54" t="n">
        <f>IF(Intake!$B23&gt;0,Intake!$J$53,"")</f>
        <v>350</v>
      </c>
      <c r="C54" t="n">
        <f>IF(Intake!$B23&gt;0,VLOOKUP(Intake!$A23,ModelTable,5,FALSE),"")</f>
        <v>480</v>
      </c>
      <c r="D54" t="n">
        <f>IF(Intake!$B23&gt;0,Intake!$B23*VLOOKUP(Intake!$A23,ModelTable,7,FALSE),0)</f>
        <v>6</v>
      </c>
      <c r="E54" s="9" t="n">
        <f>IF(D54&gt;0,IF(C54=480,IFERROR(VLOOKUP(B54,BrkTbl480,2,FALSE),0),IFERROR(VLOOKUP(B54,BrkTbl208,2,FALSE),0)),0)</f>
        <v>1000</v>
      </c>
      <c r="F54" s="9" t="n">
        <f>D54*E54</f>
        <v>6000</v>
      </c>
    </row>
    <row r="55" spans="1:6" x14ac:dyDescent="0.25">
      <c r="A55" t="str">
        <f>IF(Intake!$B24&gt;0,Intake!$A24,"")</f>
        <v>L2 Single 40A</v>
      </c>
      <c r="B55" t="n">
        <f>IF(Intake!$B24&gt;0,Intake!$J$54,"")</f>
        <v>50</v>
      </c>
      <c r="C55" t="n">
        <f>IF(Intake!$B24&gt;0,VLOOKUP(Intake!$A24,ModelTable,5,FALSE),"")</f>
        <v>208</v>
      </c>
      <c r="D55" t="n">
        <f>IF(Intake!$B24&gt;0,Intake!$B24*VLOOKUP(Intake!$A24,ModelTable,7,FALSE),0)</f>
        <v>5</v>
      </c>
      <c r="E55" s="9" t="n">
        <f>IF(D55&gt;0,IF(C55=480,IFERROR(VLOOKUP(B55,BrkTbl480,2,FALSE),0),IFERROR(VLOOKUP(B55,BrkTbl208,2,FALSE),0)),0)</f>
        <v>75</v>
      </c>
      <c r="F55" s="9" t="n">
        <f>D55*E55</f>
        <v>375</v>
      </c>
    </row>
    <row r="56" spans="1:6" x14ac:dyDescent="0.25">
      <c r="A56" t="str">
        <f>IF(Intake!$B25&gt;0,Intake!$A25,"")</f>
        <v/>
      </c>
      <c r="B56" t="str">
        <f>IF(Intake!$B25&gt;0,Intake!$J$55,"")</f>
        <v/>
      </c>
      <c r="C56" t="str">
        <f>IF(Intake!$B25&gt;0,VLOOKUP(Intake!$A25,ModelTable,5,FALSE),"")</f>
        <v/>
      </c>
      <c r="D56" t="n">
        <f>IF(Intake!$B25&gt;0,Intake!$B25*VLOOKUP(Intake!$A25,ModelTable,7,FALSE),0)</f>
        <v>0</v>
      </c>
      <c r="E56" s="9" t="n">
        <f>IF(D56&gt;0,IF(C56=480,IFERROR(VLOOKUP(B56,BrkTbl480,2,FALSE),0),IFERROR(VLOOKUP(B56,BrkTbl208,2,FALSE),0)),0)</f>
        <v>0</v>
      </c>
      <c r="F56" s="9" t="n">
        <f>D56*E56</f>
        <v>0</v>
      </c>
    </row>
    <row r="57" spans="1:6" x14ac:dyDescent="0.25">
      <c r="A57" t="str">
        <f>IF(Intake!$B26&gt;0,Intake!$A26,"")</f>
        <v/>
      </c>
      <c r="B57" t="str">
        <f>IF(Intake!$B26&gt;0,Intake!$J$56,"")</f>
        <v/>
      </c>
      <c r="C57" t="str">
        <f>IF(Intake!$B26&gt;0,VLOOKUP(Intake!$A26,ModelTable,5,FALSE),"")</f>
        <v/>
      </c>
      <c r="D57" t="n">
        <f>IF(Intake!$B26&gt;0,Intake!$B26*VLOOKUP(Intake!$A26,ModelTable,7,FALSE),0)</f>
        <v>0</v>
      </c>
      <c r="E57" s="9" t="n">
        <f>IF(D57&gt;0,IF(C57=480,IFERROR(VLOOKUP(B57,BrkTbl480,2,FALSE),0),IFERROR(VLOOKUP(B57,BrkTbl208,2,FALSE),0)),0)</f>
        <v>0</v>
      </c>
      <c r="F57" s="9" t="n">
        <f>D57*E57</f>
        <v>0</v>
      </c>
    </row>
    <row r="58" spans="1:6" x14ac:dyDescent="0.25">
      <c r="A58" t="str">
        <f>IF(Intake!$B27&gt;0,Intake!$A27,"")</f>
        <v/>
      </c>
      <c r="B58" t="str">
        <f>IF(Intake!$B27&gt;0,Intake!$J$57,"")</f>
        <v/>
      </c>
      <c r="C58" t="str">
        <f>IF(Intake!$B27&gt;0,VLOOKUP(Intake!$A27,ModelTable,5,FALSE),"")</f>
        <v/>
      </c>
      <c r="D58" t="n">
        <f>IF(Intake!$B27&gt;0,Intake!$B27*VLOOKUP(Intake!$A27,ModelTable,7,FALSE),0)</f>
        <v>0</v>
      </c>
      <c r="E58" s="9" t="n">
        <f>IF(D58&gt;0,IF(C58=480,IFERROR(VLOOKUP(B58,BrkTbl480,2,FALSE),0),IFERROR(VLOOKUP(B58,BrkTbl208,2,FALSE),0)),0)</f>
        <v>0</v>
      </c>
      <c r="F58" s="9" t="n">
        <f>D58*E58</f>
        <v>0</v>
      </c>
    </row>
    <row r="59" spans="1:6" x14ac:dyDescent="0.25">
      <c r="A59" t="str">
        <f>IF(Intake!$B28&gt;0,Intake!$A28,"")</f>
        <v/>
      </c>
      <c r="B59" t="str">
        <f>IF(Intake!$B28&gt;0,Intake!$J$58,"")</f>
        <v/>
      </c>
      <c r="C59" t="str">
        <f>IF(Intake!$B28&gt;0,VLOOKUP(Intake!$A28,ModelTable,5,FALSE),"")</f>
        <v/>
      </c>
      <c r="D59" t="n">
        <f>IF(Intake!$B28&gt;0,Intake!$B28*VLOOKUP(Intake!$A28,ModelTable,7,FALSE),0)</f>
        <v>0</v>
      </c>
      <c r="E59" s="9" t="n">
        <f>IF(D59&gt;0,IF(C59=480,IFERROR(VLOOKUP(B59,BrkTbl480,2,FALSE),0),IFERROR(VLOOKUP(B59,BrkTbl208,2,FALSE),0)),0)</f>
        <v>0</v>
      </c>
      <c r="F59" s="9" t="n">
        <f>D59*E59</f>
        <v>0</v>
      </c>
    </row>
    <row r="60" spans="1:6" x14ac:dyDescent="0.25">
      <c r="A60" t="str">
        <f>IF(Intake!$B29&gt;0,Intake!$A29,"")</f>
        <v/>
      </c>
      <c r="B60" t="str">
        <f>IF(Intake!$B29&gt;0,Intake!$J$59,"")</f>
        <v/>
      </c>
      <c r="C60" t="str">
        <f>IF(Intake!$B29&gt;0,VLOOKUP(Intake!$A29,ModelTable,5,FALSE),"")</f>
        <v/>
      </c>
      <c r="D60" t="n">
        <f>IF(Intake!$B29&gt;0,Intake!$B29*VLOOKUP(Intake!$A29,ModelTable,7,FALSE),0)</f>
        <v>0</v>
      </c>
      <c r="E60" s="9" t="n">
        <f>IF(D60&gt;0,IF(C60=480,IFERROR(VLOOKUP(B60,BrkTbl480,2,FALSE),0),IFERROR(VLOOKUP(B60,BrkTbl208,2,FALSE),0)),0)</f>
        <v>0</v>
      </c>
      <c r="F60" s="9" t="n">
        <f>D60*E60</f>
        <v>0</v>
      </c>
    </row>
    <row r="61" spans="1:6" x14ac:dyDescent="0.25">
      <c r="A61" t="str">
        <f>IF(Intake!$B30&gt;0,Intake!$A30,"")</f>
        <v/>
      </c>
      <c r="B61" t="str">
        <f>IF(Intake!$B30&gt;0,Intake!$J$60,"")</f>
        <v/>
      </c>
      <c r="C61" t="str">
        <f>IF(Intake!$B30&gt;0,VLOOKUP(Intake!$A30,ModelTable,5,FALSE),"")</f>
        <v/>
      </c>
      <c r="D61" t="n">
        <f>IF(Intake!$B30&gt;0,Intake!$B30*VLOOKUP(Intake!$A30,ModelTable,7,FALSE),0)</f>
        <v>0</v>
      </c>
      <c r="E61" s="9" t="n">
        <f>IF(D61&gt;0,IF(C61=480,IFERROR(VLOOKUP(B61,BrkTbl480,2,FALSE),0),IFERROR(VLOOKUP(B61,BrkTbl208,2,FALSE),0)),0)</f>
        <v>0</v>
      </c>
      <c r="F61" s="9" t="n">
        <f>D61*E61</f>
        <v>0</v>
      </c>
    </row>
    <row r="62" spans="1:6" x14ac:dyDescent="0.25">
      <c r="A62" t="str">
        <f>IF(Intake!$B31&gt;0,Intake!$A31,"")</f>
        <v/>
      </c>
      <c r="B62" t="str">
        <f>IF(Intake!$B31&gt;0,Intake!$J$61,"")</f>
        <v/>
      </c>
      <c r="C62" t="str">
        <f>IF(Intake!$B31&gt;0,VLOOKUP(Intake!$A31,ModelTable,5,FALSE),"")</f>
        <v/>
      </c>
      <c r="D62" t="n">
        <f>IF(Intake!$B31&gt;0,Intake!$B31*VLOOKUP(Intake!$A31,ModelTable,7,FALSE),0)</f>
        <v>0</v>
      </c>
      <c r="E62" s="9" t="n">
        <f>IF(D62&gt;0,IF(C62=480,IFERROR(VLOOKUP(B62,BrkTbl480,2,FALSE),0),IFERROR(VLOOKUP(B62,BrkTbl208,2,FALSE),0)),0)</f>
        <v>0</v>
      </c>
      <c r="F62" s="9" t="n">
        <f>D62*E62</f>
        <v>0</v>
      </c>
    </row>
    <row r="63" spans="1:6" x14ac:dyDescent="0.25">
      <c r="A63" t="str">
        <f>IF(Intake!$B32&gt;0,Intake!$A32,"")</f>
        <v/>
      </c>
      <c r="B63" t="str">
        <f>IF(Intake!$B32&gt;0,Intake!$J$62,"")</f>
        <v/>
      </c>
      <c r="C63" t="str">
        <f>IF(Intake!$B32&gt;0,VLOOKUP(Intake!$A32,ModelTable,5,FALSE),"")</f>
        <v/>
      </c>
      <c r="D63" t="n">
        <f>IF(Intake!$B32&gt;0,Intake!$B32*VLOOKUP(Intake!$A32,ModelTable,7,FALSE),0)</f>
        <v>0</v>
      </c>
      <c r="E63" s="9" t="n">
        <f>IF(D63&gt;0,IF(C63=480,IFERROR(VLOOKUP(B63,BrkTbl480,2,FALSE),0),IFERROR(VLOOKUP(B63,BrkTbl208,2,FALSE),0)),0)</f>
        <v>0</v>
      </c>
      <c r="F63" s="9" t="n">
        <f>D63*E63</f>
        <v>0</v>
      </c>
    </row>
    <row r="64" spans="1:6" x14ac:dyDescent="0.25">
      <c r="A64" t="str">
        <f>IF(Intake!$B33&gt;0,Intake!$A33,"")</f>
        <v/>
      </c>
      <c r="B64" t="str">
        <f>IF(Intake!$B33&gt;0,Intake!$J$63,"")</f>
        <v/>
      </c>
      <c r="C64" t="str">
        <f>IF(Intake!$B33&gt;0,VLOOKUP(Intake!$A33,ModelTable,5,FALSE),"")</f>
        <v/>
      </c>
      <c r="D64" t="n">
        <f>IF(Intake!$B33&gt;0,Intake!$B33*VLOOKUP(Intake!$A33,ModelTable,7,FALSE),0)</f>
        <v>0</v>
      </c>
      <c r="E64" s="9" t="n">
        <f>IF(D64&gt;0,IF(C64=480,IFERROR(VLOOKUP(B64,BrkTbl480,2,FALSE),0),IFERROR(VLOOKUP(B64,BrkTbl208,2,FALSE),0)),0)</f>
        <v>0</v>
      </c>
      <c r="F64" s="9" t="n">
        <f>D64*E64</f>
        <v>0</v>
      </c>
    </row>
    <row r="65" spans="1:6" x14ac:dyDescent="0.25">
      <c r="A65" t="str">
        <f>IF(Intake!$B34&gt;0,Intake!$A34,"")</f>
        <v/>
      </c>
      <c r="B65" t="str">
        <f>IF(Intake!$B34&gt;0,Intake!$J$64,"")</f>
        <v/>
      </c>
      <c r="C65" t="str">
        <f>IF(Intake!$B34&gt;0,VLOOKUP(Intake!$A34,ModelTable,5,FALSE),"")</f>
        <v/>
      </c>
      <c r="D65" t="n">
        <f>IF(Intake!$B34&gt;0,Intake!$B34*VLOOKUP(Intake!$A34,ModelTable,7,FALSE),0)</f>
        <v>0</v>
      </c>
      <c r="E65" s="9" t="n">
        <f>IF(D65&gt;0,IF(C65=480,IFERROR(VLOOKUP(B65,BrkTbl480,2,FALSE),0),IFERROR(VLOOKUP(B65,BrkTbl208,2,FALSE),0)),0)</f>
        <v>0</v>
      </c>
      <c r="F65" s="9" t="n">
        <f>D65*E65</f>
        <v>0</v>
      </c>
    </row>
    <row r="66" spans="1:6" x14ac:dyDescent="0.25">
      <c r="A66" s="3" t="s">
        <v>126</v>
      </c>
      <c r="F66" s="9" t="n">
        <f>SUM(F54:F65)+F51</f>
        <v>6795</v>
      </c>
    </row>
    <row r="68" spans="1:6" x14ac:dyDescent="0.25">
      <c r="A68" s="19" t="s">
        <v>127</v>
      </c>
      <c r="F68" s="20" t="n">
        <f>F22+F42+F48+F66</f>
        <v>70765</v>
      </c>
    </row>
    <row r="70" spans="1:1" x14ac:dyDescent="0.25">
      <c r="A70" s="21" t="s">
        <v>128</v>
      </c>
    </row>
    <row r="71" spans="1:1" x14ac:dyDescent="0.25">
      <c r="A71" s="2" t="s">
        <v>129</v>
      </c>
    </row>
  </sheetData>
  <dataValidations count="3">
    <dataValidation type="list" allowBlank="1" sqref="D21">
      <formula1>SgSizes</formula1>
    </dataValidation>
    <dataValidation type="list" allowBlank="1" sqref="D40">
      <formula1>PnlSizes</formula1>
    </dataValidation>
    <dataValidation type="list" allowBlank="1" sqref="D47">
      <formula1>TxSizes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132</v>
      </c>
      <c r="D3" s="23" t="s">
        <v>133</v>
      </c>
      <c r="E3" t="s">
        <v>134</v>
      </c>
      <c r="H3" s="23" t="s">
        <v>135</v>
      </c>
      <c r="I3" t="s">
        <v>136</v>
      </c>
      <c r="M3" s="23" t="s">
        <v>137</v>
      </c>
      <c r="N3" t="str">
        <f>SgSuggested&amp;" A 3P"</f>
        <v>2500 A 3P</v>
      </c>
      <c r="S3" t="n">
        <f>IF(Intake!$D$23="DCFC",Intake!$B$23*IFERROR(VLOOKUP(Intake!$A$23,ModelTable,7,FALSE),0),0)</f>
        <v>6</v>
      </c>
      <c r="T3">
        <v>0</v>
      </c>
    </row>
    <row r="4" spans="4:20" x14ac:dyDescent="0.25">
      <c r="D4" s="23" t="s">
        <v>138</v>
      </c>
      <c r="E4" t="str">
        <f>"UTILITY"</f>
        <v>UTILITY</v>
      </c>
      <c r="H4" s="23" t="s">
        <v>139</v>
      </c>
      <c r="I4" t="s">
        <v>140</v>
      </c>
      <c r="M4" s="23" t="s">
        <v>141</v>
      </c>
      <c r="N4" t="str">
        <f>SgSuggested&amp;" A"</f>
        <v>2500 A</v>
      </c>
      <c r="S4" t="n">
        <f>IF(Intake!$D$24="DCFC",Intake!$B$24*IFERROR(VLOOKUP(Intake!$A$24,ModelTable,7,FALSE),0),0)</f>
        <v>0</v>
      </c>
      <c r="T4" t="n">
        <f>T3+S3</f>
        <v>6</v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147</v>
      </c>
      <c r="S5" t="n">
        <f>IF(Intake!$D$25="DCFC",Intake!$B$25*IFERROR(VLOOKUP(Intake!$A$25,ModelTable,7,FALSE),0),0)</f>
        <v>0</v>
      </c>
      <c r="T5" t="n">
        <f>T4+S4</f>
        <v>6</v>
      </c>
    </row>
    <row r="6" spans="19:20" x14ac:dyDescent="0.25">
      <c r="S6" t="n">
        <f>IF(Intake!$D$26="DCFC",Intake!$B$26*IFERROR(VLOOKUP(Intake!$A$26,ModelTable,7,FALSE),0),0)</f>
        <v>0</v>
      </c>
      <c r="T6" t="n">
        <f>T5+S5</f>
        <v>6</v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 t="n">
        <f>IF(Intake!$D$27="DCFC",Intake!$B$27*IFERROR(VLOOKUP(Intake!$A$27,ModelTable,7,FALSE),0),0)</f>
        <v>0</v>
      </c>
      <c r="T7" t="n">
        <f>T6+S6</f>
        <v>6</v>
      </c>
    </row>
    <row r="8" spans="1:20" x14ac:dyDescent="0.25">
      <c r="A8" t="s">
        <v>152</v>
      </c>
      <c r="B8" s="25">
        <v>1</v>
      </c>
      <c r="C8" s="25" t="str">
        <f>IF($AA$17=1,$X$17,"")</f>
        <v>DCFC 200KW #1</v>
      </c>
      <c r="D8" s="25" t="n">
        <f>IF($AA$17=1,$Y$17,"")</f>
        <v>350</v>
      </c>
      <c r="E8" s="25" t="n">
        <f>IF($AA$17=1,3,"")</f>
        <v>3</v>
      </c>
      <c r="F8" s="25" t="n">
        <f>IF($AA$17=1,ROUND($Z$17,0),"")</f>
        <v>73439</v>
      </c>
      <c r="G8" s="25" t="n">
        <f>IF($AA$18=1,ROUND($Z$18,0),"")</f>
        <v>73439</v>
      </c>
      <c r="H8" s="25"/>
      <c r="I8" s="25"/>
      <c r="J8" s="25"/>
      <c r="K8" s="25"/>
      <c r="L8" s="25" t="n">
        <f>IF($AA$18=1,3,"")</f>
        <v>3</v>
      </c>
      <c r="M8" s="25" t="n">
        <f>IF($AA$18=1,$Y$18,"")</f>
        <v>350</v>
      </c>
      <c r="N8" s="25" t="str">
        <f>IF($AA$18=1,$X$18,"")</f>
        <v>DCFC 200KW #2</v>
      </c>
      <c r="O8" s="25">
        <v>2</v>
      </c>
      <c r="P8" t="s">
        <v>152</v>
      </c>
      <c r="S8" t="n">
        <f>IF(Intake!$D$28="DCFC",Intake!$B$28*IFERROR(VLOOKUP(Intake!$A$28,ModelTable,7,FALSE),0),0)</f>
        <v>0</v>
      </c>
      <c r="T8" t="n">
        <f>T7+S7</f>
        <v>6</v>
      </c>
    </row>
    <row r="9" spans="1:20" x14ac:dyDescent="0.25">
      <c r="A9" t="s">
        <v>153</v>
      </c>
      <c r="B9" s="25">
        <v>3</v>
      </c>
      <c r="C9" s="25" t="str">
        <f>IF($AA$17=1,"---","")</f>
        <v>---</v>
      </c>
      <c r="D9" s="25"/>
      <c r="E9" s="25"/>
      <c r="F9" s="25"/>
      <c r="G9" s="25"/>
      <c r="H9" s="25" t="n">
        <f>IF($AA$17=1,ROUND($Z$17,0),"")</f>
        <v>73439</v>
      </c>
      <c r="I9" s="25" t="n">
        <f>IF($AA$18=1,ROUND($Z$18,0),"")</f>
        <v>73439</v>
      </c>
      <c r="J9" s="25"/>
      <c r="K9" s="25"/>
      <c r="L9" s="25"/>
      <c r="M9" s="25"/>
      <c r="N9" s="25" t="str">
        <f>IF($AA$18=1,"---","")</f>
        <v>---</v>
      </c>
      <c r="O9" s="25">
        <v>4</v>
      </c>
      <c r="P9" t="s">
        <v>153</v>
      </c>
      <c r="S9" t="n">
        <f>IF(Intake!$D$29="DCFC",Intake!$B$29*IFERROR(VLOOKUP(Intake!$A$29,ModelTable,7,FALSE),0),0)</f>
        <v>0</v>
      </c>
      <c r="T9" t="n">
        <f>T8+S8</f>
        <v>6</v>
      </c>
    </row>
    <row r="10" spans="1:20" x14ac:dyDescent="0.25">
      <c r="A10" t="s">
        <v>154</v>
      </c>
      <c r="B10" s="25">
        <v>5</v>
      </c>
      <c r="C10" s="25" t="str">
        <f>IF($AA$17=1,"---","")</f>
        <v>---</v>
      </c>
      <c r="D10" s="25"/>
      <c r="E10" s="25"/>
      <c r="F10" s="25"/>
      <c r="G10" s="25"/>
      <c r="H10" s="25"/>
      <c r="I10" s="25"/>
      <c r="J10" s="25" t="n">
        <f>IF($AA$17=1,ROUND($Z$17,0),"")</f>
        <v>73439</v>
      </c>
      <c r="K10" s="25" t="n">
        <f>IF($AA$18=1,ROUND($Z$18,0),"")</f>
        <v>73439</v>
      </c>
      <c r="L10" s="25"/>
      <c r="M10" s="25"/>
      <c r="N10" s="25" t="str">
        <f>IF($AA$18=1,"---","")</f>
        <v>---</v>
      </c>
      <c r="O10" s="25">
        <v>6</v>
      </c>
      <c r="P10" t="s">
        <v>154</v>
      </c>
      <c r="S10" t="n">
        <f>IF(Intake!$D$30="DCFC",Intake!$B$30*IFERROR(VLOOKUP(Intake!$A$30,ModelTable,7,FALSE),0),0)</f>
        <v>0</v>
      </c>
      <c r="T10" t="n">
        <f>T9+S9</f>
        <v>6</v>
      </c>
    </row>
    <row r="11" spans="1:20" x14ac:dyDescent="0.25">
      <c r="A11" t="s">
        <v>152</v>
      </c>
      <c r="B11" s="25">
        <v>7</v>
      </c>
      <c r="C11" s="25" t="str">
        <f>IF($AA$19=1,$X$19,"")</f>
        <v>DCFC 200KW #3</v>
      </c>
      <c r="D11" s="25" t="n">
        <f>IF($AA$19=1,$Y$19,"")</f>
        <v>350</v>
      </c>
      <c r="E11" s="25" t="n">
        <f>IF($AA$19=1,3,"")</f>
        <v>3</v>
      </c>
      <c r="F11" s="25" t="n">
        <f>IF($AA$19=1,ROUND($Z$19,0),"")</f>
        <v>73439</v>
      </c>
      <c r="G11" s="25" t="n">
        <f>IF($AA$20=1,ROUND($Z$20,0),"")</f>
        <v>73439</v>
      </c>
      <c r="H11" s="25"/>
      <c r="I11" s="25"/>
      <c r="J11" s="25"/>
      <c r="K11" s="25"/>
      <c r="L11" s="25" t="n">
        <f>IF($AA$20=1,3,"")</f>
        <v>3</v>
      </c>
      <c r="M11" s="25" t="n">
        <f>IF($AA$20=1,$Y$20,"")</f>
        <v>350</v>
      </c>
      <c r="N11" s="25" t="str">
        <f>IF($AA$20=1,$X$20,"")</f>
        <v>DCFC 200KW #4</v>
      </c>
      <c r="O11" s="25">
        <v>8</v>
      </c>
      <c r="P11" t="s">
        <v>152</v>
      </c>
      <c r="S11" t="n">
        <f>IF(Intake!$D$31="DCFC",Intake!$B$31*IFERROR(VLOOKUP(Intake!$A$31,ModelTable,7,FALSE),0),0)</f>
        <v>0</v>
      </c>
      <c r="T11" t="n">
        <f>T10+S10</f>
        <v>6</v>
      </c>
    </row>
    <row r="12" spans="1:20" x14ac:dyDescent="0.25">
      <c r="A12" t="s">
        <v>153</v>
      </c>
      <c r="B12" s="25">
        <v>9</v>
      </c>
      <c r="C12" s="25" t="str">
        <f>IF($AA$19=1,"---","")</f>
        <v>---</v>
      </c>
      <c r="D12" s="25"/>
      <c r="E12" s="25"/>
      <c r="F12" s="25"/>
      <c r="G12" s="25"/>
      <c r="H12" s="25" t="n">
        <f>IF($AA$19=1,ROUND($Z$19,0),"")</f>
        <v>73439</v>
      </c>
      <c r="I12" s="25" t="n">
        <f>IF($AA$20=1,ROUND($Z$20,0),"")</f>
        <v>73439</v>
      </c>
      <c r="J12" s="25"/>
      <c r="K12" s="25"/>
      <c r="L12" s="25"/>
      <c r="M12" s="25"/>
      <c r="N12" s="25" t="str">
        <f>IF($AA$20=1,"---","")</f>
        <v>---</v>
      </c>
      <c r="O12" s="25">
        <v>10</v>
      </c>
      <c r="P12" t="s">
        <v>153</v>
      </c>
      <c r="S12" t="n">
        <f>IF(Intake!$D$32="DCFC",Intake!$B$32*IFERROR(VLOOKUP(Intake!$A$32,ModelTable,7,FALSE),0),0)</f>
        <v>0</v>
      </c>
      <c r="T12" t="n">
        <f>T11+S11</f>
        <v>6</v>
      </c>
    </row>
    <row r="13" spans="1:20" x14ac:dyDescent="0.25">
      <c r="A13" t="s">
        <v>154</v>
      </c>
      <c r="B13" s="25">
        <v>11</v>
      </c>
      <c r="C13" s="25" t="str">
        <f>IF($AA$19=1,"---","")</f>
        <v>---</v>
      </c>
      <c r="D13" s="25"/>
      <c r="E13" s="25"/>
      <c r="F13" s="25"/>
      <c r="G13" s="25"/>
      <c r="H13" s="25"/>
      <c r="I13" s="25"/>
      <c r="J13" s="25" t="n">
        <f>IF($AA$19=1,ROUND($Z$19,0),"")</f>
        <v>73439</v>
      </c>
      <c r="K13" s="25" t="n">
        <f>IF($AA$20=1,ROUND($Z$20,0),"")</f>
        <v>73439</v>
      </c>
      <c r="L13" s="25"/>
      <c r="M13" s="25"/>
      <c r="N13" s="25" t="str">
        <f>IF($AA$20=1,"---","")</f>
        <v>---</v>
      </c>
      <c r="O13" s="25">
        <v>12</v>
      </c>
      <c r="P13" t="s">
        <v>154</v>
      </c>
      <c r="S13" t="n">
        <f>IF(Intake!$D$33="DCFC",Intake!$B$33*IFERROR(VLOOKUP(Intake!$A$33,ModelTable,7,FALSE),0),0)</f>
        <v>0</v>
      </c>
      <c r="T13" t="n">
        <f>T12+S12</f>
        <v>6</v>
      </c>
    </row>
    <row r="14" spans="1:20" x14ac:dyDescent="0.25">
      <c r="A14" t="s">
        <v>152</v>
      </c>
      <c r="B14" s="25">
        <v>13</v>
      </c>
      <c r="C14" s="25" t="str">
        <f>IF($AA$21=1,$X$21,"")</f>
        <v>DCFC 200KW #5</v>
      </c>
      <c r="D14" s="25" t="n">
        <f>IF($AA$21=1,$Y$21,"")</f>
        <v>350</v>
      </c>
      <c r="E14" s="25" t="n">
        <f>IF($AA$21=1,3,"")</f>
        <v>3</v>
      </c>
      <c r="F14" s="25" t="n">
        <f>IF($AA$21=1,ROUND($Z$21,0),"")</f>
        <v>73439</v>
      </c>
      <c r="G14" s="25" t="n">
        <f>IF($AA$22=1,ROUND($Z$22,0),"")</f>
        <v>73439</v>
      </c>
      <c r="H14" s="25"/>
      <c r="I14" s="25"/>
      <c r="J14" s="25"/>
      <c r="K14" s="25"/>
      <c r="L14" s="25" t="n">
        <f>IF($AA$22=1,3,"")</f>
        <v>3</v>
      </c>
      <c r="M14" s="25" t="n">
        <f>IF($AA$22=1,$Y$22,"")</f>
        <v>350</v>
      </c>
      <c r="N14" s="25" t="str">
        <f>IF($AA$22=1,$X$22,"")</f>
        <v>DCFC 200KW #6</v>
      </c>
      <c r="O14" s="25">
        <v>14</v>
      </c>
      <c r="P14" t="s">
        <v>152</v>
      </c>
      <c r="S14" t="n">
        <f>IF(Intake!$D$34="DCFC",Intake!$B$34*IFERROR(VLOOKUP(Intake!$A$34,ModelTable,7,FALSE),0),0)</f>
        <v>0</v>
      </c>
      <c r="T14" t="n">
        <f>T13+S13</f>
        <v>6</v>
      </c>
    </row>
    <row r="15" spans="1:19" x14ac:dyDescent="0.25">
      <c r="A15" t="s">
        <v>153</v>
      </c>
      <c r="B15" s="25">
        <v>15</v>
      </c>
      <c r="C15" s="25" t="str">
        <f>IF($AA$21=1,"---","")</f>
        <v>---</v>
      </c>
      <c r="D15" s="25"/>
      <c r="E15" s="25"/>
      <c r="F15" s="25"/>
      <c r="G15" s="25"/>
      <c r="H15" s="25" t="n">
        <f>IF($AA$21=1,ROUND($Z$21,0),"")</f>
        <v>73439</v>
      </c>
      <c r="I15" s="25" t="n">
        <f>IF($AA$22=1,ROUND($Z$22,0),"")</f>
        <v>73439</v>
      </c>
      <c r="J15" s="25"/>
      <c r="K15" s="25"/>
      <c r="L15" s="25"/>
      <c r="M15" s="25"/>
      <c r="N15" s="25" t="str">
        <f>IF($AA$22=1,"---","")</f>
        <v>---</v>
      </c>
      <c r="O15" s="25">
        <v>16</v>
      </c>
      <c r="P15" t="s">
        <v>153</v>
      </c>
      <c r="R15" s="26" t="s">
        <v>155</v>
      </c>
      <c r="S15" t="n">
        <f>SUM(S3:S14)</f>
        <v>6</v>
      </c>
    </row>
    <row r="16" spans="1:16" x14ac:dyDescent="0.25">
      <c r="A16" t="s">
        <v>154</v>
      </c>
      <c r="B16" s="25">
        <v>17</v>
      </c>
      <c r="C16" s="25" t="str">
        <f>IF($AA$21=1,"---","")</f>
        <v>---</v>
      </c>
      <c r="D16" s="25"/>
      <c r="E16" s="25"/>
      <c r="F16" s="25"/>
      <c r="G16" s="25"/>
      <c r="H16" s="25"/>
      <c r="I16" s="25"/>
      <c r="J16" s="25" t="n">
        <f>IF($AA$21=1,ROUND($Z$21,0),"")</f>
        <v>73439</v>
      </c>
      <c r="K16" s="25" t="n">
        <f>IF($AA$22=1,ROUND($Z$22,0),"")</f>
        <v>73439</v>
      </c>
      <c r="L16" s="25"/>
      <c r="M16" s="25"/>
      <c r="N16" s="25" t="str">
        <f>IF($AA$22=1,"---","")</f>
        <v>---</v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 t="str">
        <f>IF($AA$23=1,$X$23,"")</f>
        <v>XFMR 75 KVA - EV_SUB (208V)</v>
      </c>
      <c r="D17" s="25" t="n">
        <f>IF($AA$23=1,$Y$23,"")</f>
        <v>125</v>
      </c>
      <c r="E17" s="25" t="n">
        <f>IF($AA$23=1,3,"")</f>
        <v>3</v>
      </c>
      <c r="F17" s="25" t="n">
        <f>IF($AA$23=1,ROUND($Z$23,0),"")</f>
        <v>13867</v>
      </c>
      <c r="G17" s="25" t="str">
        <f>IF($AA$24=1,ROUND($Z$24,0),"")</f>
        <v/>
      </c>
      <c r="H17" s="25"/>
      <c r="I17" s="25"/>
      <c r="J17" s="25"/>
      <c r="K17" s="25"/>
      <c r="L17" s="25" t="str">
        <f>IF($AA$24=1,3,"")</f>
        <v/>
      </c>
      <c r="M17" s="25" t="str">
        <f>IF($AA$24=1,$Y$24,"")</f>
        <v/>
      </c>
      <c r="N17" s="25" t="str">
        <f>IF($AA$24=1,$X$24,"")</f>
        <v/>
      </c>
      <c r="O17" s="25">
        <v>20</v>
      </c>
      <c r="P17" t="s">
        <v>152</v>
      </c>
      <c r="S17">
        <v>1</v>
      </c>
      <c r="T17" t="n">
        <f>IF(S17&lt;=$S$15,MATCH(S17-0.5,$T$3:$T$14,1),0)</f>
        <v>1</v>
      </c>
      <c r="U17" t="n">
        <f>IF(T17&gt;0,S17-INDEX($T$3:$T$14,T17),0)</f>
        <v>1</v>
      </c>
      <c r="V17" t="str">
        <f>IF(T17&gt;0,INDEX(Intake!$A$23:$A$34,T17),"")</f>
        <v>DCFC 200kW</v>
      </c>
      <c r="W17" t="n">
        <f>IF(T17&gt;0,IFERROR(VLOOKUP(V17,ModelTable,7,FALSE),1),1)</f>
        <v>1</v>
      </c>
      <c r="X17" t="str">
        <f>IF(T17&gt;0,UPPER(V17)&amp;" #"&amp;U17,IF(S17=$S$15+1,IF(TxKvaSuggested&gt;0,"XFMR "&amp;TxKvaSuggested&amp;" KVA - EV_SUB (208V)",""),""))</f>
        <v>DCFC 200KW #1</v>
      </c>
      <c r="Y17" t="n">
        <f>IF(T17&gt;0,IFERROR(INDEX(Intake!$J$53:$J$64,T17),0),IF(S17=$S$15+1,IF(TxKvaSuggested&gt;0,Panel!$F$50,0),0))</f>
        <v>350</v>
      </c>
      <c r="Z17" t="n">
        <f>IF(T17&gt;0,IFERROR(VLOOKUP(V17,ModelTable,11,FALSE),0)*480/SQRT(3),IF(S17=$S$15+1,IF(TxKvaSuggested&gt;0,TxKvaConnected*1000/3,0),0))</f>
        <v>73438.9542409204</v>
      </c>
      <c r="AA17" t="n">
        <f>IF(S17&lt;=$S$15,1,IF(S17=$S$15+1,IF(TxKvaSuggested&gt;0,1,0),0))</f>
        <v>1</v>
      </c>
    </row>
    <row r="18" spans="1:27" x14ac:dyDescent="0.25">
      <c r="A18" t="s">
        <v>153</v>
      </c>
      <c r="B18" s="25">
        <v>21</v>
      </c>
      <c r="C18" s="25" t="str">
        <f>IF($AA$23=1,"---","")</f>
        <v>---</v>
      </c>
      <c r="D18" s="25"/>
      <c r="E18" s="25"/>
      <c r="F18" s="25"/>
      <c r="G18" s="25"/>
      <c r="H18" s="25" t="n">
        <f>IF($AA$23=1,ROUND($Z$23,0),"")</f>
        <v>13867</v>
      </c>
      <c r="I18" s="25" t="str">
        <f>IF($AA$24=1,ROUND($Z$24,0),"")</f>
        <v/>
      </c>
      <c r="J18" s="25"/>
      <c r="K18" s="25"/>
      <c r="L18" s="25"/>
      <c r="M18" s="25"/>
      <c r="N18" s="25" t="str">
        <f>IF($AA$24=1,"---","")</f>
        <v/>
      </c>
      <c r="O18" s="25">
        <v>22</v>
      </c>
      <c r="P18" t="s">
        <v>153</v>
      </c>
      <c r="S18">
        <v>2</v>
      </c>
      <c r="T18" t="n">
        <f>IF(S18&lt;=$S$15,MATCH(S18-0.5,$T$3:$T$14,1),0)</f>
        <v>1</v>
      </c>
      <c r="U18" t="n">
        <f>IF(T18&gt;0,S18-INDEX($T$3:$T$14,T18),0)</f>
        <v>2</v>
      </c>
      <c r="V18" t="str">
        <f>IF(T18&gt;0,INDEX(Intake!$A$23:$A$34,T18),"")</f>
        <v>DCFC 200kW</v>
      </c>
      <c r="W18" t="n">
        <f>IF(T18&gt;0,IFERROR(VLOOKUP(V18,ModelTable,7,FALSE),1),1)</f>
        <v>1</v>
      </c>
      <c r="X18" t="str">
        <f>IF(T18&gt;0,UPPER(V18)&amp;" #"&amp;U18,IF(S18=$S$15+1,IF(TxKvaSuggested&gt;0,"XFMR "&amp;TxKvaSuggested&amp;" KVA - EV_SUB (208V)",""),""))</f>
        <v>DCFC 200KW #2</v>
      </c>
      <c r="Y18" t="n">
        <f>IF(T18&gt;0,IFERROR(INDEX(Intake!$J$53:$J$64,T18),0),IF(S18=$S$15+1,IF(TxKvaSuggested&gt;0,Panel!$F$50,0),0))</f>
        <v>350</v>
      </c>
      <c r="Z18" t="n">
        <f>IF(T18&gt;0,IFERROR(VLOOKUP(V18,ModelTable,11,FALSE),0)*480/SQRT(3),IF(S18=$S$15+1,IF(TxKvaSuggested&gt;0,TxKvaConnected*1000/3,0),0))</f>
        <v>73438.9542409204</v>
      </c>
      <c r="AA18" t="n">
        <f>IF(S18&lt;=$S$15,1,IF(S18=$S$15+1,IF(TxKvaSuggested&gt;0,1,0),0))</f>
        <v>1</v>
      </c>
    </row>
    <row r="19" spans="1:27" x14ac:dyDescent="0.25">
      <c r="A19" t="s">
        <v>154</v>
      </c>
      <c r="B19" s="25">
        <v>23</v>
      </c>
      <c r="C19" s="25" t="str">
        <f>IF($AA$23=1,"---","")</f>
        <v>---</v>
      </c>
      <c r="D19" s="25"/>
      <c r="E19" s="25"/>
      <c r="F19" s="25"/>
      <c r="G19" s="25"/>
      <c r="H19" s="25"/>
      <c r="I19" s="25"/>
      <c r="J19" s="25" t="n">
        <f>IF($AA$23=1,ROUND($Z$23,0),"")</f>
        <v>13867</v>
      </c>
      <c r="K19" s="25" t="str">
        <f>IF($AA$24=1,ROUND($Z$24,0),"")</f>
        <v/>
      </c>
      <c r="L19" s="25"/>
      <c r="M19" s="25"/>
      <c r="N19" s="25" t="str">
        <f>IF($AA$24=1,"---","")</f>
        <v/>
      </c>
      <c r="O19" s="25">
        <v>24</v>
      </c>
      <c r="P19" t="s">
        <v>154</v>
      </c>
      <c r="S19">
        <v>3</v>
      </c>
      <c r="T19" t="n">
        <f>IF(S19&lt;=$S$15,MATCH(S19-0.5,$T$3:$T$14,1),0)</f>
        <v>1</v>
      </c>
      <c r="U19" t="n">
        <f>IF(T19&gt;0,S19-INDEX($T$3:$T$14,T19),0)</f>
        <v>3</v>
      </c>
      <c r="V19" t="str">
        <f>IF(T19&gt;0,INDEX(Intake!$A$23:$A$34,T19),"")</f>
        <v>DCFC 200kW</v>
      </c>
      <c r="W19" t="n">
        <f>IF(T19&gt;0,IFERROR(VLOOKUP(V19,ModelTable,7,FALSE),1),1)</f>
        <v>1</v>
      </c>
      <c r="X19" t="str">
        <f>IF(T19&gt;0,UPPER(V19)&amp;" #"&amp;U19,IF(S19=$S$15+1,IF(TxKvaSuggested&gt;0,"XFMR "&amp;TxKvaSuggested&amp;" KVA - EV_SUB (208V)",""),""))</f>
        <v>DCFC 200KW #3</v>
      </c>
      <c r="Y19" t="n">
        <f>IF(T19&gt;0,IFERROR(INDEX(Intake!$J$53:$J$64,T19),0),IF(S19=$S$15+1,IF(TxKvaSuggested&gt;0,Panel!$F$50,0),0))</f>
        <v>350</v>
      </c>
      <c r="Z19" t="n">
        <f>IF(T19&gt;0,IFERROR(VLOOKUP(V19,ModelTable,11,FALSE),0)*480/SQRT(3),IF(S19=$S$15+1,IF(TxKvaSuggested&gt;0,TxKvaConnected*1000/3,0),0))</f>
        <v>73438.9542409204</v>
      </c>
      <c r="AA19" t="n">
        <f>IF(S19&lt;=$S$15,1,IF(S19=$S$15+1,IF(TxKvaSuggested&gt;0,1,0),0))</f>
        <v>1</v>
      </c>
    </row>
    <row r="20" spans="1:27" x14ac:dyDescent="0.25">
      <c r="A20" t="s">
        <v>152</v>
      </c>
      <c r="B20" s="25">
        <v>25</v>
      </c>
      <c r="C20" s="25" t="str">
        <f>IF($AA$25=1,$X$25,"")</f>
        <v/>
      </c>
      <c r="D20" s="25" t="str">
        <f>IF($AA$25=1,$Y$25,"")</f>
        <v/>
      </c>
      <c r="E20" s="25" t="str">
        <f>IF($AA$25=1,3,"")</f>
        <v/>
      </c>
      <c r="F20" s="25" t="str">
        <f>IF($AA$25=1,ROUND($Z$25,0),"")</f>
        <v/>
      </c>
      <c r="G20" s="25" t="str">
        <f>IF($AA$26=1,ROUND($Z$26,0),"")</f>
        <v/>
      </c>
      <c r="H20" s="25"/>
      <c r="I20" s="25"/>
      <c r="J20" s="25"/>
      <c r="K20" s="25"/>
      <c r="L20" s="25" t="str">
        <f>IF($AA$26=1,3,"")</f>
        <v/>
      </c>
      <c r="M20" s="25" t="str">
        <f>IF($AA$26=1,$Y$26,"")</f>
        <v/>
      </c>
      <c r="N20" s="25" t="str">
        <f>IF($AA$26=1,$X$26,"")</f>
        <v/>
      </c>
      <c r="O20" s="25">
        <v>26</v>
      </c>
      <c r="P20" t="s">
        <v>152</v>
      </c>
      <c r="S20">
        <v>4</v>
      </c>
      <c r="T20" t="n">
        <f>IF(S20&lt;=$S$15,MATCH(S20-0.5,$T$3:$T$14,1),0)</f>
        <v>1</v>
      </c>
      <c r="U20" t="n">
        <f>IF(T20&gt;0,S20-INDEX($T$3:$T$14,T20),0)</f>
        <v>4</v>
      </c>
      <c r="V20" t="str">
        <f>IF(T20&gt;0,INDEX(Intake!$A$23:$A$34,T20),"")</f>
        <v>DCFC 200kW</v>
      </c>
      <c r="W20" t="n">
        <f>IF(T20&gt;0,IFERROR(VLOOKUP(V20,ModelTable,7,FALSE),1),1)</f>
        <v>1</v>
      </c>
      <c r="X20" t="str">
        <f>IF(T20&gt;0,UPPER(V20)&amp;" #"&amp;U20,IF(S20=$S$15+1,IF(TxKvaSuggested&gt;0,"XFMR "&amp;TxKvaSuggested&amp;" KVA - EV_SUB (208V)",""),""))</f>
        <v>DCFC 200KW #4</v>
      </c>
      <c r="Y20" t="n">
        <f>IF(T20&gt;0,IFERROR(INDEX(Intake!$J$53:$J$64,T20),0),IF(S20=$S$15+1,IF(TxKvaSuggested&gt;0,Panel!$F$50,0),0))</f>
        <v>350</v>
      </c>
      <c r="Z20" t="n">
        <f>IF(T20&gt;0,IFERROR(VLOOKUP(V20,ModelTable,11,FALSE),0)*480/SQRT(3),IF(S20=$S$15+1,IF(TxKvaSuggested&gt;0,TxKvaConnected*1000/3,0),0))</f>
        <v>73438.9542409204</v>
      </c>
      <c r="AA20" t="n">
        <f>IF(S20&lt;=$S$15,1,IF(S20=$S$15+1,IF(TxKvaSuggested&gt;0,1,0),0))</f>
        <v>1</v>
      </c>
    </row>
    <row r="21" spans="1:27" x14ac:dyDescent="0.25">
      <c r="A21" t="s">
        <v>153</v>
      </c>
      <c r="B21" s="25">
        <v>27</v>
      </c>
      <c r="C21" s="25" t="str">
        <f>IF($AA$25=1,"---","")</f>
        <v/>
      </c>
      <c r="D21" s="25"/>
      <c r="E21" s="25"/>
      <c r="F21" s="25"/>
      <c r="G21" s="25"/>
      <c r="H21" s="25" t="str">
        <f>IF($AA$25=1,ROUND($Z$25,0),"")</f>
        <v/>
      </c>
      <c r="I21" s="25" t="str">
        <f>IF($AA$26=1,ROUND($Z$26,0),"")</f>
        <v/>
      </c>
      <c r="J21" s="25"/>
      <c r="K21" s="25"/>
      <c r="L21" s="25"/>
      <c r="M21" s="25"/>
      <c r="N21" s="25" t="str">
        <f>IF($AA$26=1,"---","")</f>
        <v/>
      </c>
      <c r="O21" s="25">
        <v>28</v>
      </c>
      <c r="P21" t="s">
        <v>153</v>
      </c>
      <c r="S21">
        <v>5</v>
      </c>
      <c r="T21" t="n">
        <f>IF(S21&lt;=$S$15,MATCH(S21-0.5,$T$3:$T$14,1),0)</f>
        <v>1</v>
      </c>
      <c r="U21" t="n">
        <f>IF(T21&gt;0,S21-INDEX($T$3:$T$14,T21),0)</f>
        <v>5</v>
      </c>
      <c r="V21" t="str">
        <f>IF(T21&gt;0,INDEX(Intake!$A$23:$A$34,T21),"")</f>
        <v>DCFC 200kW</v>
      </c>
      <c r="W21" t="n">
        <f>IF(T21&gt;0,IFERROR(VLOOKUP(V21,ModelTable,7,FALSE),1),1)</f>
        <v>1</v>
      </c>
      <c r="X21" t="str">
        <f>IF(T21&gt;0,UPPER(V21)&amp;" #"&amp;U21,IF(S21=$S$15+1,IF(TxKvaSuggested&gt;0,"XFMR "&amp;TxKvaSuggested&amp;" KVA - EV_SUB (208V)",""),""))</f>
        <v>DCFC 200KW #5</v>
      </c>
      <c r="Y21" t="n">
        <f>IF(T21&gt;0,IFERROR(INDEX(Intake!$J$53:$J$64,T21),0),IF(S21=$S$15+1,IF(TxKvaSuggested&gt;0,Panel!$F$50,0),0))</f>
        <v>350</v>
      </c>
      <c r="Z21" t="n">
        <f>IF(T21&gt;0,IFERROR(VLOOKUP(V21,ModelTable,11,FALSE),0)*480/SQRT(3),IF(S21=$S$15+1,IF(TxKvaSuggested&gt;0,TxKvaConnected*1000/3,0),0))</f>
        <v>73438.9542409204</v>
      </c>
      <c r="AA21" t="n">
        <f>IF(S21&lt;=$S$15,1,IF(S21=$S$15+1,IF(TxKvaSuggested&gt;0,1,0),0))</f>
        <v>1</v>
      </c>
    </row>
    <row r="22" spans="1:27" x14ac:dyDescent="0.25">
      <c r="A22" t="s">
        <v>154</v>
      </c>
      <c r="B22" s="25">
        <v>29</v>
      </c>
      <c r="C22" s="25" t="str">
        <f>IF($AA$25=1,"---","")</f>
        <v/>
      </c>
      <c r="D22" s="25"/>
      <c r="E22" s="25"/>
      <c r="F22" s="25"/>
      <c r="G22" s="25"/>
      <c r="H22" s="25"/>
      <c r="I22" s="25"/>
      <c r="J22" s="25" t="str">
        <f>IF($AA$25=1,ROUND($Z$25,0),"")</f>
        <v/>
      </c>
      <c r="K22" s="25" t="str">
        <f>IF($AA$26=1,ROUND($Z$26,0),"")</f>
        <v/>
      </c>
      <c r="L22" s="25"/>
      <c r="M22" s="25"/>
      <c r="N22" s="25" t="str">
        <f>IF($AA$26=1,"---","")</f>
        <v/>
      </c>
      <c r="O22" s="25">
        <v>30</v>
      </c>
      <c r="P22" t="s">
        <v>154</v>
      </c>
      <c r="S22">
        <v>6</v>
      </c>
      <c r="T22" t="n">
        <f>IF(S22&lt;=$S$15,MATCH(S22-0.5,$T$3:$T$14,1),0)</f>
        <v>1</v>
      </c>
      <c r="U22" t="n">
        <f>IF(T22&gt;0,S22-INDEX($T$3:$T$14,T22),0)</f>
        <v>6</v>
      </c>
      <c r="V22" t="str">
        <f>IF(T22&gt;0,INDEX(Intake!$A$23:$A$34,T22),"")</f>
        <v>DCFC 200kW</v>
      </c>
      <c r="W22" t="n">
        <f>IF(T22&gt;0,IFERROR(VLOOKUP(V22,ModelTable,7,FALSE),1),1)</f>
        <v>1</v>
      </c>
      <c r="X22" t="str">
        <f>IF(T22&gt;0,UPPER(V22)&amp;" #"&amp;U22,IF(S22=$S$15+1,IF(TxKvaSuggested&gt;0,"XFMR "&amp;TxKvaSuggested&amp;" KVA - EV_SUB (208V)",""),""))</f>
        <v>DCFC 200KW #6</v>
      </c>
      <c r="Y22" t="n">
        <f>IF(T22&gt;0,IFERROR(INDEX(Intake!$J$53:$J$64,T22),0),IF(S22=$S$15+1,IF(TxKvaSuggested&gt;0,Panel!$F$50,0),0))</f>
        <v>350</v>
      </c>
      <c r="Z22" t="n">
        <f>IF(T22&gt;0,IFERROR(VLOOKUP(V22,ModelTable,11,FALSE),0)*480/SQRT(3),IF(S22=$S$15+1,IF(TxKvaSuggested&gt;0,TxKvaConnected*1000/3,0),0))</f>
        <v>73438.9542409204</v>
      </c>
      <c r="AA22" t="n">
        <f>IF(S22&lt;=$S$15,1,IF(S22=$S$15+1,IF(TxKvaSuggested&gt;0,1,0),0))</f>
        <v>1</v>
      </c>
    </row>
    <row r="23" spans="1:27" x14ac:dyDescent="0.25">
      <c r="A23" t="s">
        <v>152</v>
      </c>
      <c r="B23" s="25">
        <v>31</v>
      </c>
      <c r="C23" s="25" t="str">
        <f>IF($AA$27=1,$X$27,"")</f>
        <v/>
      </c>
      <c r="D23" s="25" t="str">
        <f>IF($AA$27=1,$Y$27,"")</f>
        <v/>
      </c>
      <c r="E23" s="25" t="str">
        <f>IF($AA$27=1,3,"")</f>
        <v/>
      </c>
      <c r="F23" s="25" t="str">
        <f>IF($AA$27=1,ROUND($Z$27,0),"")</f>
        <v/>
      </c>
      <c r="G23" s="25" t="str">
        <f>IF($AA$28=1,ROUND($Z$28,0),"")</f>
        <v/>
      </c>
      <c r="H23" s="25"/>
      <c r="I23" s="25"/>
      <c r="J23" s="25"/>
      <c r="K23" s="25"/>
      <c r="L23" s="25" t="str">
        <f>IF($AA$28=1,3,"")</f>
        <v/>
      </c>
      <c r="M23" s="25" t="str">
        <f>IF($AA$28=1,$Y$28,"")</f>
        <v/>
      </c>
      <c r="N23" s="25" t="str">
        <f>IF($AA$28=1,$X$28,"")</f>
        <v/>
      </c>
      <c r="O23" s="25">
        <v>32</v>
      </c>
      <c r="P23" t="s">
        <v>152</v>
      </c>
      <c r="S23">
        <v>7</v>
      </c>
      <c r="T23" t="n">
        <f>IF(S23&lt;=$S$15,MATCH(S23-0.5,$T$3:$T$14,1),0)</f>
        <v>0</v>
      </c>
      <c r="U23" t="n">
        <f>IF(T23&gt;0,S23-INDEX($T$3:$T$14,T23),0)</f>
        <v>0</v>
      </c>
      <c r="V23" t="str">
        <f>IF(T23&gt;0,INDEX(Intake!$A$23:$A$34,T23),"")</f>
        <v/>
      </c>
      <c r="W23" t="n">
        <f>IF(T23&gt;0,IFERROR(VLOOKUP(V23,ModelTable,7,FALSE),1),1)</f>
        <v>1</v>
      </c>
      <c r="X23" t="str">
        <f>IF(T23&gt;0,UPPER(V23)&amp;" #"&amp;U23,IF(S23=$S$15+1,IF(TxKvaSuggested&gt;0,"XFMR "&amp;TxKvaSuggested&amp;" KVA - EV_SUB (208V)",""),""))</f>
        <v>XFMR 75 KVA - EV_SUB (208V)</v>
      </c>
      <c r="Y23" t="n">
        <f>IF(T23&gt;0,IFERROR(INDEX(Intake!$J$53:$J$64,T23),0),IF(S23=$S$15+1,IF(TxKvaSuggested&gt;0,Panel!$F$50,0),0))</f>
        <v>125</v>
      </c>
      <c r="Z23" t="n">
        <f>IF(T23&gt;0,IFERROR(VLOOKUP(V23,ModelTable,11,FALSE),0)*480/SQRT(3),IF(S23=$S$15+1,IF(TxKvaSuggested&gt;0,TxKvaConnected*1000/3,0),0))</f>
        <v>13866.66666666667</v>
      </c>
      <c r="AA23" t="n">
        <f>IF(S23&lt;=$S$15,1,IF(S23=$S$15+1,IF(TxKvaSuggested&gt;0,1,0),0))</f>
        <v>1</v>
      </c>
    </row>
    <row r="24" spans="1:27" x14ac:dyDescent="0.25">
      <c r="A24" t="s">
        <v>153</v>
      </c>
      <c r="B24" s="25">
        <v>33</v>
      </c>
      <c r="C24" s="25" t="str">
        <f>IF($AA$27=1,"---","")</f>
        <v/>
      </c>
      <c r="D24" s="25"/>
      <c r="E24" s="25"/>
      <c r="F24" s="25"/>
      <c r="G24" s="25"/>
      <c r="H24" s="25" t="str">
        <f>IF($AA$27=1,ROUND($Z$27,0),"")</f>
        <v/>
      </c>
      <c r="I24" s="25" t="str">
        <f>IF($AA$28=1,ROUND($Z$28,0),"")</f>
        <v/>
      </c>
      <c r="J24" s="25"/>
      <c r="K24" s="25"/>
      <c r="L24" s="25"/>
      <c r="M24" s="25"/>
      <c r="N24" s="25" t="str">
        <f>IF($AA$28=1,"---","")</f>
        <v/>
      </c>
      <c r="O24" s="25">
        <v>34</v>
      </c>
      <c r="P24" t="s">
        <v>153</v>
      </c>
      <c r="S24">
        <v>8</v>
      </c>
      <c r="T24" t="n">
        <f>IF(S24&lt;=$S$15,MATCH(S24-0.5,$T$3:$T$14,1),0)</f>
        <v>0</v>
      </c>
      <c r="U24" t="n">
        <f>IF(T24&gt;0,S24-INDEX($T$3:$T$14,T24),0)</f>
        <v>0</v>
      </c>
      <c r="V24" t="str">
        <f>IF(T24&gt;0,INDEX(Intake!$A$23:$A$34,T24),"")</f>
        <v/>
      </c>
      <c r="W24" t="n">
        <f>IF(T24&gt;0,IFERROR(VLOOKUP(V24,ModelTable,7,FALSE),1),1)</f>
        <v>1</v>
      </c>
      <c r="X24" t="str">
        <f>IF(T24&gt;0,UPPER(V24)&amp;" #"&amp;U24,IF(S24=$S$15+1,IF(TxKvaSuggested&gt;0,"XFMR "&amp;TxKvaSuggested&amp;" KVA - EV_SUB (208V)",""),""))</f>
        <v/>
      </c>
      <c r="Y24" t="n">
        <f>IF(T24&gt;0,IFERROR(INDEX(Intake!$J$53:$J$64,T24),0),IF(S24=$S$15+1,IF(TxKvaSuggested&gt;0,Panel!$F$50,0),0))</f>
        <v>0</v>
      </c>
      <c r="Z24" t="n">
        <f>IF(T24&gt;0,IFERROR(VLOOKUP(V24,ModelTable,11,FALSE),0)*480/SQRT(3),IF(S24=$S$15+1,IF(TxKvaSuggested&gt;0,TxKvaConnected*1000/3,0),0))</f>
        <v>0</v>
      </c>
      <c r="AA24" t="n">
        <f>IF(S24&lt;=$S$15,1,IF(S24=$S$15+1,IF(TxKvaSuggested&gt;0,1,0),0))</f>
        <v>0</v>
      </c>
    </row>
    <row r="25" spans="1:27" x14ac:dyDescent="0.25">
      <c r="A25" t="s">
        <v>154</v>
      </c>
      <c r="B25" s="25">
        <v>35</v>
      </c>
      <c r="C25" s="25" t="str">
        <f>IF($AA$27=1,"---","")</f>
        <v/>
      </c>
      <c r="D25" s="25"/>
      <c r="E25" s="25"/>
      <c r="F25" s="25"/>
      <c r="G25" s="25"/>
      <c r="H25" s="25"/>
      <c r="I25" s="25"/>
      <c r="J25" s="25" t="str">
        <f>IF($AA$27=1,ROUND($Z$27,0),"")</f>
        <v/>
      </c>
      <c r="K25" s="25" t="str">
        <f>IF($AA$28=1,ROUND($Z$28,0),"")</f>
        <v/>
      </c>
      <c r="L25" s="25"/>
      <c r="M25" s="25"/>
      <c r="N25" s="25" t="str">
        <f>IF($AA$28=1,"---","")</f>
        <v/>
      </c>
      <c r="O25" s="25">
        <v>36</v>
      </c>
      <c r="P25" t="s">
        <v>154</v>
      </c>
      <c r="S25">
        <v>9</v>
      </c>
      <c r="T25" t="n">
        <f>IF(S25&lt;=$S$15,MATCH(S25-0.5,$T$3:$T$14,1),0)</f>
        <v>0</v>
      </c>
      <c r="U25" t="n">
        <f>IF(T25&gt;0,S25-INDEX($T$3:$T$14,T25),0)</f>
        <v>0</v>
      </c>
      <c r="V25" t="str">
        <f>IF(T25&gt;0,INDEX(Intake!$A$23:$A$34,T25),"")</f>
        <v/>
      </c>
      <c r="W25" t="n">
        <f>IF(T25&gt;0,IFERROR(VLOOKUP(V25,ModelTable,7,FALSE),1),1)</f>
        <v>1</v>
      </c>
      <c r="X25" t="str">
        <f>IF(T25&gt;0,UPPER(V25)&amp;" #"&amp;U25,IF(S25=$S$15+1,IF(TxKvaSuggested&gt;0,"XFMR "&amp;TxKvaSuggested&amp;" KVA - EV_SUB (208V)",""),""))</f>
        <v/>
      </c>
      <c r="Y25" t="n">
        <f>IF(T25&gt;0,IFERROR(INDEX(Intake!$J$53:$J$64,T25),0),IF(S25=$S$15+1,IF(TxKvaSuggested&gt;0,Panel!$F$50,0),0))</f>
        <v>0</v>
      </c>
      <c r="Z25" t="n">
        <f>IF(T25&gt;0,IFERROR(VLOOKUP(V25,ModelTable,11,FALSE),0)*480/SQRT(3),IF(S25=$S$15+1,IF(TxKvaSuggested&gt;0,TxKvaConnected*1000/3,0),0))</f>
        <v>0</v>
      </c>
      <c r="AA25" t="n">
        <f>IF(S25&lt;=$S$15,1,IF(S25=$S$15+1,IF(TxKvaSuggested&gt;0,1,0),0))</f>
        <v>0</v>
      </c>
    </row>
    <row r="26" spans="1:27" x14ac:dyDescent="0.25">
      <c r="A26" t="s">
        <v>152</v>
      </c>
      <c r="B26" s="25">
        <v>37</v>
      </c>
      <c r="C26" s="25" t="str">
        <f>IF($AA$29=1,$X$29,"")</f>
        <v/>
      </c>
      <c r="D26" s="25" t="str">
        <f>IF($AA$29=1,$Y$29,"")</f>
        <v/>
      </c>
      <c r="E26" s="25" t="str">
        <f>IF($AA$29=1,3,"")</f>
        <v/>
      </c>
      <c r="F26" s="25" t="str">
        <f>IF($AA$29=1,ROUND($Z$29,0),"")</f>
        <v/>
      </c>
      <c r="G26" s="25" t="str">
        <f>IF($AA$30=1,ROUND($Z$30,0),"")</f>
        <v/>
      </c>
      <c r="H26" s="25"/>
      <c r="I26" s="25"/>
      <c r="J26" s="25"/>
      <c r="K26" s="25"/>
      <c r="L26" s="25" t="str">
        <f>IF($AA$30=1,3,"")</f>
        <v/>
      </c>
      <c r="M26" s="25" t="str">
        <f>IF($AA$30=1,$Y$30,"")</f>
        <v/>
      </c>
      <c r="N26" s="25" t="str">
        <f>IF($AA$30=1,$X$30,"")</f>
        <v/>
      </c>
      <c r="O26" s="25">
        <v>38</v>
      </c>
      <c r="P26" t="s">
        <v>152</v>
      </c>
      <c r="S26">
        <v>10</v>
      </c>
      <c r="T26" t="n">
        <f>IF(S26&lt;=$S$15,MATCH(S26-0.5,$T$3:$T$14,1),0)</f>
        <v>0</v>
      </c>
      <c r="U26" t="n">
        <f>IF(T26&gt;0,S26-INDEX($T$3:$T$14,T26),0)</f>
        <v>0</v>
      </c>
      <c r="V26" t="str">
        <f>IF(T26&gt;0,INDEX(Intake!$A$23:$A$34,T26),"")</f>
        <v/>
      </c>
      <c r="W26" t="n">
        <f>IF(T26&gt;0,IFERROR(VLOOKUP(V26,ModelTable,7,FALSE),1),1)</f>
        <v>1</v>
      </c>
      <c r="X26" t="str">
        <f>IF(T26&gt;0,UPPER(V26)&amp;" #"&amp;U26,IF(S26=$S$15+1,IF(TxKvaSuggested&gt;0,"XFMR "&amp;TxKvaSuggested&amp;" KVA - EV_SUB (208V)",""),""))</f>
        <v/>
      </c>
      <c r="Y26" t="n">
        <f>IF(T26&gt;0,IFERROR(INDEX(Intake!$J$53:$J$64,T26),0),IF(S26=$S$15+1,IF(TxKvaSuggested&gt;0,Panel!$F$50,0),0))</f>
        <v>0</v>
      </c>
      <c r="Z26" t="n">
        <f>IF(T26&gt;0,IFERROR(VLOOKUP(V26,ModelTable,11,FALSE),0)*480/SQRT(3),IF(S26=$S$15+1,IF(TxKvaSuggested&gt;0,TxKvaConnected*1000/3,0),0))</f>
        <v>0</v>
      </c>
      <c r="AA26" t="n">
        <f>IF(S26&lt;=$S$15,1,IF(S26=$S$15+1,IF(TxKvaSuggested&gt;0,1,0),0))</f>
        <v>0</v>
      </c>
    </row>
    <row r="27" spans="1:27" x14ac:dyDescent="0.25">
      <c r="A27" t="s">
        <v>153</v>
      </c>
      <c r="B27" s="25">
        <v>39</v>
      </c>
      <c r="C27" s="25" t="str">
        <f>IF($AA$29=1,"---","")</f>
        <v/>
      </c>
      <c r="D27" s="25"/>
      <c r="E27" s="25"/>
      <c r="F27" s="25"/>
      <c r="G27" s="25"/>
      <c r="H27" s="25" t="str">
        <f>IF($AA$29=1,ROUND($Z$29,0),"")</f>
        <v/>
      </c>
      <c r="I27" s="25" t="str">
        <f>IF($AA$30=1,ROUND($Z$30,0),"")</f>
        <v/>
      </c>
      <c r="J27" s="25"/>
      <c r="K27" s="25"/>
      <c r="L27" s="25"/>
      <c r="M27" s="25"/>
      <c r="N27" s="25" t="str">
        <f>IF($AA$30=1,"---","")</f>
        <v/>
      </c>
      <c r="O27" s="25">
        <v>40</v>
      </c>
      <c r="P27" t="s">
        <v>153</v>
      </c>
      <c r="S27">
        <v>11</v>
      </c>
      <c r="T27" t="n">
        <f>IF(S27&lt;=$S$15,MATCH(S27-0.5,$T$3:$T$14,1),0)</f>
        <v>0</v>
      </c>
      <c r="U27" t="n">
        <f>IF(T27&gt;0,S27-INDEX($T$3:$T$14,T27),0)</f>
        <v>0</v>
      </c>
      <c r="V27" t="str">
        <f>IF(T27&gt;0,INDEX(Intake!$A$23:$A$34,T27),"")</f>
        <v/>
      </c>
      <c r="W27" t="n">
        <f>IF(T27&gt;0,IFERROR(VLOOKUP(V27,ModelTable,7,FALSE),1),1)</f>
        <v>1</v>
      </c>
      <c r="X27" t="str">
        <f>IF(T27&gt;0,UPPER(V27)&amp;" #"&amp;U27,IF(S27=$S$15+1,IF(TxKvaSuggested&gt;0,"XFMR "&amp;TxKvaSuggested&amp;" KVA - EV_SUB (208V)",""),""))</f>
        <v/>
      </c>
      <c r="Y27" t="n">
        <f>IF(T27&gt;0,IFERROR(INDEX(Intake!$J$53:$J$64,T27),0),IF(S27=$S$15+1,IF(TxKvaSuggested&gt;0,Panel!$F$50,0),0))</f>
        <v>0</v>
      </c>
      <c r="Z27" t="n">
        <f>IF(T27&gt;0,IFERROR(VLOOKUP(V27,ModelTable,11,FALSE),0)*480/SQRT(3),IF(S27=$S$15+1,IF(TxKvaSuggested&gt;0,TxKvaConnected*1000/3,0),0))</f>
        <v>0</v>
      </c>
      <c r="AA27" t="n">
        <f>IF(S27&lt;=$S$15,1,IF(S27=$S$15+1,IF(TxKvaSuggested&gt;0,1,0),0))</f>
        <v>0</v>
      </c>
    </row>
    <row r="28" spans="1:27" x14ac:dyDescent="0.25">
      <c r="A28" t="s">
        <v>154</v>
      </c>
      <c r="B28" s="25">
        <v>41</v>
      </c>
      <c r="C28" s="25" t="str">
        <f>IF($AA$29=1,"---","")</f>
        <v/>
      </c>
      <c r="D28" s="25"/>
      <c r="E28" s="25"/>
      <c r="F28" s="25"/>
      <c r="G28" s="25"/>
      <c r="H28" s="25"/>
      <c r="I28" s="25"/>
      <c r="J28" s="25" t="str">
        <f>IF($AA$29=1,ROUND($Z$29,0),"")</f>
        <v/>
      </c>
      <c r="K28" s="25" t="str">
        <f>IF($AA$30=1,ROUND($Z$30,0),"")</f>
        <v/>
      </c>
      <c r="L28" s="25"/>
      <c r="M28" s="25"/>
      <c r="N28" s="25" t="str">
        <f>IF($AA$30=1,"---","")</f>
        <v/>
      </c>
      <c r="O28" s="25">
        <v>42</v>
      </c>
      <c r="P28" t="s">
        <v>154</v>
      </c>
      <c r="S28">
        <v>12</v>
      </c>
      <c r="T28" t="n">
        <f>IF(S28&lt;=$S$15,MATCH(S28-0.5,$T$3:$T$14,1),0)</f>
        <v>0</v>
      </c>
      <c r="U28" t="n">
        <f>IF(T28&gt;0,S28-INDEX($T$3:$T$14,T28),0)</f>
        <v>0</v>
      </c>
      <c r="V28" t="str">
        <f>IF(T28&gt;0,INDEX(Intake!$A$23:$A$34,T28),"")</f>
        <v/>
      </c>
      <c r="W28" t="n">
        <f>IF(T28&gt;0,IFERROR(VLOOKUP(V28,ModelTable,7,FALSE),1),1)</f>
        <v>1</v>
      </c>
      <c r="X28" t="str">
        <f>IF(T28&gt;0,UPPER(V28)&amp;" #"&amp;U28,IF(S28=$S$15+1,IF(TxKvaSuggested&gt;0,"XFMR "&amp;TxKvaSuggested&amp;" KVA - EV_SUB (208V)",""),""))</f>
        <v/>
      </c>
      <c r="Y28" t="n">
        <f>IF(T28&gt;0,IFERROR(INDEX(Intake!$J$53:$J$64,T28),0),IF(S28=$S$15+1,IF(TxKvaSuggested&gt;0,Panel!$F$50,0),0))</f>
        <v>0</v>
      </c>
      <c r="Z28" t="n">
        <f>IF(T28&gt;0,IFERROR(VLOOKUP(V28,ModelTable,11,FALSE),0)*480/SQRT(3),IF(S28=$S$15+1,IF(TxKvaSuggested&gt;0,TxKvaConnected*1000/3,0),0))</f>
        <v>0</v>
      </c>
      <c r="AA28" t="n">
        <f>IF(S28&lt;=$S$15,1,IF(S28=$S$15+1,IF(TxKvaSuggested&gt;0,1,0),0))</f>
        <v>0</v>
      </c>
    </row>
    <row r="29" spans="1:27" x14ac:dyDescent="0.25">
      <c r="A29" t="s">
        <v>152</v>
      </c>
      <c r="B29" s="25">
        <v>43</v>
      </c>
      <c r="C29" s="25" t="str">
        <f>IF($AA$31=1,$X$31,"")</f>
        <v/>
      </c>
      <c r="D29" s="25" t="str">
        <f>IF($AA$31=1,$Y$31,"")</f>
        <v/>
      </c>
      <c r="E29" s="25" t="str">
        <f>IF($AA$31=1,3,"")</f>
        <v/>
      </c>
      <c r="F29" s="25" t="str">
        <f>IF($AA$31=1,ROUND($Z$31,0),"")</f>
        <v/>
      </c>
      <c r="G29" s="25" t="str">
        <f>IF($AA$32=1,ROUND($Z$32,0),"")</f>
        <v/>
      </c>
      <c r="H29" s="25"/>
      <c r="I29" s="25"/>
      <c r="J29" s="25"/>
      <c r="K29" s="25"/>
      <c r="L29" s="25" t="str">
        <f>IF($AA$32=1,3,"")</f>
        <v/>
      </c>
      <c r="M29" s="25" t="str">
        <f>IF($AA$32=1,$Y$32,"")</f>
        <v/>
      </c>
      <c r="N29" s="25" t="str">
        <f>IF($AA$32=1,$X$32,"")</f>
        <v/>
      </c>
      <c r="O29" s="25">
        <v>44</v>
      </c>
      <c r="P29" t="s">
        <v>152</v>
      </c>
      <c r="S29">
        <v>13</v>
      </c>
      <c r="T29" t="n">
        <f>IF(S29&lt;=$S$15,MATCH(S29-0.5,$T$3:$T$14,1),0)</f>
        <v>0</v>
      </c>
      <c r="U29" t="n">
        <f>IF(T29&gt;0,S29-INDEX($T$3:$T$14,T29),0)</f>
        <v>0</v>
      </c>
      <c r="V29" t="str">
        <f>IF(T29&gt;0,INDEX(Intake!$A$23:$A$34,T29),"")</f>
        <v/>
      </c>
      <c r="W29" t="n">
        <f>IF(T29&gt;0,IFERROR(VLOOKUP(V29,ModelTable,7,FALSE),1),1)</f>
        <v>1</v>
      </c>
      <c r="X29" t="str">
        <f>IF(T29&gt;0,UPPER(V29)&amp;" #"&amp;U29,IF(S29=$S$15+1,IF(TxKvaSuggested&gt;0,"XFMR "&amp;TxKvaSuggested&amp;" KVA - EV_SUB (208V)",""),""))</f>
        <v/>
      </c>
      <c r="Y29" t="n">
        <f>IF(T29&gt;0,IFERROR(INDEX(Intake!$J$53:$J$64,T29),0),IF(S29=$S$15+1,IF(TxKvaSuggested&gt;0,Panel!$F$50,0),0))</f>
        <v>0</v>
      </c>
      <c r="Z29" t="n">
        <f>IF(T29&gt;0,IFERROR(VLOOKUP(V29,ModelTable,11,FALSE),0)*480/SQRT(3),IF(S29=$S$15+1,IF(TxKvaSuggested&gt;0,TxKvaConnected*1000/3,0),0))</f>
        <v>0</v>
      </c>
      <c r="AA29" t="n">
        <f>IF(S29&lt;=$S$15,1,IF(S29=$S$15+1,IF(TxKvaSuggested&gt;0,1,0),0))</f>
        <v>0</v>
      </c>
    </row>
    <row r="30" spans="1:27" x14ac:dyDescent="0.25">
      <c r="A30" t="s">
        <v>153</v>
      </c>
      <c r="B30" s="25">
        <v>45</v>
      </c>
      <c r="C30" s="25" t="str">
        <f>IF($AA$31=1,"---","")</f>
        <v/>
      </c>
      <c r="D30" s="25"/>
      <c r="E30" s="25"/>
      <c r="F30" s="25"/>
      <c r="G30" s="25"/>
      <c r="H30" s="25" t="str">
        <f>IF($AA$31=1,ROUND($Z$31,0),"")</f>
        <v/>
      </c>
      <c r="I30" s="25" t="str">
        <f>IF($AA$32=1,ROUND($Z$32,0),"")</f>
        <v/>
      </c>
      <c r="J30" s="25"/>
      <c r="K30" s="25"/>
      <c r="L30" s="25"/>
      <c r="M30" s="25"/>
      <c r="N30" s="25" t="str">
        <f>IF($AA$32=1,"---","")</f>
        <v/>
      </c>
      <c r="O30" s="25">
        <v>46</v>
      </c>
      <c r="P30" t="s">
        <v>153</v>
      </c>
      <c r="S30">
        <v>14</v>
      </c>
      <c r="T30" t="n">
        <f>IF(S30&lt;=$S$15,MATCH(S30-0.5,$T$3:$T$14,1),0)</f>
        <v>0</v>
      </c>
      <c r="U30" t="n">
        <f>IF(T30&gt;0,S30-INDEX($T$3:$T$14,T30),0)</f>
        <v>0</v>
      </c>
      <c r="V30" t="str">
        <f>IF(T30&gt;0,INDEX(Intake!$A$23:$A$34,T30),"")</f>
        <v/>
      </c>
      <c r="W30" t="n">
        <f>IF(T30&gt;0,IFERROR(VLOOKUP(V30,ModelTable,7,FALSE),1),1)</f>
        <v>1</v>
      </c>
      <c r="X30" t="str">
        <f>IF(T30&gt;0,UPPER(V30)&amp;" #"&amp;U30,IF(S30=$S$15+1,IF(TxKvaSuggested&gt;0,"XFMR "&amp;TxKvaSuggested&amp;" KVA - EV_SUB (208V)",""),""))</f>
        <v/>
      </c>
      <c r="Y30" t="n">
        <f>IF(T30&gt;0,IFERROR(INDEX(Intake!$J$53:$J$64,T30),0),IF(S30=$S$15+1,IF(TxKvaSuggested&gt;0,Panel!$F$50,0),0))</f>
        <v>0</v>
      </c>
      <c r="Z30" t="n">
        <f>IF(T30&gt;0,IFERROR(VLOOKUP(V30,ModelTable,11,FALSE),0)*480/SQRT(3),IF(S30=$S$15+1,IF(TxKvaSuggested&gt;0,TxKvaConnected*1000/3,0),0))</f>
        <v>0</v>
      </c>
      <c r="AA30" t="n">
        <f>IF(S30&lt;=$S$15,1,IF(S30=$S$15+1,IF(TxKvaSuggested&gt;0,1,0),0))</f>
        <v>0</v>
      </c>
    </row>
    <row r="31" spans="1:27" x14ac:dyDescent="0.25">
      <c r="A31" t="s">
        <v>154</v>
      </c>
      <c r="B31" s="25">
        <v>47</v>
      </c>
      <c r="C31" s="25" t="str">
        <f>IF($AA$31=1,"---","")</f>
        <v/>
      </c>
      <c r="D31" s="25"/>
      <c r="E31" s="25"/>
      <c r="F31" s="25"/>
      <c r="G31" s="25"/>
      <c r="H31" s="25"/>
      <c r="I31" s="25"/>
      <c r="J31" s="25" t="str">
        <f>IF($AA$31=1,ROUND($Z$31,0),"")</f>
        <v/>
      </c>
      <c r="K31" s="25" t="str">
        <f>IF($AA$32=1,ROUND($Z$32,0),"")</f>
        <v/>
      </c>
      <c r="L31" s="25"/>
      <c r="M31" s="25"/>
      <c r="N31" s="25" t="str">
        <f>IF($AA$32=1,"---","")</f>
        <v/>
      </c>
      <c r="O31" s="25">
        <v>48</v>
      </c>
      <c r="P31" t="s">
        <v>154</v>
      </c>
      <c r="S31">
        <v>15</v>
      </c>
      <c r="T31" t="n">
        <f>IF(S31&lt;=$S$15,MATCH(S31-0.5,$T$3:$T$14,1),0)</f>
        <v>0</v>
      </c>
      <c r="U31" t="n">
        <f>IF(T31&gt;0,S31-INDEX($T$3:$T$14,T31),0)</f>
        <v>0</v>
      </c>
      <c r="V31" t="str">
        <f>IF(T31&gt;0,INDEX(Intake!$A$23:$A$34,T31),"")</f>
        <v/>
      </c>
      <c r="W31" t="n">
        <f>IF(T31&gt;0,IFERROR(VLOOKUP(V31,ModelTable,7,FALSE),1),1)</f>
        <v>1</v>
      </c>
      <c r="X31" t="str">
        <f>IF(T31&gt;0,UPPER(V31)&amp;" #"&amp;U31,IF(S31=$S$15+1,IF(TxKvaSuggested&gt;0,"XFMR "&amp;TxKvaSuggested&amp;" KVA - EV_SUB (208V)",""),""))</f>
        <v/>
      </c>
      <c r="Y31" t="n">
        <f>IF(T31&gt;0,IFERROR(INDEX(Intake!$J$53:$J$64,T31),0),IF(S31=$S$15+1,IF(TxKvaSuggested&gt;0,Panel!$F$50,0),0))</f>
        <v>0</v>
      </c>
      <c r="Z31" t="n">
        <f>IF(T31&gt;0,IFERROR(VLOOKUP(V31,ModelTable,11,FALSE),0)*480/SQRT(3),IF(S31=$S$15+1,IF(TxKvaSuggested&gt;0,TxKvaConnected*1000/3,0),0))</f>
        <v>0</v>
      </c>
      <c r="AA31" t="n">
        <f>IF(S31&lt;=$S$15,1,IF(S31=$S$15+1,IF(TxKvaSuggested&gt;0,1,0),0))</f>
        <v>0</v>
      </c>
    </row>
    <row r="32" spans="19:27" x14ac:dyDescent="0.25">
      <c r="S32">
        <v>16</v>
      </c>
      <c r="T32" t="n">
        <f>IF(S32&lt;=$S$15,MATCH(S32-0.5,$T$3:$T$14,1),0)</f>
        <v>0</v>
      </c>
      <c r="U32" t="n">
        <f>IF(T32&gt;0,S32-INDEX($T$3:$T$14,T32),0)</f>
        <v>0</v>
      </c>
      <c r="V32" t="str">
        <f>IF(T32&gt;0,INDEX(Intake!$A$23:$A$34,T32),"")</f>
        <v/>
      </c>
      <c r="W32" t="n">
        <f>IF(T32&gt;0,IFERROR(VLOOKUP(V32,ModelTable,7,FALSE),1),1)</f>
        <v>1</v>
      </c>
      <c r="X32" t="str">
        <f>IF(T32&gt;0,UPPER(V32)&amp;" #"&amp;U32,IF(S32=$S$15+1,IF(TxKvaSuggested&gt;0,"XFMR "&amp;TxKvaSuggested&amp;" KVA - EV_SUB (208V)",""),""))</f>
        <v/>
      </c>
      <c r="Y32" t="n">
        <f>IF(T32&gt;0,IFERROR(INDEX(Intake!$J$53:$J$64,T32),0),IF(S32=$S$15+1,IF(TxKvaSuggested&gt;0,Panel!$F$50,0),0))</f>
        <v>0</v>
      </c>
      <c r="Z32" t="n">
        <f>IF(T32&gt;0,IFERROR(VLOOKUP(V32,ModelTable,11,FALSE),0)*480/SQRT(3),IF(S32=$S$15+1,IF(TxKvaSuggested&gt;0,TxKvaConnected*1000/3,0),0))</f>
        <v>0</v>
      </c>
      <c r="AA32" t="n">
        <f>IF(S32&lt;=$S$15,1,IF(S32=$S$15+1,IF(TxKvaSuggested&gt;0,1,0),0))</f>
        <v>0</v>
      </c>
    </row>
    <row r="33" spans="3:14" x14ac:dyDescent="0.25">
      <c r="C33" t="s">
        <v>156</v>
      </c>
      <c r="F33" s="27" t="n">
        <f>SUM(F8:G31)</f>
        <v>454501</v>
      </c>
      <c r="G33" s="27"/>
      <c r="H33" s="27" t="n">
        <f>SUM(H8:I31)</f>
        <v>454501</v>
      </c>
      <c r="I33" s="27"/>
      <c r="J33" s="27" t="n">
        <f>SUM(J8:K31)</f>
        <v>454501</v>
      </c>
      <c r="K33" s="27"/>
      <c r="L33" s="23" t="s">
        <v>157</v>
      </c>
      <c r="M33" s="23"/>
      <c r="N33" s="27" t="n">
        <f>F33+H33+J33</f>
        <v>1363503</v>
      </c>
    </row>
    <row r="34" spans="3:14" x14ac:dyDescent="0.25">
      <c r="C34" t="s">
        <v>158</v>
      </c>
      <c r="F34" s="27" t="n">
        <f>F33*1.25</f>
        <v>568126.25</v>
      </c>
      <c r="G34" s="27"/>
      <c r="H34" s="27" t="n">
        <f>H33*1.25</f>
        <v>568126.25</v>
      </c>
      <c r="I34" s="27"/>
      <c r="J34" s="27" t="n">
        <f>J33*1.25</f>
        <v>568126.25</v>
      </c>
      <c r="K34" s="27"/>
      <c r="L34" s="23" t="s">
        <v>159</v>
      </c>
      <c r="M34" s="23"/>
      <c r="N34" s="27" t="n">
        <f>N33*1.25</f>
        <v>1704378.75</v>
      </c>
    </row>
    <row r="35" spans="3:14" x14ac:dyDescent="0.25">
      <c r="C35" t="s">
        <v>160</v>
      </c>
      <c r="F35" s="27" t="n">
        <f>MAX($F$34,$H$34,$J$34)</f>
        <v>568126.25</v>
      </c>
      <c r="G35" s="27"/>
      <c r="H35" s="27" t="n">
        <f>MAX($F$34,$H$34,$J$34)</f>
        <v>568126.25</v>
      </c>
      <c r="I35" s="27"/>
      <c r="J35" s="27" t="n">
        <f>MAX($F$34,$H$34,$J$34)</f>
        <v>568126.25</v>
      </c>
      <c r="K35" s="27"/>
      <c r="L35" s="23" t="s">
        <v>161</v>
      </c>
      <c r="M35" s="23"/>
      <c r="N35" s="28" t="n">
        <f>N34/(480*SQRT(3))</f>
        <v>2050.049021069954</v>
      </c>
    </row>
    <row r="36" spans="3:14" x14ac:dyDescent="0.25">
      <c r="C36" t="s">
        <v>162</v>
      </c>
      <c r="F36" s="28" t="n">
        <f>F35/(480/SQRT(3))</f>
        <v>2050.0490210699536</v>
      </c>
      <c r="G36" s="28"/>
      <c r="H36" s="28" t="n">
        <f>H35/(480/SQRT(3))</f>
        <v>2050.0490210699536</v>
      </c>
      <c r="I36" s="28"/>
      <c r="J36" s="28" t="n">
        <f>J35/(480/SQRT(3))</f>
        <v>2050.0490210699536</v>
      </c>
      <c r="K36" s="28"/>
      <c r="L36" s="23" t="s">
        <v>163</v>
      </c>
      <c r="M36" s="23"/>
      <c r="N36" t="n">
        <f>SgSuggested</f>
        <v>2500</v>
      </c>
    </row>
    <row r="38" spans="2:2" x14ac:dyDescent="0.25">
      <c r="B38" s="18" t="str">
        <f>IF($S$15+IF(TxKvaSuggested&gt;0,1,0)&gt;16,"⚠ More than 16 circuits — grid truncated, use the app's Excel export","")</f>
        <v/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164</v>
      </c>
      <c r="D3" s="23" t="s">
        <v>133</v>
      </c>
      <c r="E3" t="s">
        <v>134</v>
      </c>
      <c r="H3" s="23" t="s">
        <v>135</v>
      </c>
      <c r="I3" t="s">
        <v>165</v>
      </c>
      <c r="M3" s="23" t="s">
        <v>137</v>
      </c>
      <c r="N3" t="str">
        <f>Panel!$F$40&amp;" A 3P"</f>
        <v>150 A 3P</v>
      </c>
      <c r="S3" t="n">
        <f>IF(Intake!$D$23="L2",Intake!$B$23*IFERROR(VLOOKUP(Intake!$A$23,ModelTable,7,FALSE),0),0)</f>
        <v>0</v>
      </c>
      <c r="T3">
        <v>0</v>
      </c>
    </row>
    <row r="4" spans="4:20" x14ac:dyDescent="0.25">
      <c r="D4" s="23" t="s">
        <v>138</v>
      </c>
      <c r="E4" t="str">
        <f>IF(TxKvaSuggested&gt;0,"EV_MAIN VIA "&amp;TxKvaSuggested&amp;" KVA XFMR","UTILITY")</f>
        <v>EV_MAIN VIA 75 KVA XFMR</v>
      </c>
      <c r="H4" s="23" t="s">
        <v>139</v>
      </c>
      <c r="I4" t="s">
        <v>140</v>
      </c>
      <c r="M4" s="23" t="s">
        <v>141</v>
      </c>
      <c r="N4" t="str">
        <f>Panel!$F$40&amp;" A"</f>
        <v>150 A</v>
      </c>
      <c r="S4" t="n">
        <f>IF(Intake!$D$24="L2",Intake!$B$24*IFERROR(VLOOKUP(Intake!$A$24,ModelTable,7,FALSE),0),0)</f>
        <v>5</v>
      </c>
      <c r="T4" t="n">
        <f>T3+S3</f>
        <v>0</v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166</v>
      </c>
      <c r="S5" t="n">
        <f>IF(Intake!$D$25="L2",Intake!$B$25*IFERROR(VLOOKUP(Intake!$A$25,ModelTable,7,FALSE),0),0)</f>
        <v>0</v>
      </c>
      <c r="T5" t="n">
        <f>T4+S4</f>
        <v>5</v>
      </c>
    </row>
    <row r="6" spans="19:20" x14ac:dyDescent="0.25">
      <c r="S6" t="n">
        <f>IF(Intake!$D$26="L2",Intake!$B$26*IFERROR(VLOOKUP(Intake!$A$26,ModelTable,7,FALSE),0),0)</f>
        <v>0</v>
      </c>
      <c r="T6" t="n">
        <f>T5+S5</f>
        <v>5</v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 t="n">
        <f>IF(Intake!$D$27="L2",Intake!$B$27*IFERROR(VLOOKUP(Intake!$A$27,ModelTable,7,FALSE),0),0)</f>
        <v>0</v>
      </c>
      <c r="T7" t="n">
        <f>T6+S6</f>
        <v>5</v>
      </c>
    </row>
    <row r="8" spans="1:20" x14ac:dyDescent="0.25">
      <c r="A8" t="s">
        <v>152</v>
      </c>
      <c r="B8" s="25">
        <v>1</v>
      </c>
      <c r="C8" s="25" t="str">
        <f>IF($AA$17=1,$X$17,"")</f>
        <v>L2 SINGLE 40A #1</v>
      </c>
      <c r="D8" s="25" t="n">
        <f>IF($AA$17=1,$Y$17,"")</f>
        <v>50</v>
      </c>
      <c r="E8" s="25" t="n">
        <f>IF($AA$17=1,2,"")</f>
        <v>2</v>
      </c>
      <c r="F8" s="25" t="n">
        <f>IF($AA$17=1,ROUND($Z$17,0),"")</f>
        <v>4160</v>
      </c>
      <c r="G8" s="25" t="n">
        <f>IF($AA$18=1,ROUND($Z$18,0),"")</f>
        <v>4160</v>
      </c>
      <c r="H8" s="25"/>
      <c r="I8" s="25"/>
      <c r="J8" s="25"/>
      <c r="K8" s="25"/>
      <c r="L8" s="25" t="n">
        <f>IF($AA$18=1,2,"")</f>
        <v>2</v>
      </c>
      <c r="M8" s="25" t="n">
        <f>IF($AA$18=1,$Y$18,"")</f>
        <v>50</v>
      </c>
      <c r="N8" s="25" t="str">
        <f>IF($AA$18=1,$X$18,"")</f>
        <v>L2 SINGLE 40A #2</v>
      </c>
      <c r="O8" s="25">
        <v>2</v>
      </c>
      <c r="P8" t="s">
        <v>152</v>
      </c>
      <c r="S8" t="n">
        <f>IF(Intake!$D$28="L2",Intake!$B$28*IFERROR(VLOOKUP(Intake!$A$28,ModelTable,7,FALSE),0),0)</f>
        <v>0</v>
      </c>
      <c r="T8" t="n">
        <f>T7+S7</f>
        <v>5</v>
      </c>
    </row>
    <row r="9" spans="1:20" x14ac:dyDescent="0.25">
      <c r="A9" t="s">
        <v>153</v>
      </c>
      <c r="B9" s="25">
        <v>3</v>
      </c>
      <c r="C9" s="25" t="str">
        <f>IF($AA$17=1,"---","")</f>
        <v>---</v>
      </c>
      <c r="D9" s="25"/>
      <c r="E9" s="25"/>
      <c r="F9" s="25"/>
      <c r="G9" s="25"/>
      <c r="H9" s="25" t="n">
        <f>IF($AA$17=1,ROUND($Z$17,0),"")</f>
        <v>4160</v>
      </c>
      <c r="I9" s="25" t="n">
        <f>IF($AA$18=1,ROUND($Z$18,0),"")</f>
        <v>4160</v>
      </c>
      <c r="J9" s="25"/>
      <c r="K9" s="25"/>
      <c r="L9" s="25"/>
      <c r="M9" s="25"/>
      <c r="N9" s="25" t="str">
        <f>IF($AA$18=1,"---","")</f>
        <v>---</v>
      </c>
      <c r="O9" s="25">
        <v>4</v>
      </c>
      <c r="P9" t="s">
        <v>153</v>
      </c>
      <c r="S9" t="n">
        <f>IF(Intake!$D$29="L2",Intake!$B$29*IFERROR(VLOOKUP(Intake!$A$29,ModelTable,7,FALSE),0),0)</f>
        <v>0</v>
      </c>
      <c r="T9" t="n">
        <f>T8+S8</f>
        <v>5</v>
      </c>
    </row>
    <row r="10" spans="1:20" x14ac:dyDescent="0.25">
      <c r="A10" t="s">
        <v>154</v>
      </c>
      <c r="B10" s="25">
        <v>5</v>
      </c>
      <c r="C10" s="25" t="str">
        <f>IF($AA$19=1,$X$19,"")</f>
        <v>L2 SINGLE 40A #3</v>
      </c>
      <c r="D10" s="25" t="n">
        <f>IF($AA$19=1,$Y$19,"")</f>
        <v>50</v>
      </c>
      <c r="E10" s="25" t="n">
        <f>IF($AA$19=1,2,"")</f>
        <v>2</v>
      </c>
      <c r="F10" s="25"/>
      <c r="G10" s="25"/>
      <c r="H10" s="25"/>
      <c r="I10" s="25"/>
      <c r="J10" s="25" t="n">
        <f>IF($AA$19=1,ROUND($Z$19,0),"")</f>
        <v>4160</v>
      </c>
      <c r="K10" s="25" t="n">
        <f>IF($AA$20=1,ROUND($Z$20,0),"")</f>
        <v>4160</v>
      </c>
      <c r="L10" s="25" t="n">
        <f>IF($AA$20=1,2,"")</f>
        <v>2</v>
      </c>
      <c r="M10" s="25" t="n">
        <f>IF($AA$20=1,$Y$20,"")</f>
        <v>50</v>
      </c>
      <c r="N10" s="25" t="str">
        <f>IF($AA$20=1,$X$20,"")</f>
        <v>L2 SINGLE 40A #4</v>
      </c>
      <c r="O10" s="25">
        <v>6</v>
      </c>
      <c r="P10" t="s">
        <v>154</v>
      </c>
      <c r="S10" t="n">
        <f>IF(Intake!$D$30="L2",Intake!$B$30*IFERROR(VLOOKUP(Intake!$A$30,ModelTable,7,FALSE),0),0)</f>
        <v>0</v>
      </c>
      <c r="T10" t="n">
        <f>T9+S9</f>
        <v>5</v>
      </c>
    </row>
    <row r="11" spans="1:20" x14ac:dyDescent="0.25">
      <c r="A11" t="s">
        <v>152</v>
      </c>
      <c r="B11" s="25">
        <v>7</v>
      </c>
      <c r="C11" s="25" t="str">
        <f>IF($AA$19=1,"---","")</f>
        <v>---</v>
      </c>
      <c r="D11" s="25"/>
      <c r="E11" s="25"/>
      <c r="F11" s="25" t="n">
        <f>IF($AA$19=1,ROUND($Z$19,0),"")</f>
        <v>4160</v>
      </c>
      <c r="G11" s="25" t="n">
        <f>IF($AA$20=1,ROUND($Z$20,0),"")</f>
        <v>4160</v>
      </c>
      <c r="H11" s="25"/>
      <c r="I11" s="25"/>
      <c r="J11" s="25"/>
      <c r="K11" s="25"/>
      <c r="L11" s="25"/>
      <c r="M11" s="25"/>
      <c r="N11" s="25" t="str">
        <f>IF($AA$20=1,"---","")</f>
        <v>---</v>
      </c>
      <c r="O11" s="25">
        <v>8</v>
      </c>
      <c r="P11" t="s">
        <v>152</v>
      </c>
      <c r="S11" t="n">
        <f>IF(Intake!$D$31="L2",Intake!$B$31*IFERROR(VLOOKUP(Intake!$A$31,ModelTable,7,FALSE),0),0)</f>
        <v>0</v>
      </c>
      <c r="T11" t="n">
        <f>T10+S10</f>
        <v>5</v>
      </c>
    </row>
    <row r="12" spans="1:20" x14ac:dyDescent="0.25">
      <c r="A12" t="s">
        <v>153</v>
      </c>
      <c r="B12" s="25">
        <v>9</v>
      </c>
      <c r="C12" s="25" t="str">
        <f>IF($AA$21=1,$X$21,"")</f>
        <v>L2 SINGLE 40A #5</v>
      </c>
      <c r="D12" s="25" t="n">
        <f>IF($AA$21=1,$Y$21,"")</f>
        <v>50</v>
      </c>
      <c r="E12" s="25" t="n">
        <f>IF($AA$21=1,2,"")</f>
        <v>2</v>
      </c>
      <c r="F12" s="25"/>
      <c r="G12" s="25"/>
      <c r="H12" s="25" t="n">
        <f>IF($AA$21=1,ROUND($Z$21,0),"")</f>
        <v>4160</v>
      </c>
      <c r="I12" s="25" t="str">
        <f>IF($AA$22=1,ROUND($Z$22,0),"")</f>
        <v/>
      </c>
      <c r="J12" s="25"/>
      <c r="K12" s="25"/>
      <c r="L12" s="25" t="str">
        <f>IF($AA$22=1,2,"")</f>
        <v/>
      </c>
      <c r="M12" s="25" t="str">
        <f>IF($AA$22=1,$Y$22,"")</f>
        <v/>
      </c>
      <c r="N12" s="25" t="str">
        <f>IF($AA$22=1,$X$22,"")</f>
        <v/>
      </c>
      <c r="O12" s="25">
        <v>10</v>
      </c>
      <c r="P12" t="s">
        <v>153</v>
      </c>
      <c r="S12" t="n">
        <f>IF(Intake!$D$32="L2",Intake!$B$32*IFERROR(VLOOKUP(Intake!$A$32,ModelTable,7,FALSE),0),0)</f>
        <v>0</v>
      </c>
      <c r="T12" t="n">
        <f>T11+S11</f>
        <v>5</v>
      </c>
    </row>
    <row r="13" spans="1:20" x14ac:dyDescent="0.25">
      <c r="A13" t="s">
        <v>154</v>
      </c>
      <c r="B13" s="25">
        <v>11</v>
      </c>
      <c r="C13" s="25" t="str">
        <f>IF($AA$21=1,"---","")</f>
        <v>---</v>
      </c>
      <c r="D13" s="25"/>
      <c r="E13" s="25"/>
      <c r="F13" s="25"/>
      <c r="G13" s="25"/>
      <c r="H13" s="25"/>
      <c r="I13" s="25"/>
      <c r="J13" s="25" t="n">
        <f>IF($AA$21=1,ROUND($Z$21,0),"")</f>
        <v>4160</v>
      </c>
      <c r="K13" s="25" t="str">
        <f>IF($AA$22=1,ROUND($Z$22,0),"")</f>
        <v/>
      </c>
      <c r="L13" s="25"/>
      <c r="M13" s="25"/>
      <c r="N13" s="25" t="str">
        <f>IF($AA$22=1,"---","")</f>
        <v/>
      </c>
      <c r="O13" s="25">
        <v>12</v>
      </c>
      <c r="P13" t="s">
        <v>154</v>
      </c>
      <c r="S13" t="n">
        <f>IF(Intake!$D$33="L2",Intake!$B$33*IFERROR(VLOOKUP(Intake!$A$33,ModelTable,7,FALSE),0),0)</f>
        <v>0</v>
      </c>
      <c r="T13" t="n">
        <f>T12+S12</f>
        <v>5</v>
      </c>
    </row>
    <row r="14" spans="1:20" x14ac:dyDescent="0.25">
      <c r="A14" t="s">
        <v>152</v>
      </c>
      <c r="B14" s="25">
        <v>13</v>
      </c>
      <c r="C14" s="25" t="str">
        <f>IF($AA$23=1,$X$23,"")</f>
        <v/>
      </c>
      <c r="D14" s="25" t="str">
        <f>IF($AA$23=1,$Y$23,"")</f>
        <v/>
      </c>
      <c r="E14" s="25" t="str">
        <f>IF($AA$23=1,2,"")</f>
        <v/>
      </c>
      <c r="F14" s="25" t="str">
        <f>IF($AA$23=1,ROUND($Z$23,0),"")</f>
        <v/>
      </c>
      <c r="G14" s="25" t="str">
        <f>IF($AA$24=1,ROUND($Z$24,0),"")</f>
        <v/>
      </c>
      <c r="H14" s="25"/>
      <c r="I14" s="25"/>
      <c r="J14" s="25"/>
      <c r="K14" s="25"/>
      <c r="L14" s="25" t="str">
        <f>IF($AA$24=1,2,"")</f>
        <v/>
      </c>
      <c r="M14" s="25" t="str">
        <f>IF($AA$24=1,$Y$24,"")</f>
        <v/>
      </c>
      <c r="N14" s="25" t="str">
        <f>IF($AA$24=1,$X$24,"")</f>
        <v/>
      </c>
      <c r="O14" s="25">
        <v>14</v>
      </c>
      <c r="P14" t="s">
        <v>152</v>
      </c>
      <c r="S14" t="n">
        <f>IF(Intake!$D$34="L2",Intake!$B$34*IFERROR(VLOOKUP(Intake!$A$34,ModelTable,7,FALSE),0),0)</f>
        <v>0</v>
      </c>
      <c r="T14" t="n">
        <f>T13+S13</f>
        <v>5</v>
      </c>
    </row>
    <row r="15" spans="1:19" x14ac:dyDescent="0.25">
      <c r="A15" t="s">
        <v>153</v>
      </c>
      <c r="B15" s="25">
        <v>15</v>
      </c>
      <c r="C15" s="25" t="str">
        <f>IF($AA$23=1,"---","")</f>
        <v/>
      </c>
      <c r="D15" s="25"/>
      <c r="E15" s="25"/>
      <c r="F15" s="25"/>
      <c r="G15" s="25"/>
      <c r="H15" s="25" t="str">
        <f>IF($AA$23=1,ROUND($Z$23,0),"")</f>
        <v/>
      </c>
      <c r="I15" s="25" t="str">
        <f>IF($AA$24=1,ROUND($Z$24,0),"")</f>
        <v/>
      </c>
      <c r="J15" s="25"/>
      <c r="K15" s="25"/>
      <c r="L15" s="25"/>
      <c r="M15" s="25"/>
      <c r="N15" s="25" t="str">
        <f>IF($AA$24=1,"---","")</f>
        <v/>
      </c>
      <c r="O15" s="25">
        <v>16</v>
      </c>
      <c r="P15" t="s">
        <v>153</v>
      </c>
      <c r="R15" s="26" t="s">
        <v>155</v>
      </c>
      <c r="S15" t="n">
        <f>SUM(S3:S14)</f>
        <v>5</v>
      </c>
    </row>
    <row r="16" spans="1:16" x14ac:dyDescent="0.25">
      <c r="A16" t="s">
        <v>154</v>
      </c>
      <c r="B16" s="25">
        <v>17</v>
      </c>
      <c r="C16" s="25" t="str">
        <f>IF($AA$25=1,$X$25,"")</f>
        <v/>
      </c>
      <c r="D16" s="25" t="str">
        <f>IF($AA$25=1,$Y$25,"")</f>
        <v/>
      </c>
      <c r="E16" s="25" t="str">
        <f>IF($AA$25=1,2,"")</f>
        <v/>
      </c>
      <c r="F16" s="25"/>
      <c r="G16" s="25"/>
      <c r="H16" s="25"/>
      <c r="I16" s="25"/>
      <c r="J16" s="25" t="str">
        <f>IF($AA$25=1,ROUND($Z$25,0),"")</f>
        <v/>
      </c>
      <c r="K16" s="25" t="str">
        <f>IF($AA$26=1,ROUND($Z$26,0),"")</f>
        <v/>
      </c>
      <c r="L16" s="25" t="str">
        <f>IF($AA$26=1,2,"")</f>
        <v/>
      </c>
      <c r="M16" s="25" t="str">
        <f>IF($AA$26=1,$Y$26,"")</f>
        <v/>
      </c>
      <c r="N16" s="25" t="str">
        <f>IF($AA$26=1,$X$26,"")</f>
        <v/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 t="str">
        <f>IF($AA$25=1,"---","")</f>
        <v/>
      </c>
      <c r="D17" s="25"/>
      <c r="E17" s="25"/>
      <c r="F17" s="25" t="str">
        <f>IF($AA$25=1,ROUND($Z$25,0),"")</f>
        <v/>
      </c>
      <c r="G17" s="25" t="str">
        <f>IF($AA$26=1,ROUND($Z$26,0),"")</f>
        <v/>
      </c>
      <c r="H17" s="25"/>
      <c r="I17" s="25"/>
      <c r="J17" s="25"/>
      <c r="K17" s="25"/>
      <c r="L17" s="25"/>
      <c r="M17" s="25"/>
      <c r="N17" s="25" t="str">
        <f>IF($AA$26=1,"---","")</f>
        <v/>
      </c>
      <c r="O17" s="25">
        <v>20</v>
      </c>
      <c r="P17" t="s">
        <v>152</v>
      </c>
      <c r="S17">
        <v>1</v>
      </c>
      <c r="T17" t="n">
        <f>IF(S17&lt;=$S$15,MATCH(S17-0.5,$T$3:$T$14,1),0)</f>
        <v>2</v>
      </c>
      <c r="U17" t="n">
        <f>IF(T17&gt;0,S17-INDEX($T$3:$T$14,T17),0)</f>
        <v>1</v>
      </c>
      <c r="V17" t="str">
        <f>IF(T17&gt;0,INDEX(Intake!$A$23:$A$34,T17),"")</f>
        <v>L2 Single 40A</v>
      </c>
      <c r="W17" t="n">
        <f>IF(T17&gt;0,IFERROR(VLOOKUP(V17,ModelTable,7,FALSE),1),1)</f>
        <v>1</v>
      </c>
      <c r="X17" t="str">
        <f>IF(T17&gt;0,UPPER(V17)&amp;" #"&amp;ROUNDUP(U17/W17,0)&amp;IF(W17&gt;1,CHAR(64+U17-(ROUNDUP(U17/W17,0)-1)*W17),""),"")</f>
        <v>L2 SINGLE 40A #1</v>
      </c>
      <c r="Y17" t="n">
        <f>IF(T17&gt;0,IFERROR(INDEX(Intake!$J$53:$J$64,T17),0),0)</f>
        <v>50</v>
      </c>
      <c r="Z17" t="n">
        <f>IF(T17&gt;0,IFERROR(VLOOKUP(V17,ModelTable,11,FALSE),0)*208/2,0)</f>
        <v>4160</v>
      </c>
      <c r="AA17" t="n">
        <f>IF(S17&lt;=$S$15,1,0)</f>
        <v>1</v>
      </c>
    </row>
    <row r="18" spans="1:27" x14ac:dyDescent="0.25">
      <c r="A18" t="s">
        <v>153</v>
      </c>
      <c r="B18" s="25">
        <v>21</v>
      </c>
      <c r="C18" s="25" t="str">
        <f>IF($AA$27=1,$X$27,"")</f>
        <v/>
      </c>
      <c r="D18" s="25" t="str">
        <f>IF($AA$27=1,$Y$27,"")</f>
        <v/>
      </c>
      <c r="E18" s="25" t="str">
        <f>IF($AA$27=1,2,"")</f>
        <v/>
      </c>
      <c r="F18" s="25"/>
      <c r="G18" s="25"/>
      <c r="H18" s="25" t="str">
        <f>IF($AA$27=1,ROUND($Z$27,0),"")</f>
        <v/>
      </c>
      <c r="I18" s="25" t="str">
        <f>IF($AA$28=1,ROUND($Z$28,0),"")</f>
        <v/>
      </c>
      <c r="J18" s="25"/>
      <c r="K18" s="25"/>
      <c r="L18" s="25" t="str">
        <f>IF($AA$28=1,2,"")</f>
        <v/>
      </c>
      <c r="M18" s="25" t="str">
        <f>IF($AA$28=1,$Y$28,"")</f>
        <v/>
      </c>
      <c r="N18" s="25" t="str">
        <f>IF($AA$28=1,$X$28,"")</f>
        <v/>
      </c>
      <c r="O18" s="25">
        <v>22</v>
      </c>
      <c r="P18" t="s">
        <v>153</v>
      </c>
      <c r="S18">
        <v>2</v>
      </c>
      <c r="T18" t="n">
        <f>IF(S18&lt;=$S$15,MATCH(S18-0.5,$T$3:$T$14,1),0)</f>
        <v>2</v>
      </c>
      <c r="U18" t="n">
        <f>IF(T18&gt;0,S18-INDEX($T$3:$T$14,T18),0)</f>
        <v>2</v>
      </c>
      <c r="V18" t="str">
        <f>IF(T18&gt;0,INDEX(Intake!$A$23:$A$34,T18),"")</f>
        <v>L2 Single 40A</v>
      </c>
      <c r="W18" t="n">
        <f>IF(T18&gt;0,IFERROR(VLOOKUP(V18,ModelTable,7,FALSE),1),1)</f>
        <v>1</v>
      </c>
      <c r="X18" t="str">
        <f>IF(T18&gt;0,UPPER(V18)&amp;" #"&amp;ROUNDUP(U18/W18,0)&amp;IF(W18&gt;1,CHAR(64+U18-(ROUNDUP(U18/W18,0)-1)*W18),""),"")</f>
        <v>L2 SINGLE 40A #2</v>
      </c>
      <c r="Y18" t="n">
        <f>IF(T18&gt;0,IFERROR(INDEX(Intake!$J$53:$J$64,T18),0),0)</f>
        <v>50</v>
      </c>
      <c r="Z18" t="n">
        <f>IF(T18&gt;0,IFERROR(VLOOKUP(V18,ModelTable,11,FALSE),0)*208/2,0)</f>
        <v>4160</v>
      </c>
      <c r="AA18" t="n">
        <f>IF(S18&lt;=$S$15,1,0)</f>
        <v>1</v>
      </c>
    </row>
    <row r="19" spans="1:27" x14ac:dyDescent="0.25">
      <c r="A19" t="s">
        <v>154</v>
      </c>
      <c r="B19" s="25">
        <v>23</v>
      </c>
      <c r="C19" s="25" t="str">
        <f>IF($AA$27=1,"---","")</f>
        <v/>
      </c>
      <c r="D19" s="25"/>
      <c r="E19" s="25"/>
      <c r="F19" s="25"/>
      <c r="G19" s="25"/>
      <c r="H19" s="25"/>
      <c r="I19" s="25"/>
      <c r="J19" s="25" t="str">
        <f>IF($AA$27=1,ROUND($Z$27,0),"")</f>
        <v/>
      </c>
      <c r="K19" s="25" t="str">
        <f>IF($AA$28=1,ROUND($Z$28,0),"")</f>
        <v/>
      </c>
      <c r="L19" s="25"/>
      <c r="M19" s="25"/>
      <c r="N19" s="25" t="str">
        <f>IF($AA$28=1,"---","")</f>
        <v/>
      </c>
      <c r="O19" s="25">
        <v>24</v>
      </c>
      <c r="P19" t="s">
        <v>154</v>
      </c>
      <c r="S19">
        <v>3</v>
      </c>
      <c r="T19" t="n">
        <f>IF(S19&lt;=$S$15,MATCH(S19-0.5,$T$3:$T$14,1),0)</f>
        <v>2</v>
      </c>
      <c r="U19" t="n">
        <f>IF(T19&gt;0,S19-INDEX($T$3:$T$14,T19),0)</f>
        <v>3</v>
      </c>
      <c r="V19" t="str">
        <f>IF(T19&gt;0,INDEX(Intake!$A$23:$A$34,T19),"")</f>
        <v>L2 Single 40A</v>
      </c>
      <c r="W19" t="n">
        <f>IF(T19&gt;0,IFERROR(VLOOKUP(V19,ModelTable,7,FALSE),1),1)</f>
        <v>1</v>
      </c>
      <c r="X19" t="str">
        <f>IF(T19&gt;0,UPPER(V19)&amp;" #"&amp;ROUNDUP(U19/W19,0)&amp;IF(W19&gt;1,CHAR(64+U19-(ROUNDUP(U19/W19,0)-1)*W19),""),"")</f>
        <v>L2 SINGLE 40A #3</v>
      </c>
      <c r="Y19" t="n">
        <f>IF(T19&gt;0,IFERROR(INDEX(Intake!$J$53:$J$64,T19),0),0)</f>
        <v>50</v>
      </c>
      <c r="Z19" t="n">
        <f>IF(T19&gt;0,IFERROR(VLOOKUP(V19,ModelTable,11,FALSE),0)*208/2,0)</f>
        <v>4160</v>
      </c>
      <c r="AA19" t="n">
        <f>IF(S19&lt;=$S$15,1,0)</f>
        <v>1</v>
      </c>
    </row>
    <row r="20" spans="1:27" x14ac:dyDescent="0.25">
      <c r="A20" t="s">
        <v>152</v>
      </c>
      <c r="B20" s="25">
        <v>25</v>
      </c>
      <c r="C20" s="25" t="str">
        <f>IF($AA$29=1,$X$29,"")</f>
        <v/>
      </c>
      <c r="D20" s="25" t="str">
        <f>IF($AA$29=1,$Y$29,"")</f>
        <v/>
      </c>
      <c r="E20" s="25" t="str">
        <f>IF($AA$29=1,2,"")</f>
        <v/>
      </c>
      <c r="F20" s="25" t="str">
        <f>IF($AA$29=1,ROUND($Z$29,0),"")</f>
        <v/>
      </c>
      <c r="G20" s="25" t="str">
        <f>IF($AA$30=1,ROUND($Z$30,0),"")</f>
        <v/>
      </c>
      <c r="H20" s="25"/>
      <c r="I20" s="25"/>
      <c r="J20" s="25"/>
      <c r="K20" s="25"/>
      <c r="L20" s="25" t="str">
        <f>IF($AA$30=1,2,"")</f>
        <v/>
      </c>
      <c r="M20" s="25" t="str">
        <f>IF($AA$30=1,$Y$30,"")</f>
        <v/>
      </c>
      <c r="N20" s="25" t="str">
        <f>IF($AA$30=1,$X$30,"")</f>
        <v/>
      </c>
      <c r="O20" s="25">
        <v>26</v>
      </c>
      <c r="P20" t="s">
        <v>152</v>
      </c>
      <c r="S20">
        <v>4</v>
      </c>
      <c r="T20" t="n">
        <f>IF(S20&lt;=$S$15,MATCH(S20-0.5,$T$3:$T$14,1),0)</f>
        <v>2</v>
      </c>
      <c r="U20" t="n">
        <f>IF(T20&gt;0,S20-INDEX($T$3:$T$14,T20),0)</f>
        <v>4</v>
      </c>
      <c r="V20" t="str">
        <f>IF(T20&gt;0,INDEX(Intake!$A$23:$A$34,T20),"")</f>
        <v>L2 Single 40A</v>
      </c>
      <c r="W20" t="n">
        <f>IF(T20&gt;0,IFERROR(VLOOKUP(V20,ModelTable,7,FALSE),1),1)</f>
        <v>1</v>
      </c>
      <c r="X20" t="str">
        <f>IF(T20&gt;0,UPPER(V20)&amp;" #"&amp;ROUNDUP(U20/W20,0)&amp;IF(W20&gt;1,CHAR(64+U20-(ROUNDUP(U20/W20,0)-1)*W20),""),"")</f>
        <v>L2 SINGLE 40A #4</v>
      </c>
      <c r="Y20" t="n">
        <f>IF(T20&gt;0,IFERROR(INDEX(Intake!$J$53:$J$64,T20),0),0)</f>
        <v>50</v>
      </c>
      <c r="Z20" t="n">
        <f>IF(T20&gt;0,IFERROR(VLOOKUP(V20,ModelTable,11,FALSE),0)*208/2,0)</f>
        <v>4160</v>
      </c>
      <c r="AA20" t="n">
        <f>IF(S20&lt;=$S$15,1,0)</f>
        <v>1</v>
      </c>
    </row>
    <row r="21" spans="1:27" x14ac:dyDescent="0.25">
      <c r="A21" t="s">
        <v>153</v>
      </c>
      <c r="B21" s="25">
        <v>27</v>
      </c>
      <c r="C21" s="25" t="str">
        <f>IF($AA$29=1,"---","")</f>
        <v/>
      </c>
      <c r="D21" s="25"/>
      <c r="E21" s="25"/>
      <c r="F21" s="25"/>
      <c r="G21" s="25"/>
      <c r="H21" s="25" t="str">
        <f>IF($AA$29=1,ROUND($Z$29,0),"")</f>
        <v/>
      </c>
      <c r="I21" s="25" t="str">
        <f>IF($AA$30=1,ROUND($Z$30,0),"")</f>
        <v/>
      </c>
      <c r="J21" s="25"/>
      <c r="K21" s="25"/>
      <c r="L21" s="25"/>
      <c r="M21" s="25"/>
      <c r="N21" s="25" t="str">
        <f>IF($AA$30=1,"---","")</f>
        <v/>
      </c>
      <c r="O21" s="25">
        <v>28</v>
      </c>
      <c r="P21" t="s">
        <v>153</v>
      </c>
      <c r="S21">
        <v>5</v>
      </c>
      <c r="T21" t="n">
        <f>IF(S21&lt;=$S$15,MATCH(S21-0.5,$T$3:$T$14,1),0)</f>
        <v>2</v>
      </c>
      <c r="U21" t="n">
        <f>IF(T21&gt;0,S21-INDEX($T$3:$T$14,T21),0)</f>
        <v>5</v>
      </c>
      <c r="V21" t="str">
        <f>IF(T21&gt;0,INDEX(Intake!$A$23:$A$34,T21),"")</f>
        <v>L2 Single 40A</v>
      </c>
      <c r="W21" t="n">
        <f>IF(T21&gt;0,IFERROR(VLOOKUP(V21,ModelTable,7,FALSE),1),1)</f>
        <v>1</v>
      </c>
      <c r="X21" t="str">
        <f>IF(T21&gt;0,UPPER(V21)&amp;" #"&amp;ROUNDUP(U21/W21,0)&amp;IF(W21&gt;1,CHAR(64+U21-(ROUNDUP(U21/W21,0)-1)*W21),""),"")</f>
        <v>L2 SINGLE 40A #5</v>
      </c>
      <c r="Y21" t="n">
        <f>IF(T21&gt;0,IFERROR(INDEX(Intake!$J$53:$J$64,T21),0),0)</f>
        <v>50</v>
      </c>
      <c r="Z21" t="n">
        <f>IF(T21&gt;0,IFERROR(VLOOKUP(V21,ModelTable,11,FALSE),0)*208/2,0)</f>
        <v>4160</v>
      </c>
      <c r="AA21" t="n">
        <f>IF(S21&lt;=$S$15,1,0)</f>
        <v>1</v>
      </c>
    </row>
    <row r="22" spans="1:27" x14ac:dyDescent="0.25">
      <c r="A22" t="s">
        <v>154</v>
      </c>
      <c r="B22" s="25">
        <v>29</v>
      </c>
      <c r="C22" s="25" t="str">
        <f>IF($AA$31=1,$X$31,"")</f>
        <v/>
      </c>
      <c r="D22" s="25" t="str">
        <f>IF($AA$31=1,$Y$31,"")</f>
        <v/>
      </c>
      <c r="E22" s="25" t="str">
        <f>IF($AA$31=1,2,"")</f>
        <v/>
      </c>
      <c r="F22" s="25"/>
      <c r="G22" s="25"/>
      <c r="H22" s="25"/>
      <c r="I22" s="25"/>
      <c r="J22" s="25" t="str">
        <f>IF($AA$31=1,ROUND($Z$31,0),"")</f>
        <v/>
      </c>
      <c r="K22" s="25" t="str">
        <f>IF($AA$32=1,ROUND($Z$32,0),"")</f>
        <v/>
      </c>
      <c r="L22" s="25" t="str">
        <f>IF($AA$32=1,2,"")</f>
        <v/>
      </c>
      <c r="M22" s="25" t="str">
        <f>IF($AA$32=1,$Y$32,"")</f>
        <v/>
      </c>
      <c r="N22" s="25" t="str">
        <f>IF($AA$32=1,$X$32,"")</f>
        <v/>
      </c>
      <c r="O22" s="25">
        <v>30</v>
      </c>
      <c r="P22" t="s">
        <v>154</v>
      </c>
      <c r="S22">
        <v>6</v>
      </c>
      <c r="T22" t="n">
        <f>IF(S22&lt;=$S$15,MATCH(S22-0.5,$T$3:$T$14,1),0)</f>
        <v>0</v>
      </c>
      <c r="U22" t="n">
        <f>IF(T22&gt;0,S22-INDEX($T$3:$T$14,T22),0)</f>
        <v>0</v>
      </c>
      <c r="V22" t="str">
        <f>IF(T22&gt;0,INDEX(Intake!$A$23:$A$34,T22),"")</f>
        <v/>
      </c>
      <c r="W22" t="n">
        <f>IF(T22&gt;0,IFERROR(VLOOKUP(V22,ModelTable,7,FALSE),1),1)</f>
        <v>1</v>
      </c>
      <c r="X22" t="str">
        <f>IF(T22&gt;0,UPPER(V22)&amp;" #"&amp;ROUNDUP(U22/W22,0)&amp;IF(W22&gt;1,CHAR(64+U22-(ROUNDUP(U22/W22,0)-1)*W22),""),"")</f>
        <v/>
      </c>
      <c r="Y22" t="n">
        <f>IF(T22&gt;0,IFERROR(INDEX(Intake!$J$53:$J$64,T22),0),0)</f>
        <v>0</v>
      </c>
      <c r="Z22" t="n">
        <f>IF(T22&gt;0,IFERROR(VLOOKUP(V22,ModelTable,11,FALSE),0)*208/2,0)</f>
        <v>0</v>
      </c>
      <c r="AA22" t="n">
        <f>IF(S22&lt;=$S$15,1,0)</f>
        <v>0</v>
      </c>
    </row>
    <row r="23" spans="1:27" x14ac:dyDescent="0.25">
      <c r="A23" t="s">
        <v>152</v>
      </c>
      <c r="B23" s="25">
        <v>31</v>
      </c>
      <c r="C23" s="25" t="str">
        <f>IF($AA$31=1,"---","")</f>
        <v/>
      </c>
      <c r="D23" s="25"/>
      <c r="E23" s="25"/>
      <c r="F23" s="25" t="str">
        <f>IF($AA$31=1,ROUND($Z$31,0),"")</f>
        <v/>
      </c>
      <c r="G23" s="25" t="str">
        <f>IF($AA$32=1,ROUND($Z$32,0),"")</f>
        <v/>
      </c>
      <c r="H23" s="25"/>
      <c r="I23" s="25"/>
      <c r="J23" s="25"/>
      <c r="K23" s="25"/>
      <c r="L23" s="25"/>
      <c r="M23" s="25"/>
      <c r="N23" s="25" t="str">
        <f>IF($AA$32=1,"---","")</f>
        <v/>
      </c>
      <c r="O23" s="25">
        <v>32</v>
      </c>
      <c r="P23" t="s">
        <v>152</v>
      </c>
      <c r="S23">
        <v>7</v>
      </c>
      <c r="T23" t="n">
        <f>IF(S23&lt;=$S$15,MATCH(S23-0.5,$T$3:$T$14,1),0)</f>
        <v>0</v>
      </c>
      <c r="U23" t="n">
        <f>IF(T23&gt;0,S23-INDEX($T$3:$T$14,T23),0)</f>
        <v>0</v>
      </c>
      <c r="V23" t="str">
        <f>IF(T23&gt;0,INDEX(Intake!$A$23:$A$34,T23),"")</f>
        <v/>
      </c>
      <c r="W23" t="n">
        <f>IF(T23&gt;0,IFERROR(VLOOKUP(V23,ModelTable,7,FALSE),1),1)</f>
        <v>1</v>
      </c>
      <c r="X23" t="str">
        <f>IF(T23&gt;0,UPPER(V23)&amp;" #"&amp;ROUNDUP(U23/W23,0)&amp;IF(W23&gt;1,CHAR(64+U23-(ROUNDUP(U23/W23,0)-1)*W23),""),"")</f>
        <v/>
      </c>
      <c r="Y23" t="n">
        <f>IF(T23&gt;0,IFERROR(INDEX(Intake!$J$53:$J$64,T23),0),0)</f>
        <v>0</v>
      </c>
      <c r="Z23" t="n">
        <f>IF(T23&gt;0,IFERROR(VLOOKUP(V23,ModelTable,11,FALSE),0)*208/2,0)</f>
        <v>0</v>
      </c>
      <c r="AA23" t="n">
        <f>IF(S23&lt;=$S$15,1,0)</f>
        <v>0</v>
      </c>
    </row>
    <row r="24" spans="1:27" x14ac:dyDescent="0.25">
      <c r="A24" t="s">
        <v>153</v>
      </c>
      <c r="B24" s="25">
        <v>33</v>
      </c>
      <c r="C24" s="25" t="str">
        <f>IF($AA$33=1,$X$33,"")</f>
        <v/>
      </c>
      <c r="D24" s="25" t="str">
        <f>IF($AA$33=1,$Y$33,"")</f>
        <v/>
      </c>
      <c r="E24" s="25" t="str">
        <f>IF($AA$33=1,2,"")</f>
        <v/>
      </c>
      <c r="F24" s="25"/>
      <c r="G24" s="25"/>
      <c r="H24" s="25" t="str">
        <f>IF($AA$33=1,ROUND($Z$33,0),"")</f>
        <v/>
      </c>
      <c r="I24" s="25" t="str">
        <f>IF($AA$34=1,ROUND($Z$34,0),"")</f>
        <v/>
      </c>
      <c r="J24" s="25"/>
      <c r="K24" s="25"/>
      <c r="L24" s="25" t="str">
        <f>IF($AA$34=1,2,"")</f>
        <v/>
      </c>
      <c r="M24" s="25" t="str">
        <f>IF($AA$34=1,$Y$34,"")</f>
        <v/>
      </c>
      <c r="N24" s="25" t="str">
        <f>IF($AA$34=1,$X$34,"")</f>
        <v/>
      </c>
      <c r="O24" s="25">
        <v>34</v>
      </c>
      <c r="P24" t="s">
        <v>153</v>
      </c>
      <c r="S24">
        <v>8</v>
      </c>
      <c r="T24" t="n">
        <f>IF(S24&lt;=$S$15,MATCH(S24-0.5,$T$3:$T$14,1),0)</f>
        <v>0</v>
      </c>
      <c r="U24" t="n">
        <f>IF(T24&gt;0,S24-INDEX($T$3:$T$14,T24),0)</f>
        <v>0</v>
      </c>
      <c r="V24" t="str">
        <f>IF(T24&gt;0,INDEX(Intake!$A$23:$A$34,T24),"")</f>
        <v/>
      </c>
      <c r="W24" t="n">
        <f>IF(T24&gt;0,IFERROR(VLOOKUP(V24,ModelTable,7,FALSE),1),1)</f>
        <v>1</v>
      </c>
      <c r="X24" t="str">
        <f>IF(T24&gt;0,UPPER(V24)&amp;" #"&amp;ROUNDUP(U24/W24,0)&amp;IF(W24&gt;1,CHAR(64+U24-(ROUNDUP(U24/W24,0)-1)*W24),""),"")</f>
        <v/>
      </c>
      <c r="Y24" t="n">
        <f>IF(T24&gt;0,IFERROR(INDEX(Intake!$J$53:$J$64,T24),0),0)</f>
        <v>0</v>
      </c>
      <c r="Z24" t="n">
        <f>IF(T24&gt;0,IFERROR(VLOOKUP(V24,ModelTable,11,FALSE),0)*208/2,0)</f>
        <v>0</v>
      </c>
      <c r="AA24" t="n">
        <f>IF(S24&lt;=$S$15,1,0)</f>
        <v>0</v>
      </c>
    </row>
    <row r="25" spans="1:27" x14ac:dyDescent="0.25">
      <c r="A25" t="s">
        <v>154</v>
      </c>
      <c r="B25" s="25">
        <v>35</v>
      </c>
      <c r="C25" s="25" t="str">
        <f>IF($AA$33=1,"---","")</f>
        <v/>
      </c>
      <c r="D25" s="25"/>
      <c r="E25" s="25"/>
      <c r="F25" s="25"/>
      <c r="G25" s="25"/>
      <c r="H25" s="25"/>
      <c r="I25" s="25"/>
      <c r="J25" s="25" t="str">
        <f>IF($AA$33=1,ROUND($Z$33,0),"")</f>
        <v/>
      </c>
      <c r="K25" s="25" t="str">
        <f>IF($AA$34=1,ROUND($Z$34,0),"")</f>
        <v/>
      </c>
      <c r="L25" s="25"/>
      <c r="M25" s="25"/>
      <c r="N25" s="25" t="str">
        <f>IF($AA$34=1,"---","")</f>
        <v/>
      </c>
      <c r="O25" s="25">
        <v>36</v>
      </c>
      <c r="P25" t="s">
        <v>154</v>
      </c>
      <c r="S25">
        <v>9</v>
      </c>
      <c r="T25" t="n">
        <f>IF(S25&lt;=$S$15,MATCH(S25-0.5,$T$3:$T$14,1),0)</f>
        <v>0</v>
      </c>
      <c r="U25" t="n">
        <f>IF(T25&gt;0,S25-INDEX($T$3:$T$14,T25),0)</f>
        <v>0</v>
      </c>
      <c r="V25" t="str">
        <f>IF(T25&gt;0,INDEX(Intake!$A$23:$A$34,T25),"")</f>
        <v/>
      </c>
      <c r="W25" t="n">
        <f>IF(T25&gt;0,IFERROR(VLOOKUP(V25,ModelTable,7,FALSE),1),1)</f>
        <v>1</v>
      </c>
      <c r="X25" t="str">
        <f>IF(T25&gt;0,UPPER(V25)&amp;" #"&amp;ROUNDUP(U25/W25,0)&amp;IF(W25&gt;1,CHAR(64+U25-(ROUNDUP(U25/W25,0)-1)*W25),""),"")</f>
        <v/>
      </c>
      <c r="Y25" t="n">
        <f>IF(T25&gt;0,IFERROR(INDEX(Intake!$J$53:$J$64,T25),0),0)</f>
        <v>0</v>
      </c>
      <c r="Z25" t="n">
        <f>IF(T25&gt;0,IFERROR(VLOOKUP(V25,ModelTable,11,FALSE),0)*208/2,0)</f>
        <v>0</v>
      </c>
      <c r="AA25" t="n">
        <f>IF(S25&lt;=$S$15,1,0)</f>
        <v>0</v>
      </c>
    </row>
    <row r="26" spans="1:27" x14ac:dyDescent="0.25">
      <c r="A26" t="s">
        <v>152</v>
      </c>
      <c r="B26" s="25">
        <v>37</v>
      </c>
      <c r="C26" s="25" t="str">
        <f>IF($AA$35=1,$X$35,"")</f>
        <v/>
      </c>
      <c r="D26" s="25" t="str">
        <f>IF($AA$35=1,$Y$35,"")</f>
        <v/>
      </c>
      <c r="E26" s="25" t="str">
        <f>IF($AA$35=1,2,"")</f>
        <v/>
      </c>
      <c r="F26" s="25" t="str">
        <f>IF($AA$35=1,ROUND($Z$35,0),"")</f>
        <v/>
      </c>
      <c r="G26" s="25" t="str">
        <f>IF($AA$36=1,ROUND($Z$36,0),"")</f>
        <v/>
      </c>
      <c r="H26" s="25"/>
      <c r="I26" s="25"/>
      <c r="J26" s="25"/>
      <c r="K26" s="25"/>
      <c r="L26" s="25" t="str">
        <f>IF($AA$36=1,2,"")</f>
        <v/>
      </c>
      <c r="M26" s="25" t="str">
        <f>IF($AA$36=1,$Y$36,"")</f>
        <v/>
      </c>
      <c r="N26" s="25" t="str">
        <f>IF($AA$36=1,$X$36,"")</f>
        <v/>
      </c>
      <c r="O26" s="25">
        <v>38</v>
      </c>
      <c r="P26" t="s">
        <v>152</v>
      </c>
      <c r="S26">
        <v>10</v>
      </c>
      <c r="T26" t="n">
        <f>IF(S26&lt;=$S$15,MATCH(S26-0.5,$T$3:$T$14,1),0)</f>
        <v>0</v>
      </c>
      <c r="U26" t="n">
        <f>IF(T26&gt;0,S26-INDEX($T$3:$T$14,T26),0)</f>
        <v>0</v>
      </c>
      <c r="V26" t="str">
        <f>IF(T26&gt;0,INDEX(Intake!$A$23:$A$34,T26),"")</f>
        <v/>
      </c>
      <c r="W26" t="n">
        <f>IF(T26&gt;0,IFERROR(VLOOKUP(V26,ModelTable,7,FALSE),1),1)</f>
        <v>1</v>
      </c>
      <c r="X26" t="str">
        <f>IF(T26&gt;0,UPPER(V26)&amp;" #"&amp;ROUNDUP(U26/W26,0)&amp;IF(W26&gt;1,CHAR(64+U26-(ROUNDUP(U26/W26,0)-1)*W26),""),"")</f>
        <v/>
      </c>
      <c r="Y26" t="n">
        <f>IF(T26&gt;0,IFERROR(INDEX(Intake!$J$53:$J$64,T26),0),0)</f>
        <v>0</v>
      </c>
      <c r="Z26" t="n">
        <f>IF(T26&gt;0,IFERROR(VLOOKUP(V26,ModelTable,11,FALSE),0)*208/2,0)</f>
        <v>0</v>
      </c>
      <c r="AA26" t="n">
        <f>IF(S26&lt;=$S$15,1,0)</f>
        <v>0</v>
      </c>
    </row>
    <row r="27" spans="1:27" x14ac:dyDescent="0.25">
      <c r="A27" t="s">
        <v>153</v>
      </c>
      <c r="B27" s="25">
        <v>39</v>
      </c>
      <c r="C27" s="25" t="str">
        <f>IF($AA$35=1,"---","")</f>
        <v/>
      </c>
      <c r="D27" s="25"/>
      <c r="E27" s="25"/>
      <c r="F27" s="25"/>
      <c r="G27" s="25"/>
      <c r="H27" s="25" t="str">
        <f>IF($AA$35=1,ROUND($Z$35,0),"")</f>
        <v/>
      </c>
      <c r="I27" s="25" t="str">
        <f>IF($AA$36=1,ROUND($Z$36,0),"")</f>
        <v/>
      </c>
      <c r="J27" s="25"/>
      <c r="K27" s="25"/>
      <c r="L27" s="25"/>
      <c r="M27" s="25"/>
      <c r="N27" s="25" t="str">
        <f>IF($AA$36=1,"---","")</f>
        <v/>
      </c>
      <c r="O27" s="25">
        <v>40</v>
      </c>
      <c r="P27" t="s">
        <v>153</v>
      </c>
      <c r="S27">
        <v>11</v>
      </c>
      <c r="T27" t="n">
        <f>IF(S27&lt;=$S$15,MATCH(S27-0.5,$T$3:$T$14,1),0)</f>
        <v>0</v>
      </c>
      <c r="U27" t="n">
        <f>IF(T27&gt;0,S27-INDEX($T$3:$T$14,T27),0)</f>
        <v>0</v>
      </c>
      <c r="V27" t="str">
        <f>IF(T27&gt;0,INDEX(Intake!$A$23:$A$34,T27),"")</f>
        <v/>
      </c>
      <c r="W27" t="n">
        <f>IF(T27&gt;0,IFERROR(VLOOKUP(V27,ModelTable,7,FALSE),1),1)</f>
        <v>1</v>
      </c>
      <c r="X27" t="str">
        <f>IF(T27&gt;0,UPPER(V27)&amp;" #"&amp;ROUNDUP(U27/W27,0)&amp;IF(W27&gt;1,CHAR(64+U27-(ROUNDUP(U27/W27,0)-1)*W27),""),"")</f>
        <v/>
      </c>
      <c r="Y27" t="n">
        <f>IF(T27&gt;0,IFERROR(INDEX(Intake!$J$53:$J$64,T27),0),0)</f>
        <v>0</v>
      </c>
      <c r="Z27" t="n">
        <f>IF(T27&gt;0,IFERROR(VLOOKUP(V27,ModelTable,11,FALSE),0)*208/2,0)</f>
        <v>0</v>
      </c>
      <c r="AA27" t="n">
        <f>IF(S27&lt;=$S$15,1,0)</f>
        <v>0</v>
      </c>
    </row>
    <row r="28" spans="1:27" x14ac:dyDescent="0.25">
      <c r="A28" t="s">
        <v>154</v>
      </c>
      <c r="B28" s="25">
        <v>41</v>
      </c>
      <c r="C28" s="25" t="str">
        <f>IF($AA$37=1,$X$37,"")</f>
        <v/>
      </c>
      <c r="D28" s="25" t="str">
        <f>IF($AA$37=1,$Y$37,"")</f>
        <v/>
      </c>
      <c r="E28" s="25" t="str">
        <f>IF($AA$37=1,2,"")</f>
        <v/>
      </c>
      <c r="F28" s="25"/>
      <c r="G28" s="25"/>
      <c r="H28" s="25"/>
      <c r="I28" s="25"/>
      <c r="J28" s="25" t="str">
        <f>IF($AA$37=1,ROUND($Z$37,0),"")</f>
        <v/>
      </c>
      <c r="K28" s="25" t="str">
        <f>IF($AA$38=1,ROUND($Z$38,0),"")</f>
        <v/>
      </c>
      <c r="L28" s="25" t="str">
        <f>IF($AA$38=1,2,"")</f>
        <v/>
      </c>
      <c r="M28" s="25" t="str">
        <f>IF($AA$38=1,$Y$38,"")</f>
        <v/>
      </c>
      <c r="N28" s="25" t="str">
        <f>IF($AA$38=1,$X$38,"")</f>
        <v/>
      </c>
      <c r="O28" s="25">
        <v>42</v>
      </c>
      <c r="P28" t="s">
        <v>154</v>
      </c>
      <c r="S28">
        <v>12</v>
      </c>
      <c r="T28" t="n">
        <f>IF(S28&lt;=$S$15,MATCH(S28-0.5,$T$3:$T$14,1),0)</f>
        <v>0</v>
      </c>
      <c r="U28" t="n">
        <f>IF(T28&gt;0,S28-INDEX($T$3:$T$14,T28),0)</f>
        <v>0</v>
      </c>
      <c r="V28" t="str">
        <f>IF(T28&gt;0,INDEX(Intake!$A$23:$A$34,T28),"")</f>
        <v/>
      </c>
      <c r="W28" t="n">
        <f>IF(T28&gt;0,IFERROR(VLOOKUP(V28,ModelTable,7,FALSE),1),1)</f>
        <v>1</v>
      </c>
      <c r="X28" t="str">
        <f>IF(T28&gt;0,UPPER(V28)&amp;" #"&amp;ROUNDUP(U28/W28,0)&amp;IF(W28&gt;1,CHAR(64+U28-(ROUNDUP(U28/W28,0)-1)*W28),""),"")</f>
        <v/>
      </c>
      <c r="Y28" t="n">
        <f>IF(T28&gt;0,IFERROR(INDEX(Intake!$J$53:$J$64,T28),0),0)</f>
        <v>0</v>
      </c>
      <c r="Z28" t="n">
        <f>IF(T28&gt;0,IFERROR(VLOOKUP(V28,ModelTable,11,FALSE),0)*208/2,0)</f>
        <v>0</v>
      </c>
      <c r="AA28" t="n">
        <f>IF(S28&lt;=$S$15,1,0)</f>
        <v>0</v>
      </c>
    </row>
    <row r="29" spans="1:27" x14ac:dyDescent="0.25">
      <c r="A29" t="s">
        <v>152</v>
      </c>
      <c r="B29" s="25">
        <v>43</v>
      </c>
      <c r="C29" s="25" t="str">
        <f>IF($AA$37=1,"---","")</f>
        <v/>
      </c>
      <c r="D29" s="25"/>
      <c r="E29" s="25"/>
      <c r="F29" s="25" t="str">
        <f>IF($AA$37=1,ROUND($Z$37,0),"")</f>
        <v/>
      </c>
      <c r="G29" s="25" t="str">
        <f>IF($AA$38=1,ROUND($Z$38,0),"")</f>
        <v/>
      </c>
      <c r="H29" s="25"/>
      <c r="I29" s="25"/>
      <c r="J29" s="25"/>
      <c r="K29" s="25"/>
      <c r="L29" s="25"/>
      <c r="M29" s="25"/>
      <c r="N29" s="25" t="str">
        <f>IF($AA$38=1,"---","")</f>
        <v/>
      </c>
      <c r="O29" s="25">
        <v>44</v>
      </c>
      <c r="P29" t="s">
        <v>152</v>
      </c>
      <c r="S29">
        <v>13</v>
      </c>
      <c r="T29" t="n">
        <f>IF(S29&lt;=$S$15,MATCH(S29-0.5,$T$3:$T$14,1),0)</f>
        <v>0</v>
      </c>
      <c r="U29" t="n">
        <f>IF(T29&gt;0,S29-INDEX($T$3:$T$14,T29),0)</f>
        <v>0</v>
      </c>
      <c r="V29" t="str">
        <f>IF(T29&gt;0,INDEX(Intake!$A$23:$A$34,T29),"")</f>
        <v/>
      </c>
      <c r="W29" t="n">
        <f>IF(T29&gt;0,IFERROR(VLOOKUP(V29,ModelTable,7,FALSE),1),1)</f>
        <v>1</v>
      </c>
      <c r="X29" t="str">
        <f>IF(T29&gt;0,UPPER(V29)&amp;" #"&amp;ROUNDUP(U29/W29,0)&amp;IF(W29&gt;1,CHAR(64+U29-(ROUNDUP(U29/W29,0)-1)*W29),""),"")</f>
        <v/>
      </c>
      <c r="Y29" t="n">
        <f>IF(T29&gt;0,IFERROR(INDEX(Intake!$J$53:$J$64,T29),0),0)</f>
        <v>0</v>
      </c>
      <c r="Z29" t="n">
        <f>IF(T29&gt;0,IFERROR(VLOOKUP(V29,ModelTable,11,FALSE),0)*208/2,0)</f>
        <v>0</v>
      </c>
      <c r="AA29" t="n">
        <f>IF(S29&lt;=$S$15,1,0)</f>
        <v>0</v>
      </c>
    </row>
    <row r="30" spans="1:27" x14ac:dyDescent="0.25">
      <c r="A30" t="s">
        <v>153</v>
      </c>
      <c r="B30" s="25">
        <v>45</v>
      </c>
      <c r="C30" s="25" t="str">
        <f>IF($AA$39=1,$X$39,"")</f>
        <v/>
      </c>
      <c r="D30" s="25" t="str">
        <f>IF($AA$39=1,$Y$39,"")</f>
        <v/>
      </c>
      <c r="E30" s="25" t="str">
        <f>IF($AA$39=1,2,"")</f>
        <v/>
      </c>
      <c r="F30" s="25"/>
      <c r="G30" s="25"/>
      <c r="H30" s="25" t="str">
        <f>IF($AA$39=1,ROUND($Z$39,0),"")</f>
        <v/>
      </c>
      <c r="I30" s="25" t="str">
        <f>IF($AA$40=1,ROUND($Z$40,0),"")</f>
        <v/>
      </c>
      <c r="J30" s="25"/>
      <c r="K30" s="25"/>
      <c r="L30" s="25" t="str">
        <f>IF($AA$40=1,2,"")</f>
        <v/>
      </c>
      <c r="M30" s="25" t="str">
        <f>IF($AA$40=1,$Y$40,"")</f>
        <v/>
      </c>
      <c r="N30" s="25" t="str">
        <f>IF($AA$40=1,$X$40,"")</f>
        <v/>
      </c>
      <c r="O30" s="25">
        <v>46</v>
      </c>
      <c r="P30" t="s">
        <v>153</v>
      </c>
      <c r="S30">
        <v>14</v>
      </c>
      <c r="T30" t="n">
        <f>IF(S30&lt;=$S$15,MATCH(S30-0.5,$T$3:$T$14,1),0)</f>
        <v>0</v>
      </c>
      <c r="U30" t="n">
        <f>IF(T30&gt;0,S30-INDEX($T$3:$T$14,T30),0)</f>
        <v>0</v>
      </c>
      <c r="V30" t="str">
        <f>IF(T30&gt;0,INDEX(Intake!$A$23:$A$34,T30),"")</f>
        <v/>
      </c>
      <c r="W30" t="n">
        <f>IF(T30&gt;0,IFERROR(VLOOKUP(V30,ModelTable,7,FALSE),1),1)</f>
        <v>1</v>
      </c>
      <c r="X30" t="str">
        <f>IF(T30&gt;0,UPPER(V30)&amp;" #"&amp;ROUNDUP(U30/W30,0)&amp;IF(W30&gt;1,CHAR(64+U30-(ROUNDUP(U30/W30,0)-1)*W30),""),"")</f>
        <v/>
      </c>
      <c r="Y30" t="n">
        <f>IF(T30&gt;0,IFERROR(INDEX(Intake!$J$53:$J$64,T30),0),0)</f>
        <v>0</v>
      </c>
      <c r="Z30" t="n">
        <f>IF(T30&gt;0,IFERROR(VLOOKUP(V30,ModelTable,11,FALSE),0)*208/2,0)</f>
        <v>0</v>
      </c>
      <c r="AA30" t="n">
        <f>IF(S30&lt;=$S$15,1,0)</f>
        <v>0</v>
      </c>
    </row>
    <row r="31" spans="1:27" x14ac:dyDescent="0.25">
      <c r="A31" t="s">
        <v>154</v>
      </c>
      <c r="B31" s="25">
        <v>47</v>
      </c>
      <c r="C31" s="25" t="str">
        <f>IF($AA$39=1,"---","")</f>
        <v/>
      </c>
      <c r="D31" s="25"/>
      <c r="E31" s="25"/>
      <c r="F31" s="25"/>
      <c r="G31" s="25"/>
      <c r="H31" s="25"/>
      <c r="I31" s="25"/>
      <c r="J31" s="25" t="str">
        <f>IF($AA$39=1,ROUND($Z$39,0),"")</f>
        <v/>
      </c>
      <c r="K31" s="25" t="str">
        <f>IF($AA$40=1,ROUND($Z$40,0),"")</f>
        <v/>
      </c>
      <c r="L31" s="25"/>
      <c r="M31" s="25"/>
      <c r="N31" s="25" t="str">
        <f>IF($AA$40=1,"---","")</f>
        <v/>
      </c>
      <c r="O31" s="25">
        <v>48</v>
      </c>
      <c r="P31" t="s">
        <v>154</v>
      </c>
      <c r="S31">
        <v>15</v>
      </c>
      <c r="T31" t="n">
        <f>IF(S31&lt;=$S$15,MATCH(S31-0.5,$T$3:$T$14,1),0)</f>
        <v>0</v>
      </c>
      <c r="U31" t="n">
        <f>IF(T31&gt;0,S31-INDEX($T$3:$T$14,T31),0)</f>
        <v>0</v>
      </c>
      <c r="V31" t="str">
        <f>IF(T31&gt;0,INDEX(Intake!$A$23:$A$34,T31),"")</f>
        <v/>
      </c>
      <c r="W31" t="n">
        <f>IF(T31&gt;0,IFERROR(VLOOKUP(V31,ModelTable,7,FALSE),1),1)</f>
        <v>1</v>
      </c>
      <c r="X31" t="str">
        <f>IF(T31&gt;0,UPPER(V31)&amp;" #"&amp;ROUNDUP(U31/W31,0)&amp;IF(W31&gt;1,CHAR(64+U31-(ROUNDUP(U31/W31,0)-1)*W31),""),"")</f>
        <v/>
      </c>
      <c r="Y31" t="n">
        <f>IF(T31&gt;0,IFERROR(INDEX(Intake!$J$53:$J$64,T31),0),0)</f>
        <v>0</v>
      </c>
      <c r="Z31" t="n">
        <f>IF(T31&gt;0,IFERROR(VLOOKUP(V31,ModelTable,11,FALSE),0)*208/2,0)</f>
        <v>0</v>
      </c>
      <c r="AA31" t="n">
        <f>IF(S31&lt;=$S$15,1,0)</f>
        <v>0</v>
      </c>
    </row>
    <row r="32" spans="19:27" x14ac:dyDescent="0.25">
      <c r="S32">
        <v>16</v>
      </c>
      <c r="T32" t="n">
        <f>IF(S32&lt;=$S$15,MATCH(S32-0.5,$T$3:$T$14,1),0)</f>
        <v>0</v>
      </c>
      <c r="U32" t="n">
        <f>IF(T32&gt;0,S32-INDEX($T$3:$T$14,T32),0)</f>
        <v>0</v>
      </c>
      <c r="V32" t="str">
        <f>IF(T32&gt;0,INDEX(Intake!$A$23:$A$34,T32),"")</f>
        <v/>
      </c>
      <c r="W32" t="n">
        <f>IF(T32&gt;0,IFERROR(VLOOKUP(V32,ModelTable,7,FALSE),1),1)</f>
        <v>1</v>
      </c>
      <c r="X32" t="str">
        <f>IF(T32&gt;0,UPPER(V32)&amp;" #"&amp;ROUNDUP(U32/W32,0)&amp;IF(W32&gt;1,CHAR(64+U32-(ROUNDUP(U32/W32,0)-1)*W32),""),"")</f>
        <v/>
      </c>
      <c r="Y32" t="n">
        <f>IF(T32&gt;0,IFERROR(INDEX(Intake!$J$53:$J$64,T32),0),0)</f>
        <v>0</v>
      </c>
      <c r="Z32" t="n">
        <f>IF(T32&gt;0,IFERROR(VLOOKUP(V32,ModelTable,11,FALSE),0)*208/2,0)</f>
        <v>0</v>
      </c>
      <c r="AA32" t="n">
        <f>IF(S32&lt;=$S$15,1,0)</f>
        <v>0</v>
      </c>
    </row>
    <row r="33" spans="3:27" x14ac:dyDescent="0.25">
      <c r="C33" t="s">
        <v>156</v>
      </c>
      <c r="F33" s="27" t="n">
        <f>SUM(F8:G31)</f>
        <v>16640</v>
      </c>
      <c r="G33" s="27"/>
      <c r="H33" s="27" t="n">
        <f>SUM(H8:I31)</f>
        <v>12480</v>
      </c>
      <c r="I33" s="27"/>
      <c r="J33" s="27" t="n">
        <f>SUM(J8:K31)</f>
        <v>12480</v>
      </c>
      <c r="K33" s="27"/>
      <c r="L33" s="23" t="s">
        <v>157</v>
      </c>
      <c r="M33" s="23"/>
      <c r="N33" s="27" t="n">
        <f>F33+H33+J33</f>
        <v>41600</v>
      </c>
      <c r="S33">
        <v>17</v>
      </c>
      <c r="T33" t="n">
        <f>IF(S33&lt;=$S$15,MATCH(S33-0.5,$T$3:$T$14,1),0)</f>
        <v>0</v>
      </c>
      <c r="U33" t="n">
        <f>IF(T33&gt;0,S33-INDEX($T$3:$T$14,T33),0)</f>
        <v>0</v>
      </c>
      <c r="V33" t="str">
        <f>IF(T33&gt;0,INDEX(Intake!$A$23:$A$34,T33),"")</f>
        <v/>
      </c>
      <c r="W33" t="n">
        <f>IF(T33&gt;0,IFERROR(VLOOKUP(V33,ModelTable,7,FALSE),1),1)</f>
        <v>1</v>
      </c>
      <c r="X33" t="str">
        <f>IF(T33&gt;0,UPPER(V33)&amp;" #"&amp;ROUNDUP(U33/W33,0)&amp;IF(W33&gt;1,CHAR(64+U33-(ROUNDUP(U33/W33,0)-1)*W33),""),"")</f>
        <v/>
      </c>
      <c r="Y33" t="n">
        <f>IF(T33&gt;0,IFERROR(INDEX(Intake!$J$53:$J$64,T33),0),0)</f>
        <v>0</v>
      </c>
      <c r="Z33" t="n">
        <f>IF(T33&gt;0,IFERROR(VLOOKUP(V33,ModelTable,11,FALSE),0)*208/2,0)</f>
        <v>0</v>
      </c>
      <c r="AA33" t="n">
        <f>IF(S33&lt;=$S$15,1,0)</f>
        <v>0</v>
      </c>
    </row>
    <row r="34" spans="3:27" x14ac:dyDescent="0.25">
      <c r="C34" t="s">
        <v>158</v>
      </c>
      <c r="F34" s="27" t="n">
        <f>F33*1.25</f>
        <v>20800</v>
      </c>
      <c r="G34" s="27"/>
      <c r="H34" s="27" t="n">
        <f>H33*1.25</f>
        <v>15600</v>
      </c>
      <c r="I34" s="27"/>
      <c r="J34" s="27" t="n">
        <f>J33*1.25</f>
        <v>15600</v>
      </c>
      <c r="K34" s="27"/>
      <c r="L34" s="23" t="s">
        <v>159</v>
      </c>
      <c r="M34" s="23"/>
      <c r="N34" s="27" t="n">
        <f>N33*1.25</f>
        <v>52000</v>
      </c>
      <c r="S34">
        <v>18</v>
      </c>
      <c r="T34" t="n">
        <f>IF(S34&lt;=$S$15,MATCH(S34-0.5,$T$3:$T$14,1),0)</f>
        <v>0</v>
      </c>
      <c r="U34" t="n">
        <f>IF(T34&gt;0,S34-INDEX($T$3:$T$14,T34),0)</f>
        <v>0</v>
      </c>
      <c r="V34" t="str">
        <f>IF(T34&gt;0,INDEX(Intake!$A$23:$A$34,T34),"")</f>
        <v/>
      </c>
      <c r="W34" t="n">
        <f>IF(T34&gt;0,IFERROR(VLOOKUP(V34,ModelTable,7,FALSE),1),1)</f>
        <v>1</v>
      </c>
      <c r="X34" t="str">
        <f>IF(T34&gt;0,UPPER(V34)&amp;" #"&amp;ROUNDUP(U34/W34,0)&amp;IF(W34&gt;1,CHAR(64+U34-(ROUNDUP(U34/W34,0)-1)*W34),""),"")</f>
        <v/>
      </c>
      <c r="Y34" t="n">
        <f>IF(T34&gt;0,IFERROR(INDEX(Intake!$J$53:$J$64,T34),0),0)</f>
        <v>0</v>
      </c>
      <c r="Z34" t="n">
        <f>IF(T34&gt;0,IFERROR(VLOOKUP(V34,ModelTable,11,FALSE),0)*208/2,0)</f>
        <v>0</v>
      </c>
      <c r="AA34" t="n">
        <f>IF(S34&lt;=$S$15,1,0)</f>
        <v>0</v>
      </c>
    </row>
    <row r="35" spans="3:27" x14ac:dyDescent="0.25">
      <c r="C35" t="s">
        <v>160</v>
      </c>
      <c r="F35" s="27" t="n">
        <f>MAX($F$34,$H$34,$J$34)</f>
        <v>20800</v>
      </c>
      <c r="G35" s="27"/>
      <c r="H35" s="27" t="n">
        <f>MAX($F$34,$H$34,$J$34)</f>
        <v>20800</v>
      </c>
      <c r="I35" s="27"/>
      <c r="J35" s="27" t="n">
        <f>MAX($F$34,$H$34,$J$34)</f>
        <v>20800</v>
      </c>
      <c r="K35" s="27"/>
      <c r="L35" s="23" t="s">
        <v>161</v>
      </c>
      <c r="M35" s="23"/>
      <c r="N35" s="28" t="n">
        <f>N34/(208*SQRT(3))</f>
        <v>144.33756729740645</v>
      </c>
      <c r="S35">
        <v>19</v>
      </c>
      <c r="T35" t="n">
        <f>IF(S35&lt;=$S$15,MATCH(S35-0.5,$T$3:$T$14,1),0)</f>
        <v>0</v>
      </c>
      <c r="U35" t="n">
        <f>IF(T35&gt;0,S35-INDEX($T$3:$T$14,T35),0)</f>
        <v>0</v>
      </c>
      <c r="V35" t="str">
        <f>IF(T35&gt;0,INDEX(Intake!$A$23:$A$34,T35),"")</f>
        <v/>
      </c>
      <c r="W35" t="n">
        <f>IF(T35&gt;0,IFERROR(VLOOKUP(V35,ModelTable,7,FALSE),1),1)</f>
        <v>1</v>
      </c>
      <c r="X35" t="str">
        <f>IF(T35&gt;0,UPPER(V35)&amp;" #"&amp;ROUNDUP(U35/W35,0)&amp;IF(W35&gt;1,CHAR(64+U35-(ROUNDUP(U35/W35,0)-1)*W35),""),"")</f>
        <v/>
      </c>
      <c r="Y35" t="n">
        <f>IF(T35&gt;0,IFERROR(INDEX(Intake!$J$53:$J$64,T35),0),0)</f>
        <v>0</v>
      </c>
      <c r="Z35" t="n">
        <f>IF(T35&gt;0,IFERROR(VLOOKUP(V35,ModelTable,11,FALSE),0)*208/2,0)</f>
        <v>0</v>
      </c>
      <c r="AA35" t="n">
        <f>IF(S35&lt;=$S$15,1,0)</f>
        <v>0</v>
      </c>
    </row>
    <row r="36" spans="3:27" x14ac:dyDescent="0.25">
      <c r="C36" t="s">
        <v>162</v>
      </c>
      <c r="F36" s="28" t="n">
        <f>F35/120</f>
        <v>173.33333333333334</v>
      </c>
      <c r="G36" s="28"/>
      <c r="H36" s="28" t="n">
        <f>H35/120</f>
        <v>173.33333333333334</v>
      </c>
      <c r="I36" s="28"/>
      <c r="J36" s="28" t="n">
        <f>J35/120</f>
        <v>173.33333333333334</v>
      </c>
      <c r="K36" s="28"/>
      <c r="L36" s="23" t="s">
        <v>163</v>
      </c>
      <c r="M36" s="23"/>
      <c r="N36" t="n">
        <f>Panel!$F$40</f>
        <v>150</v>
      </c>
      <c r="S36">
        <v>20</v>
      </c>
      <c r="T36" t="n">
        <f>IF(S36&lt;=$S$15,MATCH(S36-0.5,$T$3:$T$14,1),0)</f>
        <v>0</v>
      </c>
      <c r="U36" t="n">
        <f>IF(T36&gt;0,S36-INDEX($T$3:$T$14,T36),0)</f>
        <v>0</v>
      </c>
      <c r="V36" t="str">
        <f>IF(T36&gt;0,INDEX(Intake!$A$23:$A$34,T36),"")</f>
        <v/>
      </c>
      <c r="W36" t="n">
        <f>IF(T36&gt;0,IFERROR(VLOOKUP(V36,ModelTable,7,FALSE),1),1)</f>
        <v>1</v>
      </c>
      <c r="X36" t="str">
        <f>IF(T36&gt;0,UPPER(V36)&amp;" #"&amp;ROUNDUP(U36/W36,0)&amp;IF(W36&gt;1,CHAR(64+U36-(ROUNDUP(U36/W36,0)-1)*W36),""),"")</f>
        <v/>
      </c>
      <c r="Y36" t="n">
        <f>IF(T36&gt;0,IFERROR(INDEX(Intake!$J$53:$J$64,T36),0),0)</f>
        <v>0</v>
      </c>
      <c r="Z36" t="n">
        <f>IF(T36&gt;0,IFERROR(VLOOKUP(V36,ModelTable,11,FALSE),0)*208/2,0)</f>
        <v>0</v>
      </c>
      <c r="AA36" t="n">
        <f>IF(S36&lt;=$S$15,1,0)</f>
        <v>0</v>
      </c>
    </row>
    <row r="37" spans="19:27" x14ac:dyDescent="0.25">
      <c r="S37">
        <v>21</v>
      </c>
      <c r="T37" t="n">
        <f>IF(S37&lt;=$S$15,MATCH(S37-0.5,$T$3:$T$14,1),0)</f>
        <v>0</v>
      </c>
      <c r="U37" t="n">
        <f>IF(T37&gt;0,S37-INDEX($T$3:$T$14,T37),0)</f>
        <v>0</v>
      </c>
      <c r="V37" t="str">
        <f>IF(T37&gt;0,INDEX(Intake!$A$23:$A$34,T37),"")</f>
        <v/>
      </c>
      <c r="W37" t="n">
        <f>IF(T37&gt;0,IFERROR(VLOOKUP(V37,ModelTable,7,FALSE),1),1)</f>
        <v>1</v>
      </c>
      <c r="X37" t="str">
        <f>IF(T37&gt;0,UPPER(V37)&amp;" #"&amp;ROUNDUP(U37/W37,0)&amp;IF(W37&gt;1,CHAR(64+U37-(ROUNDUP(U37/W37,0)-1)*W37),""),"")</f>
        <v/>
      </c>
      <c r="Y37" t="n">
        <f>IF(T37&gt;0,IFERROR(INDEX(Intake!$J$53:$J$64,T37),0),0)</f>
        <v>0</v>
      </c>
      <c r="Z37" t="n">
        <f>IF(T37&gt;0,IFERROR(VLOOKUP(V37,ModelTable,11,FALSE),0)*208/2,0)</f>
        <v>0</v>
      </c>
      <c r="AA37" t="n">
        <f>IF(S37&lt;=$S$15,1,0)</f>
        <v>0</v>
      </c>
    </row>
    <row r="38" spans="2:27" x14ac:dyDescent="0.25">
      <c r="B38" s="18" t="str">
        <f>IF($S$15&gt;24,"⚠ More than 24 circuits — grid truncated, use the app's Excel export","")</f>
        <v/>
      </c>
      <c r="S38">
        <v>22</v>
      </c>
      <c r="T38" t="n">
        <f>IF(S38&lt;=$S$15,MATCH(S38-0.5,$T$3:$T$14,1),0)</f>
        <v>0</v>
      </c>
      <c r="U38" t="n">
        <f>IF(T38&gt;0,S38-INDEX($T$3:$T$14,T38),0)</f>
        <v>0</v>
      </c>
      <c r="V38" t="str">
        <f>IF(T38&gt;0,INDEX(Intake!$A$23:$A$34,T38),"")</f>
        <v/>
      </c>
      <c r="W38" t="n">
        <f>IF(T38&gt;0,IFERROR(VLOOKUP(V38,ModelTable,7,FALSE),1),1)</f>
        <v>1</v>
      </c>
      <c r="X38" t="str">
        <f>IF(T38&gt;0,UPPER(V38)&amp;" #"&amp;ROUNDUP(U38/W38,0)&amp;IF(W38&gt;1,CHAR(64+U38-(ROUNDUP(U38/W38,0)-1)*W38),""),"")</f>
        <v/>
      </c>
      <c r="Y38" t="n">
        <f>IF(T38&gt;0,IFERROR(INDEX(Intake!$J$53:$J$64,T38),0),0)</f>
        <v>0</v>
      </c>
      <c r="Z38" t="n">
        <f>IF(T38&gt;0,IFERROR(VLOOKUP(V38,ModelTable,11,FALSE),0)*208/2,0)</f>
        <v>0</v>
      </c>
      <c r="AA38" t="n">
        <f>IF(S38&lt;=$S$15,1,0)</f>
        <v>0</v>
      </c>
    </row>
    <row r="39" spans="19:27" x14ac:dyDescent="0.25">
      <c r="S39">
        <v>23</v>
      </c>
      <c r="T39" t="n">
        <f>IF(S39&lt;=$S$15,MATCH(S39-0.5,$T$3:$T$14,1),0)</f>
        <v>0</v>
      </c>
      <c r="U39" t="n">
        <f>IF(T39&gt;0,S39-INDEX($T$3:$T$14,T39),0)</f>
        <v>0</v>
      </c>
      <c r="V39" t="str">
        <f>IF(T39&gt;0,INDEX(Intake!$A$23:$A$34,T39),"")</f>
        <v/>
      </c>
      <c r="W39" t="n">
        <f>IF(T39&gt;0,IFERROR(VLOOKUP(V39,ModelTable,7,FALSE),1),1)</f>
        <v>1</v>
      </c>
      <c r="X39" t="str">
        <f>IF(T39&gt;0,UPPER(V39)&amp;" #"&amp;ROUNDUP(U39/W39,0)&amp;IF(W39&gt;1,CHAR(64+U39-(ROUNDUP(U39/W39,0)-1)*W39),""),"")</f>
        <v/>
      </c>
      <c r="Y39" t="n">
        <f>IF(T39&gt;0,IFERROR(INDEX(Intake!$J$53:$J$64,T39),0),0)</f>
        <v>0</v>
      </c>
      <c r="Z39" t="n">
        <f>IF(T39&gt;0,IFERROR(VLOOKUP(V39,ModelTable,11,FALSE),0)*208/2,0)</f>
        <v>0</v>
      </c>
      <c r="AA39" t="n">
        <f>IF(S39&lt;=$S$15,1,0)</f>
        <v>0</v>
      </c>
    </row>
    <row r="40" spans="19:27" x14ac:dyDescent="0.25">
      <c r="S40">
        <v>24</v>
      </c>
      <c r="T40" t="n">
        <f>IF(S40&lt;=$S$15,MATCH(S40-0.5,$T$3:$T$14,1),0)</f>
        <v>0</v>
      </c>
      <c r="U40" t="n">
        <f>IF(T40&gt;0,S40-INDEX($T$3:$T$14,T40),0)</f>
        <v>0</v>
      </c>
      <c r="V40" t="str">
        <f>IF(T40&gt;0,INDEX(Intake!$A$23:$A$34,T40),"")</f>
        <v/>
      </c>
      <c r="W40" t="n">
        <f>IF(T40&gt;0,IFERROR(VLOOKUP(V40,ModelTable,7,FALSE),1),1)</f>
        <v>1</v>
      </c>
      <c r="X40" t="str">
        <f>IF(T40&gt;0,UPPER(V40)&amp;" #"&amp;ROUNDUP(U40/W40,0)&amp;IF(W40&gt;1,CHAR(64+U40-(ROUNDUP(U40/W40,0)-1)*W40),""),"")</f>
        <v/>
      </c>
      <c r="Y40" t="n">
        <f>IF(T40&gt;0,IFERROR(INDEX(Intake!$J$53:$J$64,T40),0),0)</f>
        <v>0</v>
      </c>
      <c r="Z40" t="n">
        <f>IF(T40&gt;0,IFERROR(VLOOKUP(V40,ModelTable,11,FALSE),0)*208/2,0)</f>
        <v>0</v>
      </c>
      <c r="AA40" t="n">
        <f>IF(S40&lt;=$S$15,1,0)</f>
        <v>0</v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167</v>
      </c>
    </row>
    <row r="2" spans="1:1" x14ac:dyDescent="0.25">
      <c r="A2" s="2" t="s">
        <v>168</v>
      </c>
    </row>
    <row r="4" spans="1:2" x14ac:dyDescent="0.25">
      <c r="A4" s="4" t="s">
        <v>169</v>
      </c>
      <c r="B4" t="n">
        <f>LaborDays</f>
        <v>33</v>
      </c>
    </row>
    <row r="6" spans="1:2" x14ac:dyDescent="0.25">
      <c r="A6" s="29" t="s">
        <v>170</v>
      </c>
      <c r="B6" s="30"/>
    </row>
    <row r="7" spans="1:2" x14ac:dyDescent="0.25">
      <c r="A7" t="s">
        <v>171</v>
      </c>
      <c r="B7" s="9" t="n">
        <f>WireTotal+SUM(Intake!E23:E34)+IF(NTotal&gt;0,DataBoxCost+ServiceBoxCost,0)</f>
        <v>39247.599650000004</v>
      </c>
    </row>
    <row r="8" spans="1:2" x14ac:dyDescent="0.25">
      <c r="A8" t="s">
        <v>172</v>
      </c>
      <c r="B8" s="9" t="n">
        <f>GearTotal</f>
        <v>70765</v>
      </c>
    </row>
    <row r="9" spans="1:2" x14ac:dyDescent="0.25">
      <c r="A9" t="s">
        <v>173</v>
      </c>
      <c r="B9" s="9" t="n">
        <f>TrenchFt*TrenchRate*VLOOKUP(Terrain,TerrainTable,2,FALSE)+PeriphAsphalt</f>
        <v>26631.35</v>
      </c>
    </row>
    <row r="10" spans="1:2" x14ac:dyDescent="0.25">
      <c r="A10" t="s">
        <v>174</v>
      </c>
      <c r="B10" s="9" t="n">
        <f>IF(InstallMethod="Trenched",0,(ROUNDUP(RouteFt/10,0)+1)*EmtRackCost+ROUNDUP((SUMPRODUCT(Takeoff!$F$5:$F$28,Takeoff!$H$5:$H$28)+IF(InstallMethod="Surface EMT",SUMPRODUCT(Intake!$D$65:$D$67,Intake!$F$65:$F$67),0))/10,0)*EmtStrapCost)</f>
        <v>0</v>
      </c>
    </row>
    <row r="11" spans="1:2" x14ac:dyDescent="0.25">
      <c r="A11" t="s">
        <v>175</v>
      </c>
      <c r="B11" s="9" t="n">
        <f>PeriphCivil</f>
        <v>10458.48</v>
      </c>
    </row>
    <row r="12" spans="1:2" x14ac:dyDescent="0.25">
      <c r="A12" t="s">
        <v>176</v>
      </c>
      <c r="B12" s="9" t="n">
        <f>PeriphSignage</f>
        <v>6478.8</v>
      </c>
    </row>
    <row r="13" spans="1:2" x14ac:dyDescent="0.25">
      <c r="A13" t="s">
        <v>177</v>
      </c>
      <c r="B13" s="9" t="n">
        <f>AdaCost</f>
        <v>28000</v>
      </c>
    </row>
    <row r="14" spans="1:2" x14ac:dyDescent="0.25">
      <c r="A14" t="s">
        <v>178</v>
      </c>
      <c r="B14" s="9" t="n">
        <f>TrenchFt*VLOOKUP(Terrain,TerrainTable,5,FALSE)</f>
        <v>1675</v>
      </c>
    </row>
    <row r="15" spans="1:2" x14ac:dyDescent="0.25">
      <c r="A15" t="s">
        <v>76</v>
      </c>
      <c r="B15" s="9" t="n">
        <f>IF(OR(IncGpr="No",TrenchFt&lt;=0),0,MAX(1,ROUNDUP(TrenchFt/GprFtPerDay,0))*GprDayRate)</f>
        <v>1500</v>
      </c>
    </row>
    <row r="16" spans="1:2" x14ac:dyDescent="0.25">
      <c r="A16" t="s">
        <v>179</v>
      </c>
      <c r="B16" s="9" t="n">
        <f>IF(NTotal&lt;=0,0,IF(InstallMethod="Surface EMT",EquipBaseEmt+EquipPerDayEmt*LaborDays,EquipBase+EquipPerDay*LaborDays))</f>
        <v>12132</v>
      </c>
    </row>
    <row r="17" spans="1:2" x14ac:dyDescent="0.25">
      <c r="A17" t="s">
        <v>180</v>
      </c>
      <c r="B17" s="9" t="n">
        <f>IF(IncPermits="Yes",PermitBase+PermitPerChg*NTotal,0)</f>
        <v>860</v>
      </c>
    </row>
    <row r="18" spans="1:2" x14ac:dyDescent="0.25">
      <c r="A18" t="s">
        <v>181</v>
      </c>
      <c r="B18" s="9" t="n">
        <f>IF(IncPermits="Yes",IF(NDcfc&gt;0,UtilAppDcfc+TransformerPad,UtilAppL2),0)</f>
        <v>7500</v>
      </c>
    </row>
    <row r="19" spans="1:2" x14ac:dyDescent="0.25">
      <c r="A19" s="3" t="s">
        <v>182</v>
      </c>
      <c r="B19" s="9" t="n">
        <f>SUM(B7:B18)</f>
        <v>205248.22965</v>
      </c>
    </row>
    <row r="20" spans="1:2" x14ac:dyDescent="0.25">
      <c r="A20" t="s">
        <v>183</v>
      </c>
      <c r="B20" s="9" t="n">
        <f>B19*ContingencyPct</f>
        <v>20524.822965</v>
      </c>
    </row>
    <row r="21" spans="1:2" x14ac:dyDescent="0.25">
      <c r="A21" s="3" t="s">
        <v>184</v>
      </c>
      <c r="B21" s="11" t="n">
        <f>B19+B20</f>
        <v>225773.052615</v>
      </c>
    </row>
    <row r="23" spans="1:2" x14ac:dyDescent="0.25">
      <c r="A23" t="s">
        <v>185</v>
      </c>
      <c r="B23" s="9" t="n">
        <f>LaborBase*(1+ContingencyPct)</f>
        <v>99825.00000000001</v>
      </c>
    </row>
    <row r="24" spans="1:2" x14ac:dyDescent="0.25">
      <c r="A24" t="s">
        <v>186</v>
      </c>
      <c r="B24" s="9" t="n">
        <f>ConstructionTotal*TaxPct</f>
        <v>16368.546314587498</v>
      </c>
    </row>
    <row r="25" spans="1:2" x14ac:dyDescent="0.25">
      <c r="A25" s="31" t="s">
        <v>187</v>
      </c>
      <c r="B25" s="9" t="n">
        <f>ConstructionTotal+LaborCost</f>
        <v>325598.052615</v>
      </c>
    </row>
    <row r="27" spans="1:2" x14ac:dyDescent="0.25">
      <c r="A27" s="29" t="s">
        <v>188</v>
      </c>
      <c r="B27" s="30"/>
    </row>
    <row r="28" spans="1:2" x14ac:dyDescent="0.25">
      <c r="A28" t="s">
        <v>189</v>
      </c>
      <c r="B28" s="9" t="n">
        <f>IF(IncHardware="Yes",SUM(Intake!F23:F34)*HardwareFactor,0)</f>
        <v>415012.5</v>
      </c>
    </row>
    <row r="29" spans="1:2" x14ac:dyDescent="0.25">
      <c r="A29" t="s">
        <v>190</v>
      </c>
      <c r="B29" s="9" t="n">
        <f>IF(IncHardware="Yes",CommDcfc*NDcfc+CommL2*NumL2,0)</f>
        <v>10250</v>
      </c>
    </row>
    <row r="30" spans="1:2" x14ac:dyDescent="0.25">
      <c r="A30" t="s">
        <v>191</v>
      </c>
      <c r="B30" s="9" t="n">
        <f>IF(IncHardware="Yes",NPorts*NetworkFeeMo*12*ContractYears,0)</f>
        <v>26393.4</v>
      </c>
    </row>
    <row r="31" spans="1:2" x14ac:dyDescent="0.25">
      <c r="A31" t="s">
        <v>192</v>
      </c>
      <c r="B31" s="9" t="n">
        <f>IF(IncHardware="Yes",ServicePlanYr*ContractYears,0)</f>
        <v>0</v>
      </c>
    </row>
    <row r="32" spans="1:2" x14ac:dyDescent="0.25">
      <c r="A32" t="s">
        <v>193</v>
      </c>
      <c r="B32" s="9" t="n">
        <f>B28*TaxPct</f>
        <v>30088.406249999996</v>
      </c>
    </row>
    <row r="34" spans="1:2" x14ac:dyDescent="0.25">
      <c r="A34" s="29" t="s">
        <v>194</v>
      </c>
      <c r="B34" s="30"/>
    </row>
    <row r="35" spans="1:2" x14ac:dyDescent="0.25">
      <c r="A35" t="s">
        <v>72</v>
      </c>
      <c r="B35" s="9" t="n">
        <f>IF(IncSitePlan="Yes",2500+150*NTotal+IF(NDcfc&gt;0,1000,0),0)</f>
        <v>5150</v>
      </c>
    </row>
    <row r="36" spans="1:2" x14ac:dyDescent="0.25">
      <c r="A36" t="s">
        <v>195</v>
      </c>
      <c r="B36" s="9" t="n">
        <f>IF(IncSLD="Yes",IF(NDcfc&gt;0,6000+900*NDcfc+150*NumL2,2500+150*NumL2),0)</f>
        <v>12150</v>
      </c>
    </row>
    <row r="37" spans="1:2" x14ac:dyDescent="0.25">
      <c r="A37" t="s">
        <v>196</v>
      </c>
      <c r="B37" s="9" t="n">
        <f>IF(IncCpm="Yes",LaborCost*CpmPct,0)</f>
        <v>14973.750000000002</v>
      </c>
    </row>
    <row r="38" spans="1:2" x14ac:dyDescent="0.25">
      <c r="A38" t="s">
        <v>197</v>
      </c>
      <c r="B38" s="9" t="n">
        <f>IF(IncPermits="Yes",IF(NDcfc&gt;0,500+0.02*Valuation,300),0)</f>
        <v>7011.9610523</v>
      </c>
    </row>
    <row r="39" spans="1:2" x14ac:dyDescent="0.25">
      <c r="A39" s="3" t="s">
        <v>198</v>
      </c>
      <c r="B39" s="9" t="n">
        <f>SUM(B35:B38)</f>
        <v>39285.7110523</v>
      </c>
    </row>
    <row r="41" spans="1:2" x14ac:dyDescent="0.25">
      <c r="A41" s="13" t="s">
        <v>199</v>
      </c>
      <c r="B41" s="14" t="n">
        <f>ConstructionTotal+LaborCost+B24+B28+B29+B30+B31+B32+B39</f>
        <v>862996.6162318876</v>
      </c>
    </row>
    <row r="42" spans="1:2" x14ac:dyDescent="0.25">
      <c r="A42" t="s">
        <v>200</v>
      </c>
      <c r="B42" s="9" t="n">
        <f>-RebateAmt</f>
        <v>0</v>
      </c>
    </row>
    <row r="43" spans="1:2" x14ac:dyDescent="0.25">
      <c r="A43" s="19" t="s">
        <v>87</v>
      </c>
      <c r="B43" s="32" t="n">
        <f>TotalCost-RebateAmt</f>
        <v>862996.6162318876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3" width="12" customWidth="1"/>
    <col min="4" max="4" width="14" customWidth="1"/>
  </cols>
  <sheetData>
    <row r="1" spans="1:1" x14ac:dyDescent="0.25">
      <c r="A1" s="15" t="s">
        <v>201</v>
      </c>
    </row>
    <row r="2" spans="1:1" x14ac:dyDescent="0.25">
      <c r="A2" s="2" t="s">
        <v>202</v>
      </c>
    </row>
    <row r="4" spans="1:1" x14ac:dyDescent="0.25">
      <c r="A4" s="3" t="s">
        <v>203</v>
      </c>
    </row>
    <row r="5" spans="1:4" x14ac:dyDescent="0.25">
      <c r="A5" s="7" t="s">
        <v>204</v>
      </c>
      <c r="B5" s="7" t="s">
        <v>19</v>
      </c>
      <c r="C5" s="7" t="s">
        <v>124</v>
      </c>
      <c r="D5" s="7" t="s">
        <v>205</v>
      </c>
    </row>
    <row r="6" spans="1:4" x14ac:dyDescent="0.25">
      <c r="A6" t="s">
        <v>206</v>
      </c>
      <c r="B6" t="n">
        <f>NTotal*BollardPerChg+IF(NDcfc&gt;0,BollardAtGear,0)+IF(AND(NDcfc&gt;0,NumL2&gt;0),BollardAtStepdown,0)</f>
        <v>29</v>
      </c>
      <c r="C6" s="9" t="n">
        <f>BollardCost</f>
        <v>110</v>
      </c>
      <c r="D6" s="9" t="n">
        <f>B6*C6</f>
        <v>3190</v>
      </c>
    </row>
    <row r="7" spans="1:4" x14ac:dyDescent="0.25">
      <c r="A7" t="s">
        <v>207</v>
      </c>
      <c r="B7" t="n">
        <f>NTotal</f>
        <v>11</v>
      </c>
      <c r="C7" s="33">
        <v>40</v>
      </c>
      <c r="D7" s="9" t="n">
        <f>B7*C7</f>
        <v>440</v>
      </c>
    </row>
    <row r="8" spans="1:4" x14ac:dyDescent="0.25">
      <c r="A8" t="s">
        <v>208</v>
      </c>
      <c r="B8" t="n">
        <f>NumL2+ROUNDUP(NDcfc/2,0)</f>
        <v>8</v>
      </c>
      <c r="C8" s="33">
        <v>56.1</v>
      </c>
      <c r="D8" s="9" t="n">
        <f>B8*C8</f>
        <v>448.8</v>
      </c>
    </row>
    <row r="9" spans="1:4" x14ac:dyDescent="0.25">
      <c r="A9" t="s">
        <v>209</v>
      </c>
      <c r="B9" t="n">
        <f>(NumL2*2+NDcfc)/10</f>
        <v>1.6</v>
      </c>
      <c r="C9" s="33">
        <v>1500</v>
      </c>
      <c r="D9" s="9" t="n">
        <f>B9*C9</f>
        <v>2400</v>
      </c>
    </row>
    <row r="10" spans="1:4" x14ac:dyDescent="0.25">
      <c r="A10" s="3" t="s">
        <v>210</v>
      </c>
      <c r="D10" s="11" t="n">
        <f>SUM(D6:D9)</f>
        <v>6478.8</v>
      </c>
    </row>
    <row r="12" spans="1:1" x14ac:dyDescent="0.25">
      <c r="A12" s="3" t="s">
        <v>211</v>
      </c>
    </row>
    <row r="13" spans="1:4" x14ac:dyDescent="0.25">
      <c r="A13" s="7" t="s">
        <v>204</v>
      </c>
      <c r="B13" s="7" t="s">
        <v>19</v>
      </c>
      <c r="C13" s="7" t="s">
        <v>124</v>
      </c>
      <c r="D13" s="7" t="s">
        <v>205</v>
      </c>
    </row>
    <row r="14" spans="1:4" x14ac:dyDescent="0.25">
      <c r="A14" t="s">
        <v>212</v>
      </c>
      <c r="B14" t="n">
        <f>IF(InstallMethod="Surface EMT",0,CEILING(NDcfc*PadYdDcfc+IF(InstallMethod="Trenched",NumL2*PadYdL2,0)+IF(NDcfc&gt;0,PadYdGear,0)+IF(AND(NDcfc&gt;0,NumL2&gt;0),PadYdXfmr,0)+B6*PadYdBollard,1))</f>
        <v>11</v>
      </c>
      <c r="C14" s="9" t="n">
        <f>ConcreteRate</f>
        <v>165</v>
      </c>
      <c r="D14" s="9" t="n">
        <f>B14*C14</f>
        <v>1815</v>
      </c>
    </row>
    <row r="15" spans="1:4" x14ac:dyDescent="0.25">
      <c r="A15" t="s">
        <v>213</v>
      </c>
      <c r="B15" t="n">
        <f>IF(AND(B14&gt;0,B14&lt;8),1,0)</f>
        <v>0</v>
      </c>
      <c r="C15" s="9" t="n">
        <f>ShortLoadFee</f>
        <v>125</v>
      </c>
      <c r="D15" s="9" t="n">
        <f>B15*C15</f>
        <v>0</v>
      </c>
    </row>
    <row r="16" spans="1:4" x14ac:dyDescent="0.25">
      <c r="A16" t="s">
        <v>214</v>
      </c>
      <c r="B16" t="n">
        <f>IF(InstallMethod="Surface EMT",0,NDcfc*3+IF(InstallMethod="Trenched",NumL2*2,0)+IF(AND(NDcfc&gt;0,NumL2&gt;0),3,IF(NTotal&gt;0,1,0))*2)</f>
        <v>34</v>
      </c>
      <c r="C16" s="33">
        <v>25.65</v>
      </c>
      <c r="D16" s="9" t="n">
        <f>B16*C16</f>
        <v>872.0999999999999</v>
      </c>
    </row>
    <row r="17" spans="1:4" x14ac:dyDescent="0.25">
      <c r="A17" t="s">
        <v>215</v>
      </c>
      <c r="B17" t="n">
        <f>NDcfc</f>
        <v>6</v>
      </c>
      <c r="C17" s="9" t="n">
        <f>ConsumDcfc</f>
        <v>550</v>
      </c>
      <c r="D17" s="9" t="n">
        <f>B17*C17</f>
        <v>3300</v>
      </c>
    </row>
    <row r="18" spans="1:4" x14ac:dyDescent="0.25">
      <c r="A18" t="s">
        <v>216</v>
      </c>
      <c r="B18" t="n">
        <f>NumL2</f>
        <v>5</v>
      </c>
      <c r="C18" s="9" t="n">
        <f>ConsumL2</f>
        <v>275</v>
      </c>
      <c r="D18" s="9" t="n">
        <f>B18*C18</f>
        <v>1375</v>
      </c>
    </row>
    <row r="19" spans="1:4" x14ac:dyDescent="0.25">
      <c r="A19" t="s">
        <v>217</v>
      </c>
      <c r="B19" t="n">
        <f>NTotal</f>
        <v>11</v>
      </c>
      <c r="C19" s="33">
        <v>70.58</v>
      </c>
      <c r="D19" s="9" t="n">
        <f>B19*C19</f>
        <v>776.38</v>
      </c>
    </row>
    <row r="20" spans="1:4" x14ac:dyDescent="0.25">
      <c r="A20" t="s">
        <v>218</v>
      </c>
      <c r="B20" t="n">
        <f>IF(TrenchFt&gt;0,MAX(1,ROUNDUP(TrenchFt/200,0)),0)</f>
        <v>2</v>
      </c>
      <c r="C20" s="33">
        <v>160</v>
      </c>
      <c r="D20" s="9" t="n">
        <f>B20*C20</f>
        <v>320</v>
      </c>
    </row>
    <row r="21" spans="1:4" x14ac:dyDescent="0.25">
      <c r="A21" t="s">
        <v>219</v>
      </c>
      <c r="B21" t="n">
        <f>IF(NDcfc&gt;0,IF(SgSuggested&gt;1000,1,0),0)</f>
        <v>1</v>
      </c>
      <c r="C21" s="33">
        <v>2000</v>
      </c>
      <c r="D21" s="9" t="n">
        <f>B21*C21</f>
        <v>2000</v>
      </c>
    </row>
    <row r="22" spans="1:4" x14ac:dyDescent="0.25">
      <c r="A22" t="s">
        <v>220</v>
      </c>
      <c r="B22" s="8">
        <v>0</v>
      </c>
      <c r="C22" s="33">
        <v>55</v>
      </c>
      <c r="D22" s="9" t="n">
        <f>B22*C22</f>
        <v>0</v>
      </c>
    </row>
    <row r="23" spans="1:4" x14ac:dyDescent="0.25">
      <c r="A23" t="s">
        <v>221</v>
      </c>
      <c r="B23" s="8">
        <v>0</v>
      </c>
      <c r="C23" s="33">
        <v>10</v>
      </c>
      <c r="D23" s="9" t="n">
        <f>B23*C23</f>
        <v>0</v>
      </c>
    </row>
    <row r="24" spans="1:4" x14ac:dyDescent="0.25">
      <c r="A24" t="s">
        <v>222</v>
      </c>
      <c r="B24" s="8">
        <v>0</v>
      </c>
      <c r="C24" s="33">
        <v>19</v>
      </c>
      <c r="D24" s="9" t="n">
        <f>B24*C24</f>
        <v>0</v>
      </c>
    </row>
    <row r="25" spans="1:4" x14ac:dyDescent="0.25">
      <c r="A25" s="3" t="s">
        <v>223</v>
      </c>
      <c r="D25" s="11" t="n">
        <f>SUM(D14:D24)</f>
        <v>10458.48</v>
      </c>
    </row>
    <row r="27" spans="1:1" x14ac:dyDescent="0.25">
      <c r="A27" s="3" t="s">
        <v>224</v>
      </c>
    </row>
    <row r="28" spans="1:4" x14ac:dyDescent="0.25">
      <c r="A28" s="7" t="s">
        <v>204</v>
      </c>
      <c r="B28" s="7" t="s">
        <v>225</v>
      </c>
      <c r="C28" s="7" t="s">
        <v>124</v>
      </c>
      <c r="D28" s="7" t="s">
        <v>205</v>
      </c>
    </row>
    <row r="29" spans="1:4" x14ac:dyDescent="0.25">
      <c r="A29" t="s">
        <v>226</v>
      </c>
      <c r="B29" t="n">
        <f>IF(InstallMethod="Surface EMT",0,(NumL2*2+NDcfc)*StallSqFt)</f>
        <v>2592</v>
      </c>
      <c r="C29" s="9" t="n">
        <f>AsphaltRate</f>
        <v>5</v>
      </c>
      <c r="D29" s="9" t="n">
        <f>B29*C29</f>
        <v>12960</v>
      </c>
    </row>
    <row r="30" spans="1:1" x14ac:dyDescent="0.25">
      <c r="A30" s="2" t="s">
        <v>227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4" t="s">
        <v>228</v>
      </c>
      <c r="C2" s="35" t="s">
        <v>229</v>
      </c>
      <c r="D2" s="36" t="s">
        <v>230</v>
      </c>
      <c r="E2" s="37" t="s">
        <v>183</v>
      </c>
      <c r="F2" s="36" t="s">
        <v>231</v>
      </c>
      <c r="G2" s="38" t="s">
        <v>205</v>
      </c>
    </row>
    <row r="3" spans="2:11" x14ac:dyDescent="0.25">
      <c r="B3" s="39" t="s">
        <v>232</v>
      </c>
      <c r="C3" s="40">
        <v>1</v>
      </c>
      <c r="D3" s="41" t="n">
        <f>Estimate!B7+Estimate!B10+Estimate!B15</f>
        <v>40747.599650000004</v>
      </c>
      <c r="E3" s="42" t="n">
        <f>ContingencyPct</f>
        <v>0.1</v>
      </c>
      <c r="F3" s="41" t="n">
        <f>(D3*E3)+D3</f>
        <v>44822.359615</v>
      </c>
      <c r="G3" s="43" t="n">
        <f>F3*C3</f>
        <v>44822.359615</v>
      </c>
      <c r="J3" s="44" t="s">
        <v>233</v>
      </c>
      <c r="K3" s="45"/>
    </row>
    <row r="4" spans="2:11" x14ac:dyDescent="0.25">
      <c r="B4" s="39" t="s">
        <v>234</v>
      </c>
      <c r="C4" s="40">
        <v>1</v>
      </c>
      <c r="D4" s="41" t="n">
        <f>Panel!F22</f>
        <v>60000</v>
      </c>
      <c r="E4" s="42" t="n">
        <f>ContingencyPct</f>
        <v>0.1</v>
      </c>
      <c r="F4" s="41" t="n">
        <f>(D4*E4)+D4</f>
        <v>66000</v>
      </c>
      <c r="G4" s="43" t="n">
        <f>F4*C4</f>
        <v>66000</v>
      </c>
      <c r="J4" s="46" t="s">
        <v>235</v>
      </c>
      <c r="K4" s="47" t="n">
        <f>IF(LaborDays&gt;0,LaborBase/LaborDays,0)</f>
        <v>2750</v>
      </c>
    </row>
    <row r="5" spans="2:11" x14ac:dyDescent="0.25">
      <c r="B5" s="39" t="s">
        <v>236</v>
      </c>
      <c r="C5" s="40">
        <v>1</v>
      </c>
      <c r="D5" s="41" t="n">
        <f>Panel!F42+Panel!F48+Panel!F66</f>
        <v>10765</v>
      </c>
      <c r="E5" s="42" t="n">
        <f>ContingencyPct</f>
        <v>0.1</v>
      </c>
      <c r="F5" s="41" t="n">
        <f>(D5*E5)+D5</f>
        <v>11841.5</v>
      </c>
      <c r="G5" s="43" t="n">
        <f>F5*C5</f>
        <v>11841.5</v>
      </c>
      <c r="J5" s="46" t="s">
        <v>237</v>
      </c>
      <c r="K5" s="48" t="n">
        <f>LaborDays</f>
        <v>33</v>
      </c>
    </row>
    <row r="6" spans="2:11" x14ac:dyDescent="0.25">
      <c r="B6" s="39" t="s">
        <v>238</v>
      </c>
      <c r="C6" s="40">
        <v>1</v>
      </c>
      <c r="D6" s="41" t="n">
        <f>Estimate!B12</f>
        <v>6478.8</v>
      </c>
      <c r="E6" s="42" t="n">
        <f>ContingencyPct</f>
        <v>0.1</v>
      </c>
      <c r="F6" s="41" t="n">
        <f>(D6*E6)+D6</f>
        <v>7126.68</v>
      </c>
      <c r="G6" s="43" t="n">
        <f>F6*C6</f>
        <v>7126.68</v>
      </c>
      <c r="J6" s="46" t="s">
        <v>239</v>
      </c>
      <c r="K6" s="48" t="n">
        <f>K5/30</f>
        <v>1.1</v>
      </c>
    </row>
    <row r="7" ht="15.75" customHeight="1" spans="2:11" x14ac:dyDescent="0.25">
      <c r="B7" s="39" t="s">
        <v>240</v>
      </c>
      <c r="C7" s="40">
        <v>1</v>
      </c>
      <c r="D7" s="41" t="n">
        <f>Estimate!B9</f>
        <v>26631.35</v>
      </c>
      <c r="E7" s="42" t="n">
        <f>ContingencyPct</f>
        <v>0.1</v>
      </c>
      <c r="F7" s="41" t="n">
        <f>(D7*E7)+D7</f>
        <v>29294.485</v>
      </c>
      <c r="G7" s="43" t="n">
        <f>F7*C7</f>
        <v>29294.485</v>
      </c>
      <c r="J7" s="49" t="s">
        <v>241</v>
      </c>
      <c r="K7" s="50" t="n">
        <f>K5*K4</f>
        <v>90750</v>
      </c>
    </row>
    <row r="8" spans="2:7" x14ac:dyDescent="0.25">
      <c r="B8" s="39" t="s">
        <v>242</v>
      </c>
      <c r="C8" s="40">
        <v>1</v>
      </c>
      <c r="D8" s="41" t="n">
        <f>Estimate!B11</f>
        <v>10458.48</v>
      </c>
      <c r="E8" s="42" t="n">
        <f>ContingencyPct</f>
        <v>0.1</v>
      </c>
      <c r="F8" s="41" t="n">
        <f>(D8*E8)+D8</f>
        <v>11504.328</v>
      </c>
      <c r="G8" s="43" t="n">
        <f>F8*C8</f>
        <v>11504.328</v>
      </c>
    </row>
    <row r="9" spans="2:7" x14ac:dyDescent="0.25">
      <c r="B9" s="39" t="s">
        <v>243</v>
      </c>
      <c r="C9" s="40">
        <v>1</v>
      </c>
      <c r="D9" s="41" t="n">
        <f>Estimate!B13</f>
        <v>28000</v>
      </c>
      <c r="E9" s="42" t="n">
        <f>ContingencyPct</f>
        <v>0.1</v>
      </c>
      <c r="F9" s="41" t="n">
        <f>(D9*E9)+D9</f>
        <v>30800</v>
      </c>
      <c r="G9" s="43" t="n">
        <f>F9*C9</f>
        <v>30800</v>
      </c>
    </row>
    <row r="10" spans="2:7" x14ac:dyDescent="0.25">
      <c r="B10" s="39" t="s">
        <v>244</v>
      </c>
      <c r="C10" s="40">
        <v>1</v>
      </c>
      <c r="D10" s="41" t="n">
        <f>Estimate!B14</f>
        <v>1675</v>
      </c>
      <c r="E10" s="42" t="n">
        <f>ContingencyPct</f>
        <v>0.1</v>
      </c>
      <c r="F10" s="41" t="n">
        <f>(D10*E10)+D10</f>
        <v>1842.5</v>
      </c>
      <c r="G10" s="43" t="n">
        <f>F10*C10</f>
        <v>1842.5</v>
      </c>
    </row>
    <row r="11" spans="2:7" x14ac:dyDescent="0.25">
      <c r="B11" s="39" t="s">
        <v>245</v>
      </c>
      <c r="C11" s="40">
        <v>1</v>
      </c>
      <c r="D11" s="41" t="n">
        <f>Estimate!B17</f>
        <v>860</v>
      </c>
      <c r="E11" s="42" t="n">
        <f>ContingencyPct</f>
        <v>0.1</v>
      </c>
      <c r="F11" s="41" t="n">
        <f>(D11*E11)+D11</f>
        <v>946</v>
      </c>
      <c r="G11" s="43" t="n">
        <f>F11*C11</f>
        <v>946</v>
      </c>
    </row>
    <row r="12" spans="2:7" x14ac:dyDescent="0.25">
      <c r="B12" s="39" t="s">
        <v>12</v>
      </c>
      <c r="C12" s="40">
        <v>1</v>
      </c>
      <c r="D12" s="41" t="n">
        <f>Estimate!B18</f>
        <v>7500</v>
      </c>
      <c r="E12" s="42" t="n">
        <f>ContingencyPct</f>
        <v>0.1</v>
      </c>
      <c r="F12" s="41" t="n">
        <f>(D12*E12)+D12</f>
        <v>8250</v>
      </c>
      <c r="G12" s="43" t="n">
        <f>F12*C12</f>
        <v>8250</v>
      </c>
    </row>
    <row r="13" spans="2:7" x14ac:dyDescent="0.25">
      <c r="B13" s="39" t="s">
        <v>246</v>
      </c>
      <c r="C13" s="40">
        <v>1</v>
      </c>
      <c r="D13" s="41" t="n">
        <f>Estimate!B16</f>
        <v>12132</v>
      </c>
      <c r="E13" s="42" t="n">
        <f>ContingencyPct</f>
        <v>0.1</v>
      </c>
      <c r="F13" s="41" t="n">
        <f>(D13*E13)+D13</f>
        <v>13345.2</v>
      </c>
      <c r="G13" s="43" t="n">
        <f>F13*C13</f>
        <v>13345.2</v>
      </c>
    </row>
    <row r="14" spans="2:7" x14ac:dyDescent="0.25">
      <c r="B14" s="39" t="s">
        <v>247</v>
      </c>
      <c r="C14" s="40">
        <v>1</v>
      </c>
      <c r="D14" s="41" t="n">
        <f>Estimate!B35+Estimate!B36+Estimate!B37</f>
        <v>32273.75</v>
      </c>
      <c r="E14" s="42">
        <v>0</v>
      </c>
      <c r="F14" s="41" t="n">
        <f>(D14*E14)+D14</f>
        <v>32273.75</v>
      </c>
      <c r="G14" s="43" t="n">
        <f>F14*C14</f>
        <v>32273.75</v>
      </c>
    </row>
    <row r="15" spans="2:7" x14ac:dyDescent="0.25">
      <c r="B15" s="51"/>
      <c r="C15" s="52"/>
      <c r="D15" s="53"/>
      <c r="E15" s="54"/>
      <c r="F15" s="53"/>
      <c r="G15" s="55" t="n">
        <f>SUM(G3:G13)</f>
        <v>225773.05261500002</v>
      </c>
    </row>
    <row r="16" ht="15.75" customHeight="1" x14ac:dyDescent="0.25"/>
    <row r="17" ht="15.75" customHeight="1" spans="2:7" x14ac:dyDescent="0.25">
      <c r="B17" s="56" t="s">
        <v>248</v>
      </c>
      <c r="C17" s="56"/>
      <c r="D17" s="56"/>
      <c r="E17" s="56"/>
      <c r="F17" s="56"/>
      <c r="G17" s="56"/>
    </row>
    <row r="18" spans="2:7" x14ac:dyDescent="0.25">
      <c r="B18" s="39" t="s">
        <v>233</v>
      </c>
      <c r="C18" s="40" t="n">
        <f>K5</f>
        <v>33</v>
      </c>
      <c r="D18" s="41" t="n">
        <f>K4</f>
        <v>2750</v>
      </c>
      <c r="E18" s="42" t="n">
        <f>ContingencyPct</f>
        <v>0.1</v>
      </c>
      <c r="F18" s="41" t="n">
        <f>(D18*E18)+D18</f>
        <v>3025</v>
      </c>
      <c r="G18" s="43" t="n">
        <f>F18*C18</f>
        <v>99825</v>
      </c>
    </row>
    <row r="19" spans="2:7" x14ac:dyDescent="0.25">
      <c r="B19" s="51"/>
      <c r="C19" s="52"/>
      <c r="D19" s="53"/>
      <c r="E19" s="54"/>
      <c r="F19" s="53"/>
      <c r="G19" s="55" t="n">
        <f>SUM(G18)</f>
        <v>99825</v>
      </c>
    </row>
    <row r="20" ht="15.75" customHeight="1" spans="2:7" x14ac:dyDescent="0.25">
      <c r="B20" s="49"/>
      <c r="C20" s="57" t="s">
        <v>205</v>
      </c>
      <c r="D20" s="57"/>
      <c r="E20" s="57"/>
      <c r="F20" s="57"/>
      <c r="G20" s="58" t="n">
        <f>G15+G19</f>
        <v>325598.05261500005</v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34" customWidth="1"/>
    <col min="2" max="2" width="12" customWidth="1"/>
    <col min="3" max="3" width="10" customWidth="1"/>
    <col min="4" max="5" width="12" customWidth="1"/>
    <col min="6" max="6" width="10" customWidth="1"/>
    <col min="7" max="7" width="40" customWidth="1"/>
  </cols>
  <sheetData>
    <row r="1" spans="1:1" x14ac:dyDescent="0.25">
      <c r="A1" s="15" t="s">
        <v>249</v>
      </c>
    </row>
    <row r="2" spans="1:1" x14ac:dyDescent="0.25">
      <c r="A2" s="2" t="s">
        <v>250</v>
      </c>
    </row>
    <row r="3" spans="1:6" x14ac:dyDescent="0.25">
      <c r="A3" s="7" t="s">
        <v>251</v>
      </c>
      <c r="B3" s="7" t="s">
        <v>252</v>
      </c>
      <c r="C3" s="7" t="s">
        <v>253</v>
      </c>
      <c r="D3" s="7" t="s">
        <v>254</v>
      </c>
      <c r="E3" s="7" t="s">
        <v>255</v>
      </c>
      <c r="F3" s="7" t="s">
        <v>205</v>
      </c>
    </row>
    <row r="4" spans="1:6" x14ac:dyDescent="0.25">
      <c r="A4" t="s">
        <v>256</v>
      </c>
      <c r="B4" t="n">
        <f>NumL2</f>
        <v>5</v>
      </c>
      <c r="C4" t="n">
        <f>IF($B$4&lt;=0,0,IF($B$4&lt;=100,1,1+ROUNDUP(($B$4-100)/300,0)))</f>
        <v>1</v>
      </c>
      <c r="D4" t="n">
        <f>IF($B$4&lt;=4,0,IF($B$4&lt;=50,1,IF($B$4&lt;=75,2,IF($B$4&lt;=100,3,3+ROUNDUP(($B$4-100)/60,0)))))</f>
        <v>1</v>
      </c>
      <c r="E4" t="n">
        <f>IF($B$4&lt;=25,0,IF($B$4&lt;=50,1,IF($B$4&lt;=75,2,IF($B$4&lt;=100,3,3+ROUNDUP(($B$4-100)/50,0)))))</f>
        <v>0</v>
      </c>
      <c r="F4" t="n">
        <f>C4+D4+E4</f>
        <v>2</v>
      </c>
    </row>
    <row r="5" spans="1:6" x14ac:dyDescent="0.25">
      <c r="A5" t="s">
        <v>257</v>
      </c>
      <c r="B5" t="n">
        <f>NDcfc</f>
        <v>6</v>
      </c>
      <c r="C5" t="n">
        <f>IF($B$5&lt;=0,0,IF($B$5&lt;=100,1,1+ROUNDUP(($B$5-100)/300,0)))</f>
        <v>1</v>
      </c>
      <c r="D5" t="n">
        <f>IF($B$5&lt;=4,0,IF($B$5&lt;=50,1,IF($B$5&lt;=75,2,IF($B$5&lt;=100,3,3+ROUNDUP(($B$5-100)/60,0)))))</f>
        <v>1</v>
      </c>
      <c r="E5" t="n">
        <f>IF($B$5&lt;=25,0,IF($B$5&lt;=50,1,IF($B$5&lt;=75,2,IF($B$5&lt;=100,3,3+ROUNDUP(($B$5-100)/50,0)))))</f>
        <v>0</v>
      </c>
      <c r="F5" t="n">
        <f>C5+D5+E5</f>
        <v>2</v>
      </c>
    </row>
    <row r="6" spans="1:6" x14ac:dyDescent="0.25">
      <c r="A6" s="3" t="s">
        <v>258</v>
      </c>
      <c r="B6" s="3" t="n">
        <f>NTotal</f>
        <v>11</v>
      </c>
      <c r="C6" s="3" t="n">
        <f>C4+C5</f>
        <v>2</v>
      </c>
      <c r="D6" s="3" t="n">
        <f>D4+D5</f>
        <v>2</v>
      </c>
      <c r="E6" s="3" t="n">
        <f>E4+E5</f>
        <v>0</v>
      </c>
      <c r="F6" s="3" t="n">
        <f>C6+D6+E6</f>
        <v>4</v>
      </c>
    </row>
    <row r="7" spans="1:5" x14ac:dyDescent="0.25">
      <c r="A7" t="s">
        <v>259</v>
      </c>
      <c r="C7" s="5"/>
      <c r="D7" s="5"/>
      <c r="E7" s="5"/>
    </row>
    <row r="8" spans="1:6" x14ac:dyDescent="0.25">
      <c r="A8" s="3" t="s">
        <v>260</v>
      </c>
      <c r="C8" s="3" t="n">
        <f>IF(ISNUMBER(C7),C7,C6)</f>
        <v>2</v>
      </c>
      <c r="D8" s="3" t="n">
        <f>IF(ISNUMBER(D7),D7,D6)</f>
        <v>2</v>
      </c>
      <c r="E8" s="3" t="n">
        <f>IF(ISNUMBER(E7),E7,E6)</f>
        <v>0</v>
      </c>
      <c r="F8" s="3" t="n">
        <f>C8+D8+E8</f>
        <v>4</v>
      </c>
    </row>
    <row r="9" spans="1:2" x14ac:dyDescent="0.25">
      <c r="A9" s="4" t="s">
        <v>261</v>
      </c>
      <c r="B9" t="n">
        <f>VLOOKUP(Terrain,TerrainTable,4,FALSE)</f>
        <v>1</v>
      </c>
    </row>
    <row r="10" spans="1:2" x14ac:dyDescent="0.25">
      <c r="A10" s="3" t="s">
        <v>262</v>
      </c>
      <c r="B10" s="9" t="n">
        <f>(AdaVan*AdaVanCost+AdaStd*AdaStdCost+AdaAmb*AdaAmbCost)*VLOOKUP(Terrain,TerrainTable,4,FALSE)+IF(NTotal&gt;0,AdaRampCost,0)</f>
        <v>28000</v>
      </c>
    </row>
    <row r="13" spans="1:1" x14ac:dyDescent="0.25">
      <c r="A13" s="3" t="s">
        <v>263</v>
      </c>
    </row>
    <row r="14" spans="1:4" x14ac:dyDescent="0.25">
      <c r="A14" s="59" t="s">
        <v>264</v>
      </c>
      <c r="B14" s="59" t="s">
        <v>253</v>
      </c>
      <c r="C14" s="59" t="s">
        <v>254</v>
      </c>
      <c r="D14" s="59" t="s">
        <v>255</v>
      </c>
    </row>
    <row r="15" spans="1:4" x14ac:dyDescent="0.25">
      <c r="A15" s="60" t="s">
        <v>265</v>
      </c>
      <c r="B15" s="60" t="s">
        <v>266</v>
      </c>
      <c r="C15" s="60" t="s">
        <v>267</v>
      </c>
      <c r="D15" s="60" t="s">
        <v>267</v>
      </c>
    </row>
    <row r="16" spans="1:4" x14ac:dyDescent="0.25">
      <c r="A16" s="60" t="s">
        <v>268</v>
      </c>
      <c r="B16" s="60" t="s">
        <v>266</v>
      </c>
      <c r="C16" s="60" t="s">
        <v>266</v>
      </c>
      <c r="D16" s="60" t="s">
        <v>267</v>
      </c>
    </row>
    <row r="17" spans="1:4" x14ac:dyDescent="0.25">
      <c r="A17" s="60" t="s">
        <v>269</v>
      </c>
      <c r="B17" s="60" t="s">
        <v>266</v>
      </c>
      <c r="C17" s="60" t="s">
        <v>266</v>
      </c>
      <c r="D17" s="60" t="s">
        <v>266</v>
      </c>
    </row>
    <row r="18" spans="1:4" x14ac:dyDescent="0.25">
      <c r="A18" s="60" t="s">
        <v>270</v>
      </c>
      <c r="B18" s="60" t="s">
        <v>266</v>
      </c>
      <c r="C18" s="60" t="s">
        <v>271</v>
      </c>
      <c r="D18" s="60" t="s">
        <v>271</v>
      </c>
    </row>
    <row r="19" spans="1:4" x14ac:dyDescent="0.25">
      <c r="A19" s="60" t="s">
        <v>272</v>
      </c>
      <c r="B19" s="60" t="s">
        <v>266</v>
      </c>
      <c r="C19" s="60" t="s">
        <v>273</v>
      </c>
      <c r="D19" s="60" t="s">
        <v>273</v>
      </c>
    </row>
    <row r="20" spans="1:4" x14ac:dyDescent="0.25">
      <c r="A20" s="60" t="s">
        <v>274</v>
      </c>
      <c r="B20" s="60" t="s">
        <v>275</v>
      </c>
      <c r="C20" s="60" t="s">
        <v>276</v>
      </c>
      <c r="D20" s="60" t="s">
        <v>277</v>
      </c>
    </row>
    <row r="22" spans="1:1" x14ac:dyDescent="0.25">
      <c r="A22" s="61" t="s">
        <v>278</v>
      </c>
    </row>
    <row r="23" spans="1:1" x14ac:dyDescent="0.25">
      <c r="A23" s="61" t="s">
        <v>279</v>
      </c>
    </row>
    <row r="24" spans="1:1" x14ac:dyDescent="0.25">
      <c r="A24" s="61" t="s">
        <v>280</v>
      </c>
    </row>
    <row r="25" spans="1:1" x14ac:dyDescent="0.25">
      <c r="A25" s="61" t="s">
        <v>281</v>
      </c>
    </row>
    <row r="26" spans="1:1" x14ac:dyDescent="0.25">
      <c r="A26" s="61" t="s">
        <v>282</v>
      </c>
    </row>
    <row r="27" spans="1:1" x14ac:dyDescent="0.25">
      <c r="A27" s="61" t="s">
        <v>283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284</v>
      </c>
    </row>
    <row r="3" spans="1:4" x14ac:dyDescent="0.25">
      <c r="A3" s="7" t="s">
        <v>285</v>
      </c>
      <c r="B3" s="7" t="s">
        <v>286</v>
      </c>
      <c r="C3" s="7" t="s">
        <v>287</v>
      </c>
      <c r="D3" s="7" t="s">
        <v>288</v>
      </c>
    </row>
    <row r="4" spans="1:4" x14ac:dyDescent="0.25">
      <c r="A4" t="s">
        <v>289</v>
      </c>
      <c r="B4" t="n">
        <f>2</f>
        <v>2</v>
      </c>
      <c r="C4" t="n">
        <f>4</f>
        <v>4</v>
      </c>
      <c r="D4" t="s">
        <v>290</v>
      </c>
    </row>
    <row r="5" spans="1:4" x14ac:dyDescent="0.25">
      <c r="A5" t="s">
        <v>72</v>
      </c>
      <c r="B5" t="n">
        <f>IF(IncSitePlan="Yes",5+ROUNDUP(NTotal/4,0),0)</f>
        <v>8</v>
      </c>
      <c r="C5" t="n">
        <f>IF(IncSitePlan="Yes",10+ROUNDUP(NTotal/4,0),0)</f>
        <v>13</v>
      </c>
      <c r="D5" t="s">
        <v>290</v>
      </c>
    </row>
    <row r="6" spans="1:4" x14ac:dyDescent="0.25">
      <c r="A6" t="s">
        <v>291</v>
      </c>
      <c r="B6" t="n">
        <f>IF(IncSLD="Yes",IF(NDcfc&gt;0,10+ROUNDUP(NDcfc/2,0),7),0)</f>
        <v>13</v>
      </c>
      <c r="C6" t="n">
        <f>IF(IncSLD="Yes",IF(NDcfc&gt;0,17+ROUNDUP(NDcfc/2,0),14),0)</f>
        <v>20</v>
      </c>
      <c r="D6" t="s">
        <v>290</v>
      </c>
    </row>
    <row r="7" spans="1:4" x14ac:dyDescent="0.25">
      <c r="A7" t="s">
        <v>292</v>
      </c>
      <c r="B7" t="n">
        <f>IF(IncPermits="Yes",IF(NDcfc&gt;0,20,5),0)</f>
        <v>20</v>
      </c>
      <c r="C7" t="n">
        <f>IF(IncPermits="Yes",IF(NDcfc&gt;0,60,15),0)</f>
        <v>60</v>
      </c>
      <c r="D7" t="s">
        <v>293</v>
      </c>
    </row>
    <row r="8" spans="1:4" x14ac:dyDescent="0.25">
      <c r="A8" t="s">
        <v>294</v>
      </c>
      <c r="B8" t="n">
        <f>IF(NDcfc&gt;0,85,20)</f>
        <v>85</v>
      </c>
      <c r="C8" t="n">
        <f>IF(NDcfc&gt;0,250,60)</f>
        <v>250</v>
      </c>
      <c r="D8" t="s">
        <v>295</v>
      </c>
    </row>
    <row r="9" spans="1:4" x14ac:dyDescent="0.25">
      <c r="A9" t="s">
        <v>296</v>
      </c>
      <c r="B9" t="n">
        <f>LaborDays</f>
        <v>33</v>
      </c>
      <c r="C9" t="n">
        <f>LaborDays+7</f>
        <v>40</v>
      </c>
      <c r="D9" t="s">
        <v>290</v>
      </c>
    </row>
    <row r="10" spans="1:4" x14ac:dyDescent="0.25">
      <c r="A10" t="s">
        <v>297</v>
      </c>
      <c r="B10" t="n">
        <f>5</f>
        <v>5</v>
      </c>
      <c r="C10" t="n">
        <f>10</f>
        <v>10</v>
      </c>
      <c r="D10" t="s">
        <v>290</v>
      </c>
    </row>
    <row r="12" spans="1:3" x14ac:dyDescent="0.25">
      <c r="A12" s="3" t="s">
        <v>298</v>
      </c>
      <c r="B12" t="n">
        <f>MAX(B4+B5+B6+B7+B9+B10,B8)</f>
        <v>85</v>
      </c>
      <c r="C12" t="n">
        <f>MAX(C4+C5+C6+C7+C9+C10,C8)</f>
        <v>250</v>
      </c>
    </row>
    <row r="13" spans="1:3" x14ac:dyDescent="0.25">
      <c r="A13" t="s">
        <v>299</v>
      </c>
      <c r="B13" t="n">
        <f>ROUND(B12/21,1)</f>
        <v>4</v>
      </c>
      <c r="C13" t="n">
        <f>ROUND(C12/21,1)</f>
        <v>11.9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62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14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300</v>
      </c>
    </row>
    <row r="3" spans="1:21" x14ac:dyDescent="0.25">
      <c r="A3" s="7" t="s">
        <v>18</v>
      </c>
      <c r="B3" s="7" t="s">
        <v>20</v>
      </c>
      <c r="C3" s="7" t="s">
        <v>301</v>
      </c>
      <c r="D3" s="7" t="s">
        <v>21</v>
      </c>
      <c r="E3" s="7" t="s">
        <v>123</v>
      </c>
      <c r="F3" s="7" t="s">
        <v>93</v>
      </c>
      <c r="G3" s="7" t="s">
        <v>302</v>
      </c>
      <c r="H3" s="7" t="s">
        <v>303</v>
      </c>
      <c r="I3" s="7" t="s">
        <v>304</v>
      </c>
      <c r="J3" s="7" t="s">
        <v>305</v>
      </c>
      <c r="K3" s="7" t="s">
        <v>306</v>
      </c>
      <c r="L3" s="7" t="s">
        <v>307</v>
      </c>
      <c r="M3" s="7" t="s">
        <v>48</v>
      </c>
      <c r="N3" s="7" t="s">
        <v>308</v>
      </c>
      <c r="O3" s="7" t="s">
        <v>46</v>
      </c>
      <c r="P3" s="7" t="s">
        <v>309</v>
      </c>
      <c r="Q3" s="7" t="s">
        <v>35</v>
      </c>
      <c r="R3" s="7" t="s">
        <v>310</v>
      </c>
      <c r="S3" s="7" t="s">
        <v>311</v>
      </c>
      <c r="T3" s="7" t="s">
        <v>312</v>
      </c>
      <c r="U3" s="7" t="s">
        <v>313</v>
      </c>
    </row>
    <row r="4" spans="1:21" x14ac:dyDescent="0.25">
      <c r="A4" t="s">
        <v>314</v>
      </c>
      <c r="B4" s="33">
        <v>1402.5</v>
      </c>
      <c r="C4" s="33">
        <v>283</v>
      </c>
      <c r="D4" t="s">
        <v>315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316</v>
      </c>
      <c r="O4" t="s">
        <v>317</v>
      </c>
      <c r="P4" s="33">
        <v>539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318</v>
      </c>
      <c r="B5" s="33">
        <v>1402.5</v>
      </c>
      <c r="C5" s="33">
        <v>276</v>
      </c>
      <c r="D5" t="s">
        <v>315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316</v>
      </c>
      <c r="O5" t="s">
        <v>317</v>
      </c>
      <c r="P5" s="33">
        <v>525</v>
      </c>
      <c r="Q5" t="s">
        <v>319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33">
        <v>1402.5</v>
      </c>
      <c r="C6" s="33">
        <v>287</v>
      </c>
      <c r="D6" t="s">
        <v>315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316</v>
      </c>
      <c r="O6" t="s">
        <v>317</v>
      </c>
      <c r="P6" s="33">
        <v>549</v>
      </c>
      <c r="Q6" t="s">
        <v>320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321</v>
      </c>
      <c r="B7" s="33">
        <v>1650</v>
      </c>
      <c r="C7" s="33">
        <v>347</v>
      </c>
      <c r="D7" t="s">
        <v>315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322</v>
      </c>
      <c r="O7" t="s">
        <v>317</v>
      </c>
      <c r="P7" s="33">
        <v>657</v>
      </c>
      <c r="Q7" t="s">
        <v>323</v>
      </c>
      <c r="R7" s="8">
        <v>2.5</v>
      </c>
      <c r="S7" s="8">
        <v>1.5</v>
      </c>
      <c r="T7" s="8">
        <v>1.8</v>
      </c>
      <c r="U7" s="8">
        <v>12</v>
      </c>
    </row>
    <row r="8" spans="1:16" x14ac:dyDescent="0.25">
      <c r="A8" t="s">
        <v>324</v>
      </c>
      <c r="B8" s="33">
        <v>1952.5</v>
      </c>
      <c r="C8" s="33">
        <v>657</v>
      </c>
      <c r="D8" t="s">
        <v>315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325</v>
      </c>
      <c r="O8" t="s">
        <v>317</v>
      </c>
      <c r="P8" s="33">
        <v>1263</v>
      </c>
    </row>
    <row r="9" spans="1:16" x14ac:dyDescent="0.25">
      <c r="A9" t="s">
        <v>326</v>
      </c>
      <c r="B9" s="33">
        <v>1952.5</v>
      </c>
      <c r="C9" s="33">
        <v>420</v>
      </c>
      <c r="D9" t="s">
        <v>315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316</v>
      </c>
      <c r="O9" t="s">
        <v>317</v>
      </c>
      <c r="P9" s="33">
        <v>802</v>
      </c>
    </row>
    <row r="10" spans="1:18" x14ac:dyDescent="0.25">
      <c r="A10" t="s">
        <v>327</v>
      </c>
      <c r="B10" s="33">
        <v>1952.5</v>
      </c>
      <c r="C10" s="33">
        <v>446</v>
      </c>
      <c r="D10" t="s">
        <v>315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316</v>
      </c>
      <c r="O10" t="s">
        <v>317</v>
      </c>
      <c r="P10" s="33">
        <v>854</v>
      </c>
      <c r="Q10" t="s">
        <v>328</v>
      </c>
      <c r="R10" s="33">
        <v>40.81</v>
      </c>
    </row>
    <row r="11" spans="1:18" x14ac:dyDescent="0.25">
      <c r="A11" t="s">
        <v>329</v>
      </c>
      <c r="B11" s="33">
        <v>2194.5</v>
      </c>
      <c r="C11" s="33">
        <v>579</v>
      </c>
      <c r="D11" t="s">
        <v>315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322</v>
      </c>
      <c r="O11" t="s">
        <v>317</v>
      </c>
      <c r="P11" s="33">
        <v>1099</v>
      </c>
      <c r="Q11" t="s">
        <v>330</v>
      </c>
      <c r="R11" s="62">
        <v>0.1</v>
      </c>
    </row>
    <row r="12" spans="1:18" x14ac:dyDescent="0.25">
      <c r="A12" t="s">
        <v>331</v>
      </c>
      <c r="B12" s="33">
        <v>23600</v>
      </c>
      <c r="C12" s="33">
        <v>399</v>
      </c>
      <c r="D12" t="s">
        <v>332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333</v>
      </c>
      <c r="O12" t="s">
        <v>317</v>
      </c>
      <c r="P12" s="33">
        <v>827</v>
      </c>
      <c r="Q12" t="s">
        <v>334</v>
      </c>
      <c r="R12" s="62">
        <v>0.0725</v>
      </c>
    </row>
    <row r="13" spans="1:18" x14ac:dyDescent="0.25">
      <c r="A13" t="s">
        <v>335</v>
      </c>
      <c r="B13" s="33">
        <v>23600</v>
      </c>
      <c r="C13" s="33">
        <v>399</v>
      </c>
      <c r="D13" t="s">
        <v>332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333</v>
      </c>
      <c r="O13" t="s">
        <v>317</v>
      </c>
      <c r="P13" s="33">
        <v>827</v>
      </c>
      <c r="Q13" t="s">
        <v>336</v>
      </c>
      <c r="R13" s="33">
        <v>2750</v>
      </c>
    </row>
    <row r="14" spans="1:18" x14ac:dyDescent="0.25">
      <c r="A14" t="s">
        <v>337</v>
      </c>
      <c r="B14" s="33">
        <v>28500</v>
      </c>
      <c r="C14" s="33">
        <v>402</v>
      </c>
      <c r="D14" t="s">
        <v>332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333</v>
      </c>
      <c r="O14" t="s">
        <v>317</v>
      </c>
      <c r="P14" s="33">
        <v>837</v>
      </c>
      <c r="Q14" t="s">
        <v>338</v>
      </c>
      <c r="R14" s="33">
        <v>358</v>
      </c>
    </row>
    <row r="15" spans="1:18" x14ac:dyDescent="0.25">
      <c r="A15" t="s">
        <v>339</v>
      </c>
      <c r="B15" s="33">
        <v>31350</v>
      </c>
      <c r="C15" s="33">
        <v>402</v>
      </c>
      <c r="D15" t="s">
        <v>332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333</v>
      </c>
      <c r="O15" t="s">
        <v>317</v>
      </c>
      <c r="P15" s="33">
        <v>837</v>
      </c>
      <c r="Q15" t="s">
        <v>340</v>
      </c>
      <c r="R15" s="62">
        <v>0.15</v>
      </c>
    </row>
    <row r="16" spans="1:18" x14ac:dyDescent="0.25">
      <c r="A16" t="s">
        <v>341</v>
      </c>
      <c r="B16" s="33">
        <v>45500</v>
      </c>
      <c r="C16" s="33">
        <v>518</v>
      </c>
      <c r="D16" t="s">
        <v>332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342</v>
      </c>
      <c r="O16" t="s">
        <v>317</v>
      </c>
      <c r="P16" s="33">
        <v>986</v>
      </c>
      <c r="Q16" t="s">
        <v>343</v>
      </c>
      <c r="R16" s="33">
        <v>1500</v>
      </c>
    </row>
    <row r="17" spans="1:18" x14ac:dyDescent="0.25">
      <c r="A17" t="s">
        <v>344</v>
      </c>
      <c r="B17" s="33">
        <v>45500</v>
      </c>
      <c r="C17" s="33">
        <v>518</v>
      </c>
      <c r="D17" t="s">
        <v>332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342</v>
      </c>
      <c r="O17" t="s">
        <v>317</v>
      </c>
      <c r="P17" s="33">
        <v>986</v>
      </c>
      <c r="Q17" t="s">
        <v>345</v>
      </c>
      <c r="R17" s="8">
        <v>2000</v>
      </c>
    </row>
    <row r="18" spans="1:18" x14ac:dyDescent="0.25">
      <c r="A18" t="s">
        <v>346</v>
      </c>
      <c r="B18" s="33">
        <v>54000</v>
      </c>
      <c r="C18" s="33">
        <v>558</v>
      </c>
      <c r="D18" t="s">
        <v>332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342</v>
      </c>
      <c r="O18" t="s">
        <v>317</v>
      </c>
      <c r="P18" s="33">
        <v>1045</v>
      </c>
      <c r="Q18" t="s">
        <v>347</v>
      </c>
      <c r="R18" s="33">
        <v>1500</v>
      </c>
    </row>
    <row r="19" spans="1:18" x14ac:dyDescent="0.25">
      <c r="A19" t="s">
        <v>348</v>
      </c>
      <c r="B19" s="33">
        <v>59400</v>
      </c>
      <c r="C19" s="33">
        <v>558</v>
      </c>
      <c r="D19" t="s">
        <v>332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342</v>
      </c>
      <c r="O19" t="s">
        <v>317</v>
      </c>
      <c r="P19" s="33">
        <v>1045</v>
      </c>
      <c r="Q19" t="s">
        <v>349</v>
      </c>
      <c r="R19" s="33">
        <v>6500</v>
      </c>
    </row>
    <row r="20" spans="1:18" x14ac:dyDescent="0.25">
      <c r="A20" t="s">
        <v>350</v>
      </c>
      <c r="B20" s="33">
        <v>57000</v>
      </c>
      <c r="C20" s="33">
        <v>753</v>
      </c>
      <c r="D20" t="s">
        <v>332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351</v>
      </c>
      <c r="O20" t="s">
        <v>317</v>
      </c>
      <c r="P20" s="33">
        <v>1420</v>
      </c>
      <c r="Q20" t="s">
        <v>352</v>
      </c>
      <c r="R20" s="33">
        <v>4900</v>
      </c>
    </row>
    <row r="21" spans="1:18" x14ac:dyDescent="0.25">
      <c r="A21" t="s">
        <v>353</v>
      </c>
      <c r="B21" s="33">
        <v>68200</v>
      </c>
      <c r="C21" s="33">
        <v>753</v>
      </c>
      <c r="D21" t="s">
        <v>332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351</v>
      </c>
      <c r="O21" t="s">
        <v>317</v>
      </c>
      <c r="P21" s="33">
        <v>1420</v>
      </c>
      <c r="Q21" t="s">
        <v>354</v>
      </c>
      <c r="R21" s="33">
        <v>3500</v>
      </c>
    </row>
    <row r="22" spans="1:18" x14ac:dyDescent="0.25">
      <c r="A22" t="s">
        <v>355</v>
      </c>
      <c r="B22" s="33">
        <v>62000</v>
      </c>
      <c r="C22" s="33">
        <v>836</v>
      </c>
      <c r="D22" t="s">
        <v>332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351</v>
      </c>
      <c r="O22" t="s">
        <v>317</v>
      </c>
      <c r="P22" s="33">
        <v>1530</v>
      </c>
      <c r="Q22" t="s">
        <v>356</v>
      </c>
      <c r="R22" s="33">
        <v>5200</v>
      </c>
    </row>
    <row r="23" spans="1:18" x14ac:dyDescent="0.25">
      <c r="A23" t="s">
        <v>357</v>
      </c>
      <c r="B23" s="33">
        <v>62000</v>
      </c>
      <c r="C23" s="33">
        <v>836</v>
      </c>
      <c r="D23" t="s">
        <v>332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351</v>
      </c>
      <c r="O23" t="s">
        <v>317</v>
      </c>
      <c r="P23" s="33">
        <v>1530</v>
      </c>
      <c r="Q23" t="s">
        <v>358</v>
      </c>
      <c r="R23" s="33">
        <v>165</v>
      </c>
    </row>
    <row r="24" spans="1:18" x14ac:dyDescent="0.25">
      <c r="A24" t="s">
        <v>25</v>
      </c>
      <c r="B24" s="33">
        <v>68000</v>
      </c>
      <c r="C24" s="33">
        <v>932</v>
      </c>
      <c r="D24" t="s">
        <v>332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359</v>
      </c>
      <c r="O24" t="s">
        <v>317</v>
      </c>
      <c r="P24" s="33">
        <v>1774</v>
      </c>
      <c r="Q24" t="s">
        <v>213</v>
      </c>
      <c r="R24" s="33">
        <v>125</v>
      </c>
    </row>
    <row r="25" spans="1:18" x14ac:dyDescent="0.25">
      <c r="A25" t="s">
        <v>360</v>
      </c>
      <c r="B25" s="33">
        <v>68000</v>
      </c>
      <c r="C25" s="33">
        <v>932</v>
      </c>
      <c r="D25" t="s">
        <v>332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359</v>
      </c>
      <c r="O25" t="s">
        <v>317</v>
      </c>
      <c r="P25" s="33">
        <v>1774</v>
      </c>
      <c r="Q25" t="s">
        <v>361</v>
      </c>
      <c r="R25" s="33">
        <v>5</v>
      </c>
    </row>
    <row r="26" spans="1:18" x14ac:dyDescent="0.25">
      <c r="A26" t="s">
        <v>362</v>
      </c>
      <c r="B26" s="33">
        <v>80000</v>
      </c>
      <c r="C26" s="33">
        <v>1268</v>
      </c>
      <c r="D26" t="s">
        <v>332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342</v>
      </c>
      <c r="O26" t="s">
        <v>317</v>
      </c>
      <c r="P26" s="33">
        <v>2124</v>
      </c>
      <c r="Q26" t="s">
        <v>363</v>
      </c>
      <c r="R26" s="8">
        <v>162</v>
      </c>
    </row>
    <row r="27" spans="1:18" x14ac:dyDescent="0.25">
      <c r="A27" t="s">
        <v>364</v>
      </c>
      <c r="B27" s="33">
        <v>88000</v>
      </c>
      <c r="C27" s="33">
        <v>1268</v>
      </c>
      <c r="D27" t="s">
        <v>332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342</v>
      </c>
      <c r="O27" t="s">
        <v>317</v>
      </c>
      <c r="P27" s="33">
        <v>2124</v>
      </c>
      <c r="Q27" t="s">
        <v>365</v>
      </c>
      <c r="R27" s="33">
        <v>110</v>
      </c>
    </row>
    <row r="28" spans="1:18" x14ac:dyDescent="0.25">
      <c r="A28" t="s">
        <v>366</v>
      </c>
      <c r="B28" s="33">
        <v>85500</v>
      </c>
      <c r="C28" s="33">
        <v>1566</v>
      </c>
      <c r="D28" t="s">
        <v>332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367</v>
      </c>
      <c r="O28" t="s">
        <v>317</v>
      </c>
      <c r="P28" s="33">
        <v>2793</v>
      </c>
      <c r="Q28" t="s">
        <v>368</v>
      </c>
      <c r="R28" s="8">
        <v>2</v>
      </c>
    </row>
    <row r="29" spans="1:18" x14ac:dyDescent="0.25">
      <c r="A29" t="s">
        <v>369</v>
      </c>
      <c r="B29" s="33">
        <v>85500</v>
      </c>
      <c r="C29" s="33">
        <v>1566</v>
      </c>
      <c r="D29" t="s">
        <v>332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367</v>
      </c>
      <c r="O29" t="s">
        <v>317</v>
      </c>
      <c r="P29" s="33">
        <v>2793</v>
      </c>
      <c r="Q29" t="s">
        <v>370</v>
      </c>
      <c r="R29" s="8">
        <v>4</v>
      </c>
    </row>
    <row r="30" spans="1:18" x14ac:dyDescent="0.25">
      <c r="A30" t="s">
        <v>371</v>
      </c>
      <c r="B30" s="33">
        <v>89500</v>
      </c>
      <c r="C30" s="33">
        <v>1566</v>
      </c>
      <c r="D30" t="s">
        <v>332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367</v>
      </c>
      <c r="O30" t="s">
        <v>317</v>
      </c>
      <c r="P30" s="33">
        <v>2793</v>
      </c>
      <c r="Q30" t="s">
        <v>372</v>
      </c>
      <c r="R30" s="8">
        <v>3</v>
      </c>
    </row>
    <row r="31" spans="1:18" x14ac:dyDescent="0.25">
      <c r="A31" t="s">
        <v>373</v>
      </c>
      <c r="B31" s="33">
        <v>89500</v>
      </c>
      <c r="C31" s="33">
        <v>1566</v>
      </c>
      <c r="D31" t="s">
        <v>332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367</v>
      </c>
      <c r="O31" t="s">
        <v>317</v>
      </c>
      <c r="P31" s="33">
        <v>2793</v>
      </c>
      <c r="Q31" t="s">
        <v>374</v>
      </c>
      <c r="R31" s="33">
        <v>550</v>
      </c>
    </row>
    <row r="32" spans="1:18" x14ac:dyDescent="0.25">
      <c r="A32" t="s">
        <v>375</v>
      </c>
      <c r="B32" s="33">
        <v>99000</v>
      </c>
      <c r="C32" s="33">
        <v>1757</v>
      </c>
      <c r="D32" t="s">
        <v>332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60</v>
      </c>
      <c r="O32" t="s">
        <v>317</v>
      </c>
      <c r="P32" s="33">
        <v>3233</v>
      </c>
      <c r="Q32" t="s">
        <v>376</v>
      </c>
      <c r="R32" s="33">
        <v>275</v>
      </c>
    </row>
    <row r="33" spans="1:18" x14ac:dyDescent="0.25">
      <c r="A33" t="s">
        <v>377</v>
      </c>
      <c r="B33" s="33">
        <v>99000</v>
      </c>
      <c r="C33" s="33">
        <v>1757</v>
      </c>
      <c r="D33" t="s">
        <v>332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60</v>
      </c>
      <c r="O33" t="s">
        <v>317</v>
      </c>
      <c r="P33" s="33">
        <v>3233</v>
      </c>
      <c r="Q33" t="s">
        <v>378</v>
      </c>
      <c r="R33" s="8">
        <v>0.75</v>
      </c>
    </row>
    <row r="34" spans="1:18" x14ac:dyDescent="0.25">
      <c r="A34" t="s">
        <v>379</v>
      </c>
      <c r="B34" s="33">
        <v>0</v>
      </c>
      <c r="C34" s="33">
        <v>270</v>
      </c>
      <c r="D34" t="s">
        <v>332</v>
      </c>
      <c r="E34">
        <v>480</v>
      </c>
      <c r="F34">
        <v>50</v>
      </c>
      <c r="G34">
        <v>1</v>
      </c>
      <c r="H34">
        <v>36.1</v>
      </c>
      <c r="I34">
        <v>1</v>
      </c>
      <c r="J34">
        <v>30</v>
      </c>
      <c r="K34">
        <v>36.1</v>
      </c>
      <c r="L34">
        <v>1</v>
      </c>
      <c r="M34">
        <v>3</v>
      </c>
      <c r="N34" t="s">
        <v>380</v>
      </c>
      <c r="O34" t="s">
        <v>317</v>
      </c>
      <c r="P34" s="33">
        <v>490</v>
      </c>
      <c r="Q34" t="s">
        <v>381</v>
      </c>
      <c r="R34" s="8">
        <v>0.35</v>
      </c>
    </row>
    <row r="35" spans="1:18" x14ac:dyDescent="0.25">
      <c r="A35" t="s">
        <v>382</v>
      </c>
      <c r="B35" s="33">
        <v>0</v>
      </c>
      <c r="C35" s="33">
        <v>289</v>
      </c>
      <c r="D35" t="s">
        <v>315</v>
      </c>
      <c r="E35">
        <v>208</v>
      </c>
      <c r="F35">
        <v>60</v>
      </c>
      <c r="G35">
        <v>1</v>
      </c>
      <c r="H35">
        <v>48</v>
      </c>
      <c r="I35">
        <v>1</v>
      </c>
      <c r="J35">
        <v>9.984</v>
      </c>
      <c r="K35">
        <v>48</v>
      </c>
      <c r="L35">
        <v>1</v>
      </c>
      <c r="M35">
        <v>2</v>
      </c>
      <c r="N35" t="s">
        <v>316</v>
      </c>
      <c r="O35" t="s">
        <v>317</v>
      </c>
      <c r="P35" s="33">
        <v>556</v>
      </c>
      <c r="Q35" t="s">
        <v>383</v>
      </c>
      <c r="R35" s="8">
        <v>1.75</v>
      </c>
    </row>
    <row r="36" spans="1:18" x14ac:dyDescent="0.25">
      <c r="A36" t="s">
        <v>384</v>
      </c>
      <c r="B36" s="33">
        <v>0</v>
      </c>
      <c r="C36" s="33">
        <v>1195</v>
      </c>
      <c r="D36" t="s">
        <v>332</v>
      </c>
      <c r="E36">
        <v>480</v>
      </c>
      <c r="F36">
        <v>300</v>
      </c>
      <c r="G36">
        <v>2</v>
      </c>
      <c r="H36">
        <v>472.7</v>
      </c>
      <c r="I36">
        <v>0</v>
      </c>
      <c r="J36">
        <v>196.5</v>
      </c>
      <c r="K36">
        <v>236.4</v>
      </c>
      <c r="L36">
        <v>2</v>
      </c>
      <c r="M36">
        <v>3</v>
      </c>
      <c r="N36" t="s">
        <v>333</v>
      </c>
      <c r="O36" t="s">
        <v>317</v>
      </c>
      <c r="P36" s="33">
        <v>1712</v>
      </c>
      <c r="Q36" t="s">
        <v>385</v>
      </c>
      <c r="R36" s="8">
        <v>0.5</v>
      </c>
    </row>
    <row r="37" spans="1:18" x14ac:dyDescent="0.25">
      <c r="A37" t="s">
        <v>386</v>
      </c>
      <c r="B37" s="33">
        <v>0</v>
      </c>
      <c r="C37" s="33">
        <v>970</v>
      </c>
      <c r="D37" t="s">
        <v>332</v>
      </c>
      <c r="E37">
        <v>480</v>
      </c>
      <c r="F37">
        <v>400</v>
      </c>
      <c r="G37">
        <v>2</v>
      </c>
      <c r="H37">
        <v>630.3</v>
      </c>
      <c r="I37">
        <v>0</v>
      </c>
      <c r="J37">
        <v>262</v>
      </c>
      <c r="K37">
        <v>315.2</v>
      </c>
      <c r="L37">
        <v>2</v>
      </c>
      <c r="M37">
        <v>3</v>
      </c>
      <c r="N37" t="s">
        <v>342</v>
      </c>
      <c r="O37" t="s">
        <v>317</v>
      </c>
      <c r="P37" s="33">
        <v>1684</v>
      </c>
      <c r="Q37" t="s">
        <v>387</v>
      </c>
      <c r="R37" s="8">
        <v>0.08</v>
      </c>
    </row>
    <row r="38" spans="1:18" x14ac:dyDescent="0.25">
      <c r="A38" t="s">
        <v>388</v>
      </c>
      <c r="B38" s="33">
        <v>0</v>
      </c>
      <c r="C38" s="33">
        <v>2147</v>
      </c>
      <c r="D38" t="s">
        <v>332</v>
      </c>
      <c r="E38">
        <v>480</v>
      </c>
      <c r="F38">
        <v>400</v>
      </c>
      <c r="G38">
        <v>6</v>
      </c>
      <c r="H38">
        <v>1680.7</v>
      </c>
      <c r="I38">
        <v>0</v>
      </c>
      <c r="J38">
        <v>232.9</v>
      </c>
      <c r="K38">
        <v>280.1</v>
      </c>
      <c r="L38">
        <v>6</v>
      </c>
      <c r="M38">
        <v>3</v>
      </c>
      <c r="N38" t="s">
        <v>316</v>
      </c>
      <c r="O38" t="s">
        <v>317</v>
      </c>
      <c r="P38" s="33">
        <v>3085</v>
      </c>
      <c r="Q38" t="s">
        <v>389</v>
      </c>
      <c r="R38" s="33">
        <v>5000</v>
      </c>
    </row>
    <row r="39" spans="1:18" x14ac:dyDescent="0.25">
      <c r="A39" s="2" t="s">
        <v>390</v>
      </c>
      <c r="Q39" t="s">
        <v>391</v>
      </c>
      <c r="R39" s="33">
        <v>1500</v>
      </c>
    </row>
    <row r="40" spans="17:18" x14ac:dyDescent="0.25">
      <c r="Q40" t="s">
        <v>392</v>
      </c>
      <c r="R40" s="33">
        <v>250</v>
      </c>
    </row>
    <row r="41" spans="1:18" x14ac:dyDescent="0.25">
      <c r="A41" s="3" t="s">
        <v>393</v>
      </c>
      <c r="Q41" t="s">
        <v>394</v>
      </c>
      <c r="R41" s="33">
        <v>3519</v>
      </c>
    </row>
    <row r="42" spans="1:18" x14ac:dyDescent="0.25">
      <c r="A42" s="7" t="s">
        <v>395</v>
      </c>
      <c r="B42" s="7" t="s">
        <v>396</v>
      </c>
      <c r="Q42" t="s">
        <v>397</v>
      </c>
      <c r="R42" s="33">
        <v>261</v>
      </c>
    </row>
    <row r="43" spans="1:18" x14ac:dyDescent="0.25">
      <c r="A43">
        <v>400</v>
      </c>
      <c r="B43" s="33">
        <v>20426.82</v>
      </c>
      <c r="Q43" t="s">
        <v>398</v>
      </c>
      <c r="R43" s="33">
        <v>4043</v>
      </c>
    </row>
    <row r="44" spans="1:18" x14ac:dyDescent="0.25">
      <c r="A44">
        <v>600</v>
      </c>
      <c r="B44" s="33">
        <v>25500</v>
      </c>
      <c r="Q44" t="s">
        <v>399</v>
      </c>
      <c r="R44" s="33">
        <v>35</v>
      </c>
    </row>
    <row r="45" spans="1:18" x14ac:dyDescent="0.25">
      <c r="A45">
        <v>800</v>
      </c>
      <c r="B45" s="33">
        <v>31187</v>
      </c>
      <c r="Q45" t="s">
        <v>400</v>
      </c>
      <c r="R45" s="33">
        <v>28</v>
      </c>
    </row>
    <row r="46" spans="1:18" x14ac:dyDescent="0.25">
      <c r="A46">
        <v>1000</v>
      </c>
      <c r="B46" s="33">
        <v>36812.5</v>
      </c>
      <c r="Q46" t="s">
        <v>401</v>
      </c>
      <c r="R46" s="33">
        <v>3.25</v>
      </c>
    </row>
    <row r="47" spans="1:18" x14ac:dyDescent="0.25">
      <c r="A47">
        <v>1200</v>
      </c>
      <c r="B47" s="33">
        <v>43292.68</v>
      </c>
      <c r="Q47" t="s">
        <v>402</v>
      </c>
      <c r="R47" s="8">
        <v>100</v>
      </c>
    </row>
    <row r="48" spans="1:18" x14ac:dyDescent="0.25">
      <c r="A48">
        <v>1600</v>
      </c>
      <c r="B48" s="33">
        <v>56750</v>
      </c>
      <c r="Q48" t="s">
        <v>403</v>
      </c>
      <c r="R48" s="33">
        <v>200</v>
      </c>
    </row>
    <row r="49" spans="1:18" x14ac:dyDescent="0.25">
      <c r="A49">
        <v>2000</v>
      </c>
      <c r="B49" s="33">
        <v>55000</v>
      </c>
      <c r="Q49" t="s">
        <v>404</v>
      </c>
      <c r="R49" s="33">
        <v>60</v>
      </c>
    </row>
    <row r="50" spans="1:18" x14ac:dyDescent="0.25">
      <c r="A50">
        <v>2500</v>
      </c>
      <c r="B50" s="33">
        <v>60000</v>
      </c>
      <c r="Q50" t="s">
        <v>405</v>
      </c>
      <c r="R50" s="33">
        <v>2500</v>
      </c>
    </row>
    <row r="51" spans="1:18" x14ac:dyDescent="0.25">
      <c r="A51">
        <v>3000</v>
      </c>
      <c r="B51" s="33">
        <v>58842</v>
      </c>
      <c r="Q51" t="s">
        <v>406</v>
      </c>
      <c r="R51" s="33">
        <v>800</v>
      </c>
    </row>
    <row r="52" spans="1:18" x14ac:dyDescent="0.25">
      <c r="A52">
        <v>3200</v>
      </c>
      <c r="B52" s="33">
        <v>62200</v>
      </c>
      <c r="Q52" t="s">
        <v>407</v>
      </c>
      <c r="R52" s="33">
        <v>600</v>
      </c>
    </row>
    <row r="53" spans="1:2" x14ac:dyDescent="0.25">
      <c r="A53">
        <v>4000</v>
      </c>
      <c r="B53" s="33">
        <v>75600</v>
      </c>
    </row>
    <row r="54" spans="1:2" x14ac:dyDescent="0.25">
      <c r="A54">
        <v>5000</v>
      </c>
      <c r="B54" s="33">
        <v>100000</v>
      </c>
    </row>
    <row r="56" spans="1:1" x14ac:dyDescent="0.25">
      <c r="A56" s="3" t="s">
        <v>408</v>
      </c>
    </row>
    <row r="57" spans="1:2" x14ac:dyDescent="0.25">
      <c r="A57" s="7" t="s">
        <v>395</v>
      </c>
      <c r="B57" s="7" t="s">
        <v>396</v>
      </c>
    </row>
    <row r="58" spans="1:2" x14ac:dyDescent="0.25">
      <c r="A58">
        <v>150</v>
      </c>
      <c r="B58" s="33">
        <v>1000</v>
      </c>
    </row>
    <row r="59" spans="1:2" x14ac:dyDescent="0.25">
      <c r="A59">
        <v>250</v>
      </c>
      <c r="B59" s="33">
        <v>1120</v>
      </c>
    </row>
    <row r="60" spans="1:2" x14ac:dyDescent="0.25">
      <c r="A60">
        <v>400</v>
      </c>
      <c r="B60" s="33">
        <v>1660</v>
      </c>
    </row>
    <row r="61" spans="1:2" x14ac:dyDescent="0.25">
      <c r="A61">
        <v>600</v>
      </c>
      <c r="B61" s="33">
        <v>5387</v>
      </c>
    </row>
    <row r="62" spans="1:2" x14ac:dyDescent="0.25">
      <c r="A62">
        <v>800</v>
      </c>
      <c r="B62" s="33">
        <v>4650</v>
      </c>
    </row>
    <row r="63" spans="1:2" x14ac:dyDescent="0.25">
      <c r="A63">
        <v>1000</v>
      </c>
      <c r="B63" s="33">
        <v>30000</v>
      </c>
    </row>
    <row r="65" spans="1:1" x14ac:dyDescent="0.25">
      <c r="A65" s="3" t="s">
        <v>409</v>
      </c>
    </row>
    <row r="66" spans="1:2" x14ac:dyDescent="0.25">
      <c r="A66" s="7" t="s">
        <v>395</v>
      </c>
      <c r="B66" s="7" t="s">
        <v>396</v>
      </c>
    </row>
    <row r="67" spans="1:2" x14ac:dyDescent="0.25">
      <c r="A67">
        <v>75</v>
      </c>
      <c r="B67" s="33">
        <v>2970</v>
      </c>
    </row>
    <row r="68" spans="1:2" x14ac:dyDescent="0.25">
      <c r="A68">
        <v>112.5</v>
      </c>
      <c r="B68" s="33">
        <v>3250</v>
      </c>
    </row>
    <row r="69" spans="1:2" x14ac:dyDescent="0.25">
      <c r="A69">
        <v>150</v>
      </c>
      <c r="B69" s="33">
        <v>5298</v>
      </c>
    </row>
    <row r="70" spans="1:2" x14ac:dyDescent="0.25">
      <c r="A70">
        <v>175</v>
      </c>
      <c r="B70" s="33">
        <v>6000</v>
      </c>
    </row>
    <row r="71" spans="1:2" x14ac:dyDescent="0.25">
      <c r="A71">
        <v>225</v>
      </c>
      <c r="B71" s="33">
        <v>7144</v>
      </c>
    </row>
    <row r="72" spans="1:2" x14ac:dyDescent="0.25">
      <c r="A72">
        <v>300</v>
      </c>
      <c r="B72" s="33">
        <v>10493</v>
      </c>
    </row>
    <row r="73" spans="1:2" x14ac:dyDescent="0.25">
      <c r="A73">
        <v>500</v>
      </c>
      <c r="B73" s="33">
        <v>14500</v>
      </c>
    </row>
    <row r="75" spans="1:1" x14ac:dyDescent="0.25">
      <c r="A75" s="3" t="s">
        <v>410</v>
      </c>
    </row>
    <row r="76" spans="1:2" x14ac:dyDescent="0.25">
      <c r="A76" s="7" t="s">
        <v>395</v>
      </c>
      <c r="B76" s="7" t="s">
        <v>396</v>
      </c>
    </row>
    <row r="77" spans="1:2" x14ac:dyDescent="0.25">
      <c r="A77">
        <v>100</v>
      </c>
      <c r="B77" s="33">
        <v>350</v>
      </c>
    </row>
    <row r="78" spans="1:2" x14ac:dyDescent="0.25">
      <c r="A78">
        <v>125</v>
      </c>
      <c r="B78" s="33">
        <v>420</v>
      </c>
    </row>
    <row r="79" spans="1:2" x14ac:dyDescent="0.25">
      <c r="A79">
        <v>150</v>
      </c>
      <c r="B79" s="33">
        <v>480</v>
      </c>
    </row>
    <row r="80" spans="1:2" x14ac:dyDescent="0.25">
      <c r="A80">
        <v>175</v>
      </c>
      <c r="B80" s="33">
        <v>550</v>
      </c>
    </row>
    <row r="81" spans="1:2" x14ac:dyDescent="0.25">
      <c r="A81">
        <v>200</v>
      </c>
      <c r="B81" s="33">
        <v>650</v>
      </c>
    </row>
    <row r="82" spans="1:2" x14ac:dyDescent="0.25">
      <c r="A82">
        <v>225</v>
      </c>
      <c r="B82" s="33">
        <v>700</v>
      </c>
    </row>
    <row r="83" spans="1:2" x14ac:dyDescent="0.25">
      <c r="A83">
        <v>250</v>
      </c>
      <c r="B83" s="33">
        <v>750</v>
      </c>
    </row>
    <row r="84" spans="1:2" x14ac:dyDescent="0.25">
      <c r="A84">
        <v>300</v>
      </c>
      <c r="B84" s="33">
        <v>800</v>
      </c>
    </row>
    <row r="85" spans="1:2" x14ac:dyDescent="0.25">
      <c r="A85">
        <v>350</v>
      </c>
      <c r="B85" s="33">
        <v>1000</v>
      </c>
    </row>
    <row r="86" spans="1:2" x14ac:dyDescent="0.25">
      <c r="A86">
        <v>400</v>
      </c>
      <c r="B86" s="33">
        <v>1200</v>
      </c>
    </row>
    <row r="87" spans="1:2" x14ac:dyDescent="0.25">
      <c r="A87">
        <v>500</v>
      </c>
      <c r="B87" s="33">
        <v>1800</v>
      </c>
    </row>
    <row r="88" spans="1:2" x14ac:dyDescent="0.25">
      <c r="A88">
        <v>600</v>
      </c>
      <c r="B88" s="33">
        <v>2200</v>
      </c>
    </row>
    <row r="90" spans="1:1" x14ac:dyDescent="0.25">
      <c r="A90" s="3" t="s">
        <v>411</v>
      </c>
    </row>
    <row r="91" spans="1:2" x14ac:dyDescent="0.25">
      <c r="A91" s="7" t="s">
        <v>395</v>
      </c>
      <c r="B91" s="7" t="s">
        <v>396</v>
      </c>
    </row>
    <row r="92" spans="1:2" x14ac:dyDescent="0.25">
      <c r="A92">
        <v>40</v>
      </c>
      <c r="B92" s="33">
        <v>60</v>
      </c>
    </row>
    <row r="93" spans="1:2" x14ac:dyDescent="0.25">
      <c r="A93">
        <v>50</v>
      </c>
      <c r="B93" s="33">
        <v>75</v>
      </c>
    </row>
    <row r="94" spans="1:2" x14ac:dyDescent="0.25">
      <c r="A94">
        <v>60</v>
      </c>
      <c r="B94" s="33">
        <v>90</v>
      </c>
    </row>
    <row r="96" spans="1:1" x14ac:dyDescent="0.25">
      <c r="A96" s="3" t="s">
        <v>412</v>
      </c>
    </row>
    <row r="97" spans="1:1" x14ac:dyDescent="0.25">
      <c r="A97">
        <v>15</v>
      </c>
    </row>
    <row r="98" spans="1:1" x14ac:dyDescent="0.25">
      <c r="A98">
        <v>20</v>
      </c>
    </row>
    <row r="99" spans="1:1" x14ac:dyDescent="0.25">
      <c r="A99">
        <v>25</v>
      </c>
    </row>
    <row r="100" spans="1:1" x14ac:dyDescent="0.25">
      <c r="A100">
        <v>30</v>
      </c>
    </row>
    <row r="101" spans="1:1" x14ac:dyDescent="0.25">
      <c r="A101">
        <v>35</v>
      </c>
    </row>
    <row r="102" spans="1:1" x14ac:dyDescent="0.25">
      <c r="A102">
        <v>40</v>
      </c>
    </row>
    <row r="103" spans="1:1" x14ac:dyDescent="0.25">
      <c r="A103">
        <v>45</v>
      </c>
    </row>
    <row r="104" spans="1:1" x14ac:dyDescent="0.25">
      <c r="A104">
        <v>50</v>
      </c>
    </row>
    <row r="105" spans="1:1" x14ac:dyDescent="0.25">
      <c r="A105">
        <v>60</v>
      </c>
    </row>
    <row r="106" spans="1:1" x14ac:dyDescent="0.25">
      <c r="A106">
        <v>70</v>
      </c>
    </row>
    <row r="107" spans="1:1" x14ac:dyDescent="0.25">
      <c r="A107">
        <v>80</v>
      </c>
    </row>
    <row r="108" spans="1:1" x14ac:dyDescent="0.25">
      <c r="A108">
        <v>90</v>
      </c>
    </row>
    <row r="109" spans="1:1" x14ac:dyDescent="0.25">
      <c r="A109">
        <v>100</v>
      </c>
    </row>
    <row r="110" spans="1:1" x14ac:dyDescent="0.25">
      <c r="A110">
        <v>110</v>
      </c>
    </row>
    <row r="111" spans="1:1" x14ac:dyDescent="0.25">
      <c r="A111">
        <v>125</v>
      </c>
    </row>
    <row r="112" spans="1:1" x14ac:dyDescent="0.25">
      <c r="A112">
        <v>150</v>
      </c>
    </row>
    <row r="113" spans="1:1" x14ac:dyDescent="0.25">
      <c r="A113">
        <v>175</v>
      </c>
    </row>
    <row r="114" spans="1:1" x14ac:dyDescent="0.25">
      <c r="A114">
        <v>200</v>
      </c>
    </row>
    <row r="115" spans="1:1" x14ac:dyDescent="0.25">
      <c r="A115">
        <v>225</v>
      </c>
    </row>
    <row r="116" spans="1:1" x14ac:dyDescent="0.25">
      <c r="A116">
        <v>250</v>
      </c>
    </row>
    <row r="117" spans="1:1" x14ac:dyDescent="0.25">
      <c r="A117">
        <v>300</v>
      </c>
    </row>
    <row r="118" spans="1:1" x14ac:dyDescent="0.25">
      <c r="A118">
        <v>350</v>
      </c>
    </row>
    <row r="119" spans="1:1" x14ac:dyDescent="0.25">
      <c r="A119">
        <v>400</v>
      </c>
    </row>
    <row r="120" spans="1:1" x14ac:dyDescent="0.25">
      <c r="A120">
        <v>450</v>
      </c>
    </row>
    <row r="121" spans="1:1" x14ac:dyDescent="0.25">
      <c r="A121">
        <v>500</v>
      </c>
    </row>
    <row r="122" spans="1:1" x14ac:dyDescent="0.25">
      <c r="A122">
        <v>600</v>
      </c>
    </row>
    <row r="123" spans="1:1" x14ac:dyDescent="0.25">
      <c r="A123">
        <v>700</v>
      </c>
    </row>
    <row r="124" spans="1:1" x14ac:dyDescent="0.25">
      <c r="A124">
        <v>800</v>
      </c>
    </row>
    <row r="125" spans="1:1" x14ac:dyDescent="0.25">
      <c r="A125">
        <v>1000</v>
      </c>
    </row>
    <row r="126" spans="1:1" x14ac:dyDescent="0.25">
      <c r="A126">
        <v>1200</v>
      </c>
    </row>
    <row r="127" spans="1:1" x14ac:dyDescent="0.25">
      <c r="A127">
        <v>1600</v>
      </c>
    </row>
    <row r="128" spans="1:1" x14ac:dyDescent="0.25">
      <c r="A128">
        <v>2000</v>
      </c>
    </row>
    <row r="129" spans="1:1" x14ac:dyDescent="0.25">
      <c r="A129">
        <v>2500</v>
      </c>
    </row>
    <row r="130" spans="1:1" x14ac:dyDescent="0.25">
      <c r="A130">
        <v>3000</v>
      </c>
    </row>
    <row r="131" spans="1:1" x14ac:dyDescent="0.25">
      <c r="A131">
        <v>3200</v>
      </c>
    </row>
    <row r="132" spans="1:1" x14ac:dyDescent="0.25">
      <c r="A132">
        <v>4000</v>
      </c>
    </row>
    <row r="133" spans="1:1" x14ac:dyDescent="0.25">
      <c r="A133">
        <v>5000</v>
      </c>
    </row>
    <row r="135" spans="1:1" x14ac:dyDescent="0.25">
      <c r="A135" s="3" t="s">
        <v>413</v>
      </c>
    </row>
    <row r="136" spans="1:5" x14ac:dyDescent="0.25">
      <c r="A136" s="7" t="s">
        <v>395</v>
      </c>
      <c r="B136" s="7" t="s">
        <v>414</v>
      </c>
      <c r="C136" s="7" t="s">
        <v>415</v>
      </c>
      <c r="D136" s="7" t="s">
        <v>416</v>
      </c>
      <c r="E136" s="7" t="s">
        <v>417</v>
      </c>
    </row>
    <row r="137" spans="1:5" x14ac:dyDescent="0.25">
      <c r="A137" t="s">
        <v>418</v>
      </c>
      <c r="B137" s="33">
        <v>0</v>
      </c>
      <c r="C137" s="33">
        <v>0</v>
      </c>
      <c r="D137">
        <v>20</v>
      </c>
      <c r="E137">
        <v>15</v>
      </c>
    </row>
    <row r="138" spans="1:5" x14ac:dyDescent="0.25">
      <c r="A138" t="s">
        <v>419</v>
      </c>
      <c r="B138" s="33">
        <v>0</v>
      </c>
      <c r="C138" s="33">
        <v>0</v>
      </c>
      <c r="D138">
        <v>25</v>
      </c>
      <c r="E138">
        <v>20</v>
      </c>
    </row>
    <row r="139" spans="1:5" x14ac:dyDescent="0.25">
      <c r="A139" t="s">
        <v>420</v>
      </c>
      <c r="B139" s="33">
        <v>0.30329</v>
      </c>
      <c r="C139" s="33">
        <v>0.28</v>
      </c>
      <c r="D139">
        <v>35</v>
      </c>
      <c r="E139">
        <v>30</v>
      </c>
    </row>
    <row r="140" spans="1:5" x14ac:dyDescent="0.25">
      <c r="A140" t="s">
        <v>380</v>
      </c>
      <c r="B140" s="33">
        <v>0.56613</v>
      </c>
      <c r="C140" s="33">
        <v>0</v>
      </c>
      <c r="D140">
        <v>50</v>
      </c>
      <c r="E140">
        <v>40</v>
      </c>
    </row>
    <row r="141" spans="1:5" x14ac:dyDescent="0.25">
      <c r="A141" t="s">
        <v>316</v>
      </c>
      <c r="B141" s="33">
        <v>0.87104</v>
      </c>
      <c r="C141" s="33">
        <v>0.30636</v>
      </c>
      <c r="D141">
        <v>65</v>
      </c>
      <c r="E141">
        <v>50</v>
      </c>
    </row>
    <row r="142" spans="1:5" x14ac:dyDescent="0.25">
      <c r="A142" t="s">
        <v>421</v>
      </c>
      <c r="B142" s="33">
        <v>1.33293</v>
      </c>
      <c r="C142" s="33">
        <v>0.37998</v>
      </c>
      <c r="D142">
        <v>85</v>
      </c>
      <c r="E142">
        <v>65</v>
      </c>
    </row>
    <row r="143" spans="1:5" x14ac:dyDescent="0.25">
      <c r="A143" t="s">
        <v>322</v>
      </c>
      <c r="B143" s="33">
        <v>1.68126</v>
      </c>
      <c r="C143" s="33">
        <v>0.36681</v>
      </c>
      <c r="D143">
        <v>100</v>
      </c>
      <c r="E143">
        <v>75</v>
      </c>
    </row>
    <row r="144" spans="1:5" x14ac:dyDescent="0.25">
      <c r="A144" t="s">
        <v>422</v>
      </c>
      <c r="B144" s="33">
        <v>2.1044</v>
      </c>
      <c r="C144" s="33">
        <v>0.4821</v>
      </c>
      <c r="D144">
        <v>115</v>
      </c>
      <c r="E144">
        <v>90</v>
      </c>
    </row>
    <row r="145" spans="1:5" x14ac:dyDescent="0.25">
      <c r="A145" t="s">
        <v>325</v>
      </c>
      <c r="B145" s="33">
        <v>2.39833</v>
      </c>
      <c r="C145" s="33">
        <v>0.66733</v>
      </c>
      <c r="D145">
        <v>130</v>
      </c>
      <c r="E145">
        <v>100</v>
      </c>
    </row>
    <row r="146" spans="1:5" x14ac:dyDescent="0.25">
      <c r="A146" t="s">
        <v>333</v>
      </c>
      <c r="B146" s="33">
        <v>2.95304</v>
      </c>
      <c r="C146" s="33">
        <v>0.75045</v>
      </c>
      <c r="D146">
        <v>150</v>
      </c>
      <c r="E146">
        <v>120</v>
      </c>
    </row>
    <row r="147" spans="1:5" x14ac:dyDescent="0.25">
      <c r="A147" t="s">
        <v>423</v>
      </c>
      <c r="B147" s="33">
        <v>3.63758</v>
      </c>
      <c r="C147" s="33">
        <v>0.88701</v>
      </c>
      <c r="D147">
        <v>175</v>
      </c>
      <c r="E147">
        <v>135</v>
      </c>
    </row>
    <row r="148" spans="1:5" x14ac:dyDescent="0.25">
      <c r="A148" t="s">
        <v>342</v>
      </c>
      <c r="B148" s="33">
        <v>4.5658</v>
      </c>
      <c r="C148" s="33">
        <v>1.09956</v>
      </c>
      <c r="D148">
        <v>200</v>
      </c>
      <c r="E148">
        <v>155</v>
      </c>
    </row>
    <row r="149" spans="1:5" x14ac:dyDescent="0.25">
      <c r="A149" t="s">
        <v>58</v>
      </c>
      <c r="B149" s="33">
        <v>5.73045</v>
      </c>
      <c r="C149" s="33">
        <v>1.2278</v>
      </c>
      <c r="D149">
        <v>230</v>
      </c>
      <c r="E149">
        <v>180</v>
      </c>
    </row>
    <row r="150" spans="1:5" x14ac:dyDescent="0.25">
      <c r="A150" t="s">
        <v>367</v>
      </c>
      <c r="B150" s="33">
        <v>6.64016</v>
      </c>
      <c r="C150" s="33">
        <v>1.49616</v>
      </c>
      <c r="D150">
        <v>255</v>
      </c>
      <c r="E150">
        <v>205</v>
      </c>
    </row>
    <row r="151" spans="1:5" x14ac:dyDescent="0.25">
      <c r="A151" t="s">
        <v>351</v>
      </c>
      <c r="B151" s="33">
        <v>7.9632</v>
      </c>
      <c r="C151" s="33">
        <v>2.06137</v>
      </c>
      <c r="D151">
        <v>285</v>
      </c>
      <c r="E151">
        <v>230</v>
      </c>
    </row>
    <row r="152" spans="1:5" x14ac:dyDescent="0.25">
      <c r="A152" t="s">
        <v>60</v>
      </c>
      <c r="B152" s="33">
        <v>9.32416</v>
      </c>
      <c r="C152" s="33">
        <v>2.10412</v>
      </c>
      <c r="D152">
        <v>310</v>
      </c>
      <c r="E152">
        <v>250</v>
      </c>
    </row>
    <row r="153" spans="1:5" x14ac:dyDescent="0.25">
      <c r="A153" t="s">
        <v>359</v>
      </c>
      <c r="B153" s="33">
        <v>10.60671</v>
      </c>
      <c r="C153" s="33">
        <v>2.45797</v>
      </c>
      <c r="D153">
        <v>335</v>
      </c>
      <c r="E153">
        <v>270</v>
      </c>
    </row>
    <row r="154" spans="1:5" x14ac:dyDescent="0.25">
      <c r="A154" t="s">
        <v>424</v>
      </c>
      <c r="B154" s="33">
        <v>11.334</v>
      </c>
      <c r="C154" s="33">
        <v>2.589</v>
      </c>
      <c r="D154">
        <v>355</v>
      </c>
      <c r="E154">
        <v>290</v>
      </c>
    </row>
    <row r="155" spans="1:5" x14ac:dyDescent="0.25">
      <c r="A155" t="s">
        <v>425</v>
      </c>
      <c r="B155" s="33">
        <v>13.30059</v>
      </c>
      <c r="C155" s="33">
        <v>2.7204</v>
      </c>
      <c r="D155">
        <v>380</v>
      </c>
      <c r="E155">
        <v>310</v>
      </c>
    </row>
    <row r="156" spans="1:5" x14ac:dyDescent="0.25">
      <c r="A156" t="s">
        <v>55</v>
      </c>
      <c r="B156" s="33">
        <v>16.57382</v>
      </c>
      <c r="C156" s="33">
        <v>3.44354</v>
      </c>
      <c r="D156">
        <v>420</v>
      </c>
      <c r="E156">
        <v>340</v>
      </c>
    </row>
    <row r="157" spans="1:5" x14ac:dyDescent="0.25">
      <c r="A157" t="s">
        <v>426</v>
      </c>
      <c r="B157" s="33">
        <v>0</v>
      </c>
      <c r="C157" s="33">
        <v>4.809</v>
      </c>
      <c r="D157">
        <v>460</v>
      </c>
      <c r="E157">
        <v>375</v>
      </c>
    </row>
    <row r="158" spans="1:5" x14ac:dyDescent="0.25">
      <c r="A158" t="s">
        <v>427</v>
      </c>
      <c r="B158" s="33">
        <v>25.921</v>
      </c>
      <c r="C158" s="33">
        <v>4.859</v>
      </c>
      <c r="D158">
        <v>475</v>
      </c>
      <c r="E158">
        <v>385</v>
      </c>
    </row>
    <row r="159" spans="1:5" x14ac:dyDescent="0.25">
      <c r="A159" t="s">
        <v>428</v>
      </c>
      <c r="B159" s="33">
        <v>0</v>
      </c>
      <c r="C159" s="33">
        <v>0</v>
      </c>
      <c r="D159">
        <v>490</v>
      </c>
      <c r="E159">
        <v>395</v>
      </c>
    </row>
    <row r="160" spans="1:5" x14ac:dyDescent="0.25">
      <c r="A160" t="s">
        <v>429</v>
      </c>
      <c r="B160" s="33">
        <v>0</v>
      </c>
      <c r="C160" s="33">
        <v>7.566</v>
      </c>
      <c r="D160">
        <v>520</v>
      </c>
      <c r="E160">
        <v>425</v>
      </c>
    </row>
    <row r="161" spans="1:5" x14ac:dyDescent="0.25">
      <c r="A161" t="s">
        <v>430</v>
      </c>
      <c r="B161" s="33">
        <v>34.398</v>
      </c>
      <c r="C161" s="33">
        <v>6.668</v>
      </c>
      <c r="D161">
        <v>545</v>
      </c>
      <c r="E161">
        <v>445</v>
      </c>
    </row>
    <row r="162" spans="1:1" x14ac:dyDescent="0.25">
      <c r="A162" s="2" t="s">
        <v>431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9"/>
  <sheetFormatPr defaultRowHeight="15" outlineLevelRow="0" outlineLevelCol="0" x14ac:dyDescent="55"/>
  <cols>
    <col min="1" max="1" width="114" customWidth="1"/>
  </cols>
  <sheetData>
    <row r="1" spans="1:1" x14ac:dyDescent="0.25">
      <c r="A1" s="19" t="s">
        <v>432</v>
      </c>
    </row>
    <row r="2" spans="1:1" x14ac:dyDescent="0.25">
      <c r="A2" s="63" t="s">
        <v>433</v>
      </c>
    </row>
    <row r="3" spans="1:1" x14ac:dyDescent="0.25">
      <c r="A3" s="63" t="s">
        <v>434</v>
      </c>
    </row>
    <row r="4" spans="1:1" x14ac:dyDescent="0.25">
      <c r="A4" s="63" t="s">
        <v>435</v>
      </c>
    </row>
    <row r="5" spans="1:1" x14ac:dyDescent="0.25">
      <c r="A5" s="63" t="s">
        <v>436</v>
      </c>
    </row>
    <row r="6" spans="1:1" x14ac:dyDescent="0.25">
      <c r="A6" s="63" t="s">
        <v>437</v>
      </c>
    </row>
    <row r="7" spans="1:1" x14ac:dyDescent="0.25">
      <c r="A7" s="63" t="s">
        <v>438</v>
      </c>
    </row>
    <row r="8" spans="1:1" x14ac:dyDescent="0.25">
      <c r="A8" s="63" t="s">
        <v>439</v>
      </c>
    </row>
    <row r="9" spans="1:1" x14ac:dyDescent="0.25">
      <c r="A9" s="63" t="s">
        <v>440</v>
      </c>
    </row>
    <row r="10" spans="1:1" x14ac:dyDescent="0.25">
      <c r="A10" s="63" t="s">
        <v>441</v>
      </c>
    </row>
    <row r="11" spans="1:1" x14ac:dyDescent="0.25">
      <c r="A11" s="63" t="s">
        <v>442</v>
      </c>
    </row>
    <row r="12" spans="1:1" x14ac:dyDescent="0.25">
      <c r="A12" s="63" t="s">
        <v>443</v>
      </c>
    </row>
    <row r="13" spans="1:1" x14ac:dyDescent="0.25">
      <c r="A13" s="63" t="s">
        <v>444</v>
      </c>
    </row>
    <row r="14" spans="1:1" x14ac:dyDescent="0.25">
      <c r="A14" s="63" t="s">
        <v>445</v>
      </c>
    </row>
    <row r="15" spans="1:1" x14ac:dyDescent="0.25">
      <c r="A15" s="63" t="s">
        <v>446</v>
      </c>
    </row>
    <row r="16" spans="1:1" x14ac:dyDescent="0.25">
      <c r="A16" s="63" t="s">
        <v>447</v>
      </c>
    </row>
    <row r="17" spans="1:1" x14ac:dyDescent="0.25">
      <c r="A17" s="63" t="s">
        <v>448</v>
      </c>
    </row>
    <row r="18" spans="1:1" x14ac:dyDescent="0.25">
      <c r="A18" s="63" t="s">
        <v>449</v>
      </c>
    </row>
    <row r="19" spans="1:1" x14ac:dyDescent="0.25">
      <c r="A19" s="63" t="s">
        <v>450</v>
      </c>
    </row>
    <row r="20" spans="1:1" x14ac:dyDescent="0.25">
      <c r="A20" s="63" t="s">
        <v>451</v>
      </c>
    </row>
    <row r="21" spans="1:1" x14ac:dyDescent="0.25">
      <c r="A21" s="63" t="s">
        <v>452</v>
      </c>
    </row>
    <row r="22" spans="1:1" x14ac:dyDescent="0.25">
      <c r="A22" s="63" t="s">
        <v>453</v>
      </c>
    </row>
    <row r="23" spans="1:1" x14ac:dyDescent="0.25">
      <c r="A23" s="63" t="s">
        <v>454</v>
      </c>
    </row>
    <row r="24" spans="1:1" x14ac:dyDescent="0.25">
      <c r="A24" s="63" t="s">
        <v>455</v>
      </c>
    </row>
    <row r="25" spans="1:1" x14ac:dyDescent="0.25">
      <c r="A25" s="63" t="s">
        <v>456</v>
      </c>
    </row>
    <row r="26" spans="1:1" x14ac:dyDescent="0.25">
      <c r="A26" s="63" t="s">
        <v>457</v>
      </c>
    </row>
    <row r="27" spans="1:1" x14ac:dyDescent="0.25">
      <c r="A27" s="63" t="s">
        <v>458</v>
      </c>
    </row>
    <row r="28" spans="1:1" x14ac:dyDescent="0.25">
      <c r="A28" s="63" t="s">
        <v>459</v>
      </c>
    </row>
    <row r="29" spans="1:1" x14ac:dyDescent="0.25">
      <c r="A29" s="63" t="s">
        <v>290</v>
      </c>
    </row>
    <row r="30" spans="1:1" x14ac:dyDescent="0.25">
      <c r="A30" s="19" t="s">
        <v>460</v>
      </c>
    </row>
    <row r="31" spans="1:1" x14ac:dyDescent="0.25">
      <c r="A31" s="63" t="s">
        <v>461</v>
      </c>
    </row>
    <row r="32" spans="1:1" x14ac:dyDescent="0.25">
      <c r="A32" s="63" t="s">
        <v>462</v>
      </c>
    </row>
    <row r="33" spans="1:1" x14ac:dyDescent="0.25">
      <c r="A33" s="63" t="s">
        <v>463</v>
      </c>
    </row>
    <row r="34" spans="1:1" x14ac:dyDescent="0.25">
      <c r="A34" s="63" t="s">
        <v>290</v>
      </c>
    </row>
    <row r="35" spans="1:1" x14ac:dyDescent="0.25">
      <c r="A35" s="19" t="s">
        <v>464</v>
      </c>
    </row>
    <row r="36" spans="1:1" x14ac:dyDescent="0.25">
      <c r="A36" s="63" t="s">
        <v>465</v>
      </c>
    </row>
    <row r="37" spans="1:1" x14ac:dyDescent="0.25">
      <c r="A37" s="63" t="s">
        <v>466</v>
      </c>
    </row>
    <row r="38" spans="1:1" x14ac:dyDescent="0.25">
      <c r="A38" s="63" t="s">
        <v>290</v>
      </c>
    </row>
    <row r="39" spans="1:1" x14ac:dyDescent="0.25">
      <c r="A39" s="19" t="s">
        <v>467</v>
      </c>
    </row>
    <row r="40" spans="1:1" x14ac:dyDescent="0.25">
      <c r="A40" s="63" t="s">
        <v>468</v>
      </c>
    </row>
    <row r="41" spans="1:1" x14ac:dyDescent="0.25">
      <c r="A41" s="63" t="s">
        <v>469</v>
      </c>
    </row>
    <row r="42" spans="1:1" x14ac:dyDescent="0.25">
      <c r="A42" s="63" t="s">
        <v>470</v>
      </c>
    </row>
    <row r="43" spans="1:1" x14ac:dyDescent="0.25">
      <c r="A43" s="63" t="s">
        <v>471</v>
      </c>
    </row>
    <row r="44" spans="1:1" x14ac:dyDescent="0.25">
      <c r="A44" s="63" t="s">
        <v>472</v>
      </c>
    </row>
    <row r="45" spans="1:1" x14ac:dyDescent="0.25">
      <c r="A45" s="63" t="s">
        <v>473</v>
      </c>
    </row>
    <row r="46" spans="1:1" x14ac:dyDescent="0.25">
      <c r="A46" s="63" t="s">
        <v>474</v>
      </c>
    </row>
    <row r="47" spans="1:1" x14ac:dyDescent="0.25">
      <c r="A47" s="63" t="s">
        <v>475</v>
      </c>
    </row>
    <row r="48" spans="1:1" x14ac:dyDescent="0.25">
      <c r="A48" s="63" t="s">
        <v>476</v>
      </c>
    </row>
    <row r="49" spans="1:1" x14ac:dyDescent="0.25">
      <c r="A49" s="63" t="s">
        <v>477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Intake</vt:lpstr>
      <vt:lpstr>Takeoff</vt:lpstr>
      <vt:lpstr>Panel</vt:lpstr>
      <vt:lpstr>Panel 480V</vt:lpstr>
      <vt:lpstr>Panel 208V</vt:lpstr>
      <vt:lpstr>Estimate</vt:lpstr>
      <vt:lpstr>Peripherals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2026-09-12T00:11:50Z</dcterms:created>
  <dcterms:modified xsi:type="dcterms:W3CDTF">2026-09-12T00:11:50Z</dcterms:modified>
</cp:coreProperties>
</file>