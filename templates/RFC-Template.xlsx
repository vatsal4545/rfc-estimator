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Panel" state="visible" r:id="rId5"/>
    <sheet sheetId="3" name="Panel 480V" state="visible" r:id="rId6"/>
    <sheet sheetId="4" name="Panel 208V" state="visible" r:id="rId7"/>
    <sheet sheetId="5" name="Estimate" state="visible" r:id="rId8"/>
    <sheet sheetId="6" name="Costs Internal" state="visible" r:id="rId9"/>
    <sheet sheetId="7" name="ADA" state="visible" r:id="rId10"/>
    <sheet sheetId="8" name="Timeline" state="visible" r:id="rId11"/>
    <sheet sheetId="9" name="RateCard" state="visible" r:id="rId12"/>
    <sheet sheetId="10" name="Instructions" state="visible" r:id="rId13"/>
  </sheets>
  <definedNames>
    <definedName name="ModelTable">RateCard!$A$4:$P$33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ivilBase">RateCard!$R$22</definedName>
    <definedName name="CivilDcfc">RateCard!$R$23</definedName>
    <definedName name="CivilL2">RateCard!$R$24</definedName>
    <definedName name="SignageDcfc">RateCard!$R$25</definedName>
    <definedName name="SignageL2">RateCard!$R$26</definedName>
    <definedName name="TransformerPad">RateCard!$R$27</definedName>
    <definedName name="CommDcfc">RateCard!$R$28</definedName>
    <definedName name="CommL2">RateCard!$R$29</definedName>
    <definedName name="EquipBase">RateCard!$R$30</definedName>
    <definedName name="EquipPerDay">RateCard!$R$31</definedName>
    <definedName name="EquipBaseEmt">RateCard!$R$32</definedName>
    <definedName name="EquipPerDayEmt">RateCard!$R$33</definedName>
    <definedName name="EmtRackCost">RateCard!$R$34</definedName>
    <definedName name="EmtStrapCost">RateCard!$R$35</definedName>
    <definedName name="EmtFtPerDay">RateCard!$R$36</definedName>
    <definedName name="PermitBase">RateCard!$R$37</definedName>
    <definedName name="PermitPerChg">RateCard!$R$38</definedName>
    <definedName name="UtilAppDcfc">RateCard!$R$39</definedName>
    <definedName name="UtilAppL2">RateCard!$R$40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<sst xmlns="http://schemas.openxmlformats.org/spreadsheetml/2006/main" count="722" uniqueCount="426">
  <si>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</si>
  <si>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</si>
  <si>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</si>
  <si>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</si>
  <si>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</si>
  <si>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</si>
  <si>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</si>
  <si>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</si>
  <si>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</si>
  <si>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</si>
  <si>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</si>
  <si>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</si>
  <si>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</si>
  <si>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</si>
  <si>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</si>
  <si>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</si>
  <si>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</si>
  <si>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</si>
  <si>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</si>
  <si>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</si>
  <si>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</si>
  <si>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</si>
  <si>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</si>
  <si>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</si>
  <si>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</si>
  <si>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</si>
  <si>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</si>
  <si>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</si>
  <si>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</si>
  <si>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</si>
  <si>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</si>
  <si>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</si>
  <si>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</si>
  <si>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</si>
  <si>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</si>
  <si>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</si>
  <si>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</si>
  <si>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</si>
  <si>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</si>
  <si>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</si>
  <si>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</si>
  <si>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</si>
  <si>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</si>
  <si>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size, material, runs, one-way ft and breaker are editable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</si>
  <si>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</si>
  <si>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</si>
  <si>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</si>
  <si>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</si>
  <si>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</si>
  <si>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</si>
  <si>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</si>
  <si>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</si>
  <si>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</si>
  <si>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</si>
  <si>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</si>
  <si>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</si>
  <si>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</si>
  <si>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</si>
  <si>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</si>
  <si>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</si>
  <si>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</si>
  <si>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</si>
  <si>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</si>
  <si>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</si>
  <si>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</si>
  <si>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</si>
  <si>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</si>
  <si>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</si>
  <si>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</si>
  <si>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</si>
  <si>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</si>
  <si>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</si>
  <si>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</si>
  <si>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</si>
  <si>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</si>
  <si>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</si>
  <si>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</si>
  <si>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</si>
  <si>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</si>
  <si>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</si>
  <si>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</si>
  <si>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</si>
  <si>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</si>
  <si>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</si>
  <si>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</si>
  <si>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</si>
  <si>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</si>
  <si>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</si>
  <si>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Panel Schedules — auto from Intake (mirrors the app's algorithm, NEC 625 continuous loads at 125%)</t>
  </si>
  <si>
    <t>PANEL SCHEDULE 1 — 480V SWITCHGEAR (LEVEL 3 / DCFC)</t>
  </si>
  <si>
    <t>Breaker A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</si>
  <si>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</si>
  <si>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</si>
  <si>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</si>
  <si>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</si>
  <si>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</si>
  <si>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</si>
  <si>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</si>
  <si>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</si>
  <si>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</si>
  <si>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</si>
  <si>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</si>
  <si>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</si>
  <si>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</si>
  <si>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</si>
  <si>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</si>
  <si>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</si>
  <si>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</si>
  <si>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</si>
  <si>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</si>
  <si>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</si>
  <si>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</si>
  <si>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</si>
  <si>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</si>
  <si>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</si>
  <si>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</si>
  <si>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</si>
  <si>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</si>
  <si>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</si>
  <si>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</si>
  <si>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</si>
  <si>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</si>
  <si>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</si>
  <si>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</si>
  <si>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engine — do not edit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</si>
  <si>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</si>
  <si>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</si>
  <si>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</si>
  <si>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</si>
  <si>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</si>
  <si>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</si>
  <si>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</si>
  <si>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</si>
  <si>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</si>
  <si>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</si>
  <si>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</si>
  <si>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</si>
  <si>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</si>
  <si>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</si>
  <si>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</si>
  <si>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</si>
  <si>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</si>
  <si>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</si>
  <si>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</si>
  <si>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</si>
  <si>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</si>
  <si>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</si>
  <si>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</si>
  <si>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</si>
  <si>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</si>
  <si>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</si>
  <si>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</si>
  <si>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</si>
  <si>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</si>
  <si>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</si>
  <si>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</si>
  <si>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</si>
  <si>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</si>
  <si>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</si>
  <si>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</si>
  <si>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</si>
  <si>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</si>
  <si>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</si>
  <si>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</si>
  <si>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</si>
  <si>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(Intake block) + conduit &amp; install allowance</t>
  </si>
  <si>
    <t>Switchgear, panels &amp; transformer (Panel sheet)</t>
  </si>
  <si>
    <t>Trenching / asphalt cut (terrain-adjusted)</t>
  </si>
  <si>
    <t>Surface EMT supports — strut racks @ 10 ft + straps (NEC 358.30)</t>
  </si>
  <si>
    <t>Civil (concrete, rebar, wheel stops)</t>
  </si>
  <si>
    <t>Signage, striping &amp; bollards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</si>
  <si>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</si>
  <si>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</si>
  <si>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</si>
  <si>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</si>
  <si>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</si>
  <si>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</si>
  <si>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</si>
  <si>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</si>
  <si>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</si>
  <si>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</si>
  <si>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</si>
  <si>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</si>
  <si>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</si>
  <si>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</si>
  <si>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</si>
  <si>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</si>
  <si>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</si>
  <si>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</si>
  <si>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</si>
  <si>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</si>
  <si>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</si>
  <si>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</si>
  <si>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</si>
  <si>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</si>
  <si>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Electrical Supply &amp; Construction Management Costs</t>
  </si>
  <si>
    <t>Quantity</t>
  </si>
  <si>
    <t>Individual Cost</t>
  </si>
  <si>
    <t>Final Cost</t>
  </si>
  <si>
    <t>Total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</si>
  <si>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</si>
  <si>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</si>
  <si>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</si>
  <si>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</si>
  <si>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</si>
  <si>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</si>
  <si>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</si>
  <si>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</si>
  <si>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</si>
  <si>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</si>
  <si>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</si>
  <si>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</si>
  <si>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</si>
  <si>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</si>
  <si>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</si>
  <si>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</si>
  <si>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</si>
  <si>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</si>
  <si>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</si>
  <si>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</si>
  <si>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</si>
  <si>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</si>
  <si>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</si>
  <si>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</si>
  <si>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</si>
  <si>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</si>
  <si>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</si>
  <si>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</si>
  <si>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</si>
  <si>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</si>
  <si>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</si>
  <si>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</si>
  <si>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</si>
  <si>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</si>
  <si>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</si>
  <si>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</si>
  <si>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</si>
  <si>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</si>
  <si>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</si>
  <si>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</si>
  <si>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</si>
  <si>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</si>
  <si>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</si>
  <si>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</si>
  <si>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</si>
  <si>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</si>
  <si>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</si>
  <si>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</si>
  <si>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</si>
  <si>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</si>
  <si>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</si>
  <si>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</si>
  <si>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</si>
  <si>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</si>
  <si>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</si>
  <si>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</si>
  <si>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</si>
  <si>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</si>
  <si>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</si>
  <si>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</si>
  <si>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</si>
  <si>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</si>
  <si>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</si>
  <si>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</si>
  <si>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</si>
  <si>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</si>
  <si>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</si>
  <si>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</si>
  <si>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</si>
  <si>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</si>
  <si>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</si>
  <si>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</si>
  <si>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</si>
  <si>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</si>
  <si>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</si>
  <si>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</si>
  <si>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</si>
  <si>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</si>
  <si>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</si>
  <si>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</si>
  <si>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</si>
  <si>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</si>
  <si>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</si>
  <si>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</si>
  <si>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</si>
  <si>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</si>
  <si>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</si>
  <si>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</si>
  <si>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</si>
  <si>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</si>
  <si>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</si>
  <si>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</si>
  <si>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</si>
  <si>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</si>
  <si>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</si>
  <si>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</si>
  <si>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</si>
  <si>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</si>
  <si>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</si>
  <si>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</si>
  <si>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</si>
  <si>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</si>
  <si>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</si>
  <si>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</si>
  <si>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</si>
  <si>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</si>
  <si>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</si>
  <si>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</si>
  <si>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</si>
  <si>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</si>
  <si>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</si>
  <si>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</si>
  <si>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</si>
  <si>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</si>
  <si>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</si>
  <si>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</si>
  <si>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</si>
  <si>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</si>
  <si>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</si>
  <si>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</si>
  <si>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</si>
  <si>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</si>
  <si>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</si>
  <si>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</si>
  <si>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Civil mobilization base $</t>
  </si>
  <si>
    <t>DCFC 180kW Dual</t>
  </si>
  <si>
    <t>Civil $/DCFC (concrete, rebar, stops)</t>
  </si>
  <si>
    <t>400 kcmil</t>
  </si>
  <si>
    <t>Civil $/L2</t>
  </si>
  <si>
    <t>DCFC 200kW Dual</t>
  </si>
  <si>
    <t>Signage+bollards $/DCFC</t>
  </si>
  <si>
    <t>DCFC 240kW</t>
  </si>
  <si>
    <t>Signage $/L2</t>
  </si>
  <si>
    <t>DCFC 240kW Dual</t>
  </si>
  <si>
    <t>Utility transformer pad $ (DCFC)</t>
  </si>
  <si>
    <t>DCFC 275kW</t>
  </si>
  <si>
    <t>250 kcmil</t>
  </si>
  <si>
    <t>Commissioning $/DCFC</t>
  </si>
  <si>
    <t>DCFC 275kW Dual</t>
  </si>
  <si>
    <t>Commissioning $/L2</t>
  </si>
  <si>
    <t>DCFC 300kW</t>
  </si>
  <si>
    <t>Equipment rentals base $</t>
  </si>
  <si>
    <t>DCFC 300kW Dual</t>
  </si>
  <si>
    <t>Equipment rentals $/labor-day</t>
  </si>
  <si>
    <t>DCFC 360kW</t>
  </si>
  <si>
    <t>Equipment base $ (surface EMT — lift, no dig gear)</t>
  </si>
  <si>
    <t>DCFC 360kW Dual</t>
  </si>
  <si>
    <t>Equipment $/labor-day (surface EMT)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</si>
  <si>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</si>
  <si>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Strut trapeze rack $ (strut+rod+anchors, NEC 358.30)</t>
  </si>
  <si>
    <t>Strut conduit strap $ (per pipe per rack)</t>
  </si>
  <si>
    <t>Main switchgear 480V (website catalog)</t>
  </si>
  <si>
    <t>Surface EMT route-ft per crew-day</t>
  </si>
  <si>
    <t>Size</t>
  </si>
  <si>
    <t>Price</t>
  </si>
  <si>
    <t>Permit issuance base $ (AHJ)</t>
  </si>
  <si>
    <t>Permit issuance $/charger</t>
  </si>
  <si>
    <t>Utility application $ (DCFC site)</t>
  </si>
  <si>
    <t>Utility application $ (L2-only site)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</si>
  <si>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</si>
  <si>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</si>
  <si>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</si>
  <si>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</si>
  <si>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</si>
  <si>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</si>
  <si>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</si>
  <si>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</si>
  <si>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</si>
  <si>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</si>
  <si>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</si>
  <si>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</si>
  <si>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</si>
  <si>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</si>
  <si>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</si>
  <si>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</si>
  <si>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</si>
  <si>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</si>
  <si>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</si>
  <si>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</si>
  <si>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</si>
  <si>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</si>
  <si>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</si>
  <si>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</si>
  <si>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</si>
  <si>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</si>
  <si>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</si>
  <si>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</si>
  <si>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</si>
  <si>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lines. One line per model, or enter qty 1 per line to control each individual charger's distance,</t>
  </si>
  <si>
    <t xml:space="preserve">   wire and breaker — one row per charger, same as the website's Takeoff tab.</t>
  </si>
  <si>
    <t xml:space="preserve">   WIRE RUNS &amp; FEEDERS: every run's wire size, material (Cu/Al), runs, one-way ft AND breaker is editable — like the V18</t>
  </si>
  <si>
    <t xml:space="preserve">   workbooks. Defaults auto-fill from the model and site distances; overtyping a yellow cell replaces its formula. On long</t>
  </si>
  <si>
    <t xml:space="preserve">   runs, extra parallel runs split the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</si>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</sst>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b/>
      <sz val="12"/>
    </font>
    <font>
      <i/>
      <color rgb="FFB45309"/>
      <sz val="9"/>
    </font>
    <font>
      <i/>
      <color rgb="FF999999"/>
      <sz val="8"/>
    </font>
    <font>
      <sz val="8"/>
    </font>
    <font>
      <i/>
      <color rgb="FFB45309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9" fillId="3" borderId="0" xfId="0" applyNumberFormat="1" applyFont="1" applyFill="1"/>
    <xf numFmtId="0" fontId="10" fillId="0" borderId="0" xfId="0" applyFont="1"/>
    <xf numFmtId="0" fontId="8" fillId="0" borderId="0" xfId="0" applyFont="1" applyAlignment="1">
      <alignment horizontal="center"/>
    </xf>
    <xf numFmtId="0" fontId="11" fillId="0" borderId="0" xfId="0" applyFont="1"/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2" fillId="0" borderId="0" xfId="0" applyFont="1"/>
    <xf numFmtId="3" fontId="0" fillId="0" borderId="0" xfId="0" applyNumberFormat="1"/>
    <xf numFmtId="166" fontId="0" fillId="0" borderId="0" xfId="0" applyNumberFormat="1"/>
    <xf numFmtId="0" fontId="13" fillId="0" borderId="0" xfId="0" applyFon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9" fillId="0" borderId="0" xfId="0" applyNumberFormat="1" applyFont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65" fontId="0" fillId="2" borderId="0" xfId="0" applyNumberFormat="1" applyFill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5">
        <f>IF($B$23&gt;0,IF($D$23="DCFC",RunFtDcfc,RunFtL2)+StepFt*(0+($B$23-1)/2),0)</f>
      </c>
      <c r="G53" s="9">
        <f>IF(OR($B$53="",$D$53=0),0,IF($C$53="Cu",VLOOKUP($B$53,WireTable,2,FALSE),VLOOKUP($B$53,WireTable,3,FALSE)))</f>
      </c>
      <c r="H53" s="9">
        <f>$D$53*$E$53*$F$53*$G$53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5">
        <f>IF($B$24&gt;0,IF($D$24="DCFC",RunFtDcfc,RunFtL2)+StepFt*(SUMPRODUCT(($D$23:$D$23=$D$24)*$B$23:$B$23)+($B$24-1)/2),0)</f>
      </c>
      <c r="G54" s="9">
        <f>IF(OR($B$54="",$D$54=0),0,IF($C$54="Cu",VLOOKUP($B$54,WireTable,2,FALSE),VLOOKUP($B$54,WireTable,3,FALSE)))</f>
      </c>
      <c r="H54" s="9">
        <f>$D$54*$E$54*$F$54*$G$54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5">
        <f>IF($B$25&gt;0,IF($D$25="DCFC",RunFtDcfc,RunFtL2)+StepFt*(SUMPRODUCT(($D$23:$D$24=$D$25)*$B$23:$B$24)+($B$25-1)/2),0)</f>
      </c>
      <c r="G55" s="9">
        <f>IF(OR($B$55="",$D$55=0),0,IF($C$55="Cu",VLOOKUP($B$55,WireTable,2,FALSE),VLOOKUP($B$55,WireTable,3,FALSE)))</f>
      </c>
      <c r="H55" s="9">
        <f>$D$55*$E$55*$F$55*$G$55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5">
        <f>IF($B$26&gt;0,IF($D$26="DCFC",RunFtDcfc,RunFtL2)+StepFt*(SUMPRODUCT(($D$23:$D$25=$D$26)*$B$23:$B$25)+($B$26-1)/2),0)</f>
      </c>
      <c r="G56" s="9">
        <f>IF(OR($B$56="",$D$56=0),0,IF($C$56="Cu",VLOOKUP($B$56,WireTable,2,FALSE),VLOOKUP($B$56,WireTable,3,FALSE)))</f>
      </c>
      <c r="H56" s="9">
        <f>$D$56*$E$56*$F$56*$G$56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5">
        <f>IF($B$27&gt;0,IF($D$27="DCFC",RunFtDcfc,RunFtL2)+StepFt*(SUMPRODUCT(($D$23:$D$26=$D$27)*$B$23:$B$26)+($B$27-1)/2),0)</f>
      </c>
      <c r="G57" s="9">
        <f>IF(OR($B$57="",$D$57=0),0,IF($C$57="Cu",VLOOKUP($B$57,WireTable,2,FALSE),VLOOKUP($B$57,WireTable,3,FALSE)))</f>
      </c>
      <c r="H57" s="9">
        <f>$D$57*$E$57*$F$57*$G$57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5">
        <f>IF($B$28&gt;0,IF($D$28="DCFC",RunFtDcfc,RunFtL2)+StepFt*(SUMPRODUCT(($D$23:$D$27=$D$28)*$B$23:$B$27)+($B$28-1)/2),0)</f>
      </c>
      <c r="G58" s="9">
        <f>IF(OR($B$58="",$D$58=0),0,IF($C$58="Cu",VLOOKUP($B$58,WireTable,2,FALSE),VLOOKUP($B$58,WireTable,3,FALSE)))</f>
      </c>
      <c r="H58" s="9">
        <f>$D$58*$E$58*$F$58*$G$58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5">
        <f>IF($B$29&gt;0,IF($D$29="DCFC",RunFtDcfc,RunFtL2)+StepFt*(SUMPRODUCT(($D$23:$D$28=$D$29)*$B$23:$B$28)+($B$29-1)/2),0)</f>
      </c>
      <c r="G59" s="9">
        <f>IF(OR($B$59="",$D$59=0),0,IF($C$59="Cu",VLOOKUP($B$59,WireTable,2,FALSE),VLOOKUP($B$59,WireTable,3,FALSE)))</f>
      </c>
      <c r="H59" s="9">
        <f>$D$59*$E$59*$F$59*$G$59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5">
        <f>IF($B$30&gt;0,IF($D$30="DCFC",RunFtDcfc,RunFtL2)+StepFt*(SUMPRODUCT(($D$23:$D$29=$D$30)*$B$23:$B$29)+($B$30-1)/2),0)</f>
      </c>
      <c r="G60" s="9">
        <f>IF(OR($B$60="",$D$60=0),0,IF($C$60="Cu",VLOOKUP($B$60,WireTable,2,FALSE),VLOOKUP($B$60,WireTable,3,FALSE)))</f>
      </c>
      <c r="H60" s="9">
        <f>$D$60*$E$60*$F$60*$G$60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5">
        <f>IF($B$31&gt;0,IF($D$31="DCFC",RunFtDcfc,RunFtL2)+StepFt*(SUMPRODUCT(($D$23:$D$30=$D$31)*$B$23:$B$30)+($B$31-1)/2),0)</f>
      </c>
      <c r="G61" s="9">
        <f>IF(OR($B$61="",$D$61=0),0,IF($C$61="Cu",VLOOKUP($B$61,WireTable,2,FALSE),VLOOKUP($B$61,WireTable,3,FALSE)))</f>
      </c>
      <c r="H61" s="9">
        <f>$D$61*$E$61*$F$61*$G$61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5">
        <f>IF($B$32&gt;0,IF($D$32="DCFC",RunFtDcfc,RunFtL2)+StepFt*(SUMPRODUCT(($D$23:$D$31=$D$32)*$B$23:$B$31)+($B$32-1)/2),0)</f>
      </c>
      <c r="G62" s="9">
        <f>IF(OR($B$62="",$D$62=0),0,IF($C$62="Cu",VLOOKUP($B$62,WireTable,2,FALSE),VLOOKUP($B$62,WireTable,3,FALSE)))</f>
      </c>
      <c r="H62" s="9">
        <f>$D$62*$E$62*$F$62*$G$62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5">
        <f>IF($B$33&gt;0,IF($D$33="DCFC",RunFtDcfc,RunFtL2)+StepFt*(SUMPRODUCT(($D$23:$D$32=$D$33)*$B$23:$B$32)+($B$33-1)/2),0)</f>
      </c>
      <c r="G63" s="9">
        <f>IF(OR($B$63="",$D$63=0),0,IF($C$63="Cu",VLOOKUP($B$63,WireTable,2,FALSE),VLOOKUP($B$63,WireTable,3,FALSE)))</f>
      </c>
      <c r="H63" s="9">
        <f>$D$63*$E$63*$F$63*$G$63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5">
        <f>IF($B$34&gt;0,IF($D$34="DCFC",RunFtDcfc,RunFtL2)+StepFt*(SUMPRODUCT(($D$23:$D$33=$D$34)*$B$23:$B$33)+($B$34-1)/2),0)</f>
      </c>
      <c r="G64" s="9">
        <f>IF(OR($B$64="",$D$64=0),0,IF($C$64="Cu",VLOOKUP($B$64,WireTable,2,FALSE),VLOOKUP($B$64,WireTable,3,FALSE)))</f>
      </c>
      <c r="H64" s="9">
        <f>$D$64*$E$64*$F$64*$G$64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RateCard!$A$4:$A$33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RateCard!$A$129:$A$153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88</v>
      </c>
    </row>
    <row r="3" spans="1:1" x14ac:dyDescent="0.25">
      <c r="A3" s="3" t="s">
        <v>89</v>
      </c>
    </row>
    <row r="4" spans="1:6" x14ac:dyDescent="0.25">
      <c r="A4" s="7" t="s">
        <v>18</v>
      </c>
      <c r="B4" s="7" t="s">
        <v>19</v>
      </c>
      <c r="C4" s="7" t="s">
        <v>90</v>
      </c>
      <c r="D4" s="7" t="s">
        <v>91</v>
      </c>
      <c r="E4" s="7" t="s">
        <v>92</v>
      </c>
      <c r="F4" s="7" t="s">
        <v>93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94</v>
      </c>
      <c r="F17">
        <f>SUM(F5:F16)</f>
      </c>
    </row>
    <row r="18" spans="1:6" x14ac:dyDescent="0.25">
      <c r="A18" s="4" t="s">
        <v>95</v>
      </c>
      <c r="F18">
        <f>IF(AND(NDcfc&gt;0,NumL2&gt;0),TxKvaConnected*1000/(480*SQRT(3)),0)</f>
      </c>
    </row>
    <row r="19" spans="1:6" x14ac:dyDescent="0.25">
      <c r="A19" s="3" t="s">
        <v>96</v>
      </c>
      <c r="F19">
        <f>F17+F18</f>
      </c>
    </row>
    <row r="20" spans="1:6" x14ac:dyDescent="0.25">
      <c r="A20" s="3" t="s">
        <v>97</v>
      </c>
      <c r="F20">
        <f>F19*1.25</f>
      </c>
    </row>
    <row r="21" spans="1:6" x14ac:dyDescent="0.25">
      <c r="A21" s="3" t="s">
        <v>98</v>
      </c>
      <c r="D21" s="5"/>
      <c r="E21" s="10" t="s">
        <v>99</v>
      </c>
      <c r="F21">
        <f>IF(NDcfc&gt;0,IF(ISNUMBER($D$21),$D$21,INDEX(SgSizes,MIN(ROWS(SgSizes),COUNTIF(SgSizes,"&lt;"&amp;F20)+1))),0)</f>
      </c>
    </row>
    <row r="22" spans="1:6" x14ac:dyDescent="0.25">
      <c r="A22" s="3" t="s">
        <v>100</v>
      </c>
      <c r="F22" s="9">
        <f>IF(NDcfc&gt;0,IFERROR(VLOOKUP(SgSuggested,SgTable,2,FALSE),0),0)</f>
      </c>
    </row>
    <row r="24" spans="1:1" x14ac:dyDescent="0.25">
      <c r="A24" s="3" t="s">
        <v>101</v>
      </c>
    </row>
    <row r="25" spans="1:6" x14ac:dyDescent="0.25">
      <c r="A25" s="7" t="s">
        <v>18</v>
      </c>
      <c r="B25" s="7" t="s">
        <v>19</v>
      </c>
      <c r="C25" s="7" t="s">
        <v>90</v>
      </c>
      <c r="D25" s="7" t="s">
        <v>91</v>
      </c>
      <c r="E25" s="7" t="s">
        <v>92</v>
      </c>
      <c r="F25" s="7" t="s">
        <v>93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102</v>
      </c>
      <c r="F38">
        <f>SUM(F26:F37)</f>
      </c>
    </row>
    <row r="39" spans="1:6" x14ac:dyDescent="0.25">
      <c r="A39" s="3" t="s">
        <v>103</v>
      </c>
      <c r="F39">
        <f>F38*1.25</f>
      </c>
    </row>
    <row r="40" spans="1:6" x14ac:dyDescent="0.25">
      <c r="A40" s="3" t="s">
        <v>104</v>
      </c>
      <c r="D40" s="5"/>
      <c r="E40" s="10" t="s">
        <v>99</v>
      </c>
      <c r="F40">
        <f>IF(NumL2&gt;0,IF(ISNUMBER($D$40),$D$40,INDEX(PnlSizes,MIN(ROWS(PnlSizes),COUNTIF(PnlSizes,"&lt;"&amp;F39)+1))),0)</f>
      </c>
    </row>
    <row r="41" spans="1:6" x14ac:dyDescent="0.25">
      <c r="A41" s="4" t="s">
        <v>105</v>
      </c>
      <c r="F41">
        <f>IF(NumL2=0,"—",IF(F40&gt;=1000,"Distribution panel","Sub-panel"))</f>
      </c>
    </row>
    <row r="42" spans="1:6" x14ac:dyDescent="0.25">
      <c r="A42" s="3" t="s">
        <v>106</v>
      </c>
      <c r="F42" s="9">
        <f>IF(NumL2&gt;0,IFERROR(VLOOKUP(F40,PnlTable,2,FALSE),0),0)</f>
      </c>
    </row>
    <row r="44" spans="1:1" x14ac:dyDescent="0.25">
      <c r="A44" s="3" t="s">
        <v>107</v>
      </c>
    </row>
    <row r="45" spans="1:6" x14ac:dyDescent="0.25">
      <c r="A45" s="4" t="s">
        <v>108</v>
      </c>
      <c r="F45">
        <f>IF(AND(NDcfc&gt;0,NumL2&gt;0),F38*208*SQRT(3)/1000,0)</f>
      </c>
    </row>
    <row r="46" spans="1:6" x14ac:dyDescent="0.25">
      <c r="A46" s="4" t="s">
        <v>109</v>
      </c>
      <c r="F46">
        <f>F45*1.25</f>
      </c>
    </row>
    <row r="47" spans="1:6" x14ac:dyDescent="0.25">
      <c r="A47" s="3" t="s">
        <v>110</v>
      </c>
      <c r="D47" s="5"/>
      <c r="E47" s="10" t="s">
        <v>99</v>
      </c>
      <c r="F47">
        <f>IF(F45&gt;0,IF(ISNUMBER($D$47),$D$47,INDEX(TxSizes,MIN(ROWS(TxSizes),COUNTIF(TxSizes,"&lt;"&amp;F46)+1))),0)</f>
      </c>
    </row>
    <row r="48" spans="1:6" x14ac:dyDescent="0.25">
      <c r="A48" s="3" t="s">
        <v>111</v>
      </c>
      <c r="F48" s="9">
        <f>IF(F47&gt;0,IFERROR(VLOOKUP(F47,TxTable,2,FALSE),0),0)</f>
      </c>
    </row>
    <row r="49" spans="1:6" x14ac:dyDescent="0.25">
      <c r="A49" s="4" t="s">
        <v>112</v>
      </c>
      <c r="F49">
        <f>IF(F47&gt;0,F47*1000/(480*SQRT(3)),0)</f>
      </c>
    </row>
    <row r="50" spans="1:6" x14ac:dyDescent="0.25">
      <c r="A50" s="4" t="s">
        <v>113</v>
      </c>
      <c r="F50">
        <f>IF(F47&gt;0,INDEX(StdBrk,MIN(ROWS(StdBrk),COUNTIF(StdBrk,"&lt;"&amp;F49*1.25)+1)),0)</f>
      </c>
    </row>
    <row r="51" spans="1:6" x14ac:dyDescent="0.25">
      <c r="A51" s="4" t="s">
        <v>114</v>
      </c>
      <c r="F51" s="9">
        <f>IF(F50&gt;0,IFERROR(VLOOKUP(F50,BrkTbl480,2,FALSE),0),0)</f>
      </c>
    </row>
    <row r="52" spans="1:1" x14ac:dyDescent="0.25">
      <c r="A52" s="3" t="s">
        <v>115</v>
      </c>
    </row>
    <row r="53" spans="1:6" x14ac:dyDescent="0.25">
      <c r="A53" s="7" t="s">
        <v>18</v>
      </c>
      <c r="B53" s="7" t="s">
        <v>90</v>
      </c>
      <c r="C53" s="7" t="s">
        <v>116</v>
      </c>
      <c r="D53" s="7" t="s">
        <v>91</v>
      </c>
      <c r="E53" s="7" t="s">
        <v>117</v>
      </c>
      <c r="F53" s="7" t="s">
        <v>118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119</v>
      </c>
      <c r="F66" s="9">
        <f>SUM(F54:F65)+F51</f>
      </c>
    </row>
    <row r="68" spans="1:6" x14ac:dyDescent="0.25">
      <c r="A68" s="16" t="s">
        <v>120</v>
      </c>
      <c r="F68" s="17">
        <f>F22+F42+F48+F66</f>
      </c>
    </row>
    <row r="70" spans="1:1" x14ac:dyDescent="0.25">
      <c r="A70" s="18" t="s">
        <v>121</v>
      </c>
    </row>
    <row r="71" spans="1:1" x14ac:dyDescent="0.25">
      <c r="A71" s="2" t="s">
        <v>122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123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124</v>
      </c>
    </row>
    <row r="3" spans="2:20" x14ac:dyDescent="0.25">
      <c r="B3" s="21" t="s">
        <v>125</v>
      </c>
      <c r="C3" t="s">
        <v>126</v>
      </c>
      <c r="D3" s="21" t="s">
        <v>127</v>
      </c>
      <c r="E3" t="s">
        <v>128</v>
      </c>
      <c r="H3" s="21" t="s">
        <v>129</v>
      </c>
      <c r="I3" t="s">
        <v>130</v>
      </c>
      <c r="M3" s="21" t="s">
        <v>131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1" t="s">
        <v>132</v>
      </c>
      <c r="E4">
        <f>"UTILITY"</f>
      </c>
      <c r="H4" s="21" t="s">
        <v>133</v>
      </c>
      <c r="I4" t="s">
        <v>134</v>
      </c>
      <c r="M4" s="21" t="s">
        <v>135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1" t="s">
        <v>136</v>
      </c>
      <c r="E5" t="s">
        <v>137</v>
      </c>
      <c r="H5" s="21" t="s">
        <v>138</v>
      </c>
      <c r="I5" t="s">
        <v>139</v>
      </c>
      <c r="M5" s="21" t="s">
        <v>140</v>
      </c>
      <c r="N5" t="s">
        <v>141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2" t="s">
        <v>142</v>
      </c>
      <c r="C7" s="22" t="s">
        <v>143</v>
      </c>
      <c r="D7" s="22" t="s">
        <v>144</v>
      </c>
      <c r="E7" s="22" t="s">
        <v>145</v>
      </c>
      <c r="F7" s="22" t="s">
        <v>146</v>
      </c>
      <c r="G7" s="22"/>
      <c r="H7" s="22" t="s">
        <v>147</v>
      </c>
      <c r="I7" s="22"/>
      <c r="J7" s="22" t="s">
        <v>148</v>
      </c>
      <c r="K7" s="22"/>
      <c r="L7" s="22" t="s">
        <v>145</v>
      </c>
      <c r="M7" s="22" t="s">
        <v>144</v>
      </c>
      <c r="N7" s="22" t="s">
        <v>143</v>
      </c>
      <c r="O7" s="22" t="s">
        <v>142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146</v>
      </c>
      <c r="B8" s="23">
        <v>1</v>
      </c>
      <c r="C8" s="23">
        <f>IF($AA$17=1,$X$17,"")</f>
      </c>
      <c r="D8" s="23">
        <f>IF($AA$17=1,$Y$17,"")</f>
      </c>
      <c r="E8" s="23">
        <f>IF($AA$17=1,3,"")</f>
      </c>
      <c r="F8" s="23">
        <f>IF($AA$17=1,ROUND($Z$17,0),"")</f>
      </c>
      <c r="G8" s="23">
        <f>IF($AA$18=1,ROUND($Z$18,0),"")</f>
      </c>
      <c r="H8" s="23"/>
      <c r="I8" s="23"/>
      <c r="J8" s="23"/>
      <c r="K8" s="23"/>
      <c r="L8" s="23">
        <f>IF($AA$18=1,3,"")</f>
      </c>
      <c r="M8" s="23">
        <f>IF($AA$18=1,$Y$18,"")</f>
      </c>
      <c r="N8" s="23">
        <f>IF($AA$18=1,$X$18,"")</f>
      </c>
      <c r="O8" s="23">
        <v>2</v>
      </c>
      <c r="P8" t="s">
        <v>146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147</v>
      </c>
      <c r="B9" s="23">
        <v>3</v>
      </c>
      <c r="C9" s="23">
        <f>IF($AA$17=1,"---","")</f>
      </c>
      <c r="D9" s="23"/>
      <c r="E9" s="23"/>
      <c r="F9" s="23"/>
      <c r="G9" s="23"/>
      <c r="H9" s="23">
        <f>IF($AA$17=1,ROUND($Z$17,0),"")</f>
      </c>
      <c r="I9" s="23">
        <f>IF($AA$18=1,ROUND($Z$18,0),"")</f>
      </c>
      <c r="J9" s="23"/>
      <c r="K9" s="23"/>
      <c r="L9" s="23"/>
      <c r="M9" s="23"/>
      <c r="N9" s="23">
        <f>IF($AA$18=1,"---","")</f>
      </c>
      <c r="O9" s="23">
        <v>4</v>
      </c>
      <c r="P9" t="s">
        <v>147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148</v>
      </c>
      <c r="B10" s="23">
        <v>5</v>
      </c>
      <c r="C10" s="23">
        <f>IF($AA$17=1,"---","")</f>
      </c>
      <c r="D10" s="23"/>
      <c r="E10" s="23"/>
      <c r="F10" s="23"/>
      <c r="G10" s="23"/>
      <c r="H10" s="23"/>
      <c r="I10" s="23"/>
      <c r="J10" s="23">
        <f>IF($AA$17=1,ROUND($Z$17,0),"")</f>
      </c>
      <c r="K10" s="23">
        <f>IF($AA$18=1,ROUND($Z$18,0),"")</f>
      </c>
      <c r="L10" s="23"/>
      <c r="M10" s="23"/>
      <c r="N10" s="23">
        <f>IF($AA$18=1,"---","")</f>
      </c>
      <c r="O10" s="23">
        <v>6</v>
      </c>
      <c r="P10" t="s">
        <v>148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146</v>
      </c>
      <c r="B11" s="23">
        <v>7</v>
      </c>
      <c r="C11" s="23">
        <f>IF($AA$19=1,$X$19,"")</f>
      </c>
      <c r="D11" s="23">
        <f>IF($AA$19=1,$Y$19,"")</f>
      </c>
      <c r="E11" s="23">
        <f>IF($AA$19=1,3,"")</f>
      </c>
      <c r="F11" s="23">
        <f>IF($AA$19=1,ROUND($Z$19,0),"")</f>
      </c>
      <c r="G11" s="23">
        <f>IF($AA$20=1,ROUND($Z$20,0),"")</f>
      </c>
      <c r="H11" s="23"/>
      <c r="I11" s="23"/>
      <c r="J11" s="23"/>
      <c r="K11" s="23"/>
      <c r="L11" s="23">
        <f>IF($AA$20=1,3,"")</f>
      </c>
      <c r="M11" s="23">
        <f>IF($AA$20=1,$Y$20,"")</f>
      </c>
      <c r="N11" s="23">
        <f>IF($AA$20=1,$X$20,"")</f>
      </c>
      <c r="O11" s="23">
        <v>8</v>
      </c>
      <c r="P11" t="s">
        <v>146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147</v>
      </c>
      <c r="B12" s="23">
        <v>9</v>
      </c>
      <c r="C12" s="23">
        <f>IF($AA$19=1,"---","")</f>
      </c>
      <c r="D12" s="23"/>
      <c r="E12" s="23"/>
      <c r="F12" s="23"/>
      <c r="G12" s="23"/>
      <c r="H12" s="23">
        <f>IF($AA$19=1,ROUND($Z$19,0),"")</f>
      </c>
      <c r="I12" s="23">
        <f>IF($AA$20=1,ROUND($Z$20,0),"")</f>
      </c>
      <c r="J12" s="23"/>
      <c r="K12" s="23"/>
      <c r="L12" s="23"/>
      <c r="M12" s="23"/>
      <c r="N12" s="23">
        <f>IF($AA$20=1,"---","")</f>
      </c>
      <c r="O12" s="23">
        <v>10</v>
      </c>
      <c r="P12" t="s">
        <v>147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148</v>
      </c>
      <c r="B13" s="23">
        <v>11</v>
      </c>
      <c r="C13" s="23">
        <f>IF($AA$19=1,"---","")</f>
      </c>
      <c r="D13" s="23"/>
      <c r="E13" s="23"/>
      <c r="F13" s="23"/>
      <c r="G13" s="23"/>
      <c r="H13" s="23"/>
      <c r="I13" s="23"/>
      <c r="J13" s="23">
        <f>IF($AA$19=1,ROUND($Z$19,0),"")</f>
      </c>
      <c r="K13" s="23">
        <f>IF($AA$20=1,ROUND($Z$20,0),"")</f>
      </c>
      <c r="L13" s="23"/>
      <c r="M13" s="23"/>
      <c r="N13" s="23">
        <f>IF($AA$20=1,"---","")</f>
      </c>
      <c r="O13" s="23">
        <v>12</v>
      </c>
      <c r="P13" t="s">
        <v>148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146</v>
      </c>
      <c r="B14" s="23">
        <v>13</v>
      </c>
      <c r="C14" s="23">
        <f>IF($AA$21=1,$X$21,"")</f>
      </c>
      <c r="D14" s="23">
        <f>IF($AA$21=1,$Y$21,"")</f>
      </c>
      <c r="E14" s="23">
        <f>IF($AA$21=1,3,"")</f>
      </c>
      <c r="F14" s="23">
        <f>IF($AA$21=1,ROUND($Z$21,0),"")</f>
      </c>
      <c r="G14" s="23">
        <f>IF($AA$22=1,ROUND($Z$22,0),"")</f>
      </c>
      <c r="H14" s="23"/>
      <c r="I14" s="23"/>
      <c r="J14" s="23"/>
      <c r="K14" s="23"/>
      <c r="L14" s="23">
        <f>IF($AA$22=1,3,"")</f>
      </c>
      <c r="M14" s="23">
        <f>IF($AA$22=1,$Y$22,"")</f>
      </c>
      <c r="N14" s="23">
        <f>IF($AA$22=1,$X$22,"")</f>
      </c>
      <c r="O14" s="23">
        <v>14</v>
      </c>
      <c r="P14" t="s">
        <v>146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147</v>
      </c>
      <c r="B15" s="23">
        <v>15</v>
      </c>
      <c r="C15" s="23">
        <f>IF($AA$21=1,"---","")</f>
      </c>
      <c r="D15" s="23"/>
      <c r="E15" s="23"/>
      <c r="F15" s="23"/>
      <c r="G15" s="23"/>
      <c r="H15" s="23">
        <f>IF($AA$21=1,ROUND($Z$21,0),"")</f>
      </c>
      <c r="I15" s="23">
        <f>IF($AA$22=1,ROUND($Z$22,0),"")</f>
      </c>
      <c r="J15" s="23"/>
      <c r="K15" s="23"/>
      <c r="L15" s="23"/>
      <c r="M15" s="23"/>
      <c r="N15" s="23">
        <f>IF($AA$22=1,"---","")</f>
      </c>
      <c r="O15" s="23">
        <v>16</v>
      </c>
      <c r="P15" t="s">
        <v>147</v>
      </c>
      <c r="R15" s="24" t="s">
        <v>149</v>
      </c>
      <c r="S15">
        <f>SUM(S3:S14)</f>
      </c>
    </row>
    <row r="16" spans="1:16" x14ac:dyDescent="0.25">
      <c r="A16" t="s">
        <v>148</v>
      </c>
      <c r="B16" s="23">
        <v>17</v>
      </c>
      <c r="C16" s="23">
        <f>IF($AA$21=1,"---","")</f>
      </c>
      <c r="D16" s="23"/>
      <c r="E16" s="23"/>
      <c r="F16" s="23"/>
      <c r="G16" s="23"/>
      <c r="H16" s="23"/>
      <c r="I16" s="23"/>
      <c r="J16" s="23">
        <f>IF($AA$21=1,ROUND($Z$21,0),"")</f>
      </c>
      <c r="K16" s="23">
        <f>IF($AA$22=1,ROUND($Z$22,0),"")</f>
      </c>
      <c r="L16" s="23"/>
      <c r="M16" s="23"/>
      <c r="N16" s="23">
        <f>IF($AA$22=1,"---","")</f>
      </c>
      <c r="O16" s="23">
        <v>18</v>
      </c>
      <c r="P16" t="s">
        <v>148</v>
      </c>
    </row>
    <row r="17" spans="1:27" x14ac:dyDescent="0.25">
      <c r="A17" t="s">
        <v>146</v>
      </c>
      <c r="B17" s="23">
        <v>19</v>
      </c>
      <c r="C17" s="23">
        <f>IF($AA$23=1,$X$23,"")</f>
      </c>
      <c r="D17" s="23">
        <f>IF($AA$23=1,$Y$23,"")</f>
      </c>
      <c r="E17" s="23">
        <f>IF($AA$23=1,3,"")</f>
      </c>
      <c r="F17" s="23">
        <f>IF($AA$23=1,ROUND($Z$23,0),"")</f>
      </c>
      <c r="G17" s="23">
        <f>IF($AA$24=1,ROUND($Z$24,0),"")</f>
      </c>
      <c r="H17" s="23"/>
      <c r="I17" s="23"/>
      <c r="J17" s="23"/>
      <c r="K17" s="23"/>
      <c r="L17" s="23">
        <f>IF($AA$24=1,3,"")</f>
      </c>
      <c r="M17" s="23">
        <f>IF($AA$24=1,$Y$24,"")</f>
      </c>
      <c r="N17" s="23">
        <f>IF($AA$24=1,$X$24,"")</f>
      </c>
      <c r="O17" s="23">
        <v>20</v>
      </c>
      <c r="P17" t="s">
        <v>146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147</v>
      </c>
      <c r="B18" s="23">
        <v>21</v>
      </c>
      <c r="C18" s="23">
        <f>IF($AA$23=1,"---","")</f>
      </c>
      <c r="D18" s="23"/>
      <c r="E18" s="23"/>
      <c r="F18" s="23"/>
      <c r="G18" s="23"/>
      <c r="H18" s="23">
        <f>IF($AA$23=1,ROUND($Z$23,0),"")</f>
      </c>
      <c r="I18" s="23">
        <f>IF($AA$24=1,ROUND($Z$24,0),"")</f>
      </c>
      <c r="J18" s="23"/>
      <c r="K18" s="23"/>
      <c r="L18" s="23"/>
      <c r="M18" s="23"/>
      <c r="N18" s="23">
        <f>IF($AA$24=1,"---","")</f>
      </c>
      <c r="O18" s="23">
        <v>22</v>
      </c>
      <c r="P18" t="s">
        <v>147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148</v>
      </c>
      <c r="B19" s="23">
        <v>23</v>
      </c>
      <c r="C19" s="23">
        <f>IF($AA$23=1,"---","")</f>
      </c>
      <c r="D19" s="23"/>
      <c r="E19" s="23"/>
      <c r="F19" s="23"/>
      <c r="G19" s="23"/>
      <c r="H19" s="23"/>
      <c r="I19" s="23"/>
      <c r="J19" s="23">
        <f>IF($AA$23=1,ROUND($Z$23,0),"")</f>
      </c>
      <c r="K19" s="23">
        <f>IF($AA$24=1,ROUND($Z$24,0),"")</f>
      </c>
      <c r="L19" s="23"/>
      <c r="M19" s="23"/>
      <c r="N19" s="23">
        <f>IF($AA$24=1,"---","")</f>
      </c>
      <c r="O19" s="23">
        <v>24</v>
      </c>
      <c r="P19" t="s">
        <v>148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146</v>
      </c>
      <c r="B20" s="23">
        <v>25</v>
      </c>
      <c r="C20" s="23">
        <f>IF($AA$25=1,$X$25,"")</f>
      </c>
      <c r="D20" s="23">
        <f>IF($AA$25=1,$Y$25,"")</f>
      </c>
      <c r="E20" s="23">
        <f>IF($AA$25=1,3,"")</f>
      </c>
      <c r="F20" s="23">
        <f>IF($AA$25=1,ROUND($Z$25,0),"")</f>
      </c>
      <c r="G20" s="23">
        <f>IF($AA$26=1,ROUND($Z$26,0),"")</f>
      </c>
      <c r="H20" s="23"/>
      <c r="I20" s="23"/>
      <c r="J20" s="23"/>
      <c r="K20" s="23"/>
      <c r="L20" s="23">
        <f>IF($AA$26=1,3,"")</f>
      </c>
      <c r="M20" s="23">
        <f>IF($AA$26=1,$Y$26,"")</f>
      </c>
      <c r="N20" s="23">
        <f>IF($AA$26=1,$X$26,"")</f>
      </c>
      <c r="O20" s="23">
        <v>26</v>
      </c>
      <c r="P20" t="s">
        <v>146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147</v>
      </c>
      <c r="B21" s="23">
        <v>27</v>
      </c>
      <c r="C21" s="23">
        <f>IF($AA$25=1,"---","")</f>
      </c>
      <c r="D21" s="23"/>
      <c r="E21" s="23"/>
      <c r="F21" s="23"/>
      <c r="G21" s="23"/>
      <c r="H21" s="23">
        <f>IF($AA$25=1,ROUND($Z$25,0),"")</f>
      </c>
      <c r="I21" s="23">
        <f>IF($AA$26=1,ROUND($Z$26,0),"")</f>
      </c>
      <c r="J21" s="23"/>
      <c r="K21" s="23"/>
      <c r="L21" s="23"/>
      <c r="M21" s="23"/>
      <c r="N21" s="23">
        <f>IF($AA$26=1,"---","")</f>
      </c>
      <c r="O21" s="23">
        <v>28</v>
      </c>
      <c r="P21" t="s">
        <v>147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148</v>
      </c>
      <c r="B22" s="23">
        <v>29</v>
      </c>
      <c r="C22" s="23">
        <f>IF($AA$25=1,"---","")</f>
      </c>
      <c r="D22" s="23"/>
      <c r="E22" s="23"/>
      <c r="F22" s="23"/>
      <c r="G22" s="23"/>
      <c r="H22" s="23"/>
      <c r="I22" s="23"/>
      <c r="J22" s="23">
        <f>IF($AA$25=1,ROUND($Z$25,0),"")</f>
      </c>
      <c r="K22" s="23">
        <f>IF($AA$26=1,ROUND($Z$26,0),"")</f>
      </c>
      <c r="L22" s="23"/>
      <c r="M22" s="23"/>
      <c r="N22" s="23">
        <f>IF($AA$26=1,"---","")</f>
      </c>
      <c r="O22" s="23">
        <v>30</v>
      </c>
      <c r="P22" t="s">
        <v>148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146</v>
      </c>
      <c r="B23" s="23">
        <v>31</v>
      </c>
      <c r="C23" s="23">
        <f>IF($AA$27=1,$X$27,"")</f>
      </c>
      <c r="D23" s="23">
        <f>IF($AA$27=1,$Y$27,"")</f>
      </c>
      <c r="E23" s="23">
        <f>IF($AA$27=1,3,"")</f>
      </c>
      <c r="F23" s="23">
        <f>IF($AA$27=1,ROUND($Z$27,0),"")</f>
      </c>
      <c r="G23" s="23">
        <f>IF($AA$28=1,ROUND($Z$28,0),"")</f>
      </c>
      <c r="H23" s="23"/>
      <c r="I23" s="23"/>
      <c r="J23" s="23"/>
      <c r="K23" s="23"/>
      <c r="L23" s="23">
        <f>IF($AA$28=1,3,"")</f>
      </c>
      <c r="M23" s="23">
        <f>IF($AA$28=1,$Y$28,"")</f>
      </c>
      <c r="N23" s="23">
        <f>IF($AA$28=1,$X$28,"")</f>
      </c>
      <c r="O23" s="23">
        <v>32</v>
      </c>
      <c r="P23" t="s">
        <v>146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147</v>
      </c>
      <c r="B24" s="23">
        <v>33</v>
      </c>
      <c r="C24" s="23">
        <f>IF($AA$27=1,"---","")</f>
      </c>
      <c r="D24" s="23"/>
      <c r="E24" s="23"/>
      <c r="F24" s="23"/>
      <c r="G24" s="23"/>
      <c r="H24" s="23">
        <f>IF($AA$27=1,ROUND($Z$27,0),"")</f>
      </c>
      <c r="I24" s="23">
        <f>IF($AA$28=1,ROUND($Z$28,0),"")</f>
      </c>
      <c r="J24" s="23"/>
      <c r="K24" s="23"/>
      <c r="L24" s="23"/>
      <c r="M24" s="23"/>
      <c r="N24" s="23">
        <f>IF($AA$28=1,"---","")</f>
      </c>
      <c r="O24" s="23">
        <v>34</v>
      </c>
      <c r="P24" t="s">
        <v>147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148</v>
      </c>
      <c r="B25" s="23">
        <v>35</v>
      </c>
      <c r="C25" s="23">
        <f>IF($AA$27=1,"---","")</f>
      </c>
      <c r="D25" s="23"/>
      <c r="E25" s="23"/>
      <c r="F25" s="23"/>
      <c r="G25" s="23"/>
      <c r="H25" s="23"/>
      <c r="I25" s="23"/>
      <c r="J25" s="23">
        <f>IF($AA$27=1,ROUND($Z$27,0),"")</f>
      </c>
      <c r="K25" s="23">
        <f>IF($AA$28=1,ROUND($Z$28,0),"")</f>
      </c>
      <c r="L25" s="23"/>
      <c r="M25" s="23"/>
      <c r="N25" s="23">
        <f>IF($AA$28=1,"---","")</f>
      </c>
      <c r="O25" s="23">
        <v>36</v>
      </c>
      <c r="P25" t="s">
        <v>148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146</v>
      </c>
      <c r="B26" s="23">
        <v>37</v>
      </c>
      <c r="C26" s="23">
        <f>IF($AA$29=1,$X$29,"")</f>
      </c>
      <c r="D26" s="23">
        <f>IF($AA$29=1,$Y$29,"")</f>
      </c>
      <c r="E26" s="23">
        <f>IF($AA$29=1,3,"")</f>
      </c>
      <c r="F26" s="23">
        <f>IF($AA$29=1,ROUND($Z$29,0),"")</f>
      </c>
      <c r="G26" s="23">
        <f>IF($AA$30=1,ROUND($Z$30,0),"")</f>
      </c>
      <c r="H26" s="23"/>
      <c r="I26" s="23"/>
      <c r="J26" s="23"/>
      <c r="K26" s="23"/>
      <c r="L26" s="23">
        <f>IF($AA$30=1,3,"")</f>
      </c>
      <c r="M26" s="23">
        <f>IF($AA$30=1,$Y$30,"")</f>
      </c>
      <c r="N26" s="23">
        <f>IF($AA$30=1,$X$30,"")</f>
      </c>
      <c r="O26" s="23">
        <v>38</v>
      </c>
      <c r="P26" t="s">
        <v>146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147</v>
      </c>
      <c r="B27" s="23">
        <v>39</v>
      </c>
      <c r="C27" s="23">
        <f>IF($AA$29=1,"---","")</f>
      </c>
      <c r="D27" s="23"/>
      <c r="E27" s="23"/>
      <c r="F27" s="23"/>
      <c r="G27" s="23"/>
      <c r="H27" s="23">
        <f>IF($AA$29=1,ROUND($Z$29,0),"")</f>
      </c>
      <c r="I27" s="23">
        <f>IF($AA$30=1,ROUND($Z$30,0),"")</f>
      </c>
      <c r="J27" s="23"/>
      <c r="K27" s="23"/>
      <c r="L27" s="23"/>
      <c r="M27" s="23"/>
      <c r="N27" s="23">
        <f>IF($AA$30=1,"---","")</f>
      </c>
      <c r="O27" s="23">
        <v>40</v>
      </c>
      <c r="P27" t="s">
        <v>147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148</v>
      </c>
      <c r="B28" s="23">
        <v>41</v>
      </c>
      <c r="C28" s="23">
        <f>IF($AA$29=1,"---","")</f>
      </c>
      <c r="D28" s="23"/>
      <c r="E28" s="23"/>
      <c r="F28" s="23"/>
      <c r="G28" s="23"/>
      <c r="H28" s="23"/>
      <c r="I28" s="23"/>
      <c r="J28" s="23">
        <f>IF($AA$29=1,ROUND($Z$29,0),"")</f>
      </c>
      <c r="K28" s="23">
        <f>IF($AA$30=1,ROUND($Z$30,0),"")</f>
      </c>
      <c r="L28" s="23"/>
      <c r="M28" s="23"/>
      <c r="N28" s="23">
        <f>IF($AA$30=1,"---","")</f>
      </c>
      <c r="O28" s="23">
        <v>42</v>
      </c>
      <c r="P28" t="s">
        <v>148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146</v>
      </c>
      <c r="B29" s="23">
        <v>43</v>
      </c>
      <c r="C29" s="23">
        <f>IF($AA$31=1,$X$31,"")</f>
      </c>
      <c r="D29" s="23">
        <f>IF($AA$31=1,$Y$31,"")</f>
      </c>
      <c r="E29" s="23">
        <f>IF($AA$31=1,3,"")</f>
      </c>
      <c r="F29" s="23">
        <f>IF($AA$31=1,ROUND($Z$31,0),"")</f>
      </c>
      <c r="G29" s="23">
        <f>IF($AA$32=1,ROUND($Z$32,0),"")</f>
      </c>
      <c r="H29" s="23"/>
      <c r="I29" s="23"/>
      <c r="J29" s="23"/>
      <c r="K29" s="23"/>
      <c r="L29" s="23">
        <f>IF($AA$32=1,3,"")</f>
      </c>
      <c r="M29" s="23">
        <f>IF($AA$32=1,$Y$32,"")</f>
      </c>
      <c r="N29" s="23">
        <f>IF($AA$32=1,$X$32,"")</f>
      </c>
      <c r="O29" s="23">
        <v>44</v>
      </c>
      <c r="P29" t="s">
        <v>146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147</v>
      </c>
      <c r="B30" s="23">
        <v>45</v>
      </c>
      <c r="C30" s="23">
        <f>IF($AA$31=1,"---","")</f>
      </c>
      <c r="D30" s="23"/>
      <c r="E30" s="23"/>
      <c r="F30" s="23"/>
      <c r="G30" s="23"/>
      <c r="H30" s="23">
        <f>IF($AA$31=1,ROUND($Z$31,0),"")</f>
      </c>
      <c r="I30" s="23">
        <f>IF($AA$32=1,ROUND($Z$32,0),"")</f>
      </c>
      <c r="J30" s="23"/>
      <c r="K30" s="23"/>
      <c r="L30" s="23"/>
      <c r="M30" s="23"/>
      <c r="N30" s="23">
        <f>IF($AA$32=1,"---","")</f>
      </c>
      <c r="O30" s="23">
        <v>46</v>
      </c>
      <c r="P30" t="s">
        <v>147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148</v>
      </c>
      <c r="B31" s="23">
        <v>47</v>
      </c>
      <c r="C31" s="23">
        <f>IF($AA$31=1,"---","")</f>
      </c>
      <c r="D31" s="23"/>
      <c r="E31" s="23"/>
      <c r="F31" s="23"/>
      <c r="G31" s="23"/>
      <c r="H31" s="23"/>
      <c r="I31" s="23"/>
      <c r="J31" s="23">
        <f>IF($AA$31=1,ROUND($Z$31,0),"")</f>
      </c>
      <c r="K31" s="23">
        <f>IF($AA$32=1,ROUND($Z$32,0),"")</f>
      </c>
      <c r="L31" s="23"/>
      <c r="M31" s="23"/>
      <c r="N31" s="23">
        <f>IF($AA$32=1,"---","")</f>
      </c>
      <c r="O31" s="23">
        <v>48</v>
      </c>
      <c r="P31" t="s">
        <v>148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150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151</v>
      </c>
      <c r="M33" s="21"/>
      <c r="N33" s="25">
        <f>F33+H33+J33</f>
      </c>
    </row>
    <row r="34" spans="3:14" x14ac:dyDescent="0.25">
      <c r="C34" t="s">
        <v>152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153</v>
      </c>
      <c r="M34" s="21"/>
      <c r="N34" s="25">
        <f>N33*1.25</f>
      </c>
    </row>
    <row r="35" spans="3:14" x14ac:dyDescent="0.25">
      <c r="C35" t="s">
        <v>154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155</v>
      </c>
      <c r="M35" s="21"/>
      <c r="N35" s="26">
        <f>N34/(480*SQRT(3))</f>
      </c>
    </row>
    <row r="36" spans="3:14" x14ac:dyDescent="0.25">
      <c r="C36" t="s">
        <v>156</v>
      </c>
      <c r="F36" s="26">
        <f>F35/(480/SQRT(3))</f>
      </c>
      <c r="G36" s="26"/>
      <c r="H36" s="26">
        <f>H35/(480/SQRT(3))</f>
      </c>
      <c r="I36" s="26"/>
      <c r="J36" s="26">
        <f>J35/(480/SQRT(3))</f>
      </c>
      <c r="K36" s="26"/>
      <c r="L36" s="21" t="s">
        <v>157</v>
      </c>
      <c r="M36" s="21"/>
      <c r="N36">
        <f>SgSuggested</f>
      </c>
    </row>
    <row r="38" spans="2:2" x14ac:dyDescent="0.25">
      <c r="B38" s="27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123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124</v>
      </c>
    </row>
    <row r="3" spans="2:20" x14ac:dyDescent="0.25">
      <c r="B3" s="21" t="s">
        <v>125</v>
      </c>
      <c r="C3" t="s">
        <v>158</v>
      </c>
      <c r="D3" s="21" t="s">
        <v>127</v>
      </c>
      <c r="E3" t="s">
        <v>128</v>
      </c>
      <c r="H3" s="21" t="s">
        <v>129</v>
      </c>
      <c r="I3" t="s">
        <v>159</v>
      </c>
      <c r="M3" s="21" t="s">
        <v>131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1" t="s">
        <v>132</v>
      </c>
      <c r="E4">
        <f>IF(TxKvaSuggested&gt;0,"EV_MAIN VIA "&amp;TxKvaSuggested&amp;" KVA XFMR","UTILITY")</f>
      </c>
      <c r="H4" s="21" t="s">
        <v>133</v>
      </c>
      <c r="I4" t="s">
        <v>134</v>
      </c>
      <c r="M4" s="21" t="s">
        <v>135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1" t="s">
        <v>136</v>
      </c>
      <c r="E5" t="s">
        <v>137</v>
      </c>
      <c r="H5" s="21" t="s">
        <v>138</v>
      </c>
      <c r="I5" t="s">
        <v>139</v>
      </c>
      <c r="M5" s="21" t="s">
        <v>140</v>
      </c>
      <c r="N5" t="s">
        <v>160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2" t="s">
        <v>142</v>
      </c>
      <c r="C7" s="22" t="s">
        <v>143</v>
      </c>
      <c r="D7" s="22" t="s">
        <v>144</v>
      </c>
      <c r="E7" s="22" t="s">
        <v>145</v>
      </c>
      <c r="F7" s="22" t="s">
        <v>146</v>
      </c>
      <c r="G7" s="22"/>
      <c r="H7" s="22" t="s">
        <v>147</v>
      </c>
      <c r="I7" s="22"/>
      <c r="J7" s="22" t="s">
        <v>148</v>
      </c>
      <c r="K7" s="22"/>
      <c r="L7" s="22" t="s">
        <v>145</v>
      </c>
      <c r="M7" s="22" t="s">
        <v>144</v>
      </c>
      <c r="N7" s="22" t="s">
        <v>143</v>
      </c>
      <c r="O7" s="22" t="s">
        <v>142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146</v>
      </c>
      <c r="B8" s="23">
        <v>1</v>
      </c>
      <c r="C8" s="23">
        <f>IF($AA$17=1,$X$17,"")</f>
      </c>
      <c r="D8" s="23">
        <f>IF($AA$17=1,$Y$17,"")</f>
      </c>
      <c r="E8" s="23">
        <f>IF($AA$17=1,2,"")</f>
      </c>
      <c r="F8" s="23">
        <f>IF($AA$17=1,ROUND($Z$17,0),"")</f>
      </c>
      <c r="G8" s="23">
        <f>IF($AA$18=1,ROUND($Z$18,0),"")</f>
      </c>
      <c r="H8" s="23"/>
      <c r="I8" s="23"/>
      <c r="J8" s="23"/>
      <c r="K8" s="23"/>
      <c r="L8" s="23">
        <f>IF($AA$18=1,2,"")</f>
      </c>
      <c r="M8" s="23">
        <f>IF($AA$18=1,$Y$18,"")</f>
      </c>
      <c r="N8" s="23">
        <f>IF($AA$18=1,$X$18,"")</f>
      </c>
      <c r="O8" s="23">
        <v>2</v>
      </c>
      <c r="P8" t="s">
        <v>146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147</v>
      </c>
      <c r="B9" s="23">
        <v>3</v>
      </c>
      <c r="C9" s="23">
        <f>IF($AA$17=1,"---","")</f>
      </c>
      <c r="D9" s="23"/>
      <c r="E9" s="23"/>
      <c r="F9" s="23"/>
      <c r="G9" s="23"/>
      <c r="H9" s="23">
        <f>IF($AA$17=1,ROUND($Z$17,0),"")</f>
      </c>
      <c r="I9" s="23">
        <f>IF($AA$18=1,ROUND($Z$18,0),"")</f>
      </c>
      <c r="J9" s="23"/>
      <c r="K9" s="23"/>
      <c r="L9" s="23"/>
      <c r="M9" s="23"/>
      <c r="N9" s="23">
        <f>IF($AA$18=1,"---","")</f>
      </c>
      <c r="O9" s="23">
        <v>4</v>
      </c>
      <c r="P9" t="s">
        <v>147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148</v>
      </c>
      <c r="B10" s="23">
        <v>5</v>
      </c>
      <c r="C10" s="23">
        <f>IF($AA$19=1,$X$19,"")</f>
      </c>
      <c r="D10" s="23">
        <f>IF($AA$19=1,$Y$19,"")</f>
      </c>
      <c r="E10" s="23">
        <f>IF($AA$19=1,2,"")</f>
      </c>
      <c r="F10" s="23"/>
      <c r="G10" s="23"/>
      <c r="H10" s="23"/>
      <c r="I10" s="23"/>
      <c r="J10" s="23">
        <f>IF($AA$19=1,ROUND($Z$19,0),"")</f>
      </c>
      <c r="K10" s="23">
        <f>IF($AA$20=1,ROUND($Z$20,0),"")</f>
      </c>
      <c r="L10" s="23">
        <f>IF($AA$20=1,2,"")</f>
      </c>
      <c r="M10" s="23">
        <f>IF($AA$20=1,$Y$20,"")</f>
      </c>
      <c r="N10" s="23">
        <f>IF($AA$20=1,$X$20,"")</f>
      </c>
      <c r="O10" s="23">
        <v>6</v>
      </c>
      <c r="P10" t="s">
        <v>148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146</v>
      </c>
      <c r="B11" s="23">
        <v>7</v>
      </c>
      <c r="C11" s="23">
        <f>IF($AA$19=1,"---","")</f>
      </c>
      <c r="D11" s="23"/>
      <c r="E11" s="23"/>
      <c r="F11" s="23">
        <f>IF($AA$19=1,ROUND($Z$19,0),"")</f>
      </c>
      <c r="G11" s="23">
        <f>IF($AA$20=1,ROUND($Z$20,0),"")</f>
      </c>
      <c r="H11" s="23"/>
      <c r="I11" s="23"/>
      <c r="J11" s="23"/>
      <c r="K11" s="23"/>
      <c r="L11" s="23"/>
      <c r="M11" s="23"/>
      <c r="N11" s="23">
        <f>IF($AA$20=1,"---","")</f>
      </c>
      <c r="O11" s="23">
        <v>8</v>
      </c>
      <c r="P11" t="s">
        <v>146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147</v>
      </c>
      <c r="B12" s="23">
        <v>9</v>
      </c>
      <c r="C12" s="23">
        <f>IF($AA$21=1,$X$21,"")</f>
      </c>
      <c r="D12" s="23">
        <f>IF($AA$21=1,$Y$21,"")</f>
      </c>
      <c r="E12" s="23">
        <f>IF($AA$21=1,2,"")</f>
      </c>
      <c r="F12" s="23"/>
      <c r="G12" s="23"/>
      <c r="H12" s="23">
        <f>IF($AA$21=1,ROUND($Z$21,0),"")</f>
      </c>
      <c r="I12" s="23">
        <f>IF($AA$22=1,ROUND($Z$22,0),"")</f>
      </c>
      <c r="J12" s="23"/>
      <c r="K12" s="23"/>
      <c r="L12" s="23">
        <f>IF($AA$22=1,2,"")</f>
      </c>
      <c r="M12" s="23">
        <f>IF($AA$22=1,$Y$22,"")</f>
      </c>
      <c r="N12" s="23">
        <f>IF($AA$22=1,$X$22,"")</f>
      </c>
      <c r="O12" s="23">
        <v>10</v>
      </c>
      <c r="P12" t="s">
        <v>147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148</v>
      </c>
      <c r="B13" s="23">
        <v>11</v>
      </c>
      <c r="C13" s="23">
        <f>IF($AA$21=1,"---","")</f>
      </c>
      <c r="D13" s="23"/>
      <c r="E13" s="23"/>
      <c r="F13" s="23"/>
      <c r="G13" s="23"/>
      <c r="H13" s="23"/>
      <c r="I13" s="23"/>
      <c r="J13" s="23">
        <f>IF($AA$21=1,ROUND($Z$21,0),"")</f>
      </c>
      <c r="K13" s="23">
        <f>IF($AA$22=1,ROUND($Z$22,0),"")</f>
      </c>
      <c r="L13" s="23"/>
      <c r="M13" s="23"/>
      <c r="N13" s="23">
        <f>IF($AA$22=1,"---","")</f>
      </c>
      <c r="O13" s="23">
        <v>12</v>
      </c>
      <c r="P13" t="s">
        <v>148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146</v>
      </c>
      <c r="B14" s="23">
        <v>13</v>
      </c>
      <c r="C14" s="23">
        <f>IF($AA$23=1,$X$23,"")</f>
      </c>
      <c r="D14" s="23">
        <f>IF($AA$23=1,$Y$23,"")</f>
      </c>
      <c r="E14" s="23">
        <f>IF($AA$23=1,2,"")</f>
      </c>
      <c r="F14" s="23">
        <f>IF($AA$23=1,ROUND($Z$23,0),"")</f>
      </c>
      <c r="G14" s="23">
        <f>IF($AA$24=1,ROUND($Z$24,0),"")</f>
      </c>
      <c r="H14" s="23"/>
      <c r="I14" s="23"/>
      <c r="J14" s="23"/>
      <c r="K14" s="23"/>
      <c r="L14" s="23">
        <f>IF($AA$24=1,2,"")</f>
      </c>
      <c r="M14" s="23">
        <f>IF($AA$24=1,$Y$24,"")</f>
      </c>
      <c r="N14" s="23">
        <f>IF($AA$24=1,$X$24,"")</f>
      </c>
      <c r="O14" s="23">
        <v>14</v>
      </c>
      <c r="P14" t="s">
        <v>146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147</v>
      </c>
      <c r="B15" s="23">
        <v>15</v>
      </c>
      <c r="C15" s="23">
        <f>IF($AA$23=1,"---","")</f>
      </c>
      <c r="D15" s="23"/>
      <c r="E15" s="23"/>
      <c r="F15" s="23"/>
      <c r="G15" s="23"/>
      <c r="H15" s="23">
        <f>IF($AA$23=1,ROUND($Z$23,0),"")</f>
      </c>
      <c r="I15" s="23">
        <f>IF($AA$24=1,ROUND($Z$24,0),"")</f>
      </c>
      <c r="J15" s="23"/>
      <c r="K15" s="23"/>
      <c r="L15" s="23"/>
      <c r="M15" s="23"/>
      <c r="N15" s="23">
        <f>IF($AA$24=1,"---","")</f>
      </c>
      <c r="O15" s="23">
        <v>16</v>
      </c>
      <c r="P15" t="s">
        <v>147</v>
      </c>
      <c r="R15" s="24" t="s">
        <v>149</v>
      </c>
      <c r="S15">
        <f>SUM(S3:S14)</f>
      </c>
    </row>
    <row r="16" spans="1:16" x14ac:dyDescent="0.25">
      <c r="A16" t="s">
        <v>148</v>
      </c>
      <c r="B16" s="23">
        <v>17</v>
      </c>
      <c r="C16" s="23">
        <f>IF($AA$25=1,$X$25,"")</f>
      </c>
      <c r="D16" s="23">
        <f>IF($AA$25=1,$Y$25,"")</f>
      </c>
      <c r="E16" s="23">
        <f>IF($AA$25=1,2,"")</f>
      </c>
      <c r="F16" s="23"/>
      <c r="G16" s="23"/>
      <c r="H16" s="23"/>
      <c r="I16" s="23"/>
      <c r="J16" s="23">
        <f>IF($AA$25=1,ROUND($Z$25,0),"")</f>
      </c>
      <c r="K16" s="23">
        <f>IF($AA$26=1,ROUND($Z$26,0),"")</f>
      </c>
      <c r="L16" s="23">
        <f>IF($AA$26=1,2,"")</f>
      </c>
      <c r="M16" s="23">
        <f>IF($AA$26=1,$Y$26,"")</f>
      </c>
      <c r="N16" s="23">
        <f>IF($AA$26=1,$X$26,"")</f>
      </c>
      <c r="O16" s="23">
        <v>18</v>
      </c>
      <c r="P16" t="s">
        <v>148</v>
      </c>
    </row>
    <row r="17" spans="1:27" x14ac:dyDescent="0.25">
      <c r="A17" t="s">
        <v>146</v>
      </c>
      <c r="B17" s="23">
        <v>19</v>
      </c>
      <c r="C17" s="23">
        <f>IF($AA$25=1,"---","")</f>
      </c>
      <c r="D17" s="23"/>
      <c r="E17" s="23"/>
      <c r="F17" s="23">
        <f>IF($AA$25=1,ROUND($Z$25,0),"")</f>
      </c>
      <c r="G17" s="23">
        <f>IF($AA$26=1,ROUND($Z$26,0),"")</f>
      </c>
      <c r="H17" s="23"/>
      <c r="I17" s="23"/>
      <c r="J17" s="23"/>
      <c r="K17" s="23"/>
      <c r="L17" s="23"/>
      <c r="M17" s="23"/>
      <c r="N17" s="23">
        <f>IF($AA$26=1,"---","")</f>
      </c>
      <c r="O17" s="23">
        <v>20</v>
      </c>
      <c r="P17" t="s">
        <v>146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147</v>
      </c>
      <c r="B18" s="23">
        <v>21</v>
      </c>
      <c r="C18" s="23">
        <f>IF($AA$27=1,$X$27,"")</f>
      </c>
      <c r="D18" s="23">
        <f>IF($AA$27=1,$Y$27,"")</f>
      </c>
      <c r="E18" s="23">
        <f>IF($AA$27=1,2,"")</f>
      </c>
      <c r="F18" s="23"/>
      <c r="G18" s="23"/>
      <c r="H18" s="23">
        <f>IF($AA$27=1,ROUND($Z$27,0),"")</f>
      </c>
      <c r="I18" s="23">
        <f>IF($AA$28=1,ROUND($Z$28,0),"")</f>
      </c>
      <c r="J18" s="23"/>
      <c r="K18" s="23"/>
      <c r="L18" s="23">
        <f>IF($AA$28=1,2,"")</f>
      </c>
      <c r="M18" s="23">
        <f>IF($AA$28=1,$Y$28,"")</f>
      </c>
      <c r="N18" s="23">
        <f>IF($AA$28=1,$X$28,"")</f>
      </c>
      <c r="O18" s="23">
        <v>22</v>
      </c>
      <c r="P18" t="s">
        <v>147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148</v>
      </c>
      <c r="B19" s="23">
        <v>23</v>
      </c>
      <c r="C19" s="23">
        <f>IF($AA$27=1,"---","")</f>
      </c>
      <c r="D19" s="23"/>
      <c r="E19" s="23"/>
      <c r="F19" s="23"/>
      <c r="G19" s="23"/>
      <c r="H19" s="23"/>
      <c r="I19" s="23"/>
      <c r="J19" s="23">
        <f>IF($AA$27=1,ROUND($Z$27,0),"")</f>
      </c>
      <c r="K19" s="23">
        <f>IF($AA$28=1,ROUND($Z$28,0),"")</f>
      </c>
      <c r="L19" s="23"/>
      <c r="M19" s="23"/>
      <c r="N19" s="23">
        <f>IF($AA$28=1,"---","")</f>
      </c>
      <c r="O19" s="23">
        <v>24</v>
      </c>
      <c r="P19" t="s">
        <v>148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146</v>
      </c>
      <c r="B20" s="23">
        <v>25</v>
      </c>
      <c r="C20" s="23">
        <f>IF($AA$29=1,$X$29,"")</f>
      </c>
      <c r="D20" s="23">
        <f>IF($AA$29=1,$Y$29,"")</f>
      </c>
      <c r="E20" s="23">
        <f>IF($AA$29=1,2,"")</f>
      </c>
      <c r="F20" s="23">
        <f>IF($AA$29=1,ROUND($Z$29,0),"")</f>
      </c>
      <c r="G20" s="23">
        <f>IF($AA$30=1,ROUND($Z$30,0),"")</f>
      </c>
      <c r="H20" s="23"/>
      <c r="I20" s="23"/>
      <c r="J20" s="23"/>
      <c r="K20" s="23"/>
      <c r="L20" s="23">
        <f>IF($AA$30=1,2,"")</f>
      </c>
      <c r="M20" s="23">
        <f>IF($AA$30=1,$Y$30,"")</f>
      </c>
      <c r="N20" s="23">
        <f>IF($AA$30=1,$X$30,"")</f>
      </c>
      <c r="O20" s="23">
        <v>26</v>
      </c>
      <c r="P20" t="s">
        <v>146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147</v>
      </c>
      <c r="B21" s="23">
        <v>27</v>
      </c>
      <c r="C21" s="23">
        <f>IF($AA$29=1,"---","")</f>
      </c>
      <c r="D21" s="23"/>
      <c r="E21" s="23"/>
      <c r="F21" s="23"/>
      <c r="G21" s="23"/>
      <c r="H21" s="23">
        <f>IF($AA$29=1,ROUND($Z$29,0),"")</f>
      </c>
      <c r="I21" s="23">
        <f>IF($AA$30=1,ROUND($Z$30,0),"")</f>
      </c>
      <c r="J21" s="23"/>
      <c r="K21" s="23"/>
      <c r="L21" s="23"/>
      <c r="M21" s="23"/>
      <c r="N21" s="23">
        <f>IF($AA$30=1,"---","")</f>
      </c>
      <c r="O21" s="23">
        <v>28</v>
      </c>
      <c r="P21" t="s">
        <v>147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148</v>
      </c>
      <c r="B22" s="23">
        <v>29</v>
      </c>
      <c r="C22" s="23">
        <f>IF($AA$31=1,$X$31,"")</f>
      </c>
      <c r="D22" s="23">
        <f>IF($AA$31=1,$Y$31,"")</f>
      </c>
      <c r="E22" s="23">
        <f>IF($AA$31=1,2,"")</f>
      </c>
      <c r="F22" s="23"/>
      <c r="G22" s="23"/>
      <c r="H22" s="23"/>
      <c r="I22" s="23"/>
      <c r="J22" s="23">
        <f>IF($AA$31=1,ROUND($Z$31,0),"")</f>
      </c>
      <c r="K22" s="23">
        <f>IF($AA$32=1,ROUND($Z$32,0),"")</f>
      </c>
      <c r="L22" s="23">
        <f>IF($AA$32=1,2,"")</f>
      </c>
      <c r="M22" s="23">
        <f>IF($AA$32=1,$Y$32,"")</f>
      </c>
      <c r="N22" s="23">
        <f>IF($AA$32=1,$X$32,"")</f>
      </c>
      <c r="O22" s="23">
        <v>30</v>
      </c>
      <c r="P22" t="s">
        <v>148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146</v>
      </c>
      <c r="B23" s="23">
        <v>31</v>
      </c>
      <c r="C23" s="23">
        <f>IF($AA$31=1,"---","")</f>
      </c>
      <c r="D23" s="23"/>
      <c r="E23" s="23"/>
      <c r="F23" s="23">
        <f>IF($AA$31=1,ROUND($Z$31,0),"")</f>
      </c>
      <c r="G23" s="23">
        <f>IF($AA$32=1,ROUND($Z$32,0),"")</f>
      </c>
      <c r="H23" s="23"/>
      <c r="I23" s="23"/>
      <c r="J23" s="23"/>
      <c r="K23" s="23"/>
      <c r="L23" s="23"/>
      <c r="M23" s="23"/>
      <c r="N23" s="23">
        <f>IF($AA$32=1,"---","")</f>
      </c>
      <c r="O23" s="23">
        <v>32</v>
      </c>
      <c r="P23" t="s">
        <v>146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147</v>
      </c>
      <c r="B24" s="23">
        <v>33</v>
      </c>
      <c r="C24" s="23">
        <f>IF($AA$33=1,$X$33,"")</f>
      </c>
      <c r="D24" s="23">
        <f>IF($AA$33=1,$Y$33,"")</f>
      </c>
      <c r="E24" s="23">
        <f>IF($AA$33=1,2,"")</f>
      </c>
      <c r="F24" s="23"/>
      <c r="G24" s="23"/>
      <c r="H24" s="23">
        <f>IF($AA$33=1,ROUND($Z$33,0),"")</f>
      </c>
      <c r="I24" s="23">
        <f>IF($AA$34=1,ROUND($Z$34,0),"")</f>
      </c>
      <c r="J24" s="23"/>
      <c r="K24" s="23"/>
      <c r="L24" s="23">
        <f>IF($AA$34=1,2,"")</f>
      </c>
      <c r="M24" s="23">
        <f>IF($AA$34=1,$Y$34,"")</f>
      </c>
      <c r="N24" s="23">
        <f>IF($AA$34=1,$X$34,"")</f>
      </c>
      <c r="O24" s="23">
        <v>34</v>
      </c>
      <c r="P24" t="s">
        <v>147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148</v>
      </c>
      <c r="B25" s="23">
        <v>35</v>
      </c>
      <c r="C25" s="23">
        <f>IF($AA$33=1,"---","")</f>
      </c>
      <c r="D25" s="23"/>
      <c r="E25" s="23"/>
      <c r="F25" s="23"/>
      <c r="G25" s="23"/>
      <c r="H25" s="23"/>
      <c r="I25" s="23"/>
      <c r="J25" s="23">
        <f>IF($AA$33=1,ROUND($Z$33,0),"")</f>
      </c>
      <c r="K25" s="23">
        <f>IF($AA$34=1,ROUND($Z$34,0),"")</f>
      </c>
      <c r="L25" s="23"/>
      <c r="M25" s="23"/>
      <c r="N25" s="23">
        <f>IF($AA$34=1,"---","")</f>
      </c>
      <c r="O25" s="23">
        <v>36</v>
      </c>
      <c r="P25" t="s">
        <v>148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146</v>
      </c>
      <c r="B26" s="23">
        <v>37</v>
      </c>
      <c r="C26" s="23">
        <f>IF($AA$35=1,$X$35,"")</f>
      </c>
      <c r="D26" s="23">
        <f>IF($AA$35=1,$Y$35,"")</f>
      </c>
      <c r="E26" s="23">
        <f>IF($AA$35=1,2,"")</f>
      </c>
      <c r="F26" s="23">
        <f>IF($AA$35=1,ROUND($Z$35,0),"")</f>
      </c>
      <c r="G26" s="23">
        <f>IF($AA$36=1,ROUND($Z$36,0),"")</f>
      </c>
      <c r="H26" s="23"/>
      <c r="I26" s="23"/>
      <c r="J26" s="23"/>
      <c r="K26" s="23"/>
      <c r="L26" s="23">
        <f>IF($AA$36=1,2,"")</f>
      </c>
      <c r="M26" s="23">
        <f>IF($AA$36=1,$Y$36,"")</f>
      </c>
      <c r="N26" s="23">
        <f>IF($AA$36=1,$X$36,"")</f>
      </c>
      <c r="O26" s="23">
        <v>38</v>
      </c>
      <c r="P26" t="s">
        <v>146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147</v>
      </c>
      <c r="B27" s="23">
        <v>39</v>
      </c>
      <c r="C27" s="23">
        <f>IF($AA$35=1,"---","")</f>
      </c>
      <c r="D27" s="23"/>
      <c r="E27" s="23"/>
      <c r="F27" s="23"/>
      <c r="G27" s="23"/>
      <c r="H27" s="23">
        <f>IF($AA$35=1,ROUND($Z$35,0),"")</f>
      </c>
      <c r="I27" s="23">
        <f>IF($AA$36=1,ROUND($Z$36,0),"")</f>
      </c>
      <c r="J27" s="23"/>
      <c r="K27" s="23"/>
      <c r="L27" s="23"/>
      <c r="M27" s="23"/>
      <c r="N27" s="23">
        <f>IF($AA$36=1,"---","")</f>
      </c>
      <c r="O27" s="23">
        <v>40</v>
      </c>
      <c r="P27" t="s">
        <v>147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148</v>
      </c>
      <c r="B28" s="23">
        <v>41</v>
      </c>
      <c r="C28" s="23">
        <f>IF($AA$37=1,$X$37,"")</f>
      </c>
      <c r="D28" s="23">
        <f>IF($AA$37=1,$Y$37,"")</f>
      </c>
      <c r="E28" s="23">
        <f>IF($AA$37=1,2,"")</f>
      </c>
      <c r="F28" s="23"/>
      <c r="G28" s="23"/>
      <c r="H28" s="23"/>
      <c r="I28" s="23"/>
      <c r="J28" s="23">
        <f>IF($AA$37=1,ROUND($Z$37,0),"")</f>
      </c>
      <c r="K28" s="23">
        <f>IF($AA$38=1,ROUND($Z$38,0),"")</f>
      </c>
      <c r="L28" s="23">
        <f>IF($AA$38=1,2,"")</f>
      </c>
      <c r="M28" s="23">
        <f>IF($AA$38=1,$Y$38,"")</f>
      </c>
      <c r="N28" s="23">
        <f>IF($AA$38=1,$X$38,"")</f>
      </c>
      <c r="O28" s="23">
        <v>42</v>
      </c>
      <c r="P28" t="s">
        <v>148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146</v>
      </c>
      <c r="B29" s="23">
        <v>43</v>
      </c>
      <c r="C29" s="23">
        <f>IF($AA$37=1,"---","")</f>
      </c>
      <c r="D29" s="23"/>
      <c r="E29" s="23"/>
      <c r="F29" s="23">
        <f>IF($AA$37=1,ROUND($Z$37,0),"")</f>
      </c>
      <c r="G29" s="23">
        <f>IF($AA$38=1,ROUND($Z$38,0),"")</f>
      </c>
      <c r="H29" s="23"/>
      <c r="I29" s="23"/>
      <c r="J29" s="23"/>
      <c r="K29" s="23"/>
      <c r="L29" s="23"/>
      <c r="M29" s="23"/>
      <c r="N29" s="23">
        <f>IF($AA$38=1,"---","")</f>
      </c>
      <c r="O29" s="23">
        <v>44</v>
      </c>
      <c r="P29" t="s">
        <v>146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147</v>
      </c>
      <c r="B30" s="23">
        <v>45</v>
      </c>
      <c r="C30" s="23">
        <f>IF($AA$39=1,$X$39,"")</f>
      </c>
      <c r="D30" s="23">
        <f>IF($AA$39=1,$Y$39,"")</f>
      </c>
      <c r="E30" s="23">
        <f>IF($AA$39=1,2,"")</f>
      </c>
      <c r="F30" s="23"/>
      <c r="G30" s="23"/>
      <c r="H30" s="23">
        <f>IF($AA$39=1,ROUND($Z$39,0),"")</f>
      </c>
      <c r="I30" s="23">
        <f>IF($AA$40=1,ROUND($Z$40,0),"")</f>
      </c>
      <c r="J30" s="23"/>
      <c r="K30" s="23"/>
      <c r="L30" s="23">
        <f>IF($AA$40=1,2,"")</f>
      </c>
      <c r="M30" s="23">
        <f>IF($AA$40=1,$Y$40,"")</f>
      </c>
      <c r="N30" s="23">
        <f>IF($AA$40=1,$X$40,"")</f>
      </c>
      <c r="O30" s="23">
        <v>46</v>
      </c>
      <c r="P30" t="s">
        <v>147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148</v>
      </c>
      <c r="B31" s="23">
        <v>47</v>
      </c>
      <c r="C31" s="23">
        <f>IF($AA$39=1,"---","")</f>
      </c>
      <c r="D31" s="23"/>
      <c r="E31" s="23"/>
      <c r="F31" s="23"/>
      <c r="G31" s="23"/>
      <c r="H31" s="23"/>
      <c r="I31" s="23"/>
      <c r="J31" s="23">
        <f>IF($AA$39=1,ROUND($Z$39,0),"")</f>
      </c>
      <c r="K31" s="23">
        <f>IF($AA$40=1,ROUND($Z$40,0),"")</f>
      </c>
      <c r="L31" s="23"/>
      <c r="M31" s="23"/>
      <c r="N31" s="23">
        <f>IF($AA$40=1,"---","")</f>
      </c>
      <c r="O31" s="23">
        <v>48</v>
      </c>
      <c r="P31" t="s">
        <v>148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150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151</v>
      </c>
      <c r="M33" s="21"/>
      <c r="N33" s="25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152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153</v>
      </c>
      <c r="M34" s="21"/>
      <c r="N34" s="25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154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155</v>
      </c>
      <c r="M35" s="21"/>
      <c r="N35" s="26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156</v>
      </c>
      <c r="F36" s="26">
        <f>F35/120</f>
      </c>
      <c r="G36" s="26"/>
      <c r="H36" s="26">
        <f>H35/120</f>
      </c>
      <c r="I36" s="26"/>
      <c r="J36" s="26">
        <f>J35/120</f>
      </c>
      <c r="K36" s="26"/>
      <c r="L36" s="21" t="s">
        <v>157</v>
      </c>
      <c r="M36" s="21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27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161</v>
      </c>
    </row>
    <row r="2" spans="1:1" x14ac:dyDescent="0.25">
      <c r="A2" s="2" t="s">
        <v>162</v>
      </c>
    </row>
    <row r="4" spans="1:2" x14ac:dyDescent="0.25">
      <c r="A4" s="4" t="s">
        <v>163</v>
      </c>
      <c r="B4">
        <f>LaborDays</f>
      </c>
    </row>
    <row r="6" spans="1:2" x14ac:dyDescent="0.25">
      <c r="A6" s="28" t="s">
        <v>164</v>
      </c>
      <c r="B6" s="29"/>
    </row>
    <row r="7" spans="1:2" x14ac:dyDescent="0.25">
      <c r="A7" t="s">
        <v>165</v>
      </c>
      <c r="B7" s="9">
        <f>WireTotal+SUM(Intake!E23:E34)</f>
      </c>
    </row>
    <row r="8" spans="1:2" x14ac:dyDescent="0.25">
      <c r="A8" t="s">
        <v>166</v>
      </c>
      <c r="B8" s="9">
        <f>GearTotal</f>
      </c>
    </row>
    <row r="9" spans="1:2" x14ac:dyDescent="0.25">
      <c r="A9" t="s">
        <v>167</v>
      </c>
      <c r="B9" s="9">
        <f>TrenchFt*TrenchRate*VLOOKUP(Terrain,TerrainTable,2,FALSE)</f>
      </c>
    </row>
    <row r="10" spans="1:2" x14ac:dyDescent="0.25">
      <c r="A10" t="s">
        <v>168</v>
      </c>
      <c r="B10" s="9">
        <f>IF(InstallMethod="Trenched",0,(ROUNDUP(RouteFt/10,0)+1)*EmtRackCost+ROUNDUP((SUMPRODUCT(Intake!$D$53:$D$64,Intake!$F$53:$F$64)+IF(InstallMethod="Surface EMT",SUMPRODUCT(Intake!$D$65:$D$67,Intake!$F$65:$F$67),0))/10,0)*EmtStrapCost)</f>
      </c>
    </row>
    <row r="11" spans="1:2" x14ac:dyDescent="0.25">
      <c r="A11" t="s">
        <v>169</v>
      </c>
      <c r="B11" s="9">
        <f>IF(NTotal&gt;0,CivilBase,0)+NDcfc*CivilDcfc+NumL2*CivilL2</f>
      </c>
    </row>
    <row r="12" spans="1:2" x14ac:dyDescent="0.25">
      <c r="A12" t="s">
        <v>170</v>
      </c>
      <c r="B12" s="9">
        <f>NDcfc*SignageDcfc+NumL2*SignageL2</f>
      </c>
    </row>
    <row r="13" spans="1:2" x14ac:dyDescent="0.25">
      <c r="A13" t="s">
        <v>171</v>
      </c>
      <c r="B13" s="9">
        <f>AdaCost</f>
      </c>
    </row>
    <row r="14" spans="1:2" x14ac:dyDescent="0.25">
      <c r="A14" t="s">
        <v>172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173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174</v>
      </c>
      <c r="B17" s="9">
        <f>IF(IncPermits="Yes",PermitBase+PermitPerChg*NTotal,0)</f>
      </c>
    </row>
    <row r="18" spans="1:2" x14ac:dyDescent="0.25">
      <c r="A18" t="s">
        <v>175</v>
      </c>
      <c r="B18" s="9">
        <f>IF(IncPermits="Yes",IF(NDcfc&gt;0,UtilAppDcfc+TransformerPad,UtilAppL2),0)</f>
      </c>
    </row>
    <row r="19" spans="1:2" x14ac:dyDescent="0.25">
      <c r="A19" s="3" t="s">
        <v>176</v>
      </c>
      <c r="B19" s="9">
        <f>SUM(B7:B18)</f>
      </c>
    </row>
    <row r="20" spans="1:2" x14ac:dyDescent="0.25">
      <c r="A20" t="s">
        <v>177</v>
      </c>
      <c r="B20" s="9">
        <f>B19*ContingencyPct</f>
      </c>
    </row>
    <row r="21" spans="1:2" x14ac:dyDescent="0.25">
      <c r="A21" s="3" t="s">
        <v>178</v>
      </c>
      <c r="B21" s="11">
        <f>B19+B20</f>
      </c>
    </row>
    <row r="23" spans="1:2" x14ac:dyDescent="0.25">
      <c r="A23" t="s">
        <v>179</v>
      </c>
      <c r="B23" s="9">
        <f>LaborBase*(1+ContingencyPct)</f>
      </c>
    </row>
    <row r="24" spans="1:2" x14ac:dyDescent="0.25">
      <c r="A24" t="s">
        <v>180</v>
      </c>
      <c r="B24" s="9">
        <f>ConstructionTotal*TaxPct</f>
      </c>
    </row>
    <row r="25" spans="1:2" x14ac:dyDescent="0.25">
      <c r="A25" s="30" t="s">
        <v>181</v>
      </c>
      <c r="B25" s="9">
        <f>ConstructionTotal+LaborCost</f>
      </c>
    </row>
    <row r="27" spans="1:2" x14ac:dyDescent="0.25">
      <c r="A27" s="28" t="s">
        <v>182</v>
      </c>
      <c r="B27" s="29"/>
    </row>
    <row r="28" spans="1:2" x14ac:dyDescent="0.25">
      <c r="A28" t="s">
        <v>183</v>
      </c>
      <c r="B28" s="9">
        <f>IF(IncHardware="Yes",SUM(Intake!F23:F34)*HardwareFactor,0)</f>
      </c>
    </row>
    <row r="29" spans="1:2" x14ac:dyDescent="0.25">
      <c r="A29" t="s">
        <v>184</v>
      </c>
      <c r="B29" s="9">
        <f>IF(IncHardware="Yes",CommDcfc*NDcfc+CommL2*NumL2,0)</f>
      </c>
    </row>
    <row r="30" spans="1:2" x14ac:dyDescent="0.25">
      <c r="A30" t="s">
        <v>185</v>
      </c>
      <c r="B30" s="9">
        <f>IF(IncHardware="Yes",NPorts*NetworkFeeMo*12*ContractYears,0)</f>
      </c>
    </row>
    <row r="31" spans="1:2" x14ac:dyDescent="0.25">
      <c r="A31" t="s">
        <v>186</v>
      </c>
      <c r="B31" s="9">
        <f>IF(IncHardware="Yes",ServicePlanYr*ContractYears,0)</f>
      </c>
    </row>
    <row r="32" spans="1:2" x14ac:dyDescent="0.25">
      <c r="A32" t="s">
        <v>187</v>
      </c>
      <c r="B32" s="9">
        <f>B28*TaxPct</f>
      </c>
    </row>
    <row r="34" spans="1:2" x14ac:dyDescent="0.25">
      <c r="A34" s="28" t="s">
        <v>188</v>
      </c>
      <c r="B34" s="29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189</v>
      </c>
      <c r="B36" s="9">
        <f>IF(IncSLD="Yes",IF(NDcfc&gt;0,6000+900*NDcfc+150*NumL2,2500+150*NumL2),0)</f>
      </c>
    </row>
    <row r="37" spans="1:3" x14ac:dyDescent="0.25">
      <c r="A37" t="s">
        <v>190</v>
      </c>
      <c r="B37" s="9">
        <f>C37*PmRate</f>
      </c>
      <c r="C37" s="31">
        <f>IF(IncCpm="Yes",MAX(24,ROUND(CpmPct*Valuation/PmRate,0)),0)</f>
      </c>
    </row>
    <row r="38" spans="1:2" x14ac:dyDescent="0.25">
      <c r="A38" t="s">
        <v>191</v>
      </c>
      <c r="B38" s="9">
        <f>IF(IncPermits="Yes",IF(NDcfc&gt;0,500+0.02*Valuation,300),0)</f>
      </c>
    </row>
    <row r="39" spans="1:2" x14ac:dyDescent="0.25">
      <c r="A39" s="3" t="s">
        <v>192</v>
      </c>
      <c r="B39" s="9">
        <f>SUM(B35:B38)</f>
      </c>
    </row>
    <row r="41" spans="1:2" x14ac:dyDescent="0.25">
      <c r="A41" s="13" t="s">
        <v>193</v>
      </c>
      <c r="B41" s="14">
        <f>ConstructionTotal+LaborCost+B24+B28+B29+B30+B31+B32+B39</f>
      </c>
    </row>
    <row r="42" spans="1:2" x14ac:dyDescent="0.25">
      <c r="A42" t="s">
        <v>194</v>
      </c>
      <c r="B42" s="9">
        <f>-RebateAmt</f>
      </c>
    </row>
    <row r="43" spans="1:2" x14ac:dyDescent="0.25">
      <c r="A43" s="16" t="s">
        <v>87</v>
      </c>
      <c r="B43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3" t="s">
        <v>195</v>
      </c>
      <c r="C2" s="34" t="s">
        <v>196</v>
      </c>
      <c r="D2" s="35" t="s">
        <v>197</v>
      </c>
      <c r="E2" s="36" t="s">
        <v>177</v>
      </c>
      <c r="F2" s="35" t="s">
        <v>198</v>
      </c>
      <c r="G2" s="37" t="s">
        <v>199</v>
      </c>
    </row>
    <row r="3" spans="2:11" x14ac:dyDescent="0.25">
      <c r="B3" s="38" t="s">
        <v>200</v>
      </c>
      <c r="C3" s="39">
        <v>1</v>
      </c>
      <c r="D3" s="40">
        <f>Estimate!B7+Estimate!B10</f>
      </c>
      <c r="E3" s="41">
        <f>ContingencyPct</f>
      </c>
      <c r="F3" s="40">
        <f>(D3*E3)+D3</f>
      </c>
      <c r="G3" s="42">
        <f>F3*C3</f>
      </c>
      <c r="J3" s="43" t="s">
        <v>201</v>
      </c>
      <c r="K3" s="44"/>
    </row>
    <row r="4" spans="2:11" x14ac:dyDescent="0.25">
      <c r="B4" s="38" t="s">
        <v>202</v>
      </c>
      <c r="C4" s="39">
        <v>1</v>
      </c>
      <c r="D4" s="40">
        <f>Panel!F22</f>
      </c>
      <c r="E4" s="41">
        <f>ContingencyPct</f>
      </c>
      <c r="F4" s="40">
        <f>(D4*E4)+D4</f>
      </c>
      <c r="G4" s="42">
        <f>F4*C4</f>
      </c>
      <c r="J4" s="45" t="s">
        <v>203</v>
      </c>
      <c r="K4" s="46">
        <f>IF(LaborDays&gt;0,LaborBase/LaborDays,0)</f>
      </c>
    </row>
    <row r="5" spans="2:11" x14ac:dyDescent="0.25">
      <c r="B5" s="38" t="s">
        <v>204</v>
      </c>
      <c r="C5" s="39">
        <v>1</v>
      </c>
      <c r="D5" s="40">
        <f>Panel!F42+Panel!F48+Panel!F66</f>
      </c>
      <c r="E5" s="41">
        <f>ContingencyPct</f>
      </c>
      <c r="F5" s="40">
        <f>(D5*E5)+D5</f>
      </c>
      <c r="G5" s="42">
        <f>F5*C5</f>
      </c>
      <c r="J5" s="45" t="s">
        <v>205</v>
      </c>
      <c r="K5" s="47">
        <f>LaborDays</f>
      </c>
    </row>
    <row r="6" spans="2:11" x14ac:dyDescent="0.25">
      <c r="B6" s="38" t="s">
        <v>206</v>
      </c>
      <c r="C6" s="39">
        <v>1</v>
      </c>
      <c r="D6" s="40">
        <f>Estimate!B12</f>
      </c>
      <c r="E6" s="41">
        <f>ContingencyPct</f>
      </c>
      <c r="F6" s="40">
        <f>(D6*E6)+D6</f>
      </c>
      <c r="G6" s="42">
        <f>F6*C6</f>
      </c>
      <c r="J6" s="45" t="s">
        <v>207</v>
      </c>
      <c r="K6" s="47">
        <f>K5/30</f>
      </c>
    </row>
    <row r="7" ht="15.75" customHeight="1" spans="2:11" x14ac:dyDescent="0.25">
      <c r="B7" s="38" t="s">
        <v>208</v>
      </c>
      <c r="C7" s="39">
        <v>1</v>
      </c>
      <c r="D7" s="40">
        <f>Estimate!B9</f>
      </c>
      <c r="E7" s="41">
        <f>ContingencyPct</f>
      </c>
      <c r="F7" s="40">
        <f>(D7*E7)+D7</f>
      </c>
      <c r="G7" s="42">
        <f>F7*C7</f>
      </c>
      <c r="J7" s="48" t="s">
        <v>209</v>
      </c>
      <c r="K7" s="49">
        <f>K5*K4</f>
      </c>
    </row>
    <row r="8" spans="2:7" x14ac:dyDescent="0.25">
      <c r="B8" s="38" t="s">
        <v>210</v>
      </c>
      <c r="C8" s="39">
        <v>1</v>
      </c>
      <c r="D8" s="40">
        <f>Estimate!B11</f>
      </c>
      <c r="E8" s="41">
        <f>ContingencyPct</f>
      </c>
      <c r="F8" s="40">
        <f>(D8*E8)+D8</f>
      </c>
      <c r="G8" s="42">
        <f>F8*C8</f>
      </c>
    </row>
    <row r="9" spans="2:7" x14ac:dyDescent="0.25">
      <c r="B9" s="38" t="s">
        <v>211</v>
      </c>
      <c r="C9" s="39">
        <v>1</v>
      </c>
      <c r="D9" s="40">
        <f>Estimate!B13</f>
      </c>
      <c r="E9" s="41">
        <f>ContingencyPct</f>
      </c>
      <c r="F9" s="40">
        <f>(D9*E9)+D9</f>
      </c>
      <c r="G9" s="42">
        <f>F9*C9</f>
      </c>
    </row>
    <row r="10" spans="2:7" x14ac:dyDescent="0.25">
      <c r="B10" s="38" t="s">
        <v>212</v>
      </c>
      <c r="C10" s="39">
        <v>1</v>
      </c>
      <c r="D10" s="40">
        <f>Estimate!B14</f>
      </c>
      <c r="E10" s="41">
        <f>ContingencyPct</f>
      </c>
      <c r="F10" s="40">
        <f>(D10*E10)+D10</f>
      </c>
      <c r="G10" s="42">
        <f>F10*C10</f>
      </c>
    </row>
    <row r="11" spans="2:7" x14ac:dyDescent="0.25">
      <c r="B11" s="38" t="s">
        <v>213</v>
      </c>
      <c r="C11" s="39">
        <v>1</v>
      </c>
      <c r="D11" s="40">
        <f>Estimate!B17</f>
      </c>
      <c r="E11" s="41">
        <f>ContingencyPct</f>
      </c>
      <c r="F11" s="40">
        <f>(D11*E11)+D11</f>
      </c>
      <c r="G11" s="42">
        <f>F11*C11</f>
      </c>
    </row>
    <row r="12" spans="2:7" x14ac:dyDescent="0.25">
      <c r="B12" s="38" t="s">
        <v>12</v>
      </c>
      <c r="C12" s="39">
        <v>1</v>
      </c>
      <c r="D12" s="40">
        <f>Estimate!B18+Estimate!B15</f>
      </c>
      <c r="E12" s="41">
        <f>ContingencyPct</f>
      </c>
      <c r="F12" s="40">
        <f>(D12*E12)+D12</f>
      </c>
      <c r="G12" s="42">
        <f>F12*C12</f>
      </c>
    </row>
    <row r="13" spans="2:7" x14ac:dyDescent="0.25">
      <c r="B13" s="38" t="s">
        <v>214</v>
      </c>
      <c r="C13" s="39">
        <v>1</v>
      </c>
      <c r="D13" s="40">
        <f>Estimate!B16</f>
      </c>
      <c r="E13" s="41">
        <f>ContingencyPct</f>
      </c>
      <c r="F13" s="40">
        <f>(D13*E13)+D13</f>
      </c>
      <c r="G13" s="42">
        <f>F13*C13</f>
      </c>
    </row>
    <row r="14" spans="2:7" x14ac:dyDescent="0.25">
      <c r="B14" s="38" t="s">
        <v>215</v>
      </c>
      <c r="C14" s="39">
        <v>1</v>
      </c>
      <c r="D14" s="40">
        <f>Estimate!B35+Estimate!B36+Estimate!B37</f>
      </c>
      <c r="E14" s="41">
        <v>0</v>
      </c>
      <c r="F14" s="40">
        <f>(D14*E14)+D14</f>
      </c>
      <c r="G14" s="42">
        <f>F14*C14</f>
      </c>
    </row>
    <row r="15" spans="2:7" x14ac:dyDescent="0.25">
      <c r="B15" s="50"/>
      <c r="C15" s="51"/>
      <c r="D15" s="52"/>
      <c r="E15" s="53"/>
      <c r="F15" s="52"/>
      <c r="G15" s="54">
        <f>SUM(G3:G13)</f>
      </c>
    </row>
    <row r="16" ht="15.75" customHeight="1" x14ac:dyDescent="0.25"/>
    <row r="17" ht="15.75" customHeight="1" spans="2:7" x14ac:dyDescent="0.25">
      <c r="B17" s="55" t="s">
        <v>216</v>
      </c>
      <c r="C17" s="55"/>
      <c r="D17" s="55"/>
      <c r="E17" s="55"/>
      <c r="F17" s="55"/>
      <c r="G17" s="55"/>
    </row>
    <row r="18" spans="2:7" x14ac:dyDescent="0.25">
      <c r="B18" s="38" t="s">
        <v>201</v>
      </c>
      <c r="C18" s="39">
        <f>K5</f>
      </c>
      <c r="D18" s="40">
        <f>K4</f>
      </c>
      <c r="E18" s="41">
        <f>ContingencyPct</f>
      </c>
      <c r="F18" s="40">
        <f>(D18*E18)+D18</f>
      </c>
      <c r="G18" s="42">
        <f>F18*C18</f>
      </c>
    </row>
    <row r="19" spans="2:7" x14ac:dyDescent="0.25">
      <c r="B19" s="50"/>
      <c r="C19" s="51"/>
      <c r="D19" s="52"/>
      <c r="E19" s="53"/>
      <c r="F19" s="52"/>
      <c r="G19" s="54">
        <f>SUM(G18)</f>
      </c>
    </row>
    <row r="20" ht="15.75" customHeight="1" spans="2:7" x14ac:dyDescent="0.25">
      <c r="B20" s="48"/>
      <c r="C20" s="56" t="s">
        <v>199</v>
      </c>
      <c r="D20" s="56"/>
      <c r="E20" s="56"/>
      <c r="F20" s="56"/>
      <c r="G20" s="57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217</v>
      </c>
    </row>
    <row r="2" spans="1:1" x14ac:dyDescent="0.25">
      <c r="A2" s="2" t="s">
        <v>218</v>
      </c>
    </row>
    <row r="3" spans="1:6" x14ac:dyDescent="0.25">
      <c r="A3" s="7" t="s">
        <v>219</v>
      </c>
      <c r="B3" s="7" t="s">
        <v>220</v>
      </c>
      <c r="C3" s="7" t="s">
        <v>221</v>
      </c>
      <c r="D3" s="7" t="s">
        <v>222</v>
      </c>
      <c r="E3" s="7" t="s">
        <v>223</v>
      </c>
      <c r="F3" s="7" t="s">
        <v>199</v>
      </c>
    </row>
    <row r="4" spans="1:6" x14ac:dyDescent="0.25">
      <c r="A4" t="s">
        <v>224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225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226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227</v>
      </c>
      <c r="C7" s="5"/>
      <c r="D7" s="5"/>
      <c r="E7" s="5"/>
    </row>
    <row r="8" spans="1:6" x14ac:dyDescent="0.25">
      <c r="A8" s="3" t="s">
        <v>228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229</v>
      </c>
      <c r="B9">
        <f>VLOOKUP(Terrain,TerrainTable,4,FALSE)</f>
      </c>
    </row>
    <row r="10" spans="1:2" x14ac:dyDescent="0.25">
      <c r="A10" s="3" t="s">
        <v>230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231</v>
      </c>
    </row>
    <row r="14" spans="1:4" x14ac:dyDescent="0.25">
      <c r="A14" s="58" t="s">
        <v>232</v>
      </c>
      <c r="B14" s="58" t="s">
        <v>221</v>
      </c>
      <c r="C14" s="58" t="s">
        <v>222</v>
      </c>
      <c r="D14" s="58" t="s">
        <v>223</v>
      </c>
    </row>
    <row r="15" spans="1:4" x14ac:dyDescent="0.25">
      <c r="A15" s="59" t="s">
        <v>233</v>
      </c>
      <c r="B15" s="59" t="s">
        <v>234</v>
      </c>
      <c r="C15" s="59" t="s">
        <v>235</v>
      </c>
      <c r="D15" s="59" t="s">
        <v>235</v>
      </c>
    </row>
    <row r="16" spans="1:4" x14ac:dyDescent="0.25">
      <c r="A16" s="59" t="s">
        <v>236</v>
      </c>
      <c r="B16" s="59" t="s">
        <v>234</v>
      </c>
      <c r="C16" s="59" t="s">
        <v>234</v>
      </c>
      <c r="D16" s="59" t="s">
        <v>235</v>
      </c>
    </row>
    <row r="17" spans="1:4" x14ac:dyDescent="0.25">
      <c r="A17" s="59" t="s">
        <v>237</v>
      </c>
      <c r="B17" s="59" t="s">
        <v>234</v>
      </c>
      <c r="C17" s="59" t="s">
        <v>234</v>
      </c>
      <c r="D17" s="59" t="s">
        <v>234</v>
      </c>
    </row>
    <row r="18" spans="1:4" x14ac:dyDescent="0.25">
      <c r="A18" s="59" t="s">
        <v>238</v>
      </c>
      <c r="B18" s="59" t="s">
        <v>234</v>
      </c>
      <c r="C18" s="59" t="s">
        <v>239</v>
      </c>
      <c r="D18" s="59" t="s">
        <v>239</v>
      </c>
    </row>
    <row r="19" spans="1:4" x14ac:dyDescent="0.25">
      <c r="A19" s="59" t="s">
        <v>240</v>
      </c>
      <c r="B19" s="59" t="s">
        <v>234</v>
      </c>
      <c r="C19" s="59" t="s">
        <v>241</v>
      </c>
      <c r="D19" s="59" t="s">
        <v>241</v>
      </c>
    </row>
    <row r="20" spans="1:4" x14ac:dyDescent="0.25">
      <c r="A20" s="59" t="s">
        <v>242</v>
      </c>
      <c r="B20" s="59" t="s">
        <v>243</v>
      </c>
      <c r="C20" s="59" t="s">
        <v>244</v>
      </c>
      <c r="D20" s="59" t="s">
        <v>245</v>
      </c>
    </row>
    <row r="22" spans="1:1" x14ac:dyDescent="0.25">
      <c r="A22" s="60" t="s">
        <v>246</v>
      </c>
    </row>
    <row r="23" spans="1:1" x14ac:dyDescent="0.25">
      <c r="A23" s="60" t="s">
        <v>247</v>
      </c>
    </row>
    <row r="24" spans="1:1" x14ac:dyDescent="0.25">
      <c r="A24" s="60" t="s">
        <v>248</v>
      </c>
    </row>
    <row r="25" spans="1:1" x14ac:dyDescent="0.25">
      <c r="A25" s="60" t="s">
        <v>249</v>
      </c>
    </row>
    <row r="26" spans="1:1" x14ac:dyDescent="0.25">
      <c r="A26" s="60" t="s">
        <v>250</v>
      </c>
    </row>
    <row r="27" spans="1:1" x14ac:dyDescent="0.25">
      <c r="A27" s="60" t="s">
        <v>251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252</v>
      </c>
    </row>
    <row r="3" spans="1:4" x14ac:dyDescent="0.25">
      <c r="A3" s="7" t="s">
        <v>253</v>
      </c>
      <c r="B3" s="7" t="s">
        <v>254</v>
      </c>
      <c r="C3" s="7" t="s">
        <v>255</v>
      </c>
      <c r="D3" s="7" t="s">
        <v>256</v>
      </c>
    </row>
    <row r="4" spans="1:4" x14ac:dyDescent="0.25">
      <c r="A4" t="s">
        <v>257</v>
      </c>
      <c r="B4">
        <f>2</f>
      </c>
      <c r="C4">
        <f>4</f>
      </c>
      <c r="D4" t="s">
        <v>258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258</v>
      </c>
    </row>
    <row r="6" spans="1:4" x14ac:dyDescent="0.25">
      <c r="A6" t="s">
        <v>259</v>
      </c>
      <c r="B6">
        <f>IF(IncSLD="Yes",IF(NDcfc&gt;0,10+ROUNDUP(NDcfc/2,0),7),0)</f>
      </c>
      <c r="C6">
        <f>IF(IncSLD="Yes",IF(NDcfc&gt;0,17+ROUNDUP(NDcfc/2,0),14),0)</f>
      </c>
      <c r="D6" t="s">
        <v>258</v>
      </c>
    </row>
    <row r="7" spans="1:4" x14ac:dyDescent="0.25">
      <c r="A7" t="s">
        <v>260</v>
      </c>
      <c r="B7">
        <f>IF(IncPermits="Yes",IF(NDcfc&gt;0,20,5),0)</f>
      </c>
      <c r="C7">
        <f>IF(IncPermits="Yes",IF(NDcfc&gt;0,60,15),0)</f>
      </c>
      <c r="D7" t="s">
        <v>261</v>
      </c>
    </row>
    <row r="8" spans="1:4" x14ac:dyDescent="0.25">
      <c r="A8" t="s">
        <v>262</v>
      </c>
      <c r="B8">
        <f>IF(NDcfc&gt;0,85,20)</f>
      </c>
      <c r="C8">
        <f>IF(NDcfc&gt;0,250,60)</f>
      </c>
      <c r="D8" t="s">
        <v>263</v>
      </c>
    </row>
    <row r="9" spans="1:4" x14ac:dyDescent="0.25">
      <c r="A9" t="s">
        <v>264</v>
      </c>
      <c r="B9">
        <f>LaborDays</f>
      </c>
      <c r="C9">
        <f>LaborDays+7</f>
      </c>
      <c r="D9" t="s">
        <v>258</v>
      </c>
    </row>
    <row r="10" spans="1:4" x14ac:dyDescent="0.25">
      <c r="A10" t="s">
        <v>265</v>
      </c>
      <c r="B10">
        <f>5</f>
      </c>
      <c r="C10">
        <f>10</f>
      </c>
      <c r="D10" t="s">
        <v>258</v>
      </c>
    </row>
    <row r="12" spans="1:3" x14ac:dyDescent="0.25">
      <c r="A12" s="3" t="s">
        <v>266</v>
      </c>
      <c r="B12">
        <f>MAX(B4+B5+B6+B7+B9+B10,B8)</f>
      </c>
      <c r="C12">
        <f>MAX(C4+C5+C6+C7+C9+C10,C8)</f>
      </c>
    </row>
    <row r="13" spans="1:3" x14ac:dyDescent="0.25">
      <c r="A13" t="s">
        <v>267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268</v>
      </c>
    </row>
    <row r="3" spans="1:21" x14ac:dyDescent="0.25">
      <c r="A3" s="7" t="s">
        <v>18</v>
      </c>
      <c r="B3" s="7" t="s">
        <v>20</v>
      </c>
      <c r="C3" s="7" t="s">
        <v>269</v>
      </c>
      <c r="D3" s="7" t="s">
        <v>21</v>
      </c>
      <c r="E3" s="7" t="s">
        <v>116</v>
      </c>
      <c r="F3" s="7" t="s">
        <v>90</v>
      </c>
      <c r="G3" s="7" t="s">
        <v>270</v>
      </c>
      <c r="H3" s="7" t="s">
        <v>271</v>
      </c>
      <c r="I3" s="7" t="s">
        <v>272</v>
      </c>
      <c r="J3" s="7" t="s">
        <v>273</v>
      </c>
      <c r="K3" s="7" t="s">
        <v>274</v>
      </c>
      <c r="L3" s="7" t="s">
        <v>275</v>
      </c>
      <c r="M3" s="7" t="s">
        <v>48</v>
      </c>
      <c r="N3" s="7" t="s">
        <v>276</v>
      </c>
      <c r="O3" s="7" t="s">
        <v>46</v>
      </c>
      <c r="P3" s="7" t="s">
        <v>277</v>
      </c>
      <c r="Q3" s="7" t="s">
        <v>35</v>
      </c>
      <c r="R3" s="7" t="s">
        <v>278</v>
      </c>
      <c r="S3" s="7" t="s">
        <v>279</v>
      </c>
      <c r="T3" s="7" t="s">
        <v>280</v>
      </c>
      <c r="U3" s="7" t="s">
        <v>281</v>
      </c>
    </row>
    <row r="4" spans="1:21" x14ac:dyDescent="0.25">
      <c r="A4" t="s">
        <v>282</v>
      </c>
      <c r="B4" s="61">
        <v>3000</v>
      </c>
      <c r="C4" s="61">
        <v>538</v>
      </c>
      <c r="D4" t="s">
        <v>283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284</v>
      </c>
      <c r="O4" t="s">
        <v>285</v>
      </c>
      <c r="P4" s="61">
        <v>803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286</v>
      </c>
      <c r="B5" s="61">
        <v>3500</v>
      </c>
      <c r="C5" s="61">
        <v>532</v>
      </c>
      <c r="D5" t="s">
        <v>283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284</v>
      </c>
      <c r="O5" t="s">
        <v>285</v>
      </c>
      <c r="P5" s="61">
        <v>790</v>
      </c>
      <c r="Q5" t="s">
        <v>287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61">
        <v>4000</v>
      </c>
      <c r="C6" s="61">
        <v>542</v>
      </c>
      <c r="D6" t="s">
        <v>283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284</v>
      </c>
      <c r="O6" t="s">
        <v>285</v>
      </c>
      <c r="P6" s="61">
        <v>813</v>
      </c>
      <c r="Q6" t="s">
        <v>288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289</v>
      </c>
      <c r="B7" s="61">
        <v>5000</v>
      </c>
      <c r="C7" s="61">
        <v>611</v>
      </c>
      <c r="D7" t="s">
        <v>283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290</v>
      </c>
      <c r="O7" t="s">
        <v>285</v>
      </c>
      <c r="P7" s="61">
        <v>938</v>
      </c>
      <c r="Q7" t="s">
        <v>291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292</v>
      </c>
      <c r="B8" s="61">
        <v>7500</v>
      </c>
      <c r="C8" s="61">
        <v>943</v>
      </c>
      <c r="D8" t="s">
        <v>283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293</v>
      </c>
      <c r="O8" t="s">
        <v>285</v>
      </c>
      <c r="P8" s="61">
        <v>1574</v>
      </c>
    </row>
    <row r="9" spans="1:16" x14ac:dyDescent="0.25">
      <c r="A9" t="s">
        <v>294</v>
      </c>
      <c r="B9" s="61">
        <v>5500</v>
      </c>
      <c r="C9" s="61">
        <v>693</v>
      </c>
      <c r="D9" t="s">
        <v>283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284</v>
      </c>
      <c r="O9" t="s">
        <v>285</v>
      </c>
      <c r="P9" s="61">
        <v>1092</v>
      </c>
    </row>
    <row r="10" spans="1:18" x14ac:dyDescent="0.25">
      <c r="A10" t="s">
        <v>295</v>
      </c>
      <c r="B10" s="61">
        <v>6500</v>
      </c>
      <c r="C10" s="61">
        <v>710</v>
      </c>
      <c r="D10" t="s">
        <v>283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284</v>
      </c>
      <c r="O10" t="s">
        <v>285</v>
      </c>
      <c r="P10" s="61">
        <v>1135</v>
      </c>
      <c r="Q10" t="s">
        <v>296</v>
      </c>
      <c r="R10" s="61">
        <v>40.81</v>
      </c>
    </row>
    <row r="11" spans="1:18" x14ac:dyDescent="0.25">
      <c r="A11" t="s">
        <v>297</v>
      </c>
      <c r="B11" s="61">
        <v>8500</v>
      </c>
      <c r="C11" s="61">
        <v>862</v>
      </c>
      <c r="D11" t="s">
        <v>283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290</v>
      </c>
      <c r="O11" t="s">
        <v>285</v>
      </c>
      <c r="P11" s="61">
        <v>1400</v>
      </c>
      <c r="Q11" t="s">
        <v>298</v>
      </c>
      <c r="R11" s="62">
        <v>0.1</v>
      </c>
    </row>
    <row r="12" spans="1:18" x14ac:dyDescent="0.25">
      <c r="A12" t="s">
        <v>299</v>
      </c>
      <c r="B12" s="61">
        <v>32000</v>
      </c>
      <c r="C12" s="61">
        <v>654</v>
      </c>
      <c r="D12" t="s">
        <v>300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301</v>
      </c>
      <c r="O12" t="s">
        <v>285</v>
      </c>
      <c r="P12" s="61">
        <v>1081</v>
      </c>
      <c r="Q12" t="s">
        <v>302</v>
      </c>
      <c r="R12" s="62">
        <v>0.0725</v>
      </c>
    </row>
    <row r="13" spans="1:18" x14ac:dyDescent="0.25">
      <c r="A13" t="s">
        <v>303</v>
      </c>
      <c r="B13" s="61">
        <v>35000</v>
      </c>
      <c r="C13" s="61">
        <v>654</v>
      </c>
      <c r="D13" t="s">
        <v>300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301</v>
      </c>
      <c r="O13" t="s">
        <v>285</v>
      </c>
      <c r="P13" s="61">
        <v>1081</v>
      </c>
      <c r="Q13" t="s">
        <v>304</v>
      </c>
      <c r="R13" s="61">
        <v>2250</v>
      </c>
    </row>
    <row r="14" spans="1:18" x14ac:dyDescent="0.25">
      <c r="A14" t="s">
        <v>305</v>
      </c>
      <c r="B14" s="61">
        <v>38000</v>
      </c>
      <c r="C14" s="61">
        <v>657</v>
      </c>
      <c r="D14" t="s">
        <v>300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301</v>
      </c>
      <c r="O14" t="s">
        <v>285</v>
      </c>
      <c r="P14" s="61">
        <v>1092</v>
      </c>
      <c r="Q14" t="s">
        <v>306</v>
      </c>
      <c r="R14" s="61">
        <v>358</v>
      </c>
    </row>
    <row r="15" spans="1:18" x14ac:dyDescent="0.25">
      <c r="A15" t="s">
        <v>307</v>
      </c>
      <c r="B15" s="61">
        <v>42000</v>
      </c>
      <c r="C15" s="61">
        <v>657</v>
      </c>
      <c r="D15" t="s">
        <v>300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301</v>
      </c>
      <c r="O15" t="s">
        <v>285</v>
      </c>
      <c r="P15" s="61">
        <v>1092</v>
      </c>
      <c r="Q15" t="s">
        <v>308</v>
      </c>
      <c r="R15" s="62">
        <v>0.05</v>
      </c>
    </row>
    <row r="16" spans="1:18" x14ac:dyDescent="0.25">
      <c r="A16" t="s">
        <v>309</v>
      </c>
      <c r="B16" s="61">
        <v>52000</v>
      </c>
      <c r="C16" s="61">
        <v>768</v>
      </c>
      <c r="D16" t="s">
        <v>300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310</v>
      </c>
      <c r="O16" t="s">
        <v>285</v>
      </c>
      <c r="P16" s="61">
        <v>1236</v>
      </c>
      <c r="Q16" t="s">
        <v>311</v>
      </c>
      <c r="R16" s="61">
        <v>1500</v>
      </c>
    </row>
    <row r="17" spans="1:18" x14ac:dyDescent="0.25">
      <c r="A17" t="s">
        <v>312</v>
      </c>
      <c r="B17" s="61">
        <v>57000</v>
      </c>
      <c r="C17" s="61">
        <v>768</v>
      </c>
      <c r="D17" t="s">
        <v>300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310</v>
      </c>
      <c r="O17" t="s">
        <v>285</v>
      </c>
      <c r="P17" s="61">
        <v>1236</v>
      </c>
      <c r="Q17" t="s">
        <v>313</v>
      </c>
      <c r="R17" s="8">
        <v>2000</v>
      </c>
    </row>
    <row r="18" spans="1:18" x14ac:dyDescent="0.25">
      <c r="A18" t="s">
        <v>314</v>
      </c>
      <c r="B18" s="61">
        <v>60000</v>
      </c>
      <c r="C18" s="61">
        <v>808</v>
      </c>
      <c r="D18" t="s">
        <v>300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310</v>
      </c>
      <c r="O18" t="s">
        <v>285</v>
      </c>
      <c r="P18" s="61">
        <v>1295</v>
      </c>
      <c r="Q18" t="s">
        <v>315</v>
      </c>
      <c r="R18" s="61">
        <v>6500</v>
      </c>
    </row>
    <row r="19" spans="1:18" x14ac:dyDescent="0.25">
      <c r="A19" t="s">
        <v>316</v>
      </c>
      <c r="B19" s="61">
        <v>66000</v>
      </c>
      <c r="C19" s="61">
        <v>808</v>
      </c>
      <c r="D19" t="s">
        <v>300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310</v>
      </c>
      <c r="O19" t="s">
        <v>285</v>
      </c>
      <c r="P19" s="61">
        <v>1295</v>
      </c>
      <c r="Q19" t="s">
        <v>317</v>
      </c>
      <c r="R19" s="61">
        <v>4900</v>
      </c>
    </row>
    <row r="20" spans="1:18" x14ac:dyDescent="0.25">
      <c r="A20" t="s">
        <v>318</v>
      </c>
      <c r="B20" s="61">
        <v>72000</v>
      </c>
      <c r="C20" s="61">
        <v>1003</v>
      </c>
      <c r="D20" t="s">
        <v>300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319</v>
      </c>
      <c r="O20" t="s">
        <v>285</v>
      </c>
      <c r="P20" s="61">
        <v>1670</v>
      </c>
      <c r="Q20" t="s">
        <v>320</v>
      </c>
      <c r="R20" s="61">
        <v>3500</v>
      </c>
    </row>
    <row r="21" spans="1:18" x14ac:dyDescent="0.25">
      <c r="A21" t="s">
        <v>321</v>
      </c>
      <c r="B21" s="61">
        <v>79000</v>
      </c>
      <c r="C21" s="61">
        <v>1003</v>
      </c>
      <c r="D21" t="s">
        <v>300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319</v>
      </c>
      <c r="O21" t="s">
        <v>285</v>
      </c>
      <c r="P21" s="61">
        <v>1670</v>
      </c>
      <c r="Q21" t="s">
        <v>322</v>
      </c>
      <c r="R21" s="61">
        <v>5200</v>
      </c>
    </row>
    <row r="22" spans="1:18" x14ac:dyDescent="0.25">
      <c r="A22" t="s">
        <v>323</v>
      </c>
      <c r="B22" s="61">
        <v>80000</v>
      </c>
      <c r="C22" s="61">
        <v>1086</v>
      </c>
      <c r="D22" t="s">
        <v>300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319</v>
      </c>
      <c r="O22" t="s">
        <v>285</v>
      </c>
      <c r="P22" s="61">
        <v>1780</v>
      </c>
      <c r="Q22" t="s">
        <v>324</v>
      </c>
      <c r="R22" s="61">
        <v>2903</v>
      </c>
    </row>
    <row r="23" spans="1:18" x14ac:dyDescent="0.25">
      <c r="A23" t="s">
        <v>325</v>
      </c>
      <c r="B23" s="61">
        <v>88000</v>
      </c>
      <c r="C23" s="61">
        <v>1086</v>
      </c>
      <c r="D23" t="s">
        <v>300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319</v>
      </c>
      <c r="O23" t="s">
        <v>285</v>
      </c>
      <c r="P23" s="61">
        <v>1780</v>
      </c>
      <c r="Q23" t="s">
        <v>326</v>
      </c>
      <c r="R23" s="61">
        <v>758</v>
      </c>
    </row>
    <row r="24" spans="1:18" x14ac:dyDescent="0.25">
      <c r="A24" t="s">
        <v>25</v>
      </c>
      <c r="B24" s="61">
        <v>92000</v>
      </c>
      <c r="C24" s="61">
        <v>1182</v>
      </c>
      <c r="D24" t="s">
        <v>300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327</v>
      </c>
      <c r="O24" t="s">
        <v>285</v>
      </c>
      <c r="P24" s="61">
        <v>2024</v>
      </c>
      <c r="Q24" t="s">
        <v>328</v>
      </c>
      <c r="R24" s="61">
        <v>302</v>
      </c>
    </row>
    <row r="25" spans="1:18" x14ac:dyDescent="0.25">
      <c r="A25" t="s">
        <v>329</v>
      </c>
      <c r="B25" s="61">
        <v>100000</v>
      </c>
      <c r="C25" s="61">
        <v>1182</v>
      </c>
      <c r="D25" t="s">
        <v>300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327</v>
      </c>
      <c r="O25" t="s">
        <v>285</v>
      </c>
      <c r="P25" s="61">
        <v>2024</v>
      </c>
      <c r="Q25" t="s">
        <v>330</v>
      </c>
      <c r="R25" s="61">
        <v>658</v>
      </c>
    </row>
    <row r="26" spans="1:18" x14ac:dyDescent="0.25">
      <c r="A26" t="s">
        <v>331</v>
      </c>
      <c r="B26" s="61">
        <v>105000</v>
      </c>
      <c r="C26" s="61">
        <v>1518</v>
      </c>
      <c r="D26" t="s">
        <v>300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310</v>
      </c>
      <c r="O26" t="s">
        <v>285</v>
      </c>
      <c r="P26" s="61">
        <v>2374</v>
      </c>
      <c r="Q26" t="s">
        <v>332</v>
      </c>
      <c r="R26" s="61">
        <v>396</v>
      </c>
    </row>
    <row r="27" spans="1:18" x14ac:dyDescent="0.25">
      <c r="A27" t="s">
        <v>333</v>
      </c>
      <c r="B27" s="61">
        <v>115000</v>
      </c>
      <c r="C27" s="61">
        <v>1518</v>
      </c>
      <c r="D27" t="s">
        <v>300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310</v>
      </c>
      <c r="O27" t="s">
        <v>285</v>
      </c>
      <c r="P27" s="61">
        <v>2374</v>
      </c>
      <c r="Q27" t="s">
        <v>334</v>
      </c>
      <c r="R27" s="61">
        <v>5000</v>
      </c>
    </row>
    <row r="28" spans="1:18" x14ac:dyDescent="0.25">
      <c r="A28" t="s">
        <v>335</v>
      </c>
      <c r="B28" s="61">
        <v>120000</v>
      </c>
      <c r="C28" s="61">
        <v>1816</v>
      </c>
      <c r="D28" t="s">
        <v>300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336</v>
      </c>
      <c r="O28" t="s">
        <v>285</v>
      </c>
      <c r="P28" s="61">
        <v>3043</v>
      </c>
      <c r="Q28" t="s">
        <v>337</v>
      </c>
      <c r="R28" s="61">
        <v>1500</v>
      </c>
    </row>
    <row r="29" spans="1:18" x14ac:dyDescent="0.25">
      <c r="A29" t="s">
        <v>338</v>
      </c>
      <c r="B29" s="61">
        <v>130000</v>
      </c>
      <c r="C29" s="61">
        <v>1816</v>
      </c>
      <c r="D29" t="s">
        <v>300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336</v>
      </c>
      <c r="O29" t="s">
        <v>285</v>
      </c>
      <c r="P29" s="61">
        <v>3043</v>
      </c>
      <c r="Q29" t="s">
        <v>339</v>
      </c>
      <c r="R29" s="61">
        <v>250</v>
      </c>
    </row>
    <row r="30" spans="1:18" x14ac:dyDescent="0.25">
      <c r="A30" t="s">
        <v>340</v>
      </c>
      <c r="B30" s="61">
        <v>135000</v>
      </c>
      <c r="C30" s="61">
        <v>1816</v>
      </c>
      <c r="D30" t="s">
        <v>300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336</v>
      </c>
      <c r="O30" t="s">
        <v>285</v>
      </c>
      <c r="P30" s="61">
        <v>3043</v>
      </c>
      <c r="Q30" t="s">
        <v>341</v>
      </c>
      <c r="R30" s="61">
        <v>3519</v>
      </c>
    </row>
    <row r="31" spans="1:18" x14ac:dyDescent="0.25">
      <c r="A31" t="s">
        <v>342</v>
      </c>
      <c r="B31" s="61">
        <v>147000</v>
      </c>
      <c r="C31" s="61">
        <v>1816</v>
      </c>
      <c r="D31" t="s">
        <v>300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336</v>
      </c>
      <c r="O31" t="s">
        <v>285</v>
      </c>
      <c r="P31" s="61">
        <v>3043</v>
      </c>
      <c r="Q31" t="s">
        <v>343</v>
      </c>
      <c r="R31" s="61">
        <v>261</v>
      </c>
    </row>
    <row r="32" spans="1:18" x14ac:dyDescent="0.25">
      <c r="A32" t="s">
        <v>344</v>
      </c>
      <c r="B32" s="61">
        <v>155000</v>
      </c>
      <c r="C32" s="61">
        <v>2007</v>
      </c>
      <c r="D32" t="s">
        <v>300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285</v>
      </c>
      <c r="P32" s="61">
        <v>3483</v>
      </c>
      <c r="Q32" t="s">
        <v>345</v>
      </c>
      <c r="R32" s="61">
        <v>4043</v>
      </c>
    </row>
    <row r="33" spans="1:18" x14ac:dyDescent="0.25">
      <c r="A33" t="s">
        <v>346</v>
      </c>
      <c r="B33" s="61">
        <v>168000</v>
      </c>
      <c r="C33" s="61">
        <v>2007</v>
      </c>
      <c r="D33" t="s">
        <v>300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285</v>
      </c>
      <c r="P33" s="61">
        <v>3483</v>
      </c>
      <c r="Q33" t="s">
        <v>347</v>
      </c>
      <c r="R33" s="61">
        <v>35</v>
      </c>
    </row>
    <row r="34" spans="1:18" x14ac:dyDescent="0.25">
      <c r="A34" s="2" t="s">
        <v>348</v>
      </c>
      <c r="Q34" t="s">
        <v>349</v>
      </c>
      <c r="R34" s="61">
        <v>28</v>
      </c>
    </row>
    <row r="35" spans="17:18" x14ac:dyDescent="0.25">
      <c r="Q35" t="s">
        <v>350</v>
      </c>
      <c r="R35" s="61">
        <v>3.25</v>
      </c>
    </row>
    <row r="36" spans="1:18" x14ac:dyDescent="0.25">
      <c r="A36" s="3" t="s">
        <v>351</v>
      </c>
      <c r="Q36" t="s">
        <v>352</v>
      </c>
      <c r="R36" s="8">
        <v>100</v>
      </c>
    </row>
    <row r="37" spans="1:18" x14ac:dyDescent="0.25">
      <c r="A37" s="7" t="s">
        <v>353</v>
      </c>
      <c r="B37" s="7" t="s">
        <v>354</v>
      </c>
      <c r="Q37" t="s">
        <v>355</v>
      </c>
      <c r="R37" s="61">
        <v>200</v>
      </c>
    </row>
    <row r="38" spans="1:18" x14ac:dyDescent="0.25">
      <c r="A38">
        <v>400</v>
      </c>
      <c r="B38" s="61">
        <v>20426.82</v>
      </c>
      <c r="Q38" t="s">
        <v>356</v>
      </c>
      <c r="R38" s="61">
        <v>60</v>
      </c>
    </row>
    <row r="39" spans="1:18" x14ac:dyDescent="0.25">
      <c r="A39">
        <v>800</v>
      </c>
      <c r="B39" s="61">
        <v>31187</v>
      </c>
      <c r="Q39" t="s">
        <v>357</v>
      </c>
      <c r="R39" s="61">
        <v>2500</v>
      </c>
    </row>
    <row r="40" spans="1:18" x14ac:dyDescent="0.25">
      <c r="A40">
        <v>1000</v>
      </c>
      <c r="B40" s="61">
        <v>36812.5</v>
      </c>
      <c r="Q40" t="s">
        <v>358</v>
      </c>
      <c r="R40" s="61">
        <v>800</v>
      </c>
    </row>
    <row r="41" spans="1:2" x14ac:dyDescent="0.25">
      <c r="A41">
        <v>1200</v>
      </c>
      <c r="B41" s="61">
        <v>43292.68</v>
      </c>
    </row>
    <row r="42" spans="1:2" x14ac:dyDescent="0.25">
      <c r="A42">
        <v>1600</v>
      </c>
      <c r="B42" s="61">
        <v>56750</v>
      </c>
    </row>
    <row r="43" spans="1:2" x14ac:dyDescent="0.25">
      <c r="A43">
        <v>2000</v>
      </c>
      <c r="B43" s="61">
        <v>55000</v>
      </c>
    </row>
    <row r="44" spans="1:2" x14ac:dyDescent="0.25">
      <c r="A44">
        <v>2500</v>
      </c>
      <c r="B44" s="61">
        <v>60000</v>
      </c>
    </row>
    <row r="45" spans="1:2" x14ac:dyDescent="0.25">
      <c r="A45">
        <v>3000</v>
      </c>
      <c r="B45" s="61">
        <v>65000</v>
      </c>
    </row>
    <row r="46" spans="1:2" x14ac:dyDescent="0.25">
      <c r="A46">
        <v>4000</v>
      </c>
      <c r="B46" s="61">
        <v>67500</v>
      </c>
    </row>
    <row r="47" spans="1:2" x14ac:dyDescent="0.25">
      <c r="A47">
        <v>5000</v>
      </c>
      <c r="B47" s="61">
        <v>70000</v>
      </c>
    </row>
    <row r="49" spans="1:1" x14ac:dyDescent="0.25">
      <c r="A49" s="3" t="s">
        <v>359</v>
      </c>
    </row>
    <row r="50" spans="1:2" x14ac:dyDescent="0.25">
      <c r="A50" s="7" t="s">
        <v>353</v>
      </c>
      <c r="B50" s="7" t="s">
        <v>354</v>
      </c>
    </row>
    <row r="51" spans="1:2" x14ac:dyDescent="0.25">
      <c r="A51">
        <v>150</v>
      </c>
      <c r="B51" s="61">
        <v>1000</v>
      </c>
    </row>
    <row r="52" spans="1:2" x14ac:dyDescent="0.25">
      <c r="A52">
        <v>250</v>
      </c>
      <c r="B52" s="61">
        <v>1120</v>
      </c>
    </row>
    <row r="53" spans="1:2" x14ac:dyDescent="0.25">
      <c r="A53">
        <v>400</v>
      </c>
      <c r="B53" s="61">
        <v>1660</v>
      </c>
    </row>
    <row r="54" spans="1:2" x14ac:dyDescent="0.25">
      <c r="A54">
        <v>600</v>
      </c>
      <c r="B54" s="61">
        <v>5387</v>
      </c>
    </row>
    <row r="55" spans="1:2" x14ac:dyDescent="0.25">
      <c r="A55">
        <v>800</v>
      </c>
      <c r="B55" s="61">
        <v>4650</v>
      </c>
    </row>
    <row r="56" spans="1:2" x14ac:dyDescent="0.25">
      <c r="A56">
        <v>1000</v>
      </c>
      <c r="B56" s="61">
        <v>30000</v>
      </c>
    </row>
    <row r="58" spans="1:1" x14ac:dyDescent="0.25">
      <c r="A58" s="3" t="s">
        <v>360</v>
      </c>
    </row>
    <row r="59" spans="1:2" x14ac:dyDescent="0.25">
      <c r="A59" s="7" t="s">
        <v>353</v>
      </c>
      <c r="B59" s="7" t="s">
        <v>354</v>
      </c>
    </row>
    <row r="60" spans="1:2" x14ac:dyDescent="0.25">
      <c r="A60">
        <v>75</v>
      </c>
      <c r="B60" s="61">
        <v>2970</v>
      </c>
    </row>
    <row r="61" spans="1:2" x14ac:dyDescent="0.25">
      <c r="A61">
        <v>112.5</v>
      </c>
      <c r="B61" s="61">
        <v>3250</v>
      </c>
    </row>
    <row r="62" spans="1:2" x14ac:dyDescent="0.25">
      <c r="A62">
        <v>150</v>
      </c>
      <c r="B62" s="61">
        <v>5298</v>
      </c>
    </row>
    <row r="63" spans="1:2" x14ac:dyDescent="0.25">
      <c r="A63">
        <v>175</v>
      </c>
      <c r="B63" s="61">
        <v>6000</v>
      </c>
    </row>
    <row r="64" spans="1:2" x14ac:dyDescent="0.25">
      <c r="A64">
        <v>225</v>
      </c>
      <c r="B64" s="61">
        <v>7144</v>
      </c>
    </row>
    <row r="65" spans="1:2" x14ac:dyDescent="0.25">
      <c r="A65">
        <v>300</v>
      </c>
      <c r="B65" s="61">
        <v>10493</v>
      </c>
    </row>
    <row r="66" spans="1:2" x14ac:dyDescent="0.25">
      <c r="A66">
        <v>500</v>
      </c>
      <c r="B66" s="61">
        <v>14500</v>
      </c>
    </row>
    <row r="68" spans="1:1" x14ac:dyDescent="0.25">
      <c r="A68" s="3" t="s">
        <v>361</v>
      </c>
    </row>
    <row r="69" spans="1:2" x14ac:dyDescent="0.25">
      <c r="A69" s="7" t="s">
        <v>353</v>
      </c>
      <c r="B69" s="7" t="s">
        <v>354</v>
      </c>
    </row>
    <row r="70" spans="1:2" x14ac:dyDescent="0.25">
      <c r="A70">
        <v>100</v>
      </c>
      <c r="B70" s="61">
        <v>350</v>
      </c>
    </row>
    <row r="71" spans="1:2" x14ac:dyDescent="0.25">
      <c r="A71">
        <v>125</v>
      </c>
      <c r="B71" s="61">
        <v>420</v>
      </c>
    </row>
    <row r="72" spans="1:2" x14ac:dyDescent="0.25">
      <c r="A72">
        <v>150</v>
      </c>
      <c r="B72" s="61">
        <v>480</v>
      </c>
    </row>
    <row r="73" spans="1:2" x14ac:dyDescent="0.25">
      <c r="A73">
        <v>175</v>
      </c>
      <c r="B73" s="61">
        <v>550</v>
      </c>
    </row>
    <row r="74" spans="1:2" x14ac:dyDescent="0.25">
      <c r="A74">
        <v>200</v>
      </c>
      <c r="B74" s="61">
        <v>650</v>
      </c>
    </row>
    <row r="75" spans="1:2" x14ac:dyDescent="0.25">
      <c r="A75">
        <v>225</v>
      </c>
      <c r="B75" s="61">
        <v>700</v>
      </c>
    </row>
    <row r="76" spans="1:2" x14ac:dyDescent="0.25">
      <c r="A76">
        <v>250</v>
      </c>
      <c r="B76" s="61">
        <v>750</v>
      </c>
    </row>
    <row r="77" spans="1:2" x14ac:dyDescent="0.25">
      <c r="A77">
        <v>300</v>
      </c>
      <c r="B77" s="61">
        <v>800</v>
      </c>
    </row>
    <row r="78" spans="1:2" x14ac:dyDescent="0.25">
      <c r="A78">
        <v>350</v>
      </c>
      <c r="B78" s="61">
        <v>1000</v>
      </c>
    </row>
    <row r="79" spans="1:2" x14ac:dyDescent="0.25">
      <c r="A79">
        <v>400</v>
      </c>
      <c r="B79" s="61">
        <v>1200</v>
      </c>
    </row>
    <row r="80" spans="1:2" x14ac:dyDescent="0.25">
      <c r="A80">
        <v>500</v>
      </c>
      <c r="B80" s="61">
        <v>1800</v>
      </c>
    </row>
    <row r="81" spans="1:2" x14ac:dyDescent="0.25">
      <c r="A81">
        <v>600</v>
      </c>
      <c r="B81" s="61">
        <v>2200</v>
      </c>
    </row>
    <row r="83" spans="1:1" x14ac:dyDescent="0.25">
      <c r="A83" s="3" t="s">
        <v>362</v>
      </c>
    </row>
    <row r="84" spans="1:2" x14ac:dyDescent="0.25">
      <c r="A84" s="7" t="s">
        <v>353</v>
      </c>
      <c r="B84" s="7" t="s">
        <v>354</v>
      </c>
    </row>
    <row r="85" spans="1:2" x14ac:dyDescent="0.25">
      <c r="A85">
        <v>40</v>
      </c>
      <c r="B85" s="61">
        <v>60</v>
      </c>
    </row>
    <row r="86" spans="1:2" x14ac:dyDescent="0.25">
      <c r="A86">
        <v>50</v>
      </c>
      <c r="B86" s="61">
        <v>75</v>
      </c>
    </row>
    <row r="87" spans="1:2" x14ac:dyDescent="0.25">
      <c r="A87">
        <v>60</v>
      </c>
      <c r="B87" s="61">
        <v>90</v>
      </c>
    </row>
    <row r="89" spans="1:1" x14ac:dyDescent="0.25">
      <c r="A89" s="3" t="s">
        <v>363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364</v>
      </c>
    </row>
    <row r="128" spans="1:5" x14ac:dyDescent="0.25">
      <c r="A128" s="7" t="s">
        <v>353</v>
      </c>
      <c r="B128" s="7" t="s">
        <v>365</v>
      </c>
      <c r="C128" s="7" t="s">
        <v>366</v>
      </c>
      <c r="D128" s="7" t="s">
        <v>367</v>
      </c>
      <c r="E128" s="7" t="s">
        <v>368</v>
      </c>
    </row>
    <row r="129" spans="1:5" x14ac:dyDescent="0.25">
      <c r="A129" t="s">
        <v>369</v>
      </c>
      <c r="B129" s="61">
        <v>0</v>
      </c>
      <c r="C129" s="61">
        <v>0</v>
      </c>
      <c r="D129">
        <v>20</v>
      </c>
      <c r="E129">
        <v>15</v>
      </c>
    </row>
    <row r="130" spans="1:5" x14ac:dyDescent="0.25">
      <c r="A130" t="s">
        <v>370</v>
      </c>
      <c r="B130" s="61">
        <v>0</v>
      </c>
      <c r="C130" s="61">
        <v>0</v>
      </c>
      <c r="D130">
        <v>25</v>
      </c>
      <c r="E130">
        <v>20</v>
      </c>
    </row>
    <row r="131" spans="1:5" x14ac:dyDescent="0.25">
      <c r="A131" t="s">
        <v>371</v>
      </c>
      <c r="B131" s="61">
        <v>0.30329</v>
      </c>
      <c r="C131" s="61">
        <v>0.28</v>
      </c>
      <c r="D131">
        <v>35</v>
      </c>
      <c r="E131">
        <v>30</v>
      </c>
    </row>
    <row r="132" spans="1:5" x14ac:dyDescent="0.25">
      <c r="A132" t="s">
        <v>372</v>
      </c>
      <c r="B132" s="61">
        <v>0.56613</v>
      </c>
      <c r="C132" s="61">
        <v>0</v>
      </c>
      <c r="D132">
        <v>50</v>
      </c>
      <c r="E132">
        <v>40</v>
      </c>
    </row>
    <row r="133" spans="1:5" x14ac:dyDescent="0.25">
      <c r="A133" t="s">
        <v>284</v>
      </c>
      <c r="B133" s="61">
        <v>0.87104</v>
      </c>
      <c r="C133" s="61">
        <v>0.30636</v>
      </c>
      <c r="D133">
        <v>65</v>
      </c>
      <c r="E133">
        <v>50</v>
      </c>
    </row>
    <row r="134" spans="1:5" x14ac:dyDescent="0.25">
      <c r="A134" t="s">
        <v>373</v>
      </c>
      <c r="B134" s="61">
        <v>1.33293</v>
      </c>
      <c r="C134" s="61">
        <v>0.37998</v>
      </c>
      <c r="D134">
        <v>85</v>
      </c>
      <c r="E134">
        <v>65</v>
      </c>
    </row>
    <row r="135" spans="1:5" x14ac:dyDescent="0.25">
      <c r="A135" t="s">
        <v>290</v>
      </c>
      <c r="B135" s="61">
        <v>1.68126</v>
      </c>
      <c r="C135" s="61">
        <v>0.36681</v>
      </c>
      <c r="D135">
        <v>100</v>
      </c>
      <c r="E135">
        <v>75</v>
      </c>
    </row>
    <row r="136" spans="1:5" x14ac:dyDescent="0.25">
      <c r="A136" t="s">
        <v>374</v>
      </c>
      <c r="B136" s="61">
        <v>2.1044</v>
      </c>
      <c r="C136" s="61">
        <v>0.4821</v>
      </c>
      <c r="D136">
        <v>115</v>
      </c>
      <c r="E136">
        <v>90</v>
      </c>
    </row>
    <row r="137" spans="1:5" x14ac:dyDescent="0.25">
      <c r="A137" t="s">
        <v>293</v>
      </c>
      <c r="B137" s="61">
        <v>2.39833</v>
      </c>
      <c r="C137" s="61">
        <v>0.66733</v>
      </c>
      <c r="D137">
        <v>130</v>
      </c>
      <c r="E137">
        <v>100</v>
      </c>
    </row>
    <row r="138" spans="1:5" x14ac:dyDescent="0.25">
      <c r="A138" t="s">
        <v>301</v>
      </c>
      <c r="B138" s="61">
        <v>2.95304</v>
      </c>
      <c r="C138" s="61">
        <v>0.75045</v>
      </c>
      <c r="D138">
        <v>150</v>
      </c>
      <c r="E138">
        <v>120</v>
      </c>
    </row>
    <row r="139" spans="1:5" x14ac:dyDescent="0.25">
      <c r="A139" t="s">
        <v>375</v>
      </c>
      <c r="B139" s="61">
        <v>3.63758</v>
      </c>
      <c r="C139" s="61">
        <v>0.88701</v>
      </c>
      <c r="D139">
        <v>175</v>
      </c>
      <c r="E139">
        <v>135</v>
      </c>
    </row>
    <row r="140" spans="1:5" x14ac:dyDescent="0.25">
      <c r="A140" t="s">
        <v>310</v>
      </c>
      <c r="B140" s="61">
        <v>4.5658</v>
      </c>
      <c r="C140" s="61">
        <v>1.09956</v>
      </c>
      <c r="D140">
        <v>200</v>
      </c>
      <c r="E140">
        <v>155</v>
      </c>
    </row>
    <row r="141" spans="1:5" x14ac:dyDescent="0.25">
      <c r="A141" t="s">
        <v>58</v>
      </c>
      <c r="B141" s="61">
        <v>5.73045</v>
      </c>
      <c r="C141" s="61">
        <v>1.2278</v>
      </c>
      <c r="D141">
        <v>230</v>
      </c>
      <c r="E141">
        <v>180</v>
      </c>
    </row>
    <row r="142" spans="1:5" x14ac:dyDescent="0.25">
      <c r="A142" t="s">
        <v>336</v>
      </c>
      <c r="B142" s="61">
        <v>6.64016</v>
      </c>
      <c r="C142" s="61">
        <v>1.49616</v>
      </c>
      <c r="D142">
        <v>255</v>
      </c>
      <c r="E142">
        <v>205</v>
      </c>
    </row>
    <row r="143" spans="1:5" x14ac:dyDescent="0.25">
      <c r="A143" t="s">
        <v>319</v>
      </c>
      <c r="B143" s="61">
        <v>7.9632</v>
      </c>
      <c r="C143" s="61">
        <v>2.06137</v>
      </c>
      <c r="D143">
        <v>285</v>
      </c>
      <c r="E143">
        <v>230</v>
      </c>
    </row>
    <row r="144" spans="1:5" x14ac:dyDescent="0.25">
      <c r="A144" t="s">
        <v>60</v>
      </c>
      <c r="B144" s="61">
        <v>9.32416</v>
      </c>
      <c r="C144" s="61">
        <v>2.10412</v>
      </c>
      <c r="D144">
        <v>310</v>
      </c>
      <c r="E144">
        <v>250</v>
      </c>
    </row>
    <row r="145" spans="1:5" x14ac:dyDescent="0.25">
      <c r="A145" t="s">
        <v>327</v>
      </c>
      <c r="B145" s="61">
        <v>10.60671</v>
      </c>
      <c r="C145" s="61">
        <v>2.45797</v>
      </c>
      <c r="D145">
        <v>335</v>
      </c>
      <c r="E145">
        <v>270</v>
      </c>
    </row>
    <row r="146" spans="1:5" x14ac:dyDescent="0.25">
      <c r="A146" t="s">
        <v>376</v>
      </c>
      <c r="B146" s="61">
        <v>11.334</v>
      </c>
      <c r="C146" s="61">
        <v>2.589</v>
      </c>
      <c r="D146">
        <v>355</v>
      </c>
      <c r="E146">
        <v>290</v>
      </c>
    </row>
    <row r="147" spans="1:5" x14ac:dyDescent="0.25">
      <c r="A147" t="s">
        <v>377</v>
      </c>
      <c r="B147" s="61">
        <v>13.30059</v>
      </c>
      <c r="C147" s="61">
        <v>2.7204</v>
      </c>
      <c r="D147">
        <v>380</v>
      </c>
      <c r="E147">
        <v>310</v>
      </c>
    </row>
    <row r="148" spans="1:5" x14ac:dyDescent="0.25">
      <c r="A148" t="s">
        <v>55</v>
      </c>
      <c r="B148" s="61">
        <v>16.57382</v>
      </c>
      <c r="C148" s="61">
        <v>3.44354</v>
      </c>
      <c r="D148">
        <v>420</v>
      </c>
      <c r="E148">
        <v>340</v>
      </c>
    </row>
    <row r="149" spans="1:5" x14ac:dyDescent="0.25">
      <c r="A149" t="s">
        <v>378</v>
      </c>
      <c r="B149" s="61">
        <v>0</v>
      </c>
      <c r="C149" s="61">
        <v>4.809</v>
      </c>
      <c r="D149">
        <v>460</v>
      </c>
      <c r="E149">
        <v>375</v>
      </c>
    </row>
    <row r="150" spans="1:5" x14ac:dyDescent="0.25">
      <c r="A150" t="s">
        <v>379</v>
      </c>
      <c r="B150" s="61">
        <v>25.921</v>
      </c>
      <c r="C150" s="61">
        <v>4.859</v>
      </c>
      <c r="D150">
        <v>475</v>
      </c>
      <c r="E150">
        <v>385</v>
      </c>
    </row>
    <row r="151" spans="1:5" x14ac:dyDescent="0.25">
      <c r="A151" t="s">
        <v>380</v>
      </c>
      <c r="B151" s="61">
        <v>0</v>
      </c>
      <c r="C151" s="61">
        <v>0</v>
      </c>
      <c r="D151">
        <v>490</v>
      </c>
      <c r="E151">
        <v>395</v>
      </c>
    </row>
    <row r="152" spans="1:5" x14ac:dyDescent="0.25">
      <c r="A152" t="s">
        <v>381</v>
      </c>
      <c r="B152" s="61">
        <v>0</v>
      </c>
      <c r="C152" s="61">
        <v>7.566</v>
      </c>
      <c r="D152">
        <v>520</v>
      </c>
      <c r="E152">
        <v>425</v>
      </c>
    </row>
    <row r="153" spans="1:5" x14ac:dyDescent="0.25">
      <c r="A153" t="s">
        <v>382</v>
      </c>
      <c r="B153" s="61">
        <v>34.398</v>
      </c>
      <c r="C153" s="61">
        <v>6.668</v>
      </c>
      <c r="D153">
        <v>545</v>
      </c>
      <c r="E153">
        <v>445</v>
      </c>
    </row>
    <row r="154" spans="1:1" x14ac:dyDescent="0.25">
      <c r="A154" s="2" t="s">
        <v>383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5"/>
  <sheetFormatPr defaultRowHeight="15" outlineLevelRow="0" outlineLevelCol="0" x14ac:dyDescent="55"/>
  <cols>
    <col min="1" max="1" width="114" customWidth="1"/>
  </cols>
  <sheetData>
    <row r="1" spans="1:1" x14ac:dyDescent="0.25">
      <c r="A1" s="16" t="s">
        <v>384</v>
      </c>
    </row>
    <row r="2" spans="1:1" x14ac:dyDescent="0.25">
      <c r="A2" s="63" t="s">
        <v>385</v>
      </c>
    </row>
    <row r="3" spans="1:1" x14ac:dyDescent="0.25">
      <c r="A3" s="63" t="s">
        <v>386</v>
      </c>
    </row>
    <row r="4" spans="1:1" x14ac:dyDescent="0.25">
      <c r="A4" s="63" t="s">
        <v>387</v>
      </c>
    </row>
    <row r="5" spans="1:1" x14ac:dyDescent="0.25">
      <c r="A5" s="63" t="s">
        <v>388</v>
      </c>
    </row>
    <row r="6" spans="1:1" x14ac:dyDescent="0.25">
      <c r="A6" s="63" t="s">
        <v>389</v>
      </c>
    </row>
    <row r="7" spans="1:1" x14ac:dyDescent="0.25">
      <c r="A7" s="63" t="s">
        <v>390</v>
      </c>
    </row>
    <row r="8" spans="1:1" x14ac:dyDescent="0.25">
      <c r="A8" s="63" t="s">
        <v>391</v>
      </c>
    </row>
    <row r="9" spans="1:1" x14ac:dyDescent="0.25">
      <c r="A9" s="63" t="s">
        <v>392</v>
      </c>
    </row>
    <row r="10" spans="1:1" x14ac:dyDescent="0.25">
      <c r="A10" s="63" t="s">
        <v>393</v>
      </c>
    </row>
    <row r="11" spans="1:1" x14ac:dyDescent="0.25">
      <c r="A11" s="63" t="s">
        <v>394</v>
      </c>
    </row>
    <row r="12" spans="1:1" x14ac:dyDescent="0.25">
      <c r="A12" s="63" t="s">
        <v>395</v>
      </c>
    </row>
    <row r="13" spans="1:1" x14ac:dyDescent="0.25">
      <c r="A13" s="63" t="s">
        <v>396</v>
      </c>
    </row>
    <row r="14" spans="1:1" x14ac:dyDescent="0.25">
      <c r="A14" s="63" t="s">
        <v>397</v>
      </c>
    </row>
    <row r="15" spans="1:1" x14ac:dyDescent="0.25">
      <c r="A15" s="63" t="s">
        <v>398</v>
      </c>
    </row>
    <row r="16" spans="1:1" x14ac:dyDescent="0.25">
      <c r="A16" s="63" t="s">
        <v>399</v>
      </c>
    </row>
    <row r="17" spans="1:1" x14ac:dyDescent="0.25">
      <c r="A17" s="63" t="s">
        <v>400</v>
      </c>
    </row>
    <row r="18" spans="1:1" x14ac:dyDescent="0.25">
      <c r="A18" s="63" t="s">
        <v>401</v>
      </c>
    </row>
    <row r="19" spans="1:1" x14ac:dyDescent="0.25">
      <c r="A19" s="63" t="s">
        <v>402</v>
      </c>
    </row>
    <row r="20" spans="1:1" x14ac:dyDescent="0.25">
      <c r="A20" s="63" t="s">
        <v>403</v>
      </c>
    </row>
    <row r="21" spans="1:1" x14ac:dyDescent="0.25">
      <c r="A21" s="63" t="s">
        <v>404</v>
      </c>
    </row>
    <row r="22" spans="1:1" x14ac:dyDescent="0.25">
      <c r="A22" s="63" t="s">
        <v>405</v>
      </c>
    </row>
    <row r="23" spans="1:1" x14ac:dyDescent="0.25">
      <c r="A23" s="63" t="s">
        <v>406</v>
      </c>
    </row>
    <row r="24" spans="1:1" x14ac:dyDescent="0.25">
      <c r="A24" s="63" t="s">
        <v>407</v>
      </c>
    </row>
    <row r="25" spans="1:1" x14ac:dyDescent="0.25">
      <c r="A25" s="63" t="s">
        <v>258</v>
      </c>
    </row>
    <row r="26" spans="1:1" x14ac:dyDescent="0.25">
      <c r="A26" s="16" t="s">
        <v>408</v>
      </c>
    </row>
    <row r="27" spans="1:1" x14ac:dyDescent="0.25">
      <c r="A27" s="63" t="s">
        <v>409</v>
      </c>
    </row>
    <row r="28" spans="1:1" x14ac:dyDescent="0.25">
      <c r="A28" s="63" t="s">
        <v>410</v>
      </c>
    </row>
    <row r="29" spans="1:1" x14ac:dyDescent="0.25">
      <c r="A29" s="63" t="s">
        <v>411</v>
      </c>
    </row>
    <row r="30" spans="1:1" x14ac:dyDescent="0.25">
      <c r="A30" s="63" t="s">
        <v>258</v>
      </c>
    </row>
    <row r="31" spans="1:1" x14ac:dyDescent="0.25">
      <c r="A31" s="16" t="s">
        <v>412</v>
      </c>
    </row>
    <row r="32" spans="1:1" x14ac:dyDescent="0.25">
      <c r="A32" s="63" t="s">
        <v>413</v>
      </c>
    </row>
    <row r="33" spans="1:1" x14ac:dyDescent="0.25">
      <c r="A33" s="63" t="s">
        <v>414</v>
      </c>
    </row>
    <row r="34" spans="1:1" x14ac:dyDescent="0.25">
      <c r="A34" s="63" t="s">
        <v>258</v>
      </c>
    </row>
    <row r="35" spans="1:1" x14ac:dyDescent="0.25">
      <c r="A35" s="16" t="s">
        <v>415</v>
      </c>
    </row>
    <row r="36" spans="1:1" x14ac:dyDescent="0.25">
      <c r="A36" s="63" t="s">
        <v>416</v>
      </c>
    </row>
    <row r="37" spans="1:1" x14ac:dyDescent="0.25">
      <c r="A37" s="63" t="s">
        <v>417</v>
      </c>
    </row>
    <row r="38" spans="1:1" x14ac:dyDescent="0.25">
      <c r="A38" s="63" t="s">
        <v>418</v>
      </c>
    </row>
    <row r="39" spans="1:1" x14ac:dyDescent="0.25">
      <c r="A39" s="63" t="s">
        <v>419</v>
      </c>
    </row>
    <row r="40" spans="1:1" x14ac:dyDescent="0.25">
      <c r="A40" s="63" t="s">
        <v>420</v>
      </c>
    </row>
    <row r="41" spans="1:1" x14ac:dyDescent="0.25">
      <c r="A41" s="63" t="s">
        <v>421</v>
      </c>
    </row>
    <row r="42" spans="1:1" x14ac:dyDescent="0.25">
      <c r="A42" s="63" t="s">
        <v>422</v>
      </c>
    </row>
    <row r="43" spans="1:1" x14ac:dyDescent="0.25">
      <c r="A43" s="63" t="s">
        <v>423</v>
      </c>
    </row>
    <row r="44" spans="1:1" x14ac:dyDescent="0.25">
      <c r="A44" s="63" t="s">
        <v>424</v>
      </c>
    </row>
    <row r="45" spans="1:1" x14ac:dyDescent="0.25">
      <c r="A45" s="63" t="s">
        <v>425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Intake</vt:lpstr>
      <vt:lpstr>Panel</vt:lpstr>
      <vt:lpstr>Panel 480V</vt:lpstr>
      <vt:lpstr>Panel 208V</vt:lpstr>
      <vt:lpstr>Estimate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2026-08-25T22:44:49Z</dcterms:created>
  <dcterms:modified xsi:type="dcterms:W3CDTF">2026-08-25T22:44:49Z</dcterms:modified>
</cp:coreProperties>
</file>