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Panel" state="visible" r:id="rId5"/>
    <sheet sheetId="3" name="Panel 480V" state="visible" r:id="rId6"/>
    <sheet sheetId="4" name="Panel 208V" state="visible" r:id="rId7"/>
    <sheet sheetId="5" name="Estimate" state="visible" r:id="rId8"/>
    <sheet sheetId="6" name="Costs Internal" state="visible" r:id="rId9"/>
    <sheet sheetId="7" name="ADA" state="visible" r:id="rId10"/>
    <sheet sheetId="8" name="Timeline" state="visible" r:id="rId11"/>
    <sheet sheetId="9" name="RateCard" state="visible" r:id="rId12"/>
    <sheet sheetId="10" name="Instructions" state="visible" r:id="rId13"/>
  </sheets>
  <definedNames>
    <definedName name="ModelTable">RateCard!$A$4:$O$33</definedName>
    <definedName name="SgSizes">RateCard!$A$38:$A$47</definedName>
    <definedName name="SgTable">RateCard!$A$38:$B$47</definedName>
    <definedName name="PnlSizes">RateCard!$A$51:$A$56</definedName>
    <definedName name="PnlTable">RateCard!$A$51:$B$56</definedName>
    <definedName name="TxSizes">RateCard!$A$60:$A$66</definedName>
    <definedName name="TxTable">RateCard!$A$60:$B$66</definedName>
    <definedName name="Brk480Sizes">RateCard!$A$70:$A$81</definedName>
    <definedName name="BrkTbl480">RateCard!$A$70:$B$81</definedName>
    <definedName name="Brk208Sizes">RateCard!$A$85:$A$87</definedName>
    <definedName name="BrkTbl208">RateCard!$A$85:$B$87</definedName>
    <definedName name="StdBrk">RateCard!$A$90:$A$125</definedName>
    <definedName name="WireSizes">RateCard!$A$129:$A$153</definedName>
    <definedName name="WireTable">RateCard!$A$129:$E$153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AdaVanCost">RateCard!$R$18</definedName>
    <definedName name="AdaStdCost">RateCard!$R$19</definedName>
    <definedName name="AdaAmbCost">RateCard!$R$20</definedName>
    <definedName name="AdaRampCost">RateCard!$R$21</definedName>
    <definedName name="CivilBase">RateCard!$R$22</definedName>
    <definedName name="CivilDcfc">RateCard!$R$23</definedName>
    <definedName name="CivilL2">RateCard!$R$24</definedName>
    <definedName name="SignageDcfc">RateCard!$R$25</definedName>
    <definedName name="SignageL2">RateCard!$R$26</definedName>
    <definedName name="TransformerPad">RateCard!$R$27</definedName>
    <definedName name="CommDcfc">RateCard!$R$28</definedName>
    <definedName name="CommL2">RateCard!$R$29</definedName>
    <definedName name="EquipBase">RateCard!$R$30</definedName>
    <definedName name="EquipPerDay">RateCard!$R$31</definedName>
    <definedName name="NTotal">Intake!$B$30</definedName>
    <definedName name="NDcfc">Intake!$B$31</definedName>
    <definedName name="NumL2">Intake!$B$32</definedName>
    <definedName name="NPorts">Intake!$B$33</definedName>
    <definedName name="RunFtDcfc">Intake!$B$36</definedName>
    <definedName name="RunFtL2">Intake!$B$37</definedName>
    <definedName name="StepFt">Intake!$B$38</definedName>
    <definedName name="Terrain">Intake!$B$39</definedName>
    <definedName name="TrenchFt">Intake!$B$40</definedName>
    <definedName name="LaborDays">Intake!$B$41</definedName>
    <definedName name="WireTotal">Intake!$H$54</definedName>
    <definedName name="LaborBase">Intake!$D$61</definedName>
    <definedName name="IncHardware">Intake!$B$64</definedName>
    <definedName name="IncSitePlan">Intake!$B$65</definedName>
    <definedName name="IncSLD">Intake!$B$66</definedName>
    <definedName name="IncCpm">Intake!$B$67</definedName>
    <definedName name="IncPermits">Intake!$B$68</definedName>
    <definedName name="IncGpr">Intake!$B$69</definedName>
    <definedName name="HardwareFactor">Intake!$B$72</definedName>
    <definedName name="RebateAmt">Intake!$B$73</definedName>
    <definedName name="NetworkFeeMo">Intake!$B$74</definedName>
    <definedName name="ContractYears">Intake!$B$75</definedName>
    <definedName name="ServicePlanYr">Intake!$B$76</definedName>
    <definedName name="SgSuggested">Panel!$F$15</definedName>
    <definedName name="TxKvaConnected">Panel!$F$33</definedName>
    <definedName name="TxKvaSuggested">Panel!$F$35</definedName>
    <definedName name="GearTotal">Panel!$F$51</definedName>
    <definedName name="ConstructionTotal">Estimate!$B$20</definedName>
    <definedName name="LaborCost">Estimate!$B$22</definedName>
    <definedName name="Valuation">Estimate!$B$24</definedName>
    <definedName name="TotalCost">Estimate!$B$40</definedName>
    <definedName name="CustomerTotal">Estimate!$B$42</definedName>
    <definedName name="AdaVan">ADA!$B$4</definedName>
    <definedName name="AdaStd">ADA!$B$5</definedName>
    <definedName name="AdaAmb">ADA!$B$6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<sst xmlns="http://schemas.openxmlformats.org/spreadsheetml/2006/main" count="678" uniqueCount="388">
  <si>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</si>
  <si>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</si>
  <si>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</si>
  <si>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</si>
  <si>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</si>
  <si>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</si>
  <si>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</si>
  <si>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</si>
  <si>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</si>
  <si>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</si>
  <si>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</si>
  <si>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</si>
  <si>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</si>
  <si>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</si>
  <si>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</si>
  <si>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</si>
  <si>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</si>
  <si>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</si>
  <si>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</si>
  <si>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</si>
  <si>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</si>
  <si>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</si>
  <si>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</si>
  <si>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</si>
  <si>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</si>
  <si>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</si>
  <si>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</si>
  <si>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</si>
  <si>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</si>
  <si>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</si>
  <si>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</si>
  <si>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</si>
  <si>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</si>
  <si>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</si>
  <si>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</si>
  <si>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</si>
  <si>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</si>
  <si>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Trench length (ft) — overtype if surveyed</t>
  </si>
  <si>
    <t>Construction labor days — overtype if known</t>
  </si>
  <si>
    <t>WIRE RUNS &amp; FEEDERS — size, material, runs and one-way ft are editable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</si>
  <si>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</si>
  <si>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</si>
  <si>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</si>
  <si>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</si>
  <si>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</si>
  <si>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</si>
  <si>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</si>
  <si>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</si>
  <si>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</si>
  <si>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</si>
  <si>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</si>
  <si>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</si>
  <si>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</si>
  <si>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</si>
  <si>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</si>
  <si>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</si>
  <si>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</si>
  <si>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</si>
  <si>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</si>
  <si>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</si>
  <si>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</si>
  <si>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</si>
  <si>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</si>
  <si>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</si>
  <si>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</si>
  <si>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</si>
  <si>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</si>
  <si>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</si>
  <si>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</si>
  <si>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</si>
  <si>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</si>
  <si>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</si>
  <si>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</si>
  <si>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</si>
  <si>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</si>
  <si>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</si>
  <si>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</si>
  <si>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</si>
  <si>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CBC 11B-812 accessible stalls required</t>
  </si>
  <si>
    <t>Main gear (auto — Panel sheet)</t>
  </si>
  <si>
    <t>TOTAL ESTIMATE</t>
  </si>
  <si>
    <t>CUSTOMER TOTAL (after rebate)</t>
  </si>
  <si>
    <t>Panel Schedules — auto from Intake (mirrors the app's algorithm, NEC 625 continuous loads at 125%)</t>
  </si>
  <si>
    <t>PANEL SCHEDULE 1 — 480V SWITCHGEAR (LEVEL 3 / DCFC)</t>
  </si>
  <si>
    <t>Breaker A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</si>
  <si>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</si>
  <si>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</si>
  <si>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</si>
  <si>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</si>
  <si>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</si>
  <si>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</si>
  <si>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</si>
  <si>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Suggested main switchgear (A)</t>
  </si>
  <si>
    <t>Switchgear price (website catalog)</t>
  </si>
  <si>
    <t>PANEL SCHEDULE 2 — 208V PANEL (LEVEL 2)</t>
  </si>
  <si>
    <t>208V bus connected amps</t>
  </si>
  <si>
    <t>208V bus demand amps (×125%)</t>
  </si>
  <si>
    <t>Suggested 208V panel (A)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</si>
  <si>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</si>
  <si>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</si>
  <si>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</si>
  <si>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</si>
  <si>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</si>
  <si>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Suggested transformer (kVA)</t>
  </si>
  <si>
    <t>Transformer price</t>
  </si>
  <si>
    <t>Primary FLA at 480V (selected TX)</t>
  </si>
  <si>
    <t>Primary breaker (125% of FLA, next standard)</t>
  </si>
  <si>
    <t>Primary breaker price</t>
  </si>
  <si>
    <t>BRANCH BREAKERS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</si>
  <si>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</si>
  <si>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</si>
  <si>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</si>
  <si>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</si>
  <si>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</si>
  <si>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</si>
  <si>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PANEL SCHEDULE</t>
  </si>
  <si>
    <t>engine — do not edit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</si>
  <si>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</si>
  <si>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</si>
  <si>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</si>
  <si>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</si>
  <si>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</si>
  <si>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</si>
  <si>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</si>
  <si>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</si>
  <si>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</si>
  <si>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</si>
  <si>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</si>
  <si>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</si>
  <si>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</si>
  <si>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</si>
  <si>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</si>
  <si>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</si>
  <si>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</si>
  <si>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</si>
  <si>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</si>
  <si>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</si>
  <si>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</si>
  <si>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</si>
  <si>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</si>
  <si>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</si>
  <si>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</si>
  <si>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</si>
  <si>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</si>
  <si>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</si>
  <si>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</si>
  <si>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</si>
  <si>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</si>
  <si>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</si>
  <si>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</si>
  <si>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</si>
  <si>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</si>
  <si>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</si>
  <si>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</si>
  <si>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</si>
  <si>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</si>
  <si>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</si>
  <si>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(Intake block) + conduit &amp; install allowance</t>
  </si>
  <si>
    <t>Switchgear, panels &amp; transformer (Panel sheet)</t>
  </si>
  <si>
    <t>Trenching / asphalt cut (terrain-adjusted)</t>
  </si>
  <si>
    <t>Civil (concrete, rebar, wheel stops)</t>
  </si>
  <si>
    <t>Signage, striping &amp; bollards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</si>
  <si>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</si>
  <si>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</si>
  <si>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</si>
  <si>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</si>
  <si>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</si>
  <si>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</si>
  <si>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</si>
  <si>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</si>
  <si>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</si>
  <si>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</si>
  <si>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</si>
  <si>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</si>
  <si>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</si>
  <si>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</si>
  <si>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</si>
  <si>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</si>
  <si>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</si>
  <si>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</si>
  <si>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</si>
  <si>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— hours in col C</t>
  </si>
  <si>
    <t>Plan check (AHJ, % of valuation for DCFC)</t>
  </si>
  <si>
    <t>Design subtotal</t>
  </si>
  <si>
    <t>TOTAL PROJECT COST</t>
  </si>
  <si>
    <t>Less: rebates / incentives (CALeVIP etc.)</t>
  </si>
  <si>
    <t>Electrical Supply &amp; Construction Management Costs</t>
  </si>
  <si>
    <t>Quantity</t>
  </si>
  <si>
    <t>Individual Cost</t>
  </si>
  <si>
    <t>Final Cost</t>
  </si>
  <si>
    <t>Total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</si>
  <si>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</si>
  <si>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</si>
  <si>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</si>
  <si>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</si>
  <si>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</si>
  <si>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</si>
  <si>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</si>
  <si>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</si>
  <si>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</si>
  <si>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</si>
  <si>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</si>
  <si>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</si>
  <si>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</si>
  <si>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</si>
  <si>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</si>
  <si>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</si>
  <si>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</si>
  <si>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11B-812 (auto from Intake)</t>
  </si>
  <si>
    <t>Total chargers (from Intake)</t>
  </si>
  <si>
    <t>Van accessible (12 ft + 5 ft aisle)</t>
  </si>
  <si>
    <t>Standard accessible (9 ft + 5 ft aisle)</t>
  </si>
  <si>
    <t>Ambulatory (10 ft, no aisle)</t>
  </si>
  <si>
    <t>Total accessible stalls</t>
  </si>
  <si>
    <t>Terrain regrade factor (2% slope rule)</t>
  </si>
  <si>
    <t>ADA construction cost</t>
  </si>
  <si>
    <t>CBC Table 11B-228.3.2.1 (2022 CBC — van divisor is 300; verify with your AHJ):</t>
  </si>
  <si>
    <t>Total EVCS</t>
  </si>
  <si>
    <t>Van</t>
  </si>
  <si>
    <t>Standard</t>
  </si>
  <si>
    <t>Ambulatory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</si>
  <si>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</si>
  <si>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</si>
  <si>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</si>
  <si>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</si>
  <si>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</si>
  <si>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</si>
  <si>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</si>
  <si>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</si>
  <si>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</si>
  <si>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</si>
  <si>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</si>
  <si>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</si>
  <si>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</si>
  <si>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</si>
  <si>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</si>
  <si>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</si>
  <si>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</si>
  <si>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</si>
  <si>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</si>
  <si>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</si>
  <si>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</si>
  <si>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</si>
  <si>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</si>
  <si>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</si>
  <si>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</si>
  <si>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</si>
  <si>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</si>
  <si>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</si>
  <si>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</si>
  <si>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</si>
  <si>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</si>
  <si>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</si>
  <si>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</si>
  <si>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</si>
  <si>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</si>
  <si>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</si>
  <si>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</si>
  <si>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</si>
  <si>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</si>
  <si>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</si>
  <si>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</si>
  <si>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</si>
  <si>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</si>
  <si>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</si>
  <si>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</si>
  <si>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</si>
  <si>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</si>
  <si>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</si>
  <si>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</si>
  <si>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</si>
  <si>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</si>
  <si>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</si>
  <si>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</si>
  <si>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</si>
  <si>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</si>
  <si>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</si>
  <si>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</si>
  <si>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</si>
  <si>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</si>
  <si>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</si>
  <si>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</si>
  <si>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</si>
  <si>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</si>
  <si>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</si>
  <si>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</si>
  <si>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</si>
  <si>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</si>
  <si>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</si>
  <si>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</si>
  <si>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</t>
  </si>
  <si>
    <t>DCFC 60kW</t>
  </si>
  <si>
    <t>PM hourly rate (CPM)</t>
  </si>
  <si>
    <t>DCFC 60kW Dual</t>
  </si>
  <si>
    <t>CPM % of construction</t>
  </si>
  <si>
    <t>DCFC 100kW</t>
  </si>
  <si>
    <t>3/0 AWG</t>
  </si>
  <si>
    <t>GPR scan $/day</t>
  </si>
  <si>
    <t>DCFC 100kW Dual</t>
  </si>
  <si>
    <t>GPR trench-ft per day</t>
  </si>
  <si>
    <t>DCFC 120kW</t>
  </si>
  <si>
    <t>ADA van stall $ (flat lot)</t>
  </si>
  <si>
    <t>DCFC 120kW Dual</t>
  </si>
  <si>
    <t>ADA standard stall $ (flat lot)</t>
  </si>
  <si>
    <t>DCFC 160kW</t>
  </si>
  <si>
    <t>300 kcmil</t>
  </si>
  <si>
    <t>ADA ambulatory stall $ (flat lot)</t>
  </si>
  <si>
    <t>DCFC 160kW Dual</t>
  </si>
  <si>
    <t>ADA ramp $</t>
  </si>
  <si>
    <t>DCFC 180kW</t>
  </si>
  <si>
    <t>Civil mobilization base $</t>
  </si>
  <si>
    <t>DCFC 180kW Dual</t>
  </si>
  <si>
    <t>Civil $/DCFC (concrete, rebar, stops)</t>
  </si>
  <si>
    <t>400 kcmil</t>
  </si>
  <si>
    <t>Civil $/L2</t>
  </si>
  <si>
    <t>DCFC 200kW Dual</t>
  </si>
  <si>
    <t>Signage+bollards $/DCFC</t>
  </si>
  <si>
    <t>DCFC 240kW</t>
  </si>
  <si>
    <t>Signage $/L2</t>
  </si>
  <si>
    <t>DCFC 240kW Dual</t>
  </si>
  <si>
    <t>Utility transformer pad $ (DCFC)</t>
  </si>
  <si>
    <t>DCFC 275kW</t>
  </si>
  <si>
    <t>250 kcmil</t>
  </si>
  <si>
    <t>Commissioning $/DCFC</t>
  </si>
  <si>
    <t>DCFC 275kW Dual</t>
  </si>
  <si>
    <t>Commissioning $/L2</t>
  </si>
  <si>
    <t>DCFC 300kW</t>
  </si>
  <si>
    <t>Equipment rentals base $</t>
  </si>
  <si>
    <t>DCFC 300kW Dual</t>
  </si>
  <si>
    <t>Equipment rentals $/labor-day</t>
  </si>
  <si>
    <t>DCFC 360kW</t>
  </si>
  <si>
    <t>DCFC 360kW Dual</t>
  </si>
  <si>
    <t>Install $/u = conduit, terminations &amp; install hardware (engine-calibrated) — wire is priced on the Intake's Wire Runs block. Hardware $/u are budgetary — swap in CTX/vendor quotes.</t>
  </si>
  <si>
    <t>Main switchgear 480V (website catalog)</t>
  </si>
  <si>
    <t>Size</t>
  </si>
  <si>
    <t>Price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</si>
  <si>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</si>
  <si>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</si>
  <si>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</si>
  <si>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</si>
  <si>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</si>
  <si>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</si>
  <si>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</si>
  <si>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</si>
  <si>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</si>
  <si>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</si>
  <si>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</si>
  <si>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</si>
  <si>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</si>
  <si>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8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</si>
  <si>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</si>
  <si>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</si>
  <si>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</si>
  <si>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</si>
  <si>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</si>
  <si>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</si>
  <si>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</si>
  <si>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</si>
  <si>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</si>
  <si>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</si>
  <si>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</si>
  <si>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</si>
  <si>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</si>
  <si>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</si>
  <si>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</si>
  <si>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WIRE RUNS &amp; FEEDERS: every run's wire size, material (Cu/Al), runs and one-way ft is editable — like the V18 workbooks.</t>
  </si>
  <si>
    <t xml:space="preserve">   Defaults auto-fill from the model and site distances; overtyping a yellow cell replaces its default formula. On long DCFC or</t>
  </si>
  <si>
    <t xml:space="preserve">   feeder runs, extra parallel runs split the amps so each set can use smaller wire — often cheaper than one fat conductor.</t>
  </si>
  <si>
    <t xml:space="preserve">   LABOR BREAKDOWN: itemize by role/phase (foreman, crew, flagger…); the total feeds the estimate, contingency-loaded.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</si>
  <si>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</si>
  <si>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</si>
  <si>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</si>
  <si>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</si>
  <si>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</si>
  <si>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</si>
  <si>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</si>
  <si>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</si>
  <si>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</si>
  <si>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</si>
  <si>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</si>
  <si>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</si>
  <si>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</si>
  <si>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</si>
  <si>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11B-812: van $6.5k, standard $4.9k (shop bid rate), ambulatory $3.5k flat-lot, ramp $5.2k. Markings must NOT be blue.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</si>
  <si>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</si>
  <si>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CPM = 5% of construction at $358/h.</t>
  </si>
  <si>
    <t>• 450 kcmil: ampacity and the Al $/ft are interpolated (not NEC 310.16 / not on the vendor list) — verify before quoting.</t>
  </si>
  <si>
    <t>• Charger hardware and 'budgetary' breaker prices are allowances — swap in CTX price-book /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</si>
</sst>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b/>
      <sz val="12"/>
    </font>
    <font>
      <i/>
      <color rgb="FFB45309"/>
      <sz val="9"/>
    </font>
    <font>
      <i/>
      <color rgb="FF999999"/>
      <sz val="8"/>
    </font>
    <font>
      <sz val="8"/>
    </font>
    <font>
      <i/>
      <color rgb="FFB45309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165" fontId="3" fillId="0" borderId="0" xfId="0" applyNumberFormat="1" applyFont="1"/>
    <xf numFmtId="165" fontId="0" fillId="2" borderId="1" xfId="0" applyNumberFormat="1" applyFill="1" applyBorder="1"/>
    <xf numFmtId="0" fontId="6" fillId="0" borderId="0" xfId="0" applyFont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9" fillId="3" borderId="0" xfId="0" applyNumberFormat="1" applyFont="1" applyFill="1"/>
    <xf numFmtId="0" fontId="10" fillId="0" borderId="0" xfId="0" applyFont="1"/>
    <xf numFmtId="0" fontId="8" fillId="0" borderId="0" xfId="0" applyFont="1" applyAlignment="1">
      <alignment horizontal="center"/>
    </xf>
    <xf numFmtId="0" fontId="11" fillId="0" borderId="0" xfId="0" applyFont="1"/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2" fillId="0" borderId="0" xfId="0" applyFont="1"/>
    <xf numFmtId="3" fontId="0" fillId="0" borderId="0" xfId="0" applyNumberFormat="1"/>
    <xf numFmtId="166" fontId="0" fillId="0" borderId="0" xfId="0" applyNumberFormat="1"/>
    <xf numFmtId="0" fontId="13" fillId="0" borderId="0" xfId="0" applyFon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" fontId="0" fillId="0" borderId="0" xfId="0" applyNumberFormat="1"/>
    <xf numFmtId="165" fontId="9" fillId="0" borderId="0" xfId="0" applyNumberFormat="1" applyFont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65" fontId="0" fillId="2" borderId="0" xfId="0" applyNumberFormat="1" applyFill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IFERROR($B23*VLOOKUP($A23,ModelTable,3,FALSE),0)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IFERROR($B24*VLOOKUP($A24,ModelTable,3,FALSE),0)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IFERROR($B25*VLOOKUP($A25,ModelTable,3,FALSE),0)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IFERROR($B26*VLOOKUP($A26,ModelTable,3,FALSE),0)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IFERROR($B27*VLOOKUP($A27,ModelTable,3,FALSE),0)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IFERROR($B28*VLOOKUP($A28,ModelTable,3,FALSE),0)</f>
      </c>
      <c r="F28" s="9">
        <f>IFERROR($B28*VLOOKUP($A28,ModelTable,2,FALSE),0)</f>
      </c>
      <c r="G28">
        <f>IFERROR($B28*VLOOKUP($A28,ModelTable,9,FALSE),0)</f>
      </c>
    </row>
    <row r="30" spans="1:2" x14ac:dyDescent="0.25">
      <c r="A30" s="4" t="s">
        <v>27</v>
      </c>
      <c r="B30">
        <f>SUM(B23:B28)</f>
      </c>
    </row>
    <row r="31" spans="1:2" x14ac:dyDescent="0.25">
      <c r="A31" s="4" t="s">
        <v>28</v>
      </c>
      <c r="B31">
        <f>SUMPRODUCT((D23:D28="DCFC")*B23:B28)</f>
      </c>
    </row>
    <row r="32" spans="1:2" x14ac:dyDescent="0.25">
      <c r="A32" s="4" t="s">
        <v>29</v>
      </c>
      <c r="B32">
        <f>SUMPRODUCT((D23:D28="L2")*B23:B28)</f>
      </c>
    </row>
    <row r="33" spans="1:2" x14ac:dyDescent="0.25">
      <c r="A33" s="4" t="s">
        <v>30</v>
      </c>
      <c r="B33">
        <f>SUM(G23:G28)</f>
      </c>
    </row>
    <row r="35" spans="1:1" x14ac:dyDescent="0.25">
      <c r="A35" s="3" t="s">
        <v>31</v>
      </c>
    </row>
    <row r="36" spans="1:2" x14ac:dyDescent="0.25">
      <c r="A36" s="4" t="s">
        <v>32</v>
      </c>
      <c r="B36" s="5">
        <v>100</v>
      </c>
    </row>
    <row r="37" spans="1:2" x14ac:dyDescent="0.25">
      <c r="A37" s="4" t="s">
        <v>33</v>
      </c>
      <c r="B37" s="5">
        <v>100</v>
      </c>
    </row>
    <row r="38" spans="1:2" x14ac:dyDescent="0.25">
      <c r="A38" s="4" t="s">
        <v>34</v>
      </c>
      <c r="B38" s="5">
        <v>15</v>
      </c>
    </row>
    <row r="39" spans="1:2" x14ac:dyDescent="0.25">
      <c r="A39" s="4" t="s">
        <v>35</v>
      </c>
      <c r="B39" s="5" t="s">
        <v>36</v>
      </c>
    </row>
    <row r="40" spans="1:2" x14ac:dyDescent="0.25">
      <c r="A40" s="4" t="s">
        <v>37</v>
      </c>
      <c r="B40" s="5">
        <f>IF(NDcfc&gt;0,RunFtDcfc+StepFt*(NDcfc-1),0)+IF(NumL2&gt;0,RunFtL2+StepFt*(NumL2-1),0)</f>
      </c>
    </row>
    <row r="41" spans="1:2" x14ac:dyDescent="0.25">
      <c r="A41" s="4" t="s">
        <v>38</v>
      </c>
      <c r="B41" s="5">
        <f>IF(NTotal&lt;=0,0,ROUNDUP((8+2.5*NDcfc+1*NumL2+TrenchFt/40)*VLOOKUP(Terrain,TerrainTable,3,FALSE),0))</f>
      </c>
    </row>
    <row r="43" spans="1:1" x14ac:dyDescent="0.25">
      <c r="A43" s="3" t="s">
        <v>39</v>
      </c>
    </row>
    <row r="44" spans="1:8" x14ac:dyDescent="0.25">
      <c r="A44" s="7" t="s">
        <v>40</v>
      </c>
      <c r="B44" s="7" t="s">
        <v>41</v>
      </c>
      <c r="C44" s="7" t="s">
        <v>42</v>
      </c>
      <c r="D44" s="7" t="s">
        <v>43</v>
      </c>
      <c r="E44" s="7" t="s">
        <v>44</v>
      </c>
      <c r="F44" s="7" t="s">
        <v>45</v>
      </c>
      <c r="G44" s="7" t="s">
        <v>46</v>
      </c>
      <c r="H44" s="7" t="s">
        <v>47</v>
      </c>
    </row>
    <row r="45" spans="1:8" x14ac:dyDescent="0.25">
      <c r="A45">
        <f>IF($A$23&lt;&gt;"",$A$23,"")</f>
      </c>
      <c r="B45" s="5">
        <f>IFERROR(VLOOKUP($A$23,ModelTable,14,FALSE),"")</f>
      </c>
      <c r="C45" s="5">
        <f>IFERROR(VLOOKUP($A$23,ModelTable,15,FALSE),"Cu")</f>
      </c>
      <c r="D45" s="5">
        <f>IFERROR($B$23*VLOOKUP($A$23,ModelTable,12,FALSE),0)</f>
      </c>
      <c r="E45">
        <f>IFERROR(VLOOKUP($A$23,ModelTable,13,FALSE),0)</f>
      </c>
      <c r="F45" s="5">
        <f>IF($B$23&gt;0,IF($D$23="DCFC",RunFtDcfc,RunFtL2)+StepFt*(0+($B$23-1)/2),0)</f>
      </c>
      <c r="G45" s="9">
        <f>IF(OR($B$45="",$D$45=0),0,IF($C$45="Cu",VLOOKUP($B$45,WireTable,2,FALSE),VLOOKUP($B$45,WireTable,3,FALSE)))</f>
      </c>
      <c r="H45" s="9">
        <f>$D$45*$E$45*$F$45*$G$45</f>
      </c>
    </row>
    <row r="46" spans="1:8" x14ac:dyDescent="0.25">
      <c r="A46">
        <f>IF($A$24&lt;&gt;"",$A$24,"")</f>
      </c>
      <c r="B46" s="5">
        <f>IFERROR(VLOOKUP($A$24,ModelTable,14,FALSE),"")</f>
      </c>
      <c r="C46" s="5">
        <f>IFERROR(VLOOKUP($A$24,ModelTable,15,FALSE),"Cu")</f>
      </c>
      <c r="D46" s="5">
        <f>IFERROR($B$24*VLOOKUP($A$24,ModelTable,12,FALSE),0)</f>
      </c>
      <c r="E46">
        <f>IFERROR(VLOOKUP($A$24,ModelTable,13,FALSE),0)</f>
      </c>
      <c r="F46" s="5">
        <f>IF($B$24&gt;0,IF($D$24="DCFC",RunFtDcfc,RunFtL2)+StepFt*(SUMPRODUCT(($D$23:$D$23=$D$24)*$B$23:$B$23)+($B$24-1)/2),0)</f>
      </c>
      <c r="G46" s="9">
        <f>IF(OR($B$46="",$D$46=0),0,IF($C$46="Cu",VLOOKUP($B$46,WireTable,2,FALSE),VLOOKUP($B$46,WireTable,3,FALSE)))</f>
      </c>
      <c r="H46" s="9">
        <f>$D$46*$E$46*$F$46*$G$46</f>
      </c>
    </row>
    <row r="47" spans="1:8" x14ac:dyDescent="0.25">
      <c r="A47">
        <f>IF($A$25&lt;&gt;"",$A$25,"")</f>
      </c>
      <c r="B47" s="5">
        <f>IFERROR(VLOOKUP($A$25,ModelTable,14,FALSE),"")</f>
      </c>
      <c r="C47" s="5">
        <f>IFERROR(VLOOKUP($A$25,ModelTable,15,FALSE),"Cu")</f>
      </c>
      <c r="D47" s="5">
        <f>IFERROR($B$25*VLOOKUP($A$25,ModelTable,12,FALSE),0)</f>
      </c>
      <c r="E47">
        <f>IFERROR(VLOOKUP($A$25,ModelTable,13,FALSE),0)</f>
      </c>
      <c r="F47" s="5">
        <f>IF($B$25&gt;0,IF($D$25="DCFC",RunFtDcfc,RunFtL2)+StepFt*(SUMPRODUCT(($D$23:$D$24=$D$25)*$B$23:$B$24)+($B$25-1)/2),0)</f>
      </c>
      <c r="G47" s="9">
        <f>IF(OR($B$47="",$D$47=0),0,IF($C$47="Cu",VLOOKUP($B$47,WireTable,2,FALSE),VLOOKUP($B$47,WireTable,3,FALSE)))</f>
      </c>
      <c r="H47" s="9">
        <f>$D$47*$E$47*$F$47*$G$47</f>
      </c>
    </row>
    <row r="48" spans="1:8" x14ac:dyDescent="0.25">
      <c r="A48">
        <f>IF($A$26&lt;&gt;"",$A$26,"")</f>
      </c>
      <c r="B48" s="5">
        <f>IFERROR(VLOOKUP($A$26,ModelTable,14,FALSE),"")</f>
      </c>
      <c r="C48" s="5">
        <f>IFERROR(VLOOKUP($A$26,ModelTable,15,FALSE),"Cu")</f>
      </c>
      <c r="D48" s="5">
        <f>IFERROR($B$26*VLOOKUP($A$26,ModelTable,12,FALSE),0)</f>
      </c>
      <c r="E48">
        <f>IFERROR(VLOOKUP($A$26,ModelTable,13,FALSE),0)</f>
      </c>
      <c r="F48" s="5">
        <f>IF($B$26&gt;0,IF($D$26="DCFC",RunFtDcfc,RunFtL2)+StepFt*(SUMPRODUCT(($D$23:$D$25=$D$26)*$B$23:$B$25)+($B$26-1)/2),0)</f>
      </c>
      <c r="G48" s="9">
        <f>IF(OR($B$48="",$D$48=0),0,IF($C$48="Cu",VLOOKUP($B$48,WireTable,2,FALSE),VLOOKUP($B$48,WireTable,3,FALSE)))</f>
      </c>
      <c r="H48" s="9">
        <f>$D$48*$E$48*$F$48*$G$48</f>
      </c>
    </row>
    <row r="49" spans="1:8" x14ac:dyDescent="0.25">
      <c r="A49">
        <f>IF($A$27&lt;&gt;"",$A$27,"")</f>
      </c>
      <c r="B49" s="5">
        <f>IFERROR(VLOOKUP($A$27,ModelTable,14,FALSE),"")</f>
      </c>
      <c r="C49" s="5">
        <f>IFERROR(VLOOKUP($A$27,ModelTable,15,FALSE),"Cu")</f>
      </c>
      <c r="D49" s="5">
        <f>IFERROR($B$27*VLOOKUP($A$27,ModelTable,12,FALSE),0)</f>
      </c>
      <c r="E49">
        <f>IFERROR(VLOOKUP($A$27,ModelTable,13,FALSE),0)</f>
      </c>
      <c r="F49" s="5">
        <f>IF($B$27&gt;0,IF($D$27="DCFC",RunFtDcfc,RunFtL2)+StepFt*(SUMPRODUCT(($D$23:$D$26=$D$27)*$B$23:$B$26)+($B$27-1)/2),0)</f>
      </c>
      <c r="G49" s="9">
        <f>IF(OR($B$49="",$D$49=0),0,IF($C$49="Cu",VLOOKUP($B$49,WireTable,2,FALSE),VLOOKUP($B$49,WireTable,3,FALSE)))</f>
      </c>
      <c r="H49" s="9">
        <f>$D$49*$E$49*$F$49*$G$49</f>
      </c>
    </row>
    <row r="50" spans="1:8" x14ac:dyDescent="0.25">
      <c r="A50">
        <f>IF($A$28&lt;&gt;"",$A$28,"")</f>
      </c>
      <c r="B50" s="5">
        <f>IFERROR(VLOOKUP($A$28,ModelTable,14,FALSE),"")</f>
      </c>
      <c r="C50" s="5">
        <f>IFERROR(VLOOKUP($A$28,ModelTable,15,FALSE),"Cu")</f>
      </c>
      <c r="D50" s="5">
        <f>IFERROR($B$28*VLOOKUP($A$28,ModelTable,12,FALSE),0)</f>
      </c>
      <c r="E50">
        <f>IFERROR(VLOOKUP($A$28,ModelTable,13,FALSE),0)</f>
      </c>
      <c r="F50" s="5">
        <f>IF($B$28&gt;0,IF($D$28="DCFC",RunFtDcfc,RunFtL2)+StepFt*(SUMPRODUCT(($D$23:$D$27=$D$28)*$B$23:$B$27)+($B$28-1)/2),0)</f>
      </c>
      <c r="G50" s="9">
        <f>IF(OR($B$50="",$D$50=0),0,IF($C$50="Cu",VLOOKUP($B$50,WireTable,2,FALSE),VLOOKUP($B$50,WireTable,3,FALSE)))</f>
      </c>
      <c r="H50" s="9">
        <f>$D$50*$E$50*$F$50*$G$50</f>
      </c>
    </row>
    <row r="51" spans="1:8" x14ac:dyDescent="0.25">
      <c r="A51" t="s">
        <v>48</v>
      </c>
      <c r="B51" s="5" t="s">
        <v>49</v>
      </c>
      <c r="C51" s="5" t="s">
        <v>50</v>
      </c>
      <c r="D51" s="5">
        <f>IF(NDcfc&gt;0,MAX(1,ROUNDUP(Panel!$F$13*1.25/VLOOKUP($B$51,WireTable,IF($C$51="Cu",4,5),FALSE),0)),0)</f>
      </c>
      <c r="E51">
        <v>4</v>
      </c>
      <c r="F51" s="5">
        <v>25</v>
      </c>
      <c r="G51" s="9">
        <f>IF(OR($B$51="",$D$51=0),0,IF($C$51="Cu",VLOOKUP($B$51,WireTable,2,FALSE),VLOOKUP($B$51,WireTable,3,FALSE)))</f>
      </c>
      <c r="H51" s="9">
        <f>$D$51*$E$51*$F$51*$G$51</f>
      </c>
    </row>
    <row r="52" spans="1:8" x14ac:dyDescent="0.25">
      <c r="A52" t="s">
        <v>51</v>
      </c>
      <c r="B52" s="5" t="s">
        <v>52</v>
      </c>
      <c r="C52" s="5" t="s">
        <v>50</v>
      </c>
      <c r="D52" s="5">
        <f>IF(TxKvaSuggested&gt;0,MAX(1,ROUNDUP(Panel!$F$37*1.25/VLOOKUP($B$52,WireTable,IF($C$52="Cu",4,5),FALSE),0)),0)</f>
      </c>
      <c r="E52">
        <v>4</v>
      </c>
      <c r="F52" s="5">
        <v>15</v>
      </c>
      <c r="G52" s="9">
        <f>IF(OR($B$52="",$D$52=0),0,IF($C$52="Cu",VLOOKUP($B$52,WireTable,2,FALSE),VLOOKUP($B$52,WireTable,3,FALSE)))</f>
      </c>
      <c r="H52" s="9">
        <f>$D$52*$E$52*$F$52*$G$52</f>
      </c>
    </row>
    <row r="53" spans="1:8" x14ac:dyDescent="0.25">
      <c r="A53" t="s">
        <v>53</v>
      </c>
      <c r="B53" s="5" t="s">
        <v>54</v>
      </c>
      <c r="C53" s="5" t="s">
        <v>50</v>
      </c>
      <c r="D53" s="5">
        <f>IF(NumL2&gt;0,MAX(1,ROUNDUP(IF(TxKvaSuggested&gt;0,TxKvaSuggested*1000/(208*SQRT(3)),Panel!$F$26)*1.25/VLOOKUP($B$53,WireTable,IF($C$53="Cu",4,5),FALSE),0)),0)</f>
      </c>
      <c r="E53">
        <v>4</v>
      </c>
      <c r="F53" s="5">
        <v>15</v>
      </c>
      <c r="G53" s="9">
        <f>IF(OR($B$53="",$D$53=0),0,IF($C$53="Cu",VLOOKUP($B$53,WireTable,2,FALSE),VLOOKUP($B$53,WireTable,3,FALSE)))</f>
      </c>
      <c r="H53" s="9">
        <f>$D$53*$E$53*$F$53*$G$53</f>
      </c>
    </row>
    <row r="54" spans="1:8" x14ac:dyDescent="0.25">
      <c r="A54" s="3" t="s">
        <v>55</v>
      </c>
      <c r="H54" s="10">
        <f>SUM(H45:H53)</f>
      </c>
    </row>
    <row r="56" spans="1:1" x14ac:dyDescent="0.25">
      <c r="A56" s="3" t="s">
        <v>56</v>
      </c>
    </row>
    <row r="57" spans="1:4" x14ac:dyDescent="0.25">
      <c r="A57" s="7" t="s">
        <v>57</v>
      </c>
      <c r="B57" s="7" t="s">
        <v>58</v>
      </c>
      <c r="C57" s="7" t="s">
        <v>59</v>
      </c>
      <c r="D57" s="7" t="s">
        <v>60</v>
      </c>
    </row>
    <row r="58" spans="1:4" x14ac:dyDescent="0.25">
      <c r="A58" s="5" t="s">
        <v>61</v>
      </c>
      <c r="B58" s="5">
        <f>LaborDays</f>
      </c>
      <c r="C58" s="11">
        <f>LaborDayRate</f>
      </c>
      <c r="D58" s="9">
        <f>$B$58*$C$58</f>
      </c>
    </row>
    <row r="59" spans="1:4" x14ac:dyDescent="0.25">
      <c r="A59" s="5"/>
      <c r="B59" s="5">
        <v>0</v>
      </c>
      <c r="C59" s="11">
        <v>0</v>
      </c>
      <c r="D59" s="9">
        <f>$B$59*$C$59</f>
      </c>
    </row>
    <row r="60" spans="1:4" x14ac:dyDescent="0.25">
      <c r="A60" s="5"/>
      <c r="B60" s="5">
        <v>0</v>
      </c>
      <c r="C60" s="11">
        <v>0</v>
      </c>
      <c r="D60" s="9">
        <f>$B$60*$C$60</f>
      </c>
    </row>
    <row r="61" spans="1:4" x14ac:dyDescent="0.25">
      <c r="A61" s="3" t="s">
        <v>62</v>
      </c>
      <c r="D61" s="10">
        <f>SUM(D58:D60)</f>
      </c>
    </row>
    <row r="63" spans="1:1" x14ac:dyDescent="0.25">
      <c r="A63" s="3" t="s">
        <v>63</v>
      </c>
    </row>
    <row r="64" spans="1:2" x14ac:dyDescent="0.25">
      <c r="A64" s="4" t="s">
        <v>64</v>
      </c>
      <c r="B64" s="5" t="s">
        <v>65</v>
      </c>
    </row>
    <row r="65" spans="1:2" x14ac:dyDescent="0.25">
      <c r="A65" s="4" t="s">
        <v>66</v>
      </c>
      <c r="B65" s="5" t="s">
        <v>65</v>
      </c>
    </row>
    <row r="66" spans="1:2" x14ac:dyDescent="0.25">
      <c r="A66" s="4" t="s">
        <v>67</v>
      </c>
      <c r="B66" s="5" t="s">
        <v>65</v>
      </c>
    </row>
    <row r="67" spans="1:2" x14ac:dyDescent="0.25">
      <c r="A67" s="4" t="s">
        <v>68</v>
      </c>
      <c r="B67" s="5" t="s">
        <v>65</v>
      </c>
    </row>
    <row r="68" spans="1:2" x14ac:dyDescent="0.25">
      <c r="A68" s="4" t="s">
        <v>69</v>
      </c>
      <c r="B68" s="5" t="s">
        <v>65</v>
      </c>
    </row>
    <row r="69" spans="1:2" x14ac:dyDescent="0.25">
      <c r="A69" s="4" t="s">
        <v>70</v>
      </c>
      <c r="B69" s="5" t="s">
        <v>65</v>
      </c>
    </row>
    <row r="71" spans="1:1" x14ac:dyDescent="0.25">
      <c r="A71" s="3" t="s">
        <v>71</v>
      </c>
    </row>
    <row r="72" spans="1:3" x14ac:dyDescent="0.25">
      <c r="A72" s="4" t="s">
        <v>72</v>
      </c>
      <c r="B72" s="5">
        <v>1</v>
      </c>
      <c r="C72" s="12" t="s">
        <v>73</v>
      </c>
    </row>
    <row r="73" spans="1:2" x14ac:dyDescent="0.25">
      <c r="A73" s="4" t="s">
        <v>74</v>
      </c>
      <c r="B73" s="11">
        <v>0</v>
      </c>
    </row>
    <row r="74" spans="1:2" x14ac:dyDescent="0.25">
      <c r="A74" s="4" t="s">
        <v>75</v>
      </c>
      <c r="B74" s="11">
        <v>39.99</v>
      </c>
    </row>
    <row r="75" spans="1:2" x14ac:dyDescent="0.25">
      <c r="A75" s="4" t="s">
        <v>76</v>
      </c>
      <c r="B75" s="5">
        <v>5</v>
      </c>
    </row>
    <row r="76" spans="1:2" x14ac:dyDescent="0.25">
      <c r="A76" s="4" t="s">
        <v>77</v>
      </c>
      <c r="B76" s="11">
        <v>0</v>
      </c>
    </row>
    <row r="78" spans="1:2" x14ac:dyDescent="0.25">
      <c r="A78" s="3" t="s">
        <v>78</v>
      </c>
      <c r="B78">
        <f>AdaVan&amp;" van + "&amp;AdaStd&amp;" standard + "&amp;AdaAmb&amp;" ambulatory"</f>
      </c>
    </row>
    <row r="79" spans="1:2" x14ac:dyDescent="0.25">
      <c r="A79" s="3" t="s">
        <v>79</v>
      </c>
      <c r="B79">
        <f>IF(NDcfc&gt;0,SgSuggested&amp;"A switchgear @ 480V","208V service")&amp;IF(TxKvaSuggested&gt;0," + "&amp;TxKvaSuggested&amp;" kVA step-down TX","")</f>
      </c>
    </row>
    <row r="80" spans="1:2" x14ac:dyDescent="0.25">
      <c r="A80" s="13" t="s">
        <v>80</v>
      </c>
      <c r="B80" s="14">
        <f>TotalCost</f>
      </c>
    </row>
    <row r="81" spans="1:2" x14ac:dyDescent="0.25">
      <c r="A81" s="3" t="s">
        <v>81</v>
      </c>
      <c r="B81" s="10">
        <f>CustomerTotal</f>
      </c>
    </row>
  </sheetData>
  <dataValidations count="5">
    <dataValidation type="list" allowBlank="1" sqref="A23:A28">
      <formula1>RateCard!$A$4:$A$33</formula1>
    </dataValidation>
    <dataValidation type="list" sqref="B39">
      <formula1>"flat,sloped,hilly,rocky"</formula1>
    </dataValidation>
    <dataValidation type="list" allowBlank="1" sqref="B45:B53">
      <formula1>RateCard!$A$129:$A$153</formula1>
    </dataValidation>
    <dataValidation type="list" sqref="B64:B69">
      <formula1>"Yes,No"</formula1>
    </dataValidation>
    <dataValidation type="list" allowBlank="1" sqref="C45:C53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82</v>
      </c>
    </row>
    <row r="3" spans="1:1" x14ac:dyDescent="0.25">
      <c r="A3" s="3" t="s">
        <v>83</v>
      </c>
    </row>
    <row r="4" spans="1:6" x14ac:dyDescent="0.25">
      <c r="A4" s="7" t="s">
        <v>18</v>
      </c>
      <c r="B4" s="7" t="s">
        <v>19</v>
      </c>
      <c r="C4" s="7" t="s">
        <v>84</v>
      </c>
      <c r="D4" s="7" t="s">
        <v>85</v>
      </c>
      <c r="E4" s="7" t="s">
        <v>86</v>
      </c>
      <c r="F4" s="7" t="s">
        <v>87</v>
      </c>
    </row>
    <row r="5" spans="1:6" x14ac:dyDescent="0.25">
      <c r="A5">
        <f>IF(Intake!$D23="DCFC",Intake!$A23,"")</f>
      </c>
      <c r="B5">
        <f>IF(Intake!$D23="DCFC",Intake!$B23,0)</f>
      </c>
      <c r="C5">
        <f>IF(B5&gt;0,VLOOKUP(Intake!$A23,ModelTable,6,FALSE),"")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IF(B6&gt;0,VLOOKUP(Intake!$A24,ModelTable,6,FALSE),"")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IF(B7&gt;0,VLOOKUP(Intake!$A25,ModelTable,6,FALSE),"")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IF(B8&gt;0,VLOOKUP(Intake!$A26,ModelTable,6,FALSE),"")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IF(B9&gt;0,VLOOKUP(Intake!$A27,ModelTable,6,FALSE),"")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IF(B10&gt;0,VLOOKUP(Intake!$A28,ModelTable,6,FALSE),"")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 s="4" t="s">
        <v>88</v>
      </c>
      <c r="F11">
        <f>SUM(F5:F10)</f>
      </c>
    </row>
    <row r="12" spans="1:6" x14ac:dyDescent="0.25">
      <c r="A12" s="4" t="s">
        <v>89</v>
      </c>
      <c r="F12">
        <f>IF(AND(NDcfc&gt;0,NumL2&gt;0),TxKvaConnected*1000/(480*SQRT(3)),0)</f>
      </c>
    </row>
    <row r="13" spans="1:6" x14ac:dyDescent="0.25">
      <c r="A13" s="3" t="s">
        <v>90</v>
      </c>
      <c r="F13">
        <f>F11+F12</f>
      </c>
    </row>
    <row r="14" spans="1:6" x14ac:dyDescent="0.25">
      <c r="A14" s="3" t="s">
        <v>91</v>
      </c>
      <c r="F14">
        <f>F13*1.25</f>
      </c>
    </row>
    <row r="15" spans="1:6" x14ac:dyDescent="0.25">
      <c r="A15" s="3" t="s">
        <v>92</v>
      </c>
      <c r="F15">
        <f>IF(NDcfc&gt;0,INDEX(SgSizes,MIN(ROWS(SgSizes),COUNTIF(SgSizes,"&lt;"&amp;F14)+1)),0)</f>
      </c>
    </row>
    <row r="16" spans="1:6" x14ac:dyDescent="0.25">
      <c r="A16" s="3" t="s">
        <v>93</v>
      </c>
      <c r="F16" s="9">
        <f>IF(NDcfc&gt;0,VLOOKUP(SgSuggested,SgTable,2,FALSE),0)</f>
      </c>
    </row>
    <row r="18" spans="1:1" x14ac:dyDescent="0.25">
      <c r="A18" s="3" t="s">
        <v>94</v>
      </c>
    </row>
    <row r="19" spans="1:6" x14ac:dyDescent="0.25">
      <c r="A19" s="7" t="s">
        <v>18</v>
      </c>
      <c r="B19" s="7" t="s">
        <v>19</v>
      </c>
      <c r="C19" s="7" t="s">
        <v>84</v>
      </c>
      <c r="D19" s="7" t="s">
        <v>85</v>
      </c>
      <c r="E19" s="7" t="s">
        <v>86</v>
      </c>
      <c r="F19" s="7" t="s">
        <v>87</v>
      </c>
    </row>
    <row r="20" spans="1:6" x14ac:dyDescent="0.25">
      <c r="A20">
        <f>IF(Intake!$D23="L2",Intake!$A23,"")</f>
      </c>
      <c r="B20">
        <f>IF(Intake!$D23="L2",Intake!$B23,0)</f>
      </c>
      <c r="C20">
        <f>IF(B20&gt;0,VLOOKUP(Intake!$A23,ModelTable,6,FALSE),"")</f>
      </c>
      <c r="D20">
        <f>IF(B20&gt;0,B20*VLOOKUP(Intake!$A23,ModelTable,7,FALSE),0)</f>
      </c>
      <c r="E20">
        <f>IF(B20&gt;0,VLOOKUP(Intake!$A23,ModelTable,8,FALSE),"")</f>
      </c>
      <c r="F20">
        <f>IF(B20&gt;0,B20*VLOOKUP(Intake!$A23,ModelTable,8,FALSE),0)</f>
      </c>
    </row>
    <row r="21" spans="1:6" x14ac:dyDescent="0.25">
      <c r="A21">
        <f>IF(Intake!$D24="L2",Intake!$A24,"")</f>
      </c>
      <c r="B21">
        <f>IF(Intake!$D24="L2",Intake!$B24,0)</f>
      </c>
      <c r="C21">
        <f>IF(B21&gt;0,VLOOKUP(Intake!$A24,ModelTable,6,FALSE),"")</f>
      </c>
      <c r="D21">
        <f>IF(B21&gt;0,B21*VLOOKUP(Intake!$A24,ModelTable,7,FALSE),0)</f>
      </c>
      <c r="E21">
        <f>IF(B21&gt;0,VLOOKUP(Intake!$A24,ModelTable,8,FALSE),"")</f>
      </c>
      <c r="F21">
        <f>IF(B21&gt;0,B21*VLOOKUP(Intake!$A24,ModelTable,8,FALSE),0)</f>
      </c>
    </row>
    <row r="22" spans="1:6" x14ac:dyDescent="0.25">
      <c r="A22">
        <f>IF(Intake!$D25="L2",Intake!$A25,"")</f>
      </c>
      <c r="B22">
        <f>IF(Intake!$D25="L2",Intake!$B25,0)</f>
      </c>
      <c r="C22">
        <f>IF(B22&gt;0,VLOOKUP(Intake!$A25,ModelTable,6,FALSE),"")</f>
      </c>
      <c r="D22">
        <f>IF(B22&gt;0,B22*VLOOKUP(Intake!$A25,ModelTable,7,FALSE),0)</f>
      </c>
      <c r="E22">
        <f>IF(B22&gt;0,VLOOKUP(Intake!$A25,ModelTable,8,FALSE),"")</f>
      </c>
      <c r="F22">
        <f>IF(B22&gt;0,B22*VLOOKUP(Intake!$A25,ModelTable,8,FALSE),0)</f>
      </c>
    </row>
    <row r="23" spans="1:6" x14ac:dyDescent="0.25">
      <c r="A23">
        <f>IF(Intake!$D26="L2",Intake!$A26,"")</f>
      </c>
      <c r="B23">
        <f>IF(Intake!$D26="L2",Intake!$B26,0)</f>
      </c>
      <c r="C23">
        <f>IF(B23&gt;0,VLOOKUP(Intake!$A26,ModelTable,6,FALSE),"")</f>
      </c>
      <c r="D23">
        <f>IF(B23&gt;0,B23*VLOOKUP(Intake!$A26,ModelTable,7,FALSE),0)</f>
      </c>
      <c r="E23">
        <f>IF(B23&gt;0,VLOOKUP(Intake!$A26,ModelTable,8,FALSE),"")</f>
      </c>
      <c r="F23">
        <f>IF(B23&gt;0,B23*VLOOKUP(Intake!$A26,ModelTable,8,FALSE),0)</f>
      </c>
    </row>
    <row r="24" spans="1:6" x14ac:dyDescent="0.25">
      <c r="A24">
        <f>IF(Intake!$D27="L2",Intake!$A27,"")</f>
      </c>
      <c r="B24">
        <f>IF(Intake!$D27="L2",Intake!$B27,0)</f>
      </c>
      <c r="C24">
        <f>IF(B24&gt;0,VLOOKUP(Intake!$A27,ModelTable,6,FALSE),"")</f>
      </c>
      <c r="D24">
        <f>IF(B24&gt;0,B24*VLOOKUP(Intake!$A27,ModelTable,7,FALSE),0)</f>
      </c>
      <c r="E24">
        <f>IF(B24&gt;0,VLOOKUP(Intake!$A27,ModelTable,8,FALSE),"")</f>
      </c>
      <c r="F24">
        <f>IF(B24&gt;0,B24*VLOOKUP(Intake!$A27,ModelTable,8,FALSE),0)</f>
      </c>
    </row>
    <row r="25" spans="1:6" x14ac:dyDescent="0.25">
      <c r="A25">
        <f>IF(Intake!$D28="L2",Intake!$A28,"")</f>
      </c>
      <c r="B25">
        <f>IF(Intake!$D28="L2",Intake!$B28,0)</f>
      </c>
      <c r="C25">
        <f>IF(B25&gt;0,VLOOKUP(Intake!$A28,ModelTable,6,FALSE),"")</f>
      </c>
      <c r="D25">
        <f>IF(B25&gt;0,B25*VLOOKUP(Intake!$A28,ModelTable,7,FALSE),0)</f>
      </c>
      <c r="E25">
        <f>IF(B25&gt;0,VLOOKUP(Intake!$A28,ModelTable,8,FALSE),"")</f>
      </c>
      <c r="F25">
        <f>IF(B25&gt;0,B25*VLOOKUP(Intake!$A28,ModelTable,8,FALSE),0)</f>
      </c>
    </row>
    <row r="26" spans="1:6" x14ac:dyDescent="0.25">
      <c r="A26" s="3" t="s">
        <v>95</v>
      </c>
      <c r="F26">
        <f>SUM(F20:F25)</f>
      </c>
    </row>
    <row r="27" spans="1:6" x14ac:dyDescent="0.25">
      <c r="A27" s="3" t="s">
        <v>96</v>
      </c>
      <c r="F27">
        <f>F26*1.25</f>
      </c>
    </row>
    <row r="28" spans="1:6" x14ac:dyDescent="0.25">
      <c r="A28" s="3" t="s">
        <v>97</v>
      </c>
      <c r="F28">
        <f>IF(NumL2&gt;0,INDEX(PnlSizes,MIN(ROWS(PnlSizes),COUNTIF(PnlSizes,"&lt;"&amp;F27)+1)),0)</f>
      </c>
    </row>
    <row r="29" spans="1:6" x14ac:dyDescent="0.25">
      <c r="A29" s="4" t="s">
        <v>98</v>
      </c>
      <c r="F29">
        <f>IF(NumL2=0,"—",IF(F28&gt;=1000,"Distribution panel","Sub-panel"))</f>
      </c>
    </row>
    <row r="30" spans="1:6" x14ac:dyDescent="0.25">
      <c r="A30" s="3" t="s">
        <v>99</v>
      </c>
      <c r="F30" s="9">
        <f>IF(NumL2&gt;0,VLOOKUP(F28,PnlTable,2,FALSE),0)</f>
      </c>
    </row>
    <row r="32" spans="1:1" x14ac:dyDescent="0.25">
      <c r="A32" s="3" t="s">
        <v>100</v>
      </c>
    </row>
    <row r="33" spans="1:6" x14ac:dyDescent="0.25">
      <c r="A33" s="4" t="s">
        <v>101</v>
      </c>
      <c r="F33">
        <f>IF(AND(NDcfc&gt;0,NumL2&gt;0),F26*208*SQRT(3)/1000,0)</f>
      </c>
    </row>
    <row r="34" spans="1:6" x14ac:dyDescent="0.25">
      <c r="A34" s="4" t="s">
        <v>102</v>
      </c>
      <c r="F34">
        <f>F33*1.25</f>
      </c>
    </row>
    <row r="35" spans="1:6" x14ac:dyDescent="0.25">
      <c r="A35" s="3" t="s">
        <v>103</v>
      </c>
      <c r="F35">
        <f>IF(F33&gt;0,INDEX(TxSizes,MIN(ROWS(TxSizes),COUNTIF(TxSizes,"&lt;"&amp;F34)+1)),0)</f>
      </c>
    </row>
    <row r="36" spans="1:6" x14ac:dyDescent="0.25">
      <c r="A36" s="3" t="s">
        <v>104</v>
      </c>
      <c r="F36" s="9">
        <f>IF(F35&gt;0,VLOOKUP(F35,TxTable,2,FALSE),0)</f>
      </c>
    </row>
    <row r="37" spans="1:6" x14ac:dyDescent="0.25">
      <c r="A37" s="4" t="s">
        <v>105</v>
      </c>
      <c r="F37">
        <f>IF(F35&gt;0,F35*1000/(480*SQRT(3)),0)</f>
      </c>
    </row>
    <row r="38" spans="1:6" x14ac:dyDescent="0.25">
      <c r="A38" s="4" t="s">
        <v>106</v>
      </c>
      <c r="F38">
        <f>IF(F35&gt;0,INDEX(StdBrk,MIN(ROWS(StdBrk),COUNTIF(StdBrk,"&lt;"&amp;F37*1.25)+1)),0)</f>
      </c>
    </row>
    <row r="39" spans="1:6" x14ac:dyDescent="0.25">
      <c r="A39" s="4" t="s">
        <v>107</v>
      </c>
      <c r="F39" s="9">
        <f>IF(F38&gt;0,IFERROR(VLOOKUP(F38,BrkTbl480,2,FALSE),0),0)</f>
      </c>
    </row>
    <row r="41" spans="1:1" x14ac:dyDescent="0.25">
      <c r="A41" s="3" t="s">
        <v>108</v>
      </c>
    </row>
    <row r="42" spans="1:6" x14ac:dyDescent="0.25">
      <c r="A42" s="7" t="s">
        <v>18</v>
      </c>
      <c r="B42" s="7" t="s">
        <v>84</v>
      </c>
      <c r="C42" s="7" t="s">
        <v>109</v>
      </c>
      <c r="D42" s="7" t="s">
        <v>85</v>
      </c>
      <c r="E42" s="7" t="s">
        <v>110</v>
      </c>
      <c r="F42" s="7" t="s">
        <v>111</v>
      </c>
    </row>
    <row r="43" spans="1:6" x14ac:dyDescent="0.25">
      <c r="A43">
        <f>IF(Intake!$B23&gt;0,Intake!$A23,"")</f>
      </c>
      <c r="B43">
        <f>IF(Intake!$B23&gt;0,VLOOKUP(Intake!$A23,ModelTable,6,FALSE),"")</f>
      </c>
      <c r="C43">
        <f>IF(Intake!$B23&gt;0,VLOOKUP(Intake!$A23,ModelTable,5,FALSE),"")</f>
      </c>
      <c r="D43">
        <f>IF(Intake!$B23&gt;0,Intake!$B23*VLOOKUP(Intake!$A23,ModelTable,7,FALSE),0)</f>
      </c>
      <c r="E43" s="9">
        <f>IF(D43&gt;0,IF(C43=480,IFERROR(VLOOKUP(B43,BrkTbl480,2,FALSE),0),IFERROR(VLOOKUP(B43,BrkTbl208,2,FALSE),0)),0)</f>
      </c>
      <c r="F43" s="9">
        <f>D43*E43</f>
      </c>
    </row>
    <row r="44" spans="1:6" x14ac:dyDescent="0.25">
      <c r="A44">
        <f>IF(Intake!$B24&gt;0,Intake!$A24,"")</f>
      </c>
      <c r="B44">
        <f>IF(Intake!$B24&gt;0,VLOOKUP(Intake!$A24,ModelTable,6,FALSE),"")</f>
      </c>
      <c r="C44">
        <f>IF(Intake!$B24&gt;0,VLOOKUP(Intake!$A24,ModelTable,5,FALSE),"")</f>
      </c>
      <c r="D44">
        <f>IF(Intake!$B24&gt;0,Intake!$B24*VLOOKUP(Intake!$A24,ModelTable,7,FALSE),0)</f>
      </c>
      <c r="E44" s="9">
        <f>IF(D44&gt;0,IF(C44=480,IFERROR(VLOOKUP(B44,BrkTbl480,2,FALSE),0),IFERROR(VLOOKUP(B44,BrkTbl208,2,FALSE),0)),0)</f>
      </c>
      <c r="F44" s="9">
        <f>D44*E44</f>
      </c>
    </row>
    <row r="45" spans="1:6" x14ac:dyDescent="0.25">
      <c r="A45">
        <f>IF(Intake!$B25&gt;0,Intake!$A25,"")</f>
      </c>
      <c r="B45">
        <f>IF(Intake!$B25&gt;0,VLOOKUP(Intake!$A25,ModelTable,6,FALSE),"")</f>
      </c>
      <c r="C45">
        <f>IF(Intake!$B25&gt;0,VLOOKUP(Intake!$A25,ModelTable,5,FALSE),"")</f>
      </c>
      <c r="D45">
        <f>IF(Intake!$B25&gt;0,Intake!$B25*VLOOKUP(Intake!$A25,ModelTable,7,FALSE),0)</f>
      </c>
      <c r="E45" s="9">
        <f>IF(D45&gt;0,IF(C45=480,IFERROR(VLOOKUP(B45,BrkTbl480,2,FALSE),0),IFERROR(VLOOKUP(B45,BrkTbl208,2,FALSE),0)),0)</f>
      </c>
      <c r="F45" s="9">
        <f>D45*E45</f>
      </c>
    </row>
    <row r="46" spans="1:6" x14ac:dyDescent="0.25">
      <c r="A46">
        <f>IF(Intake!$B26&gt;0,Intake!$A26,"")</f>
      </c>
      <c r="B46">
        <f>IF(Intake!$B26&gt;0,VLOOKUP(Intake!$A26,ModelTable,6,FALSE),"")</f>
      </c>
      <c r="C46">
        <f>IF(Intake!$B26&gt;0,VLOOKUP(Intake!$A26,ModelTable,5,FALSE),"")</f>
      </c>
      <c r="D46">
        <f>IF(Intake!$B26&gt;0,Intake!$B26*VLOOKUP(Intake!$A26,ModelTable,7,FALSE),0)</f>
      </c>
      <c r="E46" s="9">
        <f>IF(D46&gt;0,IF(C46=480,IFERROR(VLOOKUP(B46,BrkTbl480,2,FALSE),0),IFERROR(VLOOKUP(B46,BrkTbl208,2,FALSE),0)),0)</f>
      </c>
      <c r="F46" s="9">
        <f>D46*E46</f>
      </c>
    </row>
    <row r="47" spans="1:6" x14ac:dyDescent="0.25">
      <c r="A47">
        <f>IF(Intake!$B27&gt;0,Intake!$A27,"")</f>
      </c>
      <c r="B47">
        <f>IF(Intake!$B27&gt;0,VLOOKUP(Intake!$A27,ModelTable,6,FALSE),"")</f>
      </c>
      <c r="C47">
        <f>IF(Intake!$B27&gt;0,VLOOKUP(Intake!$A27,ModelTable,5,FALSE),"")</f>
      </c>
      <c r="D47">
        <f>IF(Intake!$B27&gt;0,Intake!$B27*VLOOKUP(Intake!$A27,ModelTable,7,FALSE),0)</f>
      </c>
      <c r="E47" s="9">
        <f>IF(D47&gt;0,IF(C47=480,IFERROR(VLOOKUP(B47,BrkTbl480,2,FALSE),0),IFERROR(VLOOKUP(B47,BrkTbl208,2,FALSE),0)),0)</f>
      </c>
      <c r="F47" s="9">
        <f>D47*E47</f>
      </c>
    </row>
    <row r="48" spans="1:6" x14ac:dyDescent="0.25">
      <c r="A48">
        <f>IF(Intake!$B28&gt;0,Intake!$A28,"")</f>
      </c>
      <c r="B48">
        <f>IF(Intake!$B28&gt;0,VLOOKUP(Intake!$A28,ModelTable,6,FALSE),"")</f>
      </c>
      <c r="C48">
        <f>IF(Intake!$B28&gt;0,VLOOKUP(Intake!$A28,ModelTable,5,FALSE),"")</f>
      </c>
      <c r="D48">
        <f>IF(Intake!$B28&gt;0,Intake!$B28*VLOOKUP(Intake!$A28,ModelTable,7,FALSE),0)</f>
      </c>
      <c r="E48" s="9">
        <f>IF(D48&gt;0,IF(C48=480,IFERROR(VLOOKUP(B48,BrkTbl480,2,FALSE),0),IFERROR(VLOOKUP(B48,BrkTbl208,2,FALSE),0)),0)</f>
      </c>
      <c r="F48" s="9">
        <f>D48*E48</f>
      </c>
    </row>
    <row r="49" spans="1:6" x14ac:dyDescent="0.25">
      <c r="A49" s="3" t="s">
        <v>112</v>
      </c>
      <c r="F49" s="9">
        <f>SUM(F43:F48)+F39</f>
      </c>
    </row>
    <row r="51" spans="1:6" x14ac:dyDescent="0.25">
      <c r="A51" s="16" t="s">
        <v>113</v>
      </c>
      <c r="F51" s="17">
        <f>F16+F30+F36+F49</f>
      </c>
    </row>
    <row r="53" spans="1:1" x14ac:dyDescent="0.25">
      <c r="A53" s="18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116</v>
      </c>
    </row>
    <row r="3" spans="2:20" x14ac:dyDescent="0.25">
      <c r="B3" s="21" t="s">
        <v>117</v>
      </c>
      <c r="C3" t="s">
        <v>118</v>
      </c>
      <c r="D3" s="21" t="s">
        <v>119</v>
      </c>
      <c r="E3" t="s">
        <v>120</v>
      </c>
      <c r="H3" s="21" t="s">
        <v>121</v>
      </c>
      <c r="I3" t="s">
        <v>122</v>
      </c>
      <c r="M3" s="21" t="s">
        <v>123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1" t="s">
        <v>124</v>
      </c>
      <c r="E4">
        <f>"UTILITY"</f>
      </c>
      <c r="H4" s="21" t="s">
        <v>125</v>
      </c>
      <c r="I4" t="s">
        <v>126</v>
      </c>
      <c r="M4" s="21" t="s">
        <v>127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1" t="s">
        <v>128</v>
      </c>
      <c r="E5" t="s">
        <v>129</v>
      </c>
      <c r="H5" s="21" t="s">
        <v>130</v>
      </c>
      <c r="I5" t="s">
        <v>131</v>
      </c>
      <c r="M5" s="21" t="s">
        <v>132</v>
      </c>
      <c r="N5" t="s">
        <v>133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2" t="s">
        <v>134</v>
      </c>
      <c r="C7" s="22" t="s">
        <v>135</v>
      </c>
      <c r="D7" s="22" t="s">
        <v>136</v>
      </c>
      <c r="E7" s="22" t="s">
        <v>137</v>
      </c>
      <c r="F7" s="22" t="s">
        <v>138</v>
      </c>
      <c r="G7" s="22"/>
      <c r="H7" s="22" t="s">
        <v>139</v>
      </c>
      <c r="I7" s="22"/>
      <c r="J7" s="22" t="s">
        <v>140</v>
      </c>
      <c r="K7" s="22"/>
      <c r="L7" s="22" t="s">
        <v>137</v>
      </c>
      <c r="M7" s="22" t="s">
        <v>136</v>
      </c>
      <c r="N7" s="22" t="s">
        <v>135</v>
      </c>
      <c r="O7" s="22" t="s">
        <v>134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138</v>
      </c>
      <c r="B8" s="23">
        <v>1</v>
      </c>
      <c r="C8" s="23">
        <f>IF($AA$12=1,$X$12,"")</f>
      </c>
      <c r="D8" s="23">
        <f>IF($AA$12=1,$Y$12,"")</f>
      </c>
      <c r="E8" s="23">
        <f>IF($AA$12=1,3,"")</f>
      </c>
      <c r="F8" s="23">
        <f>IF($AA$12=1,ROUND($Z$12,0),"")</f>
      </c>
      <c r="G8" s="23">
        <f>IF($AA$13=1,ROUND($Z$13,0),"")</f>
      </c>
      <c r="H8" s="23"/>
      <c r="I8" s="23"/>
      <c r="J8" s="23"/>
      <c r="K8" s="23"/>
      <c r="L8" s="23">
        <f>IF($AA$13=1,3,"")</f>
      </c>
      <c r="M8" s="23">
        <f>IF($AA$13=1,$Y$13,"")</f>
      </c>
      <c r="N8" s="23">
        <f>IF($AA$13=1,$X$13,"")</f>
      </c>
      <c r="O8" s="23">
        <v>2</v>
      </c>
      <c r="P8" t="s">
        <v>138</v>
      </c>
      <c r="S8">
        <f>IF(Intake!$D$28="DCFC",Intake!$B$28*IFERROR(VLOOKUP(Intake!$A$28,ModelTable,7,FALSE),0),0)</f>
      </c>
      <c r="T8">
        <f>T7+S7</f>
      </c>
    </row>
    <row r="9" spans="1:19" x14ac:dyDescent="0.25">
      <c r="A9" t="s">
        <v>139</v>
      </c>
      <c r="B9" s="23">
        <v>3</v>
      </c>
      <c r="C9" s="23">
        <f>IF($AA$12=1,"---","")</f>
      </c>
      <c r="D9" s="23"/>
      <c r="E9" s="23"/>
      <c r="F9" s="23"/>
      <c r="G9" s="23"/>
      <c r="H9" s="23">
        <f>IF($AA$12=1,ROUND($Z$12,0),"")</f>
      </c>
      <c r="I9" s="23">
        <f>IF($AA$13=1,ROUND($Z$13,0),"")</f>
      </c>
      <c r="J9" s="23"/>
      <c r="K9" s="23"/>
      <c r="L9" s="23"/>
      <c r="M9" s="23"/>
      <c r="N9" s="23">
        <f>IF($AA$13=1,"---","")</f>
      </c>
      <c r="O9" s="23">
        <v>4</v>
      </c>
      <c r="P9" t="s">
        <v>139</v>
      </c>
      <c r="R9" s="24" t="s">
        <v>141</v>
      </c>
      <c r="S9">
        <f>SUM(S3:S8)</f>
      </c>
    </row>
    <row r="10" spans="1:16" x14ac:dyDescent="0.25">
      <c r="A10" t="s">
        <v>140</v>
      </c>
      <c r="B10" s="23">
        <v>5</v>
      </c>
      <c r="C10" s="23">
        <f>IF($AA$12=1,"---","")</f>
      </c>
      <c r="D10" s="23"/>
      <c r="E10" s="23"/>
      <c r="F10" s="23"/>
      <c r="G10" s="23"/>
      <c r="H10" s="23"/>
      <c r="I10" s="23"/>
      <c r="J10" s="23">
        <f>IF($AA$12=1,ROUND($Z$12,0),"")</f>
      </c>
      <c r="K10" s="23">
        <f>IF($AA$13=1,ROUND($Z$13,0),"")</f>
      </c>
      <c r="L10" s="23"/>
      <c r="M10" s="23"/>
      <c r="N10" s="23">
        <f>IF($AA$13=1,"---","")</f>
      </c>
      <c r="O10" s="23">
        <v>6</v>
      </c>
      <c r="P10" t="s">
        <v>140</v>
      </c>
    </row>
    <row r="11" spans="1:16" x14ac:dyDescent="0.25">
      <c r="A11" t="s">
        <v>138</v>
      </c>
      <c r="B11" s="23">
        <v>7</v>
      </c>
      <c r="C11" s="23">
        <f>IF($AA$14=1,$X$14,"")</f>
      </c>
      <c r="D11" s="23">
        <f>IF($AA$14=1,$Y$14,"")</f>
      </c>
      <c r="E11" s="23">
        <f>IF($AA$14=1,3,"")</f>
      </c>
      <c r="F11" s="23">
        <f>IF($AA$14=1,ROUND($Z$14,0),"")</f>
      </c>
      <c r="G11" s="23">
        <f>IF($AA$15=1,ROUND($Z$15,0),"")</f>
      </c>
      <c r="H11" s="23"/>
      <c r="I11" s="23"/>
      <c r="J11" s="23"/>
      <c r="K11" s="23"/>
      <c r="L11" s="23">
        <f>IF($AA$15=1,3,"")</f>
      </c>
      <c r="M11" s="23">
        <f>IF($AA$15=1,$Y$15,"")</f>
      </c>
      <c r="N11" s="23">
        <f>IF($AA$15=1,$X$15,"")</f>
      </c>
      <c r="O11" s="23">
        <v>8</v>
      </c>
      <c r="P11" t="s">
        <v>138</v>
      </c>
    </row>
    <row r="12" spans="1:27" x14ac:dyDescent="0.25">
      <c r="A12" t="s">
        <v>139</v>
      </c>
      <c r="B12" s="23">
        <v>9</v>
      </c>
      <c r="C12" s="23">
        <f>IF($AA$14=1,"---","")</f>
      </c>
      <c r="D12" s="23"/>
      <c r="E12" s="23"/>
      <c r="F12" s="23"/>
      <c r="G12" s="23"/>
      <c r="H12" s="23">
        <f>IF($AA$14=1,ROUND($Z$14,0),"")</f>
      </c>
      <c r="I12" s="23">
        <f>IF($AA$15=1,ROUND($Z$15,0),"")</f>
      </c>
      <c r="J12" s="23"/>
      <c r="K12" s="23"/>
      <c r="L12" s="23"/>
      <c r="M12" s="23"/>
      <c r="N12" s="23">
        <f>IF($AA$15=1,"---","")</f>
      </c>
      <c r="O12" s="23">
        <v>10</v>
      </c>
      <c r="P12" t="s">
        <v>139</v>
      </c>
      <c r="S12">
        <v>1</v>
      </c>
      <c r="T12">
        <f>IF(S12&lt;=$S$9,MATCH(S12-0.5,$T$3:$T$8,1),0)</f>
      </c>
      <c r="U12">
        <f>IF(T12&gt;0,S12-INDEX($T$3:$T$8,T12),0)</f>
      </c>
      <c r="V12">
        <f>IF(T12&gt;0,INDEX(Intake!$A$23:$A$28,T12),"")</f>
      </c>
      <c r="W12">
        <f>IF(T12&gt;0,IFERROR(VLOOKUP(V12,ModelTable,7,FALSE),1),1)</f>
      </c>
      <c r="X12">
        <f>IF(T12&gt;0,UPPER(V12)&amp;" #"&amp;U12,IF(S12=$S$9+1,IF(TxKvaSuggested&gt;0,"XFMR "&amp;TxKvaSuggested&amp;" KVA - EV_SUB (208V)",""),""))</f>
      </c>
      <c r="Y12">
        <f>IF(T12&gt;0,IFERROR(VLOOKUP(V12,ModelTable,6,FALSE),0),IF(S12=$S$9+1,IF(TxKvaSuggested&gt;0,Panel!$F$38,0),0))</f>
      </c>
      <c r="Z12">
        <f>IF(T12&gt;0,IFERROR(VLOOKUP(V12,ModelTable,11,FALSE),0)*480/SQRT(3),IF(S12=$S$9+1,IF(TxKvaSuggested&gt;0,TxKvaConnected*1000/3,0),0))</f>
      </c>
      <c r="AA12">
        <f>IF(S12&lt;=$S$9,1,IF(S12=$S$9+1,IF(TxKvaSuggested&gt;0,1,0),0))</f>
      </c>
    </row>
    <row r="13" spans="1:27" x14ac:dyDescent="0.25">
      <c r="A13" t="s">
        <v>140</v>
      </c>
      <c r="B13" s="23">
        <v>11</v>
      </c>
      <c r="C13" s="23">
        <f>IF($AA$14=1,"---","")</f>
      </c>
      <c r="D13" s="23"/>
      <c r="E13" s="23"/>
      <c r="F13" s="23"/>
      <c r="G13" s="23"/>
      <c r="H13" s="23"/>
      <c r="I13" s="23"/>
      <c r="J13" s="23">
        <f>IF($AA$14=1,ROUND($Z$14,0),"")</f>
      </c>
      <c r="K13" s="23">
        <f>IF($AA$15=1,ROUND($Z$15,0),"")</f>
      </c>
      <c r="L13" s="23"/>
      <c r="M13" s="23"/>
      <c r="N13" s="23">
        <f>IF($AA$15=1,"---","")</f>
      </c>
      <c r="O13" s="23">
        <v>12</v>
      </c>
      <c r="P13" t="s">
        <v>140</v>
      </c>
      <c r="S13">
        <v>2</v>
      </c>
      <c r="T13">
        <f>IF(S13&lt;=$S$9,MATCH(S13-0.5,$T$3:$T$8,1),0)</f>
      </c>
      <c r="U13">
        <f>IF(T13&gt;0,S13-INDEX($T$3:$T$8,T13),0)</f>
      </c>
      <c r="V13">
        <f>IF(T13&gt;0,INDEX(Intake!$A$23:$A$28,T13),"")</f>
      </c>
      <c r="W13">
        <f>IF(T13&gt;0,IFERROR(VLOOKUP(V13,ModelTable,7,FALSE),1),1)</f>
      </c>
      <c r="X13">
        <f>IF(T13&gt;0,UPPER(V13)&amp;" #"&amp;U13,IF(S13=$S$9+1,IF(TxKvaSuggested&gt;0,"XFMR "&amp;TxKvaSuggested&amp;" KVA - EV_SUB (208V)",""),""))</f>
      </c>
      <c r="Y13">
        <f>IF(T13&gt;0,IFERROR(VLOOKUP(V13,ModelTable,6,FALSE),0),IF(S13=$S$9+1,IF(TxKvaSuggested&gt;0,Panel!$F$38,0),0))</f>
      </c>
      <c r="Z13">
        <f>IF(T13&gt;0,IFERROR(VLOOKUP(V13,ModelTable,11,FALSE),0)*480/SQRT(3),IF(S13=$S$9+1,IF(TxKvaSuggested&gt;0,TxKvaConnected*1000/3,0),0))</f>
      </c>
      <c r="AA13">
        <f>IF(S13&lt;=$S$9,1,IF(S13=$S$9+1,IF(TxKvaSuggested&gt;0,1,0),0))</f>
      </c>
    </row>
    <row r="14" spans="1:27" x14ac:dyDescent="0.25">
      <c r="A14" t="s">
        <v>138</v>
      </c>
      <c r="B14" s="23">
        <v>13</v>
      </c>
      <c r="C14" s="23">
        <f>IF($AA$16=1,$X$16,"")</f>
      </c>
      <c r="D14" s="23">
        <f>IF($AA$16=1,$Y$16,"")</f>
      </c>
      <c r="E14" s="23">
        <f>IF($AA$16=1,3,"")</f>
      </c>
      <c r="F14" s="23">
        <f>IF($AA$16=1,ROUND($Z$16,0),"")</f>
      </c>
      <c r="G14" s="23">
        <f>IF($AA$17=1,ROUND($Z$17,0),"")</f>
      </c>
      <c r="H14" s="23"/>
      <c r="I14" s="23"/>
      <c r="J14" s="23"/>
      <c r="K14" s="23"/>
      <c r="L14" s="23">
        <f>IF($AA$17=1,3,"")</f>
      </c>
      <c r="M14" s="23">
        <f>IF($AA$17=1,$Y$17,"")</f>
      </c>
      <c r="N14" s="23">
        <f>IF($AA$17=1,$X$17,"")</f>
      </c>
      <c r="O14" s="23">
        <v>14</v>
      </c>
      <c r="P14" t="s">
        <v>138</v>
      </c>
      <c r="S14">
        <v>3</v>
      </c>
      <c r="T14">
        <f>IF(S14&lt;=$S$9,MATCH(S14-0.5,$T$3:$T$8,1),0)</f>
      </c>
      <c r="U14">
        <f>IF(T14&gt;0,S14-INDEX($T$3:$T$8,T14),0)</f>
      </c>
      <c r="V14">
        <f>IF(T14&gt;0,INDEX(Intake!$A$23:$A$28,T14),"")</f>
      </c>
      <c r="W14">
        <f>IF(T14&gt;0,IFERROR(VLOOKUP(V14,ModelTable,7,FALSE),1),1)</f>
      </c>
      <c r="X14">
        <f>IF(T14&gt;0,UPPER(V14)&amp;" #"&amp;U14,IF(S14=$S$9+1,IF(TxKvaSuggested&gt;0,"XFMR "&amp;TxKvaSuggested&amp;" KVA - EV_SUB (208V)",""),""))</f>
      </c>
      <c r="Y14">
        <f>IF(T14&gt;0,IFERROR(VLOOKUP(V14,ModelTable,6,FALSE),0),IF(S14=$S$9+1,IF(TxKvaSuggested&gt;0,Panel!$F$38,0),0))</f>
      </c>
      <c r="Z14">
        <f>IF(T14&gt;0,IFERROR(VLOOKUP(V14,ModelTable,11,FALSE),0)*480/SQRT(3),IF(S14=$S$9+1,IF(TxKvaSuggested&gt;0,TxKvaConnected*1000/3,0),0))</f>
      </c>
      <c r="AA14">
        <f>IF(S14&lt;=$S$9,1,IF(S14=$S$9+1,IF(TxKvaSuggested&gt;0,1,0),0))</f>
      </c>
    </row>
    <row r="15" spans="1:27" x14ac:dyDescent="0.25">
      <c r="A15" t="s">
        <v>139</v>
      </c>
      <c r="B15" s="23">
        <v>15</v>
      </c>
      <c r="C15" s="23">
        <f>IF($AA$16=1,"---","")</f>
      </c>
      <c r="D15" s="23"/>
      <c r="E15" s="23"/>
      <c r="F15" s="23"/>
      <c r="G15" s="23"/>
      <c r="H15" s="23">
        <f>IF($AA$16=1,ROUND($Z$16,0),"")</f>
      </c>
      <c r="I15" s="23">
        <f>IF($AA$17=1,ROUND($Z$17,0),"")</f>
      </c>
      <c r="J15" s="23"/>
      <c r="K15" s="23"/>
      <c r="L15" s="23"/>
      <c r="M15" s="23"/>
      <c r="N15" s="23">
        <f>IF($AA$17=1,"---","")</f>
      </c>
      <c r="O15" s="23">
        <v>16</v>
      </c>
      <c r="P15" t="s">
        <v>139</v>
      </c>
      <c r="S15">
        <v>4</v>
      </c>
      <c r="T15">
        <f>IF(S15&lt;=$S$9,MATCH(S15-0.5,$T$3:$T$8,1),0)</f>
      </c>
      <c r="U15">
        <f>IF(T15&gt;0,S15-INDEX($T$3:$T$8,T15),0)</f>
      </c>
      <c r="V15">
        <f>IF(T15&gt;0,INDEX(Intake!$A$23:$A$28,T15),"")</f>
      </c>
      <c r="W15">
        <f>IF(T15&gt;0,IFERROR(VLOOKUP(V15,ModelTable,7,FALSE),1),1)</f>
      </c>
      <c r="X15">
        <f>IF(T15&gt;0,UPPER(V15)&amp;" #"&amp;U15,IF(S15=$S$9+1,IF(TxKvaSuggested&gt;0,"XFMR "&amp;TxKvaSuggested&amp;" KVA - EV_SUB (208V)",""),""))</f>
      </c>
      <c r="Y15">
        <f>IF(T15&gt;0,IFERROR(VLOOKUP(V15,ModelTable,6,FALSE),0),IF(S15=$S$9+1,IF(TxKvaSuggested&gt;0,Panel!$F$38,0),0))</f>
      </c>
      <c r="Z15">
        <f>IF(T15&gt;0,IFERROR(VLOOKUP(V15,ModelTable,11,FALSE),0)*480/SQRT(3),IF(S15=$S$9+1,IF(TxKvaSuggested&gt;0,TxKvaConnected*1000/3,0),0))</f>
      </c>
      <c r="AA15">
        <f>IF(S15&lt;=$S$9,1,IF(S15=$S$9+1,IF(TxKvaSuggested&gt;0,1,0),0))</f>
      </c>
    </row>
    <row r="16" spans="1:27" x14ac:dyDescent="0.25">
      <c r="A16" t="s">
        <v>140</v>
      </c>
      <c r="B16" s="23">
        <v>17</v>
      </c>
      <c r="C16" s="23">
        <f>IF($AA$16=1,"---","")</f>
      </c>
      <c r="D16" s="23"/>
      <c r="E16" s="23"/>
      <c r="F16" s="23"/>
      <c r="G16" s="23"/>
      <c r="H16" s="23"/>
      <c r="I16" s="23"/>
      <c r="J16" s="23">
        <f>IF($AA$16=1,ROUND($Z$16,0),"")</f>
      </c>
      <c r="K16" s="23">
        <f>IF($AA$17=1,ROUND($Z$17,0),"")</f>
      </c>
      <c r="L16" s="23"/>
      <c r="M16" s="23"/>
      <c r="N16" s="23">
        <f>IF($AA$17=1,"---","")</f>
      </c>
      <c r="O16" s="23">
        <v>18</v>
      </c>
      <c r="P16" t="s">
        <v>140</v>
      </c>
      <c r="S16">
        <v>5</v>
      </c>
      <c r="T16">
        <f>IF(S16&lt;=$S$9,MATCH(S16-0.5,$T$3:$T$8,1),0)</f>
      </c>
      <c r="U16">
        <f>IF(T16&gt;0,S16-INDEX($T$3:$T$8,T16),0)</f>
      </c>
      <c r="V16">
        <f>IF(T16&gt;0,INDEX(Intake!$A$23:$A$28,T16),"")</f>
      </c>
      <c r="W16">
        <f>IF(T16&gt;0,IFERROR(VLOOKUP(V16,ModelTable,7,FALSE),1),1)</f>
      </c>
      <c r="X16">
        <f>IF(T16&gt;0,UPPER(V16)&amp;" #"&amp;U16,IF(S16=$S$9+1,IF(TxKvaSuggested&gt;0,"XFMR "&amp;TxKvaSuggested&amp;" KVA - EV_SUB (208V)",""),""))</f>
      </c>
      <c r="Y16">
        <f>IF(T16&gt;0,IFERROR(VLOOKUP(V16,ModelTable,6,FALSE),0),IF(S16=$S$9+1,IF(TxKvaSuggested&gt;0,Panel!$F$38,0),0))</f>
      </c>
      <c r="Z16">
        <f>IF(T16&gt;0,IFERROR(VLOOKUP(V16,ModelTable,11,FALSE),0)*480/SQRT(3),IF(S16=$S$9+1,IF(TxKvaSuggested&gt;0,TxKvaConnected*1000/3,0),0))</f>
      </c>
      <c r="AA16">
        <f>IF(S16&lt;=$S$9,1,IF(S16=$S$9+1,IF(TxKvaSuggested&gt;0,1,0),0))</f>
      </c>
    </row>
    <row r="17" spans="1:27" x14ac:dyDescent="0.25">
      <c r="A17" t="s">
        <v>138</v>
      </c>
      <c r="B17" s="23">
        <v>19</v>
      </c>
      <c r="C17" s="23">
        <f>IF($AA$18=1,$X$18,"")</f>
      </c>
      <c r="D17" s="23">
        <f>IF($AA$18=1,$Y$18,"")</f>
      </c>
      <c r="E17" s="23">
        <f>IF($AA$18=1,3,"")</f>
      </c>
      <c r="F17" s="23">
        <f>IF($AA$18=1,ROUND($Z$18,0),"")</f>
      </c>
      <c r="G17" s="23">
        <f>IF($AA$19=1,ROUND($Z$19,0),"")</f>
      </c>
      <c r="H17" s="23"/>
      <c r="I17" s="23"/>
      <c r="J17" s="23"/>
      <c r="K17" s="23"/>
      <c r="L17" s="23">
        <f>IF($AA$19=1,3,"")</f>
      </c>
      <c r="M17" s="23">
        <f>IF($AA$19=1,$Y$19,"")</f>
      </c>
      <c r="N17" s="23">
        <f>IF($AA$19=1,$X$19,"")</f>
      </c>
      <c r="O17" s="23">
        <v>20</v>
      </c>
      <c r="P17" t="s">
        <v>138</v>
      </c>
      <c r="S17">
        <v>6</v>
      </c>
      <c r="T17">
        <f>IF(S17&lt;=$S$9,MATCH(S17-0.5,$T$3:$T$8,1),0)</f>
      </c>
      <c r="U17">
        <f>IF(T17&gt;0,S17-INDEX($T$3:$T$8,T17),0)</f>
      </c>
      <c r="V17">
        <f>IF(T17&gt;0,INDEX(Intake!$A$23:$A$28,T17),"")</f>
      </c>
      <c r="W17">
        <f>IF(T17&gt;0,IFERROR(VLOOKUP(V17,ModelTable,7,FALSE),1),1)</f>
      </c>
      <c r="X17">
        <f>IF(T17&gt;0,UPPER(V17)&amp;" #"&amp;U17,IF(S17=$S$9+1,IF(TxKvaSuggested&gt;0,"XFMR "&amp;TxKvaSuggested&amp;" KVA - EV_SUB (208V)",""),""))</f>
      </c>
      <c r="Y17">
        <f>IF(T17&gt;0,IFERROR(VLOOKUP(V17,ModelTable,6,FALSE),0),IF(S17=$S$9+1,IF(TxKvaSuggested&gt;0,Panel!$F$38,0),0))</f>
      </c>
      <c r="Z17">
        <f>IF(T17&gt;0,IFERROR(VLOOKUP(V17,ModelTable,11,FALSE),0)*480/SQRT(3),IF(S17=$S$9+1,IF(TxKvaSuggested&gt;0,TxKvaConnected*1000/3,0),0))</f>
      </c>
      <c r="AA17">
        <f>IF(S17&lt;=$S$9,1,IF(S17=$S$9+1,IF(TxKvaSuggested&gt;0,1,0),0))</f>
      </c>
    </row>
    <row r="18" spans="1:27" x14ac:dyDescent="0.25">
      <c r="A18" t="s">
        <v>139</v>
      </c>
      <c r="B18" s="23">
        <v>21</v>
      </c>
      <c r="C18" s="23">
        <f>IF($AA$18=1,"---","")</f>
      </c>
      <c r="D18" s="23"/>
      <c r="E18" s="23"/>
      <c r="F18" s="23"/>
      <c r="G18" s="23"/>
      <c r="H18" s="23">
        <f>IF($AA$18=1,ROUND($Z$18,0),"")</f>
      </c>
      <c r="I18" s="23">
        <f>IF($AA$19=1,ROUND($Z$19,0),"")</f>
      </c>
      <c r="J18" s="23"/>
      <c r="K18" s="23"/>
      <c r="L18" s="23"/>
      <c r="M18" s="23"/>
      <c r="N18" s="23">
        <f>IF($AA$19=1,"---","")</f>
      </c>
      <c r="O18" s="23">
        <v>22</v>
      </c>
      <c r="P18" t="s">
        <v>139</v>
      </c>
      <c r="S18">
        <v>7</v>
      </c>
      <c r="T18">
        <f>IF(S18&lt;=$S$9,MATCH(S18-0.5,$T$3:$T$8,1),0)</f>
      </c>
      <c r="U18">
        <f>IF(T18&gt;0,S18-INDEX($T$3:$T$8,T18),0)</f>
      </c>
      <c r="V18">
        <f>IF(T18&gt;0,INDEX(Intake!$A$23:$A$28,T18),"")</f>
      </c>
      <c r="W18">
        <f>IF(T18&gt;0,IFERROR(VLOOKUP(V18,ModelTable,7,FALSE),1),1)</f>
      </c>
      <c r="X18">
        <f>IF(T18&gt;0,UPPER(V18)&amp;" #"&amp;U18,IF(S18=$S$9+1,IF(TxKvaSuggested&gt;0,"XFMR "&amp;TxKvaSuggested&amp;" KVA - EV_SUB (208V)",""),""))</f>
      </c>
      <c r="Y18">
        <f>IF(T18&gt;0,IFERROR(VLOOKUP(V18,ModelTable,6,FALSE),0),IF(S18=$S$9+1,IF(TxKvaSuggested&gt;0,Panel!$F$38,0),0))</f>
      </c>
      <c r="Z18">
        <f>IF(T18&gt;0,IFERROR(VLOOKUP(V18,ModelTable,11,FALSE),0)*480/SQRT(3),IF(S18=$S$9+1,IF(TxKvaSuggested&gt;0,TxKvaConnected*1000/3,0),0))</f>
      </c>
      <c r="AA18">
        <f>IF(S18&lt;=$S$9,1,IF(S18=$S$9+1,IF(TxKvaSuggested&gt;0,1,0),0))</f>
      </c>
    </row>
    <row r="19" spans="1:27" x14ac:dyDescent="0.25">
      <c r="A19" t="s">
        <v>140</v>
      </c>
      <c r="B19" s="23">
        <v>23</v>
      </c>
      <c r="C19" s="23">
        <f>IF($AA$18=1,"---","")</f>
      </c>
      <c r="D19" s="23"/>
      <c r="E19" s="23"/>
      <c r="F19" s="23"/>
      <c r="G19" s="23"/>
      <c r="H19" s="23"/>
      <c r="I19" s="23"/>
      <c r="J19" s="23">
        <f>IF($AA$18=1,ROUND($Z$18,0),"")</f>
      </c>
      <c r="K19" s="23">
        <f>IF($AA$19=1,ROUND($Z$19,0),"")</f>
      </c>
      <c r="L19" s="23"/>
      <c r="M19" s="23"/>
      <c r="N19" s="23">
        <f>IF($AA$19=1,"---","")</f>
      </c>
      <c r="O19" s="23">
        <v>24</v>
      </c>
      <c r="P19" t="s">
        <v>140</v>
      </c>
      <c r="S19">
        <v>8</v>
      </c>
      <c r="T19">
        <f>IF(S19&lt;=$S$9,MATCH(S19-0.5,$T$3:$T$8,1),0)</f>
      </c>
      <c r="U19">
        <f>IF(T19&gt;0,S19-INDEX($T$3:$T$8,T19),0)</f>
      </c>
      <c r="V19">
        <f>IF(T19&gt;0,INDEX(Intake!$A$23:$A$28,T19),"")</f>
      </c>
      <c r="W19">
        <f>IF(T19&gt;0,IFERROR(VLOOKUP(V19,ModelTable,7,FALSE),1),1)</f>
      </c>
      <c r="X19">
        <f>IF(T19&gt;0,UPPER(V19)&amp;" #"&amp;U19,IF(S19=$S$9+1,IF(TxKvaSuggested&gt;0,"XFMR "&amp;TxKvaSuggested&amp;" KVA - EV_SUB (208V)",""),""))</f>
      </c>
      <c r="Y19">
        <f>IF(T19&gt;0,IFERROR(VLOOKUP(V19,ModelTable,6,FALSE),0),IF(S19=$S$9+1,IF(TxKvaSuggested&gt;0,Panel!$F$38,0),0))</f>
      </c>
      <c r="Z19">
        <f>IF(T19&gt;0,IFERROR(VLOOKUP(V19,ModelTable,11,FALSE),0)*480/SQRT(3),IF(S19=$S$9+1,IF(TxKvaSuggested&gt;0,TxKvaConnected*1000/3,0),0))</f>
      </c>
      <c r="AA19">
        <f>IF(S19&lt;=$S$9,1,IF(S19=$S$9+1,IF(TxKvaSuggested&gt;0,1,0),0))</f>
      </c>
    </row>
    <row r="20" spans="1:27" x14ac:dyDescent="0.25">
      <c r="A20" t="s">
        <v>138</v>
      </c>
      <c r="B20" s="23">
        <v>25</v>
      </c>
      <c r="C20" s="23">
        <f>IF($AA$20=1,$X$20,"")</f>
      </c>
      <c r="D20" s="23">
        <f>IF($AA$20=1,$Y$20,"")</f>
      </c>
      <c r="E20" s="23">
        <f>IF($AA$20=1,3,"")</f>
      </c>
      <c r="F20" s="23">
        <f>IF($AA$20=1,ROUND($Z$20,0),"")</f>
      </c>
      <c r="G20" s="23">
        <f>IF($AA$21=1,ROUND($Z$21,0),"")</f>
      </c>
      <c r="H20" s="23"/>
      <c r="I20" s="23"/>
      <c r="J20" s="23"/>
      <c r="K20" s="23"/>
      <c r="L20" s="23">
        <f>IF($AA$21=1,3,"")</f>
      </c>
      <c r="M20" s="23">
        <f>IF($AA$21=1,$Y$21,"")</f>
      </c>
      <c r="N20" s="23">
        <f>IF($AA$21=1,$X$21,"")</f>
      </c>
      <c r="O20" s="23">
        <v>26</v>
      </c>
      <c r="P20" t="s">
        <v>138</v>
      </c>
      <c r="S20">
        <v>9</v>
      </c>
      <c r="T20">
        <f>IF(S20&lt;=$S$9,MATCH(S20-0.5,$T$3:$T$8,1),0)</f>
      </c>
      <c r="U20">
        <f>IF(T20&gt;0,S20-INDEX($T$3:$T$8,T20),0)</f>
      </c>
      <c r="V20">
        <f>IF(T20&gt;0,INDEX(Intake!$A$23:$A$28,T20),"")</f>
      </c>
      <c r="W20">
        <f>IF(T20&gt;0,IFERROR(VLOOKUP(V20,ModelTable,7,FALSE),1),1)</f>
      </c>
      <c r="X20">
        <f>IF(T20&gt;0,UPPER(V20)&amp;" #"&amp;U20,IF(S20=$S$9+1,IF(TxKvaSuggested&gt;0,"XFMR "&amp;TxKvaSuggested&amp;" KVA - EV_SUB (208V)",""),""))</f>
      </c>
      <c r="Y20">
        <f>IF(T20&gt;0,IFERROR(VLOOKUP(V20,ModelTable,6,FALSE),0),IF(S20=$S$9+1,IF(TxKvaSuggested&gt;0,Panel!$F$38,0),0))</f>
      </c>
      <c r="Z20">
        <f>IF(T20&gt;0,IFERROR(VLOOKUP(V20,ModelTable,11,FALSE),0)*480/SQRT(3),IF(S20=$S$9+1,IF(TxKvaSuggested&gt;0,TxKvaConnected*1000/3,0),0))</f>
      </c>
      <c r="AA20">
        <f>IF(S20&lt;=$S$9,1,IF(S20=$S$9+1,IF(TxKvaSuggested&gt;0,1,0),0))</f>
      </c>
    </row>
    <row r="21" spans="1:27" x14ac:dyDescent="0.25">
      <c r="A21" t="s">
        <v>139</v>
      </c>
      <c r="B21" s="23">
        <v>27</v>
      </c>
      <c r="C21" s="23">
        <f>IF($AA$20=1,"---","")</f>
      </c>
      <c r="D21" s="23"/>
      <c r="E21" s="23"/>
      <c r="F21" s="23"/>
      <c r="G21" s="23"/>
      <c r="H21" s="23">
        <f>IF($AA$20=1,ROUND($Z$20,0),"")</f>
      </c>
      <c r="I21" s="23">
        <f>IF($AA$21=1,ROUND($Z$21,0),"")</f>
      </c>
      <c r="J21" s="23"/>
      <c r="K21" s="23"/>
      <c r="L21" s="23"/>
      <c r="M21" s="23"/>
      <c r="N21" s="23">
        <f>IF($AA$21=1,"---","")</f>
      </c>
      <c r="O21" s="23">
        <v>28</v>
      </c>
      <c r="P21" t="s">
        <v>139</v>
      </c>
      <c r="S21">
        <v>10</v>
      </c>
      <c r="T21">
        <f>IF(S21&lt;=$S$9,MATCH(S21-0.5,$T$3:$T$8,1),0)</f>
      </c>
      <c r="U21">
        <f>IF(T21&gt;0,S21-INDEX($T$3:$T$8,T21),0)</f>
      </c>
      <c r="V21">
        <f>IF(T21&gt;0,INDEX(Intake!$A$23:$A$28,T21),"")</f>
      </c>
      <c r="W21">
        <f>IF(T21&gt;0,IFERROR(VLOOKUP(V21,ModelTable,7,FALSE),1),1)</f>
      </c>
      <c r="X21">
        <f>IF(T21&gt;0,UPPER(V21)&amp;" #"&amp;U21,IF(S21=$S$9+1,IF(TxKvaSuggested&gt;0,"XFMR "&amp;TxKvaSuggested&amp;" KVA - EV_SUB (208V)",""),""))</f>
      </c>
      <c r="Y21">
        <f>IF(T21&gt;0,IFERROR(VLOOKUP(V21,ModelTable,6,FALSE),0),IF(S21=$S$9+1,IF(TxKvaSuggested&gt;0,Panel!$F$38,0),0))</f>
      </c>
      <c r="Z21">
        <f>IF(T21&gt;0,IFERROR(VLOOKUP(V21,ModelTable,11,FALSE),0)*480/SQRT(3),IF(S21=$S$9+1,IF(TxKvaSuggested&gt;0,TxKvaConnected*1000/3,0),0))</f>
      </c>
      <c r="AA21">
        <f>IF(S21&lt;=$S$9,1,IF(S21=$S$9+1,IF(TxKvaSuggested&gt;0,1,0),0))</f>
      </c>
    </row>
    <row r="22" spans="1:27" x14ac:dyDescent="0.25">
      <c r="A22" t="s">
        <v>140</v>
      </c>
      <c r="B22" s="23">
        <v>29</v>
      </c>
      <c r="C22" s="23">
        <f>IF($AA$20=1,"---","")</f>
      </c>
      <c r="D22" s="23"/>
      <c r="E22" s="23"/>
      <c r="F22" s="23"/>
      <c r="G22" s="23"/>
      <c r="H22" s="23"/>
      <c r="I22" s="23"/>
      <c r="J22" s="23">
        <f>IF($AA$20=1,ROUND($Z$20,0),"")</f>
      </c>
      <c r="K22" s="23">
        <f>IF($AA$21=1,ROUND($Z$21,0),"")</f>
      </c>
      <c r="L22" s="23"/>
      <c r="M22" s="23"/>
      <c r="N22" s="23">
        <f>IF($AA$21=1,"---","")</f>
      </c>
      <c r="O22" s="23">
        <v>30</v>
      </c>
      <c r="P22" t="s">
        <v>140</v>
      </c>
      <c r="S22">
        <v>11</v>
      </c>
      <c r="T22">
        <f>IF(S22&lt;=$S$9,MATCH(S22-0.5,$T$3:$T$8,1),0)</f>
      </c>
      <c r="U22">
        <f>IF(T22&gt;0,S22-INDEX($T$3:$T$8,T22),0)</f>
      </c>
      <c r="V22">
        <f>IF(T22&gt;0,INDEX(Intake!$A$23:$A$28,T22),"")</f>
      </c>
      <c r="W22">
        <f>IF(T22&gt;0,IFERROR(VLOOKUP(V22,ModelTable,7,FALSE),1),1)</f>
      </c>
      <c r="X22">
        <f>IF(T22&gt;0,UPPER(V22)&amp;" #"&amp;U22,IF(S22=$S$9+1,IF(TxKvaSuggested&gt;0,"XFMR "&amp;TxKvaSuggested&amp;" KVA - EV_SUB (208V)",""),""))</f>
      </c>
      <c r="Y22">
        <f>IF(T22&gt;0,IFERROR(VLOOKUP(V22,ModelTable,6,FALSE),0),IF(S22=$S$9+1,IF(TxKvaSuggested&gt;0,Panel!$F$38,0),0))</f>
      </c>
      <c r="Z22">
        <f>IF(T22&gt;0,IFERROR(VLOOKUP(V22,ModelTable,11,FALSE),0)*480/SQRT(3),IF(S22=$S$9+1,IF(TxKvaSuggested&gt;0,TxKvaConnected*1000/3,0),0))</f>
      </c>
      <c r="AA22">
        <f>IF(S22&lt;=$S$9,1,IF(S22=$S$9+1,IF(TxKvaSuggested&gt;0,1,0),0))</f>
      </c>
    </row>
    <row r="23" spans="1:27" x14ac:dyDescent="0.25">
      <c r="A23" t="s">
        <v>138</v>
      </c>
      <c r="B23" s="23">
        <v>31</v>
      </c>
      <c r="C23" s="23">
        <f>IF($AA$22=1,$X$22,"")</f>
      </c>
      <c r="D23" s="23">
        <f>IF($AA$22=1,$Y$22,"")</f>
      </c>
      <c r="E23" s="23">
        <f>IF($AA$22=1,3,"")</f>
      </c>
      <c r="F23" s="23">
        <f>IF($AA$22=1,ROUND($Z$22,0),"")</f>
      </c>
      <c r="G23" s="23">
        <f>IF($AA$23=1,ROUND($Z$23,0),"")</f>
      </c>
      <c r="H23" s="23"/>
      <c r="I23" s="23"/>
      <c r="J23" s="23"/>
      <c r="K23" s="23"/>
      <c r="L23" s="23">
        <f>IF($AA$23=1,3,"")</f>
      </c>
      <c r="M23" s="23">
        <f>IF($AA$23=1,$Y$23,"")</f>
      </c>
      <c r="N23" s="23">
        <f>IF($AA$23=1,$X$23,"")</f>
      </c>
      <c r="O23" s="23">
        <v>32</v>
      </c>
      <c r="P23" t="s">
        <v>138</v>
      </c>
      <c r="S23">
        <v>12</v>
      </c>
      <c r="T23">
        <f>IF(S23&lt;=$S$9,MATCH(S23-0.5,$T$3:$T$8,1),0)</f>
      </c>
      <c r="U23">
        <f>IF(T23&gt;0,S23-INDEX($T$3:$T$8,T23),0)</f>
      </c>
      <c r="V23">
        <f>IF(T23&gt;0,INDEX(Intake!$A$23:$A$28,T23),"")</f>
      </c>
      <c r="W23">
        <f>IF(T23&gt;0,IFERROR(VLOOKUP(V23,ModelTable,7,FALSE),1),1)</f>
      </c>
      <c r="X23">
        <f>IF(T23&gt;0,UPPER(V23)&amp;" #"&amp;U23,IF(S23=$S$9+1,IF(TxKvaSuggested&gt;0,"XFMR "&amp;TxKvaSuggested&amp;" KVA - EV_SUB (208V)",""),""))</f>
      </c>
      <c r="Y23">
        <f>IF(T23&gt;0,IFERROR(VLOOKUP(V23,ModelTable,6,FALSE),0),IF(S23=$S$9+1,IF(TxKvaSuggested&gt;0,Panel!$F$38,0),0))</f>
      </c>
      <c r="Z23">
        <f>IF(T23&gt;0,IFERROR(VLOOKUP(V23,ModelTable,11,FALSE),0)*480/SQRT(3),IF(S23=$S$9+1,IF(TxKvaSuggested&gt;0,TxKvaConnected*1000/3,0),0))</f>
      </c>
      <c r="AA23">
        <f>IF(S23&lt;=$S$9,1,IF(S23=$S$9+1,IF(TxKvaSuggested&gt;0,1,0),0))</f>
      </c>
    </row>
    <row r="24" spans="1:27" x14ac:dyDescent="0.25">
      <c r="A24" t="s">
        <v>139</v>
      </c>
      <c r="B24" s="23">
        <v>33</v>
      </c>
      <c r="C24" s="23">
        <f>IF($AA$22=1,"---","")</f>
      </c>
      <c r="D24" s="23"/>
      <c r="E24" s="23"/>
      <c r="F24" s="23"/>
      <c r="G24" s="23"/>
      <c r="H24" s="23">
        <f>IF($AA$22=1,ROUND($Z$22,0),"")</f>
      </c>
      <c r="I24" s="23">
        <f>IF($AA$23=1,ROUND($Z$23,0),"")</f>
      </c>
      <c r="J24" s="23"/>
      <c r="K24" s="23"/>
      <c r="L24" s="23"/>
      <c r="M24" s="23"/>
      <c r="N24" s="23">
        <f>IF($AA$23=1,"---","")</f>
      </c>
      <c r="O24" s="23">
        <v>34</v>
      </c>
      <c r="P24" t="s">
        <v>139</v>
      </c>
      <c r="S24">
        <v>13</v>
      </c>
      <c r="T24">
        <f>IF(S24&lt;=$S$9,MATCH(S24-0.5,$T$3:$T$8,1),0)</f>
      </c>
      <c r="U24">
        <f>IF(T24&gt;0,S24-INDEX($T$3:$T$8,T24),0)</f>
      </c>
      <c r="V24">
        <f>IF(T24&gt;0,INDEX(Intake!$A$23:$A$28,T24),"")</f>
      </c>
      <c r="W24">
        <f>IF(T24&gt;0,IFERROR(VLOOKUP(V24,ModelTable,7,FALSE),1),1)</f>
      </c>
      <c r="X24">
        <f>IF(T24&gt;0,UPPER(V24)&amp;" #"&amp;U24,IF(S24=$S$9+1,IF(TxKvaSuggested&gt;0,"XFMR "&amp;TxKvaSuggested&amp;" KVA - EV_SUB (208V)",""),""))</f>
      </c>
      <c r="Y24">
        <f>IF(T24&gt;0,IFERROR(VLOOKUP(V24,ModelTable,6,FALSE),0),IF(S24=$S$9+1,IF(TxKvaSuggested&gt;0,Panel!$F$38,0),0))</f>
      </c>
      <c r="Z24">
        <f>IF(T24&gt;0,IFERROR(VLOOKUP(V24,ModelTable,11,FALSE),0)*480/SQRT(3),IF(S24=$S$9+1,IF(TxKvaSuggested&gt;0,TxKvaConnected*1000/3,0),0))</f>
      </c>
      <c r="AA24">
        <f>IF(S24&lt;=$S$9,1,IF(S24=$S$9+1,IF(TxKvaSuggested&gt;0,1,0),0))</f>
      </c>
    </row>
    <row r="25" spans="1:27" x14ac:dyDescent="0.25">
      <c r="A25" t="s">
        <v>140</v>
      </c>
      <c r="B25" s="23">
        <v>35</v>
      </c>
      <c r="C25" s="23">
        <f>IF($AA$22=1,"---","")</f>
      </c>
      <c r="D25" s="23"/>
      <c r="E25" s="23"/>
      <c r="F25" s="23"/>
      <c r="G25" s="23"/>
      <c r="H25" s="23"/>
      <c r="I25" s="23"/>
      <c r="J25" s="23">
        <f>IF($AA$22=1,ROUND($Z$22,0),"")</f>
      </c>
      <c r="K25" s="23">
        <f>IF($AA$23=1,ROUND($Z$23,0),"")</f>
      </c>
      <c r="L25" s="23"/>
      <c r="M25" s="23"/>
      <c r="N25" s="23">
        <f>IF($AA$23=1,"---","")</f>
      </c>
      <c r="O25" s="23">
        <v>36</v>
      </c>
      <c r="P25" t="s">
        <v>140</v>
      </c>
      <c r="S25">
        <v>14</v>
      </c>
      <c r="T25">
        <f>IF(S25&lt;=$S$9,MATCH(S25-0.5,$T$3:$T$8,1),0)</f>
      </c>
      <c r="U25">
        <f>IF(T25&gt;0,S25-INDEX($T$3:$T$8,T25),0)</f>
      </c>
      <c r="V25">
        <f>IF(T25&gt;0,INDEX(Intake!$A$23:$A$28,T25),"")</f>
      </c>
      <c r="W25">
        <f>IF(T25&gt;0,IFERROR(VLOOKUP(V25,ModelTable,7,FALSE),1),1)</f>
      </c>
      <c r="X25">
        <f>IF(T25&gt;0,UPPER(V25)&amp;" #"&amp;U25,IF(S25=$S$9+1,IF(TxKvaSuggested&gt;0,"XFMR "&amp;TxKvaSuggested&amp;" KVA - EV_SUB (208V)",""),""))</f>
      </c>
      <c r="Y25">
        <f>IF(T25&gt;0,IFERROR(VLOOKUP(V25,ModelTable,6,FALSE),0),IF(S25=$S$9+1,IF(TxKvaSuggested&gt;0,Panel!$F$38,0),0))</f>
      </c>
      <c r="Z25">
        <f>IF(T25&gt;0,IFERROR(VLOOKUP(V25,ModelTable,11,FALSE),0)*480/SQRT(3),IF(S25=$S$9+1,IF(TxKvaSuggested&gt;0,TxKvaConnected*1000/3,0),0))</f>
      </c>
      <c r="AA25">
        <f>IF(S25&lt;=$S$9,1,IF(S25=$S$9+1,IF(TxKvaSuggested&gt;0,1,0),0))</f>
      </c>
    </row>
    <row r="26" spans="1:27" x14ac:dyDescent="0.25">
      <c r="A26" t="s">
        <v>138</v>
      </c>
      <c r="B26" s="23">
        <v>37</v>
      </c>
      <c r="C26" s="23">
        <f>IF($AA$24=1,$X$24,"")</f>
      </c>
      <c r="D26" s="23">
        <f>IF($AA$24=1,$Y$24,"")</f>
      </c>
      <c r="E26" s="23">
        <f>IF($AA$24=1,3,"")</f>
      </c>
      <c r="F26" s="23">
        <f>IF($AA$24=1,ROUND($Z$24,0),"")</f>
      </c>
      <c r="G26" s="23">
        <f>IF($AA$25=1,ROUND($Z$25,0),"")</f>
      </c>
      <c r="H26" s="23"/>
      <c r="I26" s="23"/>
      <c r="J26" s="23"/>
      <c r="K26" s="23"/>
      <c r="L26" s="23">
        <f>IF($AA$25=1,3,"")</f>
      </c>
      <c r="M26" s="23">
        <f>IF($AA$25=1,$Y$25,"")</f>
      </c>
      <c r="N26" s="23">
        <f>IF($AA$25=1,$X$25,"")</f>
      </c>
      <c r="O26" s="23">
        <v>38</v>
      </c>
      <c r="P26" t="s">
        <v>138</v>
      </c>
      <c r="S26">
        <v>15</v>
      </c>
      <c r="T26">
        <f>IF(S26&lt;=$S$9,MATCH(S26-0.5,$T$3:$T$8,1),0)</f>
      </c>
      <c r="U26">
        <f>IF(T26&gt;0,S26-INDEX($T$3:$T$8,T26),0)</f>
      </c>
      <c r="V26">
        <f>IF(T26&gt;0,INDEX(Intake!$A$23:$A$28,T26),"")</f>
      </c>
      <c r="W26">
        <f>IF(T26&gt;0,IFERROR(VLOOKUP(V26,ModelTable,7,FALSE),1),1)</f>
      </c>
      <c r="X26">
        <f>IF(T26&gt;0,UPPER(V26)&amp;" #"&amp;U26,IF(S26=$S$9+1,IF(TxKvaSuggested&gt;0,"XFMR "&amp;TxKvaSuggested&amp;" KVA - EV_SUB (208V)",""),""))</f>
      </c>
      <c r="Y26">
        <f>IF(T26&gt;0,IFERROR(VLOOKUP(V26,ModelTable,6,FALSE),0),IF(S26=$S$9+1,IF(TxKvaSuggested&gt;0,Panel!$F$38,0),0))</f>
      </c>
      <c r="Z26">
        <f>IF(T26&gt;0,IFERROR(VLOOKUP(V26,ModelTable,11,FALSE),0)*480/SQRT(3),IF(S26=$S$9+1,IF(TxKvaSuggested&gt;0,TxKvaConnected*1000/3,0),0))</f>
      </c>
      <c r="AA26">
        <f>IF(S26&lt;=$S$9,1,IF(S26=$S$9+1,IF(TxKvaSuggested&gt;0,1,0),0))</f>
      </c>
    </row>
    <row r="27" spans="1:27" x14ac:dyDescent="0.25">
      <c r="A27" t="s">
        <v>139</v>
      </c>
      <c r="B27" s="23">
        <v>39</v>
      </c>
      <c r="C27" s="23">
        <f>IF($AA$24=1,"---","")</f>
      </c>
      <c r="D27" s="23"/>
      <c r="E27" s="23"/>
      <c r="F27" s="23"/>
      <c r="G27" s="23"/>
      <c r="H27" s="23">
        <f>IF($AA$24=1,ROUND($Z$24,0),"")</f>
      </c>
      <c r="I27" s="23">
        <f>IF($AA$25=1,ROUND($Z$25,0),"")</f>
      </c>
      <c r="J27" s="23"/>
      <c r="K27" s="23"/>
      <c r="L27" s="23"/>
      <c r="M27" s="23"/>
      <c r="N27" s="23">
        <f>IF($AA$25=1,"---","")</f>
      </c>
      <c r="O27" s="23">
        <v>40</v>
      </c>
      <c r="P27" t="s">
        <v>139</v>
      </c>
      <c r="S27">
        <v>16</v>
      </c>
      <c r="T27">
        <f>IF(S27&lt;=$S$9,MATCH(S27-0.5,$T$3:$T$8,1),0)</f>
      </c>
      <c r="U27">
        <f>IF(T27&gt;0,S27-INDEX($T$3:$T$8,T27),0)</f>
      </c>
      <c r="V27">
        <f>IF(T27&gt;0,INDEX(Intake!$A$23:$A$28,T27),"")</f>
      </c>
      <c r="W27">
        <f>IF(T27&gt;0,IFERROR(VLOOKUP(V27,ModelTable,7,FALSE),1),1)</f>
      </c>
      <c r="X27">
        <f>IF(T27&gt;0,UPPER(V27)&amp;" #"&amp;U27,IF(S27=$S$9+1,IF(TxKvaSuggested&gt;0,"XFMR "&amp;TxKvaSuggested&amp;" KVA - EV_SUB (208V)",""),""))</f>
      </c>
      <c r="Y27">
        <f>IF(T27&gt;0,IFERROR(VLOOKUP(V27,ModelTable,6,FALSE),0),IF(S27=$S$9+1,IF(TxKvaSuggested&gt;0,Panel!$F$38,0),0))</f>
      </c>
      <c r="Z27">
        <f>IF(T27&gt;0,IFERROR(VLOOKUP(V27,ModelTable,11,FALSE),0)*480/SQRT(3),IF(S27=$S$9+1,IF(TxKvaSuggested&gt;0,TxKvaConnected*1000/3,0),0))</f>
      </c>
      <c r="AA27">
        <f>IF(S27&lt;=$S$9,1,IF(S27=$S$9+1,IF(TxKvaSuggested&gt;0,1,0),0))</f>
      </c>
    </row>
    <row r="28" spans="1:16" x14ac:dyDescent="0.25">
      <c r="A28" t="s">
        <v>140</v>
      </c>
      <c r="B28" s="23">
        <v>41</v>
      </c>
      <c r="C28" s="23">
        <f>IF($AA$24=1,"---","")</f>
      </c>
      <c r="D28" s="23"/>
      <c r="E28" s="23"/>
      <c r="F28" s="23"/>
      <c r="G28" s="23"/>
      <c r="H28" s="23"/>
      <c r="I28" s="23"/>
      <c r="J28" s="23">
        <f>IF($AA$24=1,ROUND($Z$24,0),"")</f>
      </c>
      <c r="K28" s="23">
        <f>IF($AA$25=1,ROUND($Z$25,0),"")</f>
      </c>
      <c r="L28" s="23"/>
      <c r="M28" s="23"/>
      <c r="N28" s="23">
        <f>IF($AA$25=1,"---","")</f>
      </c>
      <c r="O28" s="23">
        <v>42</v>
      </c>
      <c r="P28" t="s">
        <v>140</v>
      </c>
    </row>
    <row r="29" spans="1:16" x14ac:dyDescent="0.25">
      <c r="A29" t="s">
        <v>138</v>
      </c>
      <c r="B29" s="23">
        <v>43</v>
      </c>
      <c r="C29" s="23">
        <f>IF($AA$26=1,$X$26,"")</f>
      </c>
      <c r="D29" s="23">
        <f>IF($AA$26=1,$Y$26,"")</f>
      </c>
      <c r="E29" s="23">
        <f>IF($AA$26=1,3,"")</f>
      </c>
      <c r="F29" s="23">
        <f>IF($AA$26=1,ROUND($Z$26,0),"")</f>
      </c>
      <c r="G29" s="23">
        <f>IF($AA$27=1,ROUND($Z$27,0),"")</f>
      </c>
      <c r="H29" s="23"/>
      <c r="I29" s="23"/>
      <c r="J29" s="23"/>
      <c r="K29" s="23"/>
      <c r="L29" s="23">
        <f>IF($AA$27=1,3,"")</f>
      </c>
      <c r="M29" s="23">
        <f>IF($AA$27=1,$Y$27,"")</f>
      </c>
      <c r="N29" s="23">
        <f>IF($AA$27=1,$X$27,"")</f>
      </c>
      <c r="O29" s="23">
        <v>44</v>
      </c>
      <c r="P29" t="s">
        <v>138</v>
      </c>
    </row>
    <row r="30" spans="1:16" x14ac:dyDescent="0.25">
      <c r="A30" t="s">
        <v>139</v>
      </c>
      <c r="B30" s="23">
        <v>45</v>
      </c>
      <c r="C30" s="23">
        <f>IF($AA$26=1,"---","")</f>
      </c>
      <c r="D30" s="23"/>
      <c r="E30" s="23"/>
      <c r="F30" s="23"/>
      <c r="G30" s="23"/>
      <c r="H30" s="23">
        <f>IF($AA$26=1,ROUND($Z$26,0),"")</f>
      </c>
      <c r="I30" s="23">
        <f>IF($AA$27=1,ROUND($Z$27,0),"")</f>
      </c>
      <c r="J30" s="23"/>
      <c r="K30" s="23"/>
      <c r="L30" s="23"/>
      <c r="M30" s="23"/>
      <c r="N30" s="23">
        <f>IF($AA$27=1,"---","")</f>
      </c>
      <c r="O30" s="23">
        <v>46</v>
      </c>
      <c r="P30" t="s">
        <v>139</v>
      </c>
    </row>
    <row r="31" spans="1:16" x14ac:dyDescent="0.25">
      <c r="A31" t="s">
        <v>140</v>
      </c>
      <c r="B31" s="23">
        <v>47</v>
      </c>
      <c r="C31" s="23">
        <f>IF($AA$26=1,"---","")</f>
      </c>
      <c r="D31" s="23"/>
      <c r="E31" s="23"/>
      <c r="F31" s="23"/>
      <c r="G31" s="23"/>
      <c r="H31" s="23"/>
      <c r="I31" s="23"/>
      <c r="J31" s="23">
        <f>IF($AA$26=1,ROUND($Z$26,0),"")</f>
      </c>
      <c r="K31" s="23">
        <f>IF($AA$27=1,ROUND($Z$27,0),"")</f>
      </c>
      <c r="L31" s="23"/>
      <c r="M31" s="23"/>
      <c r="N31" s="23">
        <f>IF($AA$27=1,"---","")</f>
      </c>
      <c r="O31" s="23">
        <v>48</v>
      </c>
      <c r="P31" t="s">
        <v>140</v>
      </c>
    </row>
    <row r="33" spans="3:14" x14ac:dyDescent="0.25">
      <c r="C33" t="s">
        <v>142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143</v>
      </c>
      <c r="M33" s="21"/>
      <c r="N33" s="25">
        <f>F33+H33+J33</f>
      </c>
    </row>
    <row r="34" spans="3:14" x14ac:dyDescent="0.25">
      <c r="C34" t="s">
        <v>144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145</v>
      </c>
      <c r="M34" s="21"/>
      <c r="N34" s="25">
        <f>N33*1.25</f>
      </c>
    </row>
    <row r="35" spans="3:14" x14ac:dyDescent="0.25">
      <c r="C35" t="s">
        <v>146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147</v>
      </c>
      <c r="M35" s="21"/>
      <c r="N35" s="26">
        <f>N34/(480*SQRT(3))</f>
      </c>
    </row>
    <row r="36" spans="3:14" x14ac:dyDescent="0.25">
      <c r="C36" t="s">
        <v>148</v>
      </c>
      <c r="F36" s="26">
        <f>F35/(480/SQRT(3))</f>
      </c>
      <c r="G36" s="26"/>
      <c r="H36" s="26">
        <f>H35/(480/SQRT(3))</f>
      </c>
      <c r="I36" s="26"/>
      <c r="J36" s="26">
        <f>J35/(480/SQRT(3))</f>
      </c>
      <c r="K36" s="26"/>
      <c r="L36" s="21" t="s">
        <v>149</v>
      </c>
      <c r="M36" s="21"/>
      <c r="N36">
        <f>SgSuggested</f>
      </c>
    </row>
    <row r="38" spans="2:2" x14ac:dyDescent="0.25">
      <c r="B38" s="27">
        <f>IF($S$9+IF(TxKvaSuggested&gt;0,1,0)&gt;16,"⚠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116</v>
      </c>
    </row>
    <row r="3" spans="2:20" x14ac:dyDescent="0.25">
      <c r="B3" s="21" t="s">
        <v>117</v>
      </c>
      <c r="C3" t="s">
        <v>150</v>
      </c>
      <c r="D3" s="21" t="s">
        <v>119</v>
      </c>
      <c r="E3" t="s">
        <v>120</v>
      </c>
      <c r="H3" s="21" t="s">
        <v>121</v>
      </c>
      <c r="I3" t="s">
        <v>151</v>
      </c>
      <c r="M3" s="21" t="s">
        <v>123</v>
      </c>
      <c r="N3">
        <f>Panel!$F$28&amp;"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1" t="s">
        <v>124</v>
      </c>
      <c r="E4">
        <f>IF(TxKvaSuggested&gt;0,"EV_MAIN VIA "&amp;TxKvaSuggested&amp;" KVA XFMR","UTILITY")</f>
      </c>
      <c r="H4" s="21" t="s">
        <v>125</v>
      </c>
      <c r="I4" t="s">
        <v>126</v>
      </c>
      <c r="M4" s="21" t="s">
        <v>127</v>
      </c>
      <c r="N4">
        <f>Panel!$F$28&amp;"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1" t="s">
        <v>128</v>
      </c>
      <c r="E5" t="s">
        <v>129</v>
      </c>
      <c r="H5" s="21" t="s">
        <v>130</v>
      </c>
      <c r="I5" t="s">
        <v>131</v>
      </c>
      <c r="M5" s="21" t="s">
        <v>132</v>
      </c>
      <c r="N5" t="s">
        <v>152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2" t="s">
        <v>134</v>
      </c>
      <c r="C7" s="22" t="s">
        <v>135</v>
      </c>
      <c r="D7" s="22" t="s">
        <v>136</v>
      </c>
      <c r="E7" s="22" t="s">
        <v>137</v>
      </c>
      <c r="F7" s="22" t="s">
        <v>138</v>
      </c>
      <c r="G7" s="22"/>
      <c r="H7" s="22" t="s">
        <v>139</v>
      </c>
      <c r="I7" s="22"/>
      <c r="J7" s="22" t="s">
        <v>140</v>
      </c>
      <c r="K7" s="22"/>
      <c r="L7" s="22" t="s">
        <v>137</v>
      </c>
      <c r="M7" s="22" t="s">
        <v>136</v>
      </c>
      <c r="N7" s="22" t="s">
        <v>135</v>
      </c>
      <c r="O7" s="22" t="s">
        <v>134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138</v>
      </c>
      <c r="B8" s="23">
        <v>1</v>
      </c>
      <c r="C8" s="23">
        <f>IF($AA$12=1,$X$12,"")</f>
      </c>
      <c r="D8" s="23">
        <f>IF($AA$12=1,$Y$12,"")</f>
      </c>
      <c r="E8" s="23">
        <f>IF($AA$12=1,2,"")</f>
      </c>
      <c r="F8" s="23">
        <f>IF($AA$12=1,ROUND($Z$12,0),"")</f>
      </c>
      <c r="G8" s="23">
        <f>IF($AA$13=1,ROUND($Z$13,0),"")</f>
      </c>
      <c r="H8" s="23"/>
      <c r="I8" s="23"/>
      <c r="J8" s="23"/>
      <c r="K8" s="23"/>
      <c r="L8" s="23">
        <f>IF($AA$13=1,2,"")</f>
      </c>
      <c r="M8" s="23">
        <f>IF($AA$13=1,$Y$13,"")</f>
      </c>
      <c r="N8" s="23">
        <f>IF($AA$13=1,$X$13,"")</f>
      </c>
      <c r="O8" s="23">
        <v>2</v>
      </c>
      <c r="P8" t="s">
        <v>138</v>
      </c>
      <c r="S8">
        <f>IF(Intake!$D$28="L2",Intake!$B$28*IFERROR(VLOOKUP(Intake!$A$28,ModelTable,7,FALSE),0),0)</f>
      </c>
      <c r="T8">
        <f>T7+S7</f>
      </c>
    </row>
    <row r="9" spans="1:19" x14ac:dyDescent="0.25">
      <c r="A9" t="s">
        <v>139</v>
      </c>
      <c r="B9" s="23">
        <v>3</v>
      </c>
      <c r="C9" s="23">
        <f>IF($AA$12=1,"---","")</f>
      </c>
      <c r="D9" s="23"/>
      <c r="E9" s="23"/>
      <c r="F9" s="23"/>
      <c r="G9" s="23"/>
      <c r="H9" s="23">
        <f>IF($AA$12=1,ROUND($Z$12,0),"")</f>
      </c>
      <c r="I9" s="23">
        <f>IF($AA$13=1,ROUND($Z$13,0),"")</f>
      </c>
      <c r="J9" s="23"/>
      <c r="K9" s="23"/>
      <c r="L9" s="23"/>
      <c r="M9" s="23"/>
      <c r="N9" s="23">
        <f>IF($AA$13=1,"---","")</f>
      </c>
      <c r="O9" s="23">
        <v>4</v>
      </c>
      <c r="P9" t="s">
        <v>139</v>
      </c>
      <c r="R9" s="24" t="s">
        <v>141</v>
      </c>
      <c r="S9">
        <f>SUM(S3:S8)</f>
      </c>
    </row>
    <row r="10" spans="1:16" x14ac:dyDescent="0.25">
      <c r="A10" t="s">
        <v>140</v>
      </c>
      <c r="B10" s="23">
        <v>5</v>
      </c>
      <c r="C10" s="23">
        <f>IF($AA$14=1,$X$14,"")</f>
      </c>
      <c r="D10" s="23">
        <f>IF($AA$14=1,$Y$14,"")</f>
      </c>
      <c r="E10" s="23">
        <f>IF($AA$14=1,2,"")</f>
      </c>
      <c r="F10" s="23"/>
      <c r="G10" s="23"/>
      <c r="H10" s="23"/>
      <c r="I10" s="23"/>
      <c r="J10" s="23">
        <f>IF($AA$14=1,ROUND($Z$14,0),"")</f>
      </c>
      <c r="K10" s="23">
        <f>IF($AA$15=1,ROUND($Z$15,0),"")</f>
      </c>
      <c r="L10" s="23">
        <f>IF($AA$15=1,2,"")</f>
      </c>
      <c r="M10" s="23">
        <f>IF($AA$15=1,$Y$15,"")</f>
      </c>
      <c r="N10" s="23">
        <f>IF($AA$15=1,$X$15,"")</f>
      </c>
      <c r="O10" s="23">
        <v>6</v>
      </c>
      <c r="P10" t="s">
        <v>140</v>
      </c>
    </row>
    <row r="11" spans="1:16" x14ac:dyDescent="0.25">
      <c r="A11" t="s">
        <v>138</v>
      </c>
      <c r="B11" s="23">
        <v>7</v>
      </c>
      <c r="C11" s="23">
        <f>IF($AA$14=1,"---","")</f>
      </c>
      <c r="D11" s="23"/>
      <c r="E11" s="23"/>
      <c r="F11" s="23">
        <f>IF($AA$14=1,ROUND($Z$14,0),"")</f>
      </c>
      <c r="G11" s="23">
        <f>IF($AA$15=1,ROUND($Z$15,0),"")</f>
      </c>
      <c r="H11" s="23"/>
      <c r="I11" s="23"/>
      <c r="J11" s="23"/>
      <c r="K11" s="23"/>
      <c r="L11" s="23"/>
      <c r="M11" s="23"/>
      <c r="N11" s="23">
        <f>IF($AA$15=1,"---","")</f>
      </c>
      <c r="O11" s="23">
        <v>8</v>
      </c>
      <c r="P11" t="s">
        <v>138</v>
      </c>
    </row>
    <row r="12" spans="1:27" x14ac:dyDescent="0.25">
      <c r="A12" t="s">
        <v>139</v>
      </c>
      <c r="B12" s="23">
        <v>9</v>
      </c>
      <c r="C12" s="23">
        <f>IF($AA$16=1,$X$16,"")</f>
      </c>
      <c r="D12" s="23">
        <f>IF($AA$16=1,$Y$16,"")</f>
      </c>
      <c r="E12" s="23">
        <f>IF($AA$16=1,2,"")</f>
      </c>
      <c r="F12" s="23"/>
      <c r="G12" s="23"/>
      <c r="H12" s="23">
        <f>IF($AA$16=1,ROUND($Z$16,0),"")</f>
      </c>
      <c r="I12" s="23">
        <f>IF($AA$17=1,ROUND($Z$17,0),"")</f>
      </c>
      <c r="J12" s="23"/>
      <c r="K12" s="23"/>
      <c r="L12" s="23">
        <f>IF($AA$17=1,2,"")</f>
      </c>
      <c r="M12" s="23">
        <f>IF($AA$17=1,$Y$17,"")</f>
      </c>
      <c r="N12" s="23">
        <f>IF($AA$17=1,$X$17,"")</f>
      </c>
      <c r="O12" s="23">
        <v>10</v>
      </c>
      <c r="P12" t="s">
        <v>139</v>
      </c>
      <c r="S12">
        <v>1</v>
      </c>
      <c r="T12">
        <f>IF(S12&lt;=$S$9,MATCH(S12-0.5,$T$3:$T$8,1),0)</f>
      </c>
      <c r="U12">
        <f>IF(T12&gt;0,S12-INDEX($T$3:$T$8,T12),0)</f>
      </c>
      <c r="V12">
        <f>IF(T12&gt;0,INDEX(Intake!$A$23:$A$28,T12),"")</f>
      </c>
      <c r="W12">
        <f>IF(T12&gt;0,IFERROR(VLOOKUP(V12,ModelTable,7,FALSE),1),1)</f>
      </c>
      <c r="X12">
        <f>IF(T12&gt;0,UPPER(V12)&amp;" #"&amp;ROUNDUP(U12/W12,0)&amp;IF(W12&gt;1,CHAR(64+U12-(ROUNDUP(U12/W12,0)-1)*W12),""),"")</f>
      </c>
      <c r="Y12">
        <f>IF(T12&gt;0,IFERROR(VLOOKUP(V12,ModelTable,6,FALSE),0),0)</f>
      </c>
      <c r="Z12">
        <f>IF(T12&gt;0,IFERROR(VLOOKUP(V12,ModelTable,11,FALSE),0)*208/2,0)</f>
      </c>
      <c r="AA12">
        <f>IF(S12&lt;=$S$9,1,0)</f>
      </c>
    </row>
    <row r="13" spans="1:27" x14ac:dyDescent="0.25">
      <c r="A13" t="s">
        <v>140</v>
      </c>
      <c r="B13" s="23">
        <v>11</v>
      </c>
      <c r="C13" s="23">
        <f>IF($AA$16=1,"---","")</f>
      </c>
      <c r="D13" s="23"/>
      <c r="E13" s="23"/>
      <c r="F13" s="23"/>
      <c r="G13" s="23"/>
      <c r="H13" s="23"/>
      <c r="I13" s="23"/>
      <c r="J13" s="23">
        <f>IF($AA$16=1,ROUND($Z$16,0),"")</f>
      </c>
      <c r="K13" s="23">
        <f>IF($AA$17=1,ROUND($Z$17,0),"")</f>
      </c>
      <c r="L13" s="23"/>
      <c r="M13" s="23"/>
      <c r="N13" s="23">
        <f>IF($AA$17=1,"---","")</f>
      </c>
      <c r="O13" s="23">
        <v>12</v>
      </c>
      <c r="P13" t="s">
        <v>140</v>
      </c>
      <c r="S13">
        <v>2</v>
      </c>
      <c r="T13">
        <f>IF(S13&lt;=$S$9,MATCH(S13-0.5,$T$3:$T$8,1),0)</f>
      </c>
      <c r="U13">
        <f>IF(T13&gt;0,S13-INDEX($T$3:$T$8,T13),0)</f>
      </c>
      <c r="V13">
        <f>IF(T13&gt;0,INDEX(Intake!$A$23:$A$28,T13),"")</f>
      </c>
      <c r="W13">
        <f>IF(T13&gt;0,IFERROR(VLOOKUP(V13,ModelTable,7,FALSE),1),1)</f>
      </c>
      <c r="X13">
        <f>IF(T13&gt;0,UPPER(V13)&amp;" #"&amp;ROUNDUP(U13/W13,0)&amp;IF(W13&gt;1,CHAR(64+U13-(ROUNDUP(U13/W13,0)-1)*W13),""),"")</f>
      </c>
      <c r="Y13">
        <f>IF(T13&gt;0,IFERROR(VLOOKUP(V13,ModelTable,6,FALSE),0),0)</f>
      </c>
      <c r="Z13">
        <f>IF(T13&gt;0,IFERROR(VLOOKUP(V13,ModelTable,11,FALSE),0)*208/2,0)</f>
      </c>
      <c r="AA13">
        <f>IF(S13&lt;=$S$9,1,0)</f>
      </c>
    </row>
    <row r="14" spans="1:27" x14ac:dyDescent="0.25">
      <c r="A14" t="s">
        <v>138</v>
      </c>
      <c r="B14" s="23">
        <v>13</v>
      </c>
      <c r="C14" s="23">
        <f>IF($AA$18=1,$X$18,"")</f>
      </c>
      <c r="D14" s="23">
        <f>IF($AA$18=1,$Y$18,"")</f>
      </c>
      <c r="E14" s="23">
        <f>IF($AA$18=1,2,"")</f>
      </c>
      <c r="F14" s="23">
        <f>IF($AA$18=1,ROUND($Z$18,0),"")</f>
      </c>
      <c r="G14" s="23">
        <f>IF($AA$19=1,ROUND($Z$19,0),"")</f>
      </c>
      <c r="H14" s="23"/>
      <c r="I14" s="23"/>
      <c r="J14" s="23"/>
      <c r="K14" s="23"/>
      <c r="L14" s="23">
        <f>IF($AA$19=1,2,"")</f>
      </c>
      <c r="M14" s="23">
        <f>IF($AA$19=1,$Y$19,"")</f>
      </c>
      <c r="N14" s="23">
        <f>IF($AA$19=1,$X$19,"")</f>
      </c>
      <c r="O14" s="23">
        <v>14</v>
      </c>
      <c r="P14" t="s">
        <v>138</v>
      </c>
      <c r="S14">
        <v>3</v>
      </c>
      <c r="T14">
        <f>IF(S14&lt;=$S$9,MATCH(S14-0.5,$T$3:$T$8,1),0)</f>
      </c>
      <c r="U14">
        <f>IF(T14&gt;0,S14-INDEX($T$3:$T$8,T14),0)</f>
      </c>
      <c r="V14">
        <f>IF(T14&gt;0,INDEX(Intake!$A$23:$A$28,T14),"")</f>
      </c>
      <c r="W14">
        <f>IF(T14&gt;0,IFERROR(VLOOKUP(V14,ModelTable,7,FALSE),1),1)</f>
      </c>
      <c r="X14">
        <f>IF(T14&gt;0,UPPER(V14)&amp;" #"&amp;ROUNDUP(U14/W14,0)&amp;IF(W14&gt;1,CHAR(64+U14-(ROUNDUP(U14/W14,0)-1)*W14),""),"")</f>
      </c>
      <c r="Y14">
        <f>IF(T14&gt;0,IFERROR(VLOOKUP(V14,ModelTable,6,FALSE),0),0)</f>
      </c>
      <c r="Z14">
        <f>IF(T14&gt;0,IFERROR(VLOOKUP(V14,ModelTable,11,FALSE),0)*208/2,0)</f>
      </c>
      <c r="AA14">
        <f>IF(S14&lt;=$S$9,1,0)</f>
      </c>
    </row>
    <row r="15" spans="1:27" x14ac:dyDescent="0.25">
      <c r="A15" t="s">
        <v>139</v>
      </c>
      <c r="B15" s="23">
        <v>15</v>
      </c>
      <c r="C15" s="23">
        <f>IF($AA$18=1,"---","")</f>
      </c>
      <c r="D15" s="23"/>
      <c r="E15" s="23"/>
      <c r="F15" s="23"/>
      <c r="G15" s="23"/>
      <c r="H15" s="23">
        <f>IF($AA$18=1,ROUND($Z$18,0),"")</f>
      </c>
      <c r="I15" s="23">
        <f>IF($AA$19=1,ROUND($Z$19,0),"")</f>
      </c>
      <c r="J15" s="23"/>
      <c r="K15" s="23"/>
      <c r="L15" s="23"/>
      <c r="M15" s="23"/>
      <c r="N15" s="23">
        <f>IF($AA$19=1,"---","")</f>
      </c>
      <c r="O15" s="23">
        <v>16</v>
      </c>
      <c r="P15" t="s">
        <v>139</v>
      </c>
      <c r="S15">
        <v>4</v>
      </c>
      <c r="T15">
        <f>IF(S15&lt;=$S$9,MATCH(S15-0.5,$T$3:$T$8,1),0)</f>
      </c>
      <c r="U15">
        <f>IF(T15&gt;0,S15-INDEX($T$3:$T$8,T15),0)</f>
      </c>
      <c r="V15">
        <f>IF(T15&gt;0,INDEX(Intake!$A$23:$A$28,T15),"")</f>
      </c>
      <c r="W15">
        <f>IF(T15&gt;0,IFERROR(VLOOKUP(V15,ModelTable,7,FALSE),1),1)</f>
      </c>
      <c r="X15">
        <f>IF(T15&gt;0,UPPER(V15)&amp;" #"&amp;ROUNDUP(U15/W15,0)&amp;IF(W15&gt;1,CHAR(64+U15-(ROUNDUP(U15/W15,0)-1)*W15),""),"")</f>
      </c>
      <c r="Y15">
        <f>IF(T15&gt;0,IFERROR(VLOOKUP(V15,ModelTable,6,FALSE),0),0)</f>
      </c>
      <c r="Z15">
        <f>IF(T15&gt;0,IFERROR(VLOOKUP(V15,ModelTable,11,FALSE),0)*208/2,0)</f>
      </c>
      <c r="AA15">
        <f>IF(S15&lt;=$S$9,1,0)</f>
      </c>
    </row>
    <row r="16" spans="1:27" x14ac:dyDescent="0.25">
      <c r="A16" t="s">
        <v>140</v>
      </c>
      <c r="B16" s="23">
        <v>17</v>
      </c>
      <c r="C16" s="23">
        <f>IF($AA$20=1,$X$20,"")</f>
      </c>
      <c r="D16" s="23">
        <f>IF($AA$20=1,$Y$20,"")</f>
      </c>
      <c r="E16" s="23">
        <f>IF($AA$20=1,2,"")</f>
      </c>
      <c r="F16" s="23"/>
      <c r="G16" s="23"/>
      <c r="H16" s="23"/>
      <c r="I16" s="23"/>
      <c r="J16" s="23">
        <f>IF($AA$20=1,ROUND($Z$20,0),"")</f>
      </c>
      <c r="K16" s="23">
        <f>IF($AA$21=1,ROUND($Z$21,0),"")</f>
      </c>
      <c r="L16" s="23">
        <f>IF($AA$21=1,2,"")</f>
      </c>
      <c r="M16" s="23">
        <f>IF($AA$21=1,$Y$21,"")</f>
      </c>
      <c r="N16" s="23">
        <f>IF($AA$21=1,$X$21,"")</f>
      </c>
      <c r="O16" s="23">
        <v>18</v>
      </c>
      <c r="P16" t="s">
        <v>140</v>
      </c>
      <c r="S16">
        <v>5</v>
      </c>
      <c r="T16">
        <f>IF(S16&lt;=$S$9,MATCH(S16-0.5,$T$3:$T$8,1),0)</f>
      </c>
      <c r="U16">
        <f>IF(T16&gt;0,S16-INDEX($T$3:$T$8,T16),0)</f>
      </c>
      <c r="V16">
        <f>IF(T16&gt;0,INDEX(Intake!$A$23:$A$28,T16),"")</f>
      </c>
      <c r="W16">
        <f>IF(T16&gt;0,IFERROR(VLOOKUP(V16,ModelTable,7,FALSE),1),1)</f>
      </c>
      <c r="X16">
        <f>IF(T16&gt;0,UPPER(V16)&amp;" #"&amp;ROUNDUP(U16/W16,0)&amp;IF(W16&gt;1,CHAR(64+U16-(ROUNDUP(U16/W16,0)-1)*W16),""),"")</f>
      </c>
      <c r="Y16">
        <f>IF(T16&gt;0,IFERROR(VLOOKUP(V16,ModelTable,6,FALSE),0),0)</f>
      </c>
      <c r="Z16">
        <f>IF(T16&gt;0,IFERROR(VLOOKUP(V16,ModelTable,11,FALSE),0)*208/2,0)</f>
      </c>
      <c r="AA16">
        <f>IF(S16&lt;=$S$9,1,0)</f>
      </c>
    </row>
    <row r="17" spans="1:27" x14ac:dyDescent="0.25">
      <c r="A17" t="s">
        <v>138</v>
      </c>
      <c r="B17" s="23">
        <v>19</v>
      </c>
      <c r="C17" s="23">
        <f>IF($AA$20=1,"---","")</f>
      </c>
      <c r="D17" s="23"/>
      <c r="E17" s="23"/>
      <c r="F17" s="23">
        <f>IF($AA$20=1,ROUND($Z$20,0),"")</f>
      </c>
      <c r="G17" s="23">
        <f>IF($AA$21=1,ROUND($Z$21,0),"")</f>
      </c>
      <c r="H17" s="23"/>
      <c r="I17" s="23"/>
      <c r="J17" s="23"/>
      <c r="K17" s="23"/>
      <c r="L17" s="23"/>
      <c r="M17" s="23"/>
      <c r="N17" s="23">
        <f>IF($AA$21=1,"---","")</f>
      </c>
      <c r="O17" s="23">
        <v>20</v>
      </c>
      <c r="P17" t="s">
        <v>138</v>
      </c>
      <c r="S17">
        <v>6</v>
      </c>
      <c r="T17">
        <f>IF(S17&lt;=$S$9,MATCH(S17-0.5,$T$3:$T$8,1),0)</f>
      </c>
      <c r="U17">
        <f>IF(T17&gt;0,S17-INDEX($T$3:$T$8,T17),0)</f>
      </c>
      <c r="V17">
        <f>IF(T17&gt;0,INDEX(Intake!$A$23:$A$28,T17),"")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IF(T17&gt;0,IFERROR(VLOOKUP(V17,ModelTable,6,FALSE),0),0)</f>
      </c>
      <c r="Z17">
        <f>IF(T17&gt;0,IFERROR(VLOOKUP(V17,ModelTable,11,FALSE),0)*208/2,0)</f>
      </c>
      <c r="AA17">
        <f>IF(S17&lt;=$S$9,1,0)</f>
      </c>
    </row>
    <row r="18" spans="1:27" x14ac:dyDescent="0.25">
      <c r="A18" t="s">
        <v>139</v>
      </c>
      <c r="B18" s="23">
        <v>21</v>
      </c>
      <c r="C18" s="23">
        <f>IF($AA$22=1,$X$22,"")</f>
      </c>
      <c r="D18" s="23">
        <f>IF($AA$22=1,$Y$22,"")</f>
      </c>
      <c r="E18" s="23">
        <f>IF($AA$22=1,2,"")</f>
      </c>
      <c r="F18" s="23"/>
      <c r="G18" s="23"/>
      <c r="H18" s="23">
        <f>IF($AA$22=1,ROUND($Z$22,0),"")</f>
      </c>
      <c r="I18" s="23">
        <f>IF($AA$23=1,ROUND($Z$23,0),"")</f>
      </c>
      <c r="J18" s="23"/>
      <c r="K18" s="23"/>
      <c r="L18" s="23">
        <f>IF($AA$23=1,2,"")</f>
      </c>
      <c r="M18" s="23">
        <f>IF($AA$23=1,$Y$23,"")</f>
      </c>
      <c r="N18" s="23">
        <f>IF($AA$23=1,$X$23,"")</f>
      </c>
      <c r="O18" s="23">
        <v>22</v>
      </c>
      <c r="P18" t="s">
        <v>139</v>
      </c>
      <c r="S18">
        <v>7</v>
      </c>
      <c r="T18">
        <f>IF(S18&lt;=$S$9,MATCH(S18-0.5,$T$3:$T$8,1),0)</f>
      </c>
      <c r="U18">
        <f>IF(T18&gt;0,S18-INDEX($T$3:$T$8,T18),0)</f>
      </c>
      <c r="V18">
        <f>IF(T18&gt;0,INDEX(Intake!$A$23:$A$28,T18),"")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IF(T18&gt;0,IFERROR(VLOOKUP(V18,ModelTable,6,FALSE),0),0)</f>
      </c>
      <c r="Z18">
        <f>IF(T18&gt;0,IFERROR(VLOOKUP(V18,ModelTable,11,FALSE),0)*208/2,0)</f>
      </c>
      <c r="AA18">
        <f>IF(S18&lt;=$S$9,1,0)</f>
      </c>
    </row>
    <row r="19" spans="1:27" x14ac:dyDescent="0.25">
      <c r="A19" t="s">
        <v>140</v>
      </c>
      <c r="B19" s="23">
        <v>23</v>
      </c>
      <c r="C19" s="23">
        <f>IF($AA$22=1,"---","")</f>
      </c>
      <c r="D19" s="23"/>
      <c r="E19" s="23"/>
      <c r="F19" s="23"/>
      <c r="G19" s="23"/>
      <c r="H19" s="23"/>
      <c r="I19" s="23"/>
      <c r="J19" s="23">
        <f>IF($AA$22=1,ROUND($Z$22,0),"")</f>
      </c>
      <c r="K19" s="23">
        <f>IF($AA$23=1,ROUND($Z$23,0),"")</f>
      </c>
      <c r="L19" s="23"/>
      <c r="M19" s="23"/>
      <c r="N19" s="23">
        <f>IF($AA$23=1,"---","")</f>
      </c>
      <c r="O19" s="23">
        <v>24</v>
      </c>
      <c r="P19" t="s">
        <v>140</v>
      </c>
      <c r="S19">
        <v>8</v>
      </c>
      <c r="T19">
        <f>IF(S19&lt;=$S$9,MATCH(S19-0.5,$T$3:$T$8,1),0)</f>
      </c>
      <c r="U19">
        <f>IF(T19&gt;0,S19-INDEX($T$3:$T$8,T19),0)</f>
      </c>
      <c r="V19">
        <f>IF(T19&gt;0,INDEX(Intake!$A$23:$A$28,T19),"")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IF(T19&gt;0,IFERROR(VLOOKUP(V19,ModelTable,6,FALSE),0),0)</f>
      </c>
      <c r="Z19">
        <f>IF(T19&gt;0,IFERROR(VLOOKUP(V19,ModelTable,11,FALSE),0)*208/2,0)</f>
      </c>
      <c r="AA19">
        <f>IF(S19&lt;=$S$9,1,0)</f>
      </c>
    </row>
    <row r="20" spans="1:27" x14ac:dyDescent="0.25">
      <c r="A20" t="s">
        <v>138</v>
      </c>
      <c r="B20" s="23">
        <v>25</v>
      </c>
      <c r="C20" s="23">
        <f>IF($AA$24=1,$X$24,"")</f>
      </c>
      <c r="D20" s="23">
        <f>IF($AA$24=1,$Y$24,"")</f>
      </c>
      <c r="E20" s="23">
        <f>IF($AA$24=1,2,"")</f>
      </c>
      <c r="F20" s="23">
        <f>IF($AA$24=1,ROUND($Z$24,0),"")</f>
      </c>
      <c r="G20" s="23">
        <f>IF($AA$25=1,ROUND($Z$25,0),"")</f>
      </c>
      <c r="H20" s="23"/>
      <c r="I20" s="23"/>
      <c r="J20" s="23"/>
      <c r="K20" s="23"/>
      <c r="L20" s="23">
        <f>IF($AA$25=1,2,"")</f>
      </c>
      <c r="M20" s="23">
        <f>IF($AA$25=1,$Y$25,"")</f>
      </c>
      <c r="N20" s="23">
        <f>IF($AA$25=1,$X$25,"")</f>
      </c>
      <c r="O20" s="23">
        <v>26</v>
      </c>
      <c r="P20" t="s">
        <v>138</v>
      </c>
      <c r="S20">
        <v>9</v>
      </c>
      <c r="T20">
        <f>IF(S20&lt;=$S$9,MATCH(S20-0.5,$T$3:$T$8,1),0)</f>
      </c>
      <c r="U20">
        <f>IF(T20&gt;0,S20-INDEX($T$3:$T$8,T20),0)</f>
      </c>
      <c r="V20">
        <f>IF(T20&gt;0,INDEX(Intake!$A$23:$A$28,T20),"")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IF(T20&gt;0,IFERROR(VLOOKUP(V20,ModelTable,6,FALSE),0),0)</f>
      </c>
      <c r="Z20">
        <f>IF(T20&gt;0,IFERROR(VLOOKUP(V20,ModelTable,11,FALSE),0)*208/2,0)</f>
      </c>
      <c r="AA20">
        <f>IF(S20&lt;=$S$9,1,0)</f>
      </c>
    </row>
    <row r="21" spans="1:27" x14ac:dyDescent="0.25">
      <c r="A21" t="s">
        <v>139</v>
      </c>
      <c r="B21" s="23">
        <v>27</v>
      </c>
      <c r="C21" s="23">
        <f>IF($AA$24=1,"---","")</f>
      </c>
      <c r="D21" s="23"/>
      <c r="E21" s="23"/>
      <c r="F21" s="23"/>
      <c r="G21" s="23"/>
      <c r="H21" s="23">
        <f>IF($AA$24=1,ROUND($Z$24,0),"")</f>
      </c>
      <c r="I21" s="23">
        <f>IF($AA$25=1,ROUND($Z$25,0),"")</f>
      </c>
      <c r="J21" s="23"/>
      <c r="K21" s="23"/>
      <c r="L21" s="23"/>
      <c r="M21" s="23"/>
      <c r="N21" s="23">
        <f>IF($AA$25=1,"---","")</f>
      </c>
      <c r="O21" s="23">
        <v>28</v>
      </c>
      <c r="P21" t="s">
        <v>139</v>
      </c>
      <c r="S21">
        <v>10</v>
      </c>
      <c r="T21">
        <f>IF(S21&lt;=$S$9,MATCH(S21-0.5,$T$3:$T$8,1),0)</f>
      </c>
      <c r="U21">
        <f>IF(T21&gt;0,S21-INDEX($T$3:$T$8,T21),0)</f>
      </c>
      <c r="V21">
        <f>IF(T21&gt;0,INDEX(Intake!$A$23:$A$28,T21),"")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IF(T21&gt;0,IFERROR(VLOOKUP(V21,ModelTable,6,FALSE),0),0)</f>
      </c>
      <c r="Z21">
        <f>IF(T21&gt;0,IFERROR(VLOOKUP(V21,ModelTable,11,FALSE),0)*208/2,0)</f>
      </c>
      <c r="AA21">
        <f>IF(S21&lt;=$S$9,1,0)</f>
      </c>
    </row>
    <row r="22" spans="1:27" x14ac:dyDescent="0.25">
      <c r="A22" t="s">
        <v>140</v>
      </c>
      <c r="B22" s="23">
        <v>29</v>
      </c>
      <c r="C22" s="23">
        <f>IF($AA$26=1,$X$26,"")</f>
      </c>
      <c r="D22" s="23">
        <f>IF($AA$26=1,$Y$26,"")</f>
      </c>
      <c r="E22" s="23">
        <f>IF($AA$26=1,2,"")</f>
      </c>
      <c r="F22" s="23"/>
      <c r="G22" s="23"/>
      <c r="H22" s="23"/>
      <c r="I22" s="23"/>
      <c r="J22" s="23">
        <f>IF($AA$26=1,ROUND($Z$26,0),"")</f>
      </c>
      <c r="K22" s="23">
        <f>IF($AA$27=1,ROUND($Z$27,0),"")</f>
      </c>
      <c r="L22" s="23">
        <f>IF($AA$27=1,2,"")</f>
      </c>
      <c r="M22" s="23">
        <f>IF($AA$27=1,$Y$27,"")</f>
      </c>
      <c r="N22" s="23">
        <f>IF($AA$27=1,$X$27,"")</f>
      </c>
      <c r="O22" s="23">
        <v>30</v>
      </c>
      <c r="P22" t="s">
        <v>140</v>
      </c>
      <c r="S22">
        <v>11</v>
      </c>
      <c r="T22">
        <f>IF(S22&lt;=$S$9,MATCH(S22-0.5,$T$3:$T$8,1),0)</f>
      </c>
      <c r="U22">
        <f>IF(T22&gt;0,S22-INDEX($T$3:$T$8,T22),0)</f>
      </c>
      <c r="V22">
        <f>IF(T22&gt;0,INDEX(Intake!$A$23:$A$28,T22),"")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IF(T22&gt;0,IFERROR(VLOOKUP(V22,ModelTable,6,FALSE),0),0)</f>
      </c>
      <c r="Z22">
        <f>IF(T22&gt;0,IFERROR(VLOOKUP(V22,ModelTable,11,FALSE),0)*208/2,0)</f>
      </c>
      <c r="AA22">
        <f>IF(S22&lt;=$S$9,1,0)</f>
      </c>
    </row>
    <row r="23" spans="1:27" x14ac:dyDescent="0.25">
      <c r="A23" t="s">
        <v>138</v>
      </c>
      <c r="B23" s="23">
        <v>31</v>
      </c>
      <c r="C23" s="23">
        <f>IF($AA$26=1,"---","")</f>
      </c>
      <c r="D23" s="23"/>
      <c r="E23" s="23"/>
      <c r="F23" s="23">
        <f>IF($AA$26=1,ROUND($Z$26,0),"")</f>
      </c>
      <c r="G23" s="23">
        <f>IF($AA$27=1,ROUND($Z$27,0),"")</f>
      </c>
      <c r="H23" s="23"/>
      <c r="I23" s="23"/>
      <c r="J23" s="23"/>
      <c r="K23" s="23"/>
      <c r="L23" s="23"/>
      <c r="M23" s="23"/>
      <c r="N23" s="23">
        <f>IF($AA$27=1,"---","")</f>
      </c>
      <c r="O23" s="23">
        <v>32</v>
      </c>
      <c r="P23" t="s">
        <v>138</v>
      </c>
      <c r="S23">
        <v>12</v>
      </c>
      <c r="T23">
        <f>IF(S23&lt;=$S$9,MATCH(S23-0.5,$T$3:$T$8,1),0)</f>
      </c>
      <c r="U23">
        <f>IF(T23&gt;0,S23-INDEX($T$3:$T$8,T23),0)</f>
      </c>
      <c r="V23">
        <f>IF(T23&gt;0,INDEX(Intake!$A$23:$A$28,T23),"")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IF(T23&gt;0,IFERROR(VLOOKUP(V23,ModelTable,6,FALSE),0),0)</f>
      </c>
      <c r="Z23">
        <f>IF(T23&gt;0,IFERROR(VLOOKUP(V23,ModelTable,11,FALSE),0)*208/2,0)</f>
      </c>
      <c r="AA23">
        <f>IF(S23&lt;=$S$9,1,0)</f>
      </c>
    </row>
    <row r="24" spans="1:27" x14ac:dyDescent="0.25">
      <c r="A24" t="s">
        <v>139</v>
      </c>
      <c r="B24" s="23">
        <v>33</v>
      </c>
      <c r="C24" s="23">
        <f>IF($AA$28=1,$X$28,"")</f>
      </c>
      <c r="D24" s="23">
        <f>IF($AA$28=1,$Y$28,"")</f>
      </c>
      <c r="E24" s="23">
        <f>IF($AA$28=1,2,"")</f>
      </c>
      <c r="F24" s="23"/>
      <c r="G24" s="23"/>
      <c r="H24" s="23">
        <f>IF($AA$28=1,ROUND($Z$28,0),"")</f>
      </c>
      <c r="I24" s="23">
        <f>IF($AA$29=1,ROUND($Z$29,0),"")</f>
      </c>
      <c r="J24" s="23"/>
      <c r="K24" s="23"/>
      <c r="L24" s="23">
        <f>IF($AA$29=1,2,"")</f>
      </c>
      <c r="M24" s="23">
        <f>IF($AA$29=1,$Y$29,"")</f>
      </c>
      <c r="N24" s="23">
        <f>IF($AA$29=1,$X$29,"")</f>
      </c>
      <c r="O24" s="23">
        <v>34</v>
      </c>
      <c r="P24" t="s">
        <v>139</v>
      </c>
      <c r="S24">
        <v>13</v>
      </c>
      <c r="T24">
        <f>IF(S24&lt;=$S$9,MATCH(S24-0.5,$T$3:$T$8,1),0)</f>
      </c>
      <c r="U24">
        <f>IF(T24&gt;0,S24-INDEX($T$3:$T$8,T24),0)</f>
      </c>
      <c r="V24">
        <f>IF(T24&gt;0,INDEX(Intake!$A$23:$A$28,T24),"")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IF(T24&gt;0,IFERROR(VLOOKUP(V24,ModelTable,6,FALSE),0),0)</f>
      </c>
      <c r="Z24">
        <f>IF(T24&gt;0,IFERROR(VLOOKUP(V24,ModelTable,11,FALSE),0)*208/2,0)</f>
      </c>
      <c r="AA24">
        <f>IF(S24&lt;=$S$9,1,0)</f>
      </c>
    </row>
    <row r="25" spans="1:27" x14ac:dyDescent="0.25">
      <c r="A25" t="s">
        <v>140</v>
      </c>
      <c r="B25" s="23">
        <v>35</v>
      </c>
      <c r="C25" s="23">
        <f>IF($AA$28=1,"---","")</f>
      </c>
      <c r="D25" s="23"/>
      <c r="E25" s="23"/>
      <c r="F25" s="23"/>
      <c r="G25" s="23"/>
      <c r="H25" s="23"/>
      <c r="I25" s="23"/>
      <c r="J25" s="23">
        <f>IF($AA$28=1,ROUND($Z$28,0),"")</f>
      </c>
      <c r="K25" s="23">
        <f>IF($AA$29=1,ROUND($Z$29,0),"")</f>
      </c>
      <c r="L25" s="23"/>
      <c r="M25" s="23"/>
      <c r="N25" s="23">
        <f>IF($AA$29=1,"---","")</f>
      </c>
      <c r="O25" s="23">
        <v>36</v>
      </c>
      <c r="P25" t="s">
        <v>140</v>
      </c>
      <c r="S25">
        <v>14</v>
      </c>
      <c r="T25">
        <f>IF(S25&lt;=$S$9,MATCH(S25-0.5,$T$3:$T$8,1),0)</f>
      </c>
      <c r="U25">
        <f>IF(T25&gt;0,S25-INDEX($T$3:$T$8,T25),0)</f>
      </c>
      <c r="V25">
        <f>IF(T25&gt;0,INDEX(Intake!$A$23:$A$28,T25),"")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IF(T25&gt;0,IFERROR(VLOOKUP(V25,ModelTable,6,FALSE),0),0)</f>
      </c>
      <c r="Z25">
        <f>IF(T25&gt;0,IFERROR(VLOOKUP(V25,ModelTable,11,FALSE),0)*208/2,0)</f>
      </c>
      <c r="AA25">
        <f>IF(S25&lt;=$S$9,1,0)</f>
      </c>
    </row>
    <row r="26" spans="1:27" x14ac:dyDescent="0.25">
      <c r="A26" t="s">
        <v>138</v>
      </c>
      <c r="B26" s="23">
        <v>37</v>
      </c>
      <c r="C26" s="23">
        <f>IF($AA$30=1,$X$30,"")</f>
      </c>
      <c r="D26" s="23">
        <f>IF($AA$30=1,$Y$30,"")</f>
      </c>
      <c r="E26" s="23">
        <f>IF($AA$30=1,2,"")</f>
      </c>
      <c r="F26" s="23">
        <f>IF($AA$30=1,ROUND($Z$30,0),"")</f>
      </c>
      <c r="G26" s="23">
        <f>IF($AA$31=1,ROUND($Z$31,0),"")</f>
      </c>
      <c r="H26" s="23"/>
      <c r="I26" s="23"/>
      <c r="J26" s="23"/>
      <c r="K26" s="23"/>
      <c r="L26" s="23">
        <f>IF($AA$31=1,2,"")</f>
      </c>
      <c r="M26" s="23">
        <f>IF($AA$31=1,$Y$31,"")</f>
      </c>
      <c r="N26" s="23">
        <f>IF($AA$31=1,$X$31,"")</f>
      </c>
      <c r="O26" s="23">
        <v>38</v>
      </c>
      <c r="P26" t="s">
        <v>138</v>
      </c>
      <c r="S26">
        <v>15</v>
      </c>
      <c r="T26">
        <f>IF(S26&lt;=$S$9,MATCH(S26-0.5,$T$3:$T$8,1),0)</f>
      </c>
      <c r="U26">
        <f>IF(T26&gt;0,S26-INDEX($T$3:$T$8,T26),0)</f>
      </c>
      <c r="V26">
        <f>IF(T26&gt;0,INDEX(Intake!$A$23:$A$28,T26),"")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IF(T26&gt;0,IFERROR(VLOOKUP(V26,ModelTable,6,FALSE),0),0)</f>
      </c>
      <c r="Z26">
        <f>IF(T26&gt;0,IFERROR(VLOOKUP(V26,ModelTable,11,FALSE),0)*208/2,0)</f>
      </c>
      <c r="AA26">
        <f>IF(S26&lt;=$S$9,1,0)</f>
      </c>
    </row>
    <row r="27" spans="1:27" x14ac:dyDescent="0.25">
      <c r="A27" t="s">
        <v>139</v>
      </c>
      <c r="B27" s="23">
        <v>39</v>
      </c>
      <c r="C27" s="23">
        <f>IF($AA$30=1,"---","")</f>
      </c>
      <c r="D27" s="23"/>
      <c r="E27" s="23"/>
      <c r="F27" s="23"/>
      <c r="G27" s="23"/>
      <c r="H27" s="23">
        <f>IF($AA$30=1,ROUND($Z$30,0),"")</f>
      </c>
      <c r="I27" s="23">
        <f>IF($AA$31=1,ROUND($Z$31,0),"")</f>
      </c>
      <c r="J27" s="23"/>
      <c r="K27" s="23"/>
      <c r="L27" s="23"/>
      <c r="M27" s="23"/>
      <c r="N27" s="23">
        <f>IF($AA$31=1,"---","")</f>
      </c>
      <c r="O27" s="23">
        <v>40</v>
      </c>
      <c r="P27" t="s">
        <v>139</v>
      </c>
      <c r="S27">
        <v>16</v>
      </c>
      <c r="T27">
        <f>IF(S27&lt;=$S$9,MATCH(S27-0.5,$T$3:$T$8,1),0)</f>
      </c>
      <c r="U27">
        <f>IF(T27&gt;0,S27-INDEX($T$3:$T$8,T27),0)</f>
      </c>
      <c r="V27">
        <f>IF(T27&gt;0,INDEX(Intake!$A$23:$A$28,T27),"")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IF(T27&gt;0,IFERROR(VLOOKUP(V27,ModelTable,6,FALSE),0),0)</f>
      </c>
      <c r="Z27">
        <f>IF(T27&gt;0,IFERROR(VLOOKUP(V27,ModelTable,11,FALSE),0)*208/2,0)</f>
      </c>
      <c r="AA27">
        <f>IF(S27&lt;=$S$9,1,0)</f>
      </c>
    </row>
    <row r="28" spans="1:27" x14ac:dyDescent="0.25">
      <c r="A28" t="s">
        <v>140</v>
      </c>
      <c r="B28" s="23">
        <v>41</v>
      </c>
      <c r="C28" s="23">
        <f>IF($AA$32=1,$X$32,"")</f>
      </c>
      <c r="D28" s="23">
        <f>IF($AA$32=1,$Y$32,"")</f>
      </c>
      <c r="E28" s="23">
        <f>IF($AA$32=1,2,"")</f>
      </c>
      <c r="F28" s="23"/>
      <c r="G28" s="23"/>
      <c r="H28" s="23"/>
      <c r="I28" s="23"/>
      <c r="J28" s="23">
        <f>IF($AA$32=1,ROUND($Z$32,0),"")</f>
      </c>
      <c r="K28" s="23">
        <f>IF($AA$33=1,ROUND($Z$33,0),"")</f>
      </c>
      <c r="L28" s="23">
        <f>IF($AA$33=1,2,"")</f>
      </c>
      <c r="M28" s="23">
        <f>IF($AA$33=1,$Y$33,"")</f>
      </c>
      <c r="N28" s="23">
        <f>IF($AA$33=1,$X$33,"")</f>
      </c>
      <c r="O28" s="23">
        <v>42</v>
      </c>
      <c r="P28" t="s">
        <v>140</v>
      </c>
      <c r="S28">
        <v>17</v>
      </c>
      <c r="T28">
        <f>IF(S28&lt;=$S$9,MATCH(S28-0.5,$T$3:$T$8,1),0)</f>
      </c>
      <c r="U28">
        <f>IF(T28&gt;0,S28-INDEX($T$3:$T$8,T28),0)</f>
      </c>
      <c r="V28">
        <f>IF(T28&gt;0,INDEX(Intake!$A$23:$A$28,T28),"")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IF(T28&gt;0,IFERROR(VLOOKUP(V28,ModelTable,6,FALSE),0),0)</f>
      </c>
      <c r="Z28">
        <f>IF(T28&gt;0,IFERROR(VLOOKUP(V28,ModelTable,11,FALSE),0)*208/2,0)</f>
      </c>
      <c r="AA28">
        <f>IF(S28&lt;=$S$9,1,0)</f>
      </c>
    </row>
    <row r="29" spans="1:27" x14ac:dyDescent="0.25">
      <c r="A29" t="s">
        <v>138</v>
      </c>
      <c r="B29" s="23">
        <v>43</v>
      </c>
      <c r="C29" s="23">
        <f>IF($AA$32=1,"---","")</f>
      </c>
      <c r="D29" s="23"/>
      <c r="E29" s="23"/>
      <c r="F29" s="23">
        <f>IF($AA$32=1,ROUND($Z$32,0),"")</f>
      </c>
      <c r="G29" s="23">
        <f>IF($AA$33=1,ROUND($Z$33,0),"")</f>
      </c>
      <c r="H29" s="23"/>
      <c r="I29" s="23"/>
      <c r="J29" s="23"/>
      <c r="K29" s="23"/>
      <c r="L29" s="23"/>
      <c r="M29" s="23"/>
      <c r="N29" s="23">
        <f>IF($AA$33=1,"---","")</f>
      </c>
      <c r="O29" s="23">
        <v>44</v>
      </c>
      <c r="P29" t="s">
        <v>138</v>
      </c>
      <c r="S29">
        <v>18</v>
      </c>
      <c r="T29">
        <f>IF(S29&lt;=$S$9,MATCH(S29-0.5,$T$3:$T$8,1),0)</f>
      </c>
      <c r="U29">
        <f>IF(T29&gt;0,S29-INDEX($T$3:$T$8,T29),0)</f>
      </c>
      <c r="V29">
        <f>IF(T29&gt;0,INDEX(Intake!$A$23:$A$28,T29),"")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IF(T29&gt;0,IFERROR(VLOOKUP(V29,ModelTable,6,FALSE),0),0)</f>
      </c>
      <c r="Z29">
        <f>IF(T29&gt;0,IFERROR(VLOOKUP(V29,ModelTable,11,FALSE),0)*208/2,0)</f>
      </c>
      <c r="AA29">
        <f>IF(S29&lt;=$S$9,1,0)</f>
      </c>
    </row>
    <row r="30" spans="1:27" x14ac:dyDescent="0.25">
      <c r="A30" t="s">
        <v>139</v>
      </c>
      <c r="B30" s="23">
        <v>45</v>
      </c>
      <c r="C30" s="23">
        <f>IF($AA$34=1,$X$34,"")</f>
      </c>
      <c r="D30" s="23">
        <f>IF($AA$34=1,$Y$34,"")</f>
      </c>
      <c r="E30" s="23">
        <f>IF($AA$34=1,2,"")</f>
      </c>
      <c r="F30" s="23"/>
      <c r="G30" s="23"/>
      <c r="H30" s="23">
        <f>IF($AA$34=1,ROUND($Z$34,0),"")</f>
      </c>
      <c r="I30" s="23">
        <f>IF($AA$35=1,ROUND($Z$35,0),"")</f>
      </c>
      <c r="J30" s="23"/>
      <c r="K30" s="23"/>
      <c r="L30" s="23">
        <f>IF($AA$35=1,2,"")</f>
      </c>
      <c r="M30" s="23">
        <f>IF($AA$35=1,$Y$35,"")</f>
      </c>
      <c r="N30" s="23">
        <f>IF($AA$35=1,$X$35,"")</f>
      </c>
      <c r="O30" s="23">
        <v>46</v>
      </c>
      <c r="P30" t="s">
        <v>139</v>
      </c>
      <c r="S30">
        <v>19</v>
      </c>
      <c r="T30">
        <f>IF(S30&lt;=$S$9,MATCH(S30-0.5,$T$3:$T$8,1),0)</f>
      </c>
      <c r="U30">
        <f>IF(T30&gt;0,S30-INDEX($T$3:$T$8,T30),0)</f>
      </c>
      <c r="V30">
        <f>IF(T30&gt;0,INDEX(Intake!$A$23:$A$28,T30),"")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IF(T30&gt;0,IFERROR(VLOOKUP(V30,ModelTable,6,FALSE),0),0)</f>
      </c>
      <c r="Z30">
        <f>IF(T30&gt;0,IFERROR(VLOOKUP(V30,ModelTable,11,FALSE),0)*208/2,0)</f>
      </c>
      <c r="AA30">
        <f>IF(S30&lt;=$S$9,1,0)</f>
      </c>
    </row>
    <row r="31" spans="1:27" x14ac:dyDescent="0.25">
      <c r="A31" t="s">
        <v>140</v>
      </c>
      <c r="B31" s="23">
        <v>47</v>
      </c>
      <c r="C31" s="23">
        <f>IF($AA$34=1,"---","")</f>
      </c>
      <c r="D31" s="23"/>
      <c r="E31" s="23"/>
      <c r="F31" s="23"/>
      <c r="G31" s="23"/>
      <c r="H31" s="23"/>
      <c r="I31" s="23"/>
      <c r="J31" s="23">
        <f>IF($AA$34=1,ROUND($Z$34,0),"")</f>
      </c>
      <c r="K31" s="23">
        <f>IF($AA$35=1,ROUND($Z$35,0),"")</f>
      </c>
      <c r="L31" s="23"/>
      <c r="M31" s="23"/>
      <c r="N31" s="23">
        <f>IF($AA$35=1,"---","")</f>
      </c>
      <c r="O31" s="23">
        <v>48</v>
      </c>
      <c r="P31" t="s">
        <v>140</v>
      </c>
      <c r="S31">
        <v>20</v>
      </c>
      <c r="T31">
        <f>IF(S31&lt;=$S$9,MATCH(S31-0.5,$T$3:$T$8,1),0)</f>
      </c>
      <c r="U31">
        <f>IF(T31&gt;0,S31-INDEX($T$3:$T$8,T31),0)</f>
      </c>
      <c r="V31">
        <f>IF(T31&gt;0,INDEX(Intake!$A$23:$A$28,T31),"")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IF(T31&gt;0,IFERROR(VLOOKUP(V31,ModelTable,6,FALSE),0),0)</f>
      </c>
      <c r="Z31">
        <f>IF(T31&gt;0,IFERROR(VLOOKUP(V31,ModelTable,11,FALSE),0)*208/2,0)</f>
      </c>
      <c r="AA31">
        <f>IF(S31&lt;=$S$9,1,0)</f>
      </c>
    </row>
    <row r="32" spans="19:27" x14ac:dyDescent="0.25">
      <c r="S32">
        <v>21</v>
      </c>
      <c r="T32">
        <f>IF(S32&lt;=$S$9,MATCH(S32-0.5,$T$3:$T$8,1),0)</f>
      </c>
      <c r="U32">
        <f>IF(T32&gt;0,S32-INDEX($T$3:$T$8,T32),0)</f>
      </c>
      <c r="V32">
        <f>IF(T32&gt;0,INDEX(Intake!$A$23:$A$28,T32),"")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IF(T32&gt;0,IFERROR(VLOOKUP(V32,ModelTable,6,FALSE),0),0)</f>
      </c>
      <c r="Z32">
        <f>IF(T32&gt;0,IFERROR(VLOOKUP(V32,ModelTable,11,FALSE),0)*208/2,0)</f>
      </c>
      <c r="AA32">
        <f>IF(S32&lt;=$S$9,1,0)</f>
      </c>
    </row>
    <row r="33" spans="3:27" x14ac:dyDescent="0.25">
      <c r="C33" t="s">
        <v>142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143</v>
      </c>
      <c r="M33" s="21"/>
      <c r="N33" s="25">
        <f>F33+H33+J33</f>
      </c>
      <c r="S33">
        <v>22</v>
      </c>
      <c r="T33">
        <f>IF(S33&lt;=$S$9,MATCH(S33-0.5,$T$3:$T$8,1),0)</f>
      </c>
      <c r="U33">
        <f>IF(T33&gt;0,S33-INDEX($T$3:$T$8,T33),0)</f>
      </c>
      <c r="V33">
        <f>IF(T33&gt;0,INDEX(Intake!$A$23:$A$28,T33),"")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IF(T33&gt;0,IFERROR(VLOOKUP(V33,ModelTable,6,FALSE),0),0)</f>
      </c>
      <c r="Z33">
        <f>IF(T33&gt;0,IFERROR(VLOOKUP(V33,ModelTable,11,FALSE),0)*208/2,0)</f>
      </c>
      <c r="AA33">
        <f>IF(S33&lt;=$S$9,1,0)</f>
      </c>
    </row>
    <row r="34" spans="3:27" x14ac:dyDescent="0.25">
      <c r="C34" t="s">
        <v>144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145</v>
      </c>
      <c r="M34" s="21"/>
      <c r="N34" s="25">
        <f>N33*1.25</f>
      </c>
      <c r="S34">
        <v>23</v>
      </c>
      <c r="T34">
        <f>IF(S34&lt;=$S$9,MATCH(S34-0.5,$T$3:$T$8,1),0)</f>
      </c>
      <c r="U34">
        <f>IF(T34&gt;0,S34-INDEX($T$3:$T$8,T34),0)</f>
      </c>
      <c r="V34">
        <f>IF(T34&gt;0,INDEX(Intake!$A$23:$A$28,T34),"")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IF(T34&gt;0,IFERROR(VLOOKUP(V34,ModelTable,6,FALSE),0),0)</f>
      </c>
      <c r="Z34">
        <f>IF(T34&gt;0,IFERROR(VLOOKUP(V34,ModelTable,11,FALSE),0)*208/2,0)</f>
      </c>
      <c r="AA34">
        <f>IF(S34&lt;=$S$9,1,0)</f>
      </c>
    </row>
    <row r="35" spans="3:27" x14ac:dyDescent="0.25">
      <c r="C35" t="s">
        <v>146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147</v>
      </c>
      <c r="M35" s="21"/>
      <c r="N35" s="26">
        <f>N34/(208*SQRT(3))</f>
      </c>
      <c r="S35">
        <v>24</v>
      </c>
      <c r="T35">
        <f>IF(S35&lt;=$S$9,MATCH(S35-0.5,$T$3:$T$8,1),0)</f>
      </c>
      <c r="U35">
        <f>IF(T35&gt;0,S35-INDEX($T$3:$T$8,T35),0)</f>
      </c>
      <c r="V35">
        <f>IF(T35&gt;0,INDEX(Intake!$A$23:$A$28,T35),"")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IF(T35&gt;0,IFERROR(VLOOKUP(V35,ModelTable,6,FALSE),0),0)</f>
      </c>
      <c r="Z35">
        <f>IF(T35&gt;0,IFERROR(VLOOKUP(V35,ModelTable,11,FALSE),0)*208/2,0)</f>
      </c>
      <c r="AA35">
        <f>IF(S35&lt;=$S$9,1,0)</f>
      </c>
    </row>
    <row r="36" spans="3:14" x14ac:dyDescent="0.25">
      <c r="C36" t="s">
        <v>148</v>
      </c>
      <c r="F36" s="26">
        <f>F35/120</f>
      </c>
      <c r="G36" s="26"/>
      <c r="H36" s="26">
        <f>H35/120</f>
      </c>
      <c r="I36" s="26"/>
      <c r="J36" s="26">
        <f>J35/120</f>
      </c>
      <c r="K36" s="26"/>
      <c r="L36" s="21" t="s">
        <v>149</v>
      </c>
      <c r="M36" s="21"/>
      <c r="N36">
        <f>Panel!$F$28</f>
      </c>
    </row>
    <row r="38" spans="2:2" x14ac:dyDescent="0.25">
      <c r="B38" s="27">
        <f>IF($S$9&gt;24,"⚠ More than 24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153</v>
      </c>
    </row>
    <row r="2" spans="1:1" x14ac:dyDescent="0.25">
      <c r="A2" s="2" t="s">
        <v>154</v>
      </c>
    </row>
    <row r="4" spans="1:2" x14ac:dyDescent="0.25">
      <c r="A4" s="4" t="s">
        <v>155</v>
      </c>
      <c r="B4">
        <f>LaborDays</f>
      </c>
    </row>
    <row r="6" spans="1:2" x14ac:dyDescent="0.25">
      <c r="A6" s="28" t="s">
        <v>156</v>
      </c>
      <c r="B6" s="29"/>
    </row>
    <row r="7" spans="1:2" x14ac:dyDescent="0.25">
      <c r="A7" t="s">
        <v>157</v>
      </c>
      <c r="B7" s="9">
        <f>WireTotal+SUM(Intake!E23:E28)</f>
      </c>
    </row>
    <row r="8" spans="1:2" x14ac:dyDescent="0.25">
      <c r="A8" t="s">
        <v>158</v>
      </c>
      <c r="B8" s="9">
        <f>GearTotal</f>
      </c>
    </row>
    <row r="9" spans="1:2" x14ac:dyDescent="0.25">
      <c r="A9" t="s">
        <v>159</v>
      </c>
      <c r="B9" s="9">
        <f>TrenchFt*TrenchRate*VLOOKUP(Terrain,TerrainTable,2,FALSE)</f>
      </c>
    </row>
    <row r="10" spans="1:2" x14ac:dyDescent="0.25">
      <c r="A10" t="s">
        <v>160</v>
      </c>
      <c r="B10" s="9">
        <f>IF(NTotal&gt;0,CivilBase,0)+NDcfc*CivilDcfc+NumL2*CivilL2</f>
      </c>
    </row>
    <row r="11" spans="1:2" x14ac:dyDescent="0.25">
      <c r="A11" t="s">
        <v>161</v>
      </c>
      <c r="B11" s="9">
        <f>NDcfc*SignageDcfc+NumL2*SignageL2</f>
      </c>
    </row>
    <row r="12" spans="1:2" x14ac:dyDescent="0.25">
      <c r="A12" t="s">
        <v>162</v>
      </c>
      <c r="B12" s="9">
        <f>AdaCost</f>
      </c>
    </row>
    <row r="13" spans="1:2" x14ac:dyDescent="0.25">
      <c r="A13" t="s">
        <v>163</v>
      </c>
      <c r="B13" s="9">
        <f>TrenchFt*VLOOKUP(Terrain,TerrainTable,5,FALSE)</f>
      </c>
    </row>
    <row r="14" spans="1:2" x14ac:dyDescent="0.25">
      <c r="A14" t="s">
        <v>70</v>
      </c>
      <c r="B14" s="9">
        <f>IF(IncGpr="Yes",MAX(1,ROUNDUP(TrenchFt/GprFtPerDay,0))*GprDayRate,0)</f>
      </c>
    </row>
    <row r="15" spans="1:2" x14ac:dyDescent="0.25">
      <c r="A15" t="s">
        <v>164</v>
      </c>
      <c r="B15" s="9">
        <f>IF(NTotal&gt;0,EquipBase+EquipPerDay*LaborDays,0)</f>
      </c>
    </row>
    <row r="16" spans="1:2" x14ac:dyDescent="0.25">
      <c r="A16" t="s">
        <v>165</v>
      </c>
      <c r="B16" s="9">
        <f>IF(IncPermits="Yes",200+60*NTotal,0)</f>
      </c>
    </row>
    <row r="17" spans="1:2" x14ac:dyDescent="0.25">
      <c r="A17" t="s">
        <v>166</v>
      </c>
      <c r="B17" s="9">
        <f>IF(IncPermits="Yes",IF(NDcfc&gt;0,2500+TransformerPad,800),0)</f>
      </c>
    </row>
    <row r="18" spans="1:2" x14ac:dyDescent="0.25">
      <c r="A18" s="3" t="s">
        <v>167</v>
      </c>
      <c r="B18" s="9">
        <f>SUM(B7:B17)</f>
      </c>
    </row>
    <row r="19" spans="1:2" x14ac:dyDescent="0.25">
      <c r="A19" t="s">
        <v>168</v>
      </c>
      <c r="B19" s="9">
        <f>B18*ContingencyPct</f>
      </c>
    </row>
    <row r="20" spans="1:2" x14ac:dyDescent="0.25">
      <c r="A20" s="3" t="s">
        <v>169</v>
      </c>
      <c r="B20" s="10">
        <f>B18+B19</f>
      </c>
    </row>
    <row r="22" spans="1:2" x14ac:dyDescent="0.25">
      <c r="A22" t="s">
        <v>170</v>
      </c>
      <c r="B22" s="9">
        <f>LaborBase*(1+ContingencyPct)</f>
      </c>
    </row>
    <row r="23" spans="1:2" x14ac:dyDescent="0.25">
      <c r="A23" t="s">
        <v>171</v>
      </c>
      <c r="B23" s="9">
        <f>ConstructionTotal*TaxPct</f>
      </c>
    </row>
    <row r="24" spans="1:2" x14ac:dyDescent="0.25">
      <c r="A24" s="30" t="s">
        <v>172</v>
      </c>
      <c r="B24" s="9">
        <f>ConstructionTotal+LaborCost</f>
      </c>
    </row>
    <row r="26" spans="1:2" x14ac:dyDescent="0.25">
      <c r="A26" s="28" t="s">
        <v>173</v>
      </c>
      <c r="B26" s="29"/>
    </row>
    <row r="27" spans="1:2" x14ac:dyDescent="0.25">
      <c r="A27" t="s">
        <v>174</v>
      </c>
      <c r="B27" s="9">
        <f>IF(IncHardware="Yes",SUM(Intake!F23:F28)*HardwareFactor,0)</f>
      </c>
    </row>
    <row r="28" spans="1:2" x14ac:dyDescent="0.25">
      <c r="A28" t="s">
        <v>175</v>
      </c>
      <c r="B28" s="9">
        <f>IF(IncHardware="Yes",CommDcfc*NDcfc+CommL2*NumL2,0)</f>
      </c>
    </row>
    <row r="29" spans="1:2" x14ac:dyDescent="0.25">
      <c r="A29" t="s">
        <v>176</v>
      </c>
      <c r="B29" s="9">
        <f>IF(IncHardware="Yes",NPorts*NetworkFeeMo*12*ContractYears,0)</f>
      </c>
    </row>
    <row r="30" spans="1:2" x14ac:dyDescent="0.25">
      <c r="A30" t="s">
        <v>177</v>
      </c>
      <c r="B30" s="9">
        <f>IF(IncHardware="Yes",ServicePlanYr*ContractYears,0)</f>
      </c>
    </row>
    <row r="31" spans="1:2" x14ac:dyDescent="0.25">
      <c r="A31" t="s">
        <v>178</v>
      </c>
      <c r="B31" s="9">
        <f>B27*TaxPct</f>
      </c>
    </row>
    <row r="33" spans="1:2" x14ac:dyDescent="0.25">
      <c r="A33" s="28" t="s">
        <v>179</v>
      </c>
      <c r="B33" s="29"/>
    </row>
    <row r="34" spans="1:2" x14ac:dyDescent="0.25">
      <c r="A34" t="s">
        <v>66</v>
      </c>
      <c r="B34" s="9">
        <f>IF(IncSitePlan="Yes",2500+150*NTotal+IF(NDcfc&gt;0,1000,0),0)</f>
      </c>
    </row>
    <row r="35" spans="1:2" x14ac:dyDescent="0.25">
      <c r="A35" t="s">
        <v>180</v>
      </c>
      <c r="B35" s="9">
        <f>IF(IncSLD="Yes",IF(NDcfc&gt;0,6000+900*NDcfc+150*NumL2,2500+150*NumL2),0)</f>
      </c>
    </row>
    <row r="36" spans="1:3" x14ac:dyDescent="0.25">
      <c r="A36" t="s">
        <v>181</v>
      </c>
      <c r="B36" s="9">
        <f>C36*PmRate</f>
      </c>
      <c r="C36" s="31">
        <f>IF(IncCpm="Yes",MAX(24,ROUND(CpmPct*Valuation/PmRate,0)),0)</f>
      </c>
    </row>
    <row r="37" spans="1:2" x14ac:dyDescent="0.25">
      <c r="A37" t="s">
        <v>182</v>
      </c>
      <c r="B37" s="9">
        <f>IF(IncPermits="Yes",IF(NDcfc&gt;0,500+0.02*Valuation,300),0)</f>
      </c>
    </row>
    <row r="38" spans="1:2" x14ac:dyDescent="0.25">
      <c r="A38" s="3" t="s">
        <v>183</v>
      </c>
      <c r="B38" s="9">
        <f>SUM(B34:B37)</f>
      </c>
    </row>
    <row r="40" spans="1:2" x14ac:dyDescent="0.25">
      <c r="A40" s="13" t="s">
        <v>184</v>
      </c>
      <c r="B40" s="14">
        <f>ConstructionTotal+LaborCost+B23+B27+B28+B29+B30+B31+B38</f>
      </c>
    </row>
    <row r="41" spans="1:2" x14ac:dyDescent="0.25">
      <c r="A41" t="s">
        <v>185</v>
      </c>
      <c r="B41" s="9">
        <f>-RebateAmt</f>
      </c>
    </row>
    <row r="42" spans="1:2" x14ac:dyDescent="0.25">
      <c r="A42" s="16" t="s">
        <v>81</v>
      </c>
      <c r="B42" s="32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3" t="s">
        <v>186</v>
      </c>
      <c r="C2" s="34" t="s">
        <v>187</v>
      </c>
      <c r="D2" s="35" t="s">
        <v>188</v>
      </c>
      <c r="E2" s="36" t="s">
        <v>168</v>
      </c>
      <c r="F2" s="35" t="s">
        <v>189</v>
      </c>
      <c r="G2" s="37" t="s">
        <v>190</v>
      </c>
    </row>
    <row r="3" spans="2:11" x14ac:dyDescent="0.25">
      <c r="B3" s="38" t="s">
        <v>191</v>
      </c>
      <c r="C3" s="39">
        <v>1</v>
      </c>
      <c r="D3" s="40">
        <f>Estimate!B7</f>
      </c>
      <c r="E3" s="41">
        <f>ContingencyPct</f>
      </c>
      <c r="F3" s="40">
        <f>(D3*E3)+D3</f>
      </c>
      <c r="G3" s="42">
        <f>F3*C3</f>
      </c>
      <c r="J3" s="43" t="s">
        <v>192</v>
      </c>
      <c r="K3" s="44"/>
    </row>
    <row r="4" spans="2:11" x14ac:dyDescent="0.25">
      <c r="B4" s="38" t="s">
        <v>193</v>
      </c>
      <c r="C4" s="39">
        <v>1</v>
      </c>
      <c r="D4" s="40">
        <f>Panel!F16</f>
      </c>
      <c r="E4" s="41">
        <f>ContingencyPct</f>
      </c>
      <c r="F4" s="40">
        <f>(D4*E4)+D4</f>
      </c>
      <c r="G4" s="42">
        <f>F4*C4</f>
      </c>
      <c r="J4" s="45" t="s">
        <v>194</v>
      </c>
      <c r="K4" s="46">
        <f>IF(LaborDays&gt;0,LaborBase/LaborDays,0)</f>
      </c>
    </row>
    <row r="5" spans="2:11" x14ac:dyDescent="0.25">
      <c r="B5" s="38" t="s">
        <v>195</v>
      </c>
      <c r="C5" s="39">
        <v>1</v>
      </c>
      <c r="D5" s="40">
        <f>Panel!F30+Panel!F36+Panel!F49</f>
      </c>
      <c r="E5" s="41">
        <f>ContingencyPct</f>
      </c>
      <c r="F5" s="40">
        <f>(D5*E5)+D5</f>
      </c>
      <c r="G5" s="42">
        <f>F5*C5</f>
      </c>
      <c r="J5" s="45" t="s">
        <v>196</v>
      </c>
      <c r="K5" s="47">
        <f>LaborDays</f>
      </c>
    </row>
    <row r="6" spans="2:11" x14ac:dyDescent="0.25">
      <c r="B6" s="38" t="s">
        <v>197</v>
      </c>
      <c r="C6" s="39">
        <v>1</v>
      </c>
      <c r="D6" s="40">
        <f>Estimate!B11</f>
      </c>
      <c r="E6" s="41">
        <f>ContingencyPct</f>
      </c>
      <c r="F6" s="40">
        <f>(D6*E6)+D6</f>
      </c>
      <c r="G6" s="42">
        <f>F6*C6</f>
      </c>
      <c r="J6" s="45" t="s">
        <v>198</v>
      </c>
      <c r="K6" s="47">
        <f>K5/30</f>
      </c>
    </row>
    <row r="7" ht="15.75" customHeight="1" spans="2:11" x14ac:dyDescent="0.25">
      <c r="B7" s="38" t="s">
        <v>199</v>
      </c>
      <c r="C7" s="39">
        <v>1</v>
      </c>
      <c r="D7" s="40">
        <f>Estimate!B9</f>
      </c>
      <c r="E7" s="41">
        <f>ContingencyPct</f>
      </c>
      <c r="F7" s="40">
        <f>(D7*E7)+D7</f>
      </c>
      <c r="G7" s="42">
        <f>F7*C7</f>
      </c>
      <c r="J7" s="48" t="s">
        <v>200</v>
      </c>
      <c r="K7" s="49">
        <f>K5*K4</f>
      </c>
    </row>
    <row r="8" spans="2:7" x14ac:dyDescent="0.25">
      <c r="B8" s="38" t="s">
        <v>201</v>
      </c>
      <c r="C8" s="39">
        <v>1</v>
      </c>
      <c r="D8" s="40">
        <f>Estimate!B10</f>
      </c>
      <c r="E8" s="41">
        <f>ContingencyPct</f>
      </c>
      <c r="F8" s="40">
        <f>(D8*E8)+D8</f>
      </c>
      <c r="G8" s="42">
        <f>F8*C8</f>
      </c>
    </row>
    <row r="9" spans="2:7" x14ac:dyDescent="0.25">
      <c r="B9" s="38" t="s">
        <v>202</v>
      </c>
      <c r="C9" s="39">
        <v>1</v>
      </c>
      <c r="D9" s="40">
        <f>Estimate!B12</f>
      </c>
      <c r="E9" s="41">
        <f>ContingencyPct</f>
      </c>
      <c r="F9" s="40">
        <f>(D9*E9)+D9</f>
      </c>
      <c r="G9" s="42">
        <f>F9*C9</f>
      </c>
    </row>
    <row r="10" spans="2:7" x14ac:dyDescent="0.25">
      <c r="B10" s="38" t="s">
        <v>203</v>
      </c>
      <c r="C10" s="39">
        <v>1</v>
      </c>
      <c r="D10" s="40">
        <f>Estimate!B13</f>
      </c>
      <c r="E10" s="41">
        <f>ContingencyPct</f>
      </c>
      <c r="F10" s="40">
        <f>(D10*E10)+D10</f>
      </c>
      <c r="G10" s="42">
        <f>F10*C10</f>
      </c>
    </row>
    <row r="11" spans="2:7" x14ac:dyDescent="0.25">
      <c r="B11" s="38" t="s">
        <v>204</v>
      </c>
      <c r="C11" s="39">
        <v>1</v>
      </c>
      <c r="D11" s="40">
        <f>Estimate!B16</f>
      </c>
      <c r="E11" s="41">
        <f>ContingencyPct</f>
      </c>
      <c r="F11" s="40">
        <f>(D11*E11)+D11</f>
      </c>
      <c r="G11" s="42">
        <f>F11*C11</f>
      </c>
    </row>
    <row r="12" spans="2:7" x14ac:dyDescent="0.25">
      <c r="B12" s="38" t="s">
        <v>12</v>
      </c>
      <c r="C12" s="39">
        <v>1</v>
      </c>
      <c r="D12" s="40">
        <f>Estimate!B17+Estimate!B14</f>
      </c>
      <c r="E12" s="41">
        <f>ContingencyPct</f>
      </c>
      <c r="F12" s="40">
        <f>(D12*E12)+D12</f>
      </c>
      <c r="G12" s="42">
        <f>F12*C12</f>
      </c>
    </row>
    <row r="13" spans="2:7" x14ac:dyDescent="0.25">
      <c r="B13" s="38" t="s">
        <v>205</v>
      </c>
      <c r="C13" s="39">
        <v>1</v>
      </c>
      <c r="D13" s="40">
        <f>Estimate!B15</f>
      </c>
      <c r="E13" s="41">
        <f>ContingencyPct</f>
      </c>
      <c r="F13" s="40">
        <f>(D13*E13)+D13</f>
      </c>
      <c r="G13" s="42">
        <f>F13*C13</f>
      </c>
    </row>
    <row r="14" spans="2:7" x14ac:dyDescent="0.25">
      <c r="B14" s="38" t="s">
        <v>206</v>
      </c>
      <c r="C14" s="39">
        <v>1</v>
      </c>
      <c r="D14" s="40">
        <f>Estimate!B34+Estimate!B35+Estimate!B36</f>
      </c>
      <c r="E14" s="41">
        <v>0</v>
      </c>
      <c r="F14" s="40">
        <f>(D14*E14)+D14</f>
      </c>
      <c r="G14" s="42">
        <f>F14*C14</f>
      </c>
    </row>
    <row r="15" spans="2:7" x14ac:dyDescent="0.25">
      <c r="B15" s="50"/>
      <c r="C15" s="51"/>
      <c r="D15" s="52"/>
      <c r="E15" s="53"/>
      <c r="F15" s="52"/>
      <c r="G15" s="54">
        <f>SUM(G3:G13)</f>
      </c>
    </row>
    <row r="16" ht="15.75" customHeight="1" x14ac:dyDescent="0.25"/>
    <row r="17" ht="15.75" customHeight="1" spans="2:7" x14ac:dyDescent="0.25">
      <c r="B17" s="55" t="s">
        <v>207</v>
      </c>
      <c r="C17" s="55"/>
      <c r="D17" s="55"/>
      <c r="E17" s="55"/>
      <c r="F17" s="55"/>
      <c r="G17" s="55"/>
    </row>
    <row r="18" spans="2:7" x14ac:dyDescent="0.25">
      <c r="B18" s="38" t="s">
        <v>192</v>
      </c>
      <c r="C18" s="39">
        <f>K5</f>
      </c>
      <c r="D18" s="40">
        <f>K4</f>
      </c>
      <c r="E18" s="41">
        <f>ContingencyPct</f>
      </c>
      <c r="F18" s="40">
        <f>(D18*E18)+D18</f>
      </c>
      <c r="G18" s="42">
        <f>F18*C18</f>
      </c>
    </row>
    <row r="19" spans="2:7" x14ac:dyDescent="0.25">
      <c r="B19" s="50"/>
      <c r="C19" s="51"/>
      <c r="D19" s="52"/>
      <c r="E19" s="53"/>
      <c r="F19" s="52"/>
      <c r="G19" s="54">
        <f>SUM(G18)</f>
      </c>
    </row>
    <row r="20" ht="15.75" customHeight="1" spans="2:7" x14ac:dyDescent="0.25">
      <c r="B20" s="48"/>
      <c r="C20" s="56" t="s">
        <v>190</v>
      </c>
      <c r="D20" s="56"/>
      <c r="E20" s="56"/>
      <c r="F20" s="56"/>
      <c r="G20" s="57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FormatPr defaultRowHeight="15" outlineLevelRow="0" outlineLevelCol="0" x14ac:dyDescent="55"/>
  <cols>
    <col min="1" max="1" width="40" customWidth="1"/>
    <col min="2" max="2" width="16" customWidth="1"/>
    <col min="3" max="3" width="60" customWidth="1"/>
  </cols>
  <sheetData>
    <row r="1" spans="1:1" x14ac:dyDescent="0.25">
      <c r="A1" s="15" t="s">
        <v>208</v>
      </c>
    </row>
    <row r="3" spans="1:2" x14ac:dyDescent="0.25">
      <c r="A3" s="4" t="s">
        <v>209</v>
      </c>
      <c r="B3">
        <f>NTotal</f>
      </c>
    </row>
    <row r="4" spans="1:2" x14ac:dyDescent="0.25">
      <c r="A4" s="4" t="s">
        <v>210</v>
      </c>
      <c r="B4">
        <f>IF(NTotal&lt;=0,0,IF(NTotal&lt;=100,1,1+ROUNDUP((NTotal-100)/300,0)))</f>
      </c>
    </row>
    <row r="5" spans="1:2" x14ac:dyDescent="0.25">
      <c r="A5" s="4" t="s">
        <v>211</v>
      </c>
      <c r="B5">
        <f>IF(NTotal&lt;=4,0,IF(NTotal&lt;=50,1,IF(NTotal&lt;=75,2,IF(NTotal&lt;=100,3,3+ROUNDUP((NTotal-100)/60,0)))))</f>
      </c>
    </row>
    <row r="6" spans="1:2" x14ac:dyDescent="0.25">
      <c r="A6" s="4" t="s">
        <v>212</v>
      </c>
      <c r="B6">
        <f>IF(NTotal&lt;=25,0,IF(NTotal&lt;=50,1,IF(NTotal&lt;=75,2,IF(NTotal&lt;=100,3,3+ROUNDUP((NTotal-100)/50,0)))))</f>
      </c>
    </row>
    <row r="7" spans="1:2" x14ac:dyDescent="0.25">
      <c r="A7" s="3" t="s">
        <v>213</v>
      </c>
      <c r="B7">
        <f>AdaVan+AdaStd+AdaAmb</f>
      </c>
    </row>
    <row r="9" spans="1:2" x14ac:dyDescent="0.25">
      <c r="A9" s="4" t="s">
        <v>214</v>
      </c>
      <c r="B9">
        <f>VLOOKUP(Terrain,TerrainTable,4,FALSE)</f>
      </c>
    </row>
    <row r="10" spans="1:2" x14ac:dyDescent="0.25">
      <c r="A10" s="3" t="s">
        <v>215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216</v>
      </c>
    </row>
    <row r="14" spans="1:4" x14ac:dyDescent="0.25">
      <c r="A14" s="58" t="s">
        <v>217</v>
      </c>
      <c r="B14" s="58" t="s">
        <v>218</v>
      </c>
      <c r="C14" s="58" t="s">
        <v>219</v>
      </c>
      <c r="D14" s="58" t="s">
        <v>220</v>
      </c>
    </row>
    <row r="15" spans="1:4" x14ac:dyDescent="0.25">
      <c r="A15" s="59" t="s">
        <v>221</v>
      </c>
      <c r="B15" s="59" t="s">
        <v>222</v>
      </c>
      <c r="C15" s="59" t="s">
        <v>223</v>
      </c>
      <c r="D15" s="59" t="s">
        <v>223</v>
      </c>
    </row>
    <row r="16" spans="1:4" x14ac:dyDescent="0.25">
      <c r="A16" s="59" t="s">
        <v>224</v>
      </c>
      <c r="B16" s="59" t="s">
        <v>222</v>
      </c>
      <c r="C16" s="59" t="s">
        <v>222</v>
      </c>
      <c r="D16" s="59" t="s">
        <v>223</v>
      </c>
    </row>
    <row r="17" spans="1:4" x14ac:dyDescent="0.25">
      <c r="A17" s="59" t="s">
        <v>225</v>
      </c>
      <c r="B17" s="59" t="s">
        <v>222</v>
      </c>
      <c r="C17" s="59" t="s">
        <v>222</v>
      </c>
      <c r="D17" s="59" t="s">
        <v>222</v>
      </c>
    </row>
    <row r="18" spans="1:4" x14ac:dyDescent="0.25">
      <c r="A18" s="59" t="s">
        <v>226</v>
      </c>
      <c r="B18" s="59" t="s">
        <v>222</v>
      </c>
      <c r="C18" s="59" t="s">
        <v>227</v>
      </c>
      <c r="D18" s="59" t="s">
        <v>227</v>
      </c>
    </row>
    <row r="19" spans="1:4" x14ac:dyDescent="0.25">
      <c r="A19" s="59" t="s">
        <v>228</v>
      </c>
      <c r="B19" s="59" t="s">
        <v>222</v>
      </c>
      <c r="C19" s="59" t="s">
        <v>229</v>
      </c>
      <c r="D19" s="59" t="s">
        <v>229</v>
      </c>
    </row>
    <row r="20" spans="1:4" x14ac:dyDescent="0.25">
      <c r="A20" s="59" t="s">
        <v>230</v>
      </c>
      <c r="B20" s="59" t="s">
        <v>231</v>
      </c>
      <c r="C20" s="59" t="s">
        <v>232</v>
      </c>
      <c r="D20" s="59" t="s">
        <v>233</v>
      </c>
    </row>
    <row r="22" spans="1:1" x14ac:dyDescent="0.25">
      <c r="A22" s="60" t="s">
        <v>234</v>
      </c>
    </row>
    <row r="23" spans="1:1" x14ac:dyDescent="0.25">
      <c r="A23" s="60" t="s">
        <v>235</v>
      </c>
    </row>
    <row r="24" spans="1:1" x14ac:dyDescent="0.25">
      <c r="A24" s="60" t="s">
        <v>236</v>
      </c>
    </row>
    <row r="25" spans="1:1" x14ac:dyDescent="0.25">
      <c r="A25" s="60" t="s">
        <v>237</v>
      </c>
    </row>
    <row r="26" spans="1:1" x14ac:dyDescent="0.25">
      <c r="A26" s="60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239</v>
      </c>
    </row>
    <row r="3" spans="1:4" x14ac:dyDescent="0.25">
      <c r="A3" s="7" t="s">
        <v>240</v>
      </c>
      <c r="B3" s="7" t="s">
        <v>241</v>
      </c>
      <c r="C3" s="7" t="s">
        <v>242</v>
      </c>
      <c r="D3" s="7" t="s">
        <v>243</v>
      </c>
    </row>
    <row r="4" spans="1:4" x14ac:dyDescent="0.25">
      <c r="A4" t="s">
        <v>244</v>
      </c>
      <c r="B4">
        <f>2</f>
      </c>
      <c r="C4">
        <f>4</f>
      </c>
      <c r="D4" t="s">
        <v>245</v>
      </c>
    </row>
    <row r="5" spans="1:4" x14ac:dyDescent="0.25">
      <c r="A5" t="s">
        <v>66</v>
      </c>
      <c r="B5">
        <f>IF(IncSitePlan="Yes",5+ROUNDUP(NTotal/4,0),0)</f>
      </c>
      <c r="C5">
        <f>IF(IncSitePlan="Yes",10+ROUNDUP(NTotal/4,0),0)</f>
      </c>
      <c r="D5" t="s">
        <v>245</v>
      </c>
    </row>
    <row r="6" spans="1:4" x14ac:dyDescent="0.25">
      <c r="A6" t="s">
        <v>246</v>
      </c>
      <c r="B6">
        <f>IF(IncSLD="Yes",IF(NDcfc&gt;0,10+ROUNDUP(NDcfc/2,0),7),0)</f>
      </c>
      <c r="C6">
        <f>IF(IncSLD="Yes",IF(NDcfc&gt;0,17+ROUNDUP(NDcfc/2,0),14),0)</f>
      </c>
      <c r="D6" t="s">
        <v>245</v>
      </c>
    </row>
    <row r="7" spans="1:4" x14ac:dyDescent="0.25">
      <c r="A7" t="s">
        <v>247</v>
      </c>
      <c r="B7">
        <f>IF(IncPermits="Yes",IF(NDcfc&gt;0,20,5),0)</f>
      </c>
      <c r="C7">
        <f>IF(IncPermits="Yes",IF(NDcfc&gt;0,60,15),0)</f>
      </c>
      <c r="D7" t="s">
        <v>248</v>
      </c>
    </row>
    <row r="8" spans="1:4" x14ac:dyDescent="0.25">
      <c r="A8" t="s">
        <v>249</v>
      </c>
      <c r="B8">
        <f>IF(NDcfc&gt;0,85,20)</f>
      </c>
      <c r="C8">
        <f>IF(NDcfc&gt;0,250,60)</f>
      </c>
      <c r="D8" t="s">
        <v>250</v>
      </c>
    </row>
    <row r="9" spans="1:4" x14ac:dyDescent="0.25">
      <c r="A9" t="s">
        <v>251</v>
      </c>
      <c r="B9">
        <f>LaborDays</f>
      </c>
      <c r="C9">
        <f>LaborDays+7</f>
      </c>
      <c r="D9" t="s">
        <v>245</v>
      </c>
    </row>
    <row r="10" spans="1:4" x14ac:dyDescent="0.25">
      <c r="A10" t="s">
        <v>252</v>
      </c>
      <c r="B10">
        <f>5</f>
      </c>
      <c r="C10">
        <f>10</f>
      </c>
      <c r="D10" t="s">
        <v>245</v>
      </c>
    </row>
    <row r="12" spans="1:3" x14ac:dyDescent="0.25">
      <c r="A12" s="3" t="s">
        <v>253</v>
      </c>
      <c r="B12">
        <f>MAX(B4+B5+B6+B7+B9+B10,B8)</f>
      </c>
      <c r="C12">
        <f>MAX(C4+C5+C6+C7+C9+C10,C8)</f>
      </c>
    </row>
    <row r="13" spans="1:3" x14ac:dyDescent="0.25">
      <c r="A13" t="s">
        <v>254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4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3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255</v>
      </c>
    </row>
    <row r="3" spans="1:21" x14ac:dyDescent="0.25">
      <c r="A3" s="7" t="s">
        <v>18</v>
      </c>
      <c r="B3" s="7" t="s">
        <v>20</v>
      </c>
      <c r="C3" s="7" t="s">
        <v>256</v>
      </c>
      <c r="D3" s="7" t="s">
        <v>21</v>
      </c>
      <c r="E3" s="7" t="s">
        <v>109</v>
      </c>
      <c r="F3" s="7" t="s">
        <v>84</v>
      </c>
      <c r="G3" s="7" t="s">
        <v>257</v>
      </c>
      <c r="H3" s="7" t="s">
        <v>258</v>
      </c>
      <c r="I3" s="7" t="s">
        <v>259</v>
      </c>
      <c r="J3" s="7" t="s">
        <v>260</v>
      </c>
      <c r="K3" s="7" t="s">
        <v>261</v>
      </c>
      <c r="L3" s="7" t="s">
        <v>262</v>
      </c>
      <c r="M3" s="7" t="s">
        <v>44</v>
      </c>
      <c r="N3" s="7" t="s">
        <v>263</v>
      </c>
      <c r="O3" s="7" t="s">
        <v>42</v>
      </c>
      <c r="Q3" s="7" t="s">
        <v>35</v>
      </c>
      <c r="R3" s="7" t="s">
        <v>264</v>
      </c>
      <c r="S3" s="7" t="s">
        <v>265</v>
      </c>
      <c r="T3" s="7" t="s">
        <v>266</v>
      </c>
      <c r="U3" s="7" t="s">
        <v>267</v>
      </c>
    </row>
    <row r="4" spans="1:21" x14ac:dyDescent="0.25">
      <c r="A4" t="s">
        <v>268</v>
      </c>
      <c r="B4" s="61">
        <v>3000</v>
      </c>
      <c r="C4" s="61">
        <v>538</v>
      </c>
      <c r="D4" t="s">
        <v>269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270</v>
      </c>
      <c r="O4" t="s">
        <v>271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272</v>
      </c>
      <c r="B5" s="61">
        <v>3500</v>
      </c>
      <c r="C5" s="61">
        <v>532</v>
      </c>
      <c r="D5" t="s">
        <v>269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270</v>
      </c>
      <c r="O5" t="s">
        <v>271</v>
      </c>
      <c r="Q5" t="s">
        <v>273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61">
        <v>4000</v>
      </c>
      <c r="C6" s="61">
        <v>542</v>
      </c>
      <c r="D6" t="s">
        <v>269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270</v>
      </c>
      <c r="O6" t="s">
        <v>271</v>
      </c>
      <c r="Q6" t="s">
        <v>274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275</v>
      </c>
      <c r="B7" s="61">
        <v>5000</v>
      </c>
      <c r="C7" s="61">
        <v>611</v>
      </c>
      <c r="D7" t="s">
        <v>269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276</v>
      </c>
      <c r="O7" t="s">
        <v>271</v>
      </c>
      <c r="Q7" t="s">
        <v>277</v>
      </c>
      <c r="R7" s="8">
        <v>2.5</v>
      </c>
      <c r="S7" s="8">
        <v>1.5</v>
      </c>
      <c r="T7" s="8">
        <v>1.8</v>
      </c>
      <c r="U7" s="8">
        <v>12</v>
      </c>
    </row>
    <row r="8" spans="1:15" x14ac:dyDescent="0.25">
      <c r="A8" t="s">
        <v>278</v>
      </c>
      <c r="B8" s="61">
        <v>7500</v>
      </c>
      <c r="C8" s="61">
        <v>943</v>
      </c>
      <c r="D8" t="s">
        <v>269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279</v>
      </c>
      <c r="O8" t="s">
        <v>271</v>
      </c>
    </row>
    <row r="9" spans="1:15" x14ac:dyDescent="0.25">
      <c r="A9" t="s">
        <v>280</v>
      </c>
      <c r="B9" s="61">
        <v>5500</v>
      </c>
      <c r="C9" s="61">
        <v>693</v>
      </c>
      <c r="D9" t="s">
        <v>269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270</v>
      </c>
      <c r="O9" t="s">
        <v>271</v>
      </c>
    </row>
    <row r="10" spans="1:18" x14ac:dyDescent="0.25">
      <c r="A10" t="s">
        <v>281</v>
      </c>
      <c r="B10" s="61">
        <v>6500</v>
      </c>
      <c r="C10" s="61">
        <v>710</v>
      </c>
      <c r="D10" t="s">
        <v>269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270</v>
      </c>
      <c r="O10" t="s">
        <v>271</v>
      </c>
      <c r="Q10" t="s">
        <v>282</v>
      </c>
      <c r="R10" s="61">
        <v>40.81</v>
      </c>
    </row>
    <row r="11" spans="1:18" x14ac:dyDescent="0.25">
      <c r="A11" t="s">
        <v>283</v>
      </c>
      <c r="B11" s="61">
        <v>8500</v>
      </c>
      <c r="C11" s="61">
        <v>862</v>
      </c>
      <c r="D11" t="s">
        <v>269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276</v>
      </c>
      <c r="O11" t="s">
        <v>271</v>
      </c>
      <c r="Q11" t="s">
        <v>284</v>
      </c>
      <c r="R11" s="62">
        <v>0.1</v>
      </c>
    </row>
    <row r="12" spans="1:18" x14ac:dyDescent="0.25">
      <c r="A12" t="s">
        <v>285</v>
      </c>
      <c r="B12" s="61">
        <v>32000</v>
      </c>
      <c r="C12" s="61">
        <v>654</v>
      </c>
      <c r="D12" t="s">
        <v>286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287</v>
      </c>
      <c r="O12" t="s">
        <v>271</v>
      </c>
      <c r="Q12" t="s">
        <v>288</v>
      </c>
      <c r="R12" s="62">
        <v>0.0725</v>
      </c>
    </row>
    <row r="13" spans="1:18" x14ac:dyDescent="0.25">
      <c r="A13" t="s">
        <v>289</v>
      </c>
      <c r="B13" s="61">
        <v>35000</v>
      </c>
      <c r="C13" s="61">
        <v>654</v>
      </c>
      <c r="D13" t="s">
        <v>286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287</v>
      </c>
      <c r="O13" t="s">
        <v>271</v>
      </c>
      <c r="Q13" t="s">
        <v>290</v>
      </c>
      <c r="R13" s="61">
        <v>2250</v>
      </c>
    </row>
    <row r="14" spans="1:18" x14ac:dyDescent="0.25">
      <c r="A14" t="s">
        <v>291</v>
      </c>
      <c r="B14" s="61">
        <v>38000</v>
      </c>
      <c r="C14" s="61">
        <v>657</v>
      </c>
      <c r="D14" t="s">
        <v>286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287</v>
      </c>
      <c r="O14" t="s">
        <v>271</v>
      </c>
      <c r="Q14" t="s">
        <v>292</v>
      </c>
      <c r="R14" s="61">
        <v>358</v>
      </c>
    </row>
    <row r="15" spans="1:18" x14ac:dyDescent="0.25">
      <c r="A15" t="s">
        <v>293</v>
      </c>
      <c r="B15" s="61">
        <v>42000</v>
      </c>
      <c r="C15" s="61">
        <v>657</v>
      </c>
      <c r="D15" t="s">
        <v>286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287</v>
      </c>
      <c r="O15" t="s">
        <v>271</v>
      </c>
      <c r="Q15" t="s">
        <v>294</v>
      </c>
      <c r="R15" s="62">
        <v>0.05</v>
      </c>
    </row>
    <row r="16" spans="1:18" x14ac:dyDescent="0.25">
      <c r="A16" t="s">
        <v>295</v>
      </c>
      <c r="B16" s="61">
        <v>52000</v>
      </c>
      <c r="C16" s="61">
        <v>768</v>
      </c>
      <c r="D16" t="s">
        <v>286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296</v>
      </c>
      <c r="O16" t="s">
        <v>271</v>
      </c>
      <c r="Q16" t="s">
        <v>297</v>
      </c>
      <c r="R16" s="61">
        <v>1500</v>
      </c>
    </row>
    <row r="17" spans="1:18" x14ac:dyDescent="0.25">
      <c r="A17" t="s">
        <v>298</v>
      </c>
      <c r="B17" s="61">
        <v>57000</v>
      </c>
      <c r="C17" s="61">
        <v>768</v>
      </c>
      <c r="D17" t="s">
        <v>286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296</v>
      </c>
      <c r="O17" t="s">
        <v>271</v>
      </c>
      <c r="Q17" t="s">
        <v>299</v>
      </c>
      <c r="R17" s="8">
        <v>2000</v>
      </c>
    </row>
    <row r="18" spans="1:18" x14ac:dyDescent="0.25">
      <c r="A18" t="s">
        <v>300</v>
      </c>
      <c r="B18" s="61">
        <v>60000</v>
      </c>
      <c r="C18" s="61">
        <v>808</v>
      </c>
      <c r="D18" t="s">
        <v>286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296</v>
      </c>
      <c r="O18" t="s">
        <v>271</v>
      </c>
      <c r="Q18" t="s">
        <v>301</v>
      </c>
      <c r="R18" s="61">
        <v>6500</v>
      </c>
    </row>
    <row r="19" spans="1:18" x14ac:dyDescent="0.25">
      <c r="A19" t="s">
        <v>302</v>
      </c>
      <c r="B19" s="61">
        <v>66000</v>
      </c>
      <c r="C19" s="61">
        <v>808</v>
      </c>
      <c r="D19" t="s">
        <v>286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296</v>
      </c>
      <c r="O19" t="s">
        <v>271</v>
      </c>
      <c r="Q19" t="s">
        <v>303</v>
      </c>
      <c r="R19" s="61">
        <v>4900</v>
      </c>
    </row>
    <row r="20" spans="1:18" x14ac:dyDescent="0.25">
      <c r="A20" t="s">
        <v>304</v>
      </c>
      <c r="B20" s="61">
        <v>72000</v>
      </c>
      <c r="C20" s="61">
        <v>1003</v>
      </c>
      <c r="D20" t="s">
        <v>286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305</v>
      </c>
      <c r="O20" t="s">
        <v>271</v>
      </c>
      <c r="Q20" t="s">
        <v>306</v>
      </c>
      <c r="R20" s="61">
        <v>3500</v>
      </c>
    </row>
    <row r="21" spans="1:18" x14ac:dyDescent="0.25">
      <c r="A21" t="s">
        <v>307</v>
      </c>
      <c r="B21" s="61">
        <v>79000</v>
      </c>
      <c r="C21" s="61">
        <v>1003</v>
      </c>
      <c r="D21" t="s">
        <v>286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305</v>
      </c>
      <c r="O21" t="s">
        <v>271</v>
      </c>
      <c r="Q21" t="s">
        <v>308</v>
      </c>
      <c r="R21" s="61">
        <v>5200</v>
      </c>
    </row>
    <row r="22" spans="1:18" x14ac:dyDescent="0.25">
      <c r="A22" t="s">
        <v>309</v>
      </c>
      <c r="B22" s="61">
        <v>80000</v>
      </c>
      <c r="C22" s="61">
        <v>1086</v>
      </c>
      <c r="D22" t="s">
        <v>286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305</v>
      </c>
      <c r="O22" t="s">
        <v>271</v>
      </c>
      <c r="Q22" t="s">
        <v>310</v>
      </c>
      <c r="R22" s="61">
        <v>2903</v>
      </c>
    </row>
    <row r="23" spans="1:18" x14ac:dyDescent="0.25">
      <c r="A23" t="s">
        <v>311</v>
      </c>
      <c r="B23" s="61">
        <v>88000</v>
      </c>
      <c r="C23" s="61">
        <v>1086</v>
      </c>
      <c r="D23" t="s">
        <v>286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305</v>
      </c>
      <c r="O23" t="s">
        <v>271</v>
      </c>
      <c r="Q23" t="s">
        <v>312</v>
      </c>
      <c r="R23" s="61">
        <v>758</v>
      </c>
    </row>
    <row r="24" spans="1:18" x14ac:dyDescent="0.25">
      <c r="A24" t="s">
        <v>25</v>
      </c>
      <c r="B24" s="61">
        <v>92000</v>
      </c>
      <c r="C24" s="61">
        <v>1182</v>
      </c>
      <c r="D24" t="s">
        <v>286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313</v>
      </c>
      <c r="O24" t="s">
        <v>271</v>
      </c>
      <c r="Q24" t="s">
        <v>314</v>
      </c>
      <c r="R24" s="61">
        <v>302</v>
      </c>
    </row>
    <row r="25" spans="1:18" x14ac:dyDescent="0.25">
      <c r="A25" t="s">
        <v>315</v>
      </c>
      <c r="B25" s="61">
        <v>100000</v>
      </c>
      <c r="C25" s="61">
        <v>1182</v>
      </c>
      <c r="D25" t="s">
        <v>286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313</v>
      </c>
      <c r="O25" t="s">
        <v>271</v>
      </c>
      <c r="Q25" t="s">
        <v>316</v>
      </c>
      <c r="R25" s="61">
        <v>658</v>
      </c>
    </row>
    <row r="26" spans="1:18" x14ac:dyDescent="0.25">
      <c r="A26" t="s">
        <v>317</v>
      </c>
      <c r="B26" s="61">
        <v>105000</v>
      </c>
      <c r="C26" s="61">
        <v>1518</v>
      </c>
      <c r="D26" t="s">
        <v>286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296</v>
      </c>
      <c r="O26" t="s">
        <v>271</v>
      </c>
      <c r="Q26" t="s">
        <v>318</v>
      </c>
      <c r="R26" s="61">
        <v>396</v>
      </c>
    </row>
    <row r="27" spans="1:18" x14ac:dyDescent="0.25">
      <c r="A27" t="s">
        <v>319</v>
      </c>
      <c r="B27" s="61">
        <v>115000</v>
      </c>
      <c r="C27" s="61">
        <v>1518</v>
      </c>
      <c r="D27" t="s">
        <v>286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296</v>
      </c>
      <c r="O27" t="s">
        <v>271</v>
      </c>
      <c r="Q27" t="s">
        <v>320</v>
      </c>
      <c r="R27" s="61">
        <v>5000</v>
      </c>
    </row>
    <row r="28" spans="1:18" x14ac:dyDescent="0.25">
      <c r="A28" t="s">
        <v>321</v>
      </c>
      <c r="B28" s="61">
        <v>120000</v>
      </c>
      <c r="C28" s="61">
        <v>1816</v>
      </c>
      <c r="D28" t="s">
        <v>286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322</v>
      </c>
      <c r="O28" t="s">
        <v>271</v>
      </c>
      <c r="Q28" t="s">
        <v>323</v>
      </c>
      <c r="R28" s="61">
        <v>1500</v>
      </c>
    </row>
    <row r="29" spans="1:18" x14ac:dyDescent="0.25">
      <c r="A29" t="s">
        <v>324</v>
      </c>
      <c r="B29" s="61">
        <v>130000</v>
      </c>
      <c r="C29" s="61">
        <v>1816</v>
      </c>
      <c r="D29" t="s">
        <v>286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322</v>
      </c>
      <c r="O29" t="s">
        <v>271</v>
      </c>
      <c r="Q29" t="s">
        <v>325</v>
      </c>
      <c r="R29" s="61">
        <v>250</v>
      </c>
    </row>
    <row r="30" spans="1:18" x14ac:dyDescent="0.25">
      <c r="A30" t="s">
        <v>326</v>
      </c>
      <c r="B30" s="61">
        <v>135000</v>
      </c>
      <c r="C30" s="61">
        <v>1816</v>
      </c>
      <c r="D30" t="s">
        <v>286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322</v>
      </c>
      <c r="O30" t="s">
        <v>271</v>
      </c>
      <c r="Q30" t="s">
        <v>327</v>
      </c>
      <c r="R30" s="61">
        <v>3519</v>
      </c>
    </row>
    <row r="31" spans="1:18" x14ac:dyDescent="0.25">
      <c r="A31" t="s">
        <v>328</v>
      </c>
      <c r="B31" s="61">
        <v>147000</v>
      </c>
      <c r="C31" s="61">
        <v>1816</v>
      </c>
      <c r="D31" t="s">
        <v>286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322</v>
      </c>
      <c r="O31" t="s">
        <v>271</v>
      </c>
      <c r="Q31" t="s">
        <v>329</v>
      </c>
      <c r="R31" s="61">
        <v>261</v>
      </c>
    </row>
    <row r="32" spans="1:15" x14ac:dyDescent="0.25">
      <c r="A32" t="s">
        <v>330</v>
      </c>
      <c r="B32" s="61">
        <v>155000</v>
      </c>
      <c r="C32" s="61">
        <v>2007</v>
      </c>
      <c r="D32" t="s">
        <v>286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54</v>
      </c>
      <c r="O32" t="s">
        <v>271</v>
      </c>
    </row>
    <row r="33" spans="1:15" x14ac:dyDescent="0.25">
      <c r="A33" t="s">
        <v>331</v>
      </c>
      <c r="B33" s="61">
        <v>168000</v>
      </c>
      <c r="C33" s="61">
        <v>2007</v>
      </c>
      <c r="D33" t="s">
        <v>286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54</v>
      </c>
      <c r="O33" t="s">
        <v>271</v>
      </c>
    </row>
    <row r="34" spans="1:1" x14ac:dyDescent="0.25">
      <c r="A34" s="2" t="s">
        <v>332</v>
      </c>
    </row>
    <row r="36" spans="1:1" x14ac:dyDescent="0.25">
      <c r="A36" s="3" t="s">
        <v>333</v>
      </c>
    </row>
    <row r="37" spans="1:2" x14ac:dyDescent="0.25">
      <c r="A37" s="7" t="s">
        <v>334</v>
      </c>
      <c r="B37" s="7" t="s">
        <v>335</v>
      </c>
    </row>
    <row r="38" spans="1:2" x14ac:dyDescent="0.25">
      <c r="A38">
        <v>400</v>
      </c>
      <c r="B38" s="61">
        <v>20426.82</v>
      </c>
    </row>
    <row r="39" spans="1:2" x14ac:dyDescent="0.25">
      <c r="A39">
        <v>800</v>
      </c>
      <c r="B39" s="61">
        <v>31187</v>
      </c>
    </row>
    <row r="40" spans="1:2" x14ac:dyDescent="0.25">
      <c r="A40">
        <v>1000</v>
      </c>
      <c r="B40" s="61">
        <v>36812.5</v>
      </c>
    </row>
    <row r="41" spans="1:2" x14ac:dyDescent="0.25">
      <c r="A41">
        <v>1200</v>
      </c>
      <c r="B41" s="61">
        <v>43292.68</v>
      </c>
    </row>
    <row r="42" spans="1:2" x14ac:dyDescent="0.25">
      <c r="A42">
        <v>1600</v>
      </c>
      <c r="B42" s="61">
        <v>56750</v>
      </c>
    </row>
    <row r="43" spans="1:2" x14ac:dyDescent="0.25">
      <c r="A43">
        <v>2000</v>
      </c>
      <c r="B43" s="61">
        <v>60000</v>
      </c>
    </row>
    <row r="44" spans="1:2" x14ac:dyDescent="0.25">
      <c r="A44">
        <v>2500</v>
      </c>
      <c r="B44" s="61">
        <v>58540</v>
      </c>
    </row>
    <row r="45" spans="1:2" x14ac:dyDescent="0.25">
      <c r="A45">
        <v>3000</v>
      </c>
      <c r="B45" s="61">
        <v>65000</v>
      </c>
    </row>
    <row r="46" spans="1:2" x14ac:dyDescent="0.25">
      <c r="A46">
        <v>4000</v>
      </c>
      <c r="B46" s="61">
        <v>67500</v>
      </c>
    </row>
    <row r="47" spans="1:2" x14ac:dyDescent="0.25">
      <c r="A47">
        <v>5000</v>
      </c>
      <c r="B47" s="61">
        <v>70000</v>
      </c>
    </row>
    <row r="49" spans="1:1" x14ac:dyDescent="0.25">
      <c r="A49" s="3" t="s">
        <v>336</v>
      </c>
    </row>
    <row r="50" spans="1:2" x14ac:dyDescent="0.25">
      <c r="A50" s="7" t="s">
        <v>334</v>
      </c>
      <c r="B50" s="7" t="s">
        <v>335</v>
      </c>
    </row>
    <row r="51" spans="1:2" x14ac:dyDescent="0.25">
      <c r="A51">
        <v>150</v>
      </c>
      <c r="B51" s="61">
        <v>1000</v>
      </c>
    </row>
    <row r="52" spans="1:2" x14ac:dyDescent="0.25">
      <c r="A52">
        <v>250</v>
      </c>
      <c r="B52" s="61">
        <v>1120</v>
      </c>
    </row>
    <row r="53" spans="1:2" x14ac:dyDescent="0.25">
      <c r="A53">
        <v>400</v>
      </c>
      <c r="B53" s="61">
        <v>1660</v>
      </c>
    </row>
    <row r="54" spans="1:2" x14ac:dyDescent="0.25">
      <c r="A54">
        <v>600</v>
      </c>
      <c r="B54" s="61">
        <v>5387</v>
      </c>
    </row>
    <row r="55" spans="1:2" x14ac:dyDescent="0.25">
      <c r="A55">
        <v>800</v>
      </c>
      <c r="B55" s="61">
        <v>4650</v>
      </c>
    </row>
    <row r="56" spans="1:2" x14ac:dyDescent="0.25">
      <c r="A56">
        <v>1000</v>
      </c>
      <c r="B56" s="61">
        <v>30000</v>
      </c>
    </row>
    <row r="58" spans="1:1" x14ac:dyDescent="0.25">
      <c r="A58" s="3" t="s">
        <v>337</v>
      </c>
    </row>
    <row r="59" spans="1:2" x14ac:dyDescent="0.25">
      <c r="A59" s="7" t="s">
        <v>334</v>
      </c>
      <c r="B59" s="7" t="s">
        <v>335</v>
      </c>
    </row>
    <row r="60" spans="1:2" x14ac:dyDescent="0.25">
      <c r="A60">
        <v>75</v>
      </c>
      <c r="B60" s="61">
        <v>2970</v>
      </c>
    </row>
    <row r="61" spans="1:2" x14ac:dyDescent="0.25">
      <c r="A61">
        <v>112.5</v>
      </c>
      <c r="B61" s="61">
        <v>3250</v>
      </c>
    </row>
    <row r="62" spans="1:2" x14ac:dyDescent="0.25">
      <c r="A62">
        <v>150</v>
      </c>
      <c r="B62" s="61">
        <v>5298</v>
      </c>
    </row>
    <row r="63" spans="1:2" x14ac:dyDescent="0.25">
      <c r="A63">
        <v>175</v>
      </c>
      <c r="B63" s="61">
        <v>6000</v>
      </c>
    </row>
    <row r="64" spans="1:2" x14ac:dyDescent="0.25">
      <c r="A64">
        <v>225</v>
      </c>
      <c r="B64" s="61">
        <v>7144</v>
      </c>
    </row>
    <row r="65" spans="1:2" x14ac:dyDescent="0.25">
      <c r="A65">
        <v>300</v>
      </c>
      <c r="B65" s="61">
        <v>10493</v>
      </c>
    </row>
    <row r="66" spans="1:2" x14ac:dyDescent="0.25">
      <c r="A66">
        <v>500</v>
      </c>
      <c r="B66" s="61">
        <v>14500</v>
      </c>
    </row>
    <row r="68" spans="1:1" x14ac:dyDescent="0.25">
      <c r="A68" s="3" t="s">
        <v>338</v>
      </c>
    </row>
    <row r="69" spans="1:2" x14ac:dyDescent="0.25">
      <c r="A69" s="7" t="s">
        <v>334</v>
      </c>
      <c r="B69" s="7" t="s">
        <v>335</v>
      </c>
    </row>
    <row r="70" spans="1:2" x14ac:dyDescent="0.25">
      <c r="A70">
        <v>100</v>
      </c>
      <c r="B70" s="61">
        <v>350</v>
      </c>
    </row>
    <row r="71" spans="1:2" x14ac:dyDescent="0.25">
      <c r="A71">
        <v>125</v>
      </c>
      <c r="B71" s="61">
        <v>420</v>
      </c>
    </row>
    <row r="72" spans="1:2" x14ac:dyDescent="0.25">
      <c r="A72">
        <v>150</v>
      </c>
      <c r="B72" s="61">
        <v>480</v>
      </c>
    </row>
    <row r="73" spans="1:2" x14ac:dyDescent="0.25">
      <c r="A73">
        <v>175</v>
      </c>
      <c r="B73" s="61">
        <v>550</v>
      </c>
    </row>
    <row r="74" spans="1:2" x14ac:dyDescent="0.25">
      <c r="A74">
        <v>200</v>
      </c>
      <c r="B74" s="61">
        <v>650</v>
      </c>
    </row>
    <row r="75" spans="1:2" x14ac:dyDescent="0.25">
      <c r="A75">
        <v>225</v>
      </c>
      <c r="B75" s="61">
        <v>700</v>
      </c>
    </row>
    <row r="76" spans="1:2" x14ac:dyDescent="0.25">
      <c r="A76">
        <v>250</v>
      </c>
      <c r="B76" s="61">
        <v>750</v>
      </c>
    </row>
    <row r="77" spans="1:2" x14ac:dyDescent="0.25">
      <c r="A77">
        <v>300</v>
      </c>
      <c r="B77" s="61">
        <v>800</v>
      </c>
    </row>
    <row r="78" spans="1:2" x14ac:dyDescent="0.25">
      <c r="A78">
        <v>350</v>
      </c>
      <c r="B78" s="61">
        <v>1000</v>
      </c>
    </row>
    <row r="79" spans="1:2" x14ac:dyDescent="0.25">
      <c r="A79">
        <v>400</v>
      </c>
      <c r="B79" s="61">
        <v>1200</v>
      </c>
    </row>
    <row r="80" spans="1:2" x14ac:dyDescent="0.25">
      <c r="A80">
        <v>500</v>
      </c>
      <c r="B80" s="61">
        <v>1800</v>
      </c>
    </row>
    <row r="81" spans="1:2" x14ac:dyDescent="0.25">
      <c r="A81">
        <v>600</v>
      </c>
      <c r="B81" s="61">
        <v>2200</v>
      </c>
    </row>
    <row r="83" spans="1:1" x14ac:dyDescent="0.25">
      <c r="A83" s="3" t="s">
        <v>339</v>
      </c>
    </row>
    <row r="84" spans="1:2" x14ac:dyDescent="0.25">
      <c r="A84" s="7" t="s">
        <v>334</v>
      </c>
      <c r="B84" s="7" t="s">
        <v>335</v>
      </c>
    </row>
    <row r="85" spans="1:2" x14ac:dyDescent="0.25">
      <c r="A85">
        <v>40</v>
      </c>
      <c r="B85" s="61">
        <v>60</v>
      </c>
    </row>
    <row r="86" spans="1:2" x14ac:dyDescent="0.25">
      <c r="A86">
        <v>50</v>
      </c>
      <c r="B86" s="61">
        <v>75</v>
      </c>
    </row>
    <row r="87" spans="1:2" x14ac:dyDescent="0.25">
      <c r="A87">
        <v>60</v>
      </c>
      <c r="B87" s="61">
        <v>90</v>
      </c>
    </row>
    <row r="89" spans="1:1" x14ac:dyDescent="0.25">
      <c r="A89" s="3" t="s">
        <v>340</v>
      </c>
    </row>
    <row r="90" spans="1:1" x14ac:dyDescent="0.25">
      <c r="A90">
        <v>15</v>
      </c>
    </row>
    <row r="91" spans="1:1" x14ac:dyDescent="0.25">
      <c r="A91">
        <v>20</v>
      </c>
    </row>
    <row r="92" spans="1:1" x14ac:dyDescent="0.25">
      <c r="A92">
        <v>25</v>
      </c>
    </row>
    <row r="93" spans="1:1" x14ac:dyDescent="0.25">
      <c r="A93">
        <v>30</v>
      </c>
    </row>
    <row r="94" spans="1:1" x14ac:dyDescent="0.25">
      <c r="A94">
        <v>35</v>
      </c>
    </row>
    <row r="95" spans="1:1" x14ac:dyDescent="0.25">
      <c r="A95">
        <v>40</v>
      </c>
    </row>
    <row r="96" spans="1:1" x14ac:dyDescent="0.25">
      <c r="A96">
        <v>45</v>
      </c>
    </row>
    <row r="97" spans="1:1" x14ac:dyDescent="0.25">
      <c r="A97">
        <v>50</v>
      </c>
    </row>
    <row r="98" spans="1:1" x14ac:dyDescent="0.25">
      <c r="A98">
        <v>60</v>
      </c>
    </row>
    <row r="99" spans="1:1" x14ac:dyDescent="0.25">
      <c r="A99">
        <v>70</v>
      </c>
    </row>
    <row r="100" spans="1:1" x14ac:dyDescent="0.25">
      <c r="A100">
        <v>80</v>
      </c>
    </row>
    <row r="101" spans="1:1" x14ac:dyDescent="0.25">
      <c r="A101">
        <v>90</v>
      </c>
    </row>
    <row r="102" spans="1:1" x14ac:dyDescent="0.25">
      <c r="A102">
        <v>100</v>
      </c>
    </row>
    <row r="103" spans="1:1" x14ac:dyDescent="0.25">
      <c r="A103">
        <v>110</v>
      </c>
    </row>
    <row r="104" spans="1:1" x14ac:dyDescent="0.25">
      <c r="A104">
        <v>125</v>
      </c>
    </row>
    <row r="105" spans="1:1" x14ac:dyDescent="0.25">
      <c r="A105">
        <v>150</v>
      </c>
    </row>
    <row r="106" spans="1:1" x14ac:dyDescent="0.25">
      <c r="A106">
        <v>175</v>
      </c>
    </row>
    <row r="107" spans="1:1" x14ac:dyDescent="0.25">
      <c r="A107">
        <v>200</v>
      </c>
    </row>
    <row r="108" spans="1:1" x14ac:dyDescent="0.25">
      <c r="A108">
        <v>225</v>
      </c>
    </row>
    <row r="109" spans="1:1" x14ac:dyDescent="0.25">
      <c r="A109">
        <v>250</v>
      </c>
    </row>
    <row r="110" spans="1:1" x14ac:dyDescent="0.25">
      <c r="A110">
        <v>300</v>
      </c>
    </row>
    <row r="111" spans="1:1" x14ac:dyDescent="0.25">
      <c r="A111">
        <v>350</v>
      </c>
    </row>
    <row r="112" spans="1:1" x14ac:dyDescent="0.25">
      <c r="A112">
        <v>400</v>
      </c>
    </row>
    <row r="113" spans="1:1" x14ac:dyDescent="0.25">
      <c r="A113">
        <v>450</v>
      </c>
    </row>
    <row r="114" spans="1:1" x14ac:dyDescent="0.25">
      <c r="A114">
        <v>500</v>
      </c>
    </row>
    <row r="115" spans="1:1" x14ac:dyDescent="0.25">
      <c r="A115">
        <v>600</v>
      </c>
    </row>
    <row r="116" spans="1:1" x14ac:dyDescent="0.25">
      <c r="A116">
        <v>700</v>
      </c>
    </row>
    <row r="117" spans="1:1" x14ac:dyDescent="0.25">
      <c r="A117">
        <v>800</v>
      </c>
    </row>
    <row r="118" spans="1:1" x14ac:dyDescent="0.25">
      <c r="A118">
        <v>1000</v>
      </c>
    </row>
    <row r="119" spans="1:1" x14ac:dyDescent="0.25">
      <c r="A119">
        <v>1200</v>
      </c>
    </row>
    <row r="120" spans="1:1" x14ac:dyDescent="0.25">
      <c r="A120">
        <v>1600</v>
      </c>
    </row>
    <row r="121" spans="1:1" x14ac:dyDescent="0.25">
      <c r="A121">
        <v>2000</v>
      </c>
    </row>
    <row r="122" spans="1:1" x14ac:dyDescent="0.25">
      <c r="A122">
        <v>2500</v>
      </c>
    </row>
    <row r="123" spans="1:1" x14ac:dyDescent="0.25">
      <c r="A123">
        <v>3000</v>
      </c>
    </row>
    <row r="124" spans="1:1" x14ac:dyDescent="0.25">
      <c r="A124">
        <v>4000</v>
      </c>
    </row>
    <row r="125" spans="1:1" x14ac:dyDescent="0.25">
      <c r="A125">
        <v>5000</v>
      </c>
    </row>
    <row r="127" spans="1:1" x14ac:dyDescent="0.25">
      <c r="A127" s="3" t="s">
        <v>341</v>
      </c>
    </row>
    <row r="128" spans="1:5" x14ac:dyDescent="0.25">
      <c r="A128" s="7" t="s">
        <v>334</v>
      </c>
      <c r="B128" s="7" t="s">
        <v>342</v>
      </c>
      <c r="C128" s="7" t="s">
        <v>343</v>
      </c>
      <c r="D128" s="7" t="s">
        <v>344</v>
      </c>
      <c r="E128" s="7" t="s">
        <v>345</v>
      </c>
    </row>
    <row r="129" spans="1:5" x14ac:dyDescent="0.25">
      <c r="A129" t="s">
        <v>346</v>
      </c>
      <c r="B129" s="61">
        <v>0</v>
      </c>
      <c r="C129" s="61">
        <v>0</v>
      </c>
      <c r="D129">
        <v>20</v>
      </c>
      <c r="E129">
        <v>15</v>
      </c>
    </row>
    <row r="130" spans="1:5" x14ac:dyDescent="0.25">
      <c r="A130" t="s">
        <v>347</v>
      </c>
      <c r="B130" s="61">
        <v>0</v>
      </c>
      <c r="C130" s="61">
        <v>0</v>
      </c>
      <c r="D130">
        <v>25</v>
      </c>
      <c r="E130">
        <v>20</v>
      </c>
    </row>
    <row r="131" spans="1:5" x14ac:dyDescent="0.25">
      <c r="A131" t="s">
        <v>348</v>
      </c>
      <c r="B131" s="61">
        <v>0.30329</v>
      </c>
      <c r="C131" s="61">
        <v>0.28</v>
      </c>
      <c r="D131">
        <v>35</v>
      </c>
      <c r="E131">
        <v>30</v>
      </c>
    </row>
    <row r="132" spans="1:5" x14ac:dyDescent="0.25">
      <c r="A132" t="s">
        <v>349</v>
      </c>
      <c r="B132" s="61">
        <v>0.56613</v>
      </c>
      <c r="C132" s="61">
        <v>0</v>
      </c>
      <c r="D132">
        <v>50</v>
      </c>
      <c r="E132">
        <v>40</v>
      </c>
    </row>
    <row r="133" spans="1:5" x14ac:dyDescent="0.25">
      <c r="A133" t="s">
        <v>270</v>
      </c>
      <c r="B133" s="61">
        <v>0.87104</v>
      </c>
      <c r="C133" s="61">
        <v>0.30636</v>
      </c>
      <c r="D133">
        <v>65</v>
      </c>
      <c r="E133">
        <v>50</v>
      </c>
    </row>
    <row r="134" spans="1:5" x14ac:dyDescent="0.25">
      <c r="A134" t="s">
        <v>350</v>
      </c>
      <c r="B134" s="61">
        <v>1.33293</v>
      </c>
      <c r="C134" s="61">
        <v>0.37998</v>
      </c>
      <c r="D134">
        <v>85</v>
      </c>
      <c r="E134">
        <v>65</v>
      </c>
    </row>
    <row r="135" spans="1:5" x14ac:dyDescent="0.25">
      <c r="A135" t="s">
        <v>276</v>
      </c>
      <c r="B135" s="61">
        <v>1.68126</v>
      </c>
      <c r="C135" s="61">
        <v>0.36681</v>
      </c>
      <c r="D135">
        <v>100</v>
      </c>
      <c r="E135">
        <v>75</v>
      </c>
    </row>
    <row r="136" spans="1:5" x14ac:dyDescent="0.25">
      <c r="A136" t="s">
        <v>351</v>
      </c>
      <c r="B136" s="61">
        <v>2.1044</v>
      </c>
      <c r="C136" s="61">
        <v>0.4821</v>
      </c>
      <c r="D136">
        <v>115</v>
      </c>
      <c r="E136">
        <v>90</v>
      </c>
    </row>
    <row r="137" spans="1:5" x14ac:dyDescent="0.25">
      <c r="A137" t="s">
        <v>279</v>
      </c>
      <c r="B137" s="61">
        <v>2.39833</v>
      </c>
      <c r="C137" s="61">
        <v>0.66733</v>
      </c>
      <c r="D137">
        <v>130</v>
      </c>
      <c r="E137">
        <v>100</v>
      </c>
    </row>
    <row r="138" spans="1:5" x14ac:dyDescent="0.25">
      <c r="A138" t="s">
        <v>287</v>
      </c>
      <c r="B138" s="61">
        <v>2.95304</v>
      </c>
      <c r="C138" s="61">
        <v>0.75045</v>
      </c>
      <c r="D138">
        <v>150</v>
      </c>
      <c r="E138">
        <v>120</v>
      </c>
    </row>
    <row r="139" spans="1:5" x14ac:dyDescent="0.25">
      <c r="A139" t="s">
        <v>352</v>
      </c>
      <c r="B139" s="61">
        <v>3.63758</v>
      </c>
      <c r="C139" s="61">
        <v>0.88701</v>
      </c>
      <c r="D139">
        <v>175</v>
      </c>
      <c r="E139">
        <v>135</v>
      </c>
    </row>
    <row r="140" spans="1:5" x14ac:dyDescent="0.25">
      <c r="A140" t="s">
        <v>296</v>
      </c>
      <c r="B140" s="61">
        <v>4.5658</v>
      </c>
      <c r="C140" s="61">
        <v>1.09956</v>
      </c>
      <c r="D140">
        <v>200</v>
      </c>
      <c r="E140">
        <v>155</v>
      </c>
    </row>
    <row r="141" spans="1:5" x14ac:dyDescent="0.25">
      <c r="A141" t="s">
        <v>52</v>
      </c>
      <c r="B141" s="61">
        <v>5.73045</v>
      </c>
      <c r="C141" s="61">
        <v>1.2278</v>
      </c>
      <c r="D141">
        <v>230</v>
      </c>
      <c r="E141">
        <v>180</v>
      </c>
    </row>
    <row r="142" spans="1:5" x14ac:dyDescent="0.25">
      <c r="A142" t="s">
        <v>322</v>
      </c>
      <c r="B142" s="61">
        <v>6.64016</v>
      </c>
      <c r="C142" s="61">
        <v>1.49616</v>
      </c>
      <c r="D142">
        <v>255</v>
      </c>
      <c r="E142">
        <v>205</v>
      </c>
    </row>
    <row r="143" spans="1:5" x14ac:dyDescent="0.25">
      <c r="A143" t="s">
        <v>305</v>
      </c>
      <c r="B143" s="61">
        <v>7.9632</v>
      </c>
      <c r="C143" s="61">
        <v>2.06137</v>
      </c>
      <c r="D143">
        <v>285</v>
      </c>
      <c r="E143">
        <v>230</v>
      </c>
    </row>
    <row r="144" spans="1:5" x14ac:dyDescent="0.25">
      <c r="A144" t="s">
        <v>54</v>
      </c>
      <c r="B144" s="61">
        <v>9.32416</v>
      </c>
      <c r="C144" s="61">
        <v>2.10412</v>
      </c>
      <c r="D144">
        <v>310</v>
      </c>
      <c r="E144">
        <v>250</v>
      </c>
    </row>
    <row r="145" spans="1:5" x14ac:dyDescent="0.25">
      <c r="A145" t="s">
        <v>313</v>
      </c>
      <c r="B145" s="61">
        <v>10.60671</v>
      </c>
      <c r="C145" s="61">
        <v>2.45797</v>
      </c>
      <c r="D145">
        <v>335</v>
      </c>
      <c r="E145">
        <v>270</v>
      </c>
    </row>
    <row r="146" spans="1:5" x14ac:dyDescent="0.25">
      <c r="A146" t="s">
        <v>353</v>
      </c>
      <c r="B146" s="61">
        <v>11.334</v>
      </c>
      <c r="C146" s="61">
        <v>2.589</v>
      </c>
      <c r="D146">
        <v>355</v>
      </c>
      <c r="E146">
        <v>290</v>
      </c>
    </row>
    <row r="147" spans="1:5" x14ac:dyDescent="0.25">
      <c r="A147" t="s">
        <v>354</v>
      </c>
      <c r="B147" s="61">
        <v>13.30059</v>
      </c>
      <c r="C147" s="61">
        <v>2.7204</v>
      </c>
      <c r="D147">
        <v>380</v>
      </c>
      <c r="E147">
        <v>310</v>
      </c>
    </row>
    <row r="148" spans="1:5" x14ac:dyDescent="0.25">
      <c r="A148" t="s">
        <v>49</v>
      </c>
      <c r="B148" s="61">
        <v>16.57382</v>
      </c>
      <c r="C148" s="61">
        <v>3.44354</v>
      </c>
      <c r="D148">
        <v>420</v>
      </c>
      <c r="E148">
        <v>340</v>
      </c>
    </row>
    <row r="149" spans="1:5" x14ac:dyDescent="0.25">
      <c r="A149" t="s">
        <v>355</v>
      </c>
      <c r="B149" s="61">
        <v>0</v>
      </c>
      <c r="C149" s="61">
        <v>4.809</v>
      </c>
      <c r="D149">
        <v>460</v>
      </c>
      <c r="E149">
        <v>375</v>
      </c>
    </row>
    <row r="150" spans="1:5" x14ac:dyDescent="0.25">
      <c r="A150" t="s">
        <v>356</v>
      </c>
      <c r="B150" s="61">
        <v>25.921</v>
      </c>
      <c r="C150" s="61">
        <v>4.859</v>
      </c>
      <c r="D150">
        <v>475</v>
      </c>
      <c r="E150">
        <v>385</v>
      </c>
    </row>
    <row r="151" spans="1:5" x14ac:dyDescent="0.25">
      <c r="A151" t="s">
        <v>357</v>
      </c>
      <c r="B151" s="61">
        <v>0</v>
      </c>
      <c r="C151" s="61">
        <v>0</v>
      </c>
      <c r="D151">
        <v>490</v>
      </c>
      <c r="E151">
        <v>395</v>
      </c>
    </row>
    <row r="152" spans="1:5" x14ac:dyDescent="0.25">
      <c r="A152" t="s">
        <v>358</v>
      </c>
      <c r="B152" s="61">
        <v>0</v>
      </c>
      <c r="C152" s="61">
        <v>7.566</v>
      </c>
      <c r="D152">
        <v>520</v>
      </c>
      <c r="E152">
        <v>425</v>
      </c>
    </row>
    <row r="153" spans="1:5" x14ac:dyDescent="0.25">
      <c r="A153" t="s">
        <v>359</v>
      </c>
      <c r="B153" s="61">
        <v>34.398</v>
      </c>
      <c r="C153" s="61">
        <v>6.668</v>
      </c>
      <c r="D153">
        <v>545</v>
      </c>
      <c r="E153">
        <v>445</v>
      </c>
    </row>
    <row r="154" spans="1:1" x14ac:dyDescent="0.25">
      <c r="A154" s="2" t="s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114" customWidth="1"/>
  </cols>
  <sheetData>
    <row r="1" spans="1:1" x14ac:dyDescent="0.25">
      <c r="A1" s="16" t="s">
        <v>361</v>
      </c>
    </row>
    <row r="2" spans="1:1" x14ac:dyDescent="0.25">
      <c r="A2" s="63" t="s">
        <v>362</v>
      </c>
    </row>
    <row r="3" spans="1:1" x14ac:dyDescent="0.25">
      <c r="A3" s="63" t="s">
        <v>363</v>
      </c>
    </row>
    <row r="4" spans="1:1" x14ac:dyDescent="0.25">
      <c r="A4" s="63" t="s">
        <v>364</v>
      </c>
    </row>
    <row r="5" spans="1:1" x14ac:dyDescent="0.25">
      <c r="A5" s="63" t="s">
        <v>365</v>
      </c>
    </row>
    <row r="6" spans="1:1" x14ac:dyDescent="0.25">
      <c r="A6" s="63" t="s">
        <v>366</v>
      </c>
    </row>
    <row r="7" spans="1:1" x14ac:dyDescent="0.25">
      <c r="A7" s="63" t="s">
        <v>367</v>
      </c>
    </row>
    <row r="8" spans="1:1" x14ac:dyDescent="0.25">
      <c r="A8" s="63" t="s">
        <v>368</v>
      </c>
    </row>
    <row r="9" spans="1:1" x14ac:dyDescent="0.25">
      <c r="A9" s="63" t="s">
        <v>369</v>
      </c>
    </row>
    <row r="10" spans="1:1" x14ac:dyDescent="0.25">
      <c r="A10" s="63" t="s">
        <v>370</v>
      </c>
    </row>
    <row r="11" spans="1:1" x14ac:dyDescent="0.25">
      <c r="A11" s="63" t="s">
        <v>371</v>
      </c>
    </row>
    <row r="12" spans="1:1" x14ac:dyDescent="0.25">
      <c r="A12" s="63" t="s">
        <v>372</v>
      </c>
    </row>
    <row r="13" spans="1:1" x14ac:dyDescent="0.25">
      <c r="A13" s="63" t="s">
        <v>245</v>
      </c>
    </row>
    <row r="14" spans="1:1" x14ac:dyDescent="0.25">
      <c r="A14" s="16" t="s">
        <v>373</v>
      </c>
    </row>
    <row r="15" spans="1:1" x14ac:dyDescent="0.25">
      <c r="A15" s="63" t="s">
        <v>374</v>
      </c>
    </row>
    <row r="16" spans="1:1" x14ac:dyDescent="0.25">
      <c r="A16" s="63" t="s">
        <v>375</v>
      </c>
    </row>
    <row r="17" spans="1:1" x14ac:dyDescent="0.25">
      <c r="A17" s="63" t="s">
        <v>376</v>
      </c>
    </row>
    <row r="18" spans="1:1" x14ac:dyDescent="0.25">
      <c r="A18" s="63" t="s">
        <v>245</v>
      </c>
    </row>
    <row r="19" spans="1:1" x14ac:dyDescent="0.25">
      <c r="A19" s="16" t="s">
        <v>377</v>
      </c>
    </row>
    <row r="20" spans="1:1" x14ac:dyDescent="0.25">
      <c r="A20" s="63" t="s">
        <v>378</v>
      </c>
    </row>
    <row r="21" spans="1:1" x14ac:dyDescent="0.25">
      <c r="A21" s="63" t="s">
        <v>379</v>
      </c>
    </row>
    <row r="22" spans="1:1" x14ac:dyDescent="0.25">
      <c r="A22" s="63" t="s">
        <v>245</v>
      </c>
    </row>
    <row r="23" spans="1:1" x14ac:dyDescent="0.25">
      <c r="A23" s="16" t="s">
        <v>380</v>
      </c>
    </row>
    <row r="24" spans="1:1" x14ac:dyDescent="0.25">
      <c r="A24" s="63" t="s">
        <v>381</v>
      </c>
    </row>
    <row r="25" spans="1:1" x14ac:dyDescent="0.25">
      <c r="A25" s="63" t="s">
        <v>382</v>
      </c>
    </row>
    <row r="26" spans="1:1" x14ac:dyDescent="0.25">
      <c r="A26" s="63" t="s">
        <v>383</v>
      </c>
    </row>
    <row r="27" spans="1:1" x14ac:dyDescent="0.25">
      <c r="A27" s="63" t="s">
        <v>384</v>
      </c>
    </row>
    <row r="28" spans="1:1" x14ac:dyDescent="0.25">
      <c r="A28" s="63" t="s">
        <v>385</v>
      </c>
    </row>
    <row r="29" spans="1:1" x14ac:dyDescent="0.25">
      <c r="A29" s="63" t="s">
        <v>386</v>
      </c>
    </row>
    <row r="30" spans="1:1" x14ac:dyDescent="0.25">
      <c r="A30" s="63" t="s">
        <v>387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Intake</vt:lpstr>
      <vt:lpstr>Panel</vt:lpstr>
      <vt:lpstr>Panel 480V</vt:lpstr>
      <vt:lpstr>Panel 208V</vt:lpstr>
      <vt:lpstr>Estimate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2026-08-25T16:31:11Z</dcterms:created>
  <dcterms:modified xsi:type="dcterms:W3CDTF">2026-08-25T16:31:11Z</dcterms:modified>
</cp:coreProperties>
</file>