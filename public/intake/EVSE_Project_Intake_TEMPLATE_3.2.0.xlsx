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xmlns:r="http://schemas.openxmlformats.org/officeDocument/2006/relationships" name="Version" sheetId="1" state="visible" r:id="rId1"/>
    <sheet xmlns:r="http://schemas.openxmlformats.org/officeDocument/2006/relationships" name="README" sheetId="2" state="visible" r:id="rId2"/>
    <sheet xmlns:r="http://schemas.openxmlformats.org/officeDocument/2006/relationships" name="Project" sheetId="3" state="visible" r:id="rId3"/>
    <sheet xmlns:r="http://schemas.openxmlformats.org/officeDocument/2006/relationships" name="Existing" sheetId="4" state="visible" r:id="rId4"/>
    <sheet xmlns:r="http://schemas.openxmlformats.org/officeDocument/2006/relationships" name="Equipment" sheetId="5" state="visible" r:id="rId5"/>
    <sheet xmlns:r="http://schemas.openxmlformats.org/officeDocument/2006/relationships" name="Electrical" sheetId="6" state="visible" r:id="rId6"/>
    <sheet xmlns:r="http://schemas.openxmlformats.org/officeDocument/2006/relationships" name="Construction" sheetId="7" state="visible" r:id="rId7"/>
    <sheet xmlns:r="http://schemas.openxmlformats.org/officeDocument/2006/relationships" name="Commercial" sheetId="8" state="visible" r:id="rId8"/>
    <sheet xmlns:r="http://schemas.openxmlformats.org/officeDocument/2006/relationships" name="Revenue" sheetId="9" state="visible" r:id="rId9"/>
    <sheet xmlns:r="http://schemas.openxmlformats.org/officeDocument/2006/relationships" name="Carbon" sheetId="10" state="visible" r:id="rId10"/>
    <sheet xmlns:r="http://schemas.openxmlformats.org/officeDocument/2006/relationships" name="Deal_Structure" sheetId="11" state="visible" r:id="rId11"/>
    <sheet xmlns:r="http://schemas.openxmlformats.org/officeDocument/2006/relationships" name="Overrides" sheetId="12" state="visible" r:id="rId12"/>
    <sheet xmlns:r="http://schemas.openxmlformats.org/officeDocument/2006/relationships" name="PriceBook" sheetId="13" state="visible" r:id="rId13"/>
    <sheet xmlns:r="http://schemas.openxmlformats.org/officeDocument/2006/relationships" name="RefData" sheetId="14" state="visible" r:id="rId14"/>
    <sheet xmlns:r="http://schemas.openxmlformats.org/officeDocument/2006/relationships" name="Utilities" sheetId="15" state="visible" r:id="rId15"/>
    <sheet xmlns:r="http://schemas.openxmlformats.org/officeDocument/2006/relationships"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_xlnm.Print_Titles" localSheetId="0">'Version'!$1:$2</definedName>
    <definedName name="_xlnm.Print_Area" localSheetId="0">'Version'!$A$1:$C$49</definedName>
    <definedName name="_xlnm.Print_Titles" localSheetId="1">'README'!$1:$2</definedName>
    <definedName name="_xlnm.Print_Area" localSheetId="1">'README'!$A$1:$C$50</definedName>
    <definedName name="_xlnm.Print_Titles" localSheetId="2">'Project'!$1:$2</definedName>
    <definedName name="_xlnm.Print_Area" localSheetId="2">'Project'!$A$1:$C$49</definedName>
    <definedName name="_xlnm.Print_Titles" localSheetId="3">'Existing'!$1:$2</definedName>
    <definedName name="_xlnm.Print_Area" localSheetId="3">'Existing'!$A$1:$G$186</definedName>
    <definedName name="_xlnm.Print_Titles" localSheetId="4">'Equipment'!$1:$2</definedName>
    <definedName name="_xlnm.Print_Area" localSheetId="4">'Equipment'!$A$1:$P$55</definedName>
    <definedName name="_xlnm.Print_Titles" localSheetId="5">'Electrical'!$1:$2</definedName>
    <definedName name="_xlnm.Print_Area" localSheetId="5">'Electrical'!$A$1:$V$216</definedName>
    <definedName name="_xlnm.Print_Titles" localSheetId="6">'Construction'!$1:$2</definedName>
    <definedName name="_xlnm.Print_Area" localSheetId="6">'Construction'!$A$1:$E$91</definedName>
    <definedName name="_xlnm.Print_Titles" localSheetId="7">'Commercial'!$1:$2</definedName>
    <definedName name="_xlnm.Print_Area" localSheetId="7">'Commercial'!$A$1:$C$29</definedName>
    <definedName name="_xlnm.Print_Titles" localSheetId="8">'Revenue'!$1:$2</definedName>
    <definedName name="_xlnm.Print_Area" localSheetId="8">'Revenue'!$A$1:$D$117</definedName>
    <definedName name="_xlnm.Print_Titles" localSheetId="9">'Carbon'!$1:$2</definedName>
    <definedName name="_xlnm.Print_Area" localSheetId="9">'Carbon'!$A$1:$C$32</definedName>
    <definedName name="_xlnm.Print_Titles" localSheetId="10">'Deal_Structure'!$1:$2</definedName>
    <definedName name="_xlnm.Print_Area" localSheetId="10">'Deal_Structure'!$A$1:$D$41</definedName>
    <definedName name="_xlnm.Print_Titles" localSheetId="11">'Overrides'!$1:$2</definedName>
    <definedName name="_xlnm.Print_Area" localSheetId="11">'Overrides'!$A$1:$D$28</definedName>
    <definedName name="_xlnm.Print_Titles" localSheetId="12">'PriceBook'!$1:$2</definedName>
    <definedName name="_xlnm.Print_Area" localSheetId="12">'PriceBook'!$A$1:$AG$124</definedName>
    <definedName name="_xlnm.Print_Titles" localSheetId="13">'RefData'!$1:$2</definedName>
    <definedName name="_xlnm.Print_Area" localSheetId="13">'RefData'!$A$1:$G$206</definedName>
    <definedName name="_xlnm.Print_Titles" localSheetId="14">'Utilities'!$1:$2</definedName>
    <definedName name="_xlnm.Print_Area" localSheetId="14">'Utilities'!$A$1:$N$117</definedName>
    <definedName name="_xlnm.Print_Titles" localSheetId="15">'RateLibrary'!$1:$2</definedName>
    <definedName name="_xlnm.Print_Area" localSheetId="15">'RateLibrary'!$A$1:$R$74</definedName>
  </definedNames>
  <calcPr calcId="124519" fullCalcOnLoad="1" refMode="A1" iterate="0" iterateCount="100" iterateDelta="0.0001"/>
</workbook>
</file>

<file path=xl/styles.xml><?xml version="1.0" encoding="utf-8"?>
<styleSheet xmlns="http://schemas.openxmlformats.org/spreadsheetml/2006/main">
  <numFmts count="20">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s>
  <fonts count="5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s>
  <fills count="10">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filterMode="0">
    <tabColor rgb="000E7C82"/>
    <outlinePr summaryBelow="1" summaryRight="1"/>
    <pageSetUpPr fitToPage="1"/>
  </sheetPr>
  <dimension ref="A1:D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1" customWidth="1" style="253" min="1" max="1"/>
    <col width="22" customWidth="1" style="253" min="2" max="2"/>
    <col width="82" customWidth="1" style="253" min="3" max="3"/>
    <col width="9" customWidth="1" style="253" min="4" max="4"/>
  </cols>
  <sheetData>
    <row r="1" ht="25.5" customHeight="1" s="254">
      <c r="A1" s="255" t="inlineStr">
        <is>
          <t>DOCUMENT CONTROL</t>
        </is>
      </c>
      <c r="D1" s="501" t="n"/>
    </row>
    <row r="2" ht="55.5" customHeight="1" s="254">
      <c r="A2" s="256" t="inlineStr">
        <is>
          <t>Hardcoded. These values identify which generation of the template a returned file came from — never make them formulas.</t>
        </is>
      </c>
      <c r="B2" s="501" t="n"/>
      <c r="C2" s="501" t="n"/>
      <c r="D2" s="501" t="n"/>
    </row>
    <row r="3">
      <c r="A3" s="501" t="n"/>
      <c r="B3" s="501" t="n"/>
      <c r="C3" s="501" t="n"/>
      <c r="D3" s="501" t="n"/>
    </row>
    <row r="4" ht="15" customHeight="1" s="254">
      <c r="A4" s="257" t="inlineStr">
        <is>
          <t>Template version</t>
        </is>
      </c>
      <c r="B4" s="502" t="inlineStr">
        <is>
          <t>3.2.0</t>
        </is>
      </c>
      <c r="C4" s="501" t="n"/>
      <c r="D4" s="501" t="n"/>
    </row>
    <row r="5" ht="15" customHeight="1" s="254">
      <c r="A5" s="257" t="inlineStr">
        <is>
          <t>Released</t>
        </is>
      </c>
      <c r="B5" s="503" t="inlineStr">
        <is>
          <t>2026-09-04</t>
        </is>
      </c>
      <c r="C5" s="501" t="n"/>
      <c r="D5" s="501" t="n"/>
    </row>
    <row r="6" ht="15" customHeight="1" s="254">
      <c r="A6" s="257" t="inlineStr">
        <is>
          <t>Template name</t>
        </is>
      </c>
      <c r="B6" s="503" t="inlineStr">
        <is>
          <t>EVSE Project Intake</t>
        </is>
      </c>
      <c r="C6" s="501" t="n"/>
      <c r="D6" s="501" t="n"/>
    </row>
    <row r="7" ht="15" customHeight="1" s="254">
      <c r="A7" s="257" t="inlineStr">
        <is>
          <t>Issued by</t>
        </is>
      </c>
      <c r="B7" s="503" t="inlineStr">
        <is>
          <t>Zero Impact Energy</t>
        </is>
      </c>
      <c r="C7" s="501" t="n"/>
      <c r="D7" s="501" t="n"/>
    </row>
    <row r="8" ht="26.44" customHeight="1" s="254">
      <c r="A8" s="257" t="inlineStr">
        <is>
          <t>Template content hash</t>
        </is>
      </c>
      <c r="B8" s="504" t="inlineStr">
        <is>
          <t>b0140566d4234d54</t>
        </is>
      </c>
      <c r="C8" s="505" t="inlineStr">
        <is>
          <t>The hash of the BLANK template this file was built from, frozen at its release. It does not change when you fill the sheet in.</t>
        </is>
      </c>
      <c r="D8" s="501" t="n"/>
    </row>
    <row r="9" ht="15" customHeight="1" s="254">
      <c r="A9" s="262" t="inlineStr">
        <is>
          <t>Completed by — fill these in</t>
        </is>
      </c>
      <c r="B9" s="501" t="n"/>
      <c r="C9" s="501" t="n"/>
      <c r="D9" s="501" t="n"/>
    </row>
    <row r="10" ht="19.5" customHeight="1" s="254">
      <c r="A10" s="263" t="inlineStr">
        <is>
          <t>This file version</t>
        </is>
      </c>
      <c r="B10" s="506" t="n"/>
      <c r="C10" s="507" t="inlineStr">
        <is>
          <t>e.g. Rev A, Rev B — increment each time you send it back</t>
        </is>
      </c>
      <c r="D10" s="501" t="n"/>
    </row>
    <row r="11" ht="15" customHeight="1" s="254">
      <c r="A11" s="263" t="inlineStr">
        <is>
          <t>Date completed</t>
        </is>
      </c>
      <c r="B11" s="506" t="n"/>
      <c r="C11" s="501" t="n"/>
      <c r="D11" s="501" t="n"/>
    </row>
    <row r="12" ht="15" customHeight="1" s="254">
      <c r="A12" s="263" t="inlineStr">
        <is>
          <t>Completed by</t>
        </is>
      </c>
      <c r="B12" s="506" t="n"/>
      <c r="C12" s="501" t="n"/>
      <c r="D12" s="501" t="n"/>
    </row>
    <row r="13" ht="15" customHeight="1" s="254">
      <c r="A13" s="263" t="inlineStr">
        <is>
          <t>Project reference</t>
        </is>
      </c>
      <c r="B13" s="506" t="n"/>
      <c r="C13" s="501" t="n"/>
      <c r="D13" s="501" t="n"/>
    </row>
    <row r="14" ht="15" customHeight="1" s="254">
      <c r="A14" s="263" t="inlineStr">
        <is>
          <t>Notes on this revision</t>
        </is>
      </c>
      <c r="B14" s="506" t="n"/>
      <c r="C14" s="508" t="inlineStr">
        <is>
          <t>What changed since the last version you sent</t>
        </is>
      </c>
      <c r="D14" s="501" t="n"/>
    </row>
    <row r="15" ht="26.44" customHeight="1" s="254">
      <c r="A15" s="263" t="inlineStr">
        <is>
          <t>File content hash</t>
        </is>
      </c>
      <c r="B15" s="509" t="inlineStr">
        <is>
          <t>b0140566d4234d54</t>
        </is>
      </c>
      <c r="C15" s="505" t="inlineStr">
        <is>
          <t>A hash of THIS workbook. It changes every time someone edits it, and it is what a model records so you can tell whether the model was built from the file in front of you.</t>
        </is>
      </c>
      <c r="D15" s="501" t="n"/>
    </row>
    <row r="16" ht="15" customHeight="1" s="254">
      <c r="A16" s="262" t="inlineStr">
        <is>
          <t>Changelog</t>
        </is>
      </c>
      <c r="B16" s="501" t="n"/>
      <c r="C16" s="501" t="n"/>
      <c r="D16" s="501" t="n"/>
    </row>
    <row r="17" ht="15" customHeight="1" s="254">
      <c r="A17" s="268" t="inlineStr">
        <is>
          <t>Version</t>
        </is>
      </c>
      <c r="B17" s="510" t="inlineStr">
        <is>
          <t>Released</t>
        </is>
      </c>
      <c r="C17" s="510" t="inlineStr">
        <is>
          <t>What changed</t>
        </is>
      </c>
      <c r="D17" s="501" t="n"/>
    </row>
    <row r="18" ht="27.76" customHeight="1" s="254">
      <c r="A18" s="511" t="inlineStr">
        <is>
          <t>1.0.0</t>
        </is>
      </c>
      <c r="B18" s="512" t="inlineStr">
        <is>
          <t>2026-08-26</t>
        </is>
      </c>
      <c r="C18" s="513" t="inlineStr">
        <is>
          <t>Initial release — project, equipment, electrical, construction, commercial, revenue and carbon intake with live consistency checks.</t>
        </is>
      </c>
      <c r="D18" s="501" t="n"/>
    </row>
    <row r="19" ht="31.5" customHeight="1" s="254">
      <c r="A19" s="511" t="inlineStr">
        <is>
          <t>1.1.0</t>
        </is>
      </c>
      <c r="B19" s="512" t="inlineStr">
        <is>
          <t>2026-08-26</t>
        </is>
      </c>
      <c r="C19" s="513" t="inlineStr">
        <is>
          <t>Deal structure knobs and the override register. Base case unchanged at zero.</t>
        </is>
      </c>
      <c r="D19" s="501" t="n"/>
    </row>
    <row r="20" ht="27.76" customHeight="1" s="254">
      <c r="A20" s="511" t="inlineStr">
        <is>
          <t>1.2.0</t>
        </is>
      </c>
      <c r="B20" s="512" t="inlineStr">
        <is>
          <t>2026-08-26</t>
        </is>
      </c>
      <c r="C20" s="513" t="inlineStr">
        <is>
          <t>PG&amp;E Rule 29 interconnection capture. Electrical materials costed independently of the EVSE price book.</t>
        </is>
      </c>
      <c r="D20" s="501" t="n"/>
    </row>
    <row r="21" ht="27.76" customHeight="1" s="254">
      <c r="A21" s="511" t="inlineStr">
        <is>
          <t>1.3.0</t>
        </is>
      </c>
      <c r="B21" s="512" t="inlineStr">
        <is>
          <t>2026-08-26</t>
        </is>
      </c>
      <c r="C21" s="513" t="inlineStr">
        <is>
          <t>Utility rate engine across PG&amp;E, SCE and SDG&amp;E. Market benchmarks. Demand subscription ramps with concurrency.</t>
        </is>
      </c>
      <c r="D21" s="501" t="n"/>
    </row>
    <row r="22" ht="27.76" customHeight="1" s="254">
      <c r="A22" s="511" t="inlineStr">
        <is>
          <t>1.4.0</t>
        </is>
      </c>
      <c r="B22" s="512" t="inlineStr">
        <is>
          <t>2026-08-26</t>
        </is>
      </c>
      <c r="C22" s="513" t="inlineStr">
        <is>
          <t>Scope of supply controls — each service line can be provided by us, by others, or not required. Document control added.</t>
        </is>
      </c>
      <c r="D22" s="501" t="n"/>
    </row>
    <row r="23" ht="27.76" customHeight="1" s="254">
      <c r="A23" s="511" t="inlineStr">
        <is>
          <t>1.5.0</t>
        </is>
      </c>
      <c r="B23" s="512" t="inlineStr">
        <is>
          <t>2026-08-26</t>
        </is>
      </c>
      <c r="C23" s="513" t="inlineStr">
        <is>
          <t>Mixed-fleet fix — accessories no longer counted as charging units, and the placement check compares against DC cabinets only.</t>
        </is>
      </c>
      <c r="D23" s="501" t="n"/>
    </row>
    <row r="24" ht="27.76" customHeight="1" s="254">
      <c r="A24" s="511" t="inlineStr">
        <is>
          <t>1.6.0</t>
        </is>
      </c>
      <c r="B24" s="512" t="inlineStr">
        <is>
          <t>2026-08-26</t>
        </is>
      </c>
      <c r="C24" s="513" t="inlineStr">
        <is>
          <t>Description was not recorded at the time. The change sits between the mixed-fleet fix (1.5.0) and the rip-and-replace capability (1.7.0).</t>
        </is>
      </c>
      <c r="D24" s="501" t="n"/>
    </row>
    <row r="25" ht="51.52" customHeight="1" s="254">
      <c r="A25" s="511" t="inlineStr">
        <is>
          <t>1.7.0</t>
        </is>
      </c>
      <c r="B25" s="512" t="inlineStr">
        <is>
          <t>2026-08-26</t>
        </is>
      </c>
      <c r="C25" s="51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501" t="n"/>
    </row>
    <row r="26" ht="75.28" customHeight="1" s="254">
      <c r="A26" s="511" t="inlineStr">
        <is>
          <t>1.8.0</t>
        </is>
      </c>
      <c r="B26" s="512" t="inlineStr">
        <is>
          <t>2026-08-26</t>
        </is>
      </c>
      <c r="C26" s="51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501" t="n"/>
    </row>
    <row r="27" ht="51.52" customHeight="1" s="254">
      <c r="A27" s="511" t="inlineStr">
        <is>
          <t>1.9.0</t>
        </is>
      </c>
      <c r="B27" s="512" t="inlineStr">
        <is>
          <t>2026-08-27</t>
        </is>
      </c>
      <c r="C27" s="51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501" t="n"/>
    </row>
    <row r="28" ht="75.28" customHeight="1" s="254">
      <c r="A28" s="511" t="inlineStr">
        <is>
          <t>1.10.0</t>
        </is>
      </c>
      <c r="B28" s="512" t="inlineStr">
        <is>
          <t>2026-08-27</t>
        </is>
      </c>
      <c r="C28" s="51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501" t="n"/>
    </row>
    <row r="29" ht="99.04000000000001" customHeight="1" s="254">
      <c r="A29" s="511" t="inlineStr">
        <is>
          <t>1.11.0</t>
        </is>
      </c>
      <c r="B29" s="512" t="inlineStr">
        <is>
          <t>2026-08-27</t>
        </is>
      </c>
      <c r="C29" s="51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501" t="n"/>
    </row>
    <row r="30" ht="99.04000000000001" customHeight="1" s="254">
      <c r="A30" s="511" t="inlineStr">
        <is>
          <t>1.12.0</t>
        </is>
      </c>
      <c r="B30" s="512" t="inlineStr">
        <is>
          <t>2026-08-27</t>
        </is>
      </c>
      <c r="C30" s="51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501" t="n"/>
    </row>
    <row r="31" ht="51.52" customHeight="1" s="254">
      <c r="A31" s="511" t="inlineStr">
        <is>
          <t>1.12.1</t>
        </is>
      </c>
      <c r="B31" s="512" t="inlineStr">
        <is>
          <t>2026-08-27</t>
        </is>
      </c>
      <c r="C31" s="51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501" t="n"/>
    </row>
    <row r="32" ht="51.52" customHeight="1" s="254">
      <c r="A32" s="511" t="inlineStr">
        <is>
          <t>1.13.0</t>
        </is>
      </c>
      <c r="B32" s="512" t="inlineStr">
        <is>
          <t>2026-08-27</t>
        </is>
      </c>
      <c r="C32" s="51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501" t="n"/>
    </row>
    <row r="33" ht="87.16000000000001" customHeight="1" s="254">
      <c r="A33" s="511" t="inlineStr">
        <is>
          <t>1.14.0</t>
        </is>
      </c>
      <c r="B33" s="512" t="inlineStr">
        <is>
          <t>2026-08-27</t>
        </is>
      </c>
      <c r="C33" s="51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501" t="n"/>
    </row>
    <row r="34" ht="63.40000000000001" customHeight="1" s="254">
      <c r="A34" s="511" t="inlineStr">
        <is>
          <t>2.0.0</t>
        </is>
      </c>
      <c r="B34" s="512" t="inlineStr">
        <is>
          <t>2026-08-28</t>
        </is>
      </c>
      <c r="C34" s="51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501" t="n"/>
    </row>
    <row r="35" ht="110.92" customHeight="1" s="254">
      <c r="A35" s="511" t="inlineStr">
        <is>
          <t>2.1.0</t>
        </is>
      </c>
      <c r="B35" s="512" t="inlineStr">
        <is>
          <t>2026-08-28</t>
        </is>
      </c>
      <c r="C35" s="51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501" t="n"/>
    </row>
    <row r="36" ht="75.28" customHeight="1" s="254">
      <c r="A36" s="511" t="inlineStr">
        <is>
          <t>2.1.1</t>
        </is>
      </c>
      <c r="B36" s="512" t="inlineStr">
        <is>
          <t>2026-08-28</t>
        </is>
      </c>
      <c r="C36" s="51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501" t="n"/>
    </row>
    <row r="37" ht="39.64" customHeight="1" s="254">
      <c r="A37" s="511" t="inlineStr">
        <is>
          <t>2.1.2</t>
        </is>
      </c>
      <c r="B37" s="512" t="inlineStr">
        <is>
          <t>2026-08-28</t>
        </is>
      </c>
      <c r="C37" s="513" t="inlineStr">
        <is>
          <t>Removed a duplicate hash row this script had created by matching only the pre-rename label — two hashes for one workbook, inside the mechanism built to stop exactly that. Both scripts now accept either label.</t>
        </is>
      </c>
      <c r="D37" s="501" t="n"/>
    </row>
    <row r="38" ht="146.56" customHeight="1" s="254">
      <c r="A38" s="511" t="inlineStr">
        <is>
          <t>2.2.0</t>
        </is>
      </c>
      <c r="B38" s="512" t="inlineStr">
        <is>
          <t>2026-08-28</t>
        </is>
      </c>
      <c r="C38" s="512"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501" t="n"/>
    </row>
    <row r="39" ht="405" customHeight="1" s="254">
      <c r="A39" s="511" t="inlineStr">
        <is>
          <t>2.5.0</t>
        </is>
      </c>
      <c r="B39" s="512" t="inlineStr">
        <is>
          <t>2026-08-28</t>
        </is>
      </c>
      <c r="C39" s="512"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501" t="n"/>
    </row>
    <row r="40" ht="253.48" customHeight="1" s="254">
      <c r="A40" s="511" t="inlineStr">
        <is>
          <t>2.6.0</t>
        </is>
      </c>
      <c r="B40" s="512" t="inlineStr">
        <is>
          <t>2026-08-28</t>
        </is>
      </c>
      <c r="C40" s="512"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501" t="n"/>
    </row>
    <row r="41" ht="99.04000000000001" customHeight="1" s="254">
      <c r="A41" s="511" t="inlineStr">
        <is>
          <t>2.7.0</t>
        </is>
      </c>
      <c r="B41" s="512" t="inlineStr">
        <is>
          <t>2026-08-28</t>
        </is>
      </c>
      <c r="C41" s="512"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501" t="n"/>
    </row>
    <row r="42" ht="110.92" customHeight="1" s="254">
      <c r="A42" s="511" t="inlineStr">
        <is>
          <t>2.7.1</t>
        </is>
      </c>
      <c r="B42" s="512" t="inlineStr">
        <is>
          <t>2026-08-28</t>
        </is>
      </c>
      <c r="C42" s="512"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501" t="n"/>
    </row>
    <row r="43" ht="158.44" customHeight="1" s="254">
      <c r="A43" s="511" t="inlineStr">
        <is>
          <t>2.7.2</t>
        </is>
      </c>
      <c r="B43" s="512" t="inlineStr">
        <is>
          <t>2026-08-28</t>
        </is>
      </c>
      <c r="C43" s="512"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501" t="n"/>
    </row>
    <row r="44" ht="99.04000000000001" customHeight="1" s="254">
      <c r="A44" s="511" t="inlineStr">
        <is>
          <t>2.8.0</t>
        </is>
      </c>
      <c r="B44" s="512" t="inlineStr">
        <is>
          <t>2026-08-29</t>
        </is>
      </c>
      <c r="C44" s="51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501" t="n"/>
    </row>
    <row r="45" ht="146.56" customHeight="1" s="254">
      <c r="A45" s="511" t="inlineStr">
        <is>
          <t>2.8.1</t>
        </is>
      </c>
      <c r="B45" s="512" t="inlineStr">
        <is>
          <t>2026-08-29</t>
        </is>
      </c>
      <c r="C45" s="51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501" t="n"/>
    </row>
    <row r="46" ht="99.04000000000001" customHeight="1" s="254">
      <c r="A46" s="511" t="inlineStr">
        <is>
          <t>2.9.0</t>
        </is>
      </c>
      <c r="B46" s="512" t="inlineStr">
        <is>
          <t>2026-08-29</t>
        </is>
      </c>
      <c r="C46" s="51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501" t="n"/>
    </row>
    <row r="47" ht="312.88" customHeight="1" s="254">
      <c r="A47" s="511" t="inlineStr">
        <is>
          <t>3.0.0</t>
        </is>
      </c>
      <c r="B47" s="512" t="inlineStr">
        <is>
          <t>2026-09-01</t>
        </is>
      </c>
      <c r="C47" s="51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501" t="n"/>
    </row>
    <row r="48" ht="241.6" customHeight="1" s="254">
      <c r="A48" s="511" t="inlineStr">
        <is>
          <t>3.1.0</t>
        </is>
      </c>
      <c r="B48" s="512" t="inlineStr">
        <is>
          <t>2026-09-03</t>
        </is>
      </c>
      <c r="C48" s="51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501" t="n"/>
    </row>
    <row r="49" ht="360" customHeight="1" s="254">
      <c r="A49" s="511" t="inlineStr">
        <is>
          <t>3.2.0</t>
        </is>
      </c>
      <c r="B49" s="511" t="inlineStr">
        <is>
          <t>2026-09-04</t>
        </is>
      </c>
      <c r="C49" s="705"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3" customWidth="1" style="254" min="2" max="2"/>
    <col width="44" customWidth="1" style="253" min="3" max="3"/>
    <col width="9" customWidth="1" style="253" min="4" max="6"/>
    <col width="13" customWidth="1" style="254" min="5" max="5"/>
    <col width="13" customWidth="1" style="254" min="6" max="6"/>
  </cols>
  <sheetData>
    <row r="1" ht="25.5" customHeight="1" s="254">
      <c r="A1" s="255" t="inlineStr">
        <is>
          <t>EVSE PROJECT INTAKE</t>
        </is>
      </c>
    </row>
    <row r="2" ht="43.5" customHeight="1" s="254">
      <c r="A2" s="256" t="inlineStr">
        <is>
          <t>Zero Impact Energy — one form, one project. Fill the blue cells; everything else is derived.</t>
        </is>
      </c>
      <c r="B2" s="501" t="n"/>
      <c r="C2" s="501" t="n"/>
      <c r="D2" s="501" t="n"/>
      <c r="E2" s="501" t="n"/>
      <c r="F2" s="501" t="n"/>
    </row>
    <row r="3">
      <c r="A3" s="501" t="n"/>
      <c r="B3" s="501" t="n"/>
      <c r="C3" s="501" t="n"/>
      <c r="D3" s="501" t="n"/>
      <c r="E3" s="501" t="n"/>
      <c r="F3" s="501" t="n"/>
    </row>
    <row r="4" ht="15" customHeight="1" s="254">
      <c r="A4" s="262" t="inlineStr">
        <is>
          <t>How to use this workbook</t>
        </is>
      </c>
      <c r="B4" s="501" t="n"/>
      <c r="C4" s="501" t="n"/>
      <c r="D4" s="501" t="n"/>
      <c r="E4" s="501" t="n"/>
      <c r="F4" s="501" t="n"/>
    </row>
    <row r="5" ht="31.5" customHeight="1" s="254">
      <c r="A5" s="263" t="inlineStr">
        <is>
          <t>•</t>
        </is>
      </c>
      <c r="B5" s="514" t="inlineStr">
        <is>
          <t>Fill in every BLUE cell you can. Leave a cell blank rather than guessing — a blank is a question we will ask; a guess becomes a number in a proposal.</t>
        </is>
      </c>
      <c r="C5" s="501" t="n"/>
      <c r="D5" s="501" t="n"/>
      <c r="E5" s="501" t="n"/>
      <c r="F5" s="501" t="n"/>
    </row>
    <row r="6" ht="31.5" customHeight="1" s="254">
      <c r="A6" s="263" t="inlineStr">
        <is>
          <t>•</t>
        </is>
      </c>
      <c r="B6" s="514" t="inlineStr">
        <is>
          <t>YELLOW cells are key commercial assumptions. They have sensible defaults, but they drive the return — change them deliberately, not by habit.</t>
        </is>
      </c>
      <c r="C6" s="501" t="n"/>
      <c r="D6" s="501" t="n"/>
      <c r="E6" s="501" t="n"/>
      <c r="F6" s="501" t="n"/>
    </row>
    <row r="7" ht="31.5" customHeight="1" s="254">
      <c r="A7" s="263" t="inlineStr">
        <is>
          <t>•</t>
        </is>
      </c>
      <c r="B7" s="514" t="inlineStr">
        <is>
          <t>GREEN cells are live checks. They recalculate as you type. If a green cell turns into a warning, the sheet is telling you two of your inputs disagree.</t>
        </is>
      </c>
      <c r="C7" s="501" t="n"/>
      <c r="D7" s="501" t="n"/>
      <c r="E7" s="501" t="n"/>
      <c r="F7" s="501" t="n"/>
    </row>
    <row r="8" ht="43.6" customHeight="1" s="254">
      <c r="A8" s="263" t="inlineStr">
        <is>
          <t>•</t>
        </is>
      </c>
      <c r="B8" s="514" t="inlineStr">
        <is>
          <t>GREY tabs (Lists, PriceBook, RefData) are reference data. Do not edit them unless prices have actually changed.</t>
        </is>
      </c>
      <c r="C8" s="501" t="n"/>
      <c r="D8" s="501" t="n"/>
      <c r="E8" s="501" t="n"/>
      <c r="F8" s="501" t="n"/>
    </row>
    <row r="9" ht="43.6" customHeight="1" s="254">
      <c r="A9" s="263" t="inlineStr">
        <is>
          <t>•</t>
        </is>
      </c>
      <c r="B9" s="514" t="inlineStr">
        <is>
          <t>When the form is complete, send the file back. Everything downstream — electrical sizing, materials, labour, revenue, carbon, financing, the proposal — is computed from these inputs alone.</t>
        </is>
      </c>
      <c r="C9" s="501" t="n"/>
      <c r="D9" s="501" t="n"/>
      <c r="E9" s="501" t="n"/>
      <c r="F9" s="501" t="n"/>
    </row>
    <row r="10">
      <c r="A10" s="501" t="n"/>
      <c r="B10" s="501" t="n"/>
      <c r="C10" s="501" t="n"/>
      <c r="D10" s="501" t="n"/>
      <c r="E10" s="501" t="n"/>
      <c r="F10" s="501" t="n"/>
    </row>
    <row r="11" ht="15" customHeight="1" s="254">
      <c r="A11" s="262" t="inlineStr">
        <is>
          <t>Cell legend</t>
        </is>
      </c>
      <c r="B11" s="501" t="n"/>
      <c r="C11" s="501" t="n"/>
      <c r="D11" s="501" t="n"/>
      <c r="E11" s="501" t="n"/>
      <c r="F11" s="501" t="n"/>
    </row>
    <row r="12" ht="19.5" customHeight="1" s="254">
      <c r="A12" s="272" t="inlineStr">
        <is>
          <t>Appearance</t>
        </is>
      </c>
      <c r="B12" s="515" t="inlineStr">
        <is>
          <t>Meaning</t>
        </is>
      </c>
      <c r="C12" s="516" t="inlineStr">
        <is>
          <t>What to do</t>
        </is>
      </c>
      <c r="D12" s="501" t="n"/>
      <c r="E12" s="501" t="n"/>
      <c r="F12" s="501" t="n"/>
    </row>
    <row r="13" ht="15" customHeight="1" s="254">
      <c r="A13" s="517" t="inlineStr">
        <is>
          <t>Blue fill, blue text</t>
        </is>
      </c>
      <c r="B13" s="517" t="inlineStr">
        <is>
          <t>Human input</t>
        </is>
      </c>
      <c r="C13" s="517" t="inlineStr">
        <is>
          <t>Fill it in</t>
        </is>
      </c>
      <c r="D13" s="501" t="n"/>
      <c r="E13" s="501" t="n"/>
      <c r="F13" s="501" t="n"/>
    </row>
    <row r="14" ht="15" customHeight="1" s="254">
      <c r="A14" s="259" t="inlineStr">
        <is>
          <t>Yellow fill, blue bold</t>
        </is>
      </c>
      <c r="B14" s="503" t="inlineStr">
        <is>
          <t>Key commercial assumption</t>
        </is>
      </c>
      <c r="C14" s="503" t="inlineStr">
        <is>
          <t>Review the default, change deliberately</t>
        </is>
      </c>
      <c r="D14" s="501" t="n"/>
      <c r="E14" s="501" t="n"/>
      <c r="F14" s="501" t="n"/>
    </row>
    <row r="15" ht="15" customHeight="1" s="254">
      <c r="A15" s="517" t="inlineStr">
        <is>
          <t>Green fill, green text</t>
        </is>
      </c>
      <c r="B15" s="517" t="inlineStr">
        <is>
          <t>Live check / derived</t>
        </is>
      </c>
      <c r="C15" s="517" t="inlineStr">
        <is>
          <t>Read it — never type over it</t>
        </is>
      </c>
      <c r="D15" s="501" t="n"/>
      <c r="E15" s="501" t="n"/>
      <c r="F15" s="501" t="n"/>
    </row>
    <row r="16" ht="15" customHeight="1" s="254">
      <c r="A16" s="259" t="inlineStr">
        <is>
          <t>Grey</t>
        </is>
      </c>
      <c r="B16" s="503" t="inlineStr">
        <is>
          <t>Reference data</t>
        </is>
      </c>
      <c r="C16" s="503" t="inlineStr">
        <is>
          <t>Leave alone</t>
        </is>
      </c>
      <c r="D16" s="501" t="n"/>
      <c r="E16" s="501" t="n"/>
      <c r="F16" s="501" t="n"/>
    </row>
    <row r="17">
      <c r="A17" s="501" t="n"/>
      <c r="B17" s="501" t="n"/>
      <c r="C17" s="501" t="n"/>
      <c r="D17" s="501" t="n"/>
      <c r="E17" s="501" t="n"/>
      <c r="F17" s="501" t="n"/>
    </row>
    <row r="18" ht="15" customHeight="1" s="254">
      <c r="A18" s="262" t="inlineStr">
        <is>
          <t>Tabs, in the order you should fill them</t>
        </is>
      </c>
      <c r="B18" s="501" t="n"/>
      <c r="C18" s="501" t="n"/>
      <c r="D18" s="501" t="n"/>
      <c r="E18" s="501" t="n"/>
      <c r="F18" s="501" t="n"/>
    </row>
    <row r="19" ht="15" customHeight="1" s="254">
      <c r="A19" s="257" t="inlineStr">
        <is>
          <t>1_Project</t>
        </is>
      </c>
      <c r="B19" s="518" t="inlineStr">
        <is>
          <t>Who, where, which utility, and how the site is accessed</t>
        </is>
      </c>
      <c r="C19" s="501" t="n"/>
      <c r="D19" s="501" t="n"/>
      <c r="E19" s="501" t="n"/>
      <c r="F19" s="501" t="n"/>
    </row>
    <row r="20" ht="15" customHeight="1" s="254">
      <c r="A20" s="257" t="inlineStr">
        <is>
          <t>2_Equipment</t>
        </is>
      </c>
      <c r="B20" s="518" t="inlineStr">
        <is>
          <t>What is being sold — pick SKUs from the price book</t>
        </is>
      </c>
      <c r="C20" s="501" t="n"/>
      <c r="D20" s="501" t="n"/>
      <c r="E20" s="501" t="n"/>
      <c r="F20" s="501" t="n"/>
    </row>
    <row r="21" ht="30.4" customHeight="1" s="254">
      <c r="A21" s="257" t="inlineStr">
        <is>
          <t>3_Electrical</t>
        </is>
      </c>
      <c r="B21" s="514" t="inlineStr">
        <is>
          <t>Distances, wire, existing service. Drives every electrical cost.</t>
        </is>
      </c>
      <c r="C21" s="501" t="n"/>
      <c r="D21" s="501" t="n"/>
      <c r="E21" s="501" t="n"/>
      <c r="F21" s="501" t="n"/>
    </row>
    <row r="22" ht="15" customHeight="1" s="254">
      <c r="A22" s="257" t="inlineStr">
        <is>
          <t>4_Construction</t>
        </is>
      </c>
      <c r="B22" s="518" t="inlineStr">
        <is>
          <t>Site works, labour days, ADA, permits, rentals</t>
        </is>
      </c>
      <c r="C22" s="501" t="n"/>
      <c r="D22" s="501" t="n"/>
      <c r="E22" s="501" t="n"/>
      <c r="F22" s="501" t="n"/>
    </row>
    <row r="23" ht="15" customHeight="1" s="254">
      <c r="A23" s="257" t="inlineStr">
        <is>
          <t>5_Commercial</t>
        </is>
      </c>
      <c r="B23" s="518" t="inlineStr">
        <is>
          <t>Discounts, financing terms, service and network term</t>
        </is>
      </c>
      <c r="C23" s="501" t="n"/>
      <c r="D23" s="501" t="n"/>
      <c r="E23" s="501" t="n"/>
      <c r="F23" s="501" t="n"/>
    </row>
    <row r="24" ht="15" customHeight="1" s="254">
      <c r="A24" s="257" t="inlineStr">
        <is>
          <t>6_Revenue</t>
        </is>
      </c>
      <c r="B24" s="518" t="inlineStr">
        <is>
          <t>Pricing, utilisation, ramp and growth</t>
        </is>
      </c>
      <c r="C24" s="501" t="n"/>
      <c r="D24" s="501" t="n"/>
      <c r="E24" s="501" t="n"/>
      <c r="F24" s="501" t="n"/>
    </row>
    <row r="25" ht="15" customHeight="1" s="254">
      <c r="A25" s="257" t="inlineStr">
        <is>
          <t>7_Carbon</t>
        </is>
      </c>
      <c r="B25" s="518" t="inlineStr">
        <is>
          <t>FCI credit rate, aggregator, eligibility, grants</t>
        </is>
      </c>
      <c r="C25" s="501" t="n"/>
      <c r="D25" s="501" t="n"/>
      <c r="E25" s="501" t="n"/>
      <c r="F25" s="501" t="n"/>
    </row>
    <row r="26">
      <c r="A26" s="501" t="n"/>
      <c r="B26" s="501" t="n"/>
      <c r="C26" s="501" t="n"/>
      <c r="D26" s="501" t="n"/>
      <c r="E26" s="501" t="n"/>
      <c r="F26" s="501" t="n"/>
    </row>
    <row r="27" ht="30.4" customHeight="1" s="254">
      <c r="A27" s="257" t="inlineStr">
        <is>
          <t>8_Deal_Structure</t>
        </is>
      </c>
      <c r="B27" s="514" t="inlineStr">
        <is>
          <t>Optional. Knobs for trading price against a share of credits or revenue.</t>
        </is>
      </c>
      <c r="C27" s="501" t="n"/>
      <c r="D27" s="501" t="n"/>
      <c r="E27" s="501" t="n"/>
      <c r="F27" s="501" t="n"/>
    </row>
    <row r="28" ht="30.4" customHeight="1" s="254">
      <c r="A28" s="257" t="inlineStr">
        <is>
          <t>9_Overrides</t>
        </is>
      </c>
      <c r="B28" s="514" t="inlineStr">
        <is>
          <t>Optional. Force any derived value when you have a quote or a measurement.</t>
        </is>
      </c>
      <c r="C28" s="501" t="n"/>
      <c r="D28" s="501" t="n"/>
      <c r="E28" s="501" t="n"/>
      <c r="F28" s="501" t="n"/>
    </row>
    <row r="29">
      <c r="A29" s="501" t="n"/>
      <c r="B29" s="501" t="n"/>
      <c r="C29" s="501" t="n"/>
      <c r="D29" s="501" t="n"/>
      <c r="E29" s="501" t="n"/>
      <c r="F29" s="501" t="n"/>
    </row>
    <row r="30" ht="30.4" customHeight="1" s="254">
      <c r="A30" s="257" t="inlineStr">
        <is>
          <t>Version</t>
        </is>
      </c>
      <c r="B30" s="514" t="inlineStr">
        <is>
          <t>Template 1.4.0, released 2026-08-26 — see the Version tab</t>
        </is>
      </c>
      <c r="C30" s="501" t="n"/>
      <c r="D30" s="501" t="n"/>
      <c r="E30" s="501" t="n"/>
      <c r="F30" s="501" t="n"/>
    </row>
    <row r="31">
      <c r="A31" s="501" t="n"/>
      <c r="B31" s="501" t="n"/>
      <c r="C31" s="501" t="n"/>
      <c r="D31" s="501" t="n"/>
      <c r="E31" s="501" t="n"/>
      <c r="F31" s="501" t="n"/>
    </row>
    <row r="32" ht="15" customHeight="1" s="254">
      <c r="A32" s="262" t="inlineStr">
        <is>
          <t>Replacement projects</t>
        </is>
      </c>
      <c r="B32" s="501" t="n"/>
      <c r="C32" s="501" t="n"/>
      <c r="D32" s="501" t="n"/>
      <c r="E32" s="501" t="n"/>
      <c r="F32" s="501" t="n"/>
    </row>
    <row r="33" ht="41.62" customHeight="1" s="254">
      <c r="A33" s="263" t="inlineStr">
        <is>
          <t>•</t>
        </is>
      </c>
      <c r="B33" s="519" t="inlineStr">
        <is>
          <t>The Existing tab is the difference between a greenfield project and a charger swap. Complete it whenever the site already has charging equipment.</t>
        </is>
      </c>
      <c r="C33" s="501" t="n"/>
      <c r="D33" s="501" t="n"/>
      <c r="E33" s="501" t="n"/>
      <c r="F33" s="501" t="n"/>
    </row>
    <row r="34" ht="29.08" customHeight="1" s="254">
      <c r="A34" s="263" t="inlineStr">
        <is>
          <t>•</t>
        </is>
      </c>
      <c r="B34" s="519" t="inlineStr">
        <is>
          <t>Set the project type on the Existing tab section A first — every other check on that tab keys off it.</t>
        </is>
      </c>
      <c r="C34" s="501" t="n"/>
      <c r="D34" s="501" t="n"/>
      <c r="E34" s="501" t="n"/>
      <c r="F34" s="501" t="n"/>
    </row>
    <row r="35" ht="54.16" customHeight="1" s="254">
      <c r="A35" s="263" t="inlineStr">
        <is>
          <t>•</t>
        </is>
      </c>
      <c r="B35" s="519" t="inlineStr">
        <is>
          <t>Section B is the register that decides the cost. Marking the service, feeder, switchgear and conduit as RETAIN removes most of the electrical and civil scope; the Electrical and Construction tabs then tell you exactly which lines to zero.</t>
        </is>
      </c>
      <c r="C35" s="501" t="n"/>
      <c r="D35" s="501" t="n"/>
      <c r="E35" s="501" t="n"/>
      <c r="F35" s="501" t="n"/>
    </row>
    <row r="36" ht="54.16" customHeight="1" s="254">
      <c r="A36" s="263" t="inlineStr">
        <is>
          <t>•</t>
        </is>
      </c>
      <c r="B36" s="519" t="inlineStr">
        <is>
          <t>Section E is the most valuable page in the whole intake. Twelve months of metered history beats every market assumption on the Revenue tab, and twenty-four months beats twelve. Enter outage months as they happened — do not smooth them.</t>
        </is>
      </c>
      <c r="C36" s="501" t="n"/>
      <c r="D36" s="501" t="n"/>
      <c r="E36" s="501" t="n"/>
      <c r="F36" s="501" t="n"/>
    </row>
    <row r="37" ht="54.16" customHeight="1" s="254">
      <c r="A37" s="263" t="inlineStr">
        <is>
          <t>•</t>
        </is>
      </c>
      <c r="B37" s="519" t="inlineStr">
        <is>
          <t>Sections F and G turn the old installation into a projection: availability recovered, ports added, connector coverage widened and power increased, each with its own capture factor you can argue with.</t>
        </is>
      </c>
      <c r="C37" s="501" t="n"/>
      <c r="D37" s="501" t="n"/>
      <c r="E37" s="501" t="n"/>
      <c r="F37" s="501" t="n"/>
    </row>
    <row r="38" ht="29.08" customHeight="1" s="254">
      <c r="A38" s="263" t="inlineStr">
        <is>
          <t>•</t>
        </is>
      </c>
      <c r="B38" s="519" t="inlineStr">
        <is>
          <t>Section H is the removal scope. It is zero on a greenfield project and real money on a replacement.</t>
        </is>
      </c>
      <c r="C38" s="501" t="n"/>
      <c r="D38" s="501" t="n"/>
      <c r="E38" s="501" t="n"/>
      <c r="F38" s="501" t="n"/>
    </row>
    <row r="39" ht="41.62" customHeight="1" s="254">
      <c r="A39" s="263" t="inlineStr">
        <is>
          <t>•</t>
        </is>
      </c>
      <c r="B39" s="519" t="inlineStr">
        <is>
          <t>Set the revenue basis at the foot of the Revenue tab to "Historical actuals" on any replacement site with twelve or more months of data.</t>
        </is>
      </c>
      <c r="C39" s="501" t="n"/>
      <c r="D39" s="501" t="n"/>
      <c r="E39" s="501" t="n"/>
      <c r="F39" s="501" t="n"/>
    </row>
    <row r="40">
      <c r="A40" s="501" t="n"/>
      <c r="B40" s="501" t="n"/>
      <c r="C40" s="501" t="n"/>
      <c r="D40" s="501" t="n"/>
      <c r="E40" s="501" t="n"/>
      <c r="F40" s="501" t="n"/>
    </row>
    <row r="41" ht="15" customHeight="1" s="254">
      <c r="A41" s="262" t="inlineStr">
        <is>
          <t>Choosing the utility</t>
        </is>
      </c>
      <c r="B41" s="501" t="n"/>
      <c r="C41" s="501" t="n"/>
      <c r="D41" s="501" t="n"/>
      <c r="E41" s="501" t="n"/>
      <c r="F41" s="501" t="n"/>
    </row>
    <row r="42" ht="54.16" customHeight="1" s="254">
      <c r="A42" s="263" t="inlineStr">
        <is>
          <t>•</t>
        </is>
      </c>
      <c r="B42" s="519" t="inlineStr">
        <is>
          <t>Pick the DELIVERY utility on the Project tab — the one that owns the wires and sets the tariff. If the site buys generation from a community choice aggregator, still pick the delivery utility; the CCA is a separate field below it.</t>
        </is>
      </c>
      <c r="C42" s="501" t="n"/>
      <c r="D42" s="501" t="n"/>
      <c r="E42" s="501" t="n"/>
      <c r="F42" s="501" t="n"/>
    </row>
    <row r="43" ht="54.16" customHeight="1" s="254">
      <c r="A43" s="263" t="inlineStr">
        <is>
          <t>•</t>
        </is>
      </c>
      <c r="B43" s="519" t="inlineStr">
        <is>
          <t>A CCA changes only the generation cents per kWh. Eligibility, time-of-use periods, the demand subscription and every delivery charge stay with the utility. Build the bill from the delivery tariff and substitute one line.</t>
        </is>
      </c>
      <c r="C43" s="501" t="n"/>
      <c r="D43" s="501" t="n"/>
      <c r="E43" s="501" t="n"/>
      <c r="F43" s="501" t="n"/>
    </row>
    <row r="44" ht="54.16" customHeight="1" s="254">
      <c r="A44" s="263" t="inlineStr">
        <is>
          <t>•</t>
        </is>
      </c>
      <c r="B44" s="519" t="inlineStr">
        <is>
          <t>Rule 29 exists only at investor-owned utilities. A municipal utility, irrigation district or cooperative has its own line-extension policy and the cost split can be completely different — do not carry a Rule 29 allowance on a POU site.</t>
        </is>
      </c>
      <c r="C44" s="501" t="n"/>
      <c r="D44" s="501" t="n"/>
      <c r="E44" s="501" t="n"/>
      <c r="F44" s="501" t="n"/>
    </row>
    <row r="45" ht="66.7" customHeight="1" s="254">
      <c r="A45" s="263" t="inlineStr">
        <is>
          <t>•</t>
        </is>
      </c>
      <c r="B45" s="519"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C45" s="501" t="n"/>
      <c r="D45" s="501" t="n"/>
      <c r="E45" s="501" t="n"/>
      <c r="F45" s="501" t="n"/>
    </row>
    <row r="46" ht="54.16" customHeight="1" s="254">
      <c r="A46" s="263" t="inlineStr">
        <is>
          <t>•</t>
        </is>
      </c>
      <c r="B46" s="519" t="inlineStr">
        <is>
          <t>Whether a utility has an EV tariff at all is often worth more than the cents per kWh. A site on a utility with no EV rate pays full demand charges on a general commercial schedule, which at low utilisation dominates the bill.</t>
        </is>
      </c>
      <c r="C46" s="501" t="n"/>
      <c r="D46" s="501" t="n"/>
      <c r="E46" s="501" t="n"/>
      <c r="F46" s="501" t="n"/>
    </row>
    <row r="47">
      <c r="A47" s="501" t="n"/>
      <c r="B47" s="501" t="n"/>
      <c r="C47" s="501" t="n"/>
      <c r="D47" s="501" t="n"/>
      <c r="E47" s="501" t="n"/>
      <c r="F47" s="501" t="n"/>
    </row>
    <row r="48" ht="15" customHeight="1" s="254">
      <c r="A48" s="257" t="inlineStr">
        <is>
          <t>Returning this workbook</t>
        </is>
      </c>
      <c r="B48" s="501" t="n"/>
      <c r="C48" s="501" t="n"/>
      <c r="D48" s="501" t="n"/>
      <c r="E48" s="501" t="n"/>
      <c r="F48" s="501" t="n"/>
    </row>
    <row r="49" ht="26.44" customHeight="1" s="254">
      <c r="A49" s="276" t="inlineStr">
        <is>
          <t>•</t>
        </is>
      </c>
      <c r="B49" s="505" t="inlineStr">
        <is>
          <t>Send the whole workbook back, not extracts. The version tab is how we know which generation of questions you answered.</t>
        </is>
      </c>
      <c r="C49" s="501" t="n"/>
      <c r="D49" s="501" t="n"/>
      <c r="E49" s="501" t="n"/>
      <c r="F49" s="501" t="n"/>
    </row>
    <row r="50" ht="26.44" customHeight="1" s="254">
      <c r="A50" s="276" t="inlineStr">
        <is>
          <t>•</t>
        </is>
      </c>
      <c r="B50" s="505" t="inlineStr">
        <is>
          <t>If you are returning a file built on an older template, say so in Notes — some fields will have moved.</t>
        </is>
      </c>
      <c r="C50" s="501" t="n"/>
      <c r="D50" s="501" t="n"/>
      <c r="E50" s="501" t="n"/>
      <c r="F50" s="501"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tabColor rgb="006B4C9A"/>
    <outlinePr summaryBelow="1"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0"/>
  <cols>
    <col width="27" customWidth="1" style="253" min="1" max="1"/>
    <col width="26" customWidth="1" style="253" min="2" max="2"/>
    <col width="52" customWidth="1" style="253" min="3" max="3"/>
    <col width="9" customWidth="1" style="253" min="4" max="6"/>
    <col width="13" customWidth="1" style="254" min="5" max="5"/>
    <col width="13" customWidth="1" style="254" min="6" max="6"/>
  </cols>
  <sheetData>
    <row r="1" ht="25.5" customHeight="1" s="254">
      <c r="A1" s="255" t="inlineStr">
        <is>
          <t>1 · PROJECT AND SITE</t>
        </is>
      </c>
    </row>
    <row r="2" ht="27.76" customHeight="1" s="254">
      <c r="A2" s="520" t="inlineStr">
        <is>
          <t>Identity, location, utility and access policy.</t>
        </is>
      </c>
      <c r="B2" s="501" t="n"/>
      <c r="C2" s="501" t="n"/>
      <c r="D2" s="501" t="n"/>
      <c r="E2" s="501" t="n"/>
      <c r="F2" s="501" t="n"/>
    </row>
    <row r="3">
      <c r="A3" s="501" t="n"/>
      <c r="B3" s="501" t="n"/>
      <c r="C3" s="501" t="n"/>
      <c r="D3" s="501" t="n"/>
      <c r="E3" s="501" t="n"/>
      <c r="F3" s="501" t="n"/>
    </row>
    <row r="4" ht="15" customHeight="1" s="254">
      <c r="A4" s="262" t="inlineStr">
        <is>
          <t>Client</t>
        </is>
      </c>
      <c r="B4" s="501" t="n"/>
      <c r="C4" s="501" t="n"/>
      <c r="D4" s="501" t="n"/>
      <c r="E4" s="501" t="n"/>
      <c r="F4" s="501" t="n"/>
    </row>
    <row r="5" ht="15" customHeight="1" s="254">
      <c r="A5" s="263" t="inlineStr">
        <is>
          <t>Client legal name</t>
        </is>
      </c>
      <c r="B5" s="506" t="n"/>
      <c r="C5" s="508" t="inlineStr">
        <is>
          <t>As it will appear on the proposal</t>
        </is>
      </c>
      <c r="D5" s="501" t="n"/>
      <c r="E5" s="501" t="n"/>
      <c r="F5" s="501" t="n"/>
    </row>
    <row r="6" ht="15" customHeight="1" s="254">
      <c r="A6" s="263" t="inlineStr">
        <is>
          <t>Client contact name</t>
        </is>
      </c>
      <c r="B6" s="506" t="n"/>
      <c r="C6" s="501" t="n"/>
      <c r="D6" s="501" t="n"/>
      <c r="E6" s="501" t="n"/>
      <c r="F6" s="501" t="n"/>
    </row>
    <row r="7" ht="15" customHeight="1" s="254">
      <c r="A7" s="263" t="inlineStr">
        <is>
          <t>Contact title</t>
        </is>
      </c>
      <c r="B7" s="506" t="n"/>
      <c r="C7" s="501" t="n"/>
      <c r="D7" s="501" t="n"/>
      <c r="E7" s="501" t="n"/>
      <c r="F7" s="501" t="n"/>
    </row>
    <row r="8" ht="15" customHeight="1" s="254">
      <c r="A8" s="263" t="inlineStr">
        <is>
          <t>Contact email</t>
        </is>
      </c>
      <c r="B8" s="506" t="n"/>
      <c r="C8" s="501" t="n"/>
      <c r="D8" s="501" t="n"/>
      <c r="E8" s="501" t="n"/>
      <c r="F8" s="501" t="n"/>
    </row>
    <row r="9" ht="15" customHeight="1" s="254">
      <c r="A9" s="263" t="inlineStr">
        <is>
          <t>Contact phone</t>
        </is>
      </c>
      <c r="B9" s="506" t="n"/>
      <c r="C9" s="501" t="n"/>
      <c r="D9" s="501" t="n"/>
      <c r="E9" s="501" t="n"/>
      <c r="F9" s="501" t="n"/>
    </row>
    <row r="10">
      <c r="A10" s="501" t="n"/>
      <c r="B10" s="501" t="n"/>
      <c r="C10" s="501" t="n"/>
      <c r="D10" s="501" t="n"/>
      <c r="E10" s="501" t="n"/>
      <c r="F10" s="501" t="n"/>
    </row>
    <row r="11" ht="15" customHeight="1" s="254">
      <c r="A11" s="262" t="inlineStr">
        <is>
          <t>Site</t>
        </is>
      </c>
      <c r="B11" s="501" t="n"/>
      <c r="C11" s="501" t="n"/>
      <c r="D11" s="501" t="n"/>
      <c r="E11" s="501" t="n"/>
      <c r="F11" s="501" t="n"/>
    </row>
    <row r="12" ht="15" customHeight="1" s="254">
      <c r="A12" s="263" t="inlineStr">
        <is>
          <t>Site name</t>
        </is>
      </c>
      <c r="B12" s="506" t="n"/>
      <c r="C12" s="501" t="n"/>
      <c r="D12" s="501" t="n"/>
      <c r="E12" s="501" t="n"/>
      <c r="F12" s="501" t="n"/>
    </row>
    <row r="13" ht="15" customHeight="1" s="254">
      <c r="A13" s="263" t="inlineStr">
        <is>
          <t>Street address</t>
        </is>
      </c>
      <c r="B13" s="506" t="n"/>
      <c r="C13" s="501" t="n"/>
      <c r="D13" s="501" t="n"/>
      <c r="E13" s="501" t="n"/>
      <c r="F13" s="501" t="n"/>
    </row>
    <row r="14" ht="15" customHeight="1" s="254">
      <c r="A14" s="263" t="inlineStr">
        <is>
          <t>City / State / ZIP</t>
        </is>
      </c>
      <c r="B14" s="506" t="n"/>
      <c r="C14" s="501" t="n"/>
      <c r="D14" s="501" t="n"/>
      <c r="E14" s="501" t="n"/>
      <c r="F14" s="501" t="n"/>
    </row>
    <row r="15" ht="15" customHeight="1" s="254">
      <c r="A15" s="263" t="inlineStr">
        <is>
          <t>County</t>
        </is>
      </c>
      <c r="B15" s="506" t="n"/>
      <c r="C15" s="501" t="n"/>
      <c r="D15" s="501" t="n"/>
      <c r="E15" s="501" t="n"/>
      <c r="F15" s="501" t="n"/>
    </row>
    <row r="16" ht="15" customHeight="1" s="254">
      <c r="A16" s="263" t="inlineStr">
        <is>
          <t>Property type</t>
        </is>
      </c>
      <c r="B16" s="506" t="n"/>
      <c r="C16" s="508" t="inlineStr">
        <is>
          <t>Retail, dealership, fleet depot, hotel, grocery…</t>
        </is>
      </c>
      <c r="D16" s="501" t="n"/>
      <c r="E16" s="501" t="n"/>
      <c r="F16" s="501" t="n"/>
    </row>
    <row r="17" ht="27.76" customHeight="1" s="254">
      <c r="A17" s="263" t="inlineStr">
        <is>
          <t>Project type</t>
        </is>
      </c>
      <c r="B17" s="277">
        <f>Existing!B5</f>
        <v/>
      </c>
      <c r="C17" s="521" t="inlineStr">
        <is>
          <t>Set this on the Existing tab. A replacement site must complete the Existing tab in full; a greenfield site leaves it blank.</t>
        </is>
      </c>
      <c r="D17" s="501" t="n"/>
      <c r="E17" s="501" t="n"/>
      <c r="F17" s="501" t="n"/>
    </row>
    <row r="18" ht="19.5" customHeight="1" s="254">
      <c r="A18" s="263" t="inlineStr">
        <is>
          <t>Existing chargers on site?</t>
        </is>
      </c>
      <c r="B18" s="277">
        <f>IF(Existing!B43=0,"None",TEXT(Existing!B43,"0")&amp;" ports across "&amp;TEXT(Existing!B42,"0")&amp;" units — see the Existing tab")</f>
        <v/>
      </c>
      <c r="C18" s="522" t="inlineStr">
        <is>
          <t>Derived from the equipment schedule on the Existing tab.</t>
        </is>
      </c>
      <c r="D18" s="501" t="n"/>
      <c r="E18" s="501" t="n"/>
      <c r="F18" s="501" t="n"/>
    </row>
    <row r="19">
      <c r="A19" s="501" t="n"/>
      <c r="B19" s="501" t="n"/>
      <c r="C19" s="501" t="n"/>
      <c r="D19" s="501" t="n"/>
      <c r="E19" s="501" t="n"/>
      <c r="F19" s="501" t="n"/>
    </row>
    <row r="20" ht="15" customHeight="1" s="254">
      <c r="A20" s="262" t="inlineStr">
        <is>
          <t>Access and operating policy</t>
        </is>
      </c>
      <c r="B20" s="501" t="n"/>
      <c r="C20" s="501" t="n"/>
      <c r="D20" s="501" t="n"/>
      <c r="E20" s="501" t="n"/>
      <c r="F20" s="501" t="n"/>
    </row>
    <row r="21" ht="15" customHeight="1" s="254">
      <c r="A21" s="263" t="inlineStr">
        <is>
          <t>Public access</t>
        </is>
      </c>
      <c r="B21" s="506" t="n"/>
      <c r="C21" s="508" t="inlineStr">
        <is>
          <t>Public 24/7 / Public during business hours / Restricted</t>
        </is>
      </c>
      <c r="D21" s="501" t="n"/>
      <c r="E21" s="501" t="n"/>
      <c r="F21" s="501" t="n"/>
    </row>
    <row r="22" ht="15" customHeight="1" s="254">
      <c r="A22" s="263" t="inlineStr">
        <is>
          <t>Hours open per day</t>
        </is>
      </c>
      <c r="B22" s="523" t="n">
        <v>24</v>
      </c>
      <c r="C22" s="508" t="inlineStr">
        <is>
          <t>CRITICAL: 24 unless access is genuinely gated</t>
        </is>
      </c>
      <c r="D22" s="501" t="n"/>
      <c r="E22" s="501" t="n"/>
      <c r="F22" s="501" t="n"/>
    </row>
    <row r="23" ht="15" customHeight="1" s="254">
      <c r="A23" s="263" t="inlineStr">
        <is>
          <t>Days open per year</t>
        </is>
      </c>
      <c r="B23" s="523" t="n">
        <v>365</v>
      </c>
      <c r="C23" s="508" t="inlineStr">
        <is>
          <t>Use 365 unless the site closes seasonally</t>
        </is>
      </c>
      <c r="D23" s="501" t="n"/>
      <c r="E23" s="501" t="n"/>
      <c r="F23" s="501" t="n"/>
    </row>
    <row r="24">
      <c r="A24" s="501" t="n"/>
      <c r="B24" s="501" t="n"/>
      <c r="C24" s="501" t="n"/>
      <c r="D24" s="501" t="n"/>
      <c r="E24" s="501" t="n"/>
      <c r="F24" s="501" t="n"/>
    </row>
    <row r="25" ht="15" customHeight="1" s="254">
      <c r="A25" s="262" t="inlineStr">
        <is>
          <t>Utility</t>
        </is>
      </c>
      <c r="B25" s="501" t="n"/>
      <c r="C25" s="501" t="n"/>
      <c r="D25" s="501" t="n"/>
      <c r="E25" s="501" t="n"/>
      <c r="F25" s="501" t="n"/>
    </row>
    <row r="26" ht="39.64" customHeight="1" s="254">
      <c r="A26" s="263" t="inlineStr">
        <is>
          <t>Electric utility (delivery)</t>
        </is>
      </c>
      <c r="B26" s="524" t="n"/>
      <c r="C26" s="521" t="inlineStr">
        <is>
          <t>Pick from the list. This is the utility that DELIVERS power and therefore sets the EV tariff — see the Utilities tab. If the site is served by a community choice aggregator, still pick the delivery utility here.</t>
        </is>
      </c>
      <c r="D26" s="501" t="n"/>
      <c r="E26" s="501" t="n"/>
      <c r="F26" s="501" t="n"/>
    </row>
    <row r="27" ht="15" customHeight="1" s="254">
      <c r="A27" s="263" t="inlineStr">
        <is>
          <t>Current rate schedule</t>
        </is>
      </c>
      <c r="B27" s="506" t="n"/>
      <c r="C27" s="508" t="inlineStr">
        <is>
          <t>From a recent bill</t>
        </is>
      </c>
      <c r="D27" s="501" t="n"/>
      <c r="E27" s="501" t="n"/>
      <c r="F27" s="501" t="n"/>
    </row>
    <row r="28" ht="15" customHeight="1" s="254">
      <c r="A28" s="263" t="inlineStr">
        <is>
          <t>Existing service size (A)</t>
        </is>
      </c>
      <c r="B28" s="525" t="n"/>
      <c r="C28" s="508" t="inlineStr">
        <is>
          <t>Main service amperage today</t>
        </is>
      </c>
      <c r="D28" s="501" t="n"/>
      <c r="E28" s="501" t="n"/>
      <c r="F28" s="501" t="n"/>
    </row>
    <row r="29" ht="15" customHeight="1" s="254">
      <c r="A29" s="263" t="inlineStr">
        <is>
          <t>Service voltage</t>
        </is>
      </c>
      <c r="B29" s="526" t="n">
        <v>480</v>
      </c>
      <c r="C29" s="508" t="inlineStr">
        <is>
          <t>Usually 480V 3-phase for DC fast charging</t>
        </is>
      </c>
      <c r="D29" s="501" t="n"/>
      <c r="E29" s="501" t="n"/>
      <c r="F29" s="501" t="n"/>
    </row>
    <row r="30" ht="30.4" customHeight="1" s="254">
      <c r="A30" s="527" t="inlineStr">
        <is>
          <t>12 months of bills obtained?</t>
        </is>
      </c>
      <c r="B30" s="506" t="n"/>
      <c r="C30" s="508" t="inlineStr">
        <is>
          <t>Yes / No — needed to validate the energy cost</t>
        </is>
      </c>
      <c r="D30" s="501" t="n"/>
      <c r="E30" s="501" t="n"/>
      <c r="F30" s="501" t="n"/>
    </row>
    <row r="31">
      <c r="A31" s="501" t="n"/>
      <c r="B31" s="501" t="n"/>
      <c r="C31" s="501" t="n"/>
      <c r="D31" s="501" t="n"/>
      <c r="E31" s="501" t="n"/>
      <c r="F31" s="501" t="n"/>
    </row>
    <row r="32" ht="15" customHeight="1" s="254">
      <c r="A32" s="262" t="inlineStr">
        <is>
          <t>Commercial</t>
        </is>
      </c>
      <c r="B32" s="501" t="n"/>
      <c r="C32" s="501" t="n"/>
      <c r="D32" s="501" t="n"/>
      <c r="E32" s="501" t="n"/>
      <c r="F32" s="501" t="n"/>
    </row>
    <row r="33" ht="15" customHeight="1" s="254">
      <c r="A33" s="263" t="inlineStr">
        <is>
          <t>Proposal date</t>
        </is>
      </c>
      <c r="B33" s="528" t="n"/>
      <c r="C33" s="501" t="n"/>
      <c r="D33" s="501" t="n"/>
      <c r="E33" s="501" t="n"/>
      <c r="F33" s="501" t="n"/>
    </row>
    <row r="34" ht="15" customHeight="1" s="254">
      <c r="A34" s="263" t="inlineStr">
        <is>
          <t>Proposal validity (days)</t>
        </is>
      </c>
      <c r="B34" s="526" t="n">
        <v>30</v>
      </c>
      <c r="C34" s="501" t="n"/>
      <c r="D34" s="501" t="n"/>
      <c r="E34" s="501" t="n"/>
      <c r="F34" s="501" t="n"/>
    </row>
    <row r="35" ht="15" customHeight="1" s="254">
      <c r="A35" s="263" t="inlineStr">
        <is>
          <t>Prepared by</t>
        </is>
      </c>
      <c r="B35" s="506" t="n"/>
      <c r="C35" s="501" t="n"/>
      <c r="D35" s="501" t="n"/>
      <c r="E35" s="501" t="n"/>
      <c r="F35" s="501" t="n"/>
    </row>
    <row r="36" ht="15" customHeight="1" s="254">
      <c r="A36" s="263" t="inlineStr">
        <is>
          <t>RSM / account owner</t>
        </is>
      </c>
      <c r="B36" s="506" t="n"/>
      <c r="C36" s="501" t="n"/>
      <c r="D36" s="501" t="n"/>
      <c r="E36" s="501" t="n"/>
      <c r="F36" s="501" t="n"/>
    </row>
    <row r="37">
      <c r="A37" s="501" t="n"/>
      <c r="B37" s="501" t="n"/>
      <c r="C37" s="501" t="n"/>
      <c r="D37" s="501" t="n"/>
      <c r="E37" s="501" t="n"/>
      <c r="F37" s="501" t="n"/>
    </row>
    <row r="38" ht="15" customHeight="1" s="254">
      <c r="A38" s="501" t="n"/>
      <c r="B38" s="501" t="n"/>
      <c r="C38" s="501" t="n"/>
      <c r="D38" s="501" t="n"/>
      <c r="E38" s="501" t="n"/>
      <c r="F38" s="501" t="n"/>
    </row>
    <row r="39" ht="47.56" customHeight="1" s="254">
      <c r="A39" s="529" t="inlineStr">
        <is>
          <t>Utility context — derived from the selection above</t>
        </is>
      </c>
      <c r="B39" s="501" t="n"/>
      <c r="C39" s="501" t="n"/>
      <c r="D39" s="501" t="n"/>
      <c r="E39" s="501" t="n"/>
      <c r="F39" s="501" t="n"/>
    </row>
    <row r="40" ht="27.76" customHeight="1" s="254">
      <c r="A40" s="285" t="inlineStr">
        <is>
          <t>These read the Utilities and RateLibrary tabs. They tell you what tariff regime the site sits in before anyone opens a tariff book.</t>
        </is>
      </c>
      <c r="D40" s="501" t="n"/>
      <c r="E40" s="501" t="n"/>
      <c r="F40" s="501" t="n"/>
    </row>
    <row r="41" ht="31.5" customHeight="1" s="254">
      <c r="A41" s="263" t="inlineStr">
        <is>
          <t>Utility type</t>
        </is>
      </c>
      <c r="B41" s="286">
        <f>IFERROR(INDEX(Utilities!$K$5:$K$78,MATCH($B$26,Utilities!$J$5:$J$78,0)),"")</f>
        <v/>
      </c>
      <c r="C41" s="521" t="inlineStr">
        <is>
          <t>IOU utilities are CPUC-regulated and follow Rule 29. POUs and co-ops set their own rules — no Rule 29, no PCIA, their own interconnection process.</t>
        </is>
      </c>
      <c r="D41" s="501" t="n"/>
      <c r="E41" s="501" t="n"/>
      <c r="F41" s="501" t="n"/>
    </row>
    <row r="42" ht="42.75" customHeight="1" s="254">
      <c r="A42" s="263" t="inlineStr">
        <is>
          <t>Service territory</t>
        </is>
      </c>
      <c r="B42" s="286">
        <f>IFERROR(INDEX(Utilities!$L$5:$L$78,MATCH($B$26,Utilities!$J$5:$J$78,0)),"")</f>
        <v/>
      </c>
      <c r="C42" s="501" t="n"/>
      <c r="D42" s="501" t="n"/>
      <c r="E42" s="501" t="n"/>
      <c r="F42" s="501" t="n"/>
    </row>
    <row r="43" ht="43.5" customHeight="1" s="254">
      <c r="A43" s="263" t="inlineStr">
        <is>
          <t>EV rate status</t>
        </is>
      </c>
      <c r="B43" s="286">
        <f>IFERROR(INDEX(Utilities!$M$5:$M$78,MATCH($B$26,Utilities!$J$5:$J$78,0)),"")</f>
        <v/>
      </c>
      <c r="C43" s="521" t="inlineStr">
        <is>
          <t>Whether this utility publishes a commercial EV tariff at all. Where it does not, the site pays full demand charges on a general commercial schedule — usually the single largest difference between two otherwise identical sites.</t>
        </is>
      </c>
      <c r="D43" s="501" t="n"/>
      <c r="E43" s="501" t="n"/>
      <c r="F43" s="501" t="n"/>
    </row>
    <row r="44" ht="31.5" customHeight="1" s="254">
      <c r="A44" s="263" t="inlineStr">
        <is>
          <t>Rate rows in the library</t>
        </is>
      </c>
      <c r="B44" s="286">
        <f>COUNTIF(RATE_UTIL,$B$26)</f>
        <v/>
      </c>
      <c r="C44" s="522" t="inlineStr">
        <is>
          <t>How many schedules the library carries for this utility. Zero means it has not been researched — obtain the tariff.</t>
        </is>
      </c>
      <c r="D44" s="501" t="n"/>
      <c r="E44" s="501" t="n"/>
      <c r="F44" s="501" t="n"/>
    </row>
    <row r="45" ht="31.5" customHeight="1" s="254">
      <c r="A45" s="257" t="inlineStr">
        <is>
          <t>Best status in the library</t>
        </is>
      </c>
      <c r="B45" s="287">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522" t="inlineStr">
        <is>
          <t>Never price a project from a NOT PUBLISHED row. Get the tariff sheet or a written rate quotation.</t>
        </is>
      </c>
      <c r="D45" s="501" t="n"/>
      <c r="E45" s="501" t="n"/>
      <c r="F45" s="501" t="n"/>
    </row>
    <row r="46" ht="31.5" customHeight="1" s="254">
      <c r="A46" s="527" t="inlineStr">
        <is>
          <t>Community choice aggregator, if any</t>
        </is>
      </c>
      <c r="B46" s="530" t="n"/>
      <c r="C46" s="521" t="inlineStr">
        <is>
          <t>A CCA changes ONLY the generation $/kWh. Eligibility, time-of-use periods, the demand subscription and every delivery charge stay with the utility above.</t>
        </is>
      </c>
      <c r="D46" s="501" t="n"/>
      <c r="E46" s="501" t="n"/>
      <c r="F46" s="501" t="n"/>
    </row>
    <row r="47" ht="55.5" customHeight="1" s="254">
      <c r="A47" s="257" t="inlineStr">
        <is>
          <t>CCA delivery utility check</t>
        </is>
      </c>
      <c r="B47" s="287">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531"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c r="D47" s="501" t="n"/>
      <c r="E47" s="501" t="n"/>
      <c r="F47" s="501" t="n"/>
    </row>
    <row r="48" ht="31.5" customHeight="1" s="254">
      <c r="A48" s="257" t="inlineStr">
        <is>
          <t>Interconnection regime</t>
        </is>
      </c>
      <c r="B48" s="287">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531" t="inlineStr">
        <is>
          <t>Decides whether the Rule 29 questions on the Electrical tab are worth asking. Outside a California investor-owned utility they are not, and nothing reads them.</t>
        </is>
      </c>
      <c r="D48" s="501" t="n"/>
      <c r="E48" s="501" t="n"/>
      <c r="F48" s="501" t="n"/>
    </row>
    <row r="49" ht="66.7" customHeight="1" s="254">
      <c r="A49" s="290"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501" t="n"/>
      <c r="E49" s="501" t="n"/>
      <c r="F49" s="501"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3" customWidth="1" style="253" min="1" max="1"/>
    <col width="34" customWidth="1" style="253" min="2" max="2"/>
    <col width="52" customWidth="1" style="253" min="3" max="3"/>
    <col width="34" customWidth="1" style="253" min="4" max="7"/>
    <col width="13" customWidth="1" style="254" min="5" max="5"/>
    <col width="13" customWidth="1" style="254" min="6" max="6"/>
    <col width="13" customWidth="1" style="254" min="7" max="7"/>
  </cols>
  <sheetData>
    <row r="1" ht="17.25" customHeight="1" s="254">
      <c r="A1" s="291" t="inlineStr">
        <is>
          <t>1B · EXISTING INSTALLATION — RIP AND REPLACE</t>
        </is>
      </c>
    </row>
    <row r="2" ht="31.5" customHeight="1" s="254">
      <c r="A2" s="285"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c r="A3" s="501" t="n"/>
      <c r="B3" s="501" t="n"/>
      <c r="C3" s="501" t="n"/>
      <c r="D3" s="501" t="n"/>
      <c r="E3" s="501" t="n"/>
      <c r="F3" s="501" t="n"/>
      <c r="G3" s="501" t="n"/>
    </row>
    <row r="4" ht="15" customHeight="1" s="254">
      <c r="A4" s="262" t="inlineStr">
        <is>
          <t>A · Project type</t>
        </is>
      </c>
      <c r="B4" s="501" t="n"/>
      <c r="C4" s="501" t="n"/>
      <c r="D4" s="501" t="n"/>
      <c r="E4" s="501" t="n"/>
      <c r="F4" s="501" t="n"/>
      <c r="G4" s="501" t="n"/>
    </row>
    <row r="5" ht="27.76" customHeight="1" s="254">
      <c r="A5" s="263" t="inlineStr">
        <is>
          <t>Project type</t>
        </is>
      </c>
      <c r="B5" s="532" t="inlineStr">
        <is>
          <t>Greenfield — new service</t>
        </is>
      </c>
      <c r="C5" s="521" t="inlineStr">
        <is>
          <t>Greenfield builds everything. Rip and replace swaps the chargers and reuses the electrical infrastructure. Replace and expand does both — new chargers plus added capacity.</t>
        </is>
      </c>
      <c r="D5" s="501" t="n"/>
      <c r="E5" s="501" t="n"/>
      <c r="F5" s="501" t="n"/>
      <c r="G5" s="501" t="n"/>
    </row>
    <row r="6" ht="30.4" customHeight="1" s="254">
      <c r="A6" s="527" t="inlineStr">
        <is>
          <t>Age of the existing installation (years)</t>
        </is>
      </c>
      <c r="B6" s="533" t="n"/>
      <c r="C6" s="522" t="inlineStr">
        <is>
          <t>Drives whether the existing conductors and gear are worth reusing.</t>
        </is>
      </c>
      <c r="D6" s="501" t="n"/>
      <c r="E6" s="501" t="n"/>
      <c r="F6" s="501" t="n"/>
      <c r="G6" s="501" t="n"/>
    </row>
    <row r="7" ht="27.76" customHeight="1" s="254">
      <c r="A7" s="263" t="inlineStr">
        <is>
          <t>Reason for replacement</t>
        </is>
      </c>
      <c r="B7" s="530" t="n"/>
      <c r="C7" s="522" t="inlineStr">
        <is>
          <t>End of life, unreliability, obsolete connectors, insufficient power, or a commercial decision.</t>
        </is>
      </c>
      <c r="D7" s="501" t="n"/>
      <c r="E7" s="501" t="n"/>
      <c r="F7" s="501" t="n"/>
      <c r="G7" s="501" t="n"/>
    </row>
    <row r="8" ht="19.5" customHeight="1" s="254">
      <c r="A8" s="263" t="inlineStr">
        <is>
          <t>Who owns the existing equipment?</t>
        </is>
      </c>
      <c r="B8" s="530" t="n"/>
      <c r="C8" s="522" t="inlineStr">
        <is>
          <t>If a third party owns it, removal and disposal need their agreement.</t>
        </is>
      </c>
      <c r="D8" s="501" t="n"/>
      <c r="E8" s="501" t="n"/>
      <c r="F8" s="501" t="n"/>
      <c r="G8" s="501" t="n"/>
    </row>
    <row r="9">
      <c r="A9" s="501" t="n"/>
      <c r="B9" s="501" t="n"/>
      <c r="C9" s="501" t="n"/>
      <c r="D9" s="501" t="n"/>
      <c r="E9" s="501" t="n"/>
      <c r="F9" s="501" t="n"/>
      <c r="G9" s="501" t="n"/>
    </row>
    <row r="10" ht="33.04000000000001" customHeight="1" s="254">
      <c r="A10" s="529" t="inlineStr">
        <is>
          <t>B · What is retained and what is replaced</t>
        </is>
      </c>
      <c r="B10" s="501" t="n"/>
      <c r="C10" s="501" t="n"/>
      <c r="D10" s="501" t="n"/>
      <c r="E10" s="501" t="n"/>
      <c r="F10" s="501" t="n"/>
      <c r="G10" s="501" t="n"/>
    </row>
    <row r="11" ht="27.76" customHeight="1" s="254">
      <c r="A11" s="285"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9.5" customHeight="1" s="254">
      <c r="A12" s="294" t="inlineStr">
        <is>
          <t>Element</t>
        </is>
      </c>
      <c r="B12" s="534" t="inlineStr">
        <is>
          <t>Decision</t>
        </is>
      </c>
      <c r="C12" s="534" t="inlineStr">
        <is>
          <t>Basis for the decision</t>
        </is>
      </c>
      <c r="D12" s="535" t="n"/>
      <c r="E12" s="535" t="n"/>
      <c r="F12" s="535" t="n"/>
      <c r="G12" s="535" t="n"/>
    </row>
    <row r="13" ht="19.5" customHeight="1" s="254">
      <c r="A13" s="296" t="inlineStr">
        <is>
          <t>Utility service and meter</t>
        </is>
      </c>
      <c r="B13" s="536" t="n"/>
      <c r="C13" s="537" t="inlineStr">
        <is>
          <t>Existing service stays. No Rule 29 application, no new meter.</t>
        </is>
      </c>
      <c r="D13" s="538" t="n"/>
      <c r="E13" s="501" t="n"/>
      <c r="F13" s="501" t="n"/>
      <c r="G13" s="501" t="n"/>
    </row>
    <row r="14" ht="19.5" customHeight="1" s="254">
      <c r="A14" s="296" t="inlineStr">
        <is>
          <t>Service feeder to switchgear</t>
        </is>
      </c>
      <c r="B14" s="536" t="n"/>
      <c r="C14" s="537" t="inlineStr">
        <is>
          <t>Conductor from the point of delivery to the switchboard.</t>
        </is>
      </c>
      <c r="D14" s="538" t="n"/>
      <c r="E14" s="501" t="n"/>
      <c r="F14" s="501" t="n"/>
      <c r="G14" s="501" t="n"/>
    </row>
    <row r="15" ht="15" customHeight="1" s="254">
      <c r="A15" s="296" t="inlineStr">
        <is>
          <t>Main distribution switchgear</t>
        </is>
      </c>
      <c r="B15" s="536" t="n"/>
      <c r="C15" s="539" t="inlineStr">
        <is>
          <t>Switchboard, main breaker and metering section.</t>
        </is>
      </c>
      <c r="D15" s="501" t="n"/>
      <c r="E15" s="501" t="n"/>
      <c r="F15" s="501" t="n"/>
      <c r="G15" s="501" t="n"/>
    </row>
    <row r="16" ht="19.5" customHeight="1" s="254">
      <c r="A16" s="296" t="inlineStr">
        <is>
          <t>Branch conductors to each charger</t>
        </is>
      </c>
      <c r="B16" s="536" t="n"/>
      <c r="C16" s="537" t="inlineStr">
        <is>
          <t>The feeders from switchgear to cabinet. The single largest reuse saving.</t>
        </is>
      </c>
      <c r="D16" s="538" t="n"/>
      <c r="E16" s="501" t="n"/>
      <c r="F16" s="501" t="n"/>
      <c r="G16" s="501" t="n"/>
    </row>
    <row r="17" ht="19.5" customHeight="1" s="254">
      <c r="A17" s="296" t="inlineStr">
        <is>
          <t>Conduit and trench</t>
        </is>
      </c>
      <c r="B17" s="536" t="n"/>
      <c r="C17" s="537" t="inlineStr">
        <is>
          <t>Existing conduit reused; no re-trenching if the new cabinets land on the same pads.</t>
        </is>
      </c>
      <c r="D17" s="538" t="n"/>
      <c r="E17" s="501" t="n"/>
      <c r="F17" s="501" t="n"/>
      <c r="G17" s="501" t="n"/>
    </row>
    <row r="18" ht="19.5" customHeight="1" s="254">
      <c r="A18" s="296" t="inlineStr">
        <is>
          <t>Branch breakers</t>
        </is>
      </c>
      <c r="B18" s="536" t="n"/>
      <c r="C18" s="537" t="inlineStr">
        <is>
          <t>Sized to the new cabinet, not the old one. Usually cheap and always worth replacing.</t>
        </is>
      </c>
      <c r="D18" s="538" t="n"/>
      <c r="E18" s="501" t="n"/>
      <c r="F18" s="501" t="n"/>
      <c r="G18" s="501" t="n"/>
    </row>
    <row r="19" ht="19.5" customHeight="1" s="254">
      <c r="A19" s="296" t="inlineStr">
        <is>
          <t>Concrete pads</t>
        </is>
      </c>
      <c r="B19" s="536" t="n"/>
      <c r="C19" s="537" t="inlineStr">
        <is>
          <t>New cabinets rarely match the old footprint or anchor pattern.</t>
        </is>
      </c>
      <c r="D19" s="538" t="n"/>
      <c r="E19" s="501" t="n"/>
      <c r="F19" s="501" t="n"/>
      <c r="G19" s="501" t="n"/>
    </row>
    <row r="20" ht="15" customHeight="1" s="254">
      <c r="A20" s="296" t="inlineStr">
        <is>
          <t>Bollards and equipment protection</t>
        </is>
      </c>
      <c r="B20" s="536" t="n"/>
      <c r="C20" s="539" t="inlineStr">
        <is>
          <t>Usually disturbed by pad removal.</t>
        </is>
      </c>
      <c r="D20" s="501" t="n"/>
      <c r="E20" s="501" t="n"/>
      <c r="F20" s="501" t="n"/>
      <c r="G20" s="501" t="n"/>
    </row>
    <row r="21" ht="15" customHeight="1" s="254">
      <c r="A21" s="296" t="inlineStr">
        <is>
          <t>Paving and striping</t>
        </is>
      </c>
      <c r="B21" s="536" t="n"/>
      <c r="C21" s="539" t="inlineStr">
        <is>
          <t>Reinstatement around the new pads only.</t>
        </is>
      </c>
      <c r="D21" s="501" t="n"/>
      <c r="E21" s="501" t="n"/>
      <c r="F21" s="501" t="n"/>
      <c r="G21" s="501" t="n"/>
    </row>
    <row r="22" ht="15" customHeight="1" s="254">
      <c r="A22" s="296" t="inlineStr">
        <is>
          <t>ADA stalls and route</t>
        </is>
      </c>
      <c r="B22" s="536" t="n"/>
      <c r="C22" s="539" t="inlineStr">
        <is>
          <t>Reused if the layout is unchanged and still compliant.</t>
        </is>
      </c>
      <c r="D22" s="501" t="n"/>
      <c r="E22" s="501" t="n"/>
      <c r="F22" s="501" t="n"/>
      <c r="G22" s="501" t="n"/>
    </row>
    <row r="23" ht="19.5" customHeight="1" s="254">
      <c r="A23" s="296" t="inlineStr">
        <is>
          <t>Signage</t>
        </is>
      </c>
      <c r="B23" s="536" t="n"/>
      <c r="C23" s="537" t="inlineStr">
        <is>
          <t>Network branding, pricing and connector types all change.</t>
        </is>
      </c>
      <c r="D23" s="538" t="n"/>
      <c r="E23" s="501" t="n"/>
      <c r="F23" s="501" t="n"/>
      <c r="G23" s="501" t="n"/>
    </row>
    <row r="24" ht="15" customHeight="1" s="254">
      <c r="A24" s="296" t="inlineStr">
        <is>
          <t>Network and payment hardware</t>
        </is>
      </c>
      <c r="B24" s="536" t="n"/>
      <c r="C24" s="539" t="inlineStr">
        <is>
          <t>Integrated in the new cabinets.</t>
        </is>
      </c>
      <c r="D24" s="501" t="n"/>
      <c r="E24" s="501" t="n"/>
      <c r="F24" s="501" t="n"/>
      <c r="G24" s="501" t="n"/>
    </row>
    <row r="25">
      <c r="A25" s="501" t="n"/>
      <c r="B25" s="501" t="n"/>
      <c r="C25" s="501" t="n"/>
      <c r="D25" s="501" t="n"/>
      <c r="E25" s="501" t="n"/>
      <c r="F25" s="501" t="n"/>
      <c r="G25" s="501" t="n"/>
    </row>
    <row r="26" ht="19.5" customHeight="1" s="254">
      <c r="A26" s="263" t="inlineStr">
        <is>
          <t>Elements retained</t>
        </is>
      </c>
      <c r="B26" s="300">
        <f>COUNTIF($B$13:$B$24,"RETAIN")</f>
        <v/>
      </c>
      <c r="C26" s="522" t="inlineStr">
        <is>
          <t>Of 12 in the register.</t>
        </is>
      </c>
      <c r="D26" s="501" t="n"/>
      <c r="E26" s="501" t="n"/>
      <c r="F26" s="501" t="n"/>
      <c r="G26" s="501" t="n"/>
    </row>
    <row r="27" ht="15" customHeight="1" s="254">
      <c r="A27" s="263" t="inlineStr">
        <is>
          <t>Elements replaced</t>
        </is>
      </c>
      <c r="B27" s="300">
        <f>COUNTIF($B$13:$B$24,"REPLACE")+COUNTIF($B$13:$B$24,"PARTIAL")</f>
        <v/>
      </c>
      <c r="C27" s="501" t="n"/>
      <c r="D27" s="501" t="n"/>
      <c r="E27" s="501" t="n"/>
      <c r="F27" s="501" t="n"/>
      <c r="G27" s="501" t="n"/>
    </row>
    <row r="28" ht="31.5" customHeight="1" s="254">
      <c r="A28" s="257" t="inlineStr">
        <is>
          <t>Scope profile</t>
        </is>
      </c>
      <c r="B28" s="301">
        <f>IF($B$13="RETAIN",IF($B$14="RETAIN","Infrastructure reuse — no new service, no new feeder","Service retained, feeder replaced"),"New or upgraded service — price this as greenfield electrical")</f>
        <v/>
      </c>
      <c r="C28" s="299" t="n"/>
      <c r="D28" s="522" t="inlineStr">
        <is>
          <t>What the retained register implies for the electrical scope on the Electrical tab.</t>
        </is>
      </c>
      <c r="E28" s="501" t="n"/>
      <c r="F28" s="501" t="n"/>
      <c r="G28" s="501" t="n"/>
    </row>
    <row r="29">
      <c r="A29" s="501" t="n"/>
      <c r="B29" s="501" t="n"/>
      <c r="C29" s="501" t="n"/>
      <c r="D29" s="501" t="n"/>
      <c r="E29" s="501" t="n"/>
      <c r="F29" s="501" t="n"/>
      <c r="G29" s="501" t="n"/>
    </row>
    <row r="30" ht="33.04000000000001" customHeight="1" s="254">
      <c r="A30" s="529" t="inlineStr">
        <is>
          <t>C · Existing equipment being removed</t>
        </is>
      </c>
      <c r="B30" s="501" t="n"/>
      <c r="C30" s="501" t="n"/>
      <c r="D30" s="501" t="n"/>
      <c r="E30" s="501" t="n"/>
      <c r="F30" s="501" t="n"/>
      <c r="G30" s="501" t="n"/>
    </row>
    <row r="31" ht="19.5" customHeight="1" s="254">
      <c r="A31" s="285" t="inlineStr">
        <is>
          <t>One row per existing cabinet or unit. This drives the demolition, disconnection and disposal scope on the Construction tab, and the port comparison in section F.</t>
        </is>
      </c>
    </row>
    <row r="32" ht="27.76" customHeight="1" s="254">
      <c r="A32" s="294" t="inlineStr">
        <is>
          <t>Make and model</t>
        </is>
      </c>
      <c r="B32" s="534" t="inlineStr">
        <is>
          <t>Rating kW</t>
        </is>
      </c>
      <c r="C32" s="534" t="inlineStr">
        <is>
          <t>Ports</t>
        </is>
      </c>
      <c r="D32" s="534" t="inlineStr">
        <is>
          <t>Connectors</t>
        </is>
      </c>
      <c r="E32" s="534" t="inlineStr">
        <is>
          <t>Qty</t>
        </is>
      </c>
      <c r="F32" s="540" t="inlineStr">
        <is>
          <t>Year installed</t>
        </is>
      </c>
      <c r="G32" s="540" t="inlineStr">
        <is>
          <t>Working?</t>
        </is>
      </c>
    </row>
    <row r="33" ht="15" customHeight="1" s="254">
      <c r="A33" s="536" t="n"/>
      <c r="B33" s="541" t="n"/>
      <c r="C33" s="541" t="n"/>
      <c r="D33" s="536" t="n"/>
      <c r="E33" s="541" t="n"/>
      <c r="F33" s="542" t="n"/>
      <c r="G33" s="536" t="n"/>
    </row>
    <row r="34" ht="15" customHeight="1" s="254">
      <c r="A34" s="536" t="n"/>
      <c r="B34" s="541" t="n"/>
      <c r="C34" s="541" t="n"/>
      <c r="D34" s="536" t="n"/>
      <c r="E34" s="541" t="n"/>
      <c r="F34" s="542" t="n"/>
      <c r="G34" s="536" t="n"/>
    </row>
    <row r="35" ht="15" customHeight="1" s="254">
      <c r="A35" s="536" t="n"/>
      <c r="B35" s="541" t="n"/>
      <c r="C35" s="541" t="n"/>
      <c r="D35" s="536" t="n"/>
      <c r="E35" s="541" t="n"/>
      <c r="F35" s="542" t="n"/>
      <c r="G35" s="536" t="n"/>
    </row>
    <row r="36" ht="15" customHeight="1" s="254">
      <c r="A36" s="536" t="n"/>
      <c r="B36" s="541" t="n"/>
      <c r="C36" s="541" t="n"/>
      <c r="D36" s="536" t="n"/>
      <c r="E36" s="541" t="n"/>
      <c r="F36" s="542" t="n"/>
      <c r="G36" s="536" t="n"/>
    </row>
    <row r="37" ht="15" customHeight="1" s="254">
      <c r="A37" s="536" t="n"/>
      <c r="B37" s="541" t="n"/>
      <c r="C37" s="541" t="n"/>
      <c r="D37" s="536" t="n"/>
      <c r="E37" s="541" t="n"/>
      <c r="F37" s="542" t="n"/>
      <c r="G37" s="536" t="n"/>
    </row>
    <row r="38" ht="15" customHeight="1" s="254">
      <c r="A38" s="536" t="n"/>
      <c r="B38" s="541" t="n"/>
      <c r="C38" s="541" t="n"/>
      <c r="D38" s="536" t="n"/>
      <c r="E38" s="541" t="n"/>
      <c r="F38" s="542" t="n"/>
      <c r="G38" s="536" t="n"/>
    </row>
    <row r="39" ht="15" customHeight="1" s="254">
      <c r="A39" s="536" t="n"/>
      <c r="B39" s="541" t="n"/>
      <c r="C39" s="541" t="n"/>
      <c r="D39" s="536" t="n"/>
      <c r="E39" s="541" t="n"/>
      <c r="F39" s="542" t="n"/>
      <c r="G39" s="536" t="n"/>
    </row>
    <row r="40" ht="15" customHeight="1" s="254">
      <c r="A40" s="536" t="n"/>
      <c r="B40" s="541" t="n"/>
      <c r="C40" s="541" t="n"/>
      <c r="D40" s="536" t="n"/>
      <c r="E40" s="541" t="n"/>
      <c r="F40" s="542" t="n"/>
      <c r="G40" s="536" t="n"/>
    </row>
    <row r="41">
      <c r="A41" s="501" t="n"/>
      <c r="B41" s="501" t="n"/>
      <c r="C41" s="501" t="n"/>
      <c r="D41" s="501" t="n"/>
      <c r="E41" s="501" t="n"/>
      <c r="F41" s="501" t="n"/>
      <c r="G41" s="501" t="n"/>
    </row>
    <row r="42" ht="19.5" customHeight="1" s="254">
      <c r="A42" s="257" t="inlineStr">
        <is>
          <t>Existing units on site</t>
        </is>
      </c>
      <c r="B42" s="305">
        <f>SUM($E$33:$E$40)</f>
        <v/>
      </c>
      <c r="C42" s="522" t="inlineStr">
        <is>
          <t>Cabinets or standalone units to be removed.</t>
        </is>
      </c>
      <c r="D42" s="501" t="n"/>
      <c r="E42" s="501" t="n"/>
      <c r="F42" s="501" t="n"/>
      <c r="G42" s="501" t="n"/>
    </row>
    <row r="43" ht="19.5" customHeight="1" s="254">
      <c r="A43" s="257" t="inlineStr">
        <is>
          <t>Existing ports on site</t>
        </is>
      </c>
      <c r="B43" s="305">
        <f>SUMPRODUCT($C$33:$C$40,$E$33:$E$40)</f>
        <v/>
      </c>
      <c r="C43" s="522" t="inlineStr">
        <is>
          <t>Ports the site presents today.</t>
        </is>
      </c>
      <c r="D43" s="501" t="n"/>
      <c r="E43" s="501" t="n"/>
      <c r="F43" s="501" t="n"/>
      <c r="G43" s="501" t="n"/>
    </row>
    <row r="44" ht="27.76" customHeight="1" s="254">
      <c r="A44" s="257" t="inlineStr">
        <is>
          <t>Existing connected load (kW)</t>
        </is>
      </c>
      <c r="B44" s="306">
        <f>SUMPRODUCT($B$33:$B$40,$E$33:$E$40)</f>
        <v/>
      </c>
      <c r="C44" s="522" t="inlineStr">
        <is>
          <t>The load the existing service was sized for. Compare against the new load on the Electrical tab.</t>
        </is>
      </c>
      <c r="D44" s="501" t="n"/>
      <c r="E44" s="501" t="n"/>
      <c r="F44" s="501" t="n"/>
      <c r="G44" s="501" t="n"/>
    </row>
    <row r="45" ht="27.76" customHeight="1" s="254">
      <c r="A45" s="257" t="inlineStr">
        <is>
          <t>Units fully working</t>
        </is>
      </c>
      <c r="B45" s="305">
        <f>SUMIF($G$33:$G$40,"Working",$E$33:$E$40)</f>
        <v/>
      </c>
      <c r="C45" s="522" t="inlineStr">
        <is>
          <t>Quantity, not row count. The gap against units on site is the availability the new equipment recovers.</t>
        </is>
      </c>
      <c r="D45" s="501" t="n"/>
      <c r="E45" s="501" t="n"/>
      <c r="F45" s="501" t="n"/>
      <c r="G45" s="501" t="n"/>
    </row>
    <row r="46" ht="19.5" customHeight="1" s="254">
      <c r="A46" s="263" t="inlineStr">
        <is>
          <t>Units failed or intermittent</t>
        </is>
      </c>
      <c r="B46" s="300">
        <f>SUMIF($G$33:$G$40,"Failed",$E$33:$E$40)+SUMIF($G$33:$G$40,"Intermittent",$E$33:$E$40)</f>
        <v/>
      </c>
      <c r="C46" s="522" t="inlineStr">
        <is>
          <t>What the replacement is actually fixing.</t>
        </is>
      </c>
      <c r="D46" s="501" t="n"/>
      <c r="E46" s="501" t="n"/>
      <c r="F46" s="501" t="n"/>
      <c r="G46" s="501" t="n"/>
    </row>
    <row r="47" ht="26.44" customHeight="1" s="254">
      <c r="A47" s="263" t="inlineStr">
        <is>
          <t>Units of unknown condition</t>
        </is>
      </c>
      <c r="B47" s="543">
        <f>SUMIF($G$33:$G$40,"Unknown",$E$33:$E$40)</f>
        <v/>
      </c>
      <c r="C47" s="531" t="inlineStr">
        <is>
          <t>The availability uplift on the revenue projection is built from what was working and what was not. Anything in this row is a projection input nobody has established yet.</t>
        </is>
      </c>
      <c r="D47" s="501" t="n"/>
      <c r="E47" s="501" t="n"/>
      <c r="F47" s="501" t="n"/>
      <c r="G47" s="501" t="n"/>
    </row>
    <row r="48" ht="33.04000000000001" customHeight="1" s="254">
      <c r="A48" s="529" t="inlineStr">
        <is>
          <t>D · Existing electrical infrastructure</t>
        </is>
      </c>
      <c r="B48" s="501" t="n"/>
      <c r="C48" s="501" t="n"/>
      <c r="D48" s="501" t="n"/>
      <c r="E48" s="501" t="n"/>
      <c r="F48" s="501" t="n"/>
      <c r="G48" s="501" t="n"/>
    </row>
    <row r="49" ht="19.5" customHeight="1" s="254">
      <c r="A49" s="285" t="inlineStr">
        <is>
          <t>What is already in the ground. Where a line is being retained, this is what the new design has to work with; where it is being replaced, this is what has to come out.</t>
        </is>
      </c>
    </row>
    <row r="50" ht="19.5" customHeight="1" s="254">
      <c r="A50" s="263" t="inlineStr">
        <is>
          <t>Existing service size (A)</t>
        </is>
      </c>
      <c r="B50" s="544" t="n"/>
      <c r="C50" s="522" t="inlineStr">
        <is>
          <t>From the meter panel or the utility bill.</t>
        </is>
      </c>
      <c r="D50" s="501" t="n"/>
      <c r="E50" s="501" t="n"/>
      <c r="F50" s="501" t="n"/>
      <c r="G50" s="501" t="n"/>
    </row>
    <row r="51" ht="63.40000000000001" customHeight="1" s="254">
      <c r="A51" s="263" t="inlineStr">
        <is>
          <t>Existing service voltage</t>
        </is>
      </c>
      <c r="B51" s="692">
        <f>IF($B$5="Greenfield — new service","n/a",IF($B$13="RETAIN",Project!$B$29,"replaced — the new service voltage is on the Project tab"))</f>
        <v/>
      </c>
      <c r="C51" s="522"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501" t="n"/>
      <c r="E51" s="501" t="n"/>
      <c r="F51" s="501" t="n"/>
      <c r="G51" s="501" t="n"/>
    </row>
    <row r="52" ht="30.4" customHeight="1" s="254">
      <c r="A52" s="527" t="inlineStr">
        <is>
          <t>Spare capacity in the existing gear (A)</t>
        </is>
      </c>
      <c r="B52" s="533" t="n"/>
      <c r="C52" s="522" t="inlineStr">
        <is>
          <t>What is available for the new equipment without an upgrade.</t>
        </is>
      </c>
      <c r="D52" s="501" t="n"/>
      <c r="E52" s="501" t="n"/>
      <c r="F52" s="501" t="n"/>
      <c r="G52" s="501" t="n"/>
    </row>
    <row r="53" ht="19.5" customHeight="1" s="254">
      <c r="A53" s="263" t="inlineStr">
        <is>
          <t>Existing switchgear frame (A)</t>
        </is>
      </c>
      <c r="B53" s="533" t="n"/>
      <c r="C53" s="522" t="inlineStr">
        <is>
          <t>The main breaker frame size.</t>
        </is>
      </c>
      <c r="D53" s="501" t="n"/>
      <c r="E53" s="501" t="n"/>
      <c r="F53" s="501" t="n"/>
      <c r="G53" s="501" t="n"/>
    </row>
    <row r="54" ht="19.5" customHeight="1" s="254">
      <c r="A54" s="263" t="inlineStr">
        <is>
          <t>Existing branch conductor size</t>
        </is>
      </c>
      <c r="B54" s="530" t="n"/>
      <c r="C54" s="522" t="inlineStr">
        <is>
          <t>e.g. 250 KCMIL Cu. Determines whether it can carry the new cabinet.</t>
        </is>
      </c>
      <c r="D54" s="501" t="n"/>
      <c r="E54" s="501" t="n"/>
      <c r="F54" s="501" t="n"/>
      <c r="G54" s="501" t="n"/>
    </row>
    <row r="55" ht="19.5" customHeight="1" s="254">
      <c r="A55" s="263" t="inlineStr">
        <is>
          <t>Average branch run length (ft)</t>
        </is>
      </c>
      <c r="B55" s="533" t="n"/>
      <c r="C55" s="522" t="inlineStr">
        <is>
          <t>Switchgear to cabinet, per position.</t>
        </is>
      </c>
      <c r="D55" s="501" t="n"/>
      <c r="E55" s="501" t="n"/>
      <c r="F55" s="501" t="n"/>
      <c r="G55" s="501" t="n"/>
    </row>
    <row r="56" ht="19.5" customHeight="1" s="254">
      <c r="A56" s="263" t="inlineStr">
        <is>
          <t>Existing conduit size and type</t>
        </is>
      </c>
      <c r="B56" s="530" t="n"/>
      <c r="C56" s="522" t="inlineStr">
        <is>
          <t>e.g. 2-1/2 in PVC. Determines whether a larger conductor could be pulled if needed.</t>
        </is>
      </c>
      <c r="D56" s="501" t="n"/>
      <c r="E56" s="501" t="n"/>
      <c r="F56" s="501" t="n"/>
      <c r="G56" s="501" t="n"/>
    </row>
    <row r="57" ht="19.5" customHeight="1" s="254">
      <c r="A57" s="263" t="inlineStr">
        <is>
          <t>Existing rate schedule</t>
        </is>
      </c>
      <c r="B57" s="530" t="n"/>
      <c r="C57" s="522" t="inlineStr">
        <is>
          <t>The tariff the site is billed on today.</t>
        </is>
      </c>
      <c r="D57" s="501" t="n"/>
      <c r="E57" s="501" t="n"/>
      <c r="F57" s="501" t="n"/>
      <c r="G57" s="501" t="n"/>
    </row>
    <row r="58" ht="19.5" customHeight="1" s="254">
      <c r="A58" s="263" t="inlineStr">
        <is>
          <t>Separately metered for EV today?</t>
        </is>
      </c>
      <c r="B58" s="530" t="n"/>
      <c r="C58" s="522" t="inlineStr">
        <is>
          <t>If not, a separate EV meter may be needed to reach the EV tariff.</t>
        </is>
      </c>
      <c r="D58" s="501" t="n"/>
      <c r="E58" s="501" t="n"/>
      <c r="F58" s="501" t="n"/>
      <c r="G58" s="501" t="n"/>
    </row>
    <row r="59">
      <c r="A59" s="501" t="n"/>
      <c r="B59" s="501" t="n"/>
      <c r="C59" s="501" t="n"/>
      <c r="D59" s="501" t="n"/>
      <c r="E59" s="501" t="n"/>
      <c r="F59" s="501" t="n"/>
      <c r="G59" s="501" t="n"/>
    </row>
    <row r="60" ht="43.5" customHeight="1" s="254">
      <c r="A60" s="545" t="inlineStr">
        <is>
          <t>Does the existing service carry the new load?</t>
        </is>
      </c>
      <c r="B60" s="301">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9" t="n"/>
      <c r="D60" s="531" t="inlineStr">
        <is>
          <t>Stands down on a greenfield project, and asks for a NUMBER rather than a non-empty cell — "N/A" typed here used to reach a division and return #VALUE! on a site with no existing service at all.</t>
        </is>
      </c>
      <c r="E60" s="501" t="n"/>
      <c r="F60" s="501" t="n"/>
      <c r="G60" s="501" t="n"/>
    </row>
    <row r="61" ht="43.5" customHeight="1" s="254">
      <c r="A61" s="545" t="inlineStr">
        <is>
          <t>Does the existing switchgear carry the new load?</t>
        </is>
      </c>
      <c r="B61" s="301">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531" t="inlineStr">
        <is>
          <t>Stands down on a greenfield project, and asks for a NUMBER rather than a non-empty cell — "N/A" typed here used to reach a division and return #VALUE! on a site with no existing service at all.</t>
        </is>
      </c>
      <c r="E61" s="501" t="n"/>
      <c r="F61" s="501" t="n"/>
      <c r="G61" s="501" t="n"/>
    </row>
    <row r="62" ht="31.5" customHeight="1" s="254">
      <c r="A62" s="545" t="inlineStr">
        <is>
          <t>Load change from the existing installation</t>
        </is>
      </c>
      <c r="B62" s="301">
        <f>IF(OR($B$44=0,N(Equipment!B23)=0),"enter the existing equipment and the new equipment",TEXT(Equipment!B23-$B$44,"+#,##0;-#,##0")&amp;" kW ("&amp;TEXT(Equipment!B23/$B$44-1,"+0%;-0%")&amp;") against the existing "&amp;TEXT($B$44,"#,##0")&amp;" kW")</f>
        <v/>
      </c>
      <c r="C62" s="299" t="n"/>
      <c r="D62" s="522" t="inlineStr">
        <is>
          <t>A replacement that raises connected load is the case where reuse assumptions break.</t>
        </is>
      </c>
      <c r="E62" s="501" t="n"/>
      <c r="F62" s="501" t="n"/>
      <c r="G62" s="501" t="n"/>
    </row>
    <row r="63">
      <c r="A63" s="501" t="n"/>
      <c r="B63" s="501" t="n"/>
      <c r="C63" s="501" t="n"/>
      <c r="D63" s="501" t="n"/>
      <c r="E63" s="501" t="n"/>
      <c r="F63" s="501" t="n"/>
      <c r="G63" s="501" t="n"/>
    </row>
    <row r="64" ht="15" customHeight="1" s="254">
      <c r="A64" s="262" t="inlineStr">
        <is>
          <t>E · Historical usage and billing</t>
        </is>
      </c>
      <c r="B64" s="501" t="n"/>
      <c r="C64" s="501" t="n"/>
      <c r="D64" s="501" t="n"/>
      <c r="E64" s="501" t="n"/>
      <c r="F64" s="501" t="n"/>
      <c r="G64" s="501" t="n"/>
    </row>
    <row r="65" ht="27.76" customHeight="1" s="254">
      <c r="A65" s="285"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5" customHeight="1" s="254">
      <c r="A66" s="294" t="inlineStr">
        <is>
          <t>Month (YYYY-MM)</t>
        </is>
      </c>
      <c r="B66" s="534" t="inlineStr">
        <is>
          <t>kWh dispensed</t>
        </is>
      </c>
      <c r="C66" s="534" t="inlineStr">
        <is>
          <t>Gross revenue</t>
        </is>
      </c>
      <c r="D66" s="534" t="inlineStr">
        <is>
          <t>Sessions</t>
        </is>
      </c>
      <c r="E66" s="534" t="inlineStr">
        <is>
          <t>Utility cost</t>
        </is>
      </c>
      <c r="F66" s="540" t="inlineStr">
        <is>
          <t>Ports working</t>
        </is>
      </c>
      <c r="G66" s="540" t="inlineStr">
        <is>
          <t>Note / outage</t>
        </is>
      </c>
    </row>
    <row r="67" ht="15" customHeight="1" s="254">
      <c r="A67" s="536" t="n"/>
      <c r="B67" s="541" t="n"/>
      <c r="C67" s="546" t="n"/>
      <c r="D67" s="541" t="n"/>
      <c r="E67" s="546" t="n"/>
      <c r="F67" s="547" t="n"/>
      <c r="G67" s="536" t="n"/>
    </row>
    <row r="68" ht="15" customHeight="1" s="254">
      <c r="A68" s="536" t="n"/>
      <c r="B68" s="541" t="n"/>
      <c r="C68" s="546" t="n"/>
      <c r="D68" s="541" t="n"/>
      <c r="E68" s="546" t="n"/>
      <c r="F68" s="547" t="n"/>
      <c r="G68" s="536" t="n"/>
    </row>
    <row r="69" ht="15" customHeight="1" s="254">
      <c r="A69" s="536" t="n"/>
      <c r="B69" s="541" t="n"/>
      <c r="C69" s="546" t="n"/>
      <c r="D69" s="541" t="n"/>
      <c r="E69" s="546" t="n"/>
      <c r="F69" s="547" t="n"/>
      <c r="G69" s="536" t="n"/>
    </row>
    <row r="70" ht="15" customHeight="1" s="254">
      <c r="A70" s="536" t="n"/>
      <c r="B70" s="541" t="n"/>
      <c r="C70" s="546" t="n"/>
      <c r="D70" s="541" t="n"/>
      <c r="E70" s="546" t="n"/>
      <c r="F70" s="547" t="n"/>
      <c r="G70" s="536" t="n"/>
    </row>
    <row r="71" ht="15" customHeight="1" s="254">
      <c r="A71" s="536" t="n"/>
      <c r="B71" s="541" t="n"/>
      <c r="C71" s="546" t="n"/>
      <c r="D71" s="541" t="n"/>
      <c r="E71" s="546" t="n"/>
      <c r="F71" s="547" t="n"/>
      <c r="G71" s="536" t="n"/>
    </row>
    <row r="72" ht="15" customHeight="1" s="254">
      <c r="A72" s="536" t="n"/>
      <c r="B72" s="541" t="n"/>
      <c r="C72" s="546" t="n"/>
      <c r="D72" s="541" t="n"/>
      <c r="E72" s="546" t="n"/>
      <c r="F72" s="547" t="n"/>
      <c r="G72" s="536" t="n"/>
    </row>
    <row r="73" ht="15" customHeight="1" s="254">
      <c r="A73" s="536" t="n"/>
      <c r="B73" s="541" t="n"/>
      <c r="C73" s="546" t="n"/>
      <c r="D73" s="541" t="n"/>
      <c r="E73" s="546" t="n"/>
      <c r="F73" s="547" t="n"/>
      <c r="G73" s="536" t="n"/>
    </row>
    <row r="74" ht="15" customHeight="1" s="254">
      <c r="A74" s="536" t="n"/>
      <c r="B74" s="541" t="n"/>
      <c r="C74" s="546" t="n"/>
      <c r="D74" s="541" t="n"/>
      <c r="E74" s="546" t="n"/>
      <c r="F74" s="547" t="n"/>
      <c r="G74" s="536" t="n"/>
    </row>
    <row r="75" ht="15" customHeight="1" s="254">
      <c r="A75" s="536" t="n"/>
      <c r="B75" s="541" t="n"/>
      <c r="C75" s="546" t="n"/>
      <c r="D75" s="541" t="n"/>
      <c r="E75" s="546" t="n"/>
      <c r="F75" s="547" t="n"/>
      <c r="G75" s="536" t="n"/>
    </row>
    <row r="76" ht="15" customHeight="1" s="254">
      <c r="A76" s="536" t="n"/>
      <c r="B76" s="541" t="n"/>
      <c r="C76" s="546" t="n"/>
      <c r="D76" s="541" t="n"/>
      <c r="E76" s="546" t="n"/>
      <c r="F76" s="547" t="n"/>
      <c r="G76" s="536" t="n"/>
    </row>
    <row r="77" ht="15" customHeight="1" s="254">
      <c r="A77" s="536" t="n"/>
      <c r="B77" s="541" t="n"/>
      <c r="C77" s="546" t="n"/>
      <c r="D77" s="541" t="n"/>
      <c r="E77" s="546" t="n"/>
      <c r="F77" s="547" t="n"/>
      <c r="G77" s="536" t="n"/>
    </row>
    <row r="78" ht="15" customHeight="1" s="254">
      <c r="A78" s="536" t="n"/>
      <c r="B78" s="541" t="n"/>
      <c r="C78" s="546" t="n"/>
      <c r="D78" s="541" t="n"/>
      <c r="E78" s="546" t="n"/>
      <c r="F78" s="547" t="n"/>
      <c r="G78" s="536" t="n"/>
    </row>
    <row r="79" ht="15" customHeight="1" s="254">
      <c r="A79" s="536" t="n"/>
      <c r="B79" s="541" t="n"/>
      <c r="C79" s="546" t="n"/>
      <c r="D79" s="541" t="n"/>
      <c r="E79" s="546" t="n"/>
      <c r="F79" s="547" t="n"/>
      <c r="G79" s="536" t="n"/>
    </row>
    <row r="80" ht="15" customHeight="1" s="254">
      <c r="A80" s="536" t="n"/>
      <c r="B80" s="541" t="n"/>
      <c r="C80" s="546" t="n"/>
      <c r="D80" s="541" t="n"/>
      <c r="E80" s="546" t="n"/>
      <c r="F80" s="547" t="n"/>
      <c r="G80" s="536" t="n"/>
    </row>
    <row r="81" ht="15" customHeight="1" s="254">
      <c r="A81" s="536" t="n"/>
      <c r="B81" s="541" t="n"/>
      <c r="C81" s="546" t="n"/>
      <c r="D81" s="541" t="n"/>
      <c r="E81" s="546" t="n"/>
      <c r="F81" s="547" t="n"/>
      <c r="G81" s="536" t="n"/>
    </row>
    <row r="82" ht="15" customHeight="1" s="254">
      <c r="A82" s="536" t="n"/>
      <c r="B82" s="541" t="n"/>
      <c r="C82" s="546" t="n"/>
      <c r="D82" s="541" t="n"/>
      <c r="E82" s="546" t="n"/>
      <c r="F82" s="547" t="n"/>
      <c r="G82" s="536" t="n"/>
    </row>
    <row r="83" ht="15" customHeight="1" s="254">
      <c r="A83" s="536" t="n"/>
      <c r="B83" s="541" t="n"/>
      <c r="C83" s="546" t="n"/>
      <c r="D83" s="541" t="n"/>
      <c r="E83" s="546" t="n"/>
      <c r="F83" s="547" t="n"/>
      <c r="G83" s="536" t="n"/>
    </row>
    <row r="84" ht="15" customHeight="1" s="254">
      <c r="A84" s="536" t="n"/>
      <c r="B84" s="541" t="n"/>
      <c r="C84" s="546" t="n"/>
      <c r="D84" s="541" t="n"/>
      <c r="E84" s="546" t="n"/>
      <c r="F84" s="547" t="n"/>
      <c r="G84" s="536" t="n"/>
    </row>
    <row r="85" ht="15" customHeight="1" s="254">
      <c r="A85" s="536" t="n"/>
      <c r="B85" s="541" t="n"/>
      <c r="C85" s="546" t="n"/>
      <c r="D85" s="541" t="n"/>
      <c r="E85" s="546" t="n"/>
      <c r="F85" s="547" t="n"/>
      <c r="G85" s="536" t="n"/>
    </row>
    <row r="86" ht="15" customHeight="1" s="254">
      <c r="A86" s="536" t="n"/>
      <c r="B86" s="541" t="n"/>
      <c r="C86" s="546" t="n"/>
      <c r="D86" s="541" t="n"/>
      <c r="E86" s="546" t="n"/>
      <c r="F86" s="547" t="n"/>
      <c r="G86" s="536" t="n"/>
    </row>
    <row r="87" ht="15" customHeight="1" s="254">
      <c r="A87" s="536" t="n"/>
      <c r="B87" s="541" t="n"/>
      <c r="C87" s="546" t="n"/>
      <c r="D87" s="541" t="n"/>
      <c r="E87" s="546" t="n"/>
      <c r="F87" s="547" t="n"/>
      <c r="G87" s="536" t="n"/>
    </row>
    <row r="88" ht="15" customHeight="1" s="254">
      <c r="A88" s="536" t="n"/>
      <c r="B88" s="541" t="n"/>
      <c r="C88" s="546" t="n"/>
      <c r="D88" s="541" t="n"/>
      <c r="E88" s="546" t="n"/>
      <c r="F88" s="547" t="n"/>
      <c r="G88" s="536" t="n"/>
    </row>
    <row r="89" ht="15" customHeight="1" s="254">
      <c r="A89" s="536" t="n"/>
      <c r="B89" s="541" t="n"/>
      <c r="C89" s="546" t="n"/>
      <c r="D89" s="541" t="n"/>
      <c r="E89" s="546" t="n"/>
      <c r="F89" s="547" t="n"/>
      <c r="G89" s="536" t="n"/>
    </row>
    <row r="90" ht="15" customHeight="1" s="254">
      <c r="A90" s="536" t="n"/>
      <c r="B90" s="541" t="n"/>
      <c r="C90" s="546" t="n"/>
      <c r="D90" s="541" t="n"/>
      <c r="E90" s="546" t="n"/>
      <c r="F90" s="547" t="n"/>
      <c r="G90" s="536" t="n"/>
    </row>
    <row r="91" ht="15" customHeight="1" s="254">
      <c r="A91" s="536" t="n"/>
      <c r="B91" s="541" t="n"/>
      <c r="C91" s="546" t="n"/>
      <c r="D91" s="541" t="n"/>
      <c r="E91" s="546" t="n"/>
      <c r="F91" s="547" t="n"/>
      <c r="G91" s="536" t="n"/>
    </row>
    <row r="92" ht="15" customHeight="1" s="254">
      <c r="A92" s="536" t="n"/>
      <c r="B92" s="541" t="n"/>
      <c r="C92" s="546" t="n"/>
      <c r="D92" s="541" t="n"/>
      <c r="E92" s="546" t="n"/>
      <c r="F92" s="547" t="n"/>
      <c r="G92" s="536" t="n"/>
    </row>
    <row r="93" ht="15" customHeight="1" s="254">
      <c r="A93" s="536" t="n"/>
      <c r="B93" s="541" t="n"/>
      <c r="C93" s="546" t="n"/>
      <c r="D93" s="541" t="n"/>
      <c r="E93" s="546" t="n"/>
      <c r="F93" s="547" t="n"/>
      <c r="G93" s="536" t="n"/>
    </row>
    <row r="94" ht="15" customHeight="1" s="254">
      <c r="A94" s="536" t="n"/>
      <c r="B94" s="541" t="n"/>
      <c r="C94" s="546" t="n"/>
      <c r="D94" s="541" t="n"/>
      <c r="E94" s="546" t="n"/>
      <c r="F94" s="547" t="n"/>
      <c r="G94" s="536" t="n"/>
    </row>
    <row r="95" ht="15" customHeight="1" s="254">
      <c r="A95" s="536" t="n"/>
      <c r="B95" s="541" t="n"/>
      <c r="C95" s="546" t="n"/>
      <c r="D95" s="541" t="n"/>
      <c r="E95" s="546" t="n"/>
      <c r="F95" s="547" t="n"/>
      <c r="G95" s="536" t="n"/>
    </row>
    <row r="96" ht="15" customHeight="1" s="254">
      <c r="A96" s="536" t="n"/>
      <c r="B96" s="541" t="n"/>
      <c r="C96" s="546" t="n"/>
      <c r="D96" s="541" t="n"/>
      <c r="E96" s="546" t="n"/>
      <c r="F96" s="547" t="n"/>
      <c r="G96" s="536" t="n"/>
    </row>
    <row r="97" ht="15" customHeight="1" s="254">
      <c r="A97" s="536" t="n"/>
      <c r="B97" s="541" t="n"/>
      <c r="C97" s="546" t="n"/>
      <c r="D97" s="541" t="n"/>
      <c r="E97" s="546" t="n"/>
      <c r="F97" s="547" t="n"/>
      <c r="G97" s="536" t="n"/>
    </row>
    <row r="98" ht="15" customHeight="1" s="254">
      <c r="A98" s="536" t="n"/>
      <c r="B98" s="541" t="n"/>
      <c r="C98" s="546" t="n"/>
      <c r="D98" s="541" t="n"/>
      <c r="E98" s="546" t="n"/>
      <c r="F98" s="547" t="n"/>
      <c r="G98" s="536" t="n"/>
    </row>
    <row r="99" ht="15" customHeight="1" s="254">
      <c r="A99" s="536" t="n"/>
      <c r="B99" s="541" t="n"/>
      <c r="C99" s="546" t="n"/>
      <c r="D99" s="541" t="n"/>
      <c r="E99" s="546" t="n"/>
      <c r="F99" s="547" t="n"/>
      <c r="G99" s="536" t="n"/>
    </row>
    <row r="100" ht="15" customHeight="1" s="254">
      <c r="A100" s="536" t="n"/>
      <c r="B100" s="541" t="n"/>
      <c r="C100" s="546" t="n"/>
      <c r="D100" s="541" t="n"/>
      <c r="E100" s="546" t="n"/>
      <c r="F100" s="547" t="n"/>
      <c r="G100" s="536" t="n"/>
    </row>
    <row r="101" ht="15" customHeight="1" s="254">
      <c r="A101" s="536" t="n"/>
      <c r="B101" s="541" t="n"/>
      <c r="C101" s="546" t="n"/>
      <c r="D101" s="541" t="n"/>
      <c r="E101" s="546" t="n"/>
      <c r="F101" s="547" t="n"/>
      <c r="G101" s="536" t="n"/>
    </row>
    <row r="102" ht="15" customHeight="1" s="254">
      <c r="A102" s="536" t="n"/>
      <c r="B102" s="541" t="n"/>
      <c r="C102" s="546" t="n"/>
      <c r="D102" s="541" t="n"/>
      <c r="E102" s="546" t="n"/>
      <c r="F102" s="547" t="n"/>
      <c r="G102" s="536" t="n"/>
    </row>
    <row r="103">
      <c r="A103" s="501" t="n"/>
      <c r="B103" s="501" t="n"/>
      <c r="C103" s="501" t="n"/>
      <c r="D103" s="501" t="n"/>
      <c r="E103" s="501" t="n"/>
      <c r="F103" s="501" t="n"/>
      <c r="G103" s="501" t="n"/>
    </row>
    <row r="104" ht="19.5" customHeight="1" s="254">
      <c r="A104" s="257" t="inlineStr">
        <is>
          <t>Months with data</t>
        </is>
      </c>
      <c r="B104" s="305">
        <f>COUNT($B$67:$B$102)</f>
        <v/>
      </c>
      <c r="C104" s="522" t="inlineStr">
        <is>
          <t>Twelve is the minimum for a credible run rate; twenty-four is better.</t>
        </is>
      </c>
      <c r="D104" s="501" t="n"/>
      <c r="E104" s="501" t="n"/>
      <c r="F104" s="501" t="n"/>
      <c r="G104" s="501" t="n"/>
    </row>
    <row r="105" ht="15" customHeight="1" s="254">
      <c r="A105" s="257" t="inlineStr">
        <is>
          <t>Total kWh dispensed</t>
        </is>
      </c>
      <c r="B105" s="305">
        <f>SUM($B$67:$B$102)</f>
        <v/>
      </c>
      <c r="C105" s="501" t="n"/>
      <c r="D105" s="501" t="n"/>
      <c r="E105" s="501" t="n"/>
      <c r="F105" s="501" t="n"/>
      <c r="G105" s="501" t="n"/>
    </row>
    <row r="106" ht="15" customHeight="1" s="254">
      <c r="A106" s="257" t="inlineStr">
        <is>
          <t>Total gross revenue</t>
        </is>
      </c>
      <c r="B106" s="310">
        <f>SUM($C$67:$C$102)</f>
        <v/>
      </c>
      <c r="C106" s="501" t="n"/>
      <c r="D106" s="501" t="n"/>
      <c r="E106" s="501" t="n"/>
      <c r="F106" s="501" t="n"/>
      <c r="G106" s="501" t="n"/>
    </row>
    <row r="107" ht="15" customHeight="1" s="254">
      <c r="A107" s="257" t="inlineStr">
        <is>
          <t>Total sessions</t>
        </is>
      </c>
      <c r="B107" s="305">
        <f>SUM($D$67:$D$102)</f>
        <v/>
      </c>
      <c r="C107" s="501" t="n"/>
      <c r="D107" s="501" t="n"/>
      <c r="E107" s="501" t="n"/>
      <c r="F107" s="501" t="n"/>
      <c r="G107" s="501" t="n"/>
    </row>
    <row r="108" ht="15" customHeight="1" s="254">
      <c r="A108" s="257" t="inlineStr">
        <is>
          <t>Total utility cost</t>
        </is>
      </c>
      <c r="B108" s="310">
        <f>SUM($E$67:$E$102)</f>
        <v/>
      </c>
      <c r="C108" s="501" t="n"/>
      <c r="D108" s="501" t="n"/>
      <c r="E108" s="501" t="n"/>
      <c r="F108" s="501" t="n"/>
      <c r="G108" s="501" t="n"/>
    </row>
    <row r="109">
      <c r="A109" s="501" t="n"/>
      <c r="B109" s="501" t="n"/>
      <c r="C109" s="501" t="n"/>
      <c r="D109" s="501" t="n"/>
      <c r="E109" s="501" t="n"/>
      <c r="F109" s="501" t="n"/>
      <c r="G109" s="501" t="n"/>
    </row>
    <row r="110" ht="15" customHeight="1" s="254">
      <c r="A110" s="257" t="inlineStr">
        <is>
          <t>Average kWh per month</t>
        </is>
      </c>
      <c r="B110" s="305">
        <f>IFERROR(SUM($B$67:$B$102)/COUNT($B$67:$B$102),0)</f>
        <v/>
      </c>
      <c r="C110" s="501" t="n"/>
      <c r="D110" s="501" t="n"/>
      <c r="E110" s="501" t="n"/>
      <c r="F110" s="501" t="n"/>
      <c r="G110" s="501" t="n"/>
    </row>
    <row r="111" ht="19.5" customHeight="1" s="254">
      <c r="A111" s="257" t="inlineStr">
        <is>
          <t>Average kWh per day</t>
        </is>
      </c>
      <c r="B111" s="306">
        <f>IFERROR(SUM($B$67:$B$102)/COUNT($B$67:$B$102)*12/365,0)</f>
        <v/>
      </c>
      <c r="C111" s="522" t="inlineStr">
        <is>
          <t>The historical daily run rate. This is the number the new projection is built from.</t>
        </is>
      </c>
      <c r="D111" s="501" t="n"/>
      <c r="E111" s="501" t="n"/>
      <c r="F111" s="501" t="n"/>
      <c r="G111" s="501" t="n"/>
    </row>
    <row r="112" ht="15" customHeight="1" s="254">
      <c r="A112" s="257" t="inlineStr">
        <is>
          <t>Historical kWh per year</t>
        </is>
      </c>
      <c r="B112" s="305">
        <f>IFERROR(SUM($B$67:$B$102)/COUNT($B$67:$B$102)*12,0)</f>
        <v/>
      </c>
      <c r="C112" s="501" t="n"/>
      <c r="D112" s="501" t="n"/>
      <c r="E112" s="501" t="n"/>
      <c r="F112" s="501" t="n"/>
      <c r="G112" s="501" t="n"/>
    </row>
    <row r="113" ht="15" customHeight="1" s="254">
      <c r="A113" s="257" t="inlineStr">
        <is>
          <t>Historical gross revenue per year</t>
        </is>
      </c>
      <c r="B113" s="310">
        <f>IFERROR(SUM($C$67:$C$102)/COUNT($C$67:$C$102)*12,0)</f>
        <v/>
      </c>
      <c r="C113" s="501" t="n"/>
      <c r="D113" s="501" t="n"/>
      <c r="E113" s="501" t="n"/>
      <c r="F113" s="501" t="n"/>
      <c r="G113" s="501" t="n"/>
    </row>
    <row r="114" ht="15" customHeight="1" s="254">
      <c r="A114" s="257" t="inlineStr">
        <is>
          <t>Historical utility cost per year</t>
        </is>
      </c>
      <c r="B114" s="310">
        <f>IFERROR(SUM($E$67:$E$102)/COUNT($E$67:$E$102)*12,0)</f>
        <v/>
      </c>
      <c r="C114" s="501" t="n"/>
      <c r="D114" s="501" t="n"/>
      <c r="E114" s="501" t="n"/>
      <c r="F114" s="501" t="n"/>
      <c r="G114" s="501" t="n"/>
    </row>
    <row r="115" ht="15" customHeight="1" s="254">
      <c r="A115" s="257" t="inlineStr">
        <is>
          <t>Historical net before card fees</t>
        </is>
      </c>
      <c r="B115" s="310">
        <f>$B$113-$B$114</f>
        <v/>
      </c>
      <c r="C115" s="501" t="n"/>
      <c r="D115" s="501" t="n"/>
      <c r="E115" s="501" t="n"/>
      <c r="F115" s="501" t="n"/>
      <c r="G115" s="501" t="n"/>
    </row>
    <row r="116" ht="19.5" customHeight="1" s="254">
      <c r="A116" s="257" t="inlineStr">
        <is>
          <t>Implied retail price $/kWh</t>
        </is>
      </c>
      <c r="B116" s="311">
        <f>IFERROR(SUM($C$67:$C$102)/SUM($B$67:$B$102),0)</f>
        <v/>
      </c>
      <c r="C116" s="522" t="inlineStr">
        <is>
          <t>What drivers actually paid. Compare against the price proposed on the Revenue tab.</t>
        </is>
      </c>
      <c r="D116" s="501" t="n"/>
      <c r="E116" s="501" t="n"/>
      <c r="F116" s="501" t="n"/>
      <c r="G116" s="501" t="n"/>
    </row>
    <row r="117" ht="19.5" customHeight="1" s="254">
      <c r="A117" s="257" t="inlineStr">
        <is>
          <t>Implied delivered cost $/kWh</t>
        </is>
      </c>
      <c r="B117" s="311">
        <f>IFERROR(SUM($E$67:$E$102)/SUM($B$67:$B$102),0)</f>
        <v/>
      </c>
      <c r="C117" s="522" t="inlineStr">
        <is>
          <t>What the utility actually charged, all-in. Far better than any tariff estimate.</t>
        </is>
      </c>
      <c r="D117" s="501" t="n"/>
      <c r="E117" s="501" t="n"/>
      <c r="F117" s="501" t="n"/>
      <c r="G117" s="501" t="n"/>
    </row>
    <row r="118" ht="19.5" customHeight="1" s="254">
      <c r="A118" s="257" t="inlineStr">
        <is>
          <t>Average kWh per session</t>
        </is>
      </c>
      <c r="B118" s="306">
        <f>IFERROR(SUM($B$67:$B$102)/SUM($D$67:$D$102),0)</f>
        <v/>
      </c>
      <c r="C118" s="522" t="inlineStr">
        <is>
          <t>Typically 25 to 55 kWh on DC. A low figure suggests failed or abandoned sessions.</t>
        </is>
      </c>
      <c r="D118" s="501" t="n"/>
      <c r="E118" s="501" t="n"/>
      <c r="F118" s="501" t="n"/>
      <c r="G118" s="501" t="n"/>
    </row>
    <row r="119" ht="27.76" customHeight="1" s="254">
      <c r="A119" s="257" t="inlineStr">
        <is>
          <t>Average ports working</t>
        </is>
      </c>
      <c r="B119" s="306">
        <f>IFERROR(AVERAGE($F$67:$F$102),0)</f>
        <v/>
      </c>
      <c r="C119" s="522" t="inlineStr">
        <is>
          <t>Against the ports installed. The gap between them is the availability the new equipment recovers.</t>
        </is>
      </c>
      <c r="D119" s="501" t="n"/>
      <c r="E119" s="501" t="n"/>
      <c r="F119" s="501" t="n"/>
      <c r="G119" s="501" t="n"/>
    </row>
    <row r="120" ht="19.5" customHeight="1" s="254">
      <c r="A120" s="257" t="inlineStr">
        <is>
          <t>Historical availability</t>
        </is>
      </c>
      <c r="B120" s="312">
        <f>IFERROR(AVERAGE($F$67:$F$102)/$B$43,0)</f>
        <v/>
      </c>
      <c r="C120" s="522" t="inlineStr">
        <is>
          <t>Ports working as a share of ports installed. This is the recovery opportunity, quantified.</t>
        </is>
      </c>
      <c r="D120" s="501" t="n"/>
      <c r="E120" s="501" t="n"/>
      <c r="F120" s="501" t="n"/>
      <c r="G120" s="501" t="n"/>
    </row>
    <row r="121">
      <c r="A121" s="501" t="n"/>
      <c r="B121" s="501" t="n"/>
      <c r="C121" s="501" t="n"/>
      <c r="D121" s="501" t="n"/>
      <c r="E121" s="501" t="n"/>
      <c r="F121" s="501" t="n"/>
      <c r="G121" s="501" t="n"/>
    </row>
    <row r="122" ht="29.08" customHeight="1" s="254">
      <c r="A122" s="290"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c r="A123" s="501" t="n"/>
      <c r="B123" s="501" t="n"/>
      <c r="C123" s="501" t="n"/>
      <c r="D123" s="501" t="n"/>
      <c r="E123" s="501" t="n"/>
      <c r="F123" s="501" t="n"/>
      <c r="G123" s="501" t="n"/>
    </row>
    <row r="124" ht="33.04000000000001" customHeight="1" s="254">
      <c r="A124" s="529" t="inlineStr">
        <is>
          <t>F · Port expansion and connector coverage</t>
        </is>
      </c>
      <c r="B124" s="501" t="n"/>
      <c r="C124" s="501" t="n"/>
      <c r="D124" s="501" t="n"/>
      <c r="E124" s="501" t="n"/>
      <c r="F124" s="501" t="n"/>
      <c r="G124" s="501" t="n"/>
    </row>
    <row r="125" ht="19.5" customHeight="1" s="254">
      <c r="A125" s="285" t="inlineStr">
        <is>
          <t>What the new equipment adds over the old. Each uplift below is stated separately so it can be challenged individually rather than hidden inside one optimistic growth rate.</t>
        </is>
      </c>
    </row>
    <row r="126" ht="15" customHeight="1" s="254">
      <c r="A126" s="263" t="inlineStr">
        <is>
          <t>Existing ports</t>
        </is>
      </c>
      <c r="B126" s="300">
        <f>$B$43</f>
        <v/>
      </c>
      <c r="C126" s="501" t="n"/>
      <c r="D126" s="501" t="n"/>
      <c r="E126" s="501" t="n"/>
      <c r="F126" s="501" t="n"/>
      <c r="G126" s="501" t="n"/>
    </row>
    <row r="127" ht="19.5" customHeight="1" s="254">
      <c r="A127" s="263" t="inlineStr">
        <is>
          <t>New ports</t>
        </is>
      </c>
      <c r="B127" s="300">
        <f>N(Equipment!B22)</f>
        <v/>
      </c>
      <c r="C127" s="522" t="inlineStr">
        <is>
          <t>From the Equipment tab. Dual-port cabinets present two positions each.</t>
        </is>
      </c>
      <c r="D127" s="501" t="n"/>
      <c r="E127" s="501" t="n"/>
      <c r="F127" s="501" t="n"/>
      <c r="G127" s="501" t="n"/>
    </row>
    <row r="128" ht="27.76" customHeight="1" s="254">
      <c r="A128" s="257" t="inlineStr">
        <is>
          <t>Port count multiple</t>
        </is>
      </c>
      <c r="B128" s="313">
        <f>IF(OR($B$43=0,N(Equipment!B22)=0),1,Equipment!B22/$B$43)</f>
        <v/>
      </c>
      <c r="C128" s="522" t="inlineStr">
        <is>
          <t>More positions means more simultaneous vehicles, not proportionally more energy — see the capture factor below.</t>
        </is>
      </c>
      <c r="D128" s="501" t="n"/>
      <c r="E128" s="501" t="n"/>
      <c r="F128" s="501" t="n"/>
      <c r="G128" s="501" t="n"/>
    </row>
    <row r="129">
      <c r="A129" s="501" t="n"/>
      <c r="B129" s="501" t="n"/>
      <c r="C129" s="501" t="n"/>
      <c r="D129" s="501" t="n"/>
      <c r="E129" s="501" t="n"/>
      <c r="F129" s="501" t="n"/>
      <c r="G129" s="501" t="n"/>
    </row>
    <row r="130" ht="19.5" customHeight="1" s="254">
      <c r="A130" s="294" t="inlineStr">
        <is>
          <t>Connector</t>
        </is>
      </c>
      <c r="B130" s="534" t="inlineStr">
        <is>
          <t>On the existing equipment</t>
        </is>
      </c>
      <c r="C130" s="534" t="inlineStr">
        <is>
          <t>On the new equipment</t>
        </is>
      </c>
      <c r="D130" s="534" t="inlineStr">
        <is>
          <t>Share of the California fleet</t>
        </is>
      </c>
      <c r="E130" s="535" t="n"/>
      <c r="F130" s="535" t="n"/>
      <c r="G130" s="535" t="n"/>
    </row>
    <row r="131" ht="15" customHeight="1" s="254">
      <c r="A131" s="296" t="inlineStr">
        <is>
          <t>NACS / Tesla</t>
        </is>
      </c>
      <c r="B131" s="536" t="n"/>
      <c r="C131" s="536" t="n"/>
      <c r="D131" s="548" t="n"/>
      <c r="E131" s="501" t="n"/>
      <c r="F131" s="501" t="n"/>
      <c r="G131" s="501" t="n"/>
    </row>
    <row r="132" ht="15" customHeight="1" s="254">
      <c r="A132" s="296" t="inlineStr">
        <is>
          <t>CCS1</t>
        </is>
      </c>
      <c r="B132" s="536" t="n"/>
      <c r="C132" s="536" t="n"/>
      <c r="D132" s="548" t="n"/>
      <c r="E132" s="501" t="n"/>
      <c r="F132" s="501" t="n"/>
      <c r="G132" s="501" t="n"/>
    </row>
    <row r="133" ht="15" customHeight="1" s="254">
      <c r="A133" s="296" t="inlineStr">
        <is>
          <t>CHAdeMO</t>
        </is>
      </c>
      <c r="B133" s="536" t="n"/>
      <c r="C133" s="536" t="n"/>
      <c r="D133" s="548" t="n"/>
      <c r="E133" s="501" t="n"/>
      <c r="F133" s="501" t="n"/>
      <c r="G133" s="501" t="n"/>
    </row>
    <row r="134" ht="15" customHeight="1" s="254">
      <c r="A134" s="296" t="inlineStr">
        <is>
          <t>J1772 (Level 2)</t>
        </is>
      </c>
      <c r="B134" s="536" t="n"/>
      <c r="C134" s="536" t="n"/>
      <c r="D134" s="548" t="n"/>
      <c r="E134" s="501" t="n"/>
      <c r="F134" s="501" t="n"/>
      <c r="G134" s="501" t="n"/>
    </row>
    <row r="135">
      <c r="A135" s="501" t="n"/>
      <c r="B135" s="501" t="n"/>
      <c r="C135" s="501" t="n"/>
      <c r="D135" s="501" t="n"/>
      <c r="E135" s="501" t="n"/>
      <c r="F135" s="501" t="n"/>
      <c r="G135" s="501" t="n"/>
    </row>
    <row r="136" ht="27.76" customHeight="1" s="254">
      <c r="A136" s="285" t="inlineStr">
        <is>
          <t>Enter the share of the local fleet each connector reaches. Tesla vehicles are the largest single population in California, so a site that could not serve them natively was turning away a large share of passing demand.</t>
        </is>
      </c>
    </row>
    <row r="137" ht="19.5" customHeight="1" s="254">
      <c r="A137" s="263" t="inlineStr">
        <is>
          <t>Fleet coverage today</t>
        </is>
      </c>
      <c r="B137" s="315">
        <f>SUMIF($B$131:$B$134,"Yes",$D$131:$D$134)</f>
        <v/>
      </c>
      <c r="C137" s="522" t="inlineStr">
        <is>
          <t>Share of the fleet the existing connectors serve natively.</t>
        </is>
      </c>
      <c r="D137" s="501" t="n"/>
      <c r="E137" s="501" t="n"/>
      <c r="F137" s="501" t="n"/>
      <c r="G137" s="501" t="n"/>
    </row>
    <row r="138" ht="15" customHeight="1" s="254">
      <c r="A138" s="263" t="inlineStr">
        <is>
          <t>Fleet coverage after replacement</t>
        </is>
      </c>
      <c r="B138" s="315">
        <f>SUMIF($C$131:$C$134,"Yes",$D$131:$D$134)</f>
        <v/>
      </c>
      <c r="C138" s="501" t="n"/>
      <c r="D138" s="501" t="n"/>
      <c r="E138" s="501" t="n"/>
      <c r="F138" s="501" t="n"/>
      <c r="G138" s="501" t="n"/>
    </row>
    <row r="139" ht="27.76" customHeight="1" s="254">
      <c r="A139" s="257" t="inlineStr">
        <is>
          <t>Coverage multiple</t>
        </is>
      </c>
      <c r="B139" s="313">
        <f>IFERROR($B$138/$B$137,1)</f>
        <v/>
      </c>
      <c r="C139" s="522" t="inlineStr">
        <is>
          <t>Adding NACS to a CCS-only site is the single largest addressable-market change available on a replacement project.</t>
        </is>
      </c>
      <c r="D139" s="501" t="n"/>
      <c r="E139" s="501" t="n"/>
      <c r="F139" s="501" t="n"/>
      <c r="G139" s="501" t="n"/>
    </row>
    <row r="140">
      <c r="A140" s="501" t="n"/>
      <c r="B140" s="501" t="n"/>
      <c r="C140" s="501" t="n"/>
      <c r="D140" s="501" t="n"/>
      <c r="E140" s="501" t="n"/>
      <c r="F140" s="501" t="n"/>
      <c r="G140" s="501" t="n"/>
    </row>
    <row r="141" ht="27.76" customHeight="1" s="254">
      <c r="A141" s="263" t="inlineStr">
        <is>
          <t>Existing power per position (kW)</t>
        </is>
      </c>
      <c r="B141" s="316">
        <f>IFERROR(SUMPRODUCT(--($B$33:$B$40&gt;=30),$B$33:$B$40,$E$33:$E$40)/SUMPRODUCT(--($B$33:$B$40&gt;=30),$C$33:$C$40,$E$33:$E$40),0)</f>
        <v/>
      </c>
      <c r="C141" s="522" t="inlineStr">
        <is>
          <t>DC positions only. Blending Level 2 into this average understates the old power and inflates the uplift.</t>
        </is>
      </c>
      <c r="D141" s="501" t="n"/>
      <c r="E141" s="501" t="n"/>
      <c r="F141" s="501" t="n"/>
      <c r="G141" s="501" t="n"/>
    </row>
    <row r="142" ht="15" customHeight="1" s="254">
      <c r="A142" s="263" t="inlineStr">
        <is>
          <t>New power per position (kW)</t>
        </is>
      </c>
      <c r="B142" s="316">
        <f>IF(N(Equipment!B22)=0,0,Equipment!B23/Equipment!B22)</f>
        <v/>
      </c>
      <c r="C142" s="501" t="n"/>
      <c r="D142" s="501" t="n"/>
      <c r="E142" s="501" t="n"/>
      <c r="F142" s="501" t="n"/>
      <c r="G142" s="501" t="n"/>
    </row>
    <row r="143" ht="27.76" customHeight="1" s="254">
      <c r="A143" s="257" t="inlineStr">
        <is>
          <t>Power multiple</t>
        </is>
      </c>
      <c r="B143" s="313">
        <f>IF(OR($B$141=0,$B$142=0),1,MIN(2,$B$142/$B$141))</f>
        <v/>
      </c>
      <c r="C143" s="521" t="inlineStr">
        <is>
          <t>Capped at 2.00x. Faster charging frees the stall sooner, but beyond roughly double the constraint stops being how fast the hardware charges and becomes how many vehicles arrive. Raising the cap does not make demand appear.</t>
        </is>
      </c>
      <c r="D143" s="501" t="n"/>
      <c r="E143" s="501" t="n"/>
      <c r="F143" s="501" t="n"/>
      <c r="G143" s="501" t="n"/>
    </row>
    <row r="144">
      <c r="A144" s="501" t="n"/>
      <c r="B144" s="501" t="n"/>
      <c r="C144" s="501" t="n"/>
      <c r="D144" s="501" t="n"/>
      <c r="E144" s="501" t="n"/>
      <c r="F144" s="501" t="n"/>
      <c r="G144" s="501" t="n"/>
    </row>
    <row r="145" ht="33.04000000000001" customHeight="1" s="254">
      <c r="A145" s="529" t="inlineStr">
        <is>
          <t>G · Projected baseline — history plus stated uplifts</t>
        </is>
      </c>
      <c r="B145" s="501" t="n"/>
      <c r="C145" s="501" t="n"/>
      <c r="D145" s="501" t="n"/>
      <c r="E145" s="501" t="n"/>
      <c r="F145" s="501" t="n"/>
      <c r="G145" s="501" t="n"/>
    </row>
    <row r="146" ht="27.76" customHeight="1" s="254">
      <c r="A146" s="285"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9.5" customHeight="1" s="254">
      <c r="A147" s="263" t="inlineStr">
        <is>
          <t>Historical kWh per year</t>
        </is>
      </c>
      <c r="B147" s="300">
        <f>$B$112</f>
        <v/>
      </c>
      <c r="C147" s="522" t="inlineStr">
        <is>
          <t>From section E. The starting point.</t>
        </is>
      </c>
      <c r="D147" s="501" t="n"/>
      <c r="E147" s="501" t="n"/>
      <c r="F147" s="501" t="n"/>
      <c r="G147" s="501" t="n"/>
    </row>
    <row r="148">
      <c r="A148" s="501" t="n"/>
      <c r="B148" s="501" t="n"/>
      <c r="C148" s="501" t="n"/>
      <c r="D148" s="501" t="n"/>
      <c r="E148" s="501" t="n"/>
      <c r="F148" s="501" t="n"/>
      <c r="G148" s="501" t="n"/>
    </row>
    <row r="149" ht="19.5" customHeight="1" s="254">
      <c r="A149" s="294" t="inlineStr">
        <is>
          <t>Uplift</t>
        </is>
      </c>
      <c r="B149" s="534" t="inlineStr">
        <is>
          <t>Theoretical multiple</t>
        </is>
      </c>
      <c r="C149" s="534" t="inlineStr">
        <is>
          <t>Capture factor</t>
        </is>
      </c>
      <c r="D149" s="534" t="inlineStr">
        <is>
          <t>Applied multiple</t>
        </is>
      </c>
      <c r="E149" s="534" t="inlineStr">
        <is>
          <t>Basis</t>
        </is>
      </c>
      <c r="F149" s="535" t="n"/>
      <c r="G149" s="535" t="n"/>
    </row>
    <row r="150" ht="54.16" customHeight="1" s="254">
      <c r="A150" s="296" t="inlineStr">
        <is>
          <t>Availability recovered</t>
        </is>
      </c>
      <c r="B150" s="317">
        <f>IFERROR(1/$B$120,1)</f>
        <v/>
      </c>
      <c r="C150" s="549" t="n">
        <v>0.85</v>
      </c>
      <c r="D150" s="317">
        <f>1+($B$150-1)*$C$150</f>
        <v/>
      </c>
      <c r="E150" s="550" t="inlineStr">
        <is>
          <t>Ports that were dark now work. The most defensible uplift on the list — the demand was already there and was turned away.</t>
        </is>
      </c>
      <c r="F150" s="538" t="n"/>
      <c r="G150" s="538" t="n"/>
    </row>
    <row r="151" ht="54.16" customHeight="1" s="254">
      <c r="A151" s="296" t="inlineStr">
        <is>
          <t>Ports added</t>
        </is>
      </c>
      <c r="B151" s="317">
        <f>$B$128</f>
        <v/>
      </c>
      <c r="C151" s="549" t="n">
        <v>0.4</v>
      </c>
      <c r="D151" s="317">
        <f>1+($B$151-1)*$C$151</f>
        <v/>
      </c>
      <c r="E151" s="537" t="inlineStr">
        <is>
          <t>More positions capture more simultaneous arrivals, but a second position does not double demand — it shortens the queue.</t>
        </is>
      </c>
      <c r="F151" s="538" t="n"/>
      <c r="G151" s="538" t="n"/>
    </row>
    <row r="152" ht="54.16" customHeight="1" s="254">
      <c r="A152" s="296" t="inlineStr">
        <is>
          <t>Connector coverage widened</t>
        </is>
      </c>
      <c r="B152" s="317">
        <f>$B$139</f>
        <v/>
      </c>
      <c r="C152" s="549" t="n">
        <v>0.5</v>
      </c>
      <c r="D152" s="317">
        <f>1+($B$152-1)*$C$152</f>
        <v/>
      </c>
      <c r="E152" s="550" t="inlineStr">
        <is>
          <t>Vehicles that could not charge here now can. Capture is below one because some of those drivers were already served nearby.</t>
        </is>
      </c>
      <c r="F152" s="538" t="n"/>
      <c r="G152" s="538" t="n"/>
    </row>
    <row r="153" ht="41.62" customHeight="1" s="254">
      <c r="A153" s="296" t="inlineStr">
        <is>
          <t>Higher delivered power</t>
        </is>
      </c>
      <c r="B153" s="317">
        <f>$B$143</f>
        <v/>
      </c>
      <c r="C153" s="549" t="n">
        <v>0.25</v>
      </c>
      <c r="D153" s="317">
        <f>1+($B$153-1)*$C$153</f>
        <v/>
      </c>
      <c r="E153" s="537" t="inlineStr">
        <is>
          <t>Faster sessions free the stall sooner. Only converts to energy where demand is waiting for a stall.</t>
        </is>
      </c>
      <c r="F153" s="538" t="n"/>
      <c r="G153" s="538" t="n"/>
    </row>
    <row r="154">
      <c r="A154" s="501" t="n"/>
      <c r="B154" s="501" t="n"/>
      <c r="C154" s="501" t="n"/>
      <c r="D154" s="501" t="n"/>
      <c r="E154" s="501" t="n"/>
      <c r="F154" s="501" t="n"/>
      <c r="G154" s="501" t="n"/>
    </row>
    <row r="155" ht="27.76" customHeight="1" s="254">
      <c r="A155" s="257" t="inlineStr">
        <is>
          <t>Combined uplift multiple</t>
        </is>
      </c>
      <c r="B155" s="313">
        <f>$D$150*$D$151*$D$152*$D$153</f>
        <v/>
      </c>
      <c r="C155" s="522" t="inlineStr">
        <is>
          <t>The four applied multiples compounded. Sense-check it against the site factor on the Revenue tab.</t>
        </is>
      </c>
      <c r="D155" s="501" t="n"/>
      <c r="E155" s="501" t="n"/>
      <c r="F155" s="501" t="n"/>
      <c r="G155" s="501" t="n"/>
    </row>
    <row r="156" ht="31.5" customHeight="1" s="254">
      <c r="A156" s="545" t="inlineStr">
        <is>
          <t>Projected kWh per year at steady state</t>
        </is>
      </c>
      <c r="B156" s="305">
        <f>$B$147*$B$155</f>
        <v/>
      </c>
      <c r="C156" s="522" t="inlineStr">
        <is>
          <t>History times the combined uplift. This is what the Revenue tab should use instead of the market benchmark.</t>
        </is>
      </c>
      <c r="D156" s="501" t="n"/>
      <c r="E156" s="501" t="n"/>
      <c r="F156" s="501" t="n"/>
      <c r="G156" s="501" t="n"/>
    </row>
    <row r="157" ht="15" customHeight="1" s="254">
      <c r="A157" s="257" t="inlineStr">
        <is>
          <t>Projected kWh per day</t>
        </is>
      </c>
      <c r="B157" s="306">
        <f>$B$156/365</f>
        <v/>
      </c>
      <c r="C157" s="501" t="n"/>
      <c r="D157" s="501" t="n"/>
      <c r="E157" s="501" t="n"/>
      <c r="F157" s="501" t="n"/>
      <c r="G157" s="501" t="n"/>
    </row>
    <row r="158">
      <c r="A158" s="501" t="n"/>
      <c r="B158" s="501" t="n"/>
      <c r="C158" s="501" t="n"/>
      <c r="D158" s="501" t="n"/>
      <c r="E158" s="501" t="n"/>
      <c r="F158" s="501" t="n"/>
      <c r="G158" s="501" t="n"/>
    </row>
    <row r="159" ht="31.5" customHeight="1" s="254">
      <c r="A159" s="257" t="inlineStr">
        <is>
          <t>Sanity check against capacity</t>
        </is>
      </c>
      <c r="B159" s="30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522" t="inlineStr">
        <is>
          <t>Stops an optimistic stack of uplifts producing a number the hardware cannot physically deliver.</t>
        </is>
      </c>
      <c r="E159" s="501" t="n"/>
      <c r="F159" s="501" t="n"/>
      <c r="G159" s="501" t="n"/>
    </row>
    <row r="160" ht="19.5" customHeight="1" s="254">
      <c r="A160" s="257" t="inlineStr">
        <is>
          <t>Projection against history</t>
        </is>
      </c>
      <c r="B160" s="301">
        <f>IF($B$147=0,"enter history",TEXT($B$155,"0.00")&amp;"x the historical run rate — "&amp;TEXT($B$156-$B$147,"+#,##0;-#,##0")&amp;" kWh a year")</f>
        <v/>
      </c>
      <c r="C160" s="299" t="n"/>
      <c r="D160" s="501" t="n"/>
      <c r="E160" s="501" t="n"/>
      <c r="F160" s="501" t="n"/>
      <c r="G160" s="501" t="n"/>
    </row>
    <row r="161">
      <c r="A161" s="501" t="n"/>
      <c r="B161" s="501" t="n"/>
      <c r="C161" s="501" t="n"/>
      <c r="D161" s="501" t="n"/>
      <c r="E161" s="501" t="n"/>
      <c r="F161" s="501" t="n"/>
      <c r="G161" s="501" t="n"/>
    </row>
    <row r="162" ht="15" customHeight="1" s="254">
      <c r="A162" s="262" t="inlineStr">
        <is>
          <t>Cross-check against the market</t>
        </is>
      </c>
      <c r="B162" s="501" t="n"/>
      <c r="C162" s="501" t="n"/>
      <c r="D162" s="501" t="n"/>
      <c r="E162" s="501" t="n"/>
      <c r="F162" s="501" t="n"/>
      <c r="G162" s="501" t="n"/>
    </row>
    <row r="163" ht="19.5" customHeight="1" s="254">
      <c r="A163" s="285" t="inlineStr">
        <is>
          <t>The capacity check above asks whether the hardware could physically deliver the projection. This asks whether the market would. Both have to pass, and the market one is usually the binding constraint.</t>
        </is>
      </c>
    </row>
    <row r="164" ht="39.64" customHeight="1" s="254">
      <c r="A164" s="263" t="inlineStr">
        <is>
          <t>Implied port-time utilisation</t>
        </is>
      </c>
      <c r="B164" s="315">
        <f>IF(N(Equipment!$B$26)&gt;0,IF(LEFT(Revenue!$B$59,10)="Historical",N($B$156),N(Revenue!$B$78))/365/(24*Equipment!$B$26*0.7),IF(OR(N(Revenue!$B$107)=0,N(Revenue!$B$108)=0),0,IF(LEFT(Revenue!$B$59,10)="Historical",N($B$156)/365/Revenue!$B$107,Revenue!$B$111)/(24*Revenue!$B$108*Revenue!$B$15)))</f>
        <v/>
      </c>
      <c r="C164" s="521" t="inlineStr">
        <is>
          <t>Share of the day each position delivers energy, at whichever projection is in force — history where history exists, the greenfield basis otherwise. On a site with DC capacity this is the DC stream; on an all-Level-2 site it is the Level 2 stream, in the same unit.</t>
        </is>
      </c>
      <c r="D164" s="501" t="n"/>
      <c r="E164" s="501" t="n"/>
      <c r="F164" s="501" t="n"/>
      <c r="G164" s="501" t="n"/>
    </row>
    <row r="165" ht="37.66" customHeight="1" s="254">
      <c r="A165" s="263" t="inlineStr">
        <is>
          <t>Benchmark port utilisation</t>
        </is>
      </c>
      <c r="B165" s="315">
        <f>IF(Revenue!$B$45="",0,IF(N(Equipment!$B$26)&gt;0,IFERROR(INDEX(BM_UTIL,MATCH(Revenue!$B$45,BM_STATE,0)),0),IF(N(Revenue!$B$108)*N(Revenue!$B$15)=0,0,IFERROR(INDEX(BM_L2_KWH,MATCH(Revenue!$B$45,BM_L2_STATE,0)),0)/(24*Revenue!$B$108*Revenue!$B$15))))</f>
        <v/>
      </c>
      <c r="C165" s="531"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c r="D165" s="501" t="n"/>
      <c r="E165" s="501" t="n"/>
      <c r="F165" s="501" t="n"/>
      <c r="G165" s="501" t="n"/>
    </row>
    <row r="166" ht="30.4" customHeight="1" s="254">
      <c r="A166" s="527" t="inlineStr">
        <is>
          <t>Projection as a share of the state average</t>
        </is>
      </c>
      <c r="B166" s="315">
        <f>IF(N($B$165)=0,0,N($B$164)/N($B$165))</f>
        <v/>
      </c>
      <c r="C166" s="522" t="inlineStr">
        <is>
          <t>Above 100% means the projection assumes this site beats the average Californian port.</t>
        </is>
      </c>
      <c r="D166" s="501" t="n"/>
      <c r="E166" s="501" t="n"/>
      <c r="F166" s="501" t="n"/>
      <c r="G166" s="501" t="n"/>
    </row>
    <row r="167" ht="51.52" customHeight="1" s="254">
      <c r="A167" s="257" t="inlineStr">
        <is>
          <t>Market plausibility</t>
        </is>
      </c>
      <c r="B167" s="30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522" t="inlineStr">
        <is>
          <t>A replacement can transform a site, but it cannot make it beat the market by a wide margin without a reason a reader can check. Tested against the DC benchmark on a DC site and the Level 2 benchmark on an all-Level-2 site.</t>
        </is>
      </c>
      <c r="E167" s="501" t="n"/>
      <c r="F167" s="501" t="n"/>
      <c r="G167" s="501" t="n"/>
    </row>
    <row r="168" ht="19.5" customHeight="1" s="254">
      <c r="A168" s="543" t="inlineStr">
        <is>
          <t>Market the benchmark is for</t>
        </is>
      </c>
      <c r="B168" s="320">
        <f>IF(Revenue!$B$45="","NO MARKET CHOSEN — set it on the Revenue tab",Revenue!$B$45)</f>
        <v/>
      </c>
      <c r="C168" s="505" t="inlineStr">
        <is>
          <t>Reads the Revenue tab. It is not a second place to type a market.</t>
        </is>
      </c>
      <c r="D168" s="501" t="n"/>
      <c r="E168" s="501" t="n"/>
      <c r="F168" s="501" t="n"/>
      <c r="G168" s="501" t="n"/>
    </row>
    <row r="169" ht="29.08" customHeight="1" s="254">
      <c r="A169" s="290"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c r="A170" s="501" t="n"/>
      <c r="B170" s="501" t="n"/>
      <c r="C170" s="501" t="n"/>
      <c r="D170" s="501" t="n"/>
      <c r="E170" s="501" t="n"/>
      <c r="F170" s="501" t="n"/>
      <c r="G170" s="501" t="n"/>
    </row>
    <row r="171" ht="33.04000000000001" customHeight="1" s="254">
      <c r="A171" s="529" t="inlineStr">
        <is>
          <t>H · Removal, disposal and site protection</t>
        </is>
      </c>
      <c r="B171" s="501" t="n"/>
      <c r="C171" s="501" t="n"/>
      <c r="D171" s="501" t="n"/>
      <c r="E171" s="501" t="n"/>
      <c r="F171" s="501" t="n"/>
      <c r="G171" s="501" t="n"/>
    </row>
    <row r="172" ht="19.5" customHeight="1" s="254">
      <c r="A172" s="285" t="inlineStr">
        <is>
          <t>What it costs to take the old installation out. This is real scope on a replacement project and zero on a greenfield one.</t>
        </is>
      </c>
    </row>
    <row r="173" ht="19.5" customHeight="1" s="254">
      <c r="A173" s="294" t="inlineStr">
        <is>
          <t>Item</t>
        </is>
      </c>
      <c r="B173" s="534" t="inlineStr">
        <is>
          <t>Quantity</t>
        </is>
      </c>
      <c r="C173" s="534" t="inlineStr">
        <is>
          <t>Note</t>
        </is>
      </c>
      <c r="D173" s="535" t="n"/>
      <c r="E173" s="535" t="n"/>
      <c r="F173" s="535" t="n"/>
      <c r="G173" s="535" t="n"/>
    </row>
    <row r="174" ht="29.08" customHeight="1" s="254">
      <c r="A174" s="551" t="inlineStr">
        <is>
          <t>Cabinets to disconnect and remove (ea)</t>
        </is>
      </c>
      <c r="B174" s="541" t="n"/>
      <c r="C174" s="539" t="inlineStr">
        <is>
          <t>Includes de-energising, lockout and terminations</t>
        </is>
      </c>
      <c r="D174" s="501" t="n"/>
      <c r="E174" s="501" t="n"/>
      <c r="F174" s="501" t="n"/>
      <c r="G174" s="501" t="n"/>
    </row>
    <row r="175" ht="15" customHeight="1" s="254">
      <c r="A175" s="296" t="inlineStr">
        <is>
          <t>Concrete pads to break out (ea)</t>
        </is>
      </c>
      <c r="B175" s="541" t="n"/>
      <c r="C175" s="539" t="inlineStr">
        <is>
          <t>Saw-cut, break, remove and dispose</t>
        </is>
      </c>
      <c r="D175" s="501" t="n"/>
      <c r="E175" s="501" t="n"/>
      <c r="F175" s="501" t="n"/>
      <c r="G175" s="501" t="n"/>
    </row>
    <row r="176" ht="15" customHeight="1" s="254">
      <c r="A176" s="296" t="inlineStr">
        <is>
          <t>Bollards to remove (ea)</t>
        </is>
      </c>
      <c r="B176" s="541" t="n"/>
      <c r="C176" s="552" t="n"/>
      <c r="D176" s="501" t="n"/>
      <c r="E176" s="501" t="n"/>
      <c r="F176" s="501" t="n"/>
      <c r="G176" s="501" t="n"/>
    </row>
    <row r="177" ht="15" customHeight="1" s="254">
      <c r="A177" s="296" t="inlineStr">
        <is>
          <t>Signage to remove (ea)</t>
        </is>
      </c>
      <c r="B177" s="541" t="n"/>
      <c r="C177" s="552" t="n"/>
      <c r="D177" s="501" t="n"/>
      <c r="E177" s="501" t="n"/>
      <c r="F177" s="501" t="n"/>
      <c r="G177" s="501" t="n"/>
    </row>
    <row r="178" ht="15" customHeight="1" s="254">
      <c r="A178" s="296" t="inlineStr">
        <is>
          <t>Disposal loads (ea)</t>
        </is>
      </c>
      <c r="B178" s="541" t="n"/>
      <c r="C178" s="539" t="inlineStr">
        <is>
          <t>Concrete and steel to a licensed facility</t>
        </is>
      </c>
      <c r="D178" s="501" t="n"/>
      <c r="E178" s="501" t="n"/>
      <c r="F178" s="501" t="n"/>
      <c r="G178" s="501" t="n"/>
    </row>
    <row r="179" ht="15" customHeight="1" s="254">
      <c r="A179" s="296" t="inlineStr">
        <is>
          <t>Equipment recycling or resale?</t>
        </is>
      </c>
      <c r="B179" s="536" t="n"/>
      <c r="C179" s="539" t="inlineStr">
        <is>
          <t>Working units may carry salvage value</t>
        </is>
      </c>
      <c r="D179" s="501" t="n"/>
      <c r="E179" s="501" t="n"/>
      <c r="F179" s="501" t="n"/>
      <c r="G179" s="501" t="n"/>
    </row>
    <row r="180" ht="19.5" customHeight="1" s="254">
      <c r="A180" s="296" t="inlineStr">
        <is>
          <t>Hazardous material identified?</t>
        </is>
      </c>
      <c r="B180" s="536" t="n"/>
      <c r="C180" s="537" t="inlineStr">
        <is>
          <t>Older units may contain fluids requiring special handling</t>
        </is>
      </c>
      <c r="D180" s="538" t="n"/>
      <c r="E180" s="501" t="n"/>
      <c r="F180" s="501" t="n"/>
      <c r="G180" s="501" t="n"/>
    </row>
    <row r="181" ht="29.08" customHeight="1" s="254">
      <c r="A181" s="551" t="inlineStr">
        <is>
          <t>Temporary charging required during works?</t>
        </is>
      </c>
      <c r="B181" s="536" t="n"/>
      <c r="C181" s="539" t="inlineStr">
        <is>
          <t>If the site cannot go dark, this is a separate cost</t>
        </is>
      </c>
      <c r="D181" s="501" t="n"/>
      <c r="E181" s="501" t="n"/>
      <c r="F181" s="501" t="n"/>
      <c r="G181" s="501" t="n"/>
    </row>
    <row r="182" ht="29.08" customHeight="1" s="254">
      <c r="A182" s="551" t="inlineStr">
        <is>
          <t>Site protection and traffic control (days)</t>
        </is>
      </c>
      <c r="B182" s="541" t="n"/>
      <c r="C182" s="539" t="inlineStr">
        <is>
          <t>Barriers, cones and signage around a live customer lot</t>
        </is>
      </c>
      <c r="D182" s="501" t="n"/>
      <c r="E182" s="501" t="n"/>
      <c r="F182" s="501" t="n"/>
      <c r="G182" s="501" t="n"/>
    </row>
    <row r="183">
      <c r="A183" s="501" t="n"/>
      <c r="B183" s="501" t="n"/>
      <c r="C183" s="501" t="n"/>
      <c r="D183" s="501" t="n"/>
      <c r="E183" s="501" t="n"/>
      <c r="F183" s="501" t="n"/>
      <c r="G183" s="501" t="n"/>
    </row>
    <row r="184" ht="29.08" customHeight="1" s="254">
      <c r="A184" s="263" t="inlineStr">
        <is>
          <t>•</t>
        </is>
      </c>
      <c r="B184" s="519" t="inlineStr">
        <is>
          <t>Removal, disposal and pad replacement are entered on the Construction tab as quantities like any other construction line. This section is where the quantities come from.</t>
        </is>
      </c>
      <c r="C184" s="501" t="n"/>
      <c r="D184" s="501" t="n"/>
      <c r="E184" s="501" t="n"/>
      <c r="F184" s="501" t="n"/>
      <c r="G184" s="501" t="n"/>
    </row>
    <row r="185" ht="29.08" customHeight="1" s="254">
      <c r="A185" s="263" t="inlineStr">
        <is>
          <t>•</t>
        </is>
      </c>
      <c r="B185" s="519" t="inlineStr">
        <is>
          <t>A site that must keep charging during the works needs a phased programme and possibly temporary units. That is not in the standard scope and should be priced separately.</t>
        </is>
      </c>
      <c r="C185" s="501" t="n"/>
      <c r="D185" s="501" t="n"/>
      <c r="E185" s="501" t="n"/>
      <c r="F185" s="501" t="n"/>
      <c r="G185" s="501" t="n"/>
    </row>
    <row r="186" ht="29.08" customHeight="1" s="254">
      <c r="A186" s="263" t="inlineStr">
        <is>
          <t>•</t>
        </is>
      </c>
      <c r="B186" s="519" t="inlineStr">
        <is>
          <t>Working units removed from service can carry salvage value. Where the client wants that credited, it belongs on the Overrides tab as an override, not buried in the construction estimate.</t>
        </is>
      </c>
      <c r="C186" s="501" t="n"/>
      <c r="D186" s="501" t="n"/>
      <c r="E186" s="501" t="n"/>
      <c r="F186" s="501" t="n"/>
      <c r="G186" s="501" t="n"/>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0"/>
  <cols>
    <col width="38" customWidth="1" style="253" min="1" max="1"/>
    <col width="34" customWidth="1" style="253" min="2" max="3"/>
    <col width="13" customWidth="1" style="254" min="3" max="3"/>
    <col width="17" customWidth="1" style="253" min="4" max="5"/>
    <col width="13" customWidth="1" style="254" min="5" max="5"/>
    <col width="14" customWidth="1" style="253" min="6" max="7"/>
    <col width="13" customWidth="1" style="254" min="7" max="7"/>
    <col width="19.44" customWidth="1" style="253" min="8" max="8"/>
    <col width="11" customWidth="1" style="253" min="9" max="9"/>
    <col width="10" customWidth="1" style="253" min="10" max="10"/>
    <col width="17" customWidth="1" style="253" min="11" max="11"/>
    <col width="9" customWidth="1" style="253" min="12" max="12"/>
    <col width="17" customWidth="1" style="253" min="13" max="14"/>
    <col width="13" customWidth="1" style="254" min="14" max="14"/>
    <col width="9" customWidth="1" style="253" min="15" max="15"/>
    <col width="16" customWidth="1" style="253" min="16" max="16"/>
  </cols>
  <sheetData>
    <row r="1" ht="25.5" customHeight="1" s="254">
      <c r="A1" s="255" t="inlineStr">
        <is>
          <t>2 · EQUIPMENT SCHEDULE</t>
        </is>
      </c>
      <c r="I1" s="501" t="n"/>
      <c r="J1" s="501" t="n"/>
      <c r="K1" s="501" t="n"/>
      <c r="L1" s="501" t="n"/>
      <c r="M1" s="501" t="n"/>
      <c r="N1" s="501" t="n"/>
      <c r="O1" s="501" t="n"/>
      <c r="P1" s="501" t="n"/>
    </row>
    <row r="2" ht="19.5" customHeight="1" s="254">
      <c r="A2" s="265" t="inlineStr">
        <is>
          <t>Pick the CAPACITY first, then the SKU. A distributed system is TWO kinds of line: the power cabinet, and each dispenser it feeds.</t>
        </is>
      </c>
      <c r="I2" s="501" t="n"/>
      <c r="J2" s="501" t="n"/>
      <c r="K2" s="501" t="n"/>
      <c r="L2" s="501" t="n"/>
      <c r="M2" s="501" t="n"/>
      <c r="N2" s="501" t="n"/>
      <c r="O2" s="501" t="n"/>
      <c r="P2" s="501" t="n"/>
    </row>
    <row r="3">
      <c r="A3" s="501" t="n"/>
      <c r="B3" s="501" t="n"/>
      <c r="C3" s="501" t="n"/>
      <c r="D3" s="501" t="n"/>
      <c r="E3" s="501" t="n"/>
      <c r="F3" s="501" t="n"/>
      <c r="G3" s="501" t="n"/>
      <c r="H3" s="501" t="n"/>
      <c r="I3" s="501" t="n"/>
      <c r="J3" s="501" t="n"/>
      <c r="K3" s="501" t="n"/>
      <c r="L3" s="501" t="n"/>
      <c r="M3" s="501" t="n"/>
      <c r="N3" s="501" t="n"/>
      <c r="O3" s="501" t="n"/>
      <c r="P3" s="501" t="n"/>
    </row>
    <row r="4" ht="27.76" customHeight="1" s="254">
      <c r="A4" s="265" t="inlineStr">
        <is>
          <t>Enter one row per SKU. Qty is the number of CABINETS, not ports.</t>
        </is>
      </c>
      <c r="B4" s="501" t="n"/>
      <c r="C4" s="501" t="n"/>
      <c r="D4" s="501" t="n"/>
      <c r="E4" s="501" t="n"/>
      <c r="F4" s="501" t="n"/>
      <c r="G4" s="501" t="n"/>
      <c r="H4" s="501" t="n"/>
      <c r="I4" s="501" t="n"/>
      <c r="J4" s="501" t="n"/>
      <c r="K4" s="501" t="n"/>
      <c r="L4" s="501" t="n"/>
      <c r="M4" s="501" t="n"/>
      <c r="N4" s="501" t="n"/>
      <c r="O4" s="501" t="n"/>
      <c r="P4" s="501" t="n"/>
    </row>
    <row r="5">
      <c r="A5" s="501" t="n"/>
      <c r="B5" s="501" t="n"/>
      <c r="C5" s="501" t="n"/>
      <c r="D5" s="501" t="n"/>
      <c r="E5" s="501" t="n"/>
      <c r="F5" s="501" t="n"/>
      <c r="G5" s="501" t="n"/>
      <c r="H5" s="501" t="n"/>
      <c r="I5" s="501" t="n"/>
      <c r="J5" s="501" t="n"/>
      <c r="K5" s="501" t="n"/>
      <c r="L5" s="501" t="n"/>
      <c r="M5" s="501" t="n"/>
      <c r="N5" s="501" t="n"/>
      <c r="O5" s="501" t="n"/>
      <c r="P5" s="501" t="n"/>
    </row>
    <row r="6" ht="39.64" customHeight="1" s="254">
      <c r="A6" s="294" t="inlineStr">
        <is>
          <t>Line</t>
        </is>
      </c>
      <c r="B6" s="534" t="inlineStr">
        <is>
          <t>Capacity</t>
        </is>
      </c>
      <c r="C6" s="534" t="inlineStr">
        <is>
          <t>SKU</t>
        </is>
      </c>
      <c r="D6" s="540" t="inlineStr">
        <is>
          <t>Description (auto)</t>
        </is>
      </c>
      <c r="E6" s="540" t="inlineStr">
        <is>
          <t>Role (auto)</t>
        </is>
      </c>
      <c r="F6" s="540" t="inlineStr">
        <is>
          <t>DC output kW (auto)</t>
        </is>
      </c>
      <c r="G6" s="540" t="inlineStr">
        <is>
          <t>AC input kW (auto, at the Level 2 supply voltage)</t>
        </is>
      </c>
      <c r="H6" s="540" t="inlineStr">
        <is>
          <t>Connectors (auto)</t>
        </is>
      </c>
      <c r="I6" s="540" t="inlineStr">
        <is>
          <t>Qty (units)</t>
        </is>
      </c>
      <c r="J6" s="540" t="inlineStr">
        <is>
          <t>Discount — set on the Commercial tab</t>
        </is>
      </c>
      <c r="K6" s="540" t="inlineStr">
        <is>
          <t>MSRP each (auto)</t>
        </is>
      </c>
      <c r="L6" s="540" t="inlineStr">
        <is>
          <t>Dispenser SKU (distributed only)</t>
        </is>
      </c>
      <c r="M6" s="540" t="inlineStr">
        <is>
          <t>Max dispensers (auto)</t>
        </is>
      </c>
      <c r="N6" s="540" t="inlineStr">
        <is>
          <t>Dispensers per cabinet</t>
        </is>
      </c>
      <c r="O6" s="540" t="inlineStr">
        <is>
          <t>Connectors per dispenser (1 or 2)</t>
        </is>
      </c>
      <c r="P6" s="540" t="inlineStr">
        <is>
          <t>Dispenser MSRP each (auto)</t>
        </is>
      </c>
    </row>
    <row r="7" ht="25.5" customHeight="1" s="254">
      <c r="A7" s="553" t="n">
        <v>1</v>
      </c>
      <c r="B7" s="554" t="n"/>
      <c r="C7" s="554" t="n"/>
      <c r="D7" s="324">
        <f>IFERROR(INDEX(PriceBook!$C$2:$C$203,MATCH($C7,PriceBook!$B$2:$B$203,0)),"")</f>
        <v/>
      </c>
      <c r="E7" s="324">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IF($C7="",0,IFERROR(INDEX(SPEC_ACKW,MATCH($C7,SPEC_SKU,0)),$F7)*IF(AND($E7="level_2",N($B$30)&gt;0,$B$30&lt;240),$B$30/240,1))</f>
        <v/>
      </c>
      <c r="H7" s="325">
        <f>IF($C7="",0,IF($E7="power_cabinet",N($N7)*N($O7),IFERROR(INDEX(SPEC_OUTS,MATCH($C7,SPEC_SKU,0)),IFERROR(INDEX(SKU_CONN,MATCH($C7,SKU_ALL,0)),0))))</f>
        <v/>
      </c>
      <c r="I7" s="555" t="n"/>
      <c r="J7" s="556" t="n"/>
      <c r="K7" s="329">
        <f>IFERROR(INDEX(PriceBook!$D$2:$D$203,MATCH($C7,PriceBook!$B$2:$B$203,0)),0)</f>
        <v/>
      </c>
      <c r="L7" s="554" t="n"/>
      <c r="M7" s="325">
        <f>IF($E7&lt;&gt;"power_cabinet",0,IFERROR(INDEX(SPEC_MAXDISP,MATCH($C7,SPEC_SKU,0)),0))</f>
        <v/>
      </c>
      <c r="N7" s="555" t="n"/>
      <c r="O7" s="555" t="n"/>
      <c r="P7" s="329">
        <f>IF($L7="",0,IFERROR(INDEX(PriceBook!$D$2:$D$203,MATCH($L7,PriceBook!$B$2:$B$203,0)),0))</f>
        <v/>
      </c>
    </row>
    <row r="8" ht="25.5" customHeight="1" s="254">
      <c r="A8" s="553" t="n">
        <v>2</v>
      </c>
      <c r="B8" s="554" t="n"/>
      <c r="C8" s="554" t="n"/>
      <c r="D8" s="324">
        <f>IFERROR(INDEX(PriceBook!$C$2:$C$203,MATCH($C8,PriceBook!$B$2:$B$203,0)),"")</f>
        <v/>
      </c>
      <c r="E8" s="324">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IF($C8="",0,IFERROR(INDEX(SPEC_ACKW,MATCH($C8,SPEC_SKU,0)),$F8)*IF(AND($E8="level_2",N($B$30)&gt;0,$B$30&lt;240),$B$30/240,1))</f>
        <v/>
      </c>
      <c r="H8" s="325">
        <f>IF($C8="",0,IF($E8="power_cabinet",N($N8)*N($O8),IFERROR(INDEX(SPEC_OUTS,MATCH($C8,SPEC_SKU,0)),IFERROR(INDEX(SKU_CONN,MATCH($C8,SKU_ALL,0)),0))))</f>
        <v/>
      </c>
      <c r="I8" s="555" t="n"/>
      <c r="J8" s="556" t="n"/>
      <c r="K8" s="329">
        <f>IFERROR(INDEX(PriceBook!$D$2:$D$203,MATCH($C8,PriceBook!$B$2:$B$203,0)),0)</f>
        <v/>
      </c>
      <c r="L8" s="554" t="n"/>
      <c r="M8" s="325">
        <f>IF($E8&lt;&gt;"power_cabinet",0,IFERROR(INDEX(SPEC_MAXDISP,MATCH($C8,SPEC_SKU,0)),0))</f>
        <v/>
      </c>
      <c r="N8" s="555" t="n"/>
      <c r="O8" s="555" t="n"/>
      <c r="P8" s="329">
        <f>IF($L8="",0,IFERROR(INDEX(PriceBook!$D$2:$D$203,MATCH($L8,PriceBook!$B$2:$B$203,0)),0))</f>
        <v/>
      </c>
    </row>
    <row r="9" ht="25.5" customHeight="1" s="254">
      <c r="A9" s="553" t="n">
        <v>3</v>
      </c>
      <c r="B9" s="554" t="n"/>
      <c r="C9" s="554" t="n"/>
      <c r="D9" s="324">
        <f>IFERROR(INDEX(PriceBook!$C$2:$C$203,MATCH($C9,PriceBook!$B$2:$B$203,0)),"")</f>
        <v/>
      </c>
      <c r="E9" s="324">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IF($C9="",0,IFERROR(INDEX(SPEC_ACKW,MATCH($C9,SPEC_SKU,0)),$F9)*IF(AND($E9="level_2",N($B$30)&gt;0,$B$30&lt;240),$B$30/240,1))</f>
        <v/>
      </c>
      <c r="H9" s="325">
        <f>IF($C9="",0,IF($E9="power_cabinet",N($N9)*N($O9),IFERROR(INDEX(SPEC_OUTS,MATCH($C9,SPEC_SKU,0)),IFERROR(INDEX(SKU_CONN,MATCH($C9,SKU_ALL,0)),0))))</f>
        <v/>
      </c>
      <c r="I9" s="555" t="n"/>
      <c r="J9" s="556" t="n"/>
      <c r="K9" s="329">
        <f>IFERROR(INDEX(PriceBook!$D$2:$D$203,MATCH($C9,PriceBook!$B$2:$B$203,0)),0)</f>
        <v/>
      </c>
      <c r="L9" s="554" t="n"/>
      <c r="M9" s="325">
        <f>IF($E9&lt;&gt;"power_cabinet",0,IFERROR(INDEX(SPEC_MAXDISP,MATCH($C9,SPEC_SKU,0)),0))</f>
        <v/>
      </c>
      <c r="N9" s="555" t="n"/>
      <c r="O9" s="555" t="n"/>
      <c r="P9" s="329">
        <f>IF($L9="",0,IFERROR(INDEX(PriceBook!$D$2:$D$203,MATCH($L9,PriceBook!$B$2:$B$203,0)),0))</f>
        <v/>
      </c>
    </row>
    <row r="10" ht="25.5" customHeight="1" s="254">
      <c r="A10" s="553" t="n">
        <v>4</v>
      </c>
      <c r="B10" s="554" t="n"/>
      <c r="C10" s="554" t="n"/>
      <c r="D10" s="324">
        <f>IFERROR(INDEX(PriceBook!$C$2:$C$203,MATCH($C10,PriceBook!$B$2:$B$203,0)),"")</f>
        <v/>
      </c>
      <c r="E10" s="324">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IF($C10="",0,IFERROR(INDEX(SPEC_ACKW,MATCH($C10,SPEC_SKU,0)),$F10)*IF(AND($E10="level_2",N($B$30)&gt;0,$B$30&lt;240),$B$30/240,1))</f>
        <v/>
      </c>
      <c r="H10" s="325">
        <f>IF($C10="",0,IF($E10="power_cabinet",N($N10)*N($O10),IFERROR(INDEX(SPEC_OUTS,MATCH($C10,SPEC_SKU,0)),IFERROR(INDEX(SKU_CONN,MATCH($C10,SKU_ALL,0)),0))))</f>
        <v/>
      </c>
      <c r="I10" s="555" t="n"/>
      <c r="J10" s="556" t="n"/>
      <c r="K10" s="329">
        <f>IFERROR(INDEX(PriceBook!$D$2:$D$203,MATCH($C10,PriceBook!$B$2:$B$203,0)),0)</f>
        <v/>
      </c>
      <c r="L10" s="554" t="n"/>
      <c r="M10" s="325">
        <f>IF($E10&lt;&gt;"power_cabinet",0,IFERROR(INDEX(SPEC_MAXDISP,MATCH($C10,SPEC_SKU,0)),0))</f>
        <v/>
      </c>
      <c r="N10" s="555" t="n"/>
      <c r="O10" s="555" t="n"/>
      <c r="P10" s="329">
        <f>IF($L10="",0,IFERROR(INDEX(PriceBook!$D$2:$D$203,MATCH($L10,PriceBook!$B$2:$B$203,0)),0))</f>
        <v/>
      </c>
    </row>
    <row r="11" ht="25.5" customHeight="1" s="254">
      <c r="A11" s="553" t="n">
        <v>5</v>
      </c>
      <c r="B11" s="554" t="n"/>
      <c r="C11" s="554" t="n"/>
      <c r="D11" s="324">
        <f>IFERROR(INDEX(PriceBook!$C$2:$C$203,MATCH($C11,PriceBook!$B$2:$B$203,0)),"")</f>
        <v/>
      </c>
      <c r="E11" s="324">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IF($C11="",0,IFERROR(INDEX(SPEC_ACKW,MATCH($C11,SPEC_SKU,0)),$F11)*IF(AND($E11="level_2",N($B$30)&gt;0,$B$30&lt;240),$B$30/240,1))</f>
        <v/>
      </c>
      <c r="H11" s="325">
        <f>IF($C11="",0,IF($E11="power_cabinet",N($N11)*N($O11),IFERROR(INDEX(SPEC_OUTS,MATCH($C11,SPEC_SKU,0)),IFERROR(INDEX(SKU_CONN,MATCH($C11,SKU_ALL,0)),0))))</f>
        <v/>
      </c>
      <c r="I11" s="555" t="n"/>
      <c r="J11" s="556" t="n"/>
      <c r="K11" s="329">
        <f>IFERROR(INDEX(PriceBook!$D$2:$D$203,MATCH($C11,PriceBook!$B$2:$B$203,0)),0)</f>
        <v/>
      </c>
      <c r="L11" s="554" t="n"/>
      <c r="M11" s="325">
        <f>IF($E11&lt;&gt;"power_cabinet",0,IFERROR(INDEX(SPEC_MAXDISP,MATCH($C11,SPEC_SKU,0)),0))</f>
        <v/>
      </c>
      <c r="N11" s="555" t="n"/>
      <c r="O11" s="555" t="n"/>
      <c r="P11" s="329">
        <f>IF($L11="",0,IFERROR(INDEX(PriceBook!$D$2:$D$203,MATCH($L11,PriceBook!$B$2:$B$203,0)),0))</f>
        <v/>
      </c>
    </row>
    <row r="12" ht="25.5" customHeight="1" s="254">
      <c r="A12" s="553" t="n">
        <v>6</v>
      </c>
      <c r="B12" s="554" t="n"/>
      <c r="C12" s="554" t="n"/>
      <c r="D12" s="324">
        <f>IFERROR(INDEX(PriceBook!$C$2:$C$203,MATCH($C12,PriceBook!$B$2:$B$203,0)),"")</f>
        <v/>
      </c>
      <c r="E12" s="324">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IF($C12="",0,IFERROR(INDEX(SPEC_ACKW,MATCH($C12,SPEC_SKU,0)),$F12)*IF(AND($E12="level_2",N($B$30)&gt;0,$B$30&lt;240),$B$30/240,1))</f>
        <v/>
      </c>
      <c r="H12" s="325">
        <f>IF($C12="",0,IF($E12="power_cabinet",N($N12)*N($O12),IFERROR(INDEX(SPEC_OUTS,MATCH($C12,SPEC_SKU,0)),IFERROR(INDEX(SKU_CONN,MATCH($C12,SKU_ALL,0)),0))))</f>
        <v/>
      </c>
      <c r="I12" s="555" t="n"/>
      <c r="J12" s="556" t="n"/>
      <c r="K12" s="329">
        <f>IFERROR(INDEX(PriceBook!$D$2:$D$203,MATCH($C12,PriceBook!$B$2:$B$203,0)),0)</f>
        <v/>
      </c>
      <c r="L12" s="554" t="n"/>
      <c r="M12" s="325">
        <f>IF($E12&lt;&gt;"power_cabinet",0,IFERROR(INDEX(SPEC_MAXDISP,MATCH($C12,SPEC_SKU,0)),0))</f>
        <v/>
      </c>
      <c r="N12" s="555" t="n"/>
      <c r="O12" s="555" t="n"/>
      <c r="P12" s="329">
        <f>IF($L12="",0,IFERROR(INDEX(PriceBook!$D$2:$D$203,MATCH($L12,PriceBook!$B$2:$B$203,0)),0))</f>
        <v/>
      </c>
    </row>
    <row r="13" ht="25.5" customHeight="1" s="254">
      <c r="A13" s="553" t="n">
        <v>7</v>
      </c>
      <c r="B13" s="554" t="n"/>
      <c r="C13" s="554" t="n"/>
      <c r="D13" s="324">
        <f>IFERROR(INDEX(PriceBook!$C$2:$C$203,MATCH($C13,PriceBook!$B$2:$B$203,0)),"")</f>
        <v/>
      </c>
      <c r="E13" s="324">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IF($C13="",0,IFERROR(INDEX(SPEC_ACKW,MATCH($C13,SPEC_SKU,0)),$F13)*IF(AND($E13="level_2",N($B$30)&gt;0,$B$30&lt;240),$B$30/240,1))</f>
        <v/>
      </c>
      <c r="H13" s="325">
        <f>IF($C13="",0,IF($E13="power_cabinet",N($N13)*N($O13),IFERROR(INDEX(SPEC_OUTS,MATCH($C13,SPEC_SKU,0)),IFERROR(INDEX(SKU_CONN,MATCH($C13,SKU_ALL,0)),0))))</f>
        <v/>
      </c>
      <c r="I13" s="555" t="n"/>
      <c r="J13" s="556" t="n"/>
      <c r="K13" s="329">
        <f>IFERROR(INDEX(PriceBook!$D$2:$D$203,MATCH($C13,PriceBook!$B$2:$B$203,0)),0)</f>
        <v/>
      </c>
      <c r="L13" s="554" t="n"/>
      <c r="M13" s="325">
        <f>IF($E13&lt;&gt;"power_cabinet",0,IFERROR(INDEX(SPEC_MAXDISP,MATCH($C13,SPEC_SKU,0)),0))</f>
        <v/>
      </c>
      <c r="N13" s="555" t="n"/>
      <c r="O13" s="555" t="n"/>
      <c r="P13" s="329">
        <f>IF($L13="",0,IFERROR(INDEX(PriceBook!$D$2:$D$203,MATCH($L13,PriceBook!$B$2:$B$203,0)),0))</f>
        <v/>
      </c>
    </row>
    <row r="14" ht="25.5" customHeight="1" s="254">
      <c r="A14" s="553" t="n">
        <v>8</v>
      </c>
      <c r="B14" s="554" t="n"/>
      <c r="C14" s="554" t="n"/>
      <c r="D14" s="324">
        <f>IFERROR(INDEX(PriceBook!$C$2:$C$203,MATCH($C14,PriceBook!$B$2:$B$203,0)),"")</f>
        <v/>
      </c>
      <c r="E14" s="324">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IF($C14="",0,IFERROR(INDEX(SPEC_ACKW,MATCH($C14,SPEC_SKU,0)),$F14)*IF(AND($E14="level_2",N($B$30)&gt;0,$B$30&lt;240),$B$30/240,1))</f>
        <v/>
      </c>
      <c r="H14" s="325">
        <f>IF($C14="",0,IF($E14="power_cabinet",N($N14)*N($O14),IFERROR(INDEX(SPEC_OUTS,MATCH($C14,SPEC_SKU,0)),IFERROR(INDEX(SKU_CONN,MATCH($C14,SKU_ALL,0)),0))))</f>
        <v/>
      </c>
      <c r="I14" s="555" t="n"/>
      <c r="J14" s="556" t="n"/>
      <c r="K14" s="329">
        <f>IFERROR(INDEX(PriceBook!$D$2:$D$203,MATCH($C14,PriceBook!$B$2:$B$203,0)),0)</f>
        <v/>
      </c>
      <c r="L14" s="554" t="n"/>
      <c r="M14" s="325">
        <f>IF($E14&lt;&gt;"power_cabinet",0,IFERROR(INDEX(SPEC_MAXDISP,MATCH($C14,SPEC_SKU,0)),0))</f>
        <v/>
      </c>
      <c r="N14" s="555" t="n"/>
      <c r="O14" s="555" t="n"/>
      <c r="P14" s="329">
        <f>IF($L14="",0,IFERROR(INDEX(PriceBook!$D$2:$D$203,MATCH($L14,PriceBook!$B$2:$B$203,0)),0))</f>
        <v/>
      </c>
    </row>
    <row r="15" ht="25.5" customHeight="1" s="254">
      <c r="A15" s="553" t="n">
        <v>9</v>
      </c>
      <c r="B15" s="554" t="n"/>
      <c r="C15" s="554" t="n"/>
      <c r="D15" s="324">
        <f>IFERROR(INDEX(PriceBook!$C$2:$C$203,MATCH($C15,PriceBook!$B$2:$B$203,0)),"")</f>
        <v/>
      </c>
      <c r="E15" s="324">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IF($C15="",0,IFERROR(INDEX(SPEC_ACKW,MATCH($C15,SPEC_SKU,0)),$F15)*IF(AND($E15="level_2",N($B$30)&gt;0,$B$30&lt;240),$B$30/240,1))</f>
        <v/>
      </c>
      <c r="H15" s="325">
        <f>IF($C15="",0,IF($E15="power_cabinet",N($N15)*N($O15),IFERROR(INDEX(SPEC_OUTS,MATCH($C15,SPEC_SKU,0)),IFERROR(INDEX(SKU_CONN,MATCH($C15,SKU_ALL,0)),0))))</f>
        <v/>
      </c>
      <c r="I15" s="555" t="n"/>
      <c r="J15" s="556" t="n"/>
      <c r="K15" s="329">
        <f>IFERROR(INDEX(PriceBook!$D$2:$D$203,MATCH($C15,PriceBook!$B$2:$B$203,0)),0)</f>
        <v/>
      </c>
      <c r="L15" s="554" t="n"/>
      <c r="M15" s="325">
        <f>IF($E15&lt;&gt;"power_cabinet",0,IFERROR(INDEX(SPEC_MAXDISP,MATCH($C15,SPEC_SKU,0)),0))</f>
        <v/>
      </c>
      <c r="N15" s="555" t="n"/>
      <c r="O15" s="555" t="n"/>
      <c r="P15" s="329">
        <f>IF($L15="",0,IFERROR(INDEX(PriceBook!$D$2:$D$203,MATCH($L15,PriceBook!$B$2:$B$203,0)),0))</f>
        <v/>
      </c>
    </row>
    <row r="16" ht="25.5" customHeight="1" s="254">
      <c r="A16" s="553" t="n">
        <v>10</v>
      </c>
      <c r="B16" s="554" t="n"/>
      <c r="C16" s="554" t="n"/>
      <c r="D16" s="324">
        <f>IFERROR(INDEX(PriceBook!$C$2:$C$203,MATCH($C16,PriceBook!$B$2:$B$203,0)),"")</f>
        <v/>
      </c>
      <c r="E16" s="324">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IF($C16="",0,IFERROR(INDEX(SPEC_ACKW,MATCH($C16,SPEC_SKU,0)),$F16)*IF(AND($E16="level_2",N($B$30)&gt;0,$B$30&lt;240),$B$30/240,1))</f>
        <v/>
      </c>
      <c r="H16" s="325">
        <f>IF($C16="",0,IF($E16="power_cabinet",N($N16)*N($O16),IFERROR(INDEX(SPEC_OUTS,MATCH($C16,SPEC_SKU,0)),IFERROR(INDEX(SKU_CONN,MATCH($C16,SKU_ALL,0)),0))))</f>
        <v/>
      </c>
      <c r="I16" s="555" t="n"/>
      <c r="J16" s="556" t="n"/>
      <c r="K16" s="329">
        <f>IFERROR(INDEX(PriceBook!$D$2:$D$203,MATCH($C16,PriceBook!$B$2:$B$203,0)),0)</f>
        <v/>
      </c>
      <c r="L16" s="554" t="n"/>
      <c r="M16" s="325">
        <f>IF($E16&lt;&gt;"power_cabinet",0,IFERROR(INDEX(SPEC_MAXDISP,MATCH($C16,SPEC_SKU,0)),0))</f>
        <v/>
      </c>
      <c r="N16" s="555" t="n"/>
      <c r="O16" s="555" t="n"/>
      <c r="P16" s="329">
        <f>IF($L16="",0,IFERROR(INDEX(PriceBook!$D$2:$D$203,MATCH($L16,PriceBook!$B$2:$B$203,0)),0))</f>
        <v/>
      </c>
    </row>
    <row r="17" ht="25.5" customHeight="1" s="254">
      <c r="A17" s="553" t="n">
        <v>11</v>
      </c>
      <c r="B17" s="554" t="n"/>
      <c r="C17" s="554" t="n"/>
      <c r="D17" s="324">
        <f>IFERROR(INDEX(PriceBook!$C$2:$C$203,MATCH($C17,PriceBook!$B$2:$B$203,0)),"")</f>
        <v/>
      </c>
      <c r="E17" s="324">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IF($C17="",0,IFERROR(INDEX(SPEC_ACKW,MATCH($C17,SPEC_SKU,0)),$F17)*IF(AND($E17="level_2",N($B$30)&gt;0,$B$30&lt;240),$B$30/240,1))</f>
        <v/>
      </c>
      <c r="H17" s="325">
        <f>IF($C17="",0,IF($E17="power_cabinet",N($N17)*N($O17),IFERROR(INDEX(SPEC_OUTS,MATCH($C17,SPEC_SKU,0)),IFERROR(INDEX(SKU_CONN,MATCH($C17,SKU_ALL,0)),0))))</f>
        <v/>
      </c>
      <c r="I17" s="555" t="n"/>
      <c r="J17" s="556" t="n"/>
      <c r="K17" s="329">
        <f>IFERROR(INDEX(PriceBook!$D$2:$D$203,MATCH($C17,PriceBook!$B$2:$B$203,0)),0)</f>
        <v/>
      </c>
      <c r="L17" s="554" t="n"/>
      <c r="M17" s="325">
        <f>IF($E17&lt;&gt;"power_cabinet",0,IFERROR(INDEX(SPEC_MAXDISP,MATCH($C17,SPEC_SKU,0)),0))</f>
        <v/>
      </c>
      <c r="N17" s="555" t="n"/>
      <c r="O17" s="555" t="n"/>
      <c r="P17" s="329">
        <f>IF($L17="",0,IFERROR(INDEX(PriceBook!$D$2:$D$203,MATCH($L17,PriceBook!$B$2:$B$203,0)),0))</f>
        <v/>
      </c>
    </row>
    <row r="18" ht="25.5" customHeight="1" s="254">
      <c r="A18" s="553" t="n">
        <v>12</v>
      </c>
      <c r="B18" s="554" t="n"/>
      <c r="C18" s="554" t="n"/>
      <c r="D18" s="324">
        <f>IFERROR(INDEX(PriceBook!$C$2:$C$203,MATCH($C18,PriceBook!$B$2:$B$203,0)),"")</f>
        <v/>
      </c>
      <c r="E18" s="324">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IF($C18="",0,IFERROR(INDEX(SPEC_ACKW,MATCH($C18,SPEC_SKU,0)),$F18)*IF(AND($E18="level_2",N($B$30)&gt;0,$B$30&lt;240),$B$30/240,1))</f>
        <v/>
      </c>
      <c r="H18" s="325">
        <f>IF($C18="",0,IF($E18="power_cabinet",N($N18)*N($O18),IFERROR(INDEX(SPEC_OUTS,MATCH($C18,SPEC_SKU,0)),IFERROR(INDEX(SKU_CONN,MATCH($C18,SKU_ALL,0)),0))))</f>
        <v/>
      </c>
      <c r="I18" s="555" t="n"/>
      <c r="J18" s="556" t="n"/>
      <c r="K18" s="329">
        <f>IFERROR(INDEX(PriceBook!$D$2:$D$203,MATCH($C18,PriceBook!$B$2:$B$203,0)),0)</f>
        <v/>
      </c>
      <c r="L18" s="554" t="n"/>
      <c r="M18" s="325">
        <f>IF($E18&lt;&gt;"power_cabinet",0,IFERROR(INDEX(SPEC_MAXDISP,MATCH($C18,SPEC_SKU,0)),0))</f>
        <v/>
      </c>
      <c r="N18" s="555" t="n"/>
      <c r="O18" s="555" t="n"/>
      <c r="P18" s="329">
        <f>IF($L18="",0,IFERROR(INDEX(PriceBook!$D$2:$D$203,MATCH($L18,PriceBook!$B$2:$B$203,0)),0))</f>
        <v/>
      </c>
    </row>
    <row r="19">
      <c r="A19" s="501" t="n"/>
      <c r="B19" s="501" t="n"/>
      <c r="C19" s="501" t="n"/>
      <c r="D19" s="501" t="n"/>
      <c r="E19" s="501" t="n"/>
      <c r="F19" s="501" t="n"/>
      <c r="G19" s="501" t="n"/>
      <c r="H19" s="501" t="n"/>
      <c r="I19" s="501" t="n"/>
      <c r="J19" s="501" t="n"/>
      <c r="K19" s="501" t="n"/>
      <c r="L19" s="501" t="n"/>
      <c r="M19" s="501" t="n"/>
      <c r="N19" s="501" t="n"/>
      <c r="O19" s="501" t="n"/>
      <c r="P19" s="501" t="n"/>
    </row>
    <row r="20" ht="19.5" customHeight="1" s="254">
      <c r="A20" s="263" t="inlineStr">
        <is>
          <t>Charging units (excludes accessories)</t>
        </is>
      </c>
      <c r="B20" s="330">
        <f>SUMPRODUCT(--($H$7:$H$18&gt;0),$I$7:$I$18)</f>
        <v/>
      </c>
      <c r="C20" s="507" t="inlineStr">
        <is>
          <t>Units a driver plugs into — dispensers, all-in-one chargers and Level 2. A power cabinet has no connectors and is not one.</t>
        </is>
      </c>
      <c r="D20" s="501" t="n"/>
      <c r="E20" s="501" t="n"/>
      <c r="F20" s="501" t="n"/>
      <c r="G20" s="501" t="n"/>
      <c r="H20" s="501" t="n"/>
      <c r="I20" s="501" t="n"/>
      <c r="J20" s="501" t="n"/>
      <c r="K20" s="501" t="n"/>
      <c r="L20" s="501" t="n"/>
      <c r="M20" s="501" t="n"/>
      <c r="N20" s="501" t="n"/>
      <c r="O20" s="501" t="n"/>
      <c r="P20" s="501" t="n"/>
    </row>
    <row r="21" ht="31.5" customHeight="1" s="254">
      <c r="A21" s="527" t="inlineStr">
        <is>
          <t>AC-connected units — cabinets and all-in-ones</t>
        </is>
      </c>
      <c r="B21" s="330">
        <f>SUMPRODUCT(($E$7:$E$18="power_cabinet")+($E$7:$E$18="all_in_one"),$I$7:$I$18)</f>
        <v/>
      </c>
      <c r="C21" s="507" t="inlineStr">
        <is>
          <t>Each of these needs its own AC run from the switchgear, and a placement distance on the Electrical tab.</t>
        </is>
      </c>
      <c r="D21" s="501" t="n"/>
      <c r="E21" s="501" t="n"/>
      <c r="F21" s="501" t="n"/>
      <c r="G21" s="501" t="n"/>
      <c r="H21" s="501" t="n"/>
      <c r="I21" s="501" t="n"/>
      <c r="J21" s="501" t="n"/>
      <c r="K21" s="501" t="n"/>
      <c r="L21" s="501" t="n"/>
      <c r="M21" s="501" t="n"/>
      <c r="N21" s="501" t="n"/>
      <c r="O21" s="501" t="n"/>
      <c r="P21" s="501" t="n"/>
    </row>
    <row r="22" ht="19.5" customHeight="1" s="254">
      <c r="A22" s="263" t="inlineStr">
        <is>
          <t>Total ports</t>
        </is>
      </c>
      <c r="B22" s="330">
        <f>SUMPRODUCT($H$7:$H$18,$I$7:$I$18)</f>
        <v/>
      </c>
      <c r="C22" s="507" t="inlineStr">
        <is>
          <t>Connectors x units. The EVOLV billing basis. Dispensers carry the ports on a distributed system; the cabinet carries none.</t>
        </is>
      </c>
      <c r="D22" s="501" t="n"/>
      <c r="E22" s="501" t="n"/>
      <c r="F22" s="501" t="n"/>
      <c r="G22" s="501" t="n"/>
      <c r="H22" s="501" t="n"/>
      <c r="I22" s="501" t="n"/>
      <c r="J22" s="501" t="n"/>
      <c r="K22" s="501" t="n"/>
      <c r="L22" s="501" t="n"/>
      <c r="M22" s="501" t="n"/>
      <c r="N22" s="501" t="n"/>
      <c r="O22" s="501" t="n"/>
      <c r="P22" s="501" t="n"/>
    </row>
    <row r="23" ht="27.76" customHeight="1" s="254">
      <c r="A23" s="263" t="inlineStr">
        <is>
          <t>Total connected load (kW)</t>
        </is>
      </c>
      <c r="B23" s="330">
        <f>SUMPRODUCT(($E$7:$E$18="power_cabinet")+($E$7:$E$18="all_in_one")+($E$7:$E$18="level_2"),$G$7:$G$18,$I$7:$I$18)</f>
        <v/>
      </c>
      <c r="C23" s="507" t="inlineStr">
        <is>
          <t>AC input, which is what the switchgear sees — a 480 kW cabinet draws 524 kW. Dispensers add nothing: their power comes from the cabinet, not the switchgear.</t>
        </is>
      </c>
      <c r="D23" s="501" t="n"/>
      <c r="E23" s="501" t="n"/>
      <c r="F23" s="501" t="n"/>
      <c r="G23" s="501" t="n"/>
      <c r="H23" s="501" t="n"/>
      <c r="I23" s="501" t="n"/>
      <c r="J23" s="501" t="n"/>
      <c r="K23" s="501" t="n"/>
      <c r="L23" s="501" t="n"/>
      <c r="M23" s="501" t="n"/>
      <c r="N23" s="501" t="n"/>
      <c r="O23" s="501" t="n"/>
      <c r="P23" s="501" t="n"/>
    </row>
    <row r="24" ht="33.04000000000001" customHeight="1" s="254">
      <c r="A24" s="263" t="inlineStr">
        <is>
          <t>Equipment MSRP total</t>
        </is>
      </c>
      <c r="B24" s="331">
        <f>SUMPRODUCT($I$7:$I$18,$K$7:$K$18)+SUMPRODUCT($I$7:$I$18,$N$7:$N$18,$P$7:$P$18)</f>
        <v/>
      </c>
      <c r="C24" s="557" t="inlineStr">
        <is>
          <t>Catalogue SKUs at their price-book price, plus any dispensers priced by hand on the cabinet row.</t>
        </is>
      </c>
      <c r="D24" s="501" t="n"/>
      <c r="E24" s="501" t="n"/>
      <c r="F24" s="501" t="n"/>
      <c r="G24" s="501" t="n"/>
      <c r="H24" s="501" t="n"/>
      <c r="I24" s="501" t="n"/>
      <c r="J24" s="501" t="n"/>
      <c r="K24" s="501" t="n"/>
      <c r="L24" s="501" t="n"/>
      <c r="M24" s="501" t="n"/>
      <c r="N24" s="501" t="n"/>
      <c r="O24" s="501" t="n"/>
      <c r="P24" s="501" t="n"/>
    </row>
    <row r="25" ht="19.5" customHeight="1" s="254">
      <c r="A25" s="263" t="inlineStr">
        <is>
          <t>Equipment after discount</t>
        </is>
      </c>
      <c r="B25" s="331">
        <f>$B$24*(1-Commercial!$B$5)</f>
        <v/>
      </c>
      <c r="C25" s="507" t="inlineStr">
        <is>
          <t>Sales tax is computed on THIS, not on MSRP. The discount is the one on the Commercial tab — there is no per-line discount any more.</t>
        </is>
      </c>
      <c r="D25" s="501" t="n"/>
      <c r="E25" s="501" t="n"/>
      <c r="F25" s="501" t="n"/>
      <c r="G25" s="501" t="n"/>
      <c r="H25" s="501" t="n"/>
      <c r="I25" s="501" t="n"/>
      <c r="J25" s="501" t="n"/>
      <c r="K25" s="501" t="n"/>
      <c r="L25" s="501" t="n"/>
      <c r="M25" s="501" t="n"/>
      <c r="N25" s="501" t="n"/>
      <c r="O25" s="501" t="n"/>
      <c r="P25" s="501" t="n"/>
    </row>
    <row r="26" ht="31.5" customHeight="1" s="254">
      <c r="A26" s="545" t="inlineStr">
        <is>
          <t>of which DC fast-charging capacity (kW)</t>
        </is>
      </c>
      <c r="B26" s="333">
        <f>SUMPRODUCT(($E$7:$E$18="power_cabinet")+($E$7:$E$18="all_in_one"),$F$7:$F$18,$I$7:$I$18)</f>
        <v/>
      </c>
      <c r="C26" s="558" t="inlineStr">
        <is>
          <t>DC output. The LCFS credit basis. Counted once, at the cabinet — never again at the dispenser.</t>
        </is>
      </c>
      <c r="D26" s="501" t="n"/>
      <c r="E26" s="501" t="n"/>
      <c r="F26" s="501" t="n"/>
      <c r="G26" s="501" t="n"/>
      <c r="H26" s="501" t="n"/>
      <c r="I26" s="501" t="n"/>
      <c r="J26" s="501" t="n"/>
      <c r="K26" s="501" t="n"/>
      <c r="L26" s="501" t="n"/>
      <c r="M26" s="501" t="n"/>
      <c r="N26" s="501" t="n"/>
      <c r="O26" s="501" t="n"/>
      <c r="P26" s="501" t="n"/>
    </row>
    <row r="27" ht="33.04000000000001" customHeight="1" s="254">
      <c r="A27" s="335" t="inlineStr">
        <is>
          <t>Scope of work sentence (one line, must match the rows above)</t>
        </is>
      </c>
      <c r="B27" s="559" t="n"/>
      <c r="C27" s="501" t="n"/>
      <c r="D27" s="501" t="n"/>
      <c r="E27" s="501" t="n"/>
      <c r="F27" s="501" t="n"/>
      <c r="G27" s="501" t="n"/>
      <c r="H27" s="501" t="n"/>
      <c r="I27" s="501" t="n"/>
      <c r="J27" s="501" t="n"/>
      <c r="K27" s="501" t="n"/>
      <c r="L27" s="501" t="n"/>
      <c r="M27" s="501" t="n"/>
      <c r="N27" s="501" t="n"/>
      <c r="O27" s="501" t="n"/>
      <c r="P27" s="501" t="n"/>
    </row>
    <row r="28" ht="14.25" customHeight="1" s="254">
      <c r="A28" s="560" t="n"/>
      <c r="B28" s="560" t="n"/>
      <c r="C28" s="560" t="n"/>
      <c r="D28" s="560" t="n"/>
      <c r="E28" s="560" t="n"/>
      <c r="F28" s="560" t="n"/>
      <c r="G28" s="560" t="n"/>
      <c r="H28" s="560" t="n"/>
      <c r="I28" s="560" t="n"/>
      <c r="J28" s="560" t="n"/>
      <c r="K28" s="560" t="n"/>
      <c r="L28" s="560" t="n"/>
      <c r="M28" s="560" t="n"/>
      <c r="N28" s="560" t="n"/>
      <c r="O28" s="560" t="n"/>
      <c r="P28" s="560" t="n"/>
    </row>
    <row r="29" ht="27.76" customHeight="1" s="254">
      <c r="A29" s="501" t="n"/>
      <c r="B29" s="507" t="inlineStr">
        <is>
          <t>Write it from the table, e.g. "Installation of (4) 360 kW dual-port DC fast chargers — 8 charging positions".</t>
        </is>
      </c>
      <c r="C29" s="501" t="n"/>
      <c r="D29" s="501" t="n"/>
      <c r="E29" s="501" t="n"/>
      <c r="F29" s="501" t="n"/>
      <c r="G29" s="501" t="n"/>
      <c r="H29" s="501" t="n"/>
      <c r="I29" s="501" t="n"/>
      <c r="J29" s="501" t="n"/>
      <c r="K29" s="501" t="n"/>
      <c r="L29" s="501" t="n"/>
      <c r="M29" s="501" t="n"/>
      <c r="N29" s="501" t="n"/>
      <c r="O29" s="501" t="n"/>
      <c r="P29" s="501" t="n"/>
    </row>
    <row r="30" ht="336.64" customHeight="1" s="254">
      <c r="A30" s="545" t="inlineStr">
        <is>
          <t>Level 2 supply voltage (V)</t>
        </is>
      </c>
      <c r="B30" s="624" t="n"/>
      <c r="C30" s="265"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501" t="n"/>
      <c r="E30" s="501" t="n"/>
      <c r="F30" s="501" t="n"/>
      <c r="G30" s="501" t="n"/>
      <c r="H30" s="501" t="n"/>
      <c r="I30" s="501" t="n"/>
      <c r="J30" s="501" t="n"/>
      <c r="K30" s="501" t="n"/>
      <c r="L30" s="501" t="n"/>
      <c r="M30" s="501" t="n"/>
      <c r="N30" s="501" t="n"/>
      <c r="O30" s="501" t="n"/>
      <c r="P30" s="501" t="n"/>
    </row>
    <row r="31">
      <c r="A31" s="501" t="n"/>
      <c r="B31" s="501" t="n"/>
      <c r="C31" s="501" t="n"/>
      <c r="D31" s="501" t="n"/>
      <c r="E31" s="501" t="n"/>
      <c r="F31" s="501" t="n"/>
      <c r="G31" s="501" t="n"/>
      <c r="H31" s="501" t="n"/>
      <c r="I31" s="501" t="n"/>
      <c r="J31" s="501" t="n"/>
      <c r="K31" s="501" t="n"/>
      <c r="L31" s="501" t="n"/>
      <c r="M31" s="501" t="n"/>
      <c r="N31" s="501" t="n"/>
      <c r="O31" s="501" t="n"/>
      <c r="P31" s="501" t="n"/>
    </row>
    <row r="32" ht="33.04000000000001" customHeight="1" s="254">
      <c r="A32" s="335" t="inlineStr">
        <is>
          <t>Distributed system — do the dispensers fit the cabinets?</t>
        </is>
      </c>
      <c r="B32" s="501" t="n"/>
      <c r="C32" s="501" t="n"/>
      <c r="D32" s="501" t="n"/>
      <c r="E32" s="501" t="n"/>
      <c r="F32" s="501" t="n"/>
      <c r="G32" s="501" t="n"/>
      <c r="H32" s="501" t="n"/>
      <c r="I32" s="501" t="n"/>
      <c r="J32" s="501" t="n"/>
      <c r="K32" s="501" t="n"/>
      <c r="L32" s="501" t="n"/>
      <c r="M32" s="501" t="n"/>
      <c r="N32" s="501" t="n"/>
      <c r="O32" s="501" t="n"/>
      <c r="P32" s="501" t="n"/>
    </row>
    <row r="33" ht="27.76" customHeight="1" s="254">
      <c r="A33" s="285" t="inlineStr">
        <is>
          <t>Only relevant when a power cabinet is on the schedule. A cabinet feeds a limited number of DC outputs; each dual dispenser consumes two of them. Every dispenser also needs a DC run back to its cabinet — schedule those on the Electrical tab.</t>
        </is>
      </c>
      <c r="I33" s="501" t="n"/>
      <c r="J33" s="501" t="n"/>
      <c r="K33" s="501" t="n"/>
      <c r="L33" s="501" t="n"/>
      <c r="M33" s="501" t="n"/>
      <c r="N33" s="501" t="n"/>
      <c r="O33" s="501" t="n"/>
      <c r="P33" s="501" t="n"/>
    </row>
    <row r="34" ht="24" customHeight="1" s="254">
      <c r="A34" s="337" t="inlineStr">
        <is>
          <t>Power cabinets on site</t>
        </is>
      </c>
      <c r="B34" s="337">
        <f>SUMPRODUCT(--($E$7:$E$18="power_cabinet"),$I$7:$I$18)</f>
        <v/>
      </c>
      <c r="C34" s="501" t="n"/>
      <c r="D34" s="501" t="n"/>
      <c r="E34" s="501" t="n"/>
      <c r="F34" s="501" t="n"/>
      <c r="G34" s="501" t="n"/>
      <c r="H34" s="501" t="n"/>
      <c r="I34" s="501" t="n"/>
      <c r="J34" s="501" t="n"/>
      <c r="K34" s="501" t="n"/>
      <c r="L34" s="501" t="n"/>
      <c r="M34" s="501" t="n"/>
      <c r="N34" s="501" t="n"/>
      <c r="O34" s="501" t="n"/>
      <c r="P34" s="501" t="n"/>
    </row>
    <row r="35" ht="19.5" customHeight="1" s="254">
      <c r="A35" s="337" t="inlineStr">
        <is>
          <t>Dispensers those cabinets can take</t>
        </is>
      </c>
      <c r="B35" s="337">
        <f>SUMPRODUCT($M$7:$M$18,$I$7:$I$18)</f>
        <v/>
      </c>
      <c r="C35" s="561" t="inlineStr">
        <is>
          <t>From the architecture table: a 480 kW cabinet takes up to 3 dual dispensers, a 1.28 MW up to 8.</t>
        </is>
      </c>
      <c r="D35" s="501" t="n"/>
      <c r="E35" s="501" t="n"/>
      <c r="F35" s="501" t="n"/>
      <c r="G35" s="501" t="n"/>
      <c r="H35" s="501" t="n"/>
      <c r="I35" s="501" t="n"/>
      <c r="J35" s="501" t="n"/>
      <c r="K35" s="501" t="n"/>
      <c r="L35" s="501" t="n"/>
      <c r="M35" s="501" t="n"/>
      <c r="N35" s="501" t="n"/>
      <c r="O35" s="501" t="n"/>
      <c r="P35" s="501" t="n"/>
    </row>
    <row r="36" ht="19.5" customHeight="1" s="254">
      <c r="A36" s="337" t="inlineStr">
        <is>
          <t>Dispensers on the cabinet rows</t>
        </is>
      </c>
      <c r="B36" s="337">
        <f>SUMPRODUCT(--($E$7:$E$18="power_cabinet"),$N$7:$N$18,$I$7:$I$18)</f>
        <v/>
      </c>
      <c r="C36" s="561" t="inlineStr">
        <is>
          <t>Dispensers per cabinet x the number of cabinets. This is now the only way a dispenser is entered.</t>
        </is>
      </c>
      <c r="D36" s="501" t="n"/>
      <c r="E36" s="501" t="n"/>
      <c r="F36" s="501" t="n"/>
      <c r="G36" s="501" t="n"/>
      <c r="H36" s="501" t="n"/>
      <c r="I36" s="501" t="n"/>
      <c r="J36" s="501" t="n"/>
      <c r="K36" s="501" t="n"/>
      <c r="L36" s="501" t="n"/>
      <c r="M36" s="501" t="n"/>
      <c r="N36" s="501" t="n"/>
      <c r="O36" s="501" t="n"/>
      <c r="P36" s="501" t="n"/>
    </row>
    <row r="37" ht="29.08" customHeight="1" s="254">
      <c r="A37" s="562" t="inlineStr">
        <is>
          <t>Dispensers entered on a line of their own</t>
        </is>
      </c>
      <c r="B37" s="337">
        <f>SUMPRODUCT(--($E$7:$E$18="dispenser"),$I$7:$I$18)</f>
        <v/>
      </c>
      <c r="C37" s="561" t="inlineStr">
        <is>
          <t>Should always be zero. A dispenser belongs on its cabinet row, not on a line of its own.</t>
        </is>
      </c>
      <c r="D37" s="501" t="n"/>
      <c r="E37" s="501" t="n"/>
      <c r="F37" s="501" t="n"/>
      <c r="G37" s="501" t="n"/>
      <c r="H37" s="501" t="n"/>
      <c r="I37" s="501" t="n"/>
      <c r="J37" s="501" t="n"/>
      <c r="K37" s="501" t="n"/>
      <c r="L37" s="501" t="n"/>
      <c r="M37" s="501" t="n"/>
      <c r="N37" s="501" t="n"/>
      <c r="O37" s="501" t="n"/>
      <c r="P37" s="501" t="n"/>
    </row>
    <row r="38" ht="24" customHeight="1" s="254">
      <c r="A38" s="339" t="inlineStr">
        <is>
          <t>Dispensers in total</t>
        </is>
      </c>
      <c r="B38" s="339">
        <f>$B$36+$B$37</f>
        <v/>
      </c>
      <c r="C38" s="501" t="n"/>
      <c r="D38" s="501" t="n"/>
      <c r="E38" s="501" t="n"/>
      <c r="F38" s="501" t="n"/>
      <c r="G38" s="501" t="n"/>
      <c r="H38" s="501" t="n"/>
      <c r="I38" s="501" t="n"/>
      <c r="J38" s="501" t="n"/>
      <c r="K38" s="501" t="n"/>
      <c r="L38" s="501" t="n"/>
      <c r="M38" s="501" t="n"/>
      <c r="N38" s="501" t="n"/>
      <c r="O38" s="501" t="n"/>
      <c r="P38" s="501" t="n"/>
    </row>
    <row r="39" ht="24" customHeight="1" s="254">
      <c r="A39" s="337" t="inlineStr">
        <is>
          <t>Connectors those dispensers carry</t>
        </is>
      </c>
      <c r="B39" s="337">
        <f>SUMPRODUCT(--($E$7:$E$18="power_cabinet"),$H$7:$H$18,$I$7:$I$18)</f>
        <v/>
      </c>
      <c r="C39" s="501" t="n"/>
      <c r="D39" s="501" t="n"/>
      <c r="E39" s="501" t="n"/>
      <c r="F39" s="501" t="n"/>
      <c r="G39" s="501" t="n"/>
      <c r="H39" s="501" t="n"/>
      <c r="I39" s="501" t="n"/>
      <c r="J39" s="501" t="n"/>
      <c r="K39" s="501" t="n"/>
      <c r="L39" s="501" t="n"/>
      <c r="M39" s="501" t="n"/>
      <c r="N39" s="501" t="n"/>
      <c r="O39" s="501" t="n"/>
      <c r="P39" s="501" t="n"/>
    </row>
    <row r="40" ht="19.5" customHeight="1" s="254">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501" t="n"/>
      <c r="J40" s="501" t="n"/>
      <c r="K40" s="501" t="n"/>
      <c r="L40" s="501" t="n"/>
      <c r="M40" s="501" t="n"/>
      <c r="N40" s="501" t="n"/>
      <c r="O40" s="501" t="n"/>
      <c r="P40" s="501" t="n"/>
    </row>
    <row r="41" ht="19.5" customHeight="1" s="254">
      <c r="A41" s="337" t="inlineStr">
        <is>
          <t>Dispenser value at list</t>
        </is>
      </c>
      <c r="B41" s="341">
        <f>SUMPRODUCT($I$7:$I$18,$N$7:$N$18,$P$7:$P$18)</f>
        <v/>
      </c>
      <c r="C41" s="561" t="inlineStr">
        <is>
          <t>Dispensers x their price-book price. Included in the two equipment totals above.</t>
        </is>
      </c>
      <c r="D41" s="501" t="n"/>
      <c r="E41" s="501" t="n"/>
      <c r="F41" s="501" t="n"/>
      <c r="G41" s="501" t="n"/>
      <c r="H41" s="501" t="n"/>
      <c r="I41" s="501" t="n"/>
      <c r="J41" s="501" t="n"/>
      <c r="K41" s="501" t="n"/>
      <c r="L41" s="501" t="n"/>
      <c r="M41" s="501" t="n"/>
      <c r="N41" s="501" t="n"/>
      <c r="O41" s="501" t="n"/>
      <c r="P41" s="501" t="n"/>
    </row>
    <row r="42" ht="29.08" customHeight="1" s="254">
      <c r="A42" s="342" t="inlineStr">
        <is>
          <t>Is a dispenser SKU picked where dispensers are scheduled?</t>
        </is>
      </c>
      <c r="B42" s="56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C42" s="501" t="n"/>
      <c r="D42" s="501" t="n"/>
      <c r="E42" s="501" t="n"/>
      <c r="F42" s="501" t="n"/>
      <c r="G42" s="501" t="n"/>
      <c r="H42" s="501" t="n"/>
      <c r="I42" s="501" t="n"/>
      <c r="J42" s="501" t="n"/>
      <c r="K42" s="501" t="n"/>
      <c r="L42" s="501" t="n"/>
      <c r="M42" s="501" t="n"/>
      <c r="N42" s="501" t="n"/>
      <c r="O42" s="501" t="n"/>
      <c r="P42" s="501" t="n"/>
    </row>
    <row r="43" ht="26.44" customHeight="1" s="254">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505" t="inlineStr">
        <is>
          <t>It used to fire whenever a dispenser was on its own line at all, which is a legitimate entry now the dispenser SKU is in the price book. The thing that is actually wrong is using both routes, because the totals sum them.</t>
        </is>
      </c>
      <c r="D43" s="501" t="n"/>
      <c r="E43" s="501" t="n"/>
      <c r="F43" s="501" t="n"/>
      <c r="G43" s="501" t="n"/>
      <c r="H43" s="501" t="n"/>
      <c r="I43" s="501" t="n"/>
      <c r="J43" s="501" t="n"/>
      <c r="K43" s="501" t="n"/>
      <c r="L43" s="501" t="n"/>
      <c r="M43" s="501" t="n"/>
      <c r="N43" s="501" t="n"/>
      <c r="O43" s="501" t="n"/>
      <c r="P43" s="501" t="n"/>
    </row>
    <row r="44">
      <c r="A44" s="562" t="inlineStr">
        <is>
          <t>Level 2 units rated at their supply voltage?</t>
        </is>
      </c>
      <c r="B44" s="693">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265" t="n"/>
      <c r="D44" s="501" t="n"/>
      <c r="E44" s="501" t="n"/>
      <c r="F44" s="501" t="n"/>
      <c r="G44" s="501" t="n"/>
      <c r="H44" s="501" t="n"/>
      <c r="I44" s="501" t="n"/>
      <c r="J44" s="501" t="n"/>
      <c r="K44" s="501" t="n"/>
      <c r="L44" s="501" t="n"/>
      <c r="M44" s="501" t="n"/>
      <c r="N44" s="501" t="n"/>
      <c r="O44" s="501" t="n"/>
      <c r="P44" s="501" t="n"/>
    </row>
    <row r="45" ht="14.25" customHeight="1" s="254">
      <c r="A45" s="501" t="n"/>
      <c r="B45" s="501" t="n"/>
      <c r="C45" s="501" t="n"/>
      <c r="D45" s="501" t="n"/>
      <c r="E45" s="501" t="n"/>
      <c r="F45" s="501" t="n"/>
      <c r="G45" s="501" t="n"/>
      <c r="H45" s="501" t="n"/>
      <c r="I45" s="501" t="n"/>
      <c r="J45" s="501" t="n"/>
      <c r="K45" s="501" t="n"/>
      <c r="L45" s="501" t="n"/>
      <c r="M45" s="501" t="n"/>
      <c r="N45" s="501" t="n"/>
      <c r="O45" s="501" t="n"/>
      <c r="P45" s="501" t="n"/>
    </row>
    <row r="46" ht="27.75" customHeight="1" s="254">
      <c r="A46" s="344" t="inlineStr">
        <is>
          <t>ENTRY CHECKS — what a wrong entry looks like</t>
        </is>
      </c>
    </row>
    <row r="47" ht="19.5" customHeight="1" s="254">
      <c r="A47" s="285" t="inlineStr">
        <is>
          <t>Each of these is a real way to get a wrong answer out of this tab. None of them used to say anything.</t>
        </is>
      </c>
    </row>
    <row r="48" ht="29.08" customHeight="1" s="254">
      <c r="A48" s="562"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19.5" customHeight="1" s="254">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19.5" customHeight="1" s="254">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19.5" customHeight="1" s="254">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19.5" customHeight="1" s="254">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19.5" customHeight="1" s="254">
      <c r="A53" s="337" t="inlineStr">
        <is>
          <t>Every line with a capacity has a SKU?</t>
        </is>
      </c>
      <c r="B53" s="340">
        <f>IF(SUMPRODUCT(($B$7:$B$18&lt;&gt;"")*($C$7:$C$18=""))&gt;0,"INCOMPLETE — a capacity is picked on a line with no SKU. The line is inert until the SKU is chosen.","OK — every line with a capacity has a SKU")</f>
        <v/>
      </c>
    </row>
    <row r="54" ht="26.44" customHeight="1" s="254">
      <c r="A54" s="337" t="inlineStr">
        <is>
          <t>Every SKU has a connector count?</t>
        </is>
      </c>
      <c r="B54" s="543">
        <f>IF(COUNTA($C$7:$C$18)=0,"OK — nothing scheduled yet",IF(SUMPRODUCT(--($C$7:$C$18&lt;&gt;""),--($E$7:$E$18&lt;&gt;"accessory"),--($E$7:$E$18&lt;&gt;"power_cabinet"),--(H$7:H$18=0))&gt;0,"A SCHEDULED SKU HAS NO CONNECTOR COUNT — add it to the price book column I; the sheet will not guess","OK — every scheduled SKU carries a connector count"))</f>
        <v/>
      </c>
      <c r="C54" s="505" t="inlineStr">
        <is>
          <t>Power cabinets are exempt: their connectors are on their dispensers, which are scheduled separately. Accessories are exempt for the same reason — they are not charging positions.</t>
        </is>
      </c>
      <c r="D54" s="501" t="n"/>
      <c r="E54" s="501" t="n"/>
      <c r="F54" s="501" t="n"/>
      <c r="G54" s="501" t="n"/>
      <c r="H54" s="501" t="n"/>
      <c r="I54" s="501" t="n"/>
      <c r="J54" s="501" t="n"/>
      <c r="K54" s="501" t="n"/>
      <c r="L54" s="501" t="n"/>
      <c r="M54" s="501" t="n"/>
      <c r="N54" s="501" t="n"/>
      <c r="O54" s="501" t="n"/>
      <c r="P54" s="501" t="n"/>
    </row>
    <row r="55" ht="19.5" customHeight="1" s="254">
      <c r="A55" s="340">
        <f>IF(SUMPRODUCT(--($B$43:$B$54&lt;&gt;""),--(LEFT($B$43:$B$54,2)&lt;&gt;"OK"))&gt;0,"FIX "&amp;TEXT(SUMPRODUCT(--($B$43:$B$54&lt;&gt;""),--(LEFT($B$43:$B$54,2)&lt;&gt;"OK")),"0")&amp;" ITEM(S) ABOVE — the equipment totals on this tab are wrong until you do","ENTRY CHECKS ALL PASS")</f>
        <v/>
      </c>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00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00" zoomScaleNormal="100" zoomScalePageLayoutView="100" workbookViewId="0">
      <pane xSplit="0" ySplit="2" topLeftCell="A3" activePane="bottomLeft" state="frozen"/>
      <selection pane="topLeft" activeCell="A85" activeCellId="0" sqref="A85"/>
      <selection pane="bottomLeft" activeCell="D93" activeCellId="0" sqref="D93"/>
    </sheetView>
  </sheetViews>
  <sheetFormatPr baseColWidth="8" defaultColWidth="8.66796875" defaultRowHeight="14.25" zeroHeight="0" outlineLevelRow="0"/>
  <cols>
    <col width="32" customWidth="1" style="253" min="1" max="1"/>
    <col width="41" customWidth="1" style="253" min="2" max="2"/>
    <col width="48" customWidth="1" style="253" min="3" max="4"/>
    <col width="13" customWidth="1" style="254" min="4" max="4"/>
    <col width="32.22" customWidth="1" style="253" min="5" max="5"/>
    <col width="34" customWidth="1" style="253" min="6" max="15"/>
    <col width="13" customWidth="1" style="254" min="7" max="7"/>
    <col width="13" customWidth="1" style="254" min="8" max="8"/>
    <col width="13" customWidth="1" style="254" min="9" max="9"/>
    <col width="13" customWidth="1" style="254" min="10" max="10"/>
    <col width="13" customWidth="1" style="254" min="11" max="11"/>
    <col width="13" customWidth="1" style="254" min="12" max="12"/>
    <col width="13" customWidth="1" style="254" min="13" max="13"/>
    <col width="13" customWidth="1" style="254" min="14" max="14"/>
    <col width="13" customWidth="1" style="254" min="15" max="15"/>
    <col width="17" customWidth="1" style="253" min="16" max="16"/>
    <col width="14" customWidth="1" style="253" min="17" max="17"/>
    <col width="15" customWidth="1" style="253" min="18" max="18"/>
    <col width="17" customWidth="1" style="253" min="19" max="21"/>
    <col width="13" customWidth="1" style="254" min="20" max="20"/>
    <col width="13" customWidth="1" style="254" min="21" max="21"/>
    <col width="14" customWidth="1" style="253" min="22" max="22"/>
  </cols>
  <sheetData>
    <row r="1" ht="25.5" customHeight="1" s="254">
      <c r="A1" s="255" t="inlineStr">
        <is>
          <t>3 · SITE AND ELECTRICAL</t>
        </is>
      </c>
      <c r="I1" s="501" t="n"/>
      <c r="J1" s="501" t="n"/>
      <c r="K1" s="501" t="n"/>
      <c r="L1" s="501" t="n"/>
      <c r="M1" s="501" t="n"/>
      <c r="N1" s="501" t="n"/>
      <c r="O1" s="501" t="n"/>
      <c r="P1" s="501" t="n"/>
      <c r="Q1" s="501" t="n"/>
      <c r="R1" s="501" t="n"/>
      <c r="S1" s="501" t="n"/>
      <c r="T1" s="501" t="n"/>
      <c r="U1" s="501" t="n"/>
      <c r="V1" s="501" t="n"/>
    </row>
    <row r="2" ht="39.64" customHeight="1" s="254">
      <c r="A2" s="265" t="inlineStr">
        <is>
          <t>Distances and materials. This tab drives the largest single cost in the project.</t>
        </is>
      </c>
      <c r="B2" s="501" t="n"/>
      <c r="C2" s="501" t="n"/>
      <c r="D2" s="501" t="n"/>
      <c r="E2" s="501" t="n"/>
      <c r="F2" s="501" t="n"/>
      <c r="G2" s="501" t="n"/>
      <c r="H2" s="501" t="n"/>
      <c r="I2" s="501" t="n"/>
      <c r="J2" s="501" t="n"/>
      <c r="K2" s="501" t="n"/>
      <c r="L2" s="501" t="n"/>
      <c r="M2" s="501" t="n"/>
      <c r="N2" s="501" t="n"/>
      <c r="O2" s="501" t="n"/>
      <c r="P2" s="501" t="n"/>
      <c r="Q2" s="501" t="n"/>
      <c r="R2" s="501" t="n"/>
      <c r="S2" s="501" t="n"/>
      <c r="T2" s="501" t="n"/>
      <c r="U2" s="501" t="n"/>
      <c r="V2" s="501" t="n"/>
    </row>
    <row r="3">
      <c r="A3" s="501" t="n"/>
      <c r="B3" s="501" t="n"/>
      <c r="C3" s="501" t="n"/>
      <c r="D3" s="501" t="n"/>
      <c r="E3" s="501" t="n"/>
      <c r="F3" s="501" t="n"/>
      <c r="G3" s="501" t="n"/>
      <c r="H3" s="501" t="n"/>
      <c r="I3" s="501" t="n"/>
      <c r="J3" s="501" t="n"/>
      <c r="K3" s="501" t="n"/>
      <c r="L3" s="501" t="n"/>
      <c r="M3" s="501" t="n"/>
      <c r="N3" s="501" t="n"/>
      <c r="O3" s="501" t="n"/>
      <c r="P3" s="501" t="n"/>
      <c r="Q3" s="501" t="n"/>
      <c r="R3" s="501" t="n"/>
      <c r="S3" s="501" t="n"/>
      <c r="T3" s="501" t="n"/>
      <c r="U3" s="501" t="n"/>
      <c r="V3" s="501" t="n"/>
    </row>
    <row r="4" ht="15" customHeight="1" s="254">
      <c r="A4" s="262" t="inlineStr">
        <is>
          <t>Materials</t>
        </is>
      </c>
      <c r="B4" s="501" t="n"/>
      <c r="C4" s="501" t="n"/>
      <c r="D4" s="501" t="n"/>
      <c r="E4" s="564" t="inlineStr">
        <is>
          <t>Conductor sizing basis</t>
        </is>
      </c>
      <c r="F4" s="501" t="n"/>
      <c r="G4" s="501" t="n"/>
      <c r="H4" s="501" t="n"/>
      <c r="I4" s="501" t="n"/>
      <c r="J4" s="501" t="n"/>
      <c r="K4" s="501" t="n"/>
      <c r="L4" s="501" t="n"/>
      <c r="M4" s="501" t="n"/>
      <c r="N4" s="501" t="n"/>
      <c r="O4" s="501" t="n"/>
      <c r="P4" s="501" t="n"/>
      <c r="Q4" s="501" t="n"/>
      <c r="R4" s="501" t="n"/>
      <c r="S4" s="501" t="n"/>
      <c r="T4" s="501" t="n"/>
      <c r="U4" s="501" t="n"/>
      <c r="V4" s="501" t="n"/>
    </row>
    <row r="5" ht="48.88" customHeight="1" s="254">
      <c r="A5" s="263" t="inlineStr">
        <is>
          <t>Feeder conductor material</t>
        </is>
      </c>
      <c r="B5" s="565" t="inlineStr">
        <is>
          <t>Cu</t>
        </is>
      </c>
      <c r="C5" s="508" t="inlineStr">
        <is>
          <t>Cu or Al</t>
        </is>
      </c>
      <c r="D5" s="501" t="n"/>
      <c r="E5" s="566" t="inlineStr">
        <is>
          <t>Design ambient (C)</t>
        </is>
      </c>
      <c r="F5" s="555" t="n"/>
      <c r="G5" s="56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538" t="n"/>
      <c r="I5" s="538" t="n"/>
      <c r="J5" s="538" t="n"/>
      <c r="K5" s="538" t="n"/>
      <c r="L5" s="538" t="n"/>
      <c r="M5" s="538" t="n"/>
      <c r="N5" s="538" t="n"/>
      <c r="O5" s="501" t="n"/>
      <c r="P5" s="501" t="n"/>
      <c r="Q5" s="501" t="n"/>
      <c r="R5" s="501" t="n"/>
      <c r="S5" s="501" t="n"/>
      <c r="T5" s="501" t="n"/>
      <c r="U5" s="501" t="n"/>
      <c r="V5" s="501" t="n"/>
    </row>
    <row r="6" ht="19.5" customHeight="1" s="254">
      <c r="A6" s="263" t="inlineStr">
        <is>
          <t>Conduit type</t>
        </is>
      </c>
      <c r="B6" s="565" t="inlineStr">
        <is>
          <t>PVC</t>
        </is>
      </c>
      <c r="C6" s="508" t="inlineStr">
        <is>
          <t>PVC or EMT</t>
        </is>
      </c>
      <c r="D6" s="501" t="n"/>
      <c r="E6" s="566" t="inlineStr">
        <is>
          <t>Conductor insulation rating (C)</t>
        </is>
      </c>
      <c r="F6" s="568" t="n">
        <v>90</v>
      </c>
      <c r="G6" s="569" t="inlineStr">
        <is>
          <t>What the wire is rated for. THHN/XHHW-2 is 90 C. Ambient correction is applied to THIS column.</t>
        </is>
      </c>
      <c r="H6" s="538" t="n"/>
      <c r="I6" s="538" t="n"/>
      <c r="J6" s="538" t="n"/>
      <c r="K6" s="538" t="n"/>
      <c r="L6" s="538" t="n"/>
      <c r="M6" s="538" t="n"/>
      <c r="N6" s="538" t="n"/>
      <c r="O6" s="501" t="n"/>
      <c r="P6" s="501" t="n"/>
      <c r="Q6" s="501" t="n"/>
      <c r="R6" s="501" t="n"/>
      <c r="S6" s="501" t="n"/>
      <c r="T6" s="501" t="n"/>
      <c r="U6" s="501" t="n"/>
      <c r="V6" s="501" t="n"/>
    </row>
    <row r="7" ht="26.44" customHeight="1" s="254">
      <c r="A7" s="263" t="inlineStr">
        <is>
          <t>Trench surface</t>
        </is>
      </c>
      <c r="B7" s="565" t="inlineStr">
        <is>
          <t>Mixed</t>
        </is>
      </c>
      <c r="C7" s="508" t="inlineStr">
        <is>
          <t>Asphalt / concrete / landscape / mixed</t>
        </is>
      </c>
      <c r="D7" s="501" t="n"/>
      <c r="E7" s="566" t="inlineStr">
        <is>
          <t>Termination rating (C)</t>
        </is>
      </c>
      <c r="F7" s="568" t="n">
        <v>75</v>
      </c>
      <c r="G7" s="569" t="inlineStr">
        <is>
          <t>NEC 110.14(C). The corrected ampacity is capped here. Confirm against the switchgear and the cabinet terminals — 60 C lugs change every size on this tab.</t>
        </is>
      </c>
      <c r="H7" s="538" t="n"/>
      <c r="I7" s="538" t="n"/>
      <c r="J7" s="538" t="n"/>
      <c r="K7" s="538" t="n"/>
      <c r="L7" s="538" t="n"/>
      <c r="M7" s="538" t="n"/>
      <c r="N7" s="538" t="n"/>
      <c r="O7" s="501" t="n"/>
      <c r="P7" s="501" t="n"/>
      <c r="Q7" s="501" t="n"/>
      <c r="R7" s="501" t="n"/>
      <c r="S7" s="501" t="n"/>
      <c r="T7" s="501" t="n"/>
      <c r="U7" s="501" t="n"/>
      <c r="V7" s="501" t="n"/>
    </row>
    <row r="8" ht="26.44" customHeight="1" s="254">
      <c r="A8" s="263" t="inlineStr">
        <is>
          <t>Trench depth (in)</t>
        </is>
      </c>
      <c r="B8" s="526" t="n">
        <v>24</v>
      </c>
      <c r="C8" s="501" t="n"/>
      <c r="D8" s="501" t="n"/>
      <c r="E8" s="566" t="inlineStr">
        <is>
          <t>Allowable voltage drop (%)</t>
        </is>
      </c>
      <c r="F8" s="570" t="n">
        <v>0.03</v>
      </c>
      <c r="G8" s="569" t="inlineStr">
        <is>
          <t>NEC treats voltage drop as an informational note, not a requirement. On a 300 ft feeder it is usually what decides the size.</t>
        </is>
      </c>
      <c r="H8" s="538" t="n"/>
      <c r="I8" s="538" t="n"/>
      <c r="J8" s="538" t="n"/>
      <c r="K8" s="538" t="n"/>
      <c r="L8" s="538" t="n"/>
      <c r="M8" s="538" t="n"/>
      <c r="N8" s="538" t="n"/>
      <c r="O8" s="501" t="n"/>
      <c r="P8" s="501" t="n"/>
      <c r="Q8" s="501" t="n"/>
      <c r="R8" s="501" t="n"/>
      <c r="S8" s="501" t="n"/>
      <c r="T8" s="501" t="n"/>
      <c r="U8" s="501" t="n"/>
      <c r="V8" s="501" t="n"/>
    </row>
    <row r="9">
      <c r="A9" s="501" t="n"/>
      <c r="B9" s="501" t="n"/>
      <c r="C9" s="501" t="n"/>
      <c r="D9" s="501" t="n"/>
      <c r="E9" s="501" t="n"/>
      <c r="F9" s="501" t="n"/>
      <c r="G9" s="501" t="n"/>
      <c r="H9" s="501" t="n"/>
      <c r="I9" s="501" t="n"/>
      <c r="J9" s="501" t="n"/>
      <c r="K9" s="501" t="n"/>
      <c r="L9" s="501" t="n"/>
      <c r="M9" s="501" t="n"/>
      <c r="N9" s="501" t="n"/>
      <c r="O9" s="501" t="n"/>
      <c r="P9" s="501" t="n"/>
      <c r="Q9" s="501" t="n"/>
      <c r="R9" s="501" t="n"/>
      <c r="S9" s="501" t="n"/>
      <c r="T9" s="501" t="n"/>
      <c r="U9" s="501" t="n"/>
      <c r="V9" s="501" t="n"/>
    </row>
    <row r="10" ht="47.56" customHeight="1" s="254">
      <c r="A10" s="335" t="inlineStr">
        <is>
          <t>AC runs — switchgear to each charger: all-in-one units and power cabinets alike</t>
        </is>
      </c>
      <c r="B10" s="501" t="n"/>
      <c r="C10" s="505"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c r="D10" s="501" t="n"/>
      <c r="E10" s="501" t="n"/>
      <c r="F10" s="501" t="n"/>
      <c r="G10" s="501" t="n"/>
      <c r="H10" s="501" t="n"/>
      <c r="I10" s="501" t="n"/>
      <c r="J10" s="501" t="n"/>
      <c r="K10" s="501" t="n"/>
      <c r="L10" s="501" t="n"/>
      <c r="M10" s="501" t="n"/>
      <c r="N10" s="501" t="n"/>
      <c r="O10" s="501" t="n"/>
      <c r="P10" s="501" t="n"/>
      <c r="Q10" s="501" t="n"/>
      <c r="R10" s="501" t="n"/>
      <c r="S10" s="501" t="n"/>
      <c r="T10" s="501" t="n"/>
      <c r="U10" s="501" t="n"/>
      <c r="V10" s="501" t="n"/>
    </row>
    <row r="11" ht="37.66" customHeight="1" s="254">
      <c r="A11" s="351" t="inlineStr">
        <is>
          <t>Unit</t>
        </is>
      </c>
      <c r="B11" s="571" t="inlineStr">
        <is>
          <t>Equip. line</t>
        </is>
      </c>
      <c r="C11" s="571" t="inlineStr">
        <is>
          <t>AC input kW (auto)</t>
        </is>
      </c>
      <c r="D11" s="571" t="inlineStr">
        <is>
          <t>Distance from switchgear (ft)</t>
        </is>
      </c>
      <c r="E11" s="572" t="inlineStr">
        <is>
          <t>Design current A (auto)</t>
        </is>
      </c>
      <c r="F11" s="572" t="inlineStr">
        <is>
          <t>Continuous 125% A (auto)</t>
        </is>
      </c>
      <c r="G11" s="571" t="inlineStr">
        <is>
          <t>OCPD A (auto)</t>
        </is>
      </c>
      <c r="H11" s="572" t="inlineStr">
        <is>
          <t>Ampacity floor A (auto)</t>
        </is>
      </c>
      <c r="I11" s="572" t="inlineStr">
        <is>
          <t>Conductor size</t>
        </is>
      </c>
      <c r="J11" s="572" t="inlineStr">
        <is>
          <t>Sets in parallel</t>
        </is>
      </c>
      <c r="K11" s="572" t="inlineStr">
        <is>
          <t>Ampacity per set, corrected (auto)</t>
        </is>
      </c>
      <c r="L11" s="572" t="inlineStr">
        <is>
          <t>Provided A (auto)</t>
        </is>
      </c>
      <c r="M11" s="572" t="inlineStr">
        <is>
          <t>Voltage drop % (auto)</t>
        </is>
      </c>
      <c r="N11" s="572" t="inlineStr">
        <is>
          <t>Verdict (auto)</t>
        </is>
      </c>
      <c r="O11" s="571" t="inlineStr">
        <is>
          <t>Conduit size</t>
        </is>
      </c>
      <c r="P11" s="572" t="inlineStr">
        <is>
          <t>What this run feeds (auto)</t>
        </is>
      </c>
      <c r="Q11" s="572" t="inlineStr">
        <is>
          <t>Phase conductor (ft) (auto)</t>
        </is>
      </c>
      <c r="R11" s="572" t="inlineStr">
        <is>
          <t>Ground size (auto, 250.122)</t>
        </is>
      </c>
      <c r="S11" s="572" t="inlineStr">
        <is>
          <t>Ground (ft) (auto)</t>
        </is>
      </c>
      <c r="T11" s="572" t="inlineStr">
        <is>
          <t>Conduit (ft) (auto)</t>
        </is>
      </c>
      <c r="U11" s="572" t="inlineStr">
        <is>
          <t>Comms (ft) (auto)</t>
        </is>
      </c>
      <c r="V11" s="572" t="inlineStr">
        <is>
          <t>Material cost (auto)</t>
        </is>
      </c>
    </row>
    <row r="12" ht="15" customHeight="1" s="254">
      <c r="A12" s="324" t="inlineStr">
        <is>
          <t>Charger 1</t>
        </is>
      </c>
      <c r="B12" s="555" t="n"/>
      <c r="C12" s="353">
        <f>IF(N($B12)=0,"",IFERROR(INDEX(Equipment!$G$7:$G$18,MATCH($B12,Equipment!$A$7:$A$18,0)),""))</f>
        <v/>
      </c>
      <c r="D12" s="555" t="n"/>
      <c r="E12" s="354">
        <f>IF(N($C12)=0,"",N($C12)*1000/(Project!$B$29*SQRT(3)))</f>
        <v/>
      </c>
      <c r="F12" s="354">
        <f>IF(N($E12)=0,"",N($E12)*1.25)</f>
        <v/>
      </c>
      <c r="G12" s="354">
        <f>IF(N($F12)=0,"",IF(ISNUMBER(MATCH($F12,OCPD_LIST,0)),$F12,IF($F12&gt;MAX(OCPD_LIST),"ABOVE THE LARGEST STANDARD DEVICE",INDEX(OCPD_LIST,MATCH($F12,OCPD_LIST,1)+1))))</f>
        <v/>
      </c>
      <c r="H12" s="354">
        <f>IF(N($G12)=0,"",IF(N($G12)&gt;800,N($G12),N($F12)))</f>
        <v/>
      </c>
      <c r="I12" s="554" t="n"/>
      <c r="J12" s="555" t="n"/>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554" t="n"/>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324">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4">
      <c r="A13" s="324" t="inlineStr">
        <is>
          <t>Charger 2</t>
        </is>
      </c>
      <c r="B13" s="555" t="n"/>
      <c r="C13" s="353">
        <f>IF(N($B13)=0,"",IFERROR(INDEX(Equipment!$G$7:$G$18,MATCH($B13,Equipment!$A$7:$A$18,0)),""))</f>
        <v/>
      </c>
      <c r="D13" s="555" t="n"/>
      <c r="E13" s="354">
        <f>IF(N($C13)=0,"",N($C13)*1000/(Project!$B$29*SQRT(3)))</f>
        <v/>
      </c>
      <c r="F13" s="354">
        <f>IF(N($E13)=0,"",N($E13)*1.25)</f>
        <v/>
      </c>
      <c r="G13" s="354">
        <f>IF(N($F13)=0,"",IF(ISNUMBER(MATCH($F13,OCPD_LIST,0)),$F13,IF($F13&gt;MAX(OCPD_LIST),"ABOVE THE LARGEST STANDARD DEVICE",INDEX(OCPD_LIST,MATCH($F13,OCPD_LIST,1)+1))))</f>
        <v/>
      </c>
      <c r="H13" s="354">
        <f>IF(N($G13)=0,"",IF(N($G13)&gt;800,N($G13),N($F13)))</f>
        <v/>
      </c>
      <c r="I13" s="554" t="n"/>
      <c r="J13" s="555" t="n"/>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554" t="n"/>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324">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4">
      <c r="A14" s="324" t="inlineStr">
        <is>
          <t>Charger 3</t>
        </is>
      </c>
      <c r="B14" s="555" t="n"/>
      <c r="C14" s="353">
        <f>IF(N($B14)=0,"",IFERROR(INDEX(Equipment!$G$7:$G$18,MATCH($B14,Equipment!$A$7:$A$18,0)),""))</f>
        <v/>
      </c>
      <c r="D14" s="555" t="n"/>
      <c r="E14" s="354">
        <f>IF(N($C14)=0,"",N($C14)*1000/(Project!$B$29*SQRT(3)))</f>
        <v/>
      </c>
      <c r="F14" s="354">
        <f>IF(N($E14)=0,"",N($E14)*1.25)</f>
        <v/>
      </c>
      <c r="G14" s="354">
        <f>IF(N($F14)=0,"",IF(ISNUMBER(MATCH($F14,OCPD_LIST,0)),$F14,IF($F14&gt;MAX(OCPD_LIST),"ABOVE THE LARGEST STANDARD DEVICE",INDEX(OCPD_LIST,MATCH($F14,OCPD_LIST,1)+1))))</f>
        <v/>
      </c>
      <c r="H14" s="354">
        <f>IF(N($G14)=0,"",IF(N($G14)&gt;800,N($G14),N($F14)))</f>
        <v/>
      </c>
      <c r="I14" s="554" t="n"/>
      <c r="J14" s="555" t="n"/>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554" t="n"/>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324">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4">
      <c r="A15" s="324" t="inlineStr">
        <is>
          <t>Charger 4</t>
        </is>
      </c>
      <c r="B15" s="555" t="n"/>
      <c r="C15" s="353">
        <f>IF(N($B15)=0,"",IFERROR(INDEX(Equipment!$G$7:$G$18,MATCH($B15,Equipment!$A$7:$A$18,0)),""))</f>
        <v/>
      </c>
      <c r="D15" s="555" t="n"/>
      <c r="E15" s="354">
        <f>IF(N($C15)=0,"",N($C15)*1000/(Project!$B$29*SQRT(3)))</f>
        <v/>
      </c>
      <c r="F15" s="354">
        <f>IF(N($E15)=0,"",N($E15)*1.25)</f>
        <v/>
      </c>
      <c r="G15" s="354">
        <f>IF(N($F15)=0,"",IF(ISNUMBER(MATCH($F15,OCPD_LIST,0)),$F15,IF($F15&gt;MAX(OCPD_LIST),"ABOVE THE LARGEST STANDARD DEVICE",INDEX(OCPD_LIST,MATCH($F15,OCPD_LIST,1)+1))))</f>
        <v/>
      </c>
      <c r="H15" s="354">
        <f>IF(N($G15)=0,"",IF(N($G15)&gt;800,N($G15),N($F15)))</f>
        <v/>
      </c>
      <c r="I15" s="554" t="n"/>
      <c r="J15" s="555" t="n"/>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554" t="n"/>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324">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4">
      <c r="A16" s="324" t="inlineStr">
        <is>
          <t>Charger 5</t>
        </is>
      </c>
      <c r="B16" s="555" t="n"/>
      <c r="C16" s="353">
        <f>IF(N($B16)=0,"",IFERROR(INDEX(Equipment!$G$7:$G$18,MATCH($B16,Equipment!$A$7:$A$18,0)),""))</f>
        <v/>
      </c>
      <c r="D16" s="555"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554" t="n"/>
      <c r="J16" s="555"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554"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324">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4">
      <c r="A17" s="324" t="inlineStr">
        <is>
          <t>Charger 6</t>
        </is>
      </c>
      <c r="B17" s="555" t="n"/>
      <c r="C17" s="353">
        <f>IF(N($B17)=0,"",IFERROR(INDEX(Equipment!$G$7:$G$18,MATCH($B17,Equipment!$A$7:$A$18,0)),""))</f>
        <v/>
      </c>
      <c r="D17" s="555"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554" t="n"/>
      <c r="J17" s="555"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554"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324">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4">
      <c r="A18" s="324" t="inlineStr">
        <is>
          <t>Charger 7</t>
        </is>
      </c>
      <c r="B18" s="555" t="n"/>
      <c r="C18" s="353">
        <f>IF(N($B18)=0,"",IFERROR(INDEX(Equipment!$G$7:$G$18,MATCH($B18,Equipment!$A$7:$A$18,0)),""))</f>
        <v/>
      </c>
      <c r="D18" s="555"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554" t="n"/>
      <c r="J18" s="555"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554"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324">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4">
      <c r="A19" s="324" t="inlineStr">
        <is>
          <t>Charger 8</t>
        </is>
      </c>
      <c r="B19" s="555" t="n"/>
      <c r="C19" s="353">
        <f>IF(N($B19)=0,"",IFERROR(INDEX(Equipment!$G$7:$G$18,MATCH($B19,Equipment!$A$7:$A$18,0)),""))</f>
        <v/>
      </c>
      <c r="D19" s="555"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554" t="n"/>
      <c r="J19" s="555"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554"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324">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4">
      <c r="A20" s="324" t="inlineStr">
        <is>
          <t>Charger 9</t>
        </is>
      </c>
      <c r="B20" s="555" t="n"/>
      <c r="C20" s="353">
        <f>IF(N($B20)=0,"",IFERROR(INDEX(Equipment!$G$7:$G$18,MATCH($B20,Equipment!$A$7:$A$18,0)),""))</f>
        <v/>
      </c>
      <c r="D20" s="555"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554" t="n"/>
      <c r="J20" s="555"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554"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324">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4">
      <c r="A21" s="324" t="inlineStr">
        <is>
          <t>Charger 10</t>
        </is>
      </c>
      <c r="B21" s="555" t="n"/>
      <c r="C21" s="353">
        <f>IF(N($B21)=0,"",IFERROR(INDEX(Equipment!$G$7:$G$18,MATCH($B21,Equipment!$A$7:$A$18,0)),""))</f>
        <v/>
      </c>
      <c r="D21" s="555"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554" t="n"/>
      <c r="J21" s="555"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554"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324">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4">
      <c r="A22" s="324" t="inlineStr">
        <is>
          <t>Charger 11</t>
        </is>
      </c>
      <c r="B22" s="555" t="n"/>
      <c r="C22" s="353">
        <f>IF(N($B22)=0,"",IFERROR(INDEX(Equipment!$G$7:$G$18,MATCH($B22,Equipment!$A$7:$A$18,0)),""))</f>
        <v/>
      </c>
      <c r="D22" s="555"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554" t="n"/>
      <c r="J22" s="555"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554"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324">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4">
      <c r="A23" s="324" t="inlineStr">
        <is>
          <t>Charger 12</t>
        </is>
      </c>
      <c r="B23" s="555" t="n"/>
      <c r="C23" s="353">
        <f>IF(N($B23)=0,"",IFERROR(INDEX(Equipment!$G$7:$G$18,MATCH($B23,Equipment!$A$7:$A$18,0)),""))</f>
        <v/>
      </c>
      <c r="D23" s="555"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554" t="n"/>
      <c r="J23" s="555"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554"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324">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6.44" customHeight="1" s="254">
      <c r="A24" s="358" t="inlineStr">
        <is>
          <t>AC branch material cost ($)</t>
        </is>
      </c>
      <c r="B24" s="573">
        <f>SUM($V$12:$V$23)</f>
        <v/>
      </c>
      <c r="C24" s="505"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c r="D24" s="501" t="n"/>
      <c r="E24" s="501" t="n"/>
      <c r="F24" s="501" t="n"/>
      <c r="G24" s="501" t="n"/>
      <c r="H24" s="501" t="n"/>
      <c r="I24" s="501" t="n"/>
      <c r="J24" s="501" t="n"/>
      <c r="K24" s="501" t="n"/>
      <c r="L24" s="501" t="n"/>
      <c r="M24" s="501" t="n"/>
      <c r="N24" s="501" t="n"/>
      <c r="O24" s="501" t="n"/>
      <c r="P24" s="501" t="n"/>
      <c r="Q24" s="501" t="n"/>
      <c r="R24" s="501" t="n"/>
      <c r="S24" s="501" t="n"/>
      <c r="T24" s="501" t="n"/>
      <c r="U24" s="501" t="n"/>
      <c r="V24" s="501" t="n"/>
    </row>
    <row r="25" ht="19.5" customHeight="1" s="254">
      <c r="A25" s="263" t="inlineStr">
        <is>
          <t>Total AC branch distance (ft)</t>
        </is>
      </c>
      <c r="B25" s="330">
        <f>SUM($D$12:$D$23)</f>
        <v/>
      </c>
      <c r="C25" s="557" t="inlineStr">
        <is>
          <t>Switchgear to the cabinets only. The transformer-to-switchgear run is separate and is sized in its own block at the foot of this tab.</t>
        </is>
      </c>
      <c r="D25" s="501" t="n"/>
      <c r="E25" s="501" t="n"/>
      <c r="F25" s="501" t="n"/>
      <c r="G25" s="501" t="n"/>
      <c r="H25" s="501" t="n"/>
      <c r="I25" s="501" t="n"/>
      <c r="J25" s="501" t="n"/>
      <c r="K25" s="501" t="n"/>
      <c r="L25" s="501" t="n"/>
      <c r="M25" s="501" t="n"/>
      <c r="N25" s="501" t="n"/>
      <c r="O25" s="501" t="n"/>
      <c r="P25" s="501" t="n"/>
      <c r="Q25" s="501" t="n"/>
      <c r="R25" s="501" t="n"/>
      <c r="S25" s="501" t="n"/>
      <c r="T25" s="501" t="n"/>
      <c r="U25" s="501" t="n"/>
      <c r="V25" s="501" t="n"/>
    </row>
    <row r="26" ht="15" customHeight="1" s="254">
      <c r="A26" s="263" t="inlineStr">
        <is>
          <t>AC-connected units placed</t>
        </is>
      </c>
      <c r="B26" s="330">
        <f>SUMPRODUCT(ISNUMBER($D$12:$D$23)*($D$12:$D$23&gt;0))</f>
        <v/>
      </c>
      <c r="C26" s="508" t="inlineStr">
        <is>
          <t>Must equal Total cabinets on 2_Equipment</t>
        </is>
      </c>
      <c r="D26" s="501" t="n"/>
      <c r="E26" s="501" t="n"/>
      <c r="F26" s="501" t="n"/>
      <c r="G26" s="501" t="n"/>
      <c r="H26" s="501" t="n"/>
      <c r="I26" s="501" t="n"/>
      <c r="J26" s="501" t="n"/>
      <c r="K26" s="501" t="n"/>
      <c r="L26" s="501" t="n"/>
      <c r="M26" s="501" t="n"/>
      <c r="N26" s="501" t="n"/>
      <c r="O26" s="501" t="n"/>
      <c r="P26" s="501" t="n"/>
      <c r="Q26" s="501" t="n"/>
      <c r="R26" s="501" t="n"/>
      <c r="S26" s="501" t="n"/>
      <c r="T26" s="501" t="n"/>
      <c r="U26" s="501" t="n"/>
      <c r="V26" s="501" t="n"/>
    </row>
    <row r="27" ht="27.76" customHeight="1" s="254">
      <c r="A27" s="263" t="inlineStr">
        <is>
          <t>Placement matches equipment?</t>
        </is>
      </c>
      <c r="B27" s="360">
        <f>IF(COUNT(C12:C23)=Equipment!$B$21,"OK — a distance for every AC-connected unit","MISMATCH — "&amp;TEXT(Equipment!$B$21,"0")&amp;" cabinets or all-in-one chargers but "&amp;TEXT(COUNT(C12:C23),"0")&amp;" distances")</f>
        <v/>
      </c>
      <c r="C27" s="507" t="inlineStr">
        <is>
          <t>Counts power cabinets and all-in-one chargers. Dispensers are not counted here.</t>
        </is>
      </c>
      <c r="D27" s="501" t="n"/>
      <c r="E27" s="501" t="n"/>
      <c r="F27" s="501" t="n"/>
      <c r="G27" s="501" t="n"/>
      <c r="H27" s="501" t="n"/>
      <c r="I27" s="501" t="n"/>
      <c r="J27" s="501" t="n"/>
      <c r="K27" s="501" t="n"/>
      <c r="L27" s="501" t="n"/>
      <c r="M27" s="501" t="n"/>
      <c r="N27" s="501" t="n"/>
      <c r="O27" s="501" t="n"/>
      <c r="P27" s="501" t="n"/>
      <c r="Q27" s="501" t="n"/>
      <c r="R27" s="501" t="n"/>
      <c r="S27" s="501" t="n"/>
      <c r="T27" s="501" t="n"/>
      <c r="U27" s="501" t="n"/>
      <c r="V27" s="501" t="n"/>
    </row>
    <row r="28" ht="33.75" customHeight="1" s="254">
      <c r="A28" s="263" t="inlineStr">
        <is>
          <t>Every AC run costed?</t>
        </is>
      </c>
      <c r="B28" s="543">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574" t="n"/>
      <c r="D28" s="501" t="n"/>
      <c r="E28" s="501" t="n"/>
      <c r="F28" s="501" t="n"/>
      <c r="G28" s="501" t="n"/>
      <c r="H28" s="501" t="n"/>
      <c r="I28" s="501" t="n"/>
      <c r="J28" s="501" t="n"/>
      <c r="K28" s="501" t="n"/>
      <c r="L28" s="501" t="n"/>
      <c r="M28" s="501" t="n"/>
      <c r="N28" s="501" t="n"/>
      <c r="O28" s="501" t="n"/>
      <c r="P28" s="501" t="n"/>
      <c r="Q28" s="501" t="n"/>
      <c r="R28" s="501" t="n"/>
      <c r="S28" s="501" t="n"/>
      <c r="T28" s="501" t="n"/>
      <c r="U28" s="501" t="n"/>
      <c r="V28" s="501" t="n"/>
    </row>
    <row r="29" ht="15" customHeight="1" s="254">
      <c r="A29" s="262" t="inlineStr">
        <is>
          <t>Service and switchgear</t>
        </is>
      </c>
      <c r="B29" s="501" t="n"/>
      <c r="C29" s="501" t="n"/>
      <c r="D29" s="501" t="n"/>
      <c r="E29" s="501" t="n"/>
      <c r="F29" s="501" t="n"/>
      <c r="G29" s="501" t="n"/>
      <c r="H29" s="501" t="n"/>
      <c r="I29" s="501" t="n"/>
      <c r="J29" s="501" t="n"/>
      <c r="K29" s="501" t="n"/>
      <c r="L29" s="501" t="n"/>
      <c r="M29" s="501" t="n"/>
      <c r="N29" s="501" t="n"/>
      <c r="O29" s="501" t="n"/>
      <c r="P29" s="501" t="n"/>
      <c r="Q29" s="501" t="n"/>
      <c r="R29" s="501" t="n"/>
      <c r="S29" s="501" t="n"/>
      <c r="T29" s="501" t="n"/>
      <c r="U29" s="501" t="n"/>
      <c r="V29" s="501" t="n"/>
    </row>
    <row r="30" ht="15" customHeight="1" s="254">
      <c r="A30" s="263" t="inlineStr">
        <is>
          <t>Point of connection</t>
        </is>
      </c>
      <c r="B30" s="506" t="n"/>
      <c r="C30" s="508" t="inlineStr">
        <is>
          <t>Existing MSB / new service / pole transformer</t>
        </is>
      </c>
      <c r="D30" s="501" t="n"/>
      <c r="E30" s="501" t="n"/>
      <c r="F30" s="501" t="n"/>
      <c r="G30" s="501" t="n"/>
      <c r="H30" s="501" t="n"/>
      <c r="I30" s="501" t="n"/>
      <c r="J30" s="501" t="n"/>
      <c r="K30" s="501" t="n"/>
      <c r="L30" s="501" t="n"/>
      <c r="M30" s="501" t="n"/>
      <c r="N30" s="501" t="n"/>
      <c r="O30" s="501" t="n"/>
      <c r="P30" s="501" t="n"/>
      <c r="Q30" s="501" t="n"/>
      <c r="R30" s="501" t="n"/>
      <c r="S30" s="501" t="n"/>
      <c r="T30" s="501" t="n"/>
      <c r="U30" s="501" t="n"/>
      <c r="V30" s="501" t="n"/>
    </row>
    <row r="31" ht="30.4" customHeight="1" s="254">
      <c r="A31" s="527" t="inlineStr">
        <is>
          <t>Distance, transformer to switchgear (ft)</t>
        </is>
      </c>
      <c r="B31" s="525" t="n"/>
      <c r="C31" s="557" t="inlineStr">
        <is>
          <t>Customer-side feeder, our scope. Sized in the service feeder block at the foot of this tab, which has its own material and its own ambient.</t>
        </is>
      </c>
      <c r="D31" s="501" t="n"/>
      <c r="E31" s="501" t="n"/>
      <c r="F31" s="501" t="n"/>
      <c r="G31" s="501" t="n"/>
      <c r="H31" s="501" t="n"/>
      <c r="I31" s="501" t="n"/>
      <c r="J31" s="501" t="n"/>
      <c r="K31" s="501" t="n"/>
      <c r="L31" s="501" t="n"/>
      <c r="M31" s="501" t="n"/>
      <c r="N31" s="501" t="n"/>
      <c r="O31" s="501" t="n"/>
      <c r="P31" s="501" t="n"/>
      <c r="Q31" s="501" t="n"/>
      <c r="R31" s="501" t="n"/>
      <c r="S31" s="501" t="n"/>
      <c r="T31" s="501" t="n"/>
      <c r="U31" s="501" t="n"/>
      <c r="V31" s="501" t="n"/>
    </row>
    <row r="32" ht="30.4" customHeight="1" s="254">
      <c r="A32" s="527" t="inlineStr">
        <is>
          <t>Distance, switchgear to pole (ft)</t>
        </is>
      </c>
      <c r="B32" s="525" t="n"/>
      <c r="C32" s="501" t="n"/>
      <c r="D32" s="501" t="n"/>
      <c r="E32" s="501" t="n"/>
      <c r="F32" s="501" t="n"/>
      <c r="G32" s="501" t="n"/>
      <c r="H32" s="501" t="n"/>
      <c r="I32" s="501" t="n"/>
      <c r="J32" s="501" t="n"/>
      <c r="K32" s="501" t="n"/>
      <c r="L32" s="501" t="n"/>
      <c r="M32" s="501" t="n"/>
      <c r="N32" s="501" t="n"/>
      <c r="O32" s="501" t="n"/>
      <c r="P32" s="501" t="n"/>
      <c r="Q32" s="501" t="n"/>
      <c r="R32" s="501" t="n"/>
      <c r="S32" s="501" t="n"/>
      <c r="T32" s="501" t="n"/>
      <c r="U32" s="501" t="n"/>
      <c r="V32" s="501" t="n"/>
    </row>
    <row r="33" ht="30.4" customHeight="1" s="254">
      <c r="A33" s="527" t="inlineStr">
        <is>
          <t>Spare capacity in existing gear (A)</t>
        </is>
      </c>
      <c r="B33" s="525" t="n"/>
      <c r="C33" s="508" t="inlineStr">
        <is>
          <t>0 if a new service is required</t>
        </is>
      </c>
      <c r="D33" s="501" t="n"/>
      <c r="E33" s="501" t="n"/>
      <c r="F33" s="501" t="n"/>
      <c r="G33" s="501" t="n"/>
      <c r="H33" s="501" t="n"/>
      <c r="I33" s="501" t="n"/>
      <c r="J33" s="501" t="n"/>
      <c r="K33" s="501" t="n"/>
      <c r="L33" s="501" t="n"/>
      <c r="M33" s="501" t="n"/>
      <c r="N33" s="501" t="n"/>
      <c r="O33" s="501" t="n"/>
      <c r="P33" s="501" t="n"/>
      <c r="Q33" s="501" t="n"/>
      <c r="R33" s="501" t="n"/>
      <c r="S33" s="501" t="n"/>
      <c r="T33" s="501" t="n"/>
      <c r="U33" s="501" t="n"/>
      <c r="V33" s="501" t="n"/>
    </row>
    <row r="34" ht="15" customHeight="1" s="254">
      <c r="A34" s="263" t="inlineStr">
        <is>
          <t>Load management proposed?</t>
        </is>
      </c>
      <c r="B34" s="575" t="inlineStr">
        <is>
          <t>No</t>
        </is>
      </c>
      <c r="C34" s="508" t="inlineStr">
        <is>
          <t>Yes caps site draw below full nameplate</t>
        </is>
      </c>
      <c r="D34" s="501" t="n"/>
      <c r="E34" s="501" t="n"/>
      <c r="F34" s="501" t="n"/>
      <c r="G34" s="501" t="n"/>
      <c r="H34" s="501" t="n"/>
      <c r="I34" s="501" t="n"/>
      <c r="J34" s="501" t="n"/>
      <c r="K34" s="501" t="n"/>
      <c r="L34" s="501" t="n"/>
      <c r="M34" s="501" t="n"/>
      <c r="N34" s="501" t="n"/>
      <c r="O34" s="501" t="n"/>
      <c r="P34" s="501" t="n"/>
      <c r="Q34" s="501" t="n"/>
      <c r="R34" s="501" t="n"/>
      <c r="S34" s="501" t="n"/>
      <c r="T34" s="501" t="n"/>
      <c r="U34" s="501" t="n"/>
      <c r="V34" s="501" t="n"/>
    </row>
    <row r="35" ht="30.4" customHeight="1" s="254">
      <c r="A35" s="527" t="inlineStr">
        <is>
          <t>Capped site draw (kW) if load managed</t>
        </is>
      </c>
      <c r="B35" s="506" t="n"/>
      <c r="C35" s="508" t="inlineStr">
        <is>
          <t>SIZING CAP — conductors, gear and the service are sized on this, and it drives power per charging position in the model. Leave blank if not load managed. It is NOT the billing setpoint: that is its own row below, and the two are different numbers.</t>
        </is>
      </c>
      <c r="D35" s="501" t="n"/>
      <c r="E35" s="501" t="n"/>
      <c r="F35" s="501" t="n"/>
      <c r="G35" s="501" t="n"/>
      <c r="H35" s="501" t="n"/>
      <c r="I35" s="501" t="n"/>
      <c r="J35" s="501" t="n"/>
      <c r="K35" s="501" t="n"/>
      <c r="L35" s="501" t="n"/>
      <c r="M35" s="501" t="n"/>
      <c r="N35" s="501" t="n"/>
      <c r="O35" s="501" t="n"/>
      <c r="P35" s="501" t="n"/>
      <c r="Q35" s="501" t="n"/>
      <c r="R35" s="501" t="n"/>
      <c r="S35" s="501" t="n"/>
      <c r="T35" s="501" t="n"/>
      <c r="U35" s="501" t="n"/>
      <c r="V35" s="501" t="n"/>
    </row>
    <row r="36" ht="26.44" customHeight="1" s="254">
      <c r="A36" s="263" t="inlineStr">
        <is>
          <t>Service boards in the lineup</t>
        </is>
      </c>
      <c r="B36" s="576" t="n">
        <v>1</v>
      </c>
      <c r="C36" s="505"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c r="D36" s="501" t="n"/>
      <c r="E36" s="501" t="n"/>
      <c r="F36" s="501" t="n"/>
      <c r="G36" s="501" t="n"/>
      <c r="H36" s="501" t="n"/>
      <c r="I36" s="501" t="n"/>
      <c r="J36" s="501" t="n"/>
      <c r="K36" s="501" t="n"/>
      <c r="L36" s="501" t="n"/>
      <c r="M36" s="501" t="n"/>
      <c r="N36" s="501" t="n"/>
      <c r="O36" s="501" t="n"/>
      <c r="P36" s="501" t="n"/>
      <c r="Q36" s="501" t="n"/>
      <c r="R36" s="501" t="n"/>
      <c r="S36" s="501" t="n"/>
      <c r="T36" s="501" t="n"/>
      <c r="U36" s="501" t="n"/>
      <c r="V36" s="501" t="n"/>
    </row>
    <row r="37" ht="33.04000000000001" customHeight="1" s="254">
      <c r="A37" s="529" t="inlineStr">
        <is>
          <t>Live electrical check — derived from 2_Equipment</t>
        </is>
      </c>
      <c r="B37" s="501" t="n"/>
      <c r="C37" s="501" t="n"/>
      <c r="D37" s="501" t="n"/>
      <c r="E37" s="501" t="n"/>
      <c r="F37" s="501" t="n"/>
      <c r="G37" s="501" t="n"/>
      <c r="H37" s="501" t="n"/>
      <c r="I37" s="501" t="n"/>
      <c r="J37" s="501" t="n"/>
      <c r="K37" s="501" t="n"/>
      <c r="L37" s="501" t="n"/>
      <c r="M37" s="501" t="n"/>
      <c r="N37" s="501" t="n"/>
      <c r="O37" s="501" t="n"/>
      <c r="P37" s="501" t="n"/>
      <c r="Q37" s="501" t="n"/>
      <c r="R37" s="501" t="n"/>
      <c r="S37" s="501" t="n"/>
      <c r="T37" s="501" t="n"/>
      <c r="U37" s="501" t="n"/>
      <c r="V37" s="501" t="n"/>
    </row>
    <row r="38" ht="26.44" customHeight="1" s="254">
      <c r="A38" s="263" t="inlineStr">
        <is>
          <t>Connected load (kW)</t>
        </is>
      </c>
      <c r="B38" s="330">
        <f>IF($B$34="Yes",IF(N($B$35)=0,Equipment!B23,MIN(Equipment!B23,N($B$35))),Equipment!B23)</f>
        <v/>
      </c>
      <c r="C38" s="505"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c r="D38" s="501" t="n"/>
      <c r="E38" s="501" t="n"/>
      <c r="F38" s="501" t="n"/>
      <c r="G38" s="501" t="n"/>
      <c r="H38" s="501" t="n"/>
      <c r="I38" s="501" t="n"/>
      <c r="J38" s="501" t="n"/>
      <c r="K38" s="501" t="n"/>
      <c r="L38" s="501" t="n"/>
      <c r="M38" s="501" t="n"/>
      <c r="N38" s="501" t="n"/>
      <c r="O38" s="501" t="n"/>
      <c r="P38" s="501" t="n"/>
      <c r="Q38" s="501" t="n"/>
      <c r="R38" s="501" t="n"/>
      <c r="S38" s="501" t="n"/>
      <c r="T38" s="501" t="n"/>
      <c r="U38" s="501" t="n"/>
      <c r="V38" s="501" t="n"/>
    </row>
    <row r="39" ht="30.4" customHeight="1" s="254">
      <c r="A39" s="527" t="inlineStr">
        <is>
          <t>Design current at service voltage (A)</t>
        </is>
      </c>
      <c r="B39" s="330">
        <f>IF(N($B$38)=0,"",$B$38*1000/(Project!$B$29*SQRT(3)))</f>
        <v/>
      </c>
      <c r="C39" s="508" t="inlineStr">
        <is>
          <t>kW x 1000 / (V x sqrt 3)</t>
        </is>
      </c>
      <c r="D39" s="501" t="n"/>
      <c r="E39" s="501" t="n"/>
      <c r="F39" s="501" t="n"/>
      <c r="G39" s="501" t="n"/>
      <c r="H39" s="501" t="n"/>
      <c r="I39" s="501" t="n"/>
      <c r="J39" s="501" t="n"/>
      <c r="K39" s="501" t="n"/>
      <c r="L39" s="501" t="n"/>
      <c r="M39" s="501" t="n"/>
      <c r="N39" s="501" t="n"/>
      <c r="O39" s="501" t="n"/>
      <c r="P39" s="501" t="n"/>
      <c r="Q39" s="501" t="n"/>
      <c r="R39" s="501" t="n"/>
      <c r="S39" s="501" t="n"/>
      <c r="T39" s="501" t="n"/>
      <c r="U39" s="501" t="n"/>
      <c r="V39" s="501" t="n"/>
    </row>
    <row r="40" ht="15" customHeight="1" s="254">
      <c r="A40" s="263" t="inlineStr">
        <is>
          <t>Required OCPD at 125% (A)</t>
        </is>
      </c>
      <c r="B40" s="330">
        <f>IF(N($B$39)=0,"",N($B$39)*1.25)</f>
        <v/>
      </c>
      <c r="C40" s="508" t="inlineStr">
        <is>
          <t>NEC continuous-load rule</t>
        </is>
      </c>
      <c r="D40" s="501" t="n"/>
      <c r="E40" s="501" t="n"/>
      <c r="F40" s="501" t="n"/>
      <c r="G40" s="501" t="n"/>
      <c r="H40" s="501" t="n"/>
      <c r="I40" s="501" t="n"/>
      <c r="J40" s="501" t="n"/>
      <c r="K40" s="501" t="n"/>
      <c r="L40" s="501" t="n"/>
      <c r="M40" s="501" t="n"/>
      <c r="N40" s="501" t="n"/>
      <c r="O40" s="501" t="n"/>
      <c r="P40" s="501" t="n"/>
      <c r="Q40" s="501" t="n"/>
      <c r="R40" s="501" t="n"/>
      <c r="S40" s="501" t="n"/>
      <c r="T40" s="501" t="n"/>
      <c r="U40" s="501" t="n"/>
      <c r="V40" s="501" t="n"/>
    </row>
    <row r="41" ht="31.5" customHeight="1" s="254">
      <c r="A41" s="527" t="inlineStr">
        <is>
          <t>Standard frame required per board (A)</t>
        </is>
      </c>
      <c r="B41" s="330">
        <f>IF(N($B$40)=0,"",IFERROR(INDEX(RefData!$B$4:$B$15,MATCH(N($B$40)/MAX(1,N($B$36)),RefData!$A$4:$A$15,1)),"check the frame table"))</f>
        <v/>
      </c>
      <c r="C41" s="505" t="inlineStr">
        <is>
          <t>The required overcurrent device divided across the boards in the lineup, then rounded up to the next standard frame.</t>
        </is>
      </c>
      <c r="D41" s="501" t="n"/>
      <c r="E41" s="501" t="n"/>
      <c r="F41" s="501" t="n"/>
      <c r="G41" s="501" t="n"/>
      <c r="H41" s="501" t="n"/>
      <c r="I41" s="501" t="n"/>
      <c r="J41" s="501" t="n"/>
      <c r="K41" s="501" t="n"/>
      <c r="L41" s="501" t="n"/>
      <c r="M41" s="501" t="n"/>
      <c r="N41" s="501" t="n"/>
      <c r="O41" s="501" t="n"/>
      <c r="P41" s="501" t="n"/>
      <c r="Q41" s="501" t="n"/>
      <c r="R41" s="501" t="n"/>
      <c r="S41" s="501" t="n"/>
      <c r="T41" s="501" t="n"/>
      <c r="U41" s="501" t="n"/>
      <c r="V41" s="501" t="n"/>
    </row>
    <row r="42" ht="15" customHeight="1" s="254">
      <c r="A42" s="263" t="inlineStr">
        <is>
          <t>Switchgear size being priced (A)</t>
        </is>
      </c>
      <c r="B42" s="577" t="n"/>
      <c r="C42" s="508" t="inlineStr">
        <is>
          <t>Type what you are actually quoting</t>
        </is>
      </c>
      <c r="D42" s="501" t="n"/>
      <c r="E42" s="501" t="n"/>
      <c r="F42" s="501" t="n"/>
      <c r="G42" s="501" t="n"/>
      <c r="H42" s="501" t="n"/>
      <c r="I42" s="501" t="n"/>
      <c r="J42" s="501" t="n"/>
      <c r="K42" s="501" t="n"/>
      <c r="L42" s="501" t="n"/>
      <c r="M42" s="501" t="n"/>
      <c r="N42" s="501" t="n"/>
      <c r="O42" s="501" t="n"/>
      <c r="P42" s="501" t="n"/>
      <c r="Q42" s="501" t="n"/>
      <c r="R42" s="501" t="n"/>
      <c r="S42" s="501" t="n"/>
      <c r="T42" s="501" t="n"/>
      <c r="U42" s="501" t="n"/>
      <c r="V42" s="501" t="n"/>
    </row>
    <row r="43" ht="26.44" customHeight="1" s="254">
      <c r="A43" s="263"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505" t="inlineStr">
        <is>
          <t>Checks the per-board size AND whether the workbook can price that frame.</t>
        </is>
      </c>
      <c r="D43" s="501" t="n"/>
      <c r="E43" s="501" t="n"/>
      <c r="F43" s="501" t="n"/>
      <c r="G43" s="501" t="n"/>
      <c r="H43" s="501" t="n"/>
      <c r="I43" s="501" t="n"/>
      <c r="J43" s="501" t="n"/>
      <c r="K43" s="501" t="n"/>
      <c r="L43" s="501" t="n"/>
      <c r="M43" s="501" t="n"/>
      <c r="N43" s="501" t="n"/>
      <c r="O43" s="501" t="n"/>
      <c r="P43" s="501" t="n"/>
      <c r="Q43" s="501" t="n"/>
      <c r="R43" s="501" t="n"/>
      <c r="S43" s="501" t="n"/>
      <c r="T43" s="501" t="n"/>
      <c r="U43" s="501" t="n"/>
      <c r="V43" s="501" t="n"/>
    </row>
    <row r="44" ht="27.76" customHeight="1" s="254">
      <c r="A44" s="57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574" t="n"/>
      <c r="D44" s="501" t="n"/>
      <c r="E44" s="501" t="n"/>
      <c r="F44" s="501" t="n"/>
      <c r="G44" s="501" t="n"/>
      <c r="H44" s="501" t="n"/>
      <c r="I44" s="501" t="n"/>
      <c r="J44" s="501" t="n"/>
      <c r="K44" s="501" t="n"/>
      <c r="L44" s="501" t="n"/>
      <c r="M44" s="501" t="n"/>
      <c r="N44" s="501" t="n"/>
      <c r="O44" s="501" t="n"/>
      <c r="P44" s="501" t="n"/>
      <c r="Q44" s="501" t="n"/>
      <c r="R44" s="501" t="n"/>
      <c r="S44" s="501" t="n"/>
      <c r="T44" s="501" t="n"/>
      <c r="U44" s="501" t="n"/>
      <c r="V44" s="501" t="n"/>
    </row>
    <row r="45" ht="14.25" customHeight="1" s="254">
      <c r="A45" s="263" t="inlineStr">
        <is>
          <t>Demand-limiting setpoint (kW)</t>
        </is>
      </c>
      <c r="B45" s="506" t="n"/>
      <c r="C45" s="508" t="inlineStr">
        <is>
          <t>BILLING SETPOINT, NOT A SIZING CAP. What the energy management system holds the highest fifteen-minute site draw to — which is what a demand charge is billed on. Nothing is sized on it. Leave blank and the model falls back to the sizing cap above. On a demand tariff this is usually the largest controllable line on the electricity bill; on a subscription tariff it is what you are buying blocks against.</t>
        </is>
      </c>
      <c r="D45" s="560" t="n"/>
      <c r="E45" s="560" t="n"/>
      <c r="F45" s="560" t="n"/>
      <c r="G45" s="560" t="n"/>
      <c r="H45" s="560" t="n"/>
      <c r="I45" s="560" t="n"/>
      <c r="J45" s="560" t="n"/>
      <c r="K45" s="560" t="n"/>
      <c r="L45" s="560" t="n"/>
      <c r="M45" s="560" t="n"/>
      <c r="N45" s="560" t="n"/>
      <c r="O45" s="560" t="n"/>
      <c r="P45" s="560" t="n"/>
      <c r="Q45" s="560" t="n"/>
      <c r="R45" s="560" t="n"/>
      <c r="S45" s="560" t="n"/>
      <c r="T45" s="560" t="n"/>
      <c r="U45" s="560" t="n"/>
      <c r="V45" s="560" t="n"/>
    </row>
    <row r="46" ht="14.25" customHeight="1" s="254">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c r="V46" s="560" t="n"/>
    </row>
    <row r="47">
      <c r="A47" s="501" t="n"/>
      <c r="B47" s="501" t="n"/>
      <c r="C47" s="501" t="n"/>
      <c r="D47" s="501" t="n"/>
      <c r="E47" s="501" t="n"/>
      <c r="F47" s="501" t="n"/>
      <c r="G47" s="501" t="n"/>
      <c r="H47" s="501" t="n"/>
      <c r="I47" s="501" t="n"/>
      <c r="J47" s="501" t="n"/>
      <c r="K47" s="501" t="n"/>
      <c r="L47" s="501" t="n"/>
      <c r="M47" s="501" t="n"/>
      <c r="N47" s="501" t="n"/>
      <c r="O47" s="501" t="n"/>
      <c r="P47" s="501" t="n"/>
      <c r="Q47" s="501" t="n"/>
      <c r="R47" s="501" t="n"/>
      <c r="S47" s="501" t="n"/>
      <c r="T47" s="501" t="n"/>
      <c r="U47" s="501" t="n"/>
      <c r="V47" s="501" t="n"/>
    </row>
    <row r="48" ht="47.56" customHeight="1" s="254">
      <c r="A48" s="335" t="inlineStr">
        <is>
          <t>Utility interconnection — governed by the serving utility</t>
        </is>
      </c>
      <c r="B48" s="501" t="n"/>
      <c r="C48" s="501" t="n"/>
      <c r="D48" s="501" t="n"/>
      <c r="E48" s="501" t="n"/>
      <c r="F48" s="501" t="n"/>
      <c r="G48" s="501" t="n"/>
      <c r="H48" s="501" t="n"/>
      <c r="I48" s="501" t="n"/>
      <c r="J48" s="501" t="n"/>
      <c r="K48" s="501" t="n"/>
      <c r="L48" s="501" t="n"/>
      <c r="M48" s="501" t="n"/>
      <c r="N48" s="501" t="n"/>
      <c r="O48" s="501" t="n"/>
      <c r="P48" s="501" t="n"/>
      <c r="Q48" s="501" t="n"/>
      <c r="R48" s="501" t="n"/>
      <c r="S48" s="501" t="n"/>
      <c r="T48" s="501" t="n"/>
      <c r="U48" s="501" t="n"/>
      <c r="V48" s="501" t="n"/>
    </row>
    <row r="49" ht="39.64" customHeight="1" s="254">
      <c r="A49" s="36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F49" s="501" t="n"/>
      <c r="G49" s="501" t="n"/>
      <c r="H49" s="501" t="n"/>
      <c r="I49" s="501" t="n"/>
      <c r="J49" s="501" t="n"/>
      <c r="K49" s="501" t="n"/>
      <c r="L49" s="501" t="n"/>
      <c r="M49" s="501" t="n"/>
      <c r="N49" s="501" t="n"/>
      <c r="O49" s="501" t="n"/>
      <c r="P49" s="501" t="n"/>
      <c r="Q49" s="501" t="n"/>
      <c r="R49" s="501" t="n"/>
      <c r="S49" s="501" t="n"/>
      <c r="T49" s="501" t="n"/>
      <c r="U49" s="501" t="n"/>
      <c r="V49" s="501" t="n"/>
    </row>
    <row r="50">
      <c r="A50" s="501" t="n"/>
      <c r="B50" s="501" t="n"/>
      <c r="C50" s="501" t="n"/>
      <c r="D50" s="501" t="n"/>
      <c r="E50" s="501" t="n"/>
      <c r="F50" s="501" t="n"/>
      <c r="G50" s="501" t="n"/>
      <c r="H50" s="501" t="n"/>
      <c r="I50" s="501" t="n"/>
      <c r="J50" s="501" t="n"/>
      <c r="K50" s="501" t="n"/>
      <c r="L50" s="501" t="n"/>
      <c r="M50" s="501" t="n"/>
      <c r="N50" s="501" t="n"/>
      <c r="O50" s="501" t="n"/>
      <c r="P50" s="501" t="n"/>
      <c r="Q50" s="501" t="n"/>
      <c r="R50" s="501" t="n"/>
      <c r="S50" s="501" t="n"/>
      <c r="T50" s="501" t="n"/>
      <c r="U50" s="501" t="n"/>
      <c r="V50" s="501" t="n"/>
    </row>
    <row r="51" ht="15" customHeight="1" s="254">
      <c r="A51" s="263" t="inlineStr">
        <is>
          <t>Service type</t>
        </is>
      </c>
      <c r="B51" s="565" t="inlineStr">
        <is>
          <t>New service</t>
        </is>
      </c>
      <c r="C51" s="508" t="inlineStr">
        <is>
          <t>New service / added load to existing service</t>
        </is>
      </c>
      <c r="D51" s="501" t="n"/>
      <c r="E51" s="501" t="n"/>
      <c r="F51" s="501" t="n"/>
      <c r="G51" s="501" t="n"/>
      <c r="H51" s="501" t="n"/>
      <c r="I51" s="501" t="n"/>
      <c r="J51" s="501" t="n"/>
      <c r="K51" s="501" t="n"/>
      <c r="L51" s="501" t="n"/>
      <c r="M51" s="501" t="n"/>
      <c r="N51" s="501" t="n"/>
      <c r="O51" s="501" t="n"/>
      <c r="P51" s="501" t="n"/>
      <c r="Q51" s="501" t="n"/>
      <c r="R51" s="501" t="n"/>
      <c r="S51" s="501" t="n"/>
      <c r="T51" s="501" t="n"/>
      <c r="U51" s="501" t="n"/>
      <c r="V51" s="501" t="n"/>
    </row>
    <row r="52" ht="15" customHeight="1" s="254">
      <c r="A52" s="263" t="inlineStr">
        <is>
          <t>Overhead or underground service</t>
        </is>
      </c>
      <c r="B52" s="565" t="inlineStr">
        <is>
          <t>Underground</t>
        </is>
      </c>
      <c r="C52" s="501" t="n"/>
      <c r="D52" s="501" t="n"/>
      <c r="E52" s="501" t="n"/>
      <c r="F52" s="501" t="n"/>
      <c r="G52" s="501" t="n"/>
      <c r="H52" s="501" t="n"/>
      <c r="I52" s="501" t="n"/>
      <c r="J52" s="501" t="n"/>
      <c r="K52" s="501" t="n"/>
      <c r="L52" s="501" t="n"/>
      <c r="M52" s="501" t="n"/>
      <c r="N52" s="501" t="n"/>
      <c r="O52" s="501" t="n"/>
      <c r="P52" s="501" t="n"/>
      <c r="Q52" s="501" t="n"/>
      <c r="R52" s="501" t="n"/>
      <c r="S52" s="501" t="n"/>
      <c r="T52" s="501" t="n"/>
      <c r="U52" s="501" t="n"/>
      <c r="V52" s="501" t="n"/>
    </row>
    <row r="53" ht="31.5" customHeight="1" s="254">
      <c r="A53" s="527" t="inlineStr">
        <is>
          <t>Distance to the utility point of interconnection (ft)</t>
        </is>
      </c>
      <c r="B53" s="525" t="n"/>
      <c r="C53" s="505" t="inlineStr">
        <is>
          <t>Drives whether distribution work is likely</t>
        </is>
      </c>
      <c r="D53" s="501" t="n"/>
      <c r="E53" s="501" t="n"/>
      <c r="F53" s="501" t="n"/>
      <c r="G53" s="501" t="n"/>
      <c r="H53" s="501" t="n"/>
      <c r="I53" s="501" t="n"/>
      <c r="J53" s="501" t="n"/>
      <c r="K53" s="501" t="n"/>
      <c r="L53" s="501" t="n"/>
      <c r="M53" s="501" t="n"/>
      <c r="N53" s="501" t="n"/>
      <c r="O53" s="501" t="n"/>
      <c r="P53" s="501" t="n"/>
      <c r="Q53" s="501" t="n"/>
      <c r="R53" s="501" t="n"/>
      <c r="S53" s="501" t="n"/>
      <c r="T53" s="501" t="n"/>
      <c r="U53" s="501" t="n"/>
      <c r="V53" s="501" t="n"/>
    </row>
    <row r="54" ht="30.4" customHeight="1" s="254">
      <c r="A54" s="527" t="inlineStr">
        <is>
          <t>Interconnection application submitted?</t>
        </is>
      </c>
      <c r="B54" s="506" t="n"/>
      <c r="C54" s="505" t="inlineStr">
        <is>
          <t>Yes / No — with date</t>
        </is>
      </c>
      <c r="D54" s="501" t="n"/>
      <c r="E54" s="501" t="n"/>
      <c r="F54" s="501" t="n"/>
      <c r="G54" s="501" t="n"/>
      <c r="H54" s="501" t="n"/>
      <c r="I54" s="501" t="n"/>
      <c r="J54" s="501" t="n"/>
      <c r="K54" s="501" t="n"/>
      <c r="L54" s="501" t="n"/>
      <c r="M54" s="501" t="n"/>
      <c r="N54" s="501" t="n"/>
      <c r="O54" s="501" t="n"/>
      <c r="P54" s="501" t="n"/>
      <c r="Q54" s="501" t="n"/>
      <c r="R54" s="501" t="n"/>
      <c r="S54" s="501" t="n"/>
      <c r="T54" s="501" t="n"/>
      <c r="U54" s="501" t="n"/>
      <c r="V54" s="501" t="n"/>
    </row>
    <row r="55" ht="19.5" customHeight="1" s="254">
      <c r="A55" s="263" t="inlineStr">
        <is>
          <t>Utility project or design number</t>
        </is>
      </c>
      <c r="B55" s="506" t="n"/>
      <c r="C55" s="505" t="inlineStr">
        <is>
          <t>Once issued</t>
        </is>
      </c>
      <c r="D55" s="501" t="n"/>
      <c r="E55" s="501" t="n"/>
      <c r="F55" s="501" t="n"/>
      <c r="G55" s="501" t="n"/>
      <c r="H55" s="501" t="n"/>
      <c r="I55" s="501" t="n"/>
      <c r="J55" s="501" t="n"/>
      <c r="K55" s="501" t="n"/>
      <c r="L55" s="501" t="n"/>
      <c r="M55" s="501" t="n"/>
      <c r="N55" s="501" t="n"/>
      <c r="O55" s="501" t="n"/>
      <c r="P55" s="501" t="n"/>
      <c r="Q55" s="501" t="n"/>
      <c r="R55" s="501" t="n"/>
      <c r="S55" s="501" t="n"/>
      <c r="T55" s="501" t="n"/>
      <c r="U55" s="501" t="n"/>
      <c r="V55" s="501" t="n"/>
    </row>
    <row r="56" ht="30.4" customHeight="1" s="254">
      <c r="A56" s="527" t="inlineStr">
        <is>
          <t>Utility interconnection design and application fee</t>
        </is>
      </c>
      <c r="B56" s="579" t="n"/>
      <c r="C56" s="505" t="inlineStr">
        <is>
          <t>What the serving utility charges to design and connect the service. Leave blank until they say. There is no default: the $3,500 that used to sit here was PG&amp;E's typical Rule 29 figure and it followed a Michigan project into its cost build-up.</t>
        </is>
      </c>
      <c r="D56" s="501" t="n"/>
      <c r="E56" s="501" t="n"/>
      <c r="F56" s="501" t="n"/>
      <c r="G56" s="501" t="n"/>
      <c r="H56" s="501" t="n"/>
      <c r="I56" s="501" t="n"/>
      <c r="J56" s="501" t="n"/>
      <c r="K56" s="501" t="n"/>
      <c r="L56" s="501" t="n"/>
      <c r="M56" s="501" t="n"/>
      <c r="N56" s="501" t="n"/>
      <c r="O56" s="501" t="n"/>
      <c r="P56" s="501" t="n"/>
      <c r="Q56" s="501" t="n"/>
      <c r="R56" s="501" t="n"/>
      <c r="S56" s="501" t="n"/>
      <c r="T56" s="501" t="n"/>
      <c r="U56" s="501" t="n"/>
      <c r="V56" s="501" t="n"/>
    </row>
    <row r="57" ht="31.5" customHeight="1" s="254">
      <c r="A57" s="527" t="inlineStr">
        <is>
          <t>Distribution or line extension indicated by the utility?</t>
        </is>
      </c>
      <c r="B57" s="580" t="n"/>
      <c r="C57" s="505" t="inlineStr">
        <is>
          <t>Unknown until the utility design is returned</t>
        </is>
      </c>
      <c r="D57" s="501" t="n"/>
      <c r="E57" s="501" t="n"/>
      <c r="F57" s="501" t="n"/>
      <c r="G57" s="501" t="n"/>
      <c r="H57" s="501" t="n"/>
      <c r="I57" s="501" t="n"/>
      <c r="J57" s="501" t="n"/>
      <c r="K57" s="501" t="n"/>
      <c r="L57" s="501" t="n"/>
      <c r="M57" s="501" t="n"/>
      <c r="N57" s="501" t="n"/>
      <c r="O57" s="501" t="n"/>
      <c r="P57" s="501" t="n"/>
      <c r="Q57" s="501" t="n"/>
      <c r="R57" s="501" t="n"/>
      <c r="S57" s="501" t="n"/>
      <c r="T57" s="501" t="n"/>
      <c r="U57" s="501" t="n"/>
      <c r="V57" s="501" t="n"/>
    </row>
    <row r="58" ht="30.4" customHeight="1" s="254">
      <c r="A58" s="527" t="inlineStr">
        <is>
          <t>Line-extension allowance calculated by the utility</t>
        </is>
      </c>
      <c r="B58" s="581" t="n"/>
      <c r="C58" s="505" t="inlineStr">
        <is>
          <t>Leave blank until the design comes back. Municipal utilities often publish no allowance at all — zero is then a finding, not a gap.</t>
        </is>
      </c>
      <c r="D58" s="501" t="n"/>
      <c r="E58" s="501" t="n"/>
      <c r="F58" s="501" t="n"/>
      <c r="G58" s="501" t="n"/>
      <c r="H58" s="501" t="n"/>
      <c r="I58" s="501" t="n"/>
      <c r="J58" s="501" t="n"/>
      <c r="K58" s="501" t="n"/>
      <c r="L58" s="501" t="n"/>
      <c r="M58" s="501" t="n"/>
      <c r="N58" s="501" t="n"/>
      <c r="O58" s="501" t="n"/>
      <c r="P58" s="501" t="n"/>
      <c r="Q58" s="501" t="n"/>
      <c r="R58" s="501" t="n"/>
      <c r="S58" s="501" t="n"/>
      <c r="T58" s="501" t="n"/>
      <c r="U58" s="501" t="n"/>
      <c r="V58" s="501" t="n"/>
    </row>
    <row r="59" ht="30.4" customHeight="1" s="254">
      <c r="A59" s="527" t="inlineStr">
        <is>
          <t>Customer contribution above the allowance</t>
        </is>
      </c>
      <c r="B59" s="581" t="n"/>
      <c r="C59" s="505" t="inlineStr">
        <is>
          <t>Leave blank until the design comes back</t>
        </is>
      </c>
      <c r="D59" s="501" t="n"/>
      <c r="E59" s="501" t="n"/>
      <c r="F59" s="501" t="n"/>
      <c r="G59" s="501" t="n"/>
      <c r="H59" s="501" t="n"/>
      <c r="I59" s="501" t="n"/>
      <c r="J59" s="501" t="n"/>
      <c r="K59" s="501" t="n"/>
      <c r="L59" s="501" t="n"/>
      <c r="M59" s="501" t="n"/>
      <c r="N59" s="501" t="n"/>
      <c r="O59" s="501" t="n"/>
      <c r="P59" s="501" t="n"/>
      <c r="Q59" s="501" t="n"/>
      <c r="R59" s="501" t="n"/>
      <c r="S59" s="501" t="n"/>
      <c r="T59" s="501" t="n"/>
      <c r="U59" s="501" t="n"/>
      <c r="V59" s="501" t="n"/>
    </row>
    <row r="60" ht="30.4" customHeight="1" s="254">
      <c r="A60" s="527" t="inlineStr">
        <is>
          <t>Temporary or speculative service component?</t>
        </is>
      </c>
      <c r="B60" s="565" t="inlineStr">
        <is>
          <t>Unknown</t>
        </is>
      </c>
      <c r="C60" s="505" t="inlineStr">
        <is>
          <t>Temporary or speculative service only</t>
        </is>
      </c>
      <c r="D60" s="501" t="n"/>
      <c r="E60" s="501" t="n"/>
      <c r="F60" s="501" t="n"/>
      <c r="G60" s="501" t="n"/>
      <c r="H60" s="501" t="n"/>
      <c r="I60" s="501" t="n"/>
      <c r="J60" s="501" t="n"/>
      <c r="K60" s="501" t="n"/>
      <c r="L60" s="501" t="n"/>
      <c r="M60" s="501" t="n"/>
      <c r="N60" s="501" t="n"/>
      <c r="O60" s="501" t="n"/>
      <c r="P60" s="501" t="n"/>
      <c r="Q60" s="501" t="n"/>
      <c r="R60" s="501" t="n"/>
      <c r="S60" s="501" t="n"/>
      <c r="T60" s="501" t="n"/>
      <c r="U60" s="501" t="n"/>
      <c r="V60" s="501" t="n"/>
    </row>
    <row r="61" ht="30.4" customHeight="1" s="254">
      <c r="A61" s="527" t="inlineStr">
        <is>
          <t>Tax gross-up on a customer contribution applies?</t>
        </is>
      </c>
      <c r="B61" s="565" t="inlineStr">
        <is>
          <t>Only if Rule 15/16 contribution arises</t>
        </is>
      </c>
      <c r="C61" s="505" t="inlineStr">
        <is>
          <t>Tax on any contribution to utility-owned plant. Investor-owned utilities levy it; publicly owned utilities generally do not.</t>
        </is>
      </c>
      <c r="D61" s="501" t="n"/>
      <c r="E61" s="501" t="n"/>
      <c r="F61" s="501" t="n"/>
      <c r="G61" s="501" t="n"/>
      <c r="H61" s="501" t="n"/>
      <c r="I61" s="501" t="n"/>
      <c r="J61" s="501" t="n"/>
      <c r="K61" s="501" t="n"/>
      <c r="L61" s="501" t="n"/>
      <c r="M61" s="501" t="n"/>
      <c r="N61" s="501" t="n"/>
      <c r="O61" s="501" t="n"/>
      <c r="P61" s="501" t="n"/>
      <c r="Q61" s="501" t="n"/>
      <c r="R61" s="501" t="n"/>
      <c r="S61" s="501" t="n"/>
      <c r="T61" s="501" t="n"/>
      <c r="U61" s="501" t="n"/>
      <c r="V61" s="501" t="n"/>
    </row>
    <row r="62" ht="30.4" customHeight="1" s="254">
      <c r="A62" s="527" t="inlineStr">
        <is>
          <t>Transformer pad location agreed with client?</t>
        </is>
      </c>
      <c r="B62" s="506" t="n"/>
      <c r="C62" s="508" t="inlineStr">
        <is>
          <t>Client must provide the space</t>
        </is>
      </c>
      <c r="D62" s="501" t="n"/>
      <c r="E62" s="501" t="n"/>
      <c r="F62" s="501" t="n"/>
      <c r="G62" s="501" t="n"/>
      <c r="H62" s="501" t="n"/>
      <c r="I62" s="501" t="n"/>
      <c r="J62" s="501" t="n"/>
      <c r="K62" s="501" t="n"/>
      <c r="L62" s="501" t="n"/>
      <c r="M62" s="501" t="n"/>
      <c r="N62" s="501" t="n"/>
      <c r="O62" s="501" t="n"/>
      <c r="P62" s="501" t="n"/>
      <c r="Q62" s="501" t="n"/>
      <c r="R62" s="501" t="n"/>
      <c r="S62" s="501" t="n"/>
      <c r="T62" s="501" t="n"/>
      <c r="U62" s="501" t="n"/>
      <c r="V62" s="501" t="n"/>
    </row>
    <row r="63" ht="30.4" customHeight="1" s="254">
      <c r="A63" s="527" t="inlineStr">
        <is>
          <t>Proof of commitment to purchase provided?</t>
        </is>
      </c>
      <c r="B63" s="506" t="n"/>
      <c r="C63" s="505" t="inlineStr">
        <is>
          <t>Some utility programmes require a PO, budget approval or grant agreement</t>
        </is>
      </c>
      <c r="D63" s="501" t="n"/>
      <c r="E63" s="501" t="n"/>
      <c r="F63" s="501" t="n"/>
      <c r="G63" s="501" t="n"/>
      <c r="H63" s="501" t="n"/>
      <c r="I63" s="501" t="n"/>
      <c r="J63" s="501" t="n"/>
      <c r="K63" s="501" t="n"/>
      <c r="L63" s="501" t="n"/>
      <c r="M63" s="501" t="n"/>
      <c r="N63" s="501" t="n"/>
      <c r="O63" s="501" t="n"/>
      <c r="P63" s="501" t="n"/>
      <c r="Q63" s="501" t="n"/>
      <c r="R63" s="501" t="n"/>
      <c r="S63" s="501" t="n"/>
      <c r="T63" s="501" t="n"/>
      <c r="U63" s="501" t="n"/>
      <c r="V63" s="501" t="n"/>
    </row>
    <row r="64" ht="43.6" customHeight="1" s="254">
      <c r="A64" s="271" t="inlineStr">
        <is>
          <t>Client accepts the utility's operate-and-maintain obligation?</t>
        </is>
      </c>
      <c r="B64" s="506" t="n"/>
      <c r="C64" s="505" t="inlineStr">
        <is>
          <t>Where the utility imposes one as a condition of an incentive or an extension</t>
        </is>
      </c>
      <c r="D64" s="501" t="n"/>
      <c r="E64" s="501" t="n"/>
      <c r="F64" s="501" t="n"/>
      <c r="G64" s="501" t="n"/>
      <c r="H64" s="501" t="n"/>
      <c r="I64" s="501" t="n"/>
      <c r="J64" s="501" t="n"/>
      <c r="K64" s="501" t="n"/>
      <c r="L64" s="501" t="n"/>
      <c r="M64" s="501" t="n"/>
      <c r="N64" s="501" t="n"/>
      <c r="O64" s="501" t="n"/>
      <c r="P64" s="501" t="n"/>
      <c r="Q64" s="501" t="n"/>
      <c r="R64" s="501" t="n"/>
      <c r="S64" s="501" t="n"/>
      <c r="T64" s="501" t="n"/>
      <c r="U64" s="501" t="n"/>
      <c r="V64" s="501" t="n"/>
    </row>
    <row r="65" ht="43.6" customHeight="1" s="254">
      <c r="A65" s="271" t="inlineStr">
        <is>
          <t>Client accepts the utility's activation deadline after energisation?</t>
        </is>
      </c>
      <c r="B65" s="506" t="n"/>
      <c r="C65" s="505" t="inlineStr">
        <is>
          <t>Where the utility sets one</t>
        </is>
      </c>
      <c r="D65" s="501" t="n"/>
      <c r="E65" s="501" t="n"/>
      <c r="F65" s="501" t="n"/>
      <c r="G65" s="501" t="n"/>
      <c r="H65" s="501" t="n"/>
      <c r="I65" s="501" t="n"/>
      <c r="J65" s="501" t="n"/>
      <c r="K65" s="501" t="n"/>
      <c r="L65" s="501" t="n"/>
      <c r="M65" s="501" t="n"/>
      <c r="N65" s="501" t="n"/>
      <c r="O65" s="501" t="n"/>
      <c r="P65" s="501" t="n"/>
      <c r="Q65" s="501" t="n"/>
      <c r="R65" s="501" t="n"/>
      <c r="S65" s="501" t="n"/>
      <c r="T65" s="501" t="n"/>
      <c r="U65" s="501" t="n"/>
      <c r="V65" s="501" t="n"/>
    </row>
    <row r="66" ht="15" customHeight="1" s="254">
      <c r="A66" s="263" t="inlineStr">
        <is>
          <t>Utility design submitted (date)</t>
        </is>
      </c>
      <c r="B66" s="506" t="n"/>
      <c r="C66" s="501" t="n"/>
      <c r="D66" s="501" t="n"/>
      <c r="E66" s="501" t="n"/>
      <c r="F66" s="501" t="n"/>
      <c r="G66" s="501" t="n"/>
      <c r="H66" s="501" t="n"/>
      <c r="I66" s="501" t="n"/>
      <c r="J66" s="501" t="n"/>
      <c r="K66" s="501" t="n"/>
      <c r="L66" s="501" t="n"/>
      <c r="M66" s="501" t="n"/>
      <c r="N66" s="501" t="n"/>
      <c r="O66" s="501" t="n"/>
      <c r="P66" s="501" t="n"/>
      <c r="Q66" s="501" t="n"/>
      <c r="R66" s="501" t="n"/>
      <c r="S66" s="501" t="n"/>
      <c r="T66" s="501" t="n"/>
      <c r="U66" s="501" t="n"/>
      <c r="V66" s="501" t="n"/>
    </row>
    <row r="67" ht="15" customHeight="1" s="254">
      <c r="A67" s="263" t="inlineStr">
        <is>
          <t>Utility design returned (date)</t>
        </is>
      </c>
      <c r="B67" s="506" t="n"/>
      <c r="C67" s="501" t="n"/>
      <c r="D67" s="501" t="n"/>
      <c r="E67" s="501" t="n"/>
      <c r="F67" s="501" t="n"/>
      <c r="G67" s="501" t="n"/>
      <c r="H67" s="501" t="n"/>
      <c r="I67" s="501" t="n"/>
      <c r="J67" s="501" t="n"/>
      <c r="K67" s="501" t="n"/>
      <c r="L67" s="501" t="n"/>
      <c r="M67" s="501" t="n"/>
      <c r="N67" s="501" t="n"/>
      <c r="O67" s="501" t="n"/>
      <c r="P67" s="501" t="n"/>
      <c r="Q67" s="501" t="n"/>
      <c r="R67" s="501" t="n"/>
      <c r="S67" s="501" t="n"/>
      <c r="T67" s="501" t="n"/>
      <c r="U67" s="501" t="n"/>
      <c r="V67" s="501" t="n"/>
    </row>
    <row r="68">
      <c r="A68" s="501" t="n"/>
      <c r="B68" s="501" t="n"/>
      <c r="C68" s="501" t="n"/>
      <c r="D68" s="501" t="n"/>
      <c r="E68" s="501" t="n"/>
      <c r="F68" s="501" t="n"/>
      <c r="G68" s="501" t="n"/>
      <c r="H68" s="501" t="n"/>
      <c r="I68" s="501" t="n"/>
      <c r="J68" s="501" t="n"/>
      <c r="K68" s="501" t="n"/>
      <c r="L68" s="501" t="n"/>
      <c r="M68" s="501" t="n"/>
      <c r="N68" s="501" t="n"/>
      <c r="O68" s="501" t="n"/>
      <c r="P68" s="501" t="n"/>
      <c r="Q68" s="501" t="n"/>
      <c r="R68" s="501" t="n"/>
      <c r="S68" s="501" t="n"/>
      <c r="T68" s="501" t="n"/>
      <c r="U68" s="501" t="n"/>
      <c r="V68" s="501" t="n"/>
    </row>
    <row r="69" ht="33.04000000000001" customHeight="1" s="254">
      <c r="A69" s="529" t="inlineStr">
        <is>
          <t>Retained infrastructure — replacement sites only</t>
        </is>
      </c>
      <c r="B69" s="501" t="n"/>
      <c r="C69" s="501" t="n"/>
      <c r="D69" s="501" t="n"/>
      <c r="E69" s="501" t="n"/>
      <c r="F69" s="501" t="n"/>
      <c r="G69" s="501" t="n"/>
      <c r="H69" s="501" t="n"/>
      <c r="I69" s="501" t="n"/>
      <c r="J69" s="501" t="n"/>
      <c r="K69" s="501" t="n"/>
      <c r="L69" s="501" t="n"/>
      <c r="M69" s="501" t="n"/>
      <c r="N69" s="501" t="n"/>
      <c r="O69" s="501" t="n"/>
      <c r="P69" s="501" t="n"/>
      <c r="Q69" s="501" t="n"/>
      <c r="R69" s="501" t="n"/>
      <c r="S69" s="501" t="n"/>
      <c r="T69" s="501" t="n"/>
      <c r="U69" s="501" t="n"/>
      <c r="V69" s="501" t="n"/>
    </row>
    <row r="70" ht="27.76" customHeight="1" s="254">
      <c r="A70" s="285"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H70" s="501" t="n"/>
      <c r="I70" s="501" t="n"/>
      <c r="J70" s="501" t="n"/>
      <c r="K70" s="501" t="n"/>
      <c r="L70" s="501" t="n"/>
      <c r="M70" s="501" t="n"/>
      <c r="N70" s="501" t="n"/>
      <c r="O70" s="501" t="n"/>
      <c r="P70" s="501" t="n"/>
      <c r="Q70" s="501" t="n"/>
      <c r="R70" s="501" t="n"/>
      <c r="S70" s="501" t="n"/>
      <c r="T70" s="501" t="n"/>
      <c r="U70" s="501" t="n"/>
      <c r="V70" s="501" t="n"/>
    </row>
    <row r="71" ht="19.5" customHeight="1" s="254">
      <c r="A71" s="263" t="inlineStr">
        <is>
          <t>Project type</t>
        </is>
      </c>
      <c r="B71" s="320">
        <f>Existing!$B$5</f>
        <v/>
      </c>
      <c r="C71" s="522" t="inlineStr">
        <is>
          <t>From the Existing tab.</t>
        </is>
      </c>
      <c r="D71" s="501" t="n"/>
      <c r="E71" s="501" t="n"/>
      <c r="F71" s="501" t="n"/>
      <c r="G71" s="501" t="n"/>
      <c r="H71" s="501" t="n"/>
      <c r="I71" s="501" t="n"/>
      <c r="J71" s="501" t="n"/>
      <c r="K71" s="501" t="n"/>
      <c r="L71" s="501" t="n"/>
      <c r="M71" s="501" t="n"/>
      <c r="N71" s="501" t="n"/>
      <c r="O71" s="501" t="n"/>
      <c r="P71" s="501" t="n"/>
      <c r="Q71" s="501" t="n"/>
      <c r="R71" s="501" t="n"/>
      <c r="S71" s="501" t="n"/>
      <c r="T71" s="501" t="n"/>
      <c r="U71" s="501" t="n"/>
      <c r="V71" s="501" t="n"/>
    </row>
    <row r="72">
      <c r="A72" s="501" t="n"/>
      <c r="B72" s="501" t="n"/>
      <c r="C72" s="501" t="n"/>
      <c r="D72" s="501" t="n"/>
      <c r="E72" s="501" t="n"/>
      <c r="F72" s="501" t="n"/>
      <c r="G72" s="501" t="n"/>
      <c r="H72" s="501" t="n"/>
      <c r="I72" s="501" t="n"/>
      <c r="J72" s="501" t="n"/>
      <c r="K72" s="501" t="n"/>
      <c r="L72" s="501" t="n"/>
      <c r="M72" s="501" t="n"/>
      <c r="N72" s="501" t="n"/>
      <c r="O72" s="501" t="n"/>
      <c r="P72" s="501" t="n"/>
      <c r="Q72" s="501" t="n"/>
      <c r="R72" s="501" t="n"/>
      <c r="S72" s="501" t="n"/>
      <c r="T72" s="501" t="n"/>
      <c r="U72" s="501" t="n"/>
      <c r="V72" s="501" t="n"/>
    </row>
    <row r="73" ht="19.5" customHeight="1" s="254">
      <c r="A73" s="294" t="inlineStr">
        <is>
          <t>Electrical element</t>
        </is>
      </c>
      <c r="B73" s="534" t="inlineStr">
        <is>
          <t>Decision</t>
        </is>
      </c>
      <c r="C73" s="534" t="inlineStr">
        <is>
          <t>What it means for the take-off</t>
        </is>
      </c>
      <c r="D73" s="535" t="n"/>
      <c r="E73" s="535" t="n"/>
      <c r="F73" s="535" t="n"/>
      <c r="G73" s="535" t="n"/>
      <c r="H73" s="501" t="n"/>
      <c r="I73" s="501" t="n"/>
      <c r="J73" s="501" t="n"/>
      <c r="K73" s="501" t="n"/>
      <c r="L73" s="501" t="n"/>
      <c r="M73" s="501" t="n"/>
      <c r="N73" s="501" t="n"/>
      <c r="O73" s="501" t="n"/>
      <c r="P73" s="501" t="n"/>
      <c r="Q73" s="501" t="n"/>
      <c r="R73" s="501" t="n"/>
      <c r="S73" s="501" t="n"/>
      <c r="T73" s="501" t="n"/>
      <c r="U73" s="501" t="n"/>
      <c r="V73" s="501" t="n"/>
    </row>
    <row r="74" ht="43.5" customHeight="1" s="254">
      <c r="A74" s="296" t="inlineStr">
        <is>
          <t>Utility service and meter</t>
        </is>
      </c>
      <c r="B74" s="296">
        <f>IF(Existing!$B$5="Greenfield — new service","n/a — greenfield",Existing!$B$13)</f>
        <v/>
      </c>
      <c r="C74" s="298">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c r="D74" s="501" t="n"/>
      <c r="E74" s="501" t="n"/>
      <c r="F74" s="501" t="n"/>
      <c r="G74" s="501" t="n"/>
      <c r="H74" s="501" t="n"/>
      <c r="I74" s="501" t="n"/>
      <c r="J74" s="501" t="n"/>
      <c r="K74" s="501" t="n"/>
      <c r="L74" s="501" t="n"/>
      <c r="M74" s="501" t="n"/>
      <c r="N74" s="501" t="n"/>
      <c r="O74" s="501" t="n"/>
      <c r="P74" s="501" t="n"/>
      <c r="Q74" s="501" t="n"/>
      <c r="R74" s="501" t="n"/>
      <c r="S74" s="501" t="n"/>
      <c r="T74" s="501" t="n"/>
      <c r="U74" s="501" t="n"/>
      <c r="V74" s="501" t="n"/>
    </row>
    <row r="75" ht="43.5" customHeight="1" s="254">
      <c r="A75" s="296" t="inlineStr">
        <is>
          <t>Service feeder</t>
        </is>
      </c>
      <c r="B75" s="296">
        <f>IF(Existing!$B$5="Greenfield — new service","n/a — greenfield",Existing!$B$14)</f>
        <v/>
      </c>
      <c r="C75" s="298">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c r="D75" s="501" t="n"/>
      <c r="E75" s="501" t="n"/>
      <c r="F75" s="501" t="n"/>
      <c r="G75" s="501" t="n"/>
      <c r="H75" s="501" t="n"/>
      <c r="I75" s="501" t="n"/>
      <c r="J75" s="501" t="n"/>
      <c r="K75" s="501" t="n"/>
      <c r="L75" s="501" t="n"/>
      <c r="M75" s="501" t="n"/>
      <c r="N75" s="501" t="n"/>
      <c r="O75" s="501" t="n"/>
      <c r="P75" s="501" t="n"/>
      <c r="Q75" s="501" t="n"/>
      <c r="R75" s="501" t="n"/>
      <c r="S75" s="501" t="n"/>
      <c r="T75" s="501" t="n"/>
      <c r="U75" s="501" t="n"/>
      <c r="V75" s="501" t="n"/>
    </row>
    <row r="76" ht="43.5" customHeight="1" s="254">
      <c r="A76" s="296" t="inlineStr">
        <is>
          <t>Switchgear</t>
        </is>
      </c>
      <c r="B76" s="296">
        <f>IF(Existing!$B$5="Greenfield — new service","n/a — greenfield",Existing!$B$15)</f>
        <v/>
      </c>
      <c r="C76" s="298">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c r="D76" s="501" t="n"/>
      <c r="E76" s="501" t="n"/>
      <c r="F76" s="501" t="n"/>
      <c r="G76" s="501" t="n"/>
      <c r="H76" s="501" t="n"/>
      <c r="I76" s="501" t="n"/>
      <c r="J76" s="501" t="n"/>
      <c r="K76" s="501" t="n"/>
      <c r="L76" s="501" t="n"/>
      <c r="M76" s="501" t="n"/>
      <c r="N76" s="501" t="n"/>
      <c r="O76" s="501" t="n"/>
      <c r="P76" s="501" t="n"/>
      <c r="Q76" s="501" t="n"/>
      <c r="R76" s="501" t="n"/>
      <c r="S76" s="501" t="n"/>
      <c r="T76" s="501" t="n"/>
      <c r="U76" s="501" t="n"/>
      <c r="V76" s="501" t="n"/>
    </row>
    <row r="77" ht="43.5" customHeight="1" s="254">
      <c r="A77" s="296" t="inlineStr">
        <is>
          <t>Branch conductors</t>
        </is>
      </c>
      <c r="B77" s="296">
        <f>IF(Existing!$B$5="Greenfield — new service","n/a — greenfield",Existing!$B$16)</f>
        <v/>
      </c>
      <c r="C77" s="298">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c r="D77" s="501" t="n"/>
      <c r="E77" s="501" t="n"/>
      <c r="F77" s="501" t="n"/>
      <c r="G77" s="501" t="n"/>
      <c r="H77" s="501" t="n"/>
      <c r="I77" s="501" t="n"/>
      <c r="J77" s="501" t="n"/>
      <c r="K77" s="501" t="n"/>
      <c r="L77" s="501" t="n"/>
      <c r="M77" s="501" t="n"/>
      <c r="N77" s="501" t="n"/>
      <c r="O77" s="501" t="n"/>
      <c r="P77" s="501" t="n"/>
      <c r="Q77" s="501" t="n"/>
      <c r="R77" s="501" t="n"/>
      <c r="S77" s="501" t="n"/>
      <c r="T77" s="501" t="n"/>
      <c r="U77" s="501" t="n"/>
      <c r="V77" s="501" t="n"/>
    </row>
    <row r="78" ht="43.5" customHeight="1" s="254">
      <c r="A78" s="296" t="inlineStr">
        <is>
          <t>Conduit and trench</t>
        </is>
      </c>
      <c r="B78" s="296">
        <f>IF(Existing!$B$5="Greenfield — new service","n/a — greenfield",Existing!$B$17)</f>
        <v/>
      </c>
      <c r="C78" s="298">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c r="D78" s="501" t="n"/>
      <c r="E78" s="501" t="n"/>
      <c r="F78" s="501" t="n"/>
      <c r="G78" s="501" t="n"/>
      <c r="H78" s="501" t="n"/>
      <c r="I78" s="501" t="n"/>
      <c r="J78" s="501" t="n"/>
      <c r="K78" s="501" t="n"/>
      <c r="L78" s="501" t="n"/>
      <c r="M78" s="501" t="n"/>
      <c r="N78" s="501" t="n"/>
      <c r="O78" s="501" t="n"/>
      <c r="P78" s="501" t="n"/>
      <c r="Q78" s="501" t="n"/>
      <c r="R78" s="501" t="n"/>
      <c r="S78" s="501" t="n"/>
      <c r="T78" s="501" t="n"/>
      <c r="U78" s="501" t="n"/>
      <c r="V78" s="501" t="n"/>
    </row>
    <row r="79" ht="43.5" customHeight="1" s="254">
      <c r="A79" s="296" t="inlineStr">
        <is>
          <t>Branch breakers</t>
        </is>
      </c>
      <c r="B79" s="296">
        <f>IF(Existing!$B$5="Greenfield — new service","n/a — greenfield",Existing!$B$18)</f>
        <v/>
      </c>
      <c r="C79" s="298">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c r="D79" s="501" t="n"/>
      <c r="E79" s="501" t="n"/>
      <c r="F79" s="501" t="n"/>
      <c r="G79" s="501" t="n"/>
      <c r="H79" s="501" t="n"/>
      <c r="I79" s="501" t="n"/>
      <c r="J79" s="501" t="n"/>
      <c r="K79" s="501" t="n"/>
      <c r="L79" s="501" t="n"/>
      <c r="M79" s="501" t="n"/>
      <c r="N79" s="501" t="n"/>
      <c r="O79" s="501" t="n"/>
      <c r="P79" s="501" t="n"/>
      <c r="Q79" s="501" t="n"/>
      <c r="R79" s="501" t="n"/>
      <c r="S79" s="501" t="n"/>
      <c r="T79" s="501" t="n"/>
      <c r="U79" s="501" t="n"/>
      <c r="V79" s="501" t="n"/>
    </row>
    <row r="80">
      <c r="A80" s="501" t="n"/>
      <c r="B80" s="501" t="n"/>
      <c r="C80" s="501" t="n"/>
      <c r="D80" s="501" t="n"/>
      <c r="E80" s="501" t="n"/>
      <c r="F80" s="501" t="n"/>
      <c r="G80" s="501" t="n"/>
      <c r="H80" s="501" t="n"/>
      <c r="I80" s="501" t="n"/>
      <c r="J80" s="501" t="n"/>
      <c r="K80" s="501" t="n"/>
      <c r="L80" s="501" t="n"/>
      <c r="M80" s="501" t="n"/>
      <c r="N80" s="501" t="n"/>
      <c r="O80" s="501" t="n"/>
      <c r="P80" s="501" t="n"/>
      <c r="Q80" s="501" t="n"/>
      <c r="R80" s="501" t="n"/>
      <c r="S80" s="501" t="n"/>
      <c r="T80" s="501" t="n"/>
      <c r="U80" s="501" t="n"/>
      <c r="V80" s="501" t="n"/>
    </row>
    <row r="81" ht="27.76" customHeight="1" s="254">
      <c r="A81" s="257" t="inlineStr">
        <is>
          <t>Electrical scope profile</t>
        </is>
      </c>
      <c r="B81" s="301">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9" t="n"/>
      <c r="D81" s="521" t="inlineStr">
        <is>
          <t>The one-line summary of what the electrical estimate should contain.</t>
        </is>
      </c>
      <c r="E81" s="501" t="n"/>
      <c r="F81" s="501" t="n"/>
      <c r="G81" s="501" t="n"/>
      <c r="H81" s="501" t="n"/>
      <c r="I81" s="501" t="n"/>
      <c r="J81" s="501" t="n"/>
      <c r="K81" s="501" t="n"/>
      <c r="L81" s="501" t="n"/>
      <c r="M81" s="501" t="n"/>
      <c r="N81" s="501" t="n"/>
      <c r="O81" s="501" t="n"/>
      <c r="P81" s="501" t="n"/>
      <c r="Q81" s="501" t="n"/>
      <c r="R81" s="501" t="n"/>
      <c r="S81" s="501" t="n"/>
      <c r="T81" s="501" t="n"/>
      <c r="U81" s="501" t="n"/>
      <c r="V81" s="501" t="n"/>
    </row>
    <row r="82" ht="31.5" customHeight="1" s="254">
      <c r="A82" s="257" t="inlineStr">
        <is>
          <t>Reuse feasibility</t>
        </is>
      </c>
      <c r="B82" s="301">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9" t="n"/>
      <c r="D82" s="521" t="inlineStr">
        <is>
          <t>Repeats the Existing tab capacity test here, where the electrical estimate is actually built.</t>
        </is>
      </c>
      <c r="E82" s="501" t="n"/>
      <c r="F82" s="501" t="n"/>
      <c r="G82" s="501" t="n"/>
      <c r="H82" s="501" t="n"/>
      <c r="I82" s="501" t="n"/>
      <c r="J82" s="501" t="n"/>
      <c r="K82" s="501" t="n"/>
      <c r="L82" s="501" t="n"/>
      <c r="M82" s="501" t="n"/>
      <c r="N82" s="501" t="n"/>
      <c r="O82" s="501" t="n"/>
      <c r="P82" s="501" t="n"/>
      <c r="Q82" s="501" t="n"/>
      <c r="R82" s="501" t="n"/>
      <c r="S82" s="501" t="n"/>
      <c r="T82" s="501" t="n"/>
      <c r="U82" s="501" t="n"/>
      <c r="V82" s="501" t="n"/>
    </row>
    <row r="83">
      <c r="A83" s="501" t="n"/>
      <c r="B83" s="501" t="n"/>
      <c r="C83" s="501" t="n"/>
      <c r="D83" s="501" t="n"/>
      <c r="E83" s="501" t="n"/>
      <c r="F83" s="501" t="n"/>
      <c r="G83" s="501" t="n"/>
      <c r="H83" s="501" t="n"/>
      <c r="I83" s="501" t="n"/>
      <c r="J83" s="501" t="n"/>
      <c r="K83" s="501" t="n"/>
      <c r="L83" s="501" t="n"/>
      <c r="M83" s="501" t="n"/>
      <c r="N83" s="501" t="n"/>
      <c r="O83" s="501" t="n"/>
      <c r="P83" s="501" t="n"/>
      <c r="Q83" s="501" t="n"/>
      <c r="R83" s="501" t="n"/>
      <c r="S83" s="501" t="n"/>
      <c r="T83" s="501" t="n"/>
      <c r="U83" s="501" t="n"/>
      <c r="V83" s="501" t="n"/>
    </row>
    <row r="84">
      <c r="A84" s="501" t="n"/>
      <c r="B84" s="501" t="n"/>
      <c r="C84" s="501" t="n"/>
      <c r="D84" s="501" t="n"/>
      <c r="E84" s="501" t="n"/>
      <c r="F84" s="501" t="n"/>
      <c r="G84" s="501" t="n"/>
      <c r="H84" s="501" t="n"/>
      <c r="I84" s="501" t="n"/>
      <c r="J84" s="501" t="n"/>
      <c r="K84" s="501" t="n"/>
      <c r="L84" s="501" t="n"/>
      <c r="M84" s="501" t="n"/>
      <c r="N84" s="501" t="n"/>
      <c r="O84" s="501" t="n"/>
      <c r="P84" s="501" t="n"/>
      <c r="Q84" s="501" t="n"/>
      <c r="R84" s="501" t="n"/>
      <c r="S84" s="501" t="n"/>
      <c r="T84" s="501" t="n"/>
      <c r="U84" s="501" t="n"/>
      <c r="V84" s="501" t="n"/>
    </row>
    <row r="85" ht="30.4" customHeight="1" s="254">
      <c r="A85" s="582" t="inlineStr">
        <is>
          <t>DC runs — moved to the foot of this tab</t>
        </is>
      </c>
      <c r="B85" s="501" t="n"/>
      <c r="C85" s="501" t="n"/>
      <c r="D85" s="501" t="n"/>
      <c r="E85" s="501" t="n"/>
      <c r="F85" s="501" t="n"/>
      <c r="G85" s="501" t="n"/>
      <c r="H85" s="501" t="n"/>
      <c r="I85" s="501" t="n"/>
      <c r="J85" s="501" t="n"/>
      <c r="K85" s="501" t="n"/>
      <c r="L85" s="501" t="n"/>
      <c r="M85" s="501" t="n"/>
      <c r="N85" s="501" t="n"/>
      <c r="O85" s="501" t="n"/>
      <c r="P85" s="501" t="n"/>
      <c r="Q85" s="501" t="n"/>
      <c r="R85" s="501" t="n"/>
      <c r="S85" s="501" t="n"/>
      <c r="T85" s="501" t="n"/>
      <c r="U85" s="501" t="n"/>
      <c r="V85" s="501" t="n"/>
    </row>
    <row r="86" ht="26.44" customHeight="1" s="254">
      <c r="A86" s="371"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c r="I86" s="501" t="n"/>
      <c r="J86" s="501" t="n"/>
      <c r="K86" s="501" t="n"/>
      <c r="L86" s="501" t="n"/>
      <c r="M86" s="501" t="n"/>
      <c r="N86" s="501" t="n"/>
      <c r="O86" s="501" t="n"/>
      <c r="P86" s="501" t="n"/>
      <c r="Q86" s="501" t="n"/>
      <c r="R86" s="501" t="n"/>
      <c r="S86" s="501" t="n"/>
      <c r="T86" s="501" t="n"/>
      <c r="U86" s="501" t="n"/>
      <c r="V86" s="501" t="n"/>
    </row>
    <row r="87" ht="14.25" customHeight="1" s="254">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c r="V87" s="560" t="n"/>
    </row>
    <row r="88" hidden="1" ht="14.25" customHeight="1" s="254">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c r="V88" s="560" t="n"/>
    </row>
    <row r="89" hidden="1" ht="14.25" customHeight="1" s="254">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c r="V89" s="560" t="n"/>
    </row>
    <row r="90" hidden="1" ht="14.25" customHeight="1" s="254">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c r="V90" s="560" t="n"/>
    </row>
    <row r="91" hidden="1" ht="14.25" customHeight="1" s="254">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c r="V91" s="560" t="n"/>
    </row>
    <row r="92" hidden="1" ht="14.25" customHeight="1" s="254">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c r="V92" s="560" t="n"/>
    </row>
    <row r="93" hidden="1" ht="14.25" customHeight="1" s="254">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c r="V93" s="560" t="n"/>
    </row>
    <row r="94" hidden="1" ht="14.25" customHeight="1" s="25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c r="V94" s="560" t="n"/>
    </row>
    <row r="95" hidden="1" ht="14.25" customHeight="1" s="254">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c r="V95" s="560" t="n"/>
    </row>
    <row r="96" hidden="1" ht="14.25" customHeight="1" s="254">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c r="V96" s="560" t="n"/>
    </row>
    <row r="97" hidden="1" ht="14.25" customHeight="1" s="254">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c r="V97" s="560" t="n"/>
    </row>
    <row r="98" hidden="1" ht="14.25" customHeight="1" s="254">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c r="V98" s="560" t="n"/>
    </row>
    <row r="99" hidden="1" ht="14.25" customHeight="1" s="254">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c r="V99" s="560" t="n"/>
    </row>
    <row r="100" hidden="1" ht="14.25" customHeight="1" s="254">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c r="V100" s="560" t="n"/>
    </row>
    <row r="101" hidden="1" ht="14.25" customHeight="1" s="254">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c r="V101" s="560" t="n"/>
    </row>
    <row r="102" hidden="1" ht="14.25" customHeight="1" s="254">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c r="V102" s="560" t="n"/>
    </row>
    <row r="103" hidden="1" ht="14.25" customHeight="1" s="254">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c r="V103" s="560" t="n"/>
    </row>
    <row r="104" hidden="1" ht="14.25" customHeight="1" s="25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c r="V104" s="560" t="n"/>
    </row>
    <row r="105" hidden="1" ht="14.25" customHeight="1" s="254">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c r="V105" s="560" t="n"/>
    </row>
    <row r="106" hidden="1" ht="14.25" customHeight="1" s="254">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c r="V106" s="560" t="n"/>
    </row>
    <row r="107" hidden="1" ht="14.25" customHeight="1" s="254">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c r="V107" s="560" t="n"/>
    </row>
    <row r="108" hidden="1" ht="14.25" customHeight="1" s="254">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c r="V108" s="560" t="n"/>
    </row>
    <row r="109" hidden="1" ht="14.25" customHeight="1" s="254">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c r="V109" s="560" t="n"/>
    </row>
    <row r="110" hidden="1" ht="14.25" customHeight="1" s="254">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c r="V110" s="560" t="n"/>
    </row>
    <row r="111" ht="14.25" customHeight="1" s="254">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c r="V111" s="560" t="n"/>
    </row>
    <row r="112">
      <c r="A112" s="501" t="n"/>
      <c r="B112" s="501" t="n"/>
      <c r="C112" s="501" t="n"/>
      <c r="D112" s="501" t="n"/>
      <c r="E112" s="501" t="n"/>
      <c r="F112" s="501" t="n"/>
      <c r="G112" s="501" t="n"/>
      <c r="H112" s="501" t="n"/>
      <c r="I112" s="501" t="n"/>
      <c r="J112" s="501" t="n"/>
      <c r="K112" s="501" t="n"/>
      <c r="L112" s="501" t="n"/>
      <c r="M112" s="501" t="n"/>
      <c r="N112" s="501" t="n"/>
      <c r="O112" s="501" t="n"/>
      <c r="P112" s="501" t="n"/>
      <c r="Q112" s="501" t="n"/>
      <c r="R112" s="501" t="n"/>
      <c r="S112" s="501" t="n"/>
      <c r="T112" s="501" t="n"/>
      <c r="U112" s="501" t="n"/>
      <c r="V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row>
    <row r="114" ht="14.25" customHeight="1" s="254">
      <c r="A114" s="501" t="n"/>
      <c r="B114" s="501" t="n"/>
      <c r="C114" s="501" t="n"/>
      <c r="D114" s="501" t="n"/>
      <c r="E114" s="501" t="n"/>
      <c r="F114" s="501" t="n"/>
      <c r="G114" s="501" t="n"/>
      <c r="H114" s="501" t="n"/>
      <c r="I114" s="501" t="n"/>
      <c r="J114" s="501" t="n"/>
      <c r="K114" s="501" t="n"/>
      <c r="L114" s="501" t="n"/>
      <c r="M114" s="501" t="n"/>
      <c r="N114" s="501" t="n"/>
      <c r="O114" s="501" t="n"/>
      <c r="P114" s="501" t="n"/>
      <c r="Q114" s="501" t="n"/>
      <c r="R114" s="501" t="n"/>
      <c r="S114" s="501" t="n"/>
      <c r="T114" s="501" t="n"/>
      <c r="U114" s="501" t="n"/>
      <c r="V114" s="501" t="n"/>
    </row>
    <row r="115" ht="14.25" customHeight="1" s="254">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c r="V115" s="560" t="n"/>
    </row>
    <row r="116" ht="51.75" customHeight="1" s="254">
      <c r="A116" s="372" t="inlineStr">
        <is>
          <t>SERVICE FEEDER — TRANSFORMER TO SWITCHGEAR</t>
        </is>
      </c>
      <c r="B116" s="299" t="n"/>
      <c r="C116" s="299" t="n"/>
      <c r="D116" s="299" t="n"/>
      <c r="E116" s="299" t="n"/>
      <c r="F116" s="299" t="n"/>
      <c r="G116" s="299" t="n"/>
      <c r="H116" s="299" t="n"/>
      <c r="I116" s="299" t="n"/>
      <c r="J116" s="299" t="n"/>
      <c r="K116" s="299" t="n"/>
      <c r="L116" s="299" t="n"/>
      <c r="M116" s="299" t="n"/>
      <c r="N116" s="299" t="n"/>
      <c r="O116" s="501" t="n"/>
      <c r="P116" s="501" t="n"/>
      <c r="Q116" s="501" t="n"/>
      <c r="R116" s="501" t="n"/>
      <c r="S116" s="501" t="n"/>
      <c r="T116" s="501" t="n"/>
      <c r="U116" s="501" t="n"/>
      <c r="V116" s="501" t="n"/>
    </row>
    <row r="117" ht="26.44" customHeight="1" s="254">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9" t="n"/>
      <c r="C117" s="299" t="n"/>
      <c r="D117" s="299" t="n"/>
      <c r="E117" s="299" t="n"/>
      <c r="F117" s="299" t="n"/>
      <c r="G117" s="299" t="n"/>
      <c r="H117" s="299" t="n"/>
      <c r="I117" s="299" t="n"/>
      <c r="J117" s="299" t="n"/>
      <c r="K117" s="299" t="n"/>
      <c r="L117" s="299" t="n"/>
      <c r="M117" s="299" t="n"/>
      <c r="N117" s="299" t="n"/>
      <c r="O117" s="501" t="n"/>
      <c r="P117" s="501" t="n"/>
      <c r="Q117" s="501" t="n"/>
      <c r="R117" s="501" t="n"/>
      <c r="S117" s="501" t="n"/>
      <c r="T117" s="501" t="n"/>
      <c r="U117" s="501" t="n"/>
      <c r="V117" s="501" t="n"/>
    </row>
    <row r="118" ht="26.44" customHeight="1" s="254">
      <c r="A118" s="324" t="inlineStr">
        <is>
          <t>Governing rule</t>
        </is>
      </c>
      <c r="B118" s="583" t="inlineStr">
        <is>
          <t>Service conductor — NEC 230.42</t>
        </is>
      </c>
      <c r="C118" s="56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538" t="n"/>
      <c r="E118" s="538" t="n"/>
      <c r="F118" s="538" t="n"/>
      <c r="G118" s="538" t="n"/>
      <c r="H118" s="538" t="n"/>
      <c r="I118" s="538" t="n"/>
      <c r="J118" s="538" t="n"/>
      <c r="K118" s="538" t="n"/>
      <c r="L118" s="538" t="n"/>
      <c r="M118" s="538" t="n"/>
      <c r="N118" s="538" t="n"/>
      <c r="O118" s="501" t="n"/>
      <c r="P118" s="501" t="n"/>
      <c r="Q118" s="501" t="n"/>
      <c r="R118" s="501" t="n"/>
      <c r="S118" s="501" t="n"/>
      <c r="T118" s="501" t="n"/>
      <c r="U118" s="501" t="n"/>
      <c r="V118" s="501" t="n"/>
    </row>
    <row r="119" ht="37.66" customHeight="1" s="254">
      <c r="A119" s="324" t="inlineStr">
        <is>
          <t>Who provides this run?</t>
        </is>
      </c>
      <c r="B119" s="583" t="inlineStr">
        <is>
          <t>Utility — EV infrastructure rule</t>
        </is>
      </c>
      <c r="C119" s="56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538" t="n"/>
      <c r="E119" s="538" t="n"/>
      <c r="F119" s="538" t="n"/>
      <c r="G119" s="538" t="n"/>
      <c r="H119" s="538" t="n"/>
      <c r="I119" s="538" t="n"/>
      <c r="J119" s="538" t="n"/>
      <c r="K119" s="538" t="n"/>
      <c r="L119" s="538" t="n"/>
      <c r="M119" s="538" t="n"/>
      <c r="N119" s="538" t="n"/>
      <c r="O119" s="501" t="n"/>
      <c r="P119" s="501" t="n"/>
      <c r="Q119" s="501" t="n"/>
      <c r="R119" s="501" t="n"/>
      <c r="S119" s="501" t="n"/>
      <c r="T119" s="501" t="n"/>
      <c r="U119" s="501" t="n"/>
      <c r="V119" s="501" t="n"/>
    </row>
    <row r="120" ht="19.5" customHeight="1" s="254">
      <c r="A120" s="324" t="inlineStr">
        <is>
          <t>Design ambient for this run (C)</t>
        </is>
      </c>
      <c r="B120" s="555" t="n"/>
      <c r="C120" s="567" t="inlineStr">
        <is>
          <t>Site data for THIS run. A buried duct bank and a run on a south wall are different numbers, and neither is a house default.</t>
        </is>
      </c>
      <c r="D120" s="538" t="n"/>
      <c r="E120" s="538" t="n"/>
      <c r="F120" s="538" t="n"/>
      <c r="G120" s="538" t="n"/>
      <c r="H120" s="538" t="n"/>
      <c r="I120" s="538" t="n"/>
      <c r="J120" s="538" t="n"/>
      <c r="K120" s="538" t="n"/>
      <c r="L120" s="538" t="n"/>
      <c r="M120" s="538" t="n"/>
      <c r="N120" s="538" t="n"/>
      <c r="O120" s="501" t="n"/>
      <c r="P120" s="501" t="n"/>
      <c r="Q120" s="501" t="n"/>
      <c r="R120" s="501" t="n"/>
      <c r="S120" s="501" t="n"/>
      <c r="T120" s="501" t="n"/>
      <c r="U120" s="501" t="n"/>
      <c r="V120" s="501" t="n"/>
    </row>
    <row r="121">
      <c r="A121" s="501" t="n"/>
      <c r="B121" s="501" t="n"/>
      <c r="C121" s="501" t="n"/>
      <c r="D121" s="501" t="n"/>
      <c r="E121" s="501" t="n"/>
      <c r="F121" s="501" t="n"/>
      <c r="G121" s="501" t="n"/>
      <c r="H121" s="501" t="n"/>
      <c r="I121" s="501" t="n"/>
      <c r="J121" s="501" t="n"/>
      <c r="K121" s="501" t="n"/>
      <c r="L121" s="501" t="n"/>
      <c r="M121" s="501" t="n"/>
      <c r="N121" s="501" t="n"/>
      <c r="O121" s="501" t="n"/>
      <c r="P121" s="501" t="n"/>
      <c r="Q121" s="501" t="n"/>
      <c r="R121" s="501" t="n"/>
      <c r="S121" s="501" t="n"/>
      <c r="T121" s="501" t="n"/>
      <c r="U121" s="501" t="n"/>
      <c r="V121" s="501" t="n"/>
    </row>
    <row r="122" ht="37.66" customHeight="1" s="254">
      <c r="A122" s="351" t="inlineStr">
        <is>
          <t>Run</t>
        </is>
      </c>
      <c r="B122" s="571" t="inlineStr">
        <is>
          <t>Conductor material</t>
        </is>
      </c>
      <c r="C122" s="571" t="inlineStr">
        <is>
          <t>Site load kW (auto)</t>
        </is>
      </c>
      <c r="D122" s="571" t="inlineStr">
        <is>
          <t>Distance to switchgear (ft)</t>
        </is>
      </c>
      <c r="E122" s="572" t="inlineStr">
        <is>
          <t>Design current A (auto)</t>
        </is>
      </c>
      <c r="F122" s="572" t="inlineStr">
        <is>
          <t>Continuous 125% A (auto)</t>
        </is>
      </c>
      <c r="G122" s="571" t="inlineStr">
        <is>
          <t>OCPD A (auto)</t>
        </is>
      </c>
      <c r="H122" s="572" t="inlineStr">
        <is>
          <t>Ampacity floor A (auto)</t>
        </is>
      </c>
      <c r="I122" s="572" t="inlineStr">
        <is>
          <t>Conductor size</t>
        </is>
      </c>
      <c r="J122" s="572" t="inlineStr">
        <is>
          <t>Sets in parallel</t>
        </is>
      </c>
      <c r="K122" s="572" t="inlineStr">
        <is>
          <t>Ampacity per set, corrected (auto)</t>
        </is>
      </c>
      <c r="L122" s="572" t="inlineStr">
        <is>
          <t>Provided A (auto)</t>
        </is>
      </c>
      <c r="M122" s="572" t="inlineStr">
        <is>
          <t>Voltage drop % (auto)</t>
        </is>
      </c>
      <c r="N122" s="572" t="inlineStr">
        <is>
          <t>Verdict (auto)</t>
        </is>
      </c>
      <c r="O122" s="531" t="inlineStr">
        <is>
          <t>Per lateral. A two-board service has two of these runs, and asking one conductor to carry 6,303 A was a question with no answer.</t>
        </is>
      </c>
      <c r="P122" s="501" t="n"/>
      <c r="Q122" s="501" t="n"/>
      <c r="R122" s="501" t="n"/>
      <c r="S122" s="501" t="n"/>
      <c r="T122" s="501" t="n"/>
      <c r="U122" s="501" t="n"/>
      <c r="V122" s="501" t="n"/>
    </row>
    <row r="123" ht="19.5" customHeight="1" s="254">
      <c r="A123" s="324" t="inlineStr">
        <is>
          <t>Transformer to switchgear</t>
        </is>
      </c>
      <c r="B123" s="554"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554" t="n"/>
      <c r="J123" s="555"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531" t="inlineStr">
        <is>
          <t>Stands down when the utility provides the run. It used to say "pick a conductor size" about a conductor that is not in our scope.</t>
        </is>
      </c>
      <c r="P123" s="501" t="n"/>
      <c r="Q123" s="501" t="n"/>
      <c r="R123" s="501" t="n"/>
      <c r="S123" s="501" t="n"/>
      <c r="T123" s="501" t="n"/>
      <c r="U123" s="501" t="n"/>
      <c r="V123" s="501" t="n"/>
    </row>
    <row r="124">
      <c r="A124" s="501" t="n"/>
      <c r="B124" s="501" t="n"/>
      <c r="C124" s="501" t="n"/>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row>
    <row r="125" ht="26.44" customHeight="1" s="254">
      <c r="A125" s="374"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9" t="n"/>
      <c r="C125" s="299" t="n"/>
      <c r="D125" s="299" t="n"/>
      <c r="E125" s="299" t="n"/>
      <c r="F125" s="299" t="n"/>
      <c r="G125" s="299" t="n"/>
      <c r="H125" s="299" t="n"/>
      <c r="I125" s="299" t="n"/>
      <c r="J125" s="299" t="n"/>
      <c r="K125" s="299" t="n"/>
      <c r="L125" s="299" t="n"/>
      <c r="M125" s="299" t="n"/>
      <c r="N125" s="299" t="n"/>
      <c r="O125" s="501" t="n"/>
      <c r="P125" s="501" t="n"/>
      <c r="Q125" s="501" t="n"/>
      <c r="R125" s="501" t="n"/>
      <c r="S125" s="501" t="n"/>
      <c r="T125" s="501" t="n"/>
      <c r="U125" s="501" t="n"/>
      <c r="V125" s="501" t="n"/>
    </row>
    <row r="126">
      <c r="A126" s="501" t="n"/>
      <c r="B126" s="501" t="n"/>
      <c r="C126" s="501" t="n"/>
      <c r="D126" s="501" t="n"/>
      <c r="E126" s="501" t="n"/>
      <c r="F126" s="501" t="n"/>
      <c r="G126" s="501" t="n"/>
      <c r="H126" s="501" t="n"/>
      <c r="I126" s="501" t="n"/>
      <c r="J126" s="501" t="n"/>
      <c r="K126" s="501" t="n"/>
      <c r="L126" s="501" t="n"/>
      <c r="M126" s="501" t="n"/>
      <c r="N126" s="501" t="n"/>
      <c r="O126" s="501" t="n"/>
      <c r="P126" s="501" t="n"/>
      <c r="Q126" s="501" t="n"/>
      <c r="R126" s="501" t="n"/>
      <c r="S126" s="501" t="n"/>
      <c r="T126" s="501" t="n"/>
      <c r="U126" s="501" t="n"/>
      <c r="V126" s="501" t="n"/>
    </row>
    <row r="127" ht="14.25" customHeight="1" s="254">
      <c r="A127" s="370" t="inlineStr">
        <is>
          <t>DISTRIBUTION EQUIPMENT SCHEDULE</t>
        </is>
      </c>
      <c r="B127" s="501" t="n"/>
      <c r="C127" s="501" t="n"/>
      <c r="D127" s="501" t="n"/>
      <c r="E127" s="501" t="n"/>
      <c r="F127" s="501" t="n"/>
      <c r="G127" s="501" t="n"/>
      <c r="H127" s="501" t="n"/>
      <c r="I127" s="501" t="n"/>
      <c r="J127" s="501" t="n"/>
      <c r="K127" s="501" t="n"/>
      <c r="L127" s="501" t="n"/>
      <c r="M127" s="501" t="n"/>
      <c r="N127" s="501" t="n"/>
      <c r="O127" s="501" t="n"/>
      <c r="P127" s="501" t="n"/>
      <c r="Q127" s="501" t="n"/>
      <c r="R127" s="501" t="n"/>
      <c r="S127" s="501" t="n"/>
      <c r="T127" s="501" t="n"/>
      <c r="U127" s="501" t="n"/>
      <c r="V127" s="501" t="n"/>
    </row>
    <row r="128" ht="26.44" customHeight="1" s="254">
      <c r="A128" s="375"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c r="I128" s="501" t="n"/>
      <c r="J128" s="501" t="n"/>
      <c r="K128" s="501" t="n"/>
      <c r="L128" s="501" t="n"/>
      <c r="M128" s="501" t="n"/>
      <c r="N128" s="501" t="n"/>
      <c r="O128" s="501" t="n"/>
      <c r="P128" s="501" t="n"/>
      <c r="Q128" s="501" t="n"/>
      <c r="R128" s="501" t="n"/>
      <c r="S128" s="501" t="n"/>
      <c r="T128" s="501" t="n"/>
      <c r="U128" s="501" t="n"/>
      <c r="V128" s="501" t="n"/>
    </row>
    <row r="129" ht="26.44" customHeight="1" s="254">
      <c r="A129" s="351" t="inlineStr">
        <is>
          <t>Item</t>
        </is>
      </c>
      <c r="B129" s="571" t="inlineStr">
        <is>
          <t>Type</t>
        </is>
      </c>
      <c r="C129" s="571" t="inlineStr">
        <is>
          <t>Qty</t>
        </is>
      </c>
      <c r="D129" s="571" t="inlineStr">
        <is>
          <t>Volts</t>
        </is>
      </c>
      <c r="E129" s="572" t="inlineStr">
        <is>
          <t>Phases</t>
        </is>
      </c>
      <c r="F129" s="572" t="inlineStr">
        <is>
          <t>Rating (A)</t>
        </is>
      </c>
      <c r="G129" s="571" t="inlineStr">
        <is>
          <t>Fed from</t>
        </is>
      </c>
      <c r="H129" s="572" t="inlineStr">
        <is>
          <t>What it feeds</t>
        </is>
      </c>
      <c r="I129" s="572" t="inlineStr">
        <is>
          <t>Location</t>
        </is>
      </c>
      <c r="J129" s="572" t="inlineStr">
        <is>
          <t>Who provides</t>
        </is>
      </c>
      <c r="K129" s="572" t="inlineStr">
        <is>
          <t>Cost basis</t>
        </is>
      </c>
      <c r="L129" s="572" t="inlineStr">
        <is>
          <t>Quoted cost ($)</t>
        </is>
      </c>
      <c r="M129" s="501" t="n"/>
      <c r="N129" s="501" t="n"/>
      <c r="O129" s="501" t="n"/>
      <c r="P129" s="501" t="n"/>
      <c r="Q129" s="501" t="n"/>
      <c r="R129" s="501" t="n"/>
      <c r="S129" s="501" t="n"/>
      <c r="T129" s="501" t="n"/>
      <c r="U129" s="501" t="n"/>
      <c r="V129" s="501" t="n"/>
    </row>
    <row r="130" ht="14.25" customHeight="1" s="254">
      <c r="A130" s="554" t="n"/>
      <c r="B130" s="554" t="n"/>
      <c r="C130" s="554" t="n"/>
      <c r="D130" s="554" t="n"/>
      <c r="E130" s="554" t="n"/>
      <c r="F130" s="554" t="n"/>
      <c r="G130" s="554" t="n"/>
      <c r="H130" s="554" t="n"/>
      <c r="I130" s="554" t="n"/>
      <c r="J130" s="554" t="n"/>
      <c r="K130" s="554" t="n"/>
      <c r="L130" s="584" t="n"/>
      <c r="M130" s="501" t="n"/>
      <c r="N130" s="501" t="n"/>
      <c r="O130" s="501" t="n"/>
      <c r="P130" s="501" t="n"/>
      <c r="Q130" s="501" t="n"/>
      <c r="R130" s="501" t="n"/>
      <c r="S130" s="501" t="n"/>
      <c r="T130" s="501" t="n"/>
      <c r="U130" s="501" t="n"/>
      <c r="V130" s="501" t="n"/>
    </row>
    <row r="131" ht="14.25" customHeight="1" s="254">
      <c r="A131" s="554" t="n"/>
      <c r="B131" s="554" t="n"/>
      <c r="C131" s="554" t="n"/>
      <c r="D131" s="554" t="n"/>
      <c r="E131" s="554" t="n"/>
      <c r="F131" s="554" t="n"/>
      <c r="G131" s="554" t="n"/>
      <c r="H131" s="554" t="n"/>
      <c r="I131" s="554" t="n"/>
      <c r="J131" s="554" t="n"/>
      <c r="K131" s="554" t="n"/>
      <c r="L131" s="584" t="n"/>
      <c r="M131" s="501" t="n"/>
      <c r="N131" s="501" t="n"/>
      <c r="O131" s="501" t="n"/>
      <c r="P131" s="501" t="n"/>
      <c r="Q131" s="501" t="n"/>
      <c r="R131" s="501" t="n"/>
      <c r="S131" s="501" t="n"/>
      <c r="T131" s="501" t="n"/>
      <c r="U131" s="501" t="n"/>
      <c r="V131" s="501" t="n"/>
    </row>
    <row r="132" ht="14.25" customHeight="1" s="254">
      <c r="A132" s="554" t="n"/>
      <c r="B132" s="554" t="n"/>
      <c r="C132" s="554" t="n"/>
      <c r="D132" s="554" t="n"/>
      <c r="E132" s="554" t="n"/>
      <c r="F132" s="554" t="n"/>
      <c r="G132" s="554" t="n"/>
      <c r="H132" s="554" t="n"/>
      <c r="I132" s="554" t="n"/>
      <c r="J132" s="554" t="n"/>
      <c r="K132" s="554" t="n"/>
      <c r="L132" s="584" t="n"/>
      <c r="M132" s="501" t="n"/>
      <c r="N132" s="501" t="n"/>
      <c r="O132" s="501" t="n"/>
      <c r="P132" s="501" t="n"/>
      <c r="Q132" s="501" t="n"/>
      <c r="R132" s="501" t="n"/>
      <c r="S132" s="501" t="n"/>
      <c r="T132" s="501" t="n"/>
      <c r="U132" s="501" t="n"/>
      <c r="V132" s="501" t="n"/>
    </row>
    <row r="133" ht="14.25" customHeight="1" s="254">
      <c r="A133" s="554" t="n"/>
      <c r="B133" s="554" t="n"/>
      <c r="C133" s="554" t="n"/>
      <c r="D133" s="554" t="n"/>
      <c r="E133" s="554" t="n"/>
      <c r="F133" s="554" t="n"/>
      <c r="G133" s="554" t="n"/>
      <c r="H133" s="554" t="n"/>
      <c r="I133" s="554" t="n"/>
      <c r="J133" s="554" t="n"/>
      <c r="K133" s="554" t="n"/>
      <c r="L133" s="584" t="n"/>
      <c r="M133" s="501" t="n"/>
      <c r="N133" s="501" t="n"/>
      <c r="O133" s="501" t="n"/>
      <c r="P133" s="501" t="n"/>
      <c r="Q133" s="501" t="n"/>
      <c r="R133" s="501" t="n"/>
      <c r="S133" s="501" t="n"/>
      <c r="T133" s="501" t="n"/>
      <c r="U133" s="501" t="n"/>
      <c r="V133" s="501" t="n"/>
    </row>
    <row r="134" ht="14.25" customHeight="1" s="254">
      <c r="A134" s="554" t="n"/>
      <c r="B134" s="554" t="n"/>
      <c r="C134" s="554" t="n"/>
      <c r="D134" s="554" t="n"/>
      <c r="E134" s="554" t="n"/>
      <c r="F134" s="554" t="n"/>
      <c r="G134" s="554" t="n"/>
      <c r="H134" s="554" t="n"/>
      <c r="I134" s="554" t="n"/>
      <c r="J134" s="554" t="n"/>
      <c r="K134" s="554" t="n"/>
      <c r="L134" s="584" t="n"/>
      <c r="M134" s="501" t="n"/>
      <c r="N134" s="501" t="n"/>
      <c r="O134" s="501" t="n"/>
      <c r="P134" s="501" t="n"/>
      <c r="Q134" s="501" t="n"/>
      <c r="R134" s="501" t="n"/>
      <c r="S134" s="501" t="n"/>
      <c r="T134" s="501" t="n"/>
      <c r="U134" s="501" t="n"/>
      <c r="V134" s="501" t="n"/>
    </row>
    <row r="135" ht="14.25" customHeight="1" s="254">
      <c r="A135" s="554" t="n"/>
      <c r="B135" s="554" t="n"/>
      <c r="C135" s="554" t="n"/>
      <c r="D135" s="554" t="n"/>
      <c r="E135" s="554" t="n"/>
      <c r="F135" s="554" t="n"/>
      <c r="G135" s="554" t="n"/>
      <c r="H135" s="554" t="n"/>
      <c r="I135" s="554" t="n"/>
      <c r="J135" s="554" t="n"/>
      <c r="K135" s="554" t="n"/>
      <c r="L135" s="584" t="n"/>
      <c r="M135" s="501" t="n"/>
      <c r="N135" s="501" t="n"/>
      <c r="O135" s="501" t="n"/>
      <c r="P135" s="501" t="n"/>
      <c r="Q135" s="501" t="n"/>
      <c r="R135" s="501" t="n"/>
      <c r="S135" s="501" t="n"/>
      <c r="T135" s="501" t="n"/>
      <c r="U135" s="501" t="n"/>
      <c r="V135" s="501" t="n"/>
    </row>
    <row r="136" ht="14.25" customHeight="1" s="254">
      <c r="A136" s="554" t="n"/>
      <c r="B136" s="554" t="n"/>
      <c r="C136" s="554" t="n"/>
      <c r="D136" s="554" t="n"/>
      <c r="E136" s="554" t="n"/>
      <c r="F136" s="554" t="n"/>
      <c r="G136" s="554" t="n"/>
      <c r="H136" s="554" t="n"/>
      <c r="I136" s="554" t="n"/>
      <c r="J136" s="554" t="n"/>
      <c r="K136" s="554" t="n"/>
      <c r="L136" s="584" t="n"/>
      <c r="M136" s="501" t="n"/>
      <c r="N136" s="501" t="n"/>
      <c r="O136" s="501" t="n"/>
      <c r="P136" s="501" t="n"/>
      <c r="Q136" s="501" t="n"/>
      <c r="R136" s="501" t="n"/>
      <c r="S136" s="501" t="n"/>
      <c r="T136" s="501" t="n"/>
      <c r="U136" s="501" t="n"/>
      <c r="V136" s="501" t="n"/>
    </row>
    <row r="137" ht="14.25" customHeight="1" s="254">
      <c r="A137" s="554" t="n"/>
      <c r="B137" s="554" t="n"/>
      <c r="C137" s="554" t="n"/>
      <c r="D137" s="554" t="n"/>
      <c r="E137" s="554" t="n"/>
      <c r="F137" s="554" t="n"/>
      <c r="G137" s="554" t="n"/>
      <c r="H137" s="554" t="n"/>
      <c r="I137" s="554" t="n"/>
      <c r="J137" s="554" t="n"/>
      <c r="K137" s="554" t="n"/>
      <c r="L137" s="584" t="n"/>
      <c r="M137" s="501" t="n"/>
      <c r="N137" s="501" t="n"/>
      <c r="O137" s="501" t="n"/>
      <c r="P137" s="501" t="n"/>
      <c r="Q137" s="501" t="n"/>
      <c r="R137" s="501" t="n"/>
      <c r="S137" s="501" t="n"/>
      <c r="T137" s="501" t="n"/>
      <c r="U137" s="501" t="n"/>
      <c r="V137" s="501" t="n"/>
    </row>
    <row r="138" ht="14.25" customHeight="1" s="254">
      <c r="A138" s="554" t="n"/>
      <c r="B138" s="554" t="n"/>
      <c r="C138" s="554" t="n"/>
      <c r="D138" s="554" t="n"/>
      <c r="E138" s="554" t="n"/>
      <c r="F138" s="554" t="n"/>
      <c r="G138" s="554" t="n"/>
      <c r="H138" s="554" t="n"/>
      <c r="I138" s="554" t="n"/>
      <c r="J138" s="554" t="n"/>
      <c r="K138" s="554" t="n"/>
      <c r="L138" s="584" t="n"/>
      <c r="M138" s="501" t="n"/>
      <c r="N138" s="501" t="n"/>
      <c r="O138" s="501" t="n"/>
      <c r="P138" s="501" t="n"/>
      <c r="Q138" s="501" t="n"/>
      <c r="R138" s="501" t="n"/>
      <c r="S138" s="501" t="n"/>
      <c r="T138" s="501" t="n"/>
      <c r="U138" s="501" t="n"/>
      <c r="V138" s="501" t="n"/>
    </row>
    <row r="139" ht="14.25" customHeight="1" s="254">
      <c r="A139" s="554" t="n"/>
      <c r="B139" s="554" t="n"/>
      <c r="C139" s="554" t="n"/>
      <c r="D139" s="554" t="n"/>
      <c r="E139" s="554" t="n"/>
      <c r="F139" s="554" t="n"/>
      <c r="G139" s="554" t="n"/>
      <c r="H139" s="554" t="n"/>
      <c r="I139" s="554" t="n"/>
      <c r="J139" s="554" t="n"/>
      <c r="K139" s="554" t="n"/>
      <c r="L139" s="584" t="n"/>
      <c r="M139" s="501" t="n"/>
      <c r="N139" s="501" t="n"/>
      <c r="O139" s="501" t="n"/>
      <c r="P139" s="501" t="n"/>
      <c r="Q139" s="501" t="n"/>
      <c r="R139" s="501" t="n"/>
      <c r="S139" s="501" t="n"/>
      <c r="T139" s="501" t="n"/>
      <c r="U139" s="501" t="n"/>
      <c r="V139" s="501" t="n"/>
    </row>
    <row r="140" ht="14.25" customHeight="1" s="254">
      <c r="A140" s="554" t="n"/>
      <c r="B140" s="554" t="n"/>
      <c r="C140" s="554" t="n"/>
      <c r="D140" s="554" t="n"/>
      <c r="E140" s="554" t="n"/>
      <c r="F140" s="554" t="n"/>
      <c r="G140" s="554" t="n"/>
      <c r="H140" s="554" t="n"/>
      <c r="I140" s="554" t="n"/>
      <c r="J140" s="554" t="n"/>
      <c r="K140" s="554" t="n"/>
      <c r="L140" s="584" t="n"/>
      <c r="M140" s="501" t="n"/>
      <c r="N140" s="501" t="n"/>
      <c r="O140" s="501" t="n"/>
      <c r="P140" s="501" t="n"/>
      <c r="Q140" s="501" t="n"/>
      <c r="R140" s="501" t="n"/>
      <c r="S140" s="501" t="n"/>
      <c r="T140" s="501" t="n"/>
      <c r="U140" s="501" t="n"/>
      <c r="V140" s="501" t="n"/>
    </row>
    <row r="141" ht="14.25" customHeight="1" s="254">
      <c r="A141" s="554" t="n"/>
      <c r="B141" s="554" t="n"/>
      <c r="C141" s="554" t="n"/>
      <c r="D141" s="554" t="n"/>
      <c r="E141" s="554" t="n"/>
      <c r="F141" s="554" t="n"/>
      <c r="G141" s="554" t="n"/>
      <c r="H141" s="554" t="n"/>
      <c r="I141" s="554" t="n"/>
      <c r="J141" s="554" t="n"/>
      <c r="K141" s="554" t="n"/>
      <c r="L141" s="584" t="n"/>
      <c r="M141" s="501" t="n"/>
      <c r="N141" s="501" t="n"/>
      <c r="O141" s="501" t="n"/>
      <c r="P141" s="501" t="n"/>
      <c r="Q141" s="501" t="n"/>
      <c r="R141" s="501" t="n"/>
      <c r="S141" s="501" t="n"/>
      <c r="T141" s="501" t="n"/>
      <c r="U141" s="501" t="n"/>
      <c r="V141" s="501" t="n"/>
    </row>
    <row r="142" ht="14.25" customHeight="1" s="254">
      <c r="A142" s="358" t="inlineStr">
        <is>
          <t>Distribution units scheduled</t>
        </is>
      </c>
      <c r="B142" s="543">
        <f>SUMPRODUCT(--($A$130:$A$141&lt;&gt;""),--($C$130:$C$141&gt;0))*0+SUM($C$130:$C$141)</f>
        <v/>
      </c>
      <c r="C142" s="501" t="n"/>
      <c r="D142" s="501" t="n"/>
      <c r="E142" s="501" t="n"/>
      <c r="F142" s="501" t="n"/>
      <c r="G142" s="501" t="n"/>
      <c r="H142" s="501" t="n"/>
      <c r="I142" s="501" t="n"/>
      <c r="J142" s="501" t="n"/>
      <c r="K142" s="501" t="n"/>
      <c r="L142" s="501" t="n"/>
      <c r="M142" s="501" t="n"/>
      <c r="N142" s="501" t="n"/>
      <c r="O142" s="501" t="n"/>
      <c r="P142" s="501" t="n"/>
      <c r="Q142" s="501" t="n"/>
      <c r="R142" s="501" t="n"/>
      <c r="S142" s="501" t="n"/>
      <c r="T142" s="501" t="n"/>
      <c r="U142" s="501" t="n"/>
      <c r="V142" s="501" t="n"/>
    </row>
    <row r="143" ht="19.5" customHeight="1" s="254">
      <c r="A143" s="358" t="inlineStr">
        <is>
          <t>Distribution equipment cost ($)</t>
        </is>
      </c>
      <c r="B143" s="573">
        <f>SUM($L$130:$L$141)</f>
        <v/>
      </c>
      <c r="C143" s="505" t="inlineStr">
        <is>
          <t>Carried into the cost build-up as distribution equipment, at the materials markup. Enter it in the Overrides register if a single vendor quote covers the whole schedule.</t>
        </is>
      </c>
      <c r="D143" s="501" t="n"/>
      <c r="E143" s="501" t="n"/>
      <c r="F143" s="501" t="n"/>
      <c r="G143" s="501" t="n"/>
      <c r="H143" s="501" t="n"/>
      <c r="I143" s="501" t="n"/>
      <c r="J143" s="501" t="n"/>
      <c r="K143" s="501" t="n"/>
      <c r="L143" s="501" t="n"/>
      <c r="M143" s="501" t="n"/>
      <c r="N143" s="501" t="n"/>
      <c r="O143" s="501" t="n"/>
      <c r="P143" s="501" t="n"/>
      <c r="Q143" s="501" t="n"/>
      <c r="R143" s="501" t="n"/>
      <c r="S143" s="501" t="n"/>
      <c r="T143" s="501" t="n"/>
      <c r="U143" s="501" t="n"/>
      <c r="V143" s="501" t="n"/>
    </row>
    <row r="144" ht="33.75" customHeight="1" s="254">
      <c r="A144" s="358" t="inlineStr">
        <is>
          <t>Every item priced?</t>
        </is>
      </c>
      <c r="B144" s="543">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574" t="n"/>
      <c r="D144" s="501" t="n"/>
      <c r="E144" s="501" t="n"/>
      <c r="F144" s="501" t="n"/>
      <c r="G144" s="501" t="n"/>
      <c r="H144" s="501" t="n"/>
      <c r="I144" s="501" t="n"/>
      <c r="J144" s="501" t="n"/>
      <c r="K144" s="501" t="n"/>
      <c r="L144" s="501" t="n"/>
      <c r="M144" s="501" t="n"/>
      <c r="N144" s="501" t="n"/>
      <c r="O144" s="501" t="n"/>
      <c r="P144" s="501" t="n"/>
      <c r="Q144" s="501" t="n"/>
      <c r="R144" s="501" t="n"/>
      <c r="S144" s="501" t="n"/>
      <c r="T144" s="501" t="n"/>
      <c r="U144" s="501" t="n"/>
      <c r="V144" s="501" t="n"/>
    </row>
    <row r="145" ht="33.75" customHeight="1" s="254">
      <c r="A145" s="358" t="inlineStr">
        <is>
          <t>Every item fed from something?</t>
        </is>
      </c>
      <c r="B145" s="543">
        <f>IF(COUNTA($A$130:$A$141)=0,"OK — nothing scheduled yet",IF(SUMPRODUCT(--($A$130:$A$141&lt;&gt;""),--($G$130:$G$141=""))&gt;0,"INCOMPLETE — an item has no source named. A panel nobody feeds is a panel nobody costed a feeder to.","OK — every item names what feeds it"))</f>
        <v/>
      </c>
      <c r="C145" s="574" t="n"/>
      <c r="D145" s="501" t="n"/>
      <c r="E145" s="501" t="n"/>
      <c r="F145" s="501" t="n"/>
      <c r="G145" s="501" t="n"/>
      <c r="H145" s="501" t="n"/>
      <c r="I145" s="501" t="n"/>
      <c r="J145" s="501" t="n"/>
      <c r="K145" s="501" t="n"/>
      <c r="L145" s="501" t="n"/>
      <c r="M145" s="501" t="n"/>
      <c r="N145" s="501" t="n"/>
      <c r="O145" s="501" t="n"/>
      <c r="P145" s="501" t="n"/>
      <c r="Q145" s="501" t="n"/>
      <c r="R145" s="501" t="n"/>
      <c r="S145" s="501" t="n"/>
      <c r="T145" s="501" t="n"/>
      <c r="U145" s="501" t="n"/>
      <c r="V145" s="501" t="n"/>
    </row>
    <row r="146" ht="27.76" customHeight="1" s="254">
      <c r="A146" s="578" t="inlineStr">
        <is>
          <t>EVSE disconnecting means — NEC 625.43</t>
        </is>
      </c>
      <c r="B146" s="543">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574" t="n"/>
      <c r="D146" s="501" t="n"/>
      <c r="E146" s="501" t="n"/>
      <c r="F146" s="501" t="n"/>
      <c r="G146" s="501" t="n"/>
      <c r="H146" s="501" t="n"/>
      <c r="I146" s="501" t="n"/>
      <c r="J146" s="501" t="n"/>
      <c r="K146" s="501" t="n"/>
      <c r="L146" s="501" t="n"/>
      <c r="M146" s="501" t="n"/>
      <c r="N146" s="501" t="n"/>
      <c r="O146" s="501" t="n"/>
      <c r="P146" s="501" t="n"/>
      <c r="Q146" s="501" t="n"/>
      <c r="R146" s="501" t="n"/>
      <c r="S146" s="501" t="n"/>
      <c r="T146" s="501" t="n"/>
      <c r="U146" s="501" t="n"/>
      <c r="V146" s="501" t="n"/>
    </row>
    <row r="147">
      <c r="A147" s="501" t="n"/>
      <c r="B147" s="501" t="n"/>
      <c r="C147" s="501" t="n"/>
      <c r="D147" s="501" t="n"/>
      <c r="E147" s="501" t="n"/>
      <c r="F147" s="501" t="n"/>
      <c r="G147" s="501" t="n"/>
      <c r="H147" s="501" t="n"/>
      <c r="I147" s="501" t="n"/>
      <c r="J147" s="501" t="n"/>
      <c r="K147" s="501" t="n"/>
      <c r="L147" s="501" t="n"/>
      <c r="M147" s="501" t="n"/>
      <c r="N147" s="501" t="n"/>
      <c r="O147" s="501" t="n"/>
      <c r="P147" s="501" t="n"/>
      <c r="Q147" s="501" t="n"/>
      <c r="R147" s="501" t="n"/>
      <c r="S147" s="501" t="n"/>
      <c r="T147" s="501" t="n"/>
      <c r="U147" s="501" t="n"/>
      <c r="V147" s="501" t="n"/>
    </row>
    <row r="148" ht="14.25" customHeight="1" s="254">
      <c r="A148" s="370" t="inlineStr">
        <is>
          <t>LEVEL 2 BRANCH CIRCUITS</t>
        </is>
      </c>
      <c r="B148" s="501" t="n"/>
      <c r="C148" s="501" t="n"/>
      <c r="D148" s="501" t="n"/>
      <c r="E148" s="501" t="n"/>
      <c r="F148" s="501" t="n"/>
      <c r="G148" s="501" t="n"/>
      <c r="H148" s="501" t="n"/>
      <c r="I148" s="501" t="n"/>
      <c r="J148" s="501" t="n"/>
      <c r="K148" s="501" t="n"/>
      <c r="L148" s="501" t="n"/>
      <c r="M148" s="501" t="n"/>
      <c r="N148" s="501" t="n"/>
      <c r="O148" s="501" t="n"/>
      <c r="P148" s="501" t="n"/>
      <c r="Q148" s="501" t="n"/>
      <c r="R148" s="501" t="n"/>
      <c r="S148" s="501" t="n"/>
      <c r="T148" s="501" t="n"/>
      <c r="U148" s="501" t="n"/>
      <c r="V148" s="501" t="n"/>
    </row>
    <row r="149" ht="26.44" customHeight="1" s="254">
      <c r="A149" s="375"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c r="I149" s="501" t="n"/>
      <c r="J149" s="501" t="n"/>
      <c r="K149" s="501" t="n"/>
      <c r="L149" s="501" t="n"/>
      <c r="M149" s="501" t="n"/>
      <c r="N149" s="501" t="n"/>
      <c r="O149" s="501" t="n"/>
      <c r="P149" s="501" t="n"/>
      <c r="Q149" s="501" t="n"/>
      <c r="R149" s="501" t="n"/>
      <c r="S149" s="501" t="n"/>
      <c r="T149" s="501" t="n"/>
      <c r="U149" s="501" t="n"/>
      <c r="V149" s="501" t="n"/>
    </row>
    <row r="150" ht="26.44" customHeight="1" s="254">
      <c r="A150" s="351" t="inlineStr">
        <is>
          <t>Circuit</t>
        </is>
      </c>
      <c r="B150" s="571" t="inlineStr">
        <is>
          <t>Equip. line</t>
        </is>
      </c>
      <c r="C150" s="571" t="inlineStr">
        <is>
          <t>Units on circuit</t>
        </is>
      </c>
      <c r="D150" s="571" t="inlineStr">
        <is>
          <t>Volts</t>
        </is>
      </c>
      <c r="E150" s="572" t="inlineStr">
        <is>
          <t>Amps per unit</t>
        </is>
      </c>
      <c r="F150" s="572" t="inlineStr">
        <is>
          <t>Continuous 125% A, all units on the circuit (auto)</t>
        </is>
      </c>
      <c r="G150" s="571" t="inlineStr">
        <is>
          <t>Breaker (A)</t>
        </is>
      </c>
      <c r="H150" s="572" t="inlineStr">
        <is>
          <t>Distance (ft)</t>
        </is>
      </c>
      <c r="I150" s="572" t="inlineStr">
        <is>
          <t>Conductor size</t>
        </is>
      </c>
      <c r="J150" s="572" t="inlineStr">
        <is>
          <t>Ampacity (auto)</t>
        </is>
      </c>
      <c r="K150" s="572" t="inlineStr">
        <is>
          <t>Verdict (auto)</t>
        </is>
      </c>
      <c r="L150" s="501" t="n"/>
      <c r="M150" s="501" t="n"/>
      <c r="N150" s="501" t="n"/>
      <c r="O150" s="501" t="n"/>
      <c r="P150" s="501" t="n"/>
      <c r="Q150" s="501" t="n"/>
      <c r="R150" s="501" t="n"/>
      <c r="S150" s="501" t="n"/>
      <c r="T150" s="501" t="n"/>
      <c r="U150" s="501" t="n"/>
      <c r="V150" s="501" t="n"/>
    </row>
    <row r="151" ht="14.25" customHeight="1" s="254">
      <c r="A151" s="583" t="inlineStr">
        <is>
          <t>L2-01</t>
        </is>
      </c>
      <c r="B151" s="554" t="n"/>
      <c r="C151" s="554" t="n"/>
      <c r="D151" s="554" t="n"/>
      <c r="E151" s="554" t="n"/>
      <c r="F151" s="353">
        <f>IF(N($E151)=0,"",N($E151)*MAX(1,N($C151))*1.25)</f>
        <v/>
      </c>
      <c r="G151" s="324">
        <f>IF(N($F151)=0,"",IFERROR(INDEX(OCPD_LIST,MATCH($F151,OCPD_LIST,1)+IF(ISNUMBER(MATCH($F151,OCPD_LIST,0)),0,1)),""))</f>
        <v/>
      </c>
      <c r="H151" s="554" t="n"/>
      <c r="I151" s="554" t="n"/>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c r="L151" s="501" t="n"/>
      <c r="M151" s="501" t="n"/>
      <c r="N151" s="501" t="n"/>
      <c r="O151" s="501" t="n"/>
      <c r="P151" s="501" t="n"/>
      <c r="Q151" s="501" t="n"/>
      <c r="R151" s="501" t="n"/>
      <c r="S151" s="501" t="n"/>
      <c r="T151" s="501" t="n"/>
      <c r="U151" s="501" t="n"/>
      <c r="V151" s="501" t="n"/>
    </row>
    <row r="152" ht="14.25" customHeight="1" s="254">
      <c r="A152" s="583" t="inlineStr">
        <is>
          <t>L2-02</t>
        </is>
      </c>
      <c r="B152" s="554" t="n"/>
      <c r="C152" s="554" t="n"/>
      <c r="D152" s="554" t="n"/>
      <c r="E152" s="554" t="n"/>
      <c r="F152" s="353">
        <f>IF(N($E152)=0,"",N($E152)*MAX(1,N($C152))*1.25)</f>
        <v/>
      </c>
      <c r="G152" s="324">
        <f>IF(N($F152)=0,"",IFERROR(INDEX(OCPD_LIST,MATCH($F152,OCPD_LIST,1)+IF(ISNUMBER(MATCH($F152,OCPD_LIST,0)),0,1)),""))</f>
        <v/>
      </c>
      <c r="H152" s="554" t="n"/>
      <c r="I152" s="554" t="n"/>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c r="L152" s="501" t="n"/>
      <c r="M152" s="501" t="n"/>
      <c r="N152" s="501" t="n"/>
      <c r="O152" s="501" t="n"/>
      <c r="P152" s="501" t="n"/>
      <c r="Q152" s="501" t="n"/>
      <c r="R152" s="501" t="n"/>
      <c r="S152" s="501" t="n"/>
      <c r="T152" s="501" t="n"/>
      <c r="U152" s="501" t="n"/>
      <c r="V152" s="501" t="n"/>
    </row>
    <row r="153" ht="14.25" customHeight="1" s="254">
      <c r="A153" s="583" t="inlineStr">
        <is>
          <t>L2-03</t>
        </is>
      </c>
      <c r="B153" s="554" t="n"/>
      <c r="C153" s="554" t="n"/>
      <c r="D153" s="554" t="n"/>
      <c r="E153" s="554" t="n"/>
      <c r="F153" s="353">
        <f>IF(N($E153)=0,"",N($E153)*MAX(1,N($C153))*1.25)</f>
        <v/>
      </c>
      <c r="G153" s="324">
        <f>IF(N($F153)=0,"",IFERROR(INDEX(OCPD_LIST,MATCH($F153,OCPD_LIST,1)+IF(ISNUMBER(MATCH($F153,OCPD_LIST,0)),0,1)),""))</f>
        <v/>
      </c>
      <c r="H153" s="554" t="n"/>
      <c r="I153" s="554"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c r="L153" s="501" t="n"/>
      <c r="M153" s="501" t="n"/>
      <c r="N153" s="501" t="n"/>
      <c r="O153" s="501" t="n"/>
      <c r="P153" s="501" t="n"/>
      <c r="Q153" s="501" t="n"/>
      <c r="R153" s="501" t="n"/>
      <c r="S153" s="501" t="n"/>
      <c r="T153" s="501" t="n"/>
      <c r="U153" s="501" t="n"/>
      <c r="V153" s="501" t="n"/>
    </row>
    <row r="154" ht="14.25" customHeight="1" s="254">
      <c r="A154" s="583" t="inlineStr">
        <is>
          <t>L2-04</t>
        </is>
      </c>
      <c r="B154" s="554" t="n"/>
      <c r="C154" s="554" t="n"/>
      <c r="D154" s="554" t="n"/>
      <c r="E154" s="554" t="n"/>
      <c r="F154" s="353">
        <f>IF(N($E154)=0,"",N($E154)*MAX(1,N($C154))*1.25)</f>
        <v/>
      </c>
      <c r="G154" s="324">
        <f>IF(N($F154)=0,"",IFERROR(INDEX(OCPD_LIST,MATCH($F154,OCPD_LIST,1)+IF(ISNUMBER(MATCH($F154,OCPD_LIST,0)),0,1)),""))</f>
        <v/>
      </c>
      <c r="H154" s="554" t="n"/>
      <c r="I154" s="554"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c r="L154" s="501" t="n"/>
      <c r="M154" s="501" t="n"/>
      <c r="N154" s="501" t="n"/>
      <c r="O154" s="501" t="n"/>
      <c r="P154" s="501" t="n"/>
      <c r="Q154" s="501" t="n"/>
      <c r="R154" s="501" t="n"/>
      <c r="S154" s="501" t="n"/>
      <c r="T154" s="501" t="n"/>
      <c r="U154" s="501" t="n"/>
      <c r="V154" s="501" t="n"/>
    </row>
    <row r="155" ht="14.25" customHeight="1" s="254">
      <c r="A155" s="583" t="inlineStr">
        <is>
          <t>L2-05</t>
        </is>
      </c>
      <c r="B155" s="554" t="n"/>
      <c r="C155" s="554" t="n"/>
      <c r="D155" s="554" t="n"/>
      <c r="E155" s="554" t="n"/>
      <c r="F155" s="353">
        <f>IF(N($E155)=0,"",N($E155)*MAX(1,N($C155))*1.25)</f>
        <v/>
      </c>
      <c r="G155" s="324">
        <f>IF(N($F155)=0,"",IFERROR(INDEX(OCPD_LIST,MATCH($F155,OCPD_LIST,1)+IF(ISNUMBER(MATCH($F155,OCPD_LIST,0)),0,1)),""))</f>
        <v/>
      </c>
      <c r="H155" s="554" t="n"/>
      <c r="I155" s="554"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c r="L155" s="501" t="n"/>
      <c r="M155" s="501" t="n"/>
      <c r="N155" s="501" t="n"/>
      <c r="O155" s="501" t="n"/>
      <c r="P155" s="501" t="n"/>
      <c r="Q155" s="501" t="n"/>
      <c r="R155" s="501" t="n"/>
      <c r="S155" s="501" t="n"/>
      <c r="T155" s="501" t="n"/>
      <c r="U155" s="501" t="n"/>
      <c r="V155" s="501" t="n"/>
    </row>
    <row r="156" ht="14.25" customHeight="1" s="254">
      <c r="A156" s="583" t="inlineStr">
        <is>
          <t>L2-06</t>
        </is>
      </c>
      <c r="B156" s="554" t="n"/>
      <c r="C156" s="554" t="n"/>
      <c r="D156" s="554" t="n"/>
      <c r="E156" s="554" t="n"/>
      <c r="F156" s="353">
        <f>IF(N($E156)=0,"",N($E156)*MAX(1,N($C156))*1.25)</f>
        <v/>
      </c>
      <c r="G156" s="324">
        <f>IF(N($F156)=0,"",IFERROR(INDEX(OCPD_LIST,MATCH($F156,OCPD_LIST,1)+IF(ISNUMBER(MATCH($F156,OCPD_LIST,0)),0,1)),""))</f>
        <v/>
      </c>
      <c r="H156" s="554" t="n"/>
      <c r="I156" s="554"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c r="L156" s="501" t="n"/>
      <c r="M156" s="501" t="n"/>
      <c r="N156" s="501" t="n"/>
      <c r="O156" s="501" t="n"/>
      <c r="P156" s="501" t="n"/>
      <c r="Q156" s="501" t="n"/>
      <c r="R156" s="501" t="n"/>
      <c r="S156" s="501" t="n"/>
      <c r="T156" s="501" t="n"/>
      <c r="U156" s="501" t="n"/>
      <c r="V156" s="501" t="n"/>
    </row>
    <row r="157" ht="14.25" customHeight="1" s="254">
      <c r="A157" s="583" t="inlineStr">
        <is>
          <t>L2-07</t>
        </is>
      </c>
      <c r="B157" s="554" t="n"/>
      <c r="C157" s="554" t="n"/>
      <c r="D157" s="554" t="n"/>
      <c r="E157" s="554" t="n"/>
      <c r="F157" s="353">
        <f>IF(N($E157)=0,"",N($E157)*MAX(1,N($C157))*1.25)</f>
        <v/>
      </c>
      <c r="G157" s="324">
        <f>IF(N($F157)=0,"",IFERROR(INDEX(OCPD_LIST,MATCH($F157,OCPD_LIST,1)+IF(ISNUMBER(MATCH($F157,OCPD_LIST,0)),0,1)),""))</f>
        <v/>
      </c>
      <c r="H157" s="554" t="n"/>
      <c r="I157" s="554"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c r="L157" s="501" t="n"/>
      <c r="M157" s="501" t="n"/>
      <c r="N157" s="501" t="n"/>
      <c r="O157" s="501" t="n"/>
      <c r="P157" s="501" t="n"/>
      <c r="Q157" s="501" t="n"/>
      <c r="R157" s="501" t="n"/>
      <c r="S157" s="501" t="n"/>
      <c r="T157" s="501" t="n"/>
      <c r="U157" s="501" t="n"/>
      <c r="V157" s="501" t="n"/>
    </row>
    <row r="158" ht="14.25" customHeight="1" s="254">
      <c r="A158" s="583" t="inlineStr">
        <is>
          <t>L2-08</t>
        </is>
      </c>
      <c r="B158" s="554" t="n"/>
      <c r="C158" s="554" t="n"/>
      <c r="D158" s="554" t="n"/>
      <c r="E158" s="554" t="n"/>
      <c r="F158" s="353">
        <f>IF(N($E158)=0,"",N($E158)*MAX(1,N($C158))*1.25)</f>
        <v/>
      </c>
      <c r="G158" s="324">
        <f>IF(N($F158)=0,"",IFERROR(INDEX(OCPD_LIST,MATCH($F158,OCPD_LIST,1)+IF(ISNUMBER(MATCH($F158,OCPD_LIST,0)),0,1)),""))</f>
        <v/>
      </c>
      <c r="H158" s="554" t="n"/>
      <c r="I158" s="554"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c r="L158" s="501" t="n"/>
      <c r="M158" s="501" t="n"/>
      <c r="N158" s="501" t="n"/>
      <c r="O158" s="501" t="n"/>
      <c r="P158" s="501" t="n"/>
      <c r="Q158" s="501" t="n"/>
      <c r="R158" s="501" t="n"/>
      <c r="S158" s="501" t="n"/>
      <c r="T158" s="501" t="n"/>
      <c r="U158" s="501" t="n"/>
      <c r="V158" s="501" t="n"/>
    </row>
    <row r="159" ht="14.25" customHeight="1" s="254">
      <c r="A159" s="583" t="inlineStr">
        <is>
          <t>L2-09</t>
        </is>
      </c>
      <c r="B159" s="554" t="n"/>
      <c r="C159" s="554" t="n"/>
      <c r="D159" s="554" t="n"/>
      <c r="E159" s="554" t="n"/>
      <c r="F159" s="353">
        <f>IF(N($E159)=0,"",N($E159)*MAX(1,N($C159))*1.25)</f>
        <v/>
      </c>
      <c r="G159" s="324">
        <f>IF(N($F159)=0,"",IFERROR(INDEX(OCPD_LIST,MATCH($F159,OCPD_LIST,1)+IF(ISNUMBER(MATCH($F159,OCPD_LIST,0)),0,1)),""))</f>
        <v/>
      </c>
      <c r="H159" s="554" t="n"/>
      <c r="I159" s="554"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c r="L159" s="501" t="n"/>
      <c r="M159" s="501" t="n"/>
      <c r="N159" s="501" t="n"/>
      <c r="O159" s="501" t="n"/>
      <c r="P159" s="501" t="n"/>
      <c r="Q159" s="501" t="n"/>
      <c r="R159" s="501" t="n"/>
      <c r="S159" s="501" t="n"/>
      <c r="T159" s="501" t="n"/>
      <c r="U159" s="501" t="n"/>
      <c r="V159" s="501" t="n"/>
    </row>
    <row r="160" ht="14.25" customHeight="1" s="254">
      <c r="A160" s="583" t="inlineStr">
        <is>
          <t>L2-10</t>
        </is>
      </c>
      <c r="B160" s="554" t="n"/>
      <c r="C160" s="554" t="n"/>
      <c r="D160" s="554" t="n"/>
      <c r="E160" s="554" t="n"/>
      <c r="F160" s="353">
        <f>IF(N($E160)=0,"",N($E160)*MAX(1,N($C160))*1.25)</f>
        <v/>
      </c>
      <c r="G160" s="324">
        <f>IF(N($F160)=0,"",IFERROR(INDEX(OCPD_LIST,MATCH($F160,OCPD_LIST,1)+IF(ISNUMBER(MATCH($F160,OCPD_LIST,0)),0,1)),""))</f>
        <v/>
      </c>
      <c r="H160" s="554" t="n"/>
      <c r="I160" s="554"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c r="L160" s="501" t="n"/>
      <c r="M160" s="501" t="n"/>
      <c r="N160" s="501" t="n"/>
      <c r="O160" s="501" t="n"/>
      <c r="P160" s="501" t="n"/>
      <c r="Q160" s="501" t="n"/>
      <c r="R160" s="501" t="n"/>
      <c r="S160" s="501" t="n"/>
      <c r="T160" s="501" t="n"/>
      <c r="U160" s="501" t="n"/>
      <c r="V160" s="501" t="n"/>
    </row>
    <row r="161" ht="14.25" customHeight="1" s="254">
      <c r="A161" s="583" t="inlineStr">
        <is>
          <t>L2-11</t>
        </is>
      </c>
      <c r="B161" s="554" t="n"/>
      <c r="C161" s="554" t="n"/>
      <c r="D161" s="554" t="n"/>
      <c r="E161" s="554" t="n"/>
      <c r="F161" s="353">
        <f>IF(N($E161)=0,"",N($E161)*MAX(1,N($C161))*1.25)</f>
        <v/>
      </c>
      <c r="G161" s="324">
        <f>IF(N($F161)=0,"",IFERROR(INDEX(OCPD_LIST,MATCH($F161,OCPD_LIST,1)+IF(ISNUMBER(MATCH($F161,OCPD_LIST,0)),0,1)),""))</f>
        <v/>
      </c>
      <c r="H161" s="554" t="n"/>
      <c r="I161" s="554"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c r="L161" s="501" t="n"/>
      <c r="M161" s="501" t="n"/>
      <c r="N161" s="501" t="n"/>
      <c r="O161" s="501" t="n"/>
      <c r="P161" s="501" t="n"/>
      <c r="Q161" s="501" t="n"/>
      <c r="R161" s="501" t="n"/>
      <c r="S161" s="501" t="n"/>
      <c r="T161" s="501" t="n"/>
      <c r="U161" s="501" t="n"/>
      <c r="V161" s="501" t="n"/>
    </row>
    <row r="162" ht="14.25" customHeight="1" s="254">
      <c r="A162" s="583" t="inlineStr">
        <is>
          <t>L2-12</t>
        </is>
      </c>
      <c r="B162" s="554" t="n"/>
      <c r="C162" s="554" t="n"/>
      <c r="D162" s="554" t="n"/>
      <c r="E162" s="554" t="n"/>
      <c r="F162" s="353">
        <f>IF(N($E162)=0,"",N($E162)*MAX(1,N($C162))*1.25)</f>
        <v/>
      </c>
      <c r="G162" s="324">
        <f>IF(N($F162)=0,"",IFERROR(INDEX(OCPD_LIST,MATCH($F162,OCPD_LIST,1)+IF(ISNUMBER(MATCH($F162,OCPD_LIST,0)),0,1)),""))</f>
        <v/>
      </c>
      <c r="H162" s="554" t="n"/>
      <c r="I162" s="554"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c r="L162" s="501" t="n"/>
      <c r="M162" s="501" t="n"/>
      <c r="N162" s="501" t="n"/>
      <c r="O162" s="501" t="n"/>
      <c r="P162" s="501" t="n"/>
      <c r="Q162" s="501" t="n"/>
      <c r="R162" s="501" t="n"/>
      <c r="S162" s="501" t="n"/>
      <c r="T162" s="501" t="n"/>
      <c r="U162" s="501" t="n"/>
      <c r="V162" s="501" t="n"/>
    </row>
    <row r="163" ht="14.25" customHeight="1" s="254">
      <c r="A163" s="583" t="inlineStr">
        <is>
          <t>L2-13</t>
        </is>
      </c>
      <c r="B163" s="554" t="n"/>
      <c r="C163" s="554" t="n"/>
      <c r="D163" s="554" t="n"/>
      <c r="E163" s="554" t="n"/>
      <c r="F163" s="353">
        <f>IF(N($E163)=0,"",N($E163)*MAX(1,N($C163))*1.25)</f>
        <v/>
      </c>
      <c r="G163" s="324">
        <f>IF(N($F163)=0,"",IFERROR(INDEX(OCPD_LIST,MATCH($F163,OCPD_LIST,1)+IF(ISNUMBER(MATCH($F163,OCPD_LIST,0)),0,1)),""))</f>
        <v/>
      </c>
      <c r="H163" s="554" t="n"/>
      <c r="I163" s="554"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c r="L163" s="501" t="n"/>
      <c r="M163" s="501" t="n"/>
      <c r="N163" s="501" t="n"/>
      <c r="O163" s="501" t="n"/>
      <c r="P163" s="501" t="n"/>
      <c r="Q163" s="501" t="n"/>
      <c r="R163" s="501" t="n"/>
      <c r="S163" s="501" t="n"/>
      <c r="T163" s="501" t="n"/>
      <c r="U163" s="501" t="n"/>
      <c r="V163" s="501" t="n"/>
    </row>
    <row r="164" ht="14.25" customHeight="1" s="254">
      <c r="A164" s="583" t="inlineStr">
        <is>
          <t>L2-14</t>
        </is>
      </c>
      <c r="B164" s="554" t="n"/>
      <c r="C164" s="554" t="n"/>
      <c r="D164" s="554" t="n"/>
      <c r="E164" s="554" t="n"/>
      <c r="F164" s="353">
        <f>IF(N($E164)=0,"",N($E164)*MAX(1,N($C164))*1.25)</f>
        <v/>
      </c>
      <c r="G164" s="324">
        <f>IF(N($F164)=0,"",IFERROR(INDEX(OCPD_LIST,MATCH($F164,OCPD_LIST,1)+IF(ISNUMBER(MATCH($F164,OCPD_LIST,0)),0,1)),""))</f>
        <v/>
      </c>
      <c r="H164" s="554" t="n"/>
      <c r="I164" s="554"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c r="L164" s="501" t="n"/>
      <c r="M164" s="501" t="n"/>
      <c r="N164" s="501" t="n"/>
      <c r="O164" s="501" t="n"/>
      <c r="P164" s="501" t="n"/>
      <c r="Q164" s="501" t="n"/>
      <c r="R164" s="501" t="n"/>
      <c r="S164" s="501" t="n"/>
      <c r="T164" s="501" t="n"/>
      <c r="U164" s="501" t="n"/>
      <c r="V164" s="501" t="n"/>
    </row>
    <row r="165" ht="14.25" customHeight="1" s="254">
      <c r="A165" s="583" t="inlineStr">
        <is>
          <t>L2-15</t>
        </is>
      </c>
      <c r="B165" s="554" t="n"/>
      <c r="C165" s="554" t="n"/>
      <c r="D165" s="554" t="n"/>
      <c r="E165" s="554" t="n"/>
      <c r="F165" s="353">
        <f>IF(N($E165)=0,"",N($E165)*MAX(1,N($C165))*1.25)</f>
        <v/>
      </c>
      <c r="G165" s="324">
        <f>IF(N($F165)=0,"",IFERROR(INDEX(OCPD_LIST,MATCH($F165,OCPD_LIST,1)+IF(ISNUMBER(MATCH($F165,OCPD_LIST,0)),0,1)),""))</f>
        <v/>
      </c>
      <c r="H165" s="554" t="n"/>
      <c r="I165" s="554"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c r="L165" s="501" t="n"/>
      <c r="M165" s="501" t="n"/>
      <c r="N165" s="501" t="n"/>
      <c r="O165" s="501" t="n"/>
      <c r="P165" s="501" t="n"/>
      <c r="Q165" s="501" t="n"/>
      <c r="R165" s="501" t="n"/>
      <c r="S165" s="501" t="n"/>
      <c r="T165" s="501" t="n"/>
      <c r="U165" s="501" t="n"/>
      <c r="V165" s="501" t="n"/>
    </row>
    <row r="166" ht="14.25" customHeight="1" s="254">
      <c r="A166" s="583" t="inlineStr">
        <is>
          <t>L2-16</t>
        </is>
      </c>
      <c r="B166" s="554" t="n"/>
      <c r="C166" s="554" t="n"/>
      <c r="D166" s="554" t="n"/>
      <c r="E166" s="554" t="n"/>
      <c r="F166" s="353">
        <f>IF(N($E166)=0,"",N($E166)*MAX(1,N($C166))*1.25)</f>
        <v/>
      </c>
      <c r="G166" s="324">
        <f>IF(N($F166)=0,"",IFERROR(INDEX(OCPD_LIST,MATCH($F166,OCPD_LIST,1)+IF(ISNUMBER(MATCH($F166,OCPD_LIST,0)),0,1)),""))</f>
        <v/>
      </c>
      <c r="H166" s="554" t="n"/>
      <c r="I166" s="554"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c r="L166" s="501" t="n"/>
      <c r="M166" s="501" t="n"/>
      <c r="N166" s="501" t="n"/>
      <c r="O166" s="501" t="n"/>
      <c r="P166" s="501" t="n"/>
      <c r="Q166" s="501" t="n"/>
      <c r="R166" s="501" t="n"/>
      <c r="S166" s="501" t="n"/>
      <c r="T166" s="501" t="n"/>
      <c r="U166" s="501" t="n"/>
      <c r="V166" s="501" t="n"/>
    </row>
    <row r="167" ht="26.44" customHeight="1" s="254">
      <c r="A167" s="358" t="inlineStr">
        <is>
          <t>Level 2 circuits scheduled</t>
        </is>
      </c>
      <c r="B167" s="543">
        <f>SUMPRODUCT(--($E$151:$E$166&gt;0),$C$151:$C$166)</f>
        <v/>
      </c>
      <c r="C167" s="505" t="inlineStr">
        <is>
          <t>Units, not rows — a circuit can carry more than one unit where the panel schedule allows it.</t>
        </is>
      </c>
      <c r="D167" s="501" t="n"/>
      <c r="E167" s="501" t="n"/>
      <c r="F167" s="501" t="n"/>
      <c r="G167" s="501" t="n"/>
      <c r="H167" s="501" t="n"/>
      <c r="I167" s="501" t="n"/>
      <c r="J167" s="501" t="n"/>
      <c r="K167" s="501" t="n"/>
      <c r="L167" s="501" t="n"/>
      <c r="M167" s="501" t="n"/>
      <c r="N167" s="501" t="n"/>
      <c r="O167" s="501" t="n"/>
      <c r="P167" s="501" t="n"/>
      <c r="Q167" s="501" t="n"/>
      <c r="R167" s="501" t="n"/>
      <c r="S167" s="501" t="n"/>
      <c r="T167" s="501" t="n"/>
      <c r="U167" s="501" t="n"/>
      <c r="V167" s="501" t="n"/>
    </row>
    <row r="168" ht="27.76" customHeight="1" s="254">
      <c r="A168" s="578" t="inlineStr">
        <is>
          <t>Total Level 2 branch distance (ft)</t>
        </is>
      </c>
      <c r="B168" s="543">
        <f>SUMPRODUCT(--($E$151:$E$166&gt;0),$H$151:$H$166)</f>
        <v/>
      </c>
      <c r="C168" s="501" t="n"/>
      <c r="D168" s="501" t="n"/>
      <c r="E168" s="501" t="n"/>
      <c r="F168" s="501" t="n"/>
      <c r="G168" s="501" t="n"/>
      <c r="H168" s="501" t="n"/>
      <c r="I168" s="501" t="n"/>
      <c r="J168" s="501" t="n"/>
      <c r="K168" s="501" t="n"/>
      <c r="L168" s="501" t="n"/>
      <c r="M168" s="501" t="n"/>
      <c r="N168" s="501" t="n"/>
      <c r="O168" s="501" t="n"/>
      <c r="P168" s="501" t="n"/>
      <c r="Q168" s="501" t="n"/>
      <c r="R168" s="501" t="n"/>
      <c r="S168" s="501" t="n"/>
      <c r="T168" s="501" t="n"/>
      <c r="U168" s="501" t="n"/>
      <c r="V168" s="501" t="n"/>
    </row>
    <row r="169" ht="27.76" customHeight="1" s="254">
      <c r="A169" s="578" t="inlineStr">
        <is>
          <t>Level 2 units placed against the schedule</t>
        </is>
      </c>
      <c r="B169" s="543">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c r="C169" s="501" t="n"/>
      <c r="D169" s="501" t="n"/>
      <c r="E169" s="501" t="n"/>
      <c r="F169" s="501" t="n"/>
      <c r="G169" s="501" t="n"/>
      <c r="H169" s="501" t="n"/>
      <c r="I169" s="501" t="n"/>
      <c r="J169" s="501" t="n"/>
      <c r="K169" s="501" t="n"/>
      <c r="L169" s="501" t="n"/>
      <c r="M169" s="501" t="n"/>
      <c r="N169" s="501" t="n"/>
      <c r="O169" s="501" t="n"/>
      <c r="P169" s="501" t="n"/>
      <c r="Q169" s="501" t="n"/>
      <c r="R169" s="501" t="n"/>
      <c r="S169" s="501" t="n"/>
      <c r="T169" s="501" t="n"/>
      <c r="U169" s="501" t="n"/>
      <c r="V169" s="501" t="n"/>
    </row>
    <row r="170">
      <c r="A170" s="501" t="n"/>
      <c r="B170" s="501" t="n"/>
      <c r="C170" s="501" t="n"/>
      <c r="D170" s="501" t="n"/>
      <c r="E170" s="501" t="n"/>
      <c r="F170" s="501" t="n"/>
      <c r="G170" s="501" t="n"/>
      <c r="H170" s="501" t="n"/>
      <c r="I170" s="501" t="n"/>
      <c r="J170" s="501" t="n"/>
      <c r="K170" s="501" t="n"/>
      <c r="L170" s="501" t="n"/>
      <c r="M170" s="501" t="n"/>
      <c r="N170" s="501" t="n"/>
      <c r="O170" s="501" t="n"/>
      <c r="P170" s="501" t="n"/>
      <c r="Q170" s="501" t="n"/>
      <c r="R170" s="501" t="n"/>
      <c r="S170" s="501" t="n"/>
      <c r="T170" s="501" t="n"/>
      <c r="U170" s="501" t="n"/>
      <c r="V170" s="501" t="n"/>
    </row>
    <row r="171" ht="30.4" customHeight="1" s="254">
      <c r="A171" s="582" t="inlineStr">
        <is>
          <t>DC runs — power cabinet to dispenser</t>
        </is>
      </c>
      <c r="B171" s="501" t="n"/>
      <c r="C171" s="501" t="n"/>
      <c r="D171" s="501" t="n"/>
      <c r="E171" s="501" t="n"/>
      <c r="F171" s="501" t="n"/>
      <c r="G171" s="501" t="n"/>
      <c r="H171" s="501" t="n"/>
      <c r="I171" s="501" t="n"/>
      <c r="J171" s="501" t="n"/>
      <c r="K171" s="501" t="n"/>
      <c r="L171" s="501" t="n"/>
      <c r="M171" s="501" t="n"/>
      <c r="N171" s="501" t="n"/>
      <c r="O171" s="501" t="n"/>
      <c r="P171" s="501" t="n"/>
      <c r="Q171" s="501" t="n"/>
      <c r="R171" s="501" t="n"/>
      <c r="S171" s="501" t="n"/>
      <c r="T171" s="501" t="n"/>
      <c r="U171" s="501" t="n"/>
      <c r="V171" s="501" t="n"/>
    </row>
    <row r="172" ht="26.44" customHeight="1" s="254">
      <c r="A172" s="375"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c r="I172" s="501" t="n"/>
      <c r="J172" s="501" t="n"/>
      <c r="K172" s="501" t="n"/>
      <c r="L172" s="501" t="n"/>
      <c r="M172" s="501" t="n"/>
      <c r="N172" s="501" t="n"/>
      <c r="O172" s="501" t="n"/>
      <c r="P172" s="501" t="n"/>
      <c r="Q172" s="501" t="n"/>
      <c r="R172" s="501" t="n"/>
      <c r="S172" s="501" t="n"/>
      <c r="T172" s="501" t="n"/>
      <c r="U172" s="501" t="n"/>
      <c r="V172" s="501" t="n"/>
    </row>
    <row r="173" ht="39.64" customHeight="1" s="254">
      <c r="A173" s="294" t="inlineStr">
        <is>
          <t>Dispenser</t>
        </is>
      </c>
      <c r="B173" s="534" t="inlineStr">
        <is>
          <t>Fed from cabinet (line)</t>
        </is>
      </c>
      <c r="C173" s="534" t="inlineStr">
        <is>
          <t>Distance (ft)</t>
        </is>
      </c>
      <c r="D173" s="534" t="inlineStr">
        <is>
          <t>DC circuits</t>
        </is>
      </c>
      <c r="E173" s="540" t="inlineStr">
        <is>
          <t>Conductor size</t>
        </is>
      </c>
      <c r="F173" s="540" t="inlineStr">
        <is>
          <t>Ground size</t>
        </is>
      </c>
      <c r="G173" s="534" t="inlineStr">
        <is>
          <t>Conduit size</t>
        </is>
      </c>
      <c r="H173" s="540" t="inlineStr">
        <is>
          <t>Trench shared with the AC run?</t>
        </is>
      </c>
      <c r="I173" s="540" t="inlineStr">
        <is>
          <t>Power conductor (ft)</t>
        </is>
      </c>
      <c r="J173" s="540" t="inlineStr">
        <is>
          <t>Ground (ft)</t>
        </is>
      </c>
      <c r="K173" s="540" t="inlineStr">
        <is>
          <t>Conduit (ft)</t>
        </is>
      </c>
      <c r="L173" s="540" t="inlineStr">
        <is>
          <t>Comms conduit (ft)</t>
        </is>
      </c>
      <c r="M173" s="540" t="inlineStr">
        <is>
          <t>Trench (ft)</t>
        </is>
      </c>
      <c r="N173" s="540" t="inlineStr">
        <is>
          <t>Material cost</t>
        </is>
      </c>
      <c r="O173" s="501" t="n"/>
      <c r="P173" s="501" t="n"/>
      <c r="Q173" s="501" t="n"/>
      <c r="R173" s="501" t="n"/>
      <c r="S173" s="501" t="n"/>
      <c r="T173" s="501" t="n"/>
      <c r="U173" s="501" t="n"/>
      <c r="V173" s="501" t="n"/>
    </row>
    <row r="174" ht="14.25" customHeight="1" s="254">
      <c r="A174" s="583" t="inlineStr">
        <is>
          <t>Dispenser 1</t>
        </is>
      </c>
      <c r="B174" s="554" t="n"/>
      <c r="C174" s="554" t="n"/>
      <c r="D174" s="554" t="n"/>
      <c r="E174" s="554" t="n"/>
      <c r="F174" s="554" t="n"/>
      <c r="G174" s="554" t="n"/>
      <c r="H174" s="554" t="n"/>
      <c r="I174" s="356">
        <f>N(C174)*MAX(1,N(D174))*2</f>
        <v/>
      </c>
      <c r="J174" s="356">
        <f>N(C174)*MAX(1,N(D174))</f>
        <v/>
      </c>
      <c r="K174" s="356">
        <f>N(C174)*MAX(1,N(D174))</f>
        <v/>
      </c>
      <c r="L174" s="356">
        <f>N(C174)</f>
        <v/>
      </c>
      <c r="M174" s="356">
        <f>IF($H174="Yes",0,N(C174))</f>
        <v/>
      </c>
      <c r="N174" s="377">
        <f>IFERROR(N(I174)*INDEX(IF($B$5="Cu",WIRE_CU,WIRE_AL),MATCH($E174,WIRE_SIZE,0)),0)+IFERROR(N(J174)*INDEX(IF($B$5="Cu",WIRE_CU,WIRE_AL),MATCH($F174,WIRE_SIZE,0)),0)+IFERROR(N(K174)*INDEX(PVC_RATE,MATCH($G174,PVC_SIZE,0)),0)+N(L174)*0.2912</f>
        <v/>
      </c>
      <c r="O174" s="501" t="n"/>
      <c r="P174" s="501" t="n"/>
      <c r="Q174" s="501" t="n"/>
      <c r="R174" s="501" t="n"/>
      <c r="S174" s="501" t="n"/>
      <c r="T174" s="501" t="n"/>
      <c r="U174" s="501" t="n"/>
      <c r="V174" s="501" t="n"/>
    </row>
    <row r="175" ht="14.25" customHeight="1" s="254">
      <c r="A175" s="583" t="inlineStr">
        <is>
          <t>Dispenser 2</t>
        </is>
      </c>
      <c r="B175" s="554" t="n"/>
      <c r="C175" s="554" t="n"/>
      <c r="D175" s="554" t="n"/>
      <c r="E175" s="554" t="n"/>
      <c r="F175" s="554" t="n"/>
      <c r="G175" s="554" t="n"/>
      <c r="H175" s="554" t="n"/>
      <c r="I175" s="356">
        <f>N(C175)*MAX(1,N(D175))*2</f>
        <v/>
      </c>
      <c r="J175" s="356">
        <f>N(C175)*MAX(1,N(D175))</f>
        <v/>
      </c>
      <c r="K175" s="356">
        <f>N(C175)*MAX(1,N(D175))</f>
        <v/>
      </c>
      <c r="L175" s="356">
        <f>N(C175)</f>
        <v/>
      </c>
      <c r="M175" s="356">
        <f>IF($H175="Yes",0,N(C175))</f>
        <v/>
      </c>
      <c r="N175" s="377">
        <f>IFERROR(N(I175)*INDEX(IF($B$5="Cu",WIRE_CU,WIRE_AL),MATCH($E175,WIRE_SIZE,0)),0)+IFERROR(N(J175)*INDEX(IF($B$5="Cu",WIRE_CU,WIRE_AL),MATCH($F175,WIRE_SIZE,0)),0)+IFERROR(N(K175)*INDEX(PVC_RATE,MATCH($G175,PVC_SIZE,0)),0)+N(L175)*0.2912</f>
        <v/>
      </c>
      <c r="O175" s="501" t="n"/>
      <c r="P175" s="501" t="n"/>
      <c r="Q175" s="501" t="n"/>
      <c r="R175" s="501" t="n"/>
      <c r="S175" s="501" t="n"/>
      <c r="T175" s="501" t="n"/>
      <c r="U175" s="501" t="n"/>
      <c r="V175" s="501" t="n"/>
    </row>
    <row r="176" ht="14.25" customHeight="1" s="254">
      <c r="A176" s="583" t="inlineStr">
        <is>
          <t>Dispenser 3</t>
        </is>
      </c>
      <c r="B176" s="554" t="n"/>
      <c r="C176" s="554" t="n"/>
      <c r="D176" s="554" t="n"/>
      <c r="E176" s="554" t="n"/>
      <c r="F176" s="554" t="n"/>
      <c r="G176" s="554" t="n"/>
      <c r="H176" s="554" t="n"/>
      <c r="I176" s="356">
        <f>N(C176)*MAX(1,N(D176))*2</f>
        <v/>
      </c>
      <c r="J176" s="356">
        <f>N(C176)*MAX(1,N(D176))</f>
        <v/>
      </c>
      <c r="K176" s="356">
        <f>N(C176)*MAX(1,N(D176))</f>
        <v/>
      </c>
      <c r="L176" s="356">
        <f>N(C176)</f>
        <v/>
      </c>
      <c r="M176" s="356">
        <f>IF($H176="Yes",0,N(C176))</f>
        <v/>
      </c>
      <c r="N176" s="377">
        <f>IFERROR(N(I176)*INDEX(IF($B$5="Cu",WIRE_CU,WIRE_AL),MATCH($E176,WIRE_SIZE,0)),0)+IFERROR(N(J176)*INDEX(IF($B$5="Cu",WIRE_CU,WIRE_AL),MATCH($F176,WIRE_SIZE,0)),0)+IFERROR(N(K176)*INDEX(PVC_RATE,MATCH($G176,PVC_SIZE,0)),0)+N(L176)*0.2912</f>
        <v/>
      </c>
      <c r="O176" s="501" t="n"/>
      <c r="P176" s="501" t="n"/>
      <c r="Q176" s="501" t="n"/>
      <c r="R176" s="501" t="n"/>
      <c r="S176" s="501" t="n"/>
      <c r="T176" s="501" t="n"/>
      <c r="U176" s="501" t="n"/>
      <c r="V176" s="501" t="n"/>
    </row>
    <row r="177" ht="14.25" customHeight="1" s="254">
      <c r="A177" s="583" t="inlineStr">
        <is>
          <t>Dispenser 4</t>
        </is>
      </c>
      <c r="B177" s="554" t="n"/>
      <c r="C177" s="554" t="n"/>
      <c r="D177" s="554" t="n"/>
      <c r="E177" s="554" t="n"/>
      <c r="F177" s="554" t="n"/>
      <c r="G177" s="554" t="n"/>
      <c r="H177" s="554" t="n"/>
      <c r="I177" s="356">
        <f>N(C177)*MAX(1,N(D177))*2</f>
        <v/>
      </c>
      <c r="J177" s="356">
        <f>N(C177)*MAX(1,N(D177))</f>
        <v/>
      </c>
      <c r="K177" s="356">
        <f>N(C177)*MAX(1,N(D177))</f>
        <v/>
      </c>
      <c r="L177" s="356">
        <f>N(C177)</f>
        <v/>
      </c>
      <c r="M177" s="356">
        <f>IF($H177="Yes",0,N(C177))</f>
        <v/>
      </c>
      <c r="N177" s="377">
        <f>IFERROR(N(I177)*INDEX(IF($B$5="Cu",WIRE_CU,WIRE_AL),MATCH($E177,WIRE_SIZE,0)),0)+IFERROR(N(J177)*INDEX(IF($B$5="Cu",WIRE_CU,WIRE_AL),MATCH($F177,WIRE_SIZE,0)),0)+IFERROR(N(K177)*INDEX(PVC_RATE,MATCH($G177,PVC_SIZE,0)),0)+N(L177)*0.2912</f>
        <v/>
      </c>
      <c r="O177" s="501" t="n"/>
      <c r="P177" s="501" t="n"/>
      <c r="Q177" s="501" t="n"/>
      <c r="R177" s="501" t="n"/>
      <c r="S177" s="501" t="n"/>
      <c r="T177" s="501" t="n"/>
      <c r="U177" s="501" t="n"/>
      <c r="V177" s="501" t="n"/>
    </row>
    <row r="178" ht="14.25" customHeight="1" s="254">
      <c r="A178" s="583" t="inlineStr">
        <is>
          <t>Dispenser 5</t>
        </is>
      </c>
      <c r="B178" s="554" t="n"/>
      <c r="C178" s="554" t="n"/>
      <c r="D178" s="554" t="n"/>
      <c r="E178" s="554" t="n"/>
      <c r="F178" s="554" t="n"/>
      <c r="G178" s="554" t="n"/>
      <c r="H178" s="554" t="n"/>
      <c r="I178" s="356">
        <f>N(C178)*MAX(1,N(D178))*2</f>
        <v/>
      </c>
      <c r="J178" s="356">
        <f>N(C178)*MAX(1,N(D178))</f>
        <v/>
      </c>
      <c r="K178" s="356">
        <f>N(C178)*MAX(1,N(D178))</f>
        <v/>
      </c>
      <c r="L178" s="356">
        <f>N(C178)</f>
        <v/>
      </c>
      <c r="M178" s="356">
        <f>IF($H178="Yes",0,N(C178))</f>
        <v/>
      </c>
      <c r="N178" s="377">
        <f>IFERROR(N(I178)*INDEX(IF($B$5="Cu",WIRE_CU,WIRE_AL),MATCH($E178,WIRE_SIZE,0)),0)+IFERROR(N(J178)*INDEX(IF($B$5="Cu",WIRE_CU,WIRE_AL),MATCH($F178,WIRE_SIZE,0)),0)+IFERROR(N(K178)*INDEX(PVC_RATE,MATCH($G178,PVC_SIZE,0)),0)+N(L178)*0.2912</f>
        <v/>
      </c>
      <c r="O178" s="501" t="n"/>
      <c r="P178" s="501" t="n"/>
      <c r="Q178" s="501" t="n"/>
      <c r="R178" s="501" t="n"/>
      <c r="S178" s="501" t="n"/>
      <c r="T178" s="501" t="n"/>
      <c r="U178" s="501" t="n"/>
      <c r="V178" s="501" t="n"/>
    </row>
    <row r="179" ht="14.25" customHeight="1" s="254">
      <c r="A179" s="583" t="inlineStr">
        <is>
          <t>Dispenser 6</t>
        </is>
      </c>
      <c r="B179" s="554" t="n"/>
      <c r="C179" s="554" t="n"/>
      <c r="D179" s="554" t="n"/>
      <c r="E179" s="554" t="n"/>
      <c r="F179" s="554" t="n"/>
      <c r="G179" s="554" t="n"/>
      <c r="H179" s="554" t="n"/>
      <c r="I179" s="356">
        <f>N(C179)*MAX(1,N(D179))*2</f>
        <v/>
      </c>
      <c r="J179" s="356">
        <f>N(C179)*MAX(1,N(D179))</f>
        <v/>
      </c>
      <c r="K179" s="356">
        <f>N(C179)*MAX(1,N(D179))</f>
        <v/>
      </c>
      <c r="L179" s="356">
        <f>N(C179)</f>
        <v/>
      </c>
      <c r="M179" s="356">
        <f>IF($H179="Yes",0,N(C179))</f>
        <v/>
      </c>
      <c r="N179" s="377">
        <f>IFERROR(N(I179)*INDEX(IF($B$5="Cu",WIRE_CU,WIRE_AL),MATCH($E179,WIRE_SIZE,0)),0)+IFERROR(N(J179)*INDEX(IF($B$5="Cu",WIRE_CU,WIRE_AL),MATCH($F179,WIRE_SIZE,0)),0)+IFERROR(N(K179)*INDEX(PVC_RATE,MATCH($G179,PVC_SIZE,0)),0)+N(L179)*0.2912</f>
        <v/>
      </c>
      <c r="O179" s="501" t="n"/>
      <c r="P179" s="501" t="n"/>
      <c r="Q179" s="501" t="n"/>
      <c r="R179" s="501" t="n"/>
      <c r="S179" s="501" t="n"/>
      <c r="T179" s="501" t="n"/>
      <c r="U179" s="501" t="n"/>
      <c r="V179" s="501" t="n"/>
    </row>
    <row r="180" ht="14.25" customHeight="1" s="254">
      <c r="A180" s="583" t="inlineStr">
        <is>
          <t>Dispenser 7</t>
        </is>
      </c>
      <c r="B180" s="554" t="n"/>
      <c r="C180" s="554" t="n"/>
      <c r="D180" s="554" t="n"/>
      <c r="E180" s="554" t="n"/>
      <c r="F180" s="554" t="n"/>
      <c r="G180" s="554" t="n"/>
      <c r="H180" s="554" t="n"/>
      <c r="I180" s="356">
        <f>N(C180)*MAX(1,N(D180))*2</f>
        <v/>
      </c>
      <c r="J180" s="356">
        <f>N(C180)*MAX(1,N(D180))</f>
        <v/>
      </c>
      <c r="K180" s="356">
        <f>N(C180)*MAX(1,N(D180))</f>
        <v/>
      </c>
      <c r="L180" s="356">
        <f>N(C180)</f>
        <v/>
      </c>
      <c r="M180" s="356">
        <f>IF($H180="Yes",0,N(C180))</f>
        <v/>
      </c>
      <c r="N180" s="377">
        <f>IFERROR(N(I180)*INDEX(IF($B$5="Cu",WIRE_CU,WIRE_AL),MATCH($E180,WIRE_SIZE,0)),0)+IFERROR(N(J180)*INDEX(IF($B$5="Cu",WIRE_CU,WIRE_AL),MATCH($F180,WIRE_SIZE,0)),0)+IFERROR(N(K180)*INDEX(PVC_RATE,MATCH($G180,PVC_SIZE,0)),0)+N(L180)*0.2912</f>
        <v/>
      </c>
      <c r="O180" s="501" t="n"/>
      <c r="P180" s="501" t="n"/>
      <c r="Q180" s="501" t="n"/>
      <c r="R180" s="501" t="n"/>
      <c r="S180" s="501" t="n"/>
      <c r="T180" s="501" t="n"/>
      <c r="U180" s="501" t="n"/>
      <c r="V180" s="501" t="n"/>
    </row>
    <row r="181" ht="14.25" customHeight="1" s="254">
      <c r="A181" s="583" t="inlineStr">
        <is>
          <t>Dispenser 8</t>
        </is>
      </c>
      <c r="B181" s="554" t="n"/>
      <c r="C181" s="554" t="n"/>
      <c r="D181" s="554" t="n"/>
      <c r="E181" s="554" t="n"/>
      <c r="F181" s="554" t="n"/>
      <c r="G181" s="554" t="n"/>
      <c r="H181" s="554" t="n"/>
      <c r="I181" s="356">
        <f>N(C181)*MAX(1,N(D181))*2</f>
        <v/>
      </c>
      <c r="J181" s="356">
        <f>N(C181)*MAX(1,N(D181))</f>
        <v/>
      </c>
      <c r="K181" s="356">
        <f>N(C181)*MAX(1,N(D181))</f>
        <v/>
      </c>
      <c r="L181" s="356">
        <f>N(C181)</f>
        <v/>
      </c>
      <c r="M181" s="356">
        <f>IF($H181="Yes",0,N(C181))</f>
        <v/>
      </c>
      <c r="N181" s="377">
        <f>IFERROR(N(I181)*INDEX(IF($B$5="Cu",WIRE_CU,WIRE_AL),MATCH($E181,WIRE_SIZE,0)),0)+IFERROR(N(J181)*INDEX(IF($B$5="Cu",WIRE_CU,WIRE_AL),MATCH($F181,WIRE_SIZE,0)),0)+IFERROR(N(K181)*INDEX(PVC_RATE,MATCH($G181,PVC_SIZE,0)),0)+N(L181)*0.2912</f>
        <v/>
      </c>
      <c r="O181" s="501" t="n"/>
      <c r="P181" s="501" t="n"/>
      <c r="Q181" s="501" t="n"/>
      <c r="R181" s="501" t="n"/>
      <c r="S181" s="501" t="n"/>
      <c r="T181" s="501" t="n"/>
      <c r="U181" s="501" t="n"/>
      <c r="V181" s="501" t="n"/>
    </row>
    <row r="182" ht="14.25" customHeight="1" s="254">
      <c r="A182" s="583" t="inlineStr">
        <is>
          <t>Dispenser 9</t>
        </is>
      </c>
      <c r="B182" s="554" t="n"/>
      <c r="C182" s="554" t="n"/>
      <c r="D182" s="554" t="n"/>
      <c r="E182" s="554" t="n"/>
      <c r="F182" s="554" t="n"/>
      <c r="G182" s="554" t="n"/>
      <c r="H182" s="554" t="n"/>
      <c r="I182" s="356">
        <f>N(C182)*MAX(1,N(D182))*2</f>
        <v/>
      </c>
      <c r="J182" s="356">
        <f>N(C182)*MAX(1,N(D182))</f>
        <v/>
      </c>
      <c r="K182" s="356">
        <f>N(C182)*MAX(1,N(D182))</f>
        <v/>
      </c>
      <c r="L182" s="356">
        <f>N(C182)</f>
        <v/>
      </c>
      <c r="M182" s="356">
        <f>IF($H182="Yes",0,N(C182))</f>
        <v/>
      </c>
      <c r="N182" s="377">
        <f>IFERROR(N(I182)*INDEX(IF($B$5="Cu",WIRE_CU,WIRE_AL),MATCH($E182,WIRE_SIZE,0)),0)+IFERROR(N(J182)*INDEX(IF($B$5="Cu",WIRE_CU,WIRE_AL),MATCH($F182,WIRE_SIZE,0)),0)+IFERROR(N(K182)*INDEX(PVC_RATE,MATCH($G182,PVC_SIZE,0)),0)+N(L182)*0.2912</f>
        <v/>
      </c>
      <c r="O182" s="501" t="n"/>
      <c r="P182" s="501" t="n"/>
      <c r="Q182" s="501" t="n"/>
      <c r="R182" s="501" t="n"/>
      <c r="S182" s="501" t="n"/>
      <c r="T182" s="501" t="n"/>
      <c r="U182" s="501" t="n"/>
      <c r="V182" s="501" t="n"/>
    </row>
    <row r="183" ht="14.25" customHeight="1" s="254">
      <c r="A183" s="583" t="inlineStr">
        <is>
          <t>Dispenser 10</t>
        </is>
      </c>
      <c r="B183" s="554" t="n"/>
      <c r="C183" s="554" t="n"/>
      <c r="D183" s="554" t="n"/>
      <c r="E183" s="554" t="n"/>
      <c r="F183" s="554" t="n"/>
      <c r="G183" s="554" t="n"/>
      <c r="H183" s="554" t="n"/>
      <c r="I183" s="356">
        <f>N(C183)*MAX(1,N(D183))*2</f>
        <v/>
      </c>
      <c r="J183" s="356">
        <f>N(C183)*MAX(1,N(D183))</f>
        <v/>
      </c>
      <c r="K183" s="356">
        <f>N(C183)*MAX(1,N(D183))</f>
        <v/>
      </c>
      <c r="L183" s="356">
        <f>N(C183)</f>
        <v/>
      </c>
      <c r="M183" s="356">
        <f>IF($H183="Yes",0,N(C183))</f>
        <v/>
      </c>
      <c r="N183" s="377">
        <f>IFERROR(N(I183)*INDEX(IF($B$5="Cu",WIRE_CU,WIRE_AL),MATCH($E183,WIRE_SIZE,0)),0)+IFERROR(N(J183)*INDEX(IF($B$5="Cu",WIRE_CU,WIRE_AL),MATCH($F183,WIRE_SIZE,0)),0)+IFERROR(N(K183)*INDEX(PVC_RATE,MATCH($G183,PVC_SIZE,0)),0)+N(L183)*0.2912</f>
        <v/>
      </c>
      <c r="O183" s="501" t="n"/>
      <c r="P183" s="501" t="n"/>
      <c r="Q183" s="501" t="n"/>
      <c r="R183" s="501" t="n"/>
      <c r="S183" s="501" t="n"/>
      <c r="T183" s="501" t="n"/>
      <c r="U183" s="501" t="n"/>
      <c r="V183" s="501" t="n"/>
    </row>
    <row r="184" ht="14.25" customHeight="1" s="254">
      <c r="A184" s="583" t="inlineStr">
        <is>
          <t>Dispenser 11</t>
        </is>
      </c>
      <c r="B184" s="554" t="n"/>
      <c r="C184" s="554" t="n"/>
      <c r="D184" s="554" t="n"/>
      <c r="E184" s="554" t="n"/>
      <c r="F184" s="554" t="n"/>
      <c r="G184" s="554" t="n"/>
      <c r="H184" s="554" t="n"/>
      <c r="I184" s="356">
        <f>N(C184)*MAX(1,N(D184))*2</f>
        <v/>
      </c>
      <c r="J184" s="356">
        <f>N(C184)*MAX(1,N(D184))</f>
        <v/>
      </c>
      <c r="K184" s="356">
        <f>N(C184)*MAX(1,N(D184))</f>
        <v/>
      </c>
      <c r="L184" s="356">
        <f>N(C184)</f>
        <v/>
      </c>
      <c r="M184" s="356">
        <f>IF($H184="Yes",0,N(C184))</f>
        <v/>
      </c>
      <c r="N184" s="377">
        <f>IFERROR(N(I184)*INDEX(IF($B$5="Cu",WIRE_CU,WIRE_AL),MATCH($E184,WIRE_SIZE,0)),0)+IFERROR(N(J184)*INDEX(IF($B$5="Cu",WIRE_CU,WIRE_AL),MATCH($F184,WIRE_SIZE,0)),0)+IFERROR(N(K184)*INDEX(PVC_RATE,MATCH($G184,PVC_SIZE,0)),0)+N(L184)*0.2912</f>
        <v/>
      </c>
      <c r="O184" s="501" t="n"/>
      <c r="P184" s="501" t="n"/>
      <c r="Q184" s="501" t="n"/>
      <c r="R184" s="501" t="n"/>
      <c r="S184" s="501" t="n"/>
      <c r="T184" s="501" t="n"/>
      <c r="U184" s="501" t="n"/>
      <c r="V184" s="501" t="n"/>
    </row>
    <row r="185" ht="14.25" customHeight="1" s="254">
      <c r="A185" s="583" t="inlineStr">
        <is>
          <t>Dispenser 12</t>
        </is>
      </c>
      <c r="B185" s="554" t="n"/>
      <c r="C185" s="554" t="n"/>
      <c r="D185" s="554" t="n"/>
      <c r="E185" s="554" t="n"/>
      <c r="F185" s="554" t="n"/>
      <c r="G185" s="554" t="n"/>
      <c r="H185" s="554" t="n"/>
      <c r="I185" s="356">
        <f>N(C185)*MAX(1,N(D185))*2</f>
        <v/>
      </c>
      <c r="J185" s="356">
        <f>N(C185)*MAX(1,N(D185))</f>
        <v/>
      </c>
      <c r="K185" s="356">
        <f>N(C185)*MAX(1,N(D185))</f>
        <v/>
      </c>
      <c r="L185" s="356">
        <f>N(C185)</f>
        <v/>
      </c>
      <c r="M185" s="356">
        <f>IF($H185="Yes",0,N(C185))</f>
        <v/>
      </c>
      <c r="N185" s="377">
        <f>IFERROR(N(I185)*INDEX(IF($B$5="Cu",WIRE_CU,WIRE_AL),MATCH($E185,WIRE_SIZE,0)),0)+IFERROR(N(J185)*INDEX(IF($B$5="Cu",WIRE_CU,WIRE_AL),MATCH($F185,WIRE_SIZE,0)),0)+IFERROR(N(K185)*INDEX(PVC_RATE,MATCH($G185,PVC_SIZE,0)),0)+N(L185)*0.2912</f>
        <v/>
      </c>
      <c r="O185" s="501" t="n"/>
      <c r="P185" s="501" t="n"/>
      <c r="Q185" s="501" t="n"/>
      <c r="R185" s="501" t="n"/>
      <c r="S185" s="501" t="n"/>
      <c r="T185" s="501" t="n"/>
      <c r="U185" s="501" t="n"/>
      <c r="V185" s="501" t="n"/>
    </row>
    <row r="186" ht="14.25" customHeight="1" s="254">
      <c r="A186" s="583" t="inlineStr">
        <is>
          <t>Dispenser 13</t>
        </is>
      </c>
      <c r="B186" s="554" t="n"/>
      <c r="C186" s="554" t="n"/>
      <c r="D186" s="554" t="n"/>
      <c r="E186" s="554" t="n"/>
      <c r="F186" s="554" t="n"/>
      <c r="G186" s="554" t="n"/>
      <c r="H186" s="554" t="n"/>
      <c r="I186" s="356">
        <f>N(C186)*MAX(1,N(D186))*2</f>
        <v/>
      </c>
      <c r="J186" s="356">
        <f>N(C186)*MAX(1,N(D186))</f>
        <v/>
      </c>
      <c r="K186" s="356">
        <f>N(C186)*MAX(1,N(D186))</f>
        <v/>
      </c>
      <c r="L186" s="356">
        <f>N(C186)</f>
        <v/>
      </c>
      <c r="M186" s="356">
        <f>IF($H186="Yes",0,N(C186))</f>
        <v/>
      </c>
      <c r="N186" s="377">
        <f>IFERROR(N(I186)*INDEX(IF($B$5="Cu",WIRE_CU,WIRE_AL),MATCH($E186,WIRE_SIZE,0)),0)+IFERROR(N(J186)*INDEX(IF($B$5="Cu",WIRE_CU,WIRE_AL),MATCH($F186,WIRE_SIZE,0)),0)+IFERROR(N(K186)*INDEX(PVC_RATE,MATCH($G186,PVC_SIZE,0)),0)+N(L186)*0.2912</f>
        <v/>
      </c>
      <c r="O186" s="501" t="n"/>
      <c r="P186" s="501" t="n"/>
      <c r="Q186" s="501" t="n"/>
      <c r="R186" s="501" t="n"/>
      <c r="S186" s="501" t="n"/>
      <c r="T186" s="501" t="n"/>
      <c r="U186" s="501" t="n"/>
      <c r="V186" s="501" t="n"/>
    </row>
    <row r="187" ht="14.25" customHeight="1" s="254">
      <c r="A187" s="583" t="inlineStr">
        <is>
          <t>Dispenser 14</t>
        </is>
      </c>
      <c r="B187" s="554" t="n"/>
      <c r="C187" s="554" t="n"/>
      <c r="D187" s="554" t="n"/>
      <c r="E187" s="554" t="n"/>
      <c r="F187" s="554" t="n"/>
      <c r="G187" s="554" t="n"/>
      <c r="H187" s="554" t="n"/>
      <c r="I187" s="356">
        <f>N(C187)*MAX(1,N(D187))*2</f>
        <v/>
      </c>
      <c r="J187" s="356">
        <f>N(C187)*MAX(1,N(D187))</f>
        <v/>
      </c>
      <c r="K187" s="356">
        <f>N(C187)*MAX(1,N(D187))</f>
        <v/>
      </c>
      <c r="L187" s="356">
        <f>N(C187)</f>
        <v/>
      </c>
      <c r="M187" s="356">
        <f>IF($H187="Yes",0,N(C187))</f>
        <v/>
      </c>
      <c r="N187" s="377">
        <f>IFERROR(N(I187)*INDEX(IF($B$5="Cu",WIRE_CU,WIRE_AL),MATCH($E187,WIRE_SIZE,0)),0)+IFERROR(N(J187)*INDEX(IF($B$5="Cu",WIRE_CU,WIRE_AL),MATCH($F187,WIRE_SIZE,0)),0)+IFERROR(N(K187)*INDEX(PVC_RATE,MATCH($G187,PVC_SIZE,0)),0)+N(L187)*0.2912</f>
        <v/>
      </c>
      <c r="O187" s="501" t="n"/>
      <c r="P187" s="501" t="n"/>
      <c r="Q187" s="501" t="n"/>
      <c r="R187" s="501" t="n"/>
      <c r="S187" s="501" t="n"/>
      <c r="T187" s="501" t="n"/>
      <c r="U187" s="501" t="n"/>
      <c r="V187" s="501" t="n"/>
    </row>
    <row r="188" ht="14.25" customHeight="1" s="254">
      <c r="A188" s="583" t="inlineStr">
        <is>
          <t>Dispenser 15</t>
        </is>
      </c>
      <c r="B188" s="554" t="n"/>
      <c r="C188" s="554" t="n"/>
      <c r="D188" s="554" t="n"/>
      <c r="E188" s="554" t="n"/>
      <c r="F188" s="554" t="n"/>
      <c r="G188" s="554" t="n"/>
      <c r="H188" s="554" t="n"/>
      <c r="I188" s="356">
        <f>N(C188)*MAX(1,N(D188))*2</f>
        <v/>
      </c>
      <c r="J188" s="356">
        <f>N(C188)*MAX(1,N(D188))</f>
        <v/>
      </c>
      <c r="K188" s="356">
        <f>N(C188)*MAX(1,N(D188))</f>
        <v/>
      </c>
      <c r="L188" s="356">
        <f>N(C188)</f>
        <v/>
      </c>
      <c r="M188" s="356">
        <f>IF($H188="Yes",0,N(C188))</f>
        <v/>
      </c>
      <c r="N188" s="377">
        <f>IFERROR(N(I188)*INDEX(IF($B$5="Cu",WIRE_CU,WIRE_AL),MATCH($E188,WIRE_SIZE,0)),0)+IFERROR(N(J188)*INDEX(IF($B$5="Cu",WIRE_CU,WIRE_AL),MATCH($F188,WIRE_SIZE,0)),0)+IFERROR(N(K188)*INDEX(PVC_RATE,MATCH($G188,PVC_SIZE,0)),0)+N(L188)*0.2912</f>
        <v/>
      </c>
      <c r="O188" s="501" t="n"/>
      <c r="P188" s="501" t="n"/>
      <c r="Q188" s="501" t="n"/>
      <c r="R188" s="501" t="n"/>
      <c r="S188" s="501" t="n"/>
      <c r="T188" s="501" t="n"/>
      <c r="U188" s="501" t="n"/>
      <c r="V188" s="501" t="n"/>
    </row>
    <row r="189" ht="14.25" customHeight="1" s="254">
      <c r="A189" s="583" t="inlineStr">
        <is>
          <t>Dispenser 16</t>
        </is>
      </c>
      <c r="B189" s="554" t="n"/>
      <c r="C189" s="554" t="n"/>
      <c r="D189" s="554" t="n"/>
      <c r="E189" s="554" t="n"/>
      <c r="F189" s="554" t="n"/>
      <c r="G189" s="554" t="n"/>
      <c r="H189" s="554" t="n"/>
      <c r="I189" s="356">
        <f>N(C189)*MAX(1,N(D189))*2</f>
        <v/>
      </c>
      <c r="J189" s="356">
        <f>N(C189)*MAX(1,N(D189))</f>
        <v/>
      </c>
      <c r="K189" s="356">
        <f>N(C189)*MAX(1,N(D189))</f>
        <v/>
      </c>
      <c r="L189" s="356">
        <f>N(C189)</f>
        <v/>
      </c>
      <c r="M189" s="356">
        <f>IF($H189="Yes",0,N(C189))</f>
        <v/>
      </c>
      <c r="N189" s="377">
        <f>IFERROR(N(I189)*INDEX(IF($B$5="Cu",WIRE_CU,WIRE_AL),MATCH($E189,WIRE_SIZE,0)),0)+IFERROR(N(J189)*INDEX(IF($B$5="Cu",WIRE_CU,WIRE_AL),MATCH($F189,WIRE_SIZE,0)),0)+IFERROR(N(K189)*INDEX(PVC_RATE,MATCH($G189,PVC_SIZE,0)),0)+N(L189)*0.2912</f>
        <v/>
      </c>
      <c r="O189" s="501" t="n"/>
      <c r="P189" s="501" t="n"/>
      <c r="Q189" s="501" t="n"/>
      <c r="R189" s="501" t="n"/>
      <c r="S189" s="501" t="n"/>
      <c r="T189" s="501" t="n"/>
      <c r="U189" s="501" t="n"/>
      <c r="V189" s="501" t="n"/>
    </row>
    <row r="190" ht="14.25" customHeight="1" s="254">
      <c r="A190" s="583" t="inlineStr">
        <is>
          <t>Dispenser 17</t>
        </is>
      </c>
      <c r="B190" s="554" t="n"/>
      <c r="C190" s="554" t="n"/>
      <c r="D190" s="554" t="n"/>
      <c r="E190" s="554" t="n"/>
      <c r="F190" s="554" t="n"/>
      <c r="G190" s="554" t="n"/>
      <c r="H190" s="554" t="n"/>
      <c r="I190" s="356">
        <f>N(C190)*MAX(1,N(D190))*2</f>
        <v/>
      </c>
      <c r="J190" s="356">
        <f>N(C190)*MAX(1,N(D190))</f>
        <v/>
      </c>
      <c r="K190" s="356">
        <f>N(C190)*MAX(1,N(D190))</f>
        <v/>
      </c>
      <c r="L190" s="356">
        <f>N(C190)</f>
        <v/>
      </c>
      <c r="M190" s="356">
        <f>IF($H190="Yes",0,N(C190))</f>
        <v/>
      </c>
      <c r="N190" s="377">
        <f>IFERROR(N(I190)*INDEX(IF($B$5="Cu",WIRE_CU,WIRE_AL),MATCH($E190,WIRE_SIZE,0)),0)+IFERROR(N(J190)*INDEX(IF($B$5="Cu",WIRE_CU,WIRE_AL),MATCH($F190,WIRE_SIZE,0)),0)+IFERROR(N(K190)*INDEX(PVC_RATE,MATCH($G190,PVC_SIZE,0)),0)+N(L190)*0.2912</f>
        <v/>
      </c>
      <c r="O190" s="501" t="n"/>
      <c r="P190" s="501" t="n"/>
      <c r="Q190" s="501" t="n"/>
      <c r="R190" s="501" t="n"/>
      <c r="S190" s="501" t="n"/>
      <c r="T190" s="501" t="n"/>
      <c r="U190" s="501" t="n"/>
      <c r="V190" s="501" t="n"/>
    </row>
    <row r="191" ht="14.25" customHeight="1" s="254">
      <c r="A191" s="583" t="inlineStr">
        <is>
          <t>Dispenser 18</t>
        </is>
      </c>
      <c r="B191" s="554" t="n"/>
      <c r="C191" s="554" t="n"/>
      <c r="D191" s="554" t="n"/>
      <c r="E191" s="554" t="n"/>
      <c r="F191" s="554" t="n"/>
      <c r="G191" s="554" t="n"/>
      <c r="H191" s="554" t="n"/>
      <c r="I191" s="356">
        <f>N(C191)*MAX(1,N(D191))*2</f>
        <v/>
      </c>
      <c r="J191" s="356">
        <f>N(C191)*MAX(1,N(D191))</f>
        <v/>
      </c>
      <c r="K191" s="356">
        <f>N(C191)*MAX(1,N(D191))</f>
        <v/>
      </c>
      <c r="L191" s="356">
        <f>N(C191)</f>
        <v/>
      </c>
      <c r="M191" s="356">
        <f>IF($H191="Yes",0,N(C191))</f>
        <v/>
      </c>
      <c r="N191" s="377">
        <f>IFERROR(N(I191)*INDEX(IF($B$5="Cu",WIRE_CU,WIRE_AL),MATCH($E191,WIRE_SIZE,0)),0)+IFERROR(N(J191)*INDEX(IF($B$5="Cu",WIRE_CU,WIRE_AL),MATCH($F191,WIRE_SIZE,0)),0)+IFERROR(N(K191)*INDEX(PVC_RATE,MATCH($G191,PVC_SIZE,0)),0)+N(L191)*0.2912</f>
        <v/>
      </c>
      <c r="O191" s="501" t="n"/>
      <c r="P191" s="501" t="n"/>
      <c r="Q191" s="501" t="n"/>
      <c r="R191" s="501" t="n"/>
      <c r="S191" s="501" t="n"/>
      <c r="T191" s="501" t="n"/>
      <c r="U191" s="501" t="n"/>
      <c r="V191" s="501" t="n"/>
    </row>
    <row r="192" ht="14.25" customHeight="1" s="254">
      <c r="A192" s="583" t="inlineStr">
        <is>
          <t>Dispenser 19</t>
        </is>
      </c>
      <c r="B192" s="554" t="n"/>
      <c r="C192" s="554" t="n"/>
      <c r="D192" s="554" t="n"/>
      <c r="E192" s="554" t="n"/>
      <c r="F192" s="554" t="n"/>
      <c r="G192" s="554" t="n"/>
      <c r="H192" s="554" t="n"/>
      <c r="I192" s="356">
        <f>N(C192)*MAX(1,N(D192))*2</f>
        <v/>
      </c>
      <c r="J192" s="356">
        <f>N(C192)*MAX(1,N(D192))</f>
        <v/>
      </c>
      <c r="K192" s="356">
        <f>N(C192)*MAX(1,N(D192))</f>
        <v/>
      </c>
      <c r="L192" s="356">
        <f>N(C192)</f>
        <v/>
      </c>
      <c r="M192" s="356">
        <f>IF($H192="Yes",0,N(C192))</f>
        <v/>
      </c>
      <c r="N192" s="377">
        <f>IFERROR(N(I192)*INDEX(IF($B$5="Cu",WIRE_CU,WIRE_AL),MATCH($E192,WIRE_SIZE,0)),0)+IFERROR(N(J192)*INDEX(IF($B$5="Cu",WIRE_CU,WIRE_AL),MATCH($F192,WIRE_SIZE,0)),0)+IFERROR(N(K192)*INDEX(PVC_RATE,MATCH($G192,PVC_SIZE,0)),0)+N(L192)*0.2912</f>
        <v/>
      </c>
      <c r="O192" s="501" t="n"/>
      <c r="P192" s="501" t="n"/>
      <c r="Q192" s="501" t="n"/>
      <c r="R192" s="501" t="n"/>
      <c r="S192" s="501" t="n"/>
      <c r="T192" s="501" t="n"/>
      <c r="U192" s="501" t="n"/>
      <c r="V192" s="501" t="n"/>
    </row>
    <row r="193" ht="14.25" customHeight="1" s="254">
      <c r="A193" s="583" t="inlineStr">
        <is>
          <t>Dispenser 20</t>
        </is>
      </c>
      <c r="B193" s="554" t="n"/>
      <c r="C193" s="554" t="n"/>
      <c r="D193" s="554" t="n"/>
      <c r="E193" s="554" t="n"/>
      <c r="F193" s="554" t="n"/>
      <c r="G193" s="554" t="n"/>
      <c r="H193" s="554" t="n"/>
      <c r="I193" s="356">
        <f>N(C193)*MAX(1,N(D193))*2</f>
        <v/>
      </c>
      <c r="J193" s="356">
        <f>N(C193)*MAX(1,N(D193))</f>
        <v/>
      </c>
      <c r="K193" s="356">
        <f>N(C193)*MAX(1,N(D193))</f>
        <v/>
      </c>
      <c r="L193" s="356">
        <f>N(C193)</f>
        <v/>
      </c>
      <c r="M193" s="356">
        <f>IF($H193="Yes",0,N(C193))</f>
        <v/>
      </c>
      <c r="N193" s="377">
        <f>IFERROR(N(I193)*INDEX(IF($B$5="Cu",WIRE_CU,WIRE_AL),MATCH($E193,WIRE_SIZE,0)),0)+IFERROR(N(J193)*INDEX(IF($B$5="Cu",WIRE_CU,WIRE_AL),MATCH($F193,WIRE_SIZE,0)),0)+IFERROR(N(K193)*INDEX(PVC_RATE,MATCH($G193,PVC_SIZE,0)),0)+N(L193)*0.2912</f>
        <v/>
      </c>
      <c r="O193" s="501" t="n"/>
      <c r="P193" s="501" t="n"/>
      <c r="Q193" s="501" t="n"/>
      <c r="R193" s="501" t="n"/>
      <c r="S193" s="501" t="n"/>
      <c r="T193" s="501" t="n"/>
      <c r="U193" s="501" t="n"/>
      <c r="V193" s="501" t="n"/>
    </row>
    <row r="194" ht="14.25" customHeight="1" s="254">
      <c r="A194" s="583" t="inlineStr">
        <is>
          <t>Dispenser 21</t>
        </is>
      </c>
      <c r="B194" s="554" t="n"/>
      <c r="C194" s="554" t="n"/>
      <c r="D194" s="554" t="n"/>
      <c r="E194" s="554" t="n"/>
      <c r="F194" s="554" t="n"/>
      <c r="G194" s="554" t="n"/>
      <c r="H194" s="554" t="n"/>
      <c r="I194" s="356">
        <f>N(C194)*MAX(1,N(D194))*2</f>
        <v/>
      </c>
      <c r="J194" s="356">
        <f>N(C194)*MAX(1,N(D194))</f>
        <v/>
      </c>
      <c r="K194" s="356">
        <f>N(C194)*MAX(1,N(D194))</f>
        <v/>
      </c>
      <c r="L194" s="356">
        <f>N(C194)</f>
        <v/>
      </c>
      <c r="M194" s="356">
        <f>IF($H194="Yes",0,N(C194))</f>
        <v/>
      </c>
      <c r="N194" s="377">
        <f>IFERROR(N(I194)*INDEX(IF($B$5="Cu",WIRE_CU,WIRE_AL),MATCH($E194,WIRE_SIZE,0)),0)+IFERROR(N(J194)*INDEX(IF($B$5="Cu",WIRE_CU,WIRE_AL),MATCH($F194,WIRE_SIZE,0)),0)+IFERROR(N(K194)*INDEX(PVC_RATE,MATCH($G194,PVC_SIZE,0)),0)+N(L194)*0.2912</f>
        <v/>
      </c>
      <c r="O194" s="501" t="n"/>
      <c r="P194" s="501" t="n"/>
      <c r="Q194" s="501" t="n"/>
      <c r="R194" s="501" t="n"/>
      <c r="S194" s="501" t="n"/>
      <c r="T194" s="501" t="n"/>
      <c r="U194" s="501" t="n"/>
      <c r="V194" s="501" t="n"/>
    </row>
    <row r="195" ht="14.25" customHeight="1" s="254">
      <c r="A195" s="583" t="inlineStr">
        <is>
          <t>Dispenser 22</t>
        </is>
      </c>
      <c r="B195" s="554" t="n"/>
      <c r="C195" s="554" t="n"/>
      <c r="D195" s="554" t="n"/>
      <c r="E195" s="554" t="n"/>
      <c r="F195" s="554" t="n"/>
      <c r="G195" s="554" t="n"/>
      <c r="H195" s="554" t="n"/>
      <c r="I195" s="356">
        <f>N(C195)*MAX(1,N(D195))*2</f>
        <v/>
      </c>
      <c r="J195" s="356">
        <f>N(C195)*MAX(1,N(D195))</f>
        <v/>
      </c>
      <c r="K195" s="356">
        <f>N(C195)*MAX(1,N(D195))</f>
        <v/>
      </c>
      <c r="L195" s="356">
        <f>N(C195)</f>
        <v/>
      </c>
      <c r="M195" s="356">
        <f>IF($H195="Yes",0,N(C195))</f>
        <v/>
      </c>
      <c r="N195" s="377">
        <f>IFERROR(N(I195)*INDEX(IF($B$5="Cu",WIRE_CU,WIRE_AL),MATCH($E195,WIRE_SIZE,0)),0)+IFERROR(N(J195)*INDEX(IF($B$5="Cu",WIRE_CU,WIRE_AL),MATCH($F195,WIRE_SIZE,0)),0)+IFERROR(N(K195)*INDEX(PVC_RATE,MATCH($G195,PVC_SIZE,0)),0)+N(L195)*0.2912</f>
        <v/>
      </c>
      <c r="O195" s="501" t="n"/>
      <c r="P195" s="501" t="n"/>
      <c r="Q195" s="501" t="n"/>
      <c r="R195" s="501" t="n"/>
      <c r="S195" s="501" t="n"/>
      <c r="T195" s="501" t="n"/>
      <c r="U195" s="501" t="n"/>
      <c r="V195" s="501" t="n"/>
    </row>
    <row r="196" ht="14.25" customHeight="1" s="254">
      <c r="A196" s="583" t="inlineStr">
        <is>
          <t>Dispenser 23</t>
        </is>
      </c>
      <c r="B196" s="554" t="n"/>
      <c r="C196" s="554" t="n"/>
      <c r="D196" s="554" t="n"/>
      <c r="E196" s="554" t="n"/>
      <c r="F196" s="554" t="n"/>
      <c r="G196" s="554" t="n"/>
      <c r="H196" s="554" t="n"/>
      <c r="I196" s="356">
        <f>N(C196)*MAX(1,N(D196))*2</f>
        <v/>
      </c>
      <c r="J196" s="356">
        <f>N(C196)*MAX(1,N(D196))</f>
        <v/>
      </c>
      <c r="K196" s="356">
        <f>N(C196)*MAX(1,N(D196))</f>
        <v/>
      </c>
      <c r="L196" s="356">
        <f>N(C196)</f>
        <v/>
      </c>
      <c r="M196" s="356">
        <f>IF($H196="Yes",0,N(C196))</f>
        <v/>
      </c>
      <c r="N196" s="377">
        <f>IFERROR(N(I196)*INDEX(IF($B$5="Cu",WIRE_CU,WIRE_AL),MATCH($E196,WIRE_SIZE,0)),0)+IFERROR(N(J196)*INDEX(IF($B$5="Cu",WIRE_CU,WIRE_AL),MATCH($F196,WIRE_SIZE,0)),0)+IFERROR(N(K196)*INDEX(PVC_RATE,MATCH($G196,PVC_SIZE,0)),0)+N(L196)*0.2912</f>
        <v/>
      </c>
      <c r="O196" s="501" t="n"/>
      <c r="P196" s="501" t="n"/>
      <c r="Q196" s="501" t="n"/>
      <c r="R196" s="501" t="n"/>
      <c r="S196" s="501" t="n"/>
      <c r="T196" s="501" t="n"/>
      <c r="U196" s="501" t="n"/>
      <c r="V196" s="501" t="n"/>
    </row>
    <row r="197" ht="14.25" customHeight="1" s="254">
      <c r="A197" s="583" t="inlineStr">
        <is>
          <t>Dispenser 24</t>
        </is>
      </c>
      <c r="B197" s="554" t="n"/>
      <c r="C197" s="554" t="n"/>
      <c r="D197" s="554" t="n"/>
      <c r="E197" s="554" t="n"/>
      <c r="F197" s="554" t="n"/>
      <c r="G197" s="554" t="n"/>
      <c r="H197" s="554" t="n"/>
      <c r="I197" s="356">
        <f>N(C197)*MAX(1,N(D197))*2</f>
        <v/>
      </c>
      <c r="J197" s="356">
        <f>N(C197)*MAX(1,N(D197))</f>
        <v/>
      </c>
      <c r="K197" s="356">
        <f>N(C197)*MAX(1,N(D197))</f>
        <v/>
      </c>
      <c r="L197" s="356">
        <f>N(C197)</f>
        <v/>
      </c>
      <c r="M197" s="356">
        <f>IF($H197="Yes",0,N(C197))</f>
        <v/>
      </c>
      <c r="N197" s="377">
        <f>IFERROR(N(I197)*INDEX(IF($B$5="Cu",WIRE_CU,WIRE_AL),MATCH($E197,WIRE_SIZE,0)),0)+IFERROR(N(J197)*INDEX(IF($B$5="Cu",WIRE_CU,WIRE_AL),MATCH($F197,WIRE_SIZE,0)),0)+IFERROR(N(K197)*INDEX(PVC_RATE,MATCH($G197,PVC_SIZE,0)),0)+N(L197)*0.2912</f>
        <v/>
      </c>
      <c r="O197" s="501" t="n"/>
      <c r="P197" s="501" t="n"/>
      <c r="Q197" s="501" t="n"/>
      <c r="R197" s="501" t="n"/>
      <c r="S197" s="501" t="n"/>
      <c r="T197" s="501" t="n"/>
      <c r="U197" s="501" t="n"/>
      <c r="V197" s="501" t="n"/>
    </row>
    <row r="198" ht="14.25" customHeight="1" s="254">
      <c r="A198" s="583" t="inlineStr">
        <is>
          <t>Dispenser 25</t>
        </is>
      </c>
      <c r="B198" s="554" t="n"/>
      <c r="C198" s="554" t="n"/>
      <c r="D198" s="554" t="n"/>
      <c r="E198" s="554" t="n"/>
      <c r="F198" s="554" t="n"/>
      <c r="G198" s="554" t="n"/>
      <c r="H198" s="554" t="n"/>
      <c r="I198" s="356">
        <f>N(C198)*MAX(1,N(D198))*2</f>
        <v/>
      </c>
      <c r="J198" s="356">
        <f>N(C198)*MAX(1,N(D198))</f>
        <v/>
      </c>
      <c r="K198" s="356">
        <f>N(C198)*MAX(1,N(D198))</f>
        <v/>
      </c>
      <c r="L198" s="356">
        <f>N(C198)</f>
        <v/>
      </c>
      <c r="M198" s="356">
        <f>IF($H198="Yes",0,N(C198))</f>
        <v/>
      </c>
      <c r="N198" s="377">
        <f>IFERROR(N(I198)*INDEX(IF($B$5="Cu",WIRE_CU,WIRE_AL),MATCH($E198,WIRE_SIZE,0)),0)+IFERROR(N(J198)*INDEX(IF($B$5="Cu",WIRE_CU,WIRE_AL),MATCH($F198,WIRE_SIZE,0)),0)+IFERROR(N(K198)*INDEX(PVC_RATE,MATCH($G198,PVC_SIZE,0)),0)+N(L198)*0.2912</f>
        <v/>
      </c>
      <c r="O198" s="501" t="n"/>
      <c r="P198" s="501" t="n"/>
      <c r="Q198" s="501" t="n"/>
      <c r="R198" s="501" t="n"/>
      <c r="S198" s="501" t="n"/>
      <c r="T198" s="501" t="n"/>
      <c r="U198" s="501" t="n"/>
      <c r="V198" s="501" t="n"/>
    </row>
    <row r="199" ht="14.25" customHeight="1" s="254">
      <c r="A199" s="583" t="inlineStr">
        <is>
          <t>Dispenser 26</t>
        </is>
      </c>
      <c r="B199" s="554" t="n"/>
      <c r="C199" s="554" t="n"/>
      <c r="D199" s="554" t="n"/>
      <c r="E199" s="554" t="n"/>
      <c r="F199" s="554" t="n"/>
      <c r="G199" s="554" t="n"/>
      <c r="H199" s="554" t="n"/>
      <c r="I199" s="356">
        <f>N(C199)*MAX(1,N(D199))*2</f>
        <v/>
      </c>
      <c r="J199" s="356">
        <f>N(C199)*MAX(1,N(D199))</f>
        <v/>
      </c>
      <c r="K199" s="356">
        <f>N(C199)*MAX(1,N(D199))</f>
        <v/>
      </c>
      <c r="L199" s="356">
        <f>N(C199)</f>
        <v/>
      </c>
      <c r="M199" s="356">
        <f>IF($H199="Yes",0,N(C199))</f>
        <v/>
      </c>
      <c r="N199" s="377">
        <f>IFERROR(N(I199)*INDEX(IF($B$5="Cu",WIRE_CU,WIRE_AL),MATCH($E199,WIRE_SIZE,0)),0)+IFERROR(N(J199)*INDEX(IF($B$5="Cu",WIRE_CU,WIRE_AL),MATCH($F199,WIRE_SIZE,0)),0)+IFERROR(N(K199)*INDEX(PVC_RATE,MATCH($G199,PVC_SIZE,0)),0)+N(L199)*0.2912</f>
        <v/>
      </c>
      <c r="O199" s="501" t="n"/>
      <c r="P199" s="501" t="n"/>
      <c r="Q199" s="501" t="n"/>
      <c r="R199" s="501" t="n"/>
      <c r="S199" s="501" t="n"/>
      <c r="T199" s="501" t="n"/>
      <c r="U199" s="501" t="n"/>
      <c r="V199" s="501" t="n"/>
    </row>
    <row r="200" ht="14.25" customHeight="1" s="254">
      <c r="A200" s="583" t="inlineStr">
        <is>
          <t>Dispenser 27</t>
        </is>
      </c>
      <c r="B200" s="554" t="n"/>
      <c r="C200" s="554" t="n"/>
      <c r="D200" s="554" t="n"/>
      <c r="E200" s="554" t="n"/>
      <c r="F200" s="554" t="n"/>
      <c r="G200" s="554" t="n"/>
      <c r="H200" s="554" t="n"/>
      <c r="I200" s="356">
        <f>N(C200)*MAX(1,N(D200))*2</f>
        <v/>
      </c>
      <c r="J200" s="356">
        <f>N(C200)*MAX(1,N(D200))</f>
        <v/>
      </c>
      <c r="K200" s="356">
        <f>N(C200)*MAX(1,N(D200))</f>
        <v/>
      </c>
      <c r="L200" s="356">
        <f>N(C200)</f>
        <v/>
      </c>
      <c r="M200" s="356">
        <f>IF($H200="Yes",0,N(C200))</f>
        <v/>
      </c>
      <c r="N200" s="377">
        <f>IFERROR(N(I200)*INDEX(IF($B$5="Cu",WIRE_CU,WIRE_AL),MATCH($E200,WIRE_SIZE,0)),0)+IFERROR(N(J200)*INDEX(IF($B$5="Cu",WIRE_CU,WIRE_AL),MATCH($F200,WIRE_SIZE,0)),0)+IFERROR(N(K200)*INDEX(PVC_RATE,MATCH($G200,PVC_SIZE,0)),0)+N(L200)*0.2912</f>
        <v/>
      </c>
      <c r="O200" s="501" t="n"/>
      <c r="P200" s="501" t="n"/>
      <c r="Q200" s="501" t="n"/>
      <c r="R200" s="501" t="n"/>
      <c r="S200" s="501" t="n"/>
      <c r="T200" s="501" t="n"/>
      <c r="U200" s="501" t="n"/>
      <c r="V200" s="501" t="n"/>
    </row>
    <row r="201" ht="14.25" customHeight="1" s="254">
      <c r="A201" s="583" t="inlineStr">
        <is>
          <t>Dispenser 28</t>
        </is>
      </c>
      <c r="B201" s="554" t="n"/>
      <c r="C201" s="554" t="n"/>
      <c r="D201" s="554" t="n"/>
      <c r="E201" s="554" t="n"/>
      <c r="F201" s="554" t="n"/>
      <c r="G201" s="554" t="n"/>
      <c r="H201" s="554" t="n"/>
      <c r="I201" s="356">
        <f>N(C201)*MAX(1,N(D201))*2</f>
        <v/>
      </c>
      <c r="J201" s="356">
        <f>N(C201)*MAX(1,N(D201))</f>
        <v/>
      </c>
      <c r="K201" s="356">
        <f>N(C201)*MAX(1,N(D201))</f>
        <v/>
      </c>
      <c r="L201" s="356">
        <f>N(C201)</f>
        <v/>
      </c>
      <c r="M201" s="356">
        <f>IF($H201="Yes",0,N(C201))</f>
        <v/>
      </c>
      <c r="N201" s="377">
        <f>IFERROR(N(I201)*INDEX(IF($B$5="Cu",WIRE_CU,WIRE_AL),MATCH($E201,WIRE_SIZE,0)),0)+IFERROR(N(J201)*INDEX(IF($B$5="Cu",WIRE_CU,WIRE_AL),MATCH($F201,WIRE_SIZE,0)),0)+IFERROR(N(K201)*INDEX(PVC_RATE,MATCH($G201,PVC_SIZE,0)),0)+N(L201)*0.2912</f>
        <v/>
      </c>
      <c r="O201" s="501" t="n"/>
      <c r="P201" s="501" t="n"/>
      <c r="Q201" s="501" t="n"/>
      <c r="R201" s="501" t="n"/>
      <c r="S201" s="501" t="n"/>
      <c r="T201" s="501" t="n"/>
      <c r="U201" s="501" t="n"/>
      <c r="V201" s="501" t="n"/>
    </row>
    <row r="202" ht="14.25" customHeight="1" s="254">
      <c r="A202" s="583" t="inlineStr">
        <is>
          <t>Dispenser 29</t>
        </is>
      </c>
      <c r="B202" s="554" t="n"/>
      <c r="C202" s="554" t="n"/>
      <c r="D202" s="554" t="n"/>
      <c r="E202" s="554" t="n"/>
      <c r="F202" s="554" t="n"/>
      <c r="G202" s="554" t="n"/>
      <c r="H202" s="554" t="n"/>
      <c r="I202" s="356">
        <f>N(C202)*MAX(1,N(D202))*2</f>
        <v/>
      </c>
      <c r="J202" s="356">
        <f>N(C202)*MAX(1,N(D202))</f>
        <v/>
      </c>
      <c r="K202" s="356">
        <f>N(C202)*MAX(1,N(D202))</f>
        <v/>
      </c>
      <c r="L202" s="356">
        <f>N(C202)</f>
        <v/>
      </c>
      <c r="M202" s="356">
        <f>IF($H202="Yes",0,N(C202))</f>
        <v/>
      </c>
      <c r="N202" s="377">
        <f>IFERROR(N(I202)*INDEX(IF($B$5="Cu",WIRE_CU,WIRE_AL),MATCH($E202,WIRE_SIZE,0)),0)+IFERROR(N(J202)*INDEX(IF($B$5="Cu",WIRE_CU,WIRE_AL),MATCH($F202,WIRE_SIZE,0)),0)+IFERROR(N(K202)*INDEX(PVC_RATE,MATCH($G202,PVC_SIZE,0)),0)+N(L202)*0.2912</f>
        <v/>
      </c>
      <c r="O202" s="501" t="n"/>
      <c r="P202" s="501" t="n"/>
      <c r="Q202" s="501" t="n"/>
      <c r="R202" s="501" t="n"/>
      <c r="S202" s="501" t="n"/>
      <c r="T202" s="501" t="n"/>
      <c r="U202" s="501" t="n"/>
      <c r="V202" s="501" t="n"/>
    </row>
    <row r="203" ht="14.25" customHeight="1" s="254">
      <c r="A203" s="583" t="inlineStr">
        <is>
          <t>Dispenser 30</t>
        </is>
      </c>
      <c r="B203" s="554" t="n"/>
      <c r="C203" s="554" t="n"/>
      <c r="D203" s="554" t="n"/>
      <c r="E203" s="554" t="n"/>
      <c r="F203" s="554" t="n"/>
      <c r="G203" s="554" t="n"/>
      <c r="H203" s="554" t="n"/>
      <c r="I203" s="356">
        <f>N(C203)*MAX(1,N(D203))*2</f>
        <v/>
      </c>
      <c r="J203" s="356">
        <f>N(C203)*MAX(1,N(D203))</f>
        <v/>
      </c>
      <c r="K203" s="356">
        <f>N(C203)*MAX(1,N(D203))</f>
        <v/>
      </c>
      <c r="L203" s="356">
        <f>N(C203)</f>
        <v/>
      </c>
      <c r="M203" s="356">
        <f>IF($H203="Yes",0,N(C203))</f>
        <v/>
      </c>
      <c r="N203" s="377">
        <f>IFERROR(N(I203)*INDEX(IF($B$5="Cu",WIRE_CU,WIRE_AL),MATCH($E203,WIRE_SIZE,0)),0)+IFERROR(N(J203)*INDEX(IF($B$5="Cu",WIRE_CU,WIRE_AL),MATCH($F203,WIRE_SIZE,0)),0)+IFERROR(N(K203)*INDEX(PVC_RATE,MATCH($G203,PVC_SIZE,0)),0)+N(L203)*0.2912</f>
        <v/>
      </c>
      <c r="O203" s="501" t="n"/>
      <c r="P203" s="501" t="n"/>
      <c r="Q203" s="501" t="n"/>
      <c r="R203" s="501" t="n"/>
      <c r="S203" s="501" t="n"/>
      <c r="T203" s="501" t="n"/>
      <c r="U203" s="501" t="n"/>
      <c r="V203" s="501" t="n"/>
    </row>
    <row r="204" ht="14.25" customHeight="1" s="254">
      <c r="A204" s="583" t="inlineStr">
        <is>
          <t>Dispenser 31</t>
        </is>
      </c>
      <c r="B204" s="554" t="n"/>
      <c r="C204" s="554" t="n"/>
      <c r="D204" s="554" t="n"/>
      <c r="E204" s="554" t="n"/>
      <c r="F204" s="554" t="n"/>
      <c r="G204" s="554" t="n"/>
      <c r="H204" s="554" t="n"/>
      <c r="I204" s="356">
        <f>N(C204)*MAX(1,N(D204))*2</f>
        <v/>
      </c>
      <c r="J204" s="356">
        <f>N(C204)*MAX(1,N(D204))</f>
        <v/>
      </c>
      <c r="K204" s="356">
        <f>N(C204)*MAX(1,N(D204))</f>
        <v/>
      </c>
      <c r="L204" s="356">
        <f>N(C204)</f>
        <v/>
      </c>
      <c r="M204" s="356">
        <f>IF($H204="Yes",0,N(C204))</f>
        <v/>
      </c>
      <c r="N204" s="377">
        <f>IFERROR(N(I204)*INDEX(IF($B$5="Cu",WIRE_CU,WIRE_AL),MATCH($E204,WIRE_SIZE,0)),0)+IFERROR(N(J204)*INDEX(IF($B$5="Cu",WIRE_CU,WIRE_AL),MATCH($F204,WIRE_SIZE,0)),0)+IFERROR(N(K204)*INDEX(PVC_RATE,MATCH($G204,PVC_SIZE,0)),0)+N(L204)*0.2912</f>
        <v/>
      </c>
      <c r="O204" s="501" t="n"/>
      <c r="P204" s="501" t="n"/>
      <c r="Q204" s="501" t="n"/>
      <c r="R204" s="501" t="n"/>
      <c r="S204" s="501" t="n"/>
      <c r="T204" s="501" t="n"/>
      <c r="U204" s="501" t="n"/>
      <c r="V204" s="501" t="n"/>
    </row>
    <row r="205" ht="14.25" customHeight="1" s="254">
      <c r="A205" s="583" t="inlineStr">
        <is>
          <t>Dispenser 32</t>
        </is>
      </c>
      <c r="B205" s="554" t="n"/>
      <c r="C205" s="554" t="n"/>
      <c r="D205" s="554" t="n"/>
      <c r="E205" s="554" t="n"/>
      <c r="F205" s="554" t="n"/>
      <c r="G205" s="554" t="n"/>
      <c r="H205" s="554" t="n"/>
      <c r="I205" s="356">
        <f>N(C205)*MAX(1,N(D205))*2</f>
        <v/>
      </c>
      <c r="J205" s="356">
        <f>N(C205)*MAX(1,N(D205))</f>
        <v/>
      </c>
      <c r="K205" s="356">
        <f>N(C205)*MAX(1,N(D205))</f>
        <v/>
      </c>
      <c r="L205" s="356">
        <f>N(C205)</f>
        <v/>
      </c>
      <c r="M205" s="356">
        <f>IF($H205="Yes",0,N(C205))</f>
        <v/>
      </c>
      <c r="N205" s="377">
        <f>IFERROR(N(I205)*INDEX(IF($B$5="Cu",WIRE_CU,WIRE_AL),MATCH($E205,WIRE_SIZE,0)),0)+IFERROR(N(J205)*INDEX(IF($B$5="Cu",WIRE_CU,WIRE_AL),MATCH($F205,WIRE_SIZE,0)),0)+IFERROR(N(K205)*INDEX(PVC_RATE,MATCH($G205,PVC_SIZE,0)),0)+N(L205)*0.2912</f>
        <v/>
      </c>
      <c r="O205" s="501" t="n"/>
      <c r="P205" s="501" t="n"/>
      <c r="Q205" s="501" t="n"/>
      <c r="R205" s="501" t="n"/>
      <c r="S205" s="501" t="n"/>
      <c r="T205" s="501" t="n"/>
      <c r="U205" s="501" t="n"/>
      <c r="V205" s="501" t="n"/>
    </row>
    <row r="206" ht="14.25" customHeight="1" s="254">
      <c r="A206" s="358" t="inlineStr">
        <is>
          <t>TOTAL</t>
        </is>
      </c>
      <c r="B206" s="501" t="n"/>
      <c r="C206" s="358">
        <f>SUM(C174:C205)</f>
        <v/>
      </c>
      <c r="D206" s="501" t="n"/>
      <c r="E206" s="501" t="n"/>
      <c r="F206" s="501" t="n"/>
      <c r="G206" s="501" t="n"/>
      <c r="H206" s="501" t="n"/>
      <c r="I206" s="358">
        <f>SUM(I174:I205)</f>
        <v/>
      </c>
      <c r="J206" s="358">
        <f>SUM(J174:J205)</f>
        <v/>
      </c>
      <c r="K206" s="358">
        <f>SUM(K174:K205)</f>
        <v/>
      </c>
      <c r="L206" s="358">
        <f>SUM(L174:L205)</f>
        <v/>
      </c>
      <c r="M206" s="358">
        <f>SUM(M174:M205)</f>
        <v/>
      </c>
      <c r="N206" s="378">
        <f>SUM(N174:N205)</f>
        <v/>
      </c>
      <c r="O206" s="501" t="n"/>
      <c r="P206" s="501" t="n"/>
      <c r="Q206" s="501" t="n"/>
      <c r="R206" s="501" t="n"/>
      <c r="S206" s="501" t="n"/>
      <c r="T206" s="501" t="n"/>
      <c r="U206" s="501" t="n"/>
      <c r="V206" s="501" t="n"/>
    </row>
    <row r="207">
      <c r="A207" s="501" t="n"/>
      <c r="B207" s="501" t="n"/>
      <c r="C207" s="501" t="n"/>
      <c r="D207" s="501" t="n"/>
      <c r="E207" s="501" t="n"/>
      <c r="F207" s="501" t="n"/>
      <c r="G207" s="501" t="n"/>
      <c r="H207" s="501" t="n"/>
      <c r="I207" s="501" t="n"/>
      <c r="J207" s="501" t="n"/>
      <c r="K207" s="501" t="n"/>
      <c r="L207" s="501" t="n"/>
      <c r="M207" s="501" t="n"/>
      <c r="N207" s="501" t="n"/>
      <c r="O207" s="501" t="n"/>
      <c r="P207" s="501" t="n"/>
      <c r="Q207" s="501" t="n"/>
      <c r="R207" s="501" t="n"/>
      <c r="S207" s="501" t="n"/>
      <c r="T207" s="501" t="n"/>
      <c r="U207" s="501" t="n"/>
      <c r="V207" s="501" t="n"/>
    </row>
    <row r="208" ht="26.44" customHeight="1" s="254">
      <c r="A208" s="358" t="inlineStr">
        <is>
          <t>DC material cost</t>
        </is>
      </c>
      <c r="B208" s="573">
        <f>$N$206</f>
        <v/>
      </c>
      <c r="C208" s="505" t="inlineStr">
        <is>
          <t>Conductor, ground, conduit and comms for every cabinet-to-dispenser run. Bound to the table above, all 32 rows of it.</t>
        </is>
      </c>
      <c r="D208" s="501" t="n"/>
      <c r="E208" s="501" t="n"/>
      <c r="F208" s="501" t="n"/>
      <c r="G208" s="501" t="n"/>
      <c r="H208" s="501" t="n"/>
      <c r="I208" s="501" t="n"/>
      <c r="J208" s="501" t="n"/>
      <c r="K208" s="501" t="n"/>
      <c r="L208" s="501" t="n"/>
      <c r="M208" s="501" t="n"/>
      <c r="N208" s="501" t="n"/>
      <c r="O208" s="501" t="n"/>
      <c r="P208" s="501" t="n"/>
      <c r="Q208" s="501" t="n"/>
      <c r="R208" s="501" t="n"/>
      <c r="S208" s="501" t="n"/>
      <c r="T208" s="501" t="n"/>
      <c r="U208" s="501" t="n"/>
      <c r="V208" s="501" t="n"/>
    </row>
    <row r="209" ht="19.5" customHeight="1" s="254">
      <c r="A209" s="358" t="inlineStr">
        <is>
          <t>DC trench to cut (ft)</t>
        </is>
      </c>
      <c r="B209" s="543">
        <f>$M$206</f>
        <v/>
      </c>
      <c r="C209" s="505" t="inlineStr">
        <is>
          <t>Excludes runs sharing the AC trench.</t>
        </is>
      </c>
      <c r="D209" s="501" t="n"/>
      <c r="E209" s="501" t="n"/>
      <c r="F209" s="501" t="n"/>
      <c r="G209" s="501" t="n"/>
      <c r="H209" s="501" t="n"/>
      <c r="I209" s="501" t="n"/>
      <c r="J209" s="501" t="n"/>
      <c r="K209" s="501" t="n"/>
      <c r="L209" s="501" t="n"/>
      <c r="M209" s="501" t="n"/>
      <c r="N209" s="501" t="n"/>
      <c r="O209" s="501" t="n"/>
      <c r="P209" s="501" t="n"/>
      <c r="Q209" s="501" t="n"/>
      <c r="R209" s="501" t="n"/>
      <c r="S209" s="501" t="n"/>
      <c r="T209" s="501" t="n"/>
      <c r="U209" s="501" t="n"/>
      <c r="V209" s="501" t="n"/>
    </row>
    <row r="210" ht="19.5" customHeight="1" s="254">
      <c r="A210" s="358" t="inlineStr">
        <is>
          <t>DC trench restoration (sq ft)</t>
        </is>
      </c>
      <c r="B210" s="543">
        <f>$B$209*B8/12</f>
        <v/>
      </c>
      <c r="C210" s="505" t="inlineStr">
        <is>
          <t>Trench feet times the trench width implied by the depth entry above.</t>
        </is>
      </c>
      <c r="D210" s="501" t="n"/>
      <c r="E210" s="501" t="n"/>
      <c r="F210" s="501" t="n"/>
      <c r="G210" s="501" t="n"/>
      <c r="H210" s="501" t="n"/>
      <c r="I210" s="501" t="n"/>
      <c r="J210" s="501" t="n"/>
      <c r="K210" s="501" t="n"/>
      <c r="L210" s="501" t="n"/>
      <c r="M210" s="501" t="n"/>
      <c r="N210" s="501" t="n"/>
      <c r="O210" s="501" t="n"/>
      <c r="P210" s="501" t="n"/>
      <c r="Q210" s="501" t="n"/>
      <c r="R210" s="501" t="n"/>
      <c r="S210" s="501" t="n"/>
      <c r="T210" s="501" t="n"/>
      <c r="U210" s="501" t="n"/>
      <c r="V210" s="501" t="n"/>
    </row>
    <row r="211" ht="14.25" customHeight="1" s="254">
      <c r="A211" s="358" t="inlineStr">
        <is>
          <t>Total DC run distance (ft)</t>
        </is>
      </c>
      <c r="B211" s="543">
        <f>$C$206</f>
        <v/>
      </c>
      <c r="C211" s="501" t="n"/>
      <c r="D211" s="501" t="n"/>
      <c r="E211" s="501" t="n"/>
      <c r="F211" s="501" t="n"/>
      <c r="G211" s="501" t="n"/>
      <c r="H211" s="501" t="n"/>
      <c r="I211" s="501" t="n"/>
      <c r="J211" s="501" t="n"/>
      <c r="K211" s="501" t="n"/>
      <c r="L211" s="501" t="n"/>
      <c r="M211" s="501" t="n"/>
      <c r="N211" s="501" t="n"/>
      <c r="O211" s="501" t="n"/>
      <c r="P211" s="501" t="n"/>
      <c r="Q211" s="501" t="n"/>
      <c r="R211" s="501" t="n"/>
      <c r="S211" s="501" t="n"/>
      <c r="T211" s="501" t="n"/>
      <c r="U211" s="501" t="n"/>
      <c r="V211" s="501" t="n"/>
    </row>
    <row r="212" ht="14.25" customHeight="1" s="254">
      <c r="A212" s="358" t="inlineStr">
        <is>
          <t>Dispensers placed</t>
        </is>
      </c>
      <c r="B212" s="543">
        <f>COUNT(C174:C205)</f>
        <v/>
      </c>
      <c r="C212" s="501" t="n"/>
      <c r="D212" s="501" t="n"/>
      <c r="E212" s="501" t="n"/>
      <c r="F212" s="501" t="n"/>
      <c r="G212" s="501" t="n"/>
      <c r="H212" s="501" t="n"/>
      <c r="I212" s="501" t="n"/>
      <c r="J212" s="501" t="n"/>
      <c r="K212" s="501" t="n"/>
      <c r="L212" s="501" t="n"/>
      <c r="M212" s="501" t="n"/>
      <c r="N212" s="501" t="n"/>
      <c r="O212" s="501" t="n"/>
      <c r="P212" s="501" t="n"/>
      <c r="Q212" s="501" t="n"/>
      <c r="R212" s="501" t="n"/>
      <c r="S212" s="501" t="n"/>
      <c r="T212" s="501" t="n"/>
      <c r="U212" s="501" t="n"/>
      <c r="V212" s="501" t="n"/>
    </row>
    <row r="213" ht="14.25" customHeight="1" s="254">
      <c r="A213" s="358" t="inlineStr">
        <is>
          <t>Placement matches the schedule?</t>
        </is>
      </c>
      <c r="B213" s="543">
        <f>IF(Equipment!$B$38=0,"n/a — no dispensers on this project",IF(COUNT(C174:C205)&lt;&gt;Equipment!$B$38,"MISMATCH — "&amp;TEXT(Equipment!$B$38,"0")&amp;" dispensers on the Equipment tab against "&amp;TEXT(COUNT(C174:C205),"0")&amp;" placed here","OK — every dispenser has a run"))</f>
        <v/>
      </c>
      <c r="C213" s="501" t="n"/>
      <c r="D213" s="501" t="n"/>
      <c r="E213" s="501" t="n"/>
      <c r="F213" s="501" t="n"/>
      <c r="G213" s="501" t="n"/>
      <c r="H213" s="501" t="n"/>
      <c r="I213" s="501" t="n"/>
      <c r="J213" s="501" t="n"/>
      <c r="K213" s="501" t="n"/>
      <c r="L213" s="501" t="n"/>
      <c r="M213" s="501" t="n"/>
      <c r="N213" s="501" t="n"/>
      <c r="O213" s="501" t="n"/>
      <c r="P213" s="501" t="n"/>
      <c r="Q213" s="501" t="n"/>
      <c r="R213" s="501" t="n"/>
      <c r="S213" s="501" t="n"/>
      <c r="T213" s="501" t="n"/>
      <c r="U213" s="501" t="n"/>
      <c r="V213" s="501" t="n"/>
    </row>
    <row r="214" ht="19.5" customHeight="1" s="254">
      <c r="A214" s="358" t="inlineStr">
        <is>
          <t>Longest DC run (ft)</t>
        </is>
      </c>
      <c r="B214" s="543">
        <f>IF(COUNT(C174:C205)=0,0,MAX(C174:C205))</f>
        <v/>
      </c>
      <c r="C214" s="505" t="inlineStr">
        <is>
          <t>The binding constraint on voltage drop. It reads the whole table — it used to read the first twelve rows and reported 77 ft on a site whose longest run was 129 ft.</t>
        </is>
      </c>
      <c r="D214" s="501" t="n"/>
      <c r="E214" s="501" t="n"/>
      <c r="F214" s="501" t="n"/>
      <c r="G214" s="501" t="n"/>
      <c r="H214" s="501" t="n"/>
      <c r="I214" s="501" t="n"/>
      <c r="J214" s="501" t="n"/>
      <c r="K214" s="501" t="n"/>
      <c r="L214" s="501" t="n"/>
      <c r="M214" s="501" t="n"/>
      <c r="N214" s="501" t="n"/>
      <c r="O214" s="501" t="n"/>
      <c r="P214" s="501" t="n"/>
      <c r="Q214" s="501" t="n"/>
      <c r="R214" s="501" t="n"/>
      <c r="S214" s="501" t="n"/>
      <c r="T214" s="501" t="n"/>
      <c r="U214" s="501" t="n"/>
      <c r="V214" s="501" t="n"/>
    </row>
    <row r="215" ht="14.25" customHeight="1" s="254">
      <c r="A215" s="358" t="inlineStr">
        <is>
          <t>Every run sized and costed?</t>
        </is>
      </c>
      <c r="B215" s="543">
        <f>IF(COUNT($C$174:$C$205)=0,"n/a — no dispensers scheduled",IF(SUMPRODUCT(--($C$174:$C$205&gt;0),--($N$174:$N$205=0))&gt;0,"A RUN HAS A DISTANCE BUT NO MATERIAL COST — check its conductor, ground and conduit sizes","OK — every run with a distance carries a material cost"))</f>
        <v/>
      </c>
      <c r="C215" s="501" t="n"/>
      <c r="D215" s="501" t="n"/>
      <c r="E215" s="501" t="n"/>
      <c r="F215" s="501" t="n"/>
      <c r="G215" s="501" t="n"/>
      <c r="H215" s="501" t="n"/>
      <c r="I215" s="501" t="n"/>
      <c r="J215" s="501" t="n"/>
      <c r="K215" s="501" t="n"/>
      <c r="L215" s="501" t="n"/>
      <c r="M215" s="501" t="n"/>
      <c r="N215" s="501" t="n"/>
      <c r="O215" s="501" t="n"/>
      <c r="P215" s="501" t="n"/>
      <c r="Q215" s="501" t="n"/>
      <c r="R215" s="501" t="n"/>
      <c r="S215" s="501" t="n"/>
      <c r="T215" s="501" t="n"/>
      <c r="U215" s="501" t="n"/>
      <c r="V215" s="501" t="n"/>
    </row>
    <row r="216" ht="26.44" customHeight="1" s="254">
      <c r="A216" s="358" t="inlineStr">
        <is>
          <t>Every run assigned to a cabinet?</t>
        </is>
      </c>
      <c r="B216" s="543">
        <f>IF(COUNT($C$174:$C$205)=0,"n/a — no dispensers scheduled",IF(SUMPRODUCT(--($C$174:$C$205&gt;0),--($B$174:$B$205=""))&gt;0,"A RUN HAS NO CABINET — every dispenser is fed from one cabinet and the DC circuit length depends on which","OK — every run names the cabinet that feeds it"))</f>
        <v/>
      </c>
      <c r="C216" s="505" t="inlineStr">
        <is>
          <t>New in 2.6.0. Twenty-four dispensers arrived with this column blank on every row.</t>
        </is>
      </c>
      <c r="D216" s="501" t="n"/>
      <c r="E216" s="501" t="n"/>
      <c r="F216" s="501" t="n"/>
      <c r="G216" s="501" t="n"/>
      <c r="H216" s="501" t="n"/>
      <c r="I216" s="501" t="n"/>
      <c r="J216" s="501" t="n"/>
      <c r="K216" s="501" t="n"/>
      <c r="L216" s="501" t="n"/>
      <c r="M216" s="501" t="n"/>
      <c r="N216" s="501" t="n"/>
      <c r="O216" s="501" t="n"/>
      <c r="P216" s="501" t="n"/>
      <c r="Q216" s="501" t="n"/>
      <c r="R216" s="501" t="n"/>
      <c r="S216" s="501" t="n"/>
      <c r="T216" s="501" t="n"/>
      <c r="U216" s="501" t="n"/>
      <c r="V216" s="501" t="n"/>
    </row>
  </sheetData>
  <sheetProtection selectLockedCells="0" selectUnlockedCells="0" sheet="1" objects="0" insertRows="1" insertHyperlinks="1" autoFilter="1" scenarios="0" formatColumns="0" deleteColumns="1" insertColumns="1" pivotTables="1" deleteRows="1" formatCells="0" formatRows="0" sort="1"/>
  <mergeCells count="42">
    <mergeCell ref="C143:K143"/>
    <mergeCell ref="C210:D210"/>
    <mergeCell ref="C25:K25"/>
    <mergeCell ref="C10:K10"/>
    <mergeCell ref="B81:C81"/>
    <mergeCell ref="C58:G58"/>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00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0"/>
  <cols>
    <col width="33" customWidth="1" style="253" min="1" max="1"/>
    <col width="34" customWidth="1" style="253" min="2" max="2"/>
    <col width="52" customWidth="1" style="253" min="3" max="3"/>
    <col width="16" customWidth="1" style="253" min="4" max="7"/>
    <col width="13" customWidth="1" style="254" min="5" max="5"/>
    <col width="13" customWidth="1" style="254" min="6" max="6"/>
    <col width="13" customWidth="1" style="254" min="7" max="7"/>
  </cols>
  <sheetData>
    <row r="1" ht="25.5" customHeight="1" s="254">
      <c r="A1" s="255" t="inlineStr">
        <is>
          <t>4 · CONSTRUCTION SCOPE</t>
        </is>
      </c>
      <c r="G1" s="501" t="n"/>
    </row>
    <row r="2" ht="43.5" customHeight="1" s="254">
      <c r="A2" s="265" t="inlineStr">
        <is>
          <t>Site works and labour. Defaults come from the standard build; override where the site differs.</t>
        </is>
      </c>
      <c r="B2" s="501" t="n"/>
      <c r="C2" s="501" t="n"/>
      <c r="D2" s="501" t="n"/>
      <c r="E2" s="501" t="n"/>
      <c r="F2" s="501" t="n"/>
      <c r="G2" s="501" t="n"/>
    </row>
    <row r="3">
      <c r="A3" s="501" t="n"/>
      <c r="B3" s="501" t="n"/>
      <c r="C3" s="501" t="n"/>
      <c r="D3" s="501" t="n"/>
      <c r="E3" s="501" t="n"/>
      <c r="F3" s="501" t="n"/>
      <c r="G3" s="501" t="n"/>
    </row>
    <row r="4" ht="15" customHeight="1" s="254">
      <c r="A4" s="262" t="inlineStr">
        <is>
          <t>Labour</t>
        </is>
      </c>
      <c r="B4" s="501" t="n"/>
      <c r="C4" s="501" t="n"/>
      <c r="D4" s="501" t="n"/>
      <c r="E4" s="501" t="n"/>
      <c r="F4" s="501" t="n"/>
      <c r="G4" s="501" t="n"/>
    </row>
    <row r="5" ht="15" customHeight="1" s="254">
      <c r="A5" s="263" t="inlineStr">
        <is>
          <t>Crew days on site</t>
        </is>
      </c>
      <c r="B5" s="585" t="n"/>
      <c r="C5" s="508" t="inlineStr">
        <is>
          <t>Must match the construction schedule you publish</t>
        </is>
      </c>
      <c r="D5" s="501" t="n"/>
      <c r="E5" s="501" t="n"/>
      <c r="F5" s="501" t="n"/>
      <c r="G5" s="501" t="n"/>
    </row>
    <row r="6" ht="15" customHeight="1" s="254">
      <c r="A6" s="263" t="inlineStr">
        <is>
          <t>Crew day rate</t>
        </is>
      </c>
      <c r="B6" s="586" t="n">
        <v>2750</v>
      </c>
      <c r="C6" s="508" t="inlineStr">
        <is>
          <t>Fully burdened</t>
        </is>
      </c>
      <c r="D6" s="501" t="n"/>
      <c r="E6" s="501" t="n"/>
      <c r="F6" s="501" t="n"/>
      <c r="G6" s="501" t="n"/>
    </row>
    <row r="7" ht="15" customHeight="1" s="254">
      <c r="A7" s="263" t="inlineStr">
        <is>
          <t>Contingency on labour</t>
        </is>
      </c>
      <c r="B7" s="587" t="n">
        <v>0.1</v>
      </c>
      <c r="C7" s="501" t="n"/>
      <c r="D7" s="501" t="n"/>
      <c r="E7" s="501" t="n"/>
      <c r="F7" s="501" t="n"/>
      <c r="G7" s="501" t="n"/>
    </row>
    <row r="8" ht="27.76" customHeight="1" s="254">
      <c r="A8" s="263" t="inlineStr">
        <is>
          <t>Markup on labour</t>
        </is>
      </c>
      <c r="B8" s="588" t="n">
        <v>0.2</v>
      </c>
      <c r="C8" s="589" t="inlineStr">
        <is>
          <t>House standing decision: 20%, applied after contingency. Change it per project on purpose, not by inheriting the last one.</t>
        </is>
      </c>
      <c r="D8" s="501" t="n"/>
      <c r="E8" s="501" t="n"/>
      <c r="F8" s="501" t="n"/>
      <c r="G8" s="501" t="n"/>
    </row>
    <row r="9" ht="15" customHeight="1" s="254">
      <c r="A9" s="263" t="inlineStr">
        <is>
          <t>Labour total</t>
        </is>
      </c>
      <c r="B9" s="331">
        <f>B5*B6*(1+B7)*(1+B8)</f>
        <v/>
      </c>
      <c r="C9" s="508" t="inlineStr">
        <is>
          <t>Days x rate x (1 + contingency) x (1 + markup)</t>
        </is>
      </c>
      <c r="D9" s="501" t="n"/>
      <c r="E9" s="501" t="n"/>
      <c r="F9" s="501" t="n"/>
      <c r="G9" s="501" t="n"/>
    </row>
    <row r="10" ht="15" customHeight="1" s="254">
      <c r="A10" s="263" t="inlineStr">
        <is>
          <t>Construction PM as % of labour</t>
        </is>
      </c>
      <c r="B10" s="587" t="n">
        <v>0.15</v>
      </c>
      <c r="C10" s="501" t="n"/>
      <c r="D10" s="501" t="n"/>
      <c r="E10" s="501" t="n"/>
      <c r="F10" s="501" t="n"/>
      <c r="G10" s="501" t="n"/>
    </row>
    <row r="11" ht="15" customHeight="1" s="254">
      <c r="A11" s="501" t="n"/>
      <c r="B11" s="501" t="n"/>
      <c r="C11" s="501" t="n"/>
      <c r="D11" s="501" t="n"/>
      <c r="E11" s="501" t="n"/>
      <c r="F11" s="501" t="n"/>
      <c r="G11" s="501" t="n"/>
    </row>
    <row r="12" ht="47.56" customHeight="1" s="254">
      <c r="A12" s="335" t="inlineStr">
        <is>
          <t>Site works — enter quantities, leave blank to use the standard build</t>
        </is>
      </c>
      <c r="B12" s="501" t="n"/>
      <c r="C12" s="501" t="n"/>
      <c r="D12" s="501" t="n"/>
      <c r="E12" s="501" t="n"/>
      <c r="F12" s="501" t="n"/>
      <c r="G12" s="501" t="n"/>
    </row>
    <row r="13" ht="19.5" customHeight="1" s="254">
      <c r="A13" s="273" t="inlineStr">
        <is>
          <t>Item</t>
        </is>
      </c>
      <c r="B13" s="515" t="inlineStr">
        <is>
          <t>Quantity</t>
        </is>
      </c>
      <c r="C13" s="515" t="inlineStr">
        <is>
          <t>Unit basis</t>
        </is>
      </c>
      <c r="D13" s="516" t="inlineStr">
        <is>
          <t>Unit cost</t>
        </is>
      </c>
      <c r="E13" s="516" t="inlineStr">
        <is>
          <t>Include?</t>
        </is>
      </c>
      <c r="F13" s="501" t="n"/>
      <c r="G13" s="501" t="n"/>
    </row>
    <row r="14" ht="15" customHeight="1" s="254">
      <c r="A14" s="383" t="inlineStr">
        <is>
          <t>Concrete (yd3)</t>
        </is>
      </c>
      <c r="B14" s="506" t="n"/>
      <c r="C14" s="508" t="inlineStr">
        <is>
          <t>Pads per cabinet</t>
        </is>
      </c>
      <c r="D14" s="590" t="n">
        <v>193.54</v>
      </c>
      <c r="E14" s="565" t="inlineStr">
        <is>
          <t>Y</t>
        </is>
      </c>
      <c r="F14" s="501" t="n"/>
      <c r="G14" s="501" t="n"/>
    </row>
    <row r="15" ht="15" customHeight="1" s="254">
      <c r="A15" s="383" t="inlineStr">
        <is>
          <t>Rebar (ea)</t>
        </is>
      </c>
      <c r="B15" s="506" t="n"/>
      <c r="C15" s="508" t="inlineStr">
        <is>
          <t>3 per cabinet</t>
        </is>
      </c>
      <c r="D15" s="590" t="n">
        <v>25.65</v>
      </c>
      <c r="E15" s="565" t="inlineStr">
        <is>
          <t>Y</t>
        </is>
      </c>
      <c r="F15" s="501" t="n"/>
      <c r="G15" s="501" t="n"/>
    </row>
    <row r="16" ht="15" customHeight="1" s="254">
      <c r="A16" s="383" t="inlineStr">
        <is>
          <t>Steel mesh roll (ea)</t>
        </is>
      </c>
      <c r="B16" s="506" t="n"/>
      <c r="C16" s="591" t="n"/>
      <c r="D16" s="590" t="n">
        <v>169</v>
      </c>
      <c r="E16" s="565" t="inlineStr">
        <is>
          <t>Y</t>
        </is>
      </c>
      <c r="F16" s="501" t="n"/>
      <c r="G16" s="501" t="n"/>
    </row>
    <row r="17" ht="15" customHeight="1" s="254">
      <c r="A17" s="383" t="inlineStr">
        <is>
          <t>Asphalt / paving (sq ft)</t>
        </is>
      </c>
      <c r="B17" s="506" t="n"/>
      <c r="C17" s="508" t="inlineStr">
        <is>
          <t>Trench restoration — $15/sq ft set by ZIE, 28 Aug 2026</t>
        </is>
      </c>
      <c r="D17" s="590" t="n">
        <v>15</v>
      </c>
      <c r="E17" s="565" t="inlineStr">
        <is>
          <t>Y</t>
        </is>
      </c>
      <c r="F17" s="501" t="n"/>
      <c r="G17" s="501" t="n"/>
    </row>
    <row r="18" ht="15" customHeight="1" s="254">
      <c r="A18" s="383" t="inlineStr">
        <is>
          <t>Striping (lot)</t>
        </is>
      </c>
      <c r="B18" s="506" t="n"/>
      <c r="C18" s="591" t="n"/>
      <c r="D18" s="590" t="n">
        <v>1500</v>
      </c>
      <c r="E18" s="565" t="inlineStr">
        <is>
          <t>Y</t>
        </is>
      </c>
      <c r="F18" s="501" t="n"/>
      <c r="G18" s="501" t="n"/>
    </row>
    <row r="19" ht="15" customHeight="1" s="254">
      <c r="A19" s="383" t="inlineStr">
        <is>
          <t>ADA stalls (ea)</t>
        </is>
      </c>
      <c r="B19" s="506" t="n"/>
      <c r="C19" s="508" t="inlineStr">
        <is>
          <t>2% of stalls, min 1</t>
        </is>
      </c>
      <c r="D19" s="590" t="n">
        <v>4900</v>
      </c>
      <c r="E19" s="565" t="inlineStr">
        <is>
          <t>Y</t>
        </is>
      </c>
      <c r="F19" s="501" t="n"/>
      <c r="G19" s="501" t="n"/>
    </row>
    <row r="20" ht="15" customHeight="1" s="254">
      <c r="A20" s="383" t="inlineStr">
        <is>
          <t>ADA ramp (ea)</t>
        </is>
      </c>
      <c r="B20" s="506" t="n"/>
      <c r="C20" s="591" t="n"/>
      <c r="D20" s="590" t="n">
        <v>5200</v>
      </c>
      <c r="E20" s="565" t="inlineStr">
        <is>
          <t>Y</t>
        </is>
      </c>
      <c r="F20" s="501" t="n"/>
      <c r="G20" s="501" t="n"/>
    </row>
    <row r="21" ht="15" customHeight="1" s="254">
      <c r="A21" s="383" t="inlineStr">
        <is>
          <t>Bollards (ea)</t>
        </is>
      </c>
      <c r="B21" s="506" t="n"/>
      <c r="C21" s="508" t="inlineStr">
        <is>
          <t>4 per DC cabinet / 2 + 6</t>
        </is>
      </c>
      <c r="D21" s="590" t="n">
        <v>110</v>
      </c>
      <c r="E21" s="565" t="inlineStr">
        <is>
          <t>Y</t>
        </is>
      </c>
      <c r="F21" s="501" t="n"/>
      <c r="G21" s="501" t="n"/>
    </row>
    <row r="22" ht="15" customHeight="1" s="254">
      <c r="A22" s="383" t="inlineStr">
        <is>
          <t>Signs (ea)</t>
        </is>
      </c>
      <c r="B22" s="506" t="n"/>
      <c r="C22" s="508" t="inlineStr">
        <is>
          <t>2 per DC cabinet</t>
        </is>
      </c>
      <c r="D22" s="590" t="n">
        <v>40</v>
      </c>
      <c r="E22" s="565" t="inlineStr">
        <is>
          <t>Y</t>
        </is>
      </c>
      <c r="F22" s="501" t="n"/>
      <c r="G22" s="501" t="n"/>
    </row>
    <row r="23" ht="15" customHeight="1" s="254">
      <c r="A23" s="383" t="inlineStr">
        <is>
          <t>Sign posts (ea)</t>
        </is>
      </c>
      <c r="B23" s="506" t="n"/>
      <c r="C23" s="591" t="n"/>
      <c r="D23" s="590" t="n">
        <v>56.1</v>
      </c>
      <c r="E23" s="565" t="inlineStr">
        <is>
          <t>Y</t>
        </is>
      </c>
      <c r="F23" s="501" t="n"/>
      <c r="G23" s="501" t="n"/>
    </row>
    <row r="24" ht="15" customHeight="1" s="254">
      <c r="A24" s="383" t="inlineStr">
        <is>
          <t>Switchgear sign (ea)</t>
        </is>
      </c>
      <c r="B24" s="506" t="n"/>
      <c r="C24" s="591" t="n"/>
      <c r="D24" s="590" t="n">
        <v>150</v>
      </c>
      <c r="E24" s="565" t="inlineStr">
        <is>
          <t>Y</t>
        </is>
      </c>
      <c r="F24" s="501" t="n"/>
      <c r="G24" s="501" t="n"/>
    </row>
    <row r="25" ht="15" customHeight="1" s="254">
      <c r="A25" s="383" t="inlineStr">
        <is>
          <t>GPR scan (ea)</t>
        </is>
      </c>
      <c r="B25" s="506" t="n"/>
      <c r="C25" s="508" t="inlineStr">
        <is>
          <t>Underground utility locate</t>
        </is>
      </c>
      <c r="D25" s="590" t="n">
        <v>2500</v>
      </c>
      <c r="E25" s="565" t="inlineStr">
        <is>
          <t>Y</t>
        </is>
      </c>
      <c r="F25" s="501" t="n"/>
      <c r="G25" s="501" t="n"/>
    </row>
    <row r="26" ht="15" customHeight="1" s="254">
      <c r="A26" s="383" t="inlineStr">
        <is>
          <t>GFI test (ea)</t>
        </is>
      </c>
      <c r="B26" s="506" t="n"/>
      <c r="C26" s="508" t="inlineStr">
        <is>
          <t>Required above 1000 sq ft gear area</t>
        </is>
      </c>
      <c r="D26" s="590" t="n">
        <v>3500</v>
      </c>
      <c r="E26" s="565" t="inlineStr">
        <is>
          <t>Y</t>
        </is>
      </c>
      <c r="F26" s="501" t="n"/>
      <c r="G26" s="501" t="n"/>
    </row>
    <row r="27" ht="15" customHeight="1" s="254">
      <c r="A27" s="383" t="inlineStr">
        <is>
          <t>Dump / disposal (lot)</t>
        </is>
      </c>
      <c r="B27" s="506" t="n"/>
      <c r="C27" s="508" t="inlineStr">
        <is>
          <t>Freight and disposal</t>
        </is>
      </c>
      <c r="D27" s="590" t="n">
        <v>5000</v>
      </c>
      <c r="E27" s="565" t="inlineStr">
        <is>
          <t>Y</t>
        </is>
      </c>
      <c r="F27" s="501" t="n"/>
      <c r="G27" s="501" t="n"/>
    </row>
    <row r="28" ht="15" customHeight="1" s="254">
      <c r="A28" s="592" t="n"/>
      <c r="B28" s="592" t="n"/>
      <c r="C28" s="560" t="n"/>
      <c r="D28" s="592" t="n"/>
      <c r="E28" s="592" t="n"/>
      <c r="F28" s="501" t="n"/>
      <c r="G28" s="501" t="n"/>
    </row>
    <row r="29" ht="15" customHeight="1" s="254">
      <c r="A29" s="592" t="n"/>
      <c r="B29" s="592" t="n"/>
      <c r="C29" s="560" t="n"/>
      <c r="D29" s="592" t="n"/>
      <c r="E29" s="592" t="n"/>
      <c r="F29" s="501" t="n"/>
      <c r="G29" s="501" t="n"/>
    </row>
    <row r="30" ht="15" customHeight="1" s="254">
      <c r="A30" s="501" t="n"/>
      <c r="B30" s="501" t="n"/>
      <c r="C30" s="501" t="n"/>
      <c r="D30" s="501" t="n"/>
      <c r="E30" s="501" t="n"/>
      <c r="F30" s="501" t="n"/>
      <c r="G30" s="501" t="n"/>
    </row>
    <row r="31" ht="15" customHeight="1" s="254">
      <c r="A31" s="262" t="inlineStr">
        <is>
          <t>Design and engineering</t>
        </is>
      </c>
      <c r="B31" s="501" t="n"/>
      <c r="C31" s="501" t="n"/>
      <c r="D31" s="501" t="n"/>
      <c r="E31" s="501" t="n"/>
      <c r="F31" s="501" t="n"/>
      <c r="G31" s="501" t="n"/>
    </row>
    <row r="32" ht="27.76" customHeight="1" s="254">
      <c r="A32" s="263" t="inlineStr">
        <is>
          <t>AutoCAD design — drawing sets</t>
        </is>
      </c>
      <c r="B32" s="593" t="n"/>
      <c r="C32" s="507" t="inlineStr">
        <is>
          <t>One issued drawing package: site plan, equipment layout, civil details.</t>
        </is>
      </c>
      <c r="D32" s="590" t="n">
        <v>3412.5</v>
      </c>
      <c r="E32" s="501" t="n"/>
      <c r="F32" s="501" t="n"/>
      <c r="G32" s="501" t="n"/>
    </row>
    <row r="33" ht="31.5" customHeight="1" s="254">
      <c r="A33" s="527" t="inlineStr">
        <is>
          <t>Electrical engineering — drawing sets</t>
        </is>
      </c>
      <c r="B33" s="593" t="n"/>
      <c r="C33" s="507" t="inlineStr">
        <is>
          <t>One stamped electrical package: single-line, panel schedule, load calculation.</t>
        </is>
      </c>
      <c r="D33" s="590" t="n">
        <v>2080</v>
      </c>
      <c r="E33" s="501" t="n"/>
      <c r="F33" s="501" t="n"/>
      <c r="G33" s="501" t="n"/>
    </row>
    <row r="34" ht="27.76" customHeight="1" s="254">
      <c r="A34" s="263" t="inlineStr">
        <is>
          <t>Project management — hours</t>
        </is>
      </c>
      <c r="B34" s="593" t="n"/>
      <c r="C34" s="507" t="inlineStr">
        <is>
          <t>Billed hourly across design, permitting and construction.</t>
        </is>
      </c>
      <c r="D34" s="590" t="n">
        <v>358</v>
      </c>
      <c r="E34" s="501" t="n"/>
      <c r="F34" s="501" t="n"/>
      <c r="G34" s="501" t="n"/>
    </row>
    <row r="35" ht="33.04000000000001" customHeight="1" s="254">
      <c r="A35" s="263" t="inlineStr">
        <is>
          <t>Design and engineering total</t>
        </is>
      </c>
      <c r="B35" s="331">
        <f>SUMPRODUCT($B$32:$B$34,$D$32:$D$34)</f>
        <v/>
      </c>
      <c r="C35" s="594" t="inlineStr">
        <is>
          <t>Quantity in column B times the rate in column D. These are ZIE billing rates for work performed in house — change the rate here, not in a formula.</t>
        </is>
      </c>
      <c r="D35" s="501" t="n"/>
      <c r="E35" s="501" t="n"/>
      <c r="F35" s="501" t="n"/>
      <c r="G35" s="501" t="n"/>
    </row>
    <row r="36" ht="15" customHeight="1" s="254">
      <c r="A36" s="501" t="n"/>
      <c r="B36" s="501" t="n"/>
      <c r="C36" s="501" t="n"/>
      <c r="D36" s="501" t="n"/>
      <c r="E36" s="501" t="n"/>
      <c r="F36" s="501" t="n"/>
      <c r="G36" s="501" t="n"/>
    </row>
    <row r="37" ht="47.56" customHeight="1" s="254">
      <c r="A37" s="335" t="inlineStr">
        <is>
          <t>Equipment rentals — standard build, override durations if the job differs</t>
        </is>
      </c>
      <c r="B37" s="501" t="n"/>
      <c r="C37" s="501" t="n"/>
      <c r="D37" s="501" t="n"/>
      <c r="E37" s="501" t="n"/>
      <c r="F37" s="501" t="n"/>
      <c r="G37" s="501" t="n"/>
    </row>
    <row r="38" ht="19.5" customHeight="1" s="254">
      <c r="A38" s="273" t="inlineStr">
        <is>
          <t>Rental</t>
        </is>
      </c>
      <c r="B38" s="515" t="inlineStr">
        <is>
          <t>Qty</t>
        </is>
      </c>
      <c r="C38" s="515" t="inlineStr">
        <is>
          <t>Unit cost</t>
        </is>
      </c>
      <c r="D38" s="516" t="inlineStr">
        <is>
          <t>Days</t>
        </is>
      </c>
      <c r="E38" s="516" t="inlineStr">
        <is>
          <t>Include?</t>
        </is>
      </c>
      <c r="F38" s="501" t="n"/>
      <c r="G38" s="501" t="n"/>
    </row>
    <row r="39" ht="15" customHeight="1" s="254">
      <c r="A39" s="383" t="inlineStr">
        <is>
          <t>Fencing</t>
        </is>
      </c>
      <c r="B39" s="506" t="n"/>
      <c r="C39" s="590" t="n">
        <v>0.3</v>
      </c>
      <c r="D39" s="506" t="n"/>
      <c r="E39" s="565" t="inlineStr">
        <is>
          <t>Y</t>
        </is>
      </c>
      <c r="F39" s="501" t="n"/>
      <c r="G39" s="501" t="n"/>
    </row>
    <row r="40" ht="15" customHeight="1" s="254">
      <c r="A40" s="383" t="inlineStr">
        <is>
          <t>Mini x</t>
        </is>
      </c>
      <c r="B40" s="506" t="n"/>
      <c r="C40" s="590" t="n">
        <v>98.56666667</v>
      </c>
      <c r="D40" s="506" t="n"/>
      <c r="E40" s="565" t="inlineStr">
        <is>
          <t>Y</t>
        </is>
      </c>
      <c r="F40" s="501" t="n"/>
      <c r="G40" s="501" t="n"/>
    </row>
    <row r="41" ht="15" customHeight="1" s="254">
      <c r="A41" s="383" t="inlineStr">
        <is>
          <t>Dump Truck</t>
        </is>
      </c>
      <c r="B41" s="506" t="n"/>
      <c r="C41" s="590" t="n">
        <v>520</v>
      </c>
      <c r="D41" s="506" t="n"/>
      <c r="E41" s="565" t="inlineStr">
        <is>
          <t>Y</t>
        </is>
      </c>
      <c r="F41" s="501" t="n"/>
      <c r="G41" s="501" t="n"/>
    </row>
    <row r="42" ht="15" customHeight="1" s="254">
      <c r="A42" s="383" t="inlineStr">
        <is>
          <t>Forklift</t>
        </is>
      </c>
      <c r="B42" s="506" t="n"/>
      <c r="C42" s="590" t="n">
        <v>563</v>
      </c>
      <c r="D42" s="506" t="n"/>
      <c r="E42" s="565" t="inlineStr">
        <is>
          <t>Y</t>
        </is>
      </c>
      <c r="F42" s="501" t="n"/>
      <c r="G42" s="501" t="n"/>
    </row>
    <row r="43" ht="15" customHeight="1" s="254">
      <c r="A43" s="383" t="inlineStr">
        <is>
          <t>Trench Plates</t>
        </is>
      </c>
      <c r="B43" s="506" t="n"/>
      <c r="C43" s="590" t="n">
        <v>5.18</v>
      </c>
      <c r="D43" s="506" t="n"/>
      <c r="E43" s="565" t="inlineStr">
        <is>
          <t>Y</t>
        </is>
      </c>
      <c r="F43" s="501" t="n"/>
      <c r="G43" s="501" t="n"/>
    </row>
    <row r="44" ht="15" customHeight="1" s="254">
      <c r="A44" s="383" t="inlineStr">
        <is>
          <t>Storage container</t>
        </is>
      </c>
      <c r="B44" s="506" t="n"/>
      <c r="C44" s="590" t="n">
        <v>185</v>
      </c>
      <c r="D44" s="506" t="n"/>
      <c r="E44" s="565" t="inlineStr">
        <is>
          <t>Y</t>
        </is>
      </c>
      <c r="F44" s="501" t="n"/>
      <c r="G44" s="501" t="n"/>
    </row>
    <row r="45" ht="15" customHeight="1" s="254">
      <c r="A45" s="383" t="inlineStr">
        <is>
          <t>Portable restroom</t>
        </is>
      </c>
      <c r="B45" s="506" t="n"/>
      <c r="C45" s="590" t="n">
        <v>267</v>
      </c>
      <c r="D45" s="506" t="n"/>
      <c r="E45" s="565" t="inlineStr">
        <is>
          <t>Y</t>
        </is>
      </c>
      <c r="F45" s="501" t="n"/>
      <c r="G45" s="501" t="n"/>
    </row>
    <row r="46" ht="15" customHeight="1" s="254">
      <c r="A46" s="383" t="inlineStr">
        <is>
          <t>Low boi</t>
        </is>
      </c>
      <c r="B46" s="506" t="n"/>
      <c r="C46" s="590" t="n">
        <v>1000</v>
      </c>
      <c r="D46" s="506" t="n"/>
      <c r="E46" s="565" t="inlineStr">
        <is>
          <t>Y</t>
        </is>
      </c>
      <c r="F46" s="501" t="n"/>
      <c r="G46" s="501" t="n"/>
    </row>
    <row r="47" ht="15" customHeight="1" s="254">
      <c r="A47" s="383" t="inlineStr">
        <is>
          <t>Saw cutter</t>
        </is>
      </c>
      <c r="B47" s="506" t="n"/>
      <c r="C47" s="590" t="n">
        <v>169</v>
      </c>
      <c r="D47" s="506" t="n"/>
      <c r="E47" s="565" t="inlineStr">
        <is>
          <t>Y</t>
        </is>
      </c>
      <c r="F47" s="501" t="n"/>
      <c r="G47" s="501" t="n"/>
    </row>
    <row r="48" ht="15" customHeight="1" s="254">
      <c r="A48" s="383" t="inlineStr">
        <is>
          <t>Jack hammer</t>
        </is>
      </c>
      <c r="B48" s="506" t="n"/>
      <c r="C48" s="590" t="n">
        <v>155</v>
      </c>
      <c r="D48" s="506" t="n"/>
      <c r="E48" s="565" t="inlineStr">
        <is>
          <t>Y</t>
        </is>
      </c>
      <c r="F48" s="501" t="n"/>
      <c r="G48" s="501" t="n"/>
    </row>
    <row r="49" ht="15" customHeight="1" s="254">
      <c r="A49" s="383" t="inlineStr">
        <is>
          <t>Compactor</t>
        </is>
      </c>
      <c r="B49" s="506" t="n"/>
      <c r="C49" s="590" t="n">
        <v>175</v>
      </c>
      <c r="D49" s="506" t="n"/>
      <c r="E49" s="565" t="inlineStr">
        <is>
          <t>Y</t>
        </is>
      </c>
      <c r="F49" s="501" t="n"/>
      <c r="G49" s="501" t="n"/>
    </row>
    <row r="50" ht="15" customHeight="1" s="254">
      <c r="A50" s="383" t="inlineStr">
        <is>
          <t>Generator rental</t>
        </is>
      </c>
      <c r="B50" s="506" t="n"/>
      <c r="C50" s="590" t="n">
        <v>220</v>
      </c>
      <c r="D50" s="506" t="n"/>
      <c r="E50" s="565" t="inlineStr">
        <is>
          <t>Y</t>
        </is>
      </c>
      <c r="F50" s="501" t="n"/>
      <c r="G50" s="501" t="n"/>
    </row>
    <row r="51" ht="15" customHeight="1" s="254">
      <c r="A51" s="383" t="inlineStr">
        <is>
          <t>Dump trailer rental</t>
        </is>
      </c>
      <c r="B51" s="506" t="n"/>
      <c r="C51" s="590" t="n">
        <v>796.63</v>
      </c>
      <c r="D51" s="506" t="n"/>
      <c r="E51" s="565" t="inlineStr">
        <is>
          <t>Y</t>
        </is>
      </c>
      <c r="F51" s="501" t="n"/>
      <c r="G51" s="501" t="n"/>
    </row>
    <row r="52" ht="15" customHeight="1" s="254">
      <c r="A52" s="383" t="inlineStr">
        <is>
          <t>Equipment protection</t>
        </is>
      </c>
      <c r="B52" s="506" t="n"/>
      <c r="C52" s="590" t="n">
        <v>45</v>
      </c>
      <c r="D52" s="506" t="n"/>
      <c r="E52" s="565" t="inlineStr">
        <is>
          <t>Y</t>
        </is>
      </c>
      <c r="F52" s="501" t="n"/>
      <c r="G52" s="501" t="n"/>
    </row>
    <row r="53">
      <c r="A53" s="501" t="n"/>
      <c r="B53" s="501" t="n"/>
      <c r="C53" s="501" t="n"/>
      <c r="D53" s="501" t="n"/>
      <c r="E53" s="501" t="n"/>
      <c r="F53" s="501" t="n"/>
      <c r="G53" s="501" t="n"/>
    </row>
    <row r="54" ht="33.04000000000001" customHeight="1" s="254">
      <c r="A54" s="529" t="inlineStr">
        <is>
          <t>Removal and demolition — replacement sites only</t>
        </is>
      </c>
      <c r="B54" s="501" t="n"/>
      <c r="C54" s="501" t="n"/>
      <c r="D54" s="501" t="n"/>
      <c r="E54" s="501" t="n"/>
      <c r="F54" s="501" t="n"/>
      <c r="G54" s="501" t="n"/>
    </row>
    <row r="55" ht="19.5" customHeight="1" s="254">
      <c r="A55" s="285" t="inlineStr">
        <is>
          <t>Zero on a greenfield site. On a replacement site these quantities come from the Existing tab section H and are priced like any other construction line.</t>
        </is>
      </c>
    </row>
    <row r="56" ht="19.5" customHeight="1" s="254">
      <c r="A56" s="294" t="inlineStr">
        <is>
          <t>Item</t>
        </is>
      </c>
      <c r="B56" s="534" t="inlineStr">
        <is>
          <t>Quantity</t>
        </is>
      </c>
      <c r="C56" s="534" t="inlineStr">
        <is>
          <t>Source</t>
        </is>
      </c>
      <c r="D56" s="535" t="n"/>
      <c r="E56" s="535" t="n"/>
      <c r="F56" s="535" t="n"/>
      <c r="G56" s="535" t="n"/>
    </row>
    <row r="57" ht="29.08" customHeight="1" s="254">
      <c r="A57" s="551" t="inlineStr">
        <is>
          <t>Cabinets to disconnect and remove (ea)</t>
        </is>
      </c>
      <c r="B57" s="389">
        <f>IF(Existing!$B$5="Greenfield — new service",0,Existing!$B$174)</f>
        <v/>
      </c>
      <c r="C57" s="539" t="inlineStr">
        <is>
          <t>The Existing tab section H</t>
        </is>
      </c>
      <c r="D57" s="501" t="n"/>
      <c r="E57" s="501" t="n"/>
      <c r="F57" s="501" t="n"/>
      <c r="G57" s="501" t="n"/>
    </row>
    <row r="58" ht="15" customHeight="1" s="254">
      <c r="A58" s="296" t="inlineStr">
        <is>
          <t>Concrete pads to break out (ea)</t>
        </is>
      </c>
      <c r="B58" s="389">
        <f>IF(Existing!$B$5="Greenfield — new service",0,Existing!$B$175)</f>
        <v/>
      </c>
      <c r="C58" s="539" t="inlineStr">
        <is>
          <t>The Existing tab section H</t>
        </is>
      </c>
      <c r="D58" s="501" t="n"/>
      <c r="E58" s="501" t="n"/>
      <c r="F58" s="501" t="n"/>
      <c r="G58" s="501" t="n"/>
    </row>
    <row r="59" ht="15" customHeight="1" s="254">
      <c r="A59" s="296" t="inlineStr">
        <is>
          <t>Bollards to remove (ea)</t>
        </is>
      </c>
      <c r="B59" s="389">
        <f>IF(Existing!$B$5="Greenfield — new service",0,Existing!$B$176)</f>
        <v/>
      </c>
      <c r="C59" s="539" t="inlineStr">
        <is>
          <t>The Existing tab section H</t>
        </is>
      </c>
      <c r="D59" s="501" t="n"/>
      <c r="E59" s="501" t="n"/>
      <c r="F59" s="501" t="n"/>
      <c r="G59" s="501" t="n"/>
    </row>
    <row r="60" ht="15" customHeight="1" s="254">
      <c r="A60" s="296" t="inlineStr">
        <is>
          <t>Signage to remove (ea)</t>
        </is>
      </c>
      <c r="B60" s="389">
        <f>IF(Existing!$B$5="Greenfield — new service",0,Existing!$B$177)</f>
        <v/>
      </c>
      <c r="C60" s="539" t="inlineStr">
        <is>
          <t>The Existing tab section H</t>
        </is>
      </c>
      <c r="D60" s="501" t="n"/>
      <c r="E60" s="501" t="n"/>
      <c r="F60" s="501" t="n"/>
      <c r="G60" s="501" t="n"/>
    </row>
    <row r="61" ht="15" customHeight="1" s="254">
      <c r="A61" s="296" t="inlineStr">
        <is>
          <t>Disposal loads (ea)</t>
        </is>
      </c>
      <c r="B61" s="389">
        <f>IF(Existing!$B$5="Greenfield — new service",0,Existing!$B$178)</f>
        <v/>
      </c>
      <c r="C61" s="539" t="inlineStr">
        <is>
          <t>The Existing tab section H</t>
        </is>
      </c>
      <c r="D61" s="501" t="n"/>
      <c r="E61" s="501" t="n"/>
      <c r="F61" s="501" t="n"/>
      <c r="G61" s="501" t="n"/>
    </row>
    <row r="62" ht="29.08" customHeight="1" s="254">
      <c r="A62" s="551" t="inlineStr">
        <is>
          <t>Site protection and traffic control (days)</t>
        </is>
      </c>
      <c r="B62" s="389">
        <f>IF(Existing!$B$5="Greenfield — new service",0,Existing!$B$182)</f>
        <v/>
      </c>
      <c r="C62" s="539" t="inlineStr">
        <is>
          <t>The Existing tab section H</t>
        </is>
      </c>
      <c r="D62" s="501" t="n"/>
      <c r="E62" s="501" t="n"/>
      <c r="F62" s="501" t="n"/>
      <c r="G62" s="501" t="n"/>
    </row>
    <row r="63">
      <c r="A63" s="501" t="n"/>
      <c r="B63" s="501" t="n"/>
      <c r="C63" s="501" t="n"/>
      <c r="D63" s="501" t="n"/>
      <c r="E63" s="501" t="n"/>
      <c r="F63" s="501" t="n"/>
      <c r="G63" s="501" t="n"/>
    </row>
    <row r="64" ht="39.64" customHeight="1" s="254">
      <c r="A64" s="545" t="inlineStr">
        <is>
          <t>Removal crew days — INSIDE the crew days above</t>
        </is>
      </c>
      <c r="B64" s="390">
        <f>IF(Existing!$B$5="Greenfield — new service",0,ROUND(N(Existing!$B$174)*0.5+N(Existing!$B$175)*0.75,0))</f>
        <v/>
      </c>
      <c r="C64" s="521" t="inlineStr">
        <is>
          <t>ADVISORY ONLY. Removal overlaps the installation and is NEVER added to the crew days on the schedule above — a model that added them inflated labour by twelve days on a fifteen-day job. Use it to check the day count covers both.</t>
        </is>
      </c>
      <c r="D64" s="501" t="n"/>
      <c r="E64" s="501" t="n"/>
      <c r="F64" s="501" t="n"/>
      <c r="G64" s="501" t="n"/>
    </row>
    <row r="65" ht="30.4" customHeight="1" s="254">
      <c r="A65" s="545" t="inlineStr">
        <is>
          <t>Do the crew days leave room for the installation?</t>
        </is>
      </c>
      <c r="B65" s="390">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521" t="inlineStr">
        <is>
          <t>Removal is inside the crew days, so the crew days have to be big enough for the removal AND the installation.</t>
        </is>
      </c>
      <c r="D65" s="501" t="n"/>
      <c r="E65" s="501" t="n"/>
      <c r="F65" s="501" t="n"/>
      <c r="G65" s="501" t="n"/>
    </row>
    <row r="66" ht="19.5" customHeight="1" s="254">
      <c r="A66" s="257" t="inlineStr">
        <is>
          <t>Construction scope profile</t>
        </is>
      </c>
      <c r="B66" s="301">
        <f>IF(Existing!$B$5="Greenfield — new service","GREENFIELD — full site works",IF(Existing!$B$17="RETAIN","PAD-AND-CHARGER SWAP — demolition, new pads, reinstatement and protection. No trenching, no paving beyond the pads.","PARTIAL — trenching required for the elements marked REPLACE"))</f>
        <v/>
      </c>
      <c r="C66" s="299" t="n"/>
      <c r="D66" s="501" t="n"/>
      <c r="E66" s="501" t="n"/>
      <c r="F66" s="501" t="n"/>
      <c r="G66" s="501" t="n"/>
    </row>
    <row r="67" ht="30.4" customHeight="1" s="254">
      <c r="A67" s="545" t="inlineStr">
        <is>
          <t>Does the site stay live during the works?</t>
        </is>
      </c>
      <c r="B67" s="301">
        <f>IF(Existing!$B$181="Yes","PHASED PROGRAMME REQUIRED — temporary charging is not in the standard scope and must be priced separately",IF(Existing!$B$181="No","OK — the site can go dark during the works","not yet answered"))</f>
        <v/>
      </c>
      <c r="C67" s="299" t="n"/>
      <c r="D67" s="501" t="n"/>
      <c r="E67" s="501" t="n"/>
      <c r="F67" s="501" t="n"/>
      <c r="G67" s="501" t="n"/>
    </row>
    <row r="68" ht="30.4" customHeight="1" s="254">
      <c r="A68" s="545" t="inlineStr">
        <is>
          <t>Removal scope on a greenfield project?</t>
        </is>
      </c>
      <c r="B68" s="391">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501" t="n"/>
      <c r="G68" s="501" t="n"/>
    </row>
    <row r="69" ht="29.08" customHeight="1" s="254">
      <c r="A69" s="290"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c r="A70" s="501" t="n"/>
      <c r="B70" s="501" t="n"/>
      <c r="C70" s="501" t="n"/>
      <c r="D70" s="501" t="n"/>
      <c r="E70" s="501" t="n"/>
      <c r="F70" s="501" t="n"/>
      <c r="G70" s="501" t="n"/>
    </row>
    <row r="71" ht="14.25" customHeight="1" s="254">
      <c r="A71" s="344" t="inlineStr">
        <is>
          <t>MARKUPS — WHAT TURNS COST INTO PRICE</t>
        </is>
      </c>
    </row>
    <row r="72" ht="27.76" customHeight="1" s="254">
      <c r="A72" s="263" t="inlineStr">
        <is>
          <t>Markup on materials</t>
        </is>
      </c>
      <c r="B72" s="595" t="n">
        <v>0.2</v>
      </c>
      <c r="C72" s="596" t="inlineStr">
        <is>
          <t>Applies to switchgear, conductor, conduit, site works and construction rentals — everything priced from a rate rather than from a crew day. Set at 20%, matching the house markup on labour cost.</t>
        </is>
      </c>
      <c r="D72" s="501" t="n"/>
      <c r="E72" s="501" t="n"/>
      <c r="F72" s="501" t="n"/>
      <c r="G72" s="501" t="n"/>
    </row>
    <row r="73" ht="27.76" customHeight="1" s="254">
      <c r="A73" s="263" t="inlineStr">
        <is>
          <t>Markup on labour</t>
        </is>
      </c>
      <c r="B73" s="394">
        <f>$B$8</f>
        <v/>
      </c>
      <c r="C73" s="596" t="inlineStr">
        <is>
          <t>Shown here for comparison only — the labour markup is still entered in the Labour block at the top of this tab. One input, one place.</t>
        </is>
      </c>
      <c r="D73" s="501" t="n"/>
      <c r="E73" s="501" t="n"/>
      <c r="F73" s="501" t="n"/>
      <c r="G73" s="501" t="n"/>
    </row>
    <row r="74">
      <c r="A74" s="501" t="n"/>
      <c r="B74" s="501" t="n"/>
      <c r="C74" s="501" t="n"/>
      <c r="D74" s="501" t="n"/>
      <c r="E74" s="501" t="n"/>
      <c r="F74" s="501" t="n"/>
      <c r="G74" s="501" t="n"/>
    </row>
    <row r="75" ht="39.64" customHeight="1" s="254">
      <c r="A75" s="393"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c r="A76" s="501" t="n"/>
      <c r="B76" s="501" t="n"/>
      <c r="C76" s="501" t="n"/>
      <c r="D76" s="501" t="n"/>
      <c r="E76" s="501" t="n"/>
      <c r="F76" s="501" t="n"/>
      <c r="G76" s="501" t="n"/>
    </row>
    <row r="77" ht="33.04000000000001" customHeight="1" s="254">
      <c r="A77" s="529" t="inlineStr">
        <is>
          <t>UTILITY AND THIRD-PARTY FEES — PASS-THROUGH</t>
        </is>
      </c>
      <c r="B77" s="501" t="n"/>
      <c r="C77" s="501" t="n"/>
      <c r="D77" s="501" t="n"/>
      <c r="E77" s="501" t="n"/>
      <c r="F77" s="501" t="n"/>
      <c r="G77" s="501" t="n"/>
    </row>
    <row r="78" ht="27.76" customHeight="1" s="254">
      <c r="A78" s="265"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c r="A79" s="501" t="n"/>
      <c r="B79" s="501" t="n"/>
      <c r="C79" s="501" t="n"/>
      <c r="D79" s="501" t="n"/>
      <c r="E79" s="501" t="n"/>
      <c r="F79" s="501" t="n"/>
      <c r="G79" s="501" t="n"/>
    </row>
    <row r="80" ht="19.5" customHeight="1" s="254">
      <c r="A80" s="273" t="inlineStr">
        <is>
          <t>Fee</t>
        </is>
      </c>
      <c r="B80" s="515" t="inlineStr">
        <is>
          <t>Quantity</t>
        </is>
      </c>
      <c r="C80" s="515" t="inlineStr">
        <is>
          <t>Basis</t>
        </is>
      </c>
      <c r="D80" s="516" t="inlineStr">
        <is>
          <t>Unit cost</t>
        </is>
      </c>
      <c r="E80" s="516" t="inlineStr">
        <is>
          <t>Include?</t>
        </is>
      </c>
      <c r="F80" s="501" t="n"/>
      <c r="G80" s="501" t="n"/>
    </row>
    <row r="81" ht="14.25" customHeight="1" s="254">
      <c r="A81" s="383" t="inlineStr">
        <is>
          <t>Permit and plan-check fees</t>
        </is>
      </c>
      <c r="B81" s="597" t="n">
        <v>0</v>
      </c>
      <c r="C81" s="508" t="inlineStr">
        <is>
          <t>AHJ — verify locally</t>
        </is>
      </c>
      <c r="D81" s="590" t="n">
        <v>4000</v>
      </c>
      <c r="E81" s="565" t="inlineStr">
        <is>
          <t>Y</t>
        </is>
      </c>
      <c r="F81" s="501" t="n"/>
      <c r="G81" s="501" t="n"/>
    </row>
    <row r="82" ht="14.25" customHeight="1" s="254">
      <c r="A82" s="383" t="inlineStr">
        <is>
          <t>Utility contract fees</t>
        </is>
      </c>
      <c r="B82" s="597" t="n">
        <v>0</v>
      </c>
      <c r="C82" s="508" t="inlineStr">
        <is>
          <t>Application and contract</t>
        </is>
      </c>
      <c r="D82" s="590" t="n">
        <v>3500</v>
      </c>
      <c r="E82" s="565" t="inlineStr">
        <is>
          <t>Y</t>
        </is>
      </c>
      <c r="F82" s="501" t="n"/>
      <c r="G82" s="501" t="n"/>
    </row>
    <row r="83" ht="31.5" customHeight="1" s="254">
      <c r="A83" s="598" t="inlineStr">
        <is>
          <t>Utility interconnection design and application fee</t>
        </is>
      </c>
      <c r="B83" s="597" t="n">
        <v>0</v>
      </c>
      <c r="C83" s="505" t="inlineStr">
        <is>
          <t>Entered on the Electrical tab — this row reads it. Pass-through at cost.</t>
        </is>
      </c>
      <c r="D83" s="396">
        <f>Electrical!$B$56</f>
        <v/>
      </c>
      <c r="E83" s="565" t="inlineStr">
        <is>
          <t>Y</t>
        </is>
      </c>
      <c r="F83" s="501" t="n"/>
      <c r="G83" s="501" t="n"/>
    </row>
    <row r="84" ht="37.66" customHeight="1" s="254">
      <c r="A84" s="598" t="inlineStr">
        <is>
          <t>Utility line-extension contribution, if any</t>
        </is>
      </c>
      <c r="B84" s="597" t="n">
        <v>0</v>
      </c>
      <c r="C84" s="505" t="inlineStr">
        <is>
          <t>Whatever the serving utility charges the customer toward extending distribution or service. Zero until they say otherwise.</t>
        </is>
      </c>
      <c r="D84" s="396">
        <f>Electrical!$B$59</f>
        <v/>
      </c>
      <c r="E84" s="565" t="inlineStr">
        <is>
          <t>Y</t>
        </is>
      </c>
      <c r="F84" s="501" t="n"/>
      <c r="G84" s="501" t="n"/>
    </row>
    <row r="85" ht="14.25" customHeight="1" s="254">
      <c r="A85" s="383" t="inlineStr">
        <is>
          <t>Fire department plan review</t>
        </is>
      </c>
      <c r="B85" s="597" t="n">
        <v>0</v>
      </c>
      <c r="C85" s="508" t="inlineStr">
        <is>
          <t>Fire district — common on DCFC sites</t>
        </is>
      </c>
      <c r="D85" s="590" t="n">
        <v>0</v>
      </c>
      <c r="E85" s="565" t="inlineStr">
        <is>
          <t>Y</t>
        </is>
      </c>
      <c r="F85" s="501" t="n"/>
      <c r="G85" s="501" t="n"/>
    </row>
    <row r="86" ht="30.4" customHeight="1" s="254">
      <c r="A86" s="598" t="inlineStr">
        <is>
          <t>Encroachment / street-opening permit</t>
        </is>
      </c>
      <c r="B86" s="597" t="n">
        <v>0</v>
      </c>
      <c r="C86" s="508" t="inlineStr">
        <is>
          <t>Municipal, when trenching leaves the property</t>
        </is>
      </c>
      <c r="D86" s="590" t="n">
        <v>0</v>
      </c>
      <c r="E86" s="565" t="inlineStr">
        <is>
          <t>Y</t>
        </is>
      </c>
      <c r="F86" s="501" t="n"/>
      <c r="G86" s="501" t="n"/>
    </row>
    <row r="87" ht="14.25" customHeight="1" s="254">
      <c r="A87" s="383" t="inlineStr">
        <is>
          <t>Electrical inspection fees</t>
        </is>
      </c>
      <c r="B87" s="597" t="n">
        <v>0</v>
      </c>
      <c r="C87" s="508" t="inlineStr">
        <is>
          <t>AHJ inspection, separate from plan check</t>
        </is>
      </c>
      <c r="D87" s="590" t="n">
        <v>0</v>
      </c>
      <c r="E87" s="565" t="inlineStr">
        <is>
          <t>Y</t>
        </is>
      </c>
      <c r="F87" s="501" t="n"/>
      <c r="G87" s="501" t="n"/>
    </row>
    <row r="88" ht="14.25" customHeight="1" s="254">
      <c r="A88" s="383" t="inlineStr">
        <is>
          <t>Meter and service connection fee</t>
        </is>
      </c>
      <c r="B88" s="597" t="n">
        <v>0</v>
      </c>
      <c r="C88" s="508" t="inlineStr">
        <is>
          <t>Utility, if charged separately from Rule 29</t>
        </is>
      </c>
      <c r="D88" s="590" t="n">
        <v>0</v>
      </c>
      <c r="E88" s="565" t="inlineStr">
        <is>
          <t>Y</t>
        </is>
      </c>
      <c r="F88" s="501" t="n"/>
      <c r="G88" s="501" t="n"/>
    </row>
    <row r="89" ht="27.76" customHeight="1" s="254">
      <c r="A89" s="599" t="inlineStr">
        <is>
          <t>Utility and third-party fees total</t>
        </is>
      </c>
      <c r="B89" s="331">
        <f>SUMPRODUCT($B$81:$B$88,$D$81:$D$88)</f>
        <v/>
      </c>
      <c r="C89" s="507" t="inlineStr">
        <is>
          <t>Billed to the client at exactly this figure. No markup, no discount, its own line on the bid.</t>
        </is>
      </c>
      <c r="D89" s="501" t="n"/>
      <c r="E89" s="501" t="n"/>
      <c r="F89" s="501" t="n"/>
      <c r="G89" s="501" t="n"/>
    </row>
    <row r="90">
      <c r="A90" s="501" t="n"/>
      <c r="B90" s="501" t="n"/>
      <c r="C90" s="501" t="n"/>
      <c r="D90" s="501" t="n"/>
      <c r="E90" s="501" t="n"/>
      <c r="F90" s="501" t="n"/>
      <c r="G90" s="501" t="n"/>
    </row>
    <row r="91" ht="27.76" customHeight="1" s="254">
      <c r="A91" s="599" t="inlineStr">
        <is>
          <t>Any fee left in the site-works table?</t>
        </is>
      </c>
      <c r="B91" s="39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1" customWidth="1" style="253" min="1" max="1"/>
    <col width="26" customWidth="1" style="253" min="2" max="2"/>
    <col width="44" customWidth="1" style="253" min="3" max="3"/>
    <col width="9" customWidth="1" style="253" min="4" max="6"/>
    <col width="13" customWidth="1" style="254" min="5" max="5"/>
    <col width="13" customWidth="1" style="254" min="6" max="6"/>
  </cols>
  <sheetData>
    <row r="1" ht="25.5" customHeight="1" s="254">
      <c r="A1" s="255" t="inlineStr">
        <is>
          <t>5 · COMMERCIAL TERMS</t>
        </is>
      </c>
    </row>
    <row r="2" ht="27.76" customHeight="1" s="254">
      <c r="A2" s="520" t="inlineStr">
        <is>
          <t>Discounts, financing and the service and network term.</t>
        </is>
      </c>
      <c r="B2" s="501" t="n"/>
      <c r="C2" s="501" t="n"/>
      <c r="D2" s="501" t="n"/>
      <c r="E2" s="501" t="n"/>
      <c r="F2" s="501" t="n"/>
    </row>
    <row r="3">
      <c r="A3" s="501" t="n"/>
      <c r="B3" s="501" t="n"/>
      <c r="C3" s="501" t="n"/>
      <c r="D3" s="501" t="n"/>
      <c r="E3" s="501" t="n"/>
      <c r="F3" s="501" t="n"/>
    </row>
    <row r="4" ht="33.04000000000001" customHeight="1" s="254">
      <c r="A4" s="529" t="inlineStr">
        <is>
          <t>Discounts applied to customer price</t>
        </is>
      </c>
      <c r="B4" s="501" t="n"/>
      <c r="C4" s="501" t="n"/>
      <c r="D4" s="501" t="n"/>
      <c r="E4" s="501" t="n"/>
      <c r="F4" s="501" t="n"/>
    </row>
    <row r="5" ht="15" customHeight="1" s="254">
      <c r="A5" s="263" t="inlineStr">
        <is>
          <t>Charger hardware discount</t>
        </is>
      </c>
      <c r="B5" s="595" t="n">
        <v>0.07000000000000001</v>
      </c>
      <c r="C5" s="501" t="n"/>
      <c r="D5" s="501" t="n"/>
      <c r="E5" s="501" t="n"/>
      <c r="F5" s="501" t="n"/>
    </row>
    <row r="6" ht="15" customHeight="1" s="254">
      <c r="A6" s="263" t="inlineStr">
        <is>
          <t>Service and warranty discount</t>
        </is>
      </c>
      <c r="B6" s="595" t="n">
        <v>0.07000000000000001</v>
      </c>
      <c r="C6" s="501" t="n"/>
      <c r="D6" s="501" t="n"/>
      <c r="E6" s="501" t="n"/>
      <c r="F6" s="501" t="n"/>
    </row>
    <row r="7" ht="30.4" customHeight="1" s="254">
      <c r="A7" s="527" t="inlineStr">
        <is>
          <t>EVOLV and commissioning discount</t>
        </is>
      </c>
      <c r="B7" s="595" t="n">
        <v>0</v>
      </c>
      <c r="C7" s="501" t="n"/>
      <c r="D7" s="501" t="n"/>
      <c r="E7" s="501" t="n"/>
      <c r="F7" s="501" t="n"/>
    </row>
    <row r="8" ht="37.66" customHeight="1" s="254">
      <c r="A8" s="527" t="inlineStr">
        <is>
          <t>Labour and in-house services discount</t>
        </is>
      </c>
      <c r="B8" s="602" t="n">
        <v>0.07000000000000001</v>
      </c>
      <c r="C8" s="531" t="inlineStr">
        <is>
          <t>Applies ONLY to work ZIE performs: construction labour, construction project management, and design and engineering. It may never be applied to materials, to equipment rentals, or to any third-party or utility fee.</t>
        </is>
      </c>
      <c r="D8" s="501" t="n"/>
      <c r="E8" s="501" t="n"/>
      <c r="F8" s="501" t="n"/>
    </row>
    <row r="9" ht="15" customHeight="1" s="254">
      <c r="A9" s="263" t="inlineStr">
        <is>
          <t>Sales tax rate</t>
        </is>
      </c>
      <c r="B9" s="603" t="n">
        <v>0.0725</v>
      </c>
      <c r="C9" s="508" t="inlineStr">
        <is>
          <t>Applied to the DISCOUNTED equipment price</t>
        </is>
      </c>
      <c r="D9" s="501" t="n"/>
      <c r="E9" s="501" t="n"/>
      <c r="F9" s="501" t="n"/>
    </row>
    <row r="10">
      <c r="A10" s="501" t="n"/>
      <c r="B10" s="501" t="n"/>
      <c r="C10" s="501" t="n"/>
      <c r="D10" s="501" t="n"/>
      <c r="E10" s="501" t="n"/>
      <c r="F10" s="501" t="n"/>
    </row>
    <row r="11" ht="15" customHeight="1" s="254">
      <c r="A11" s="262" t="inlineStr">
        <is>
          <t>Service, warranty and network</t>
        </is>
      </c>
      <c r="B11" s="501" t="n"/>
      <c r="C11" s="501" t="n"/>
      <c r="D11" s="501" t="n"/>
      <c r="E11" s="501" t="n"/>
      <c r="F11" s="501" t="n"/>
    </row>
    <row r="12" ht="15" customHeight="1" s="254">
      <c r="A12" s="263" t="inlineStr">
        <is>
          <t>Contract length (years)</t>
        </is>
      </c>
      <c r="B12" s="523" t="n">
        <v>5</v>
      </c>
      <c r="C12" s="508" t="inlineStr">
        <is>
          <t>Years of service included in the price</t>
        </is>
      </c>
      <c r="D12" s="501" t="n"/>
      <c r="E12" s="501" t="n"/>
      <c r="F12" s="501" t="n"/>
    </row>
    <row r="13" ht="15" customHeight="1" s="254">
      <c r="A13" s="263" t="inlineStr">
        <is>
          <t>In-warranty years</t>
        </is>
      </c>
      <c r="B13" s="526" t="n">
        <v>2</v>
      </c>
      <c r="C13" s="508" t="inlineStr">
        <is>
          <t>Years billed at the in-warranty rate</t>
        </is>
      </c>
      <c r="D13" s="501" t="n"/>
      <c r="E13" s="501" t="n"/>
      <c r="F13" s="501" t="n"/>
    </row>
    <row r="14" ht="30.4" customHeight="1" s="254">
      <c r="A14" s="527" t="inlineStr">
        <is>
          <t>EVOLV network fee per port per month</t>
        </is>
      </c>
      <c r="B14" s="586" t="n">
        <v>39.99</v>
      </c>
      <c r="C14" s="501" t="n"/>
      <c r="D14" s="501" t="n"/>
      <c r="E14" s="501" t="n"/>
      <c r="F14" s="501" t="n"/>
    </row>
    <row r="15" ht="15" customHeight="1" s="254">
      <c r="A15" s="263" t="inlineStr">
        <is>
          <t>EVOLV annual cost</t>
        </is>
      </c>
      <c r="B15" s="331">
        <f>Equipment!B22*B14*12</f>
        <v/>
      </c>
      <c r="C15" s="508" t="inlineStr">
        <is>
          <t>Ports x rate x 12 — ports, never cabinets</t>
        </is>
      </c>
      <c r="D15" s="501" t="n"/>
      <c r="E15" s="501" t="n"/>
      <c r="F15" s="501" t="n"/>
    </row>
    <row r="16" ht="15" customHeight="1" s="254">
      <c r="A16" s="263" t="inlineStr">
        <is>
          <t>EVOLV cost across contract</t>
        </is>
      </c>
      <c r="B16" s="403">
        <f>B15*B12</f>
        <v/>
      </c>
      <c r="C16" s="501" t="n"/>
      <c r="D16" s="501" t="n"/>
      <c r="E16" s="501" t="n"/>
      <c r="F16" s="501" t="n"/>
    </row>
    <row r="17" ht="30.4" customHeight="1" s="254">
      <c r="A17" s="527" t="inlineStr">
        <is>
          <t>Renew service after the contract?</t>
        </is>
      </c>
      <c r="B17" s="604" t="inlineStr">
        <is>
          <t>Yes</t>
        </is>
      </c>
      <c r="C17" s="605"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501" t="n"/>
      <c r="E17" s="501" t="n"/>
      <c r="F17" s="501" t="n"/>
    </row>
    <row r="18" ht="15" customHeight="1" s="254">
      <c r="A18" s="262" t="inlineStr">
        <is>
          <t>Financing</t>
        </is>
      </c>
      <c r="B18" s="501" t="n"/>
      <c r="C18" s="501" t="n"/>
      <c r="D18" s="501" t="n"/>
      <c r="E18" s="501" t="n"/>
      <c r="F18" s="501" t="n"/>
    </row>
    <row r="19" ht="15" customHeight="1" s="254">
      <c r="A19" s="263" t="inlineStr">
        <is>
          <t>Financing offered?</t>
        </is>
      </c>
      <c r="B19" s="565" t="inlineStr">
        <is>
          <t>Yes</t>
        </is>
      </c>
      <c r="C19" s="501" t="n"/>
      <c r="D19" s="501" t="n"/>
      <c r="E19" s="501" t="n"/>
      <c r="F19" s="501" t="n"/>
    </row>
    <row r="20" ht="15" customHeight="1" s="254">
      <c r="A20" s="263" t="inlineStr">
        <is>
          <t>Lender</t>
        </is>
      </c>
      <c r="B20" s="565" t="inlineStr">
        <is>
          <t>De Lage Landen</t>
        </is>
      </c>
      <c r="C20" s="501" t="n"/>
      <c r="D20" s="501" t="n"/>
      <c r="E20" s="501" t="n"/>
      <c r="F20" s="501" t="n"/>
    </row>
    <row r="21" ht="15" customHeight="1" s="254">
      <c r="A21" s="263" t="inlineStr">
        <is>
          <t>Annual interest rate</t>
        </is>
      </c>
      <c r="B21" s="603" t="n">
        <v>0.0839</v>
      </c>
      <c r="C21" s="501" t="n"/>
      <c r="D21" s="501" t="n"/>
      <c r="E21" s="501" t="n"/>
      <c r="F21" s="501" t="n"/>
    </row>
    <row r="22" ht="15" customHeight="1" s="254">
      <c r="A22" s="263" t="inlineStr">
        <is>
          <t>Term (years)</t>
        </is>
      </c>
      <c r="B22" s="523" t="n">
        <v>5</v>
      </c>
      <c r="C22" s="501" t="n"/>
      <c r="D22" s="501" t="n"/>
      <c r="E22" s="501" t="n"/>
      <c r="F22" s="501" t="n"/>
    </row>
    <row r="23" ht="15" customHeight="1" s="254">
      <c r="A23" s="263" t="inlineStr">
        <is>
          <t>Payments per year</t>
        </is>
      </c>
      <c r="B23" s="526" t="n">
        <v>12</v>
      </c>
      <c r="C23" s="501" t="n"/>
      <c r="D23" s="501" t="n"/>
      <c r="E23" s="501" t="n"/>
      <c r="F23" s="501" t="n"/>
    </row>
    <row r="24" ht="15" customHeight="1" s="254">
      <c r="A24" s="263" t="inlineStr">
        <is>
          <t>Down payment</t>
        </is>
      </c>
      <c r="B24" s="606" t="n">
        <v>0</v>
      </c>
      <c r="C24" s="501" t="n"/>
      <c r="D24" s="501" t="n"/>
      <c r="E24" s="501" t="n"/>
      <c r="F24" s="501" t="n"/>
    </row>
    <row r="25" ht="15" customHeight="1" s="254">
      <c r="A25" s="263" t="inlineStr">
        <is>
          <t>Financing start date</t>
        </is>
      </c>
      <c r="B25" s="506" t="n"/>
      <c r="C25" s="501" t="n"/>
      <c r="D25" s="501" t="n"/>
      <c r="E25" s="501" t="n"/>
      <c r="F25" s="501" t="n"/>
    </row>
    <row r="26">
      <c r="A26" s="501" t="n"/>
      <c r="B26" s="501" t="n"/>
      <c r="C26" s="501" t="n"/>
      <c r="D26" s="501" t="n"/>
      <c r="E26" s="501" t="n"/>
      <c r="F26" s="501" t="n"/>
    </row>
    <row r="27" ht="15" customHeight="1" s="254">
      <c r="A27" s="262" t="inlineStr">
        <is>
          <t>Analysis horizon</t>
        </is>
      </c>
      <c r="B27" s="501" t="n"/>
      <c r="C27" s="501" t="n"/>
      <c r="D27" s="501" t="n"/>
      <c r="E27" s="501" t="n"/>
      <c r="F27" s="501" t="n"/>
    </row>
    <row r="28" ht="15" customHeight="1" s="254">
      <c r="A28" s="263" t="inlineStr">
        <is>
          <t>Model horizon (years)</t>
        </is>
      </c>
      <c r="B28" s="523" t="n">
        <v>10</v>
      </c>
      <c r="C28" s="508" t="inlineStr">
        <is>
          <t>Use 10 — the carbon credit runs ten years</t>
        </is>
      </c>
      <c r="D28" s="501" t="n"/>
      <c r="E28" s="501" t="n"/>
      <c r="F28" s="501" t="n"/>
    </row>
    <row r="29" ht="15" customHeight="1" s="254">
      <c r="A29" s="263" t="inlineStr">
        <is>
          <t>Discount rate for NPV</t>
        </is>
      </c>
      <c r="B29" s="603" t="n">
        <v>0.0839</v>
      </c>
      <c r="C29" s="508" t="inlineStr">
        <is>
          <t>Default: the financing rate</t>
        </is>
      </c>
      <c r="D29" s="501" t="n"/>
      <c r="E29" s="501" t="n"/>
      <c r="F29" s="501"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002E7D5B"/>
    <outlinePr summaryBelow="1"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0"/>
  <cols>
    <col width="38" customWidth="1" style="253" min="1" max="1"/>
    <col width="34" customWidth="1" style="253" min="2" max="2"/>
    <col width="40" customWidth="1" style="253" min="3" max="3"/>
    <col width="34" customWidth="1" style="253" min="4" max="7"/>
    <col width="13" customWidth="1" style="254" min="5" max="5"/>
    <col width="13" customWidth="1" style="254" min="6" max="6"/>
    <col width="13" customWidth="1" style="254" min="7" max="7"/>
  </cols>
  <sheetData>
    <row r="1" ht="25.5" customHeight="1" s="254">
      <c r="A1" s="255" t="inlineStr">
        <is>
          <t>6 · REVENUE ASSUMPTIONS</t>
        </is>
      </c>
      <c r="G1" s="501" t="n"/>
    </row>
    <row r="2" ht="39.64" customHeight="1" s="254">
      <c r="A2" s="265" t="inlineStr">
        <is>
          <t>Every one of these will be challenged by the customer. Set them where you can defend them.</t>
        </is>
      </c>
      <c r="B2" s="501" t="n"/>
      <c r="C2" s="501" t="n"/>
      <c r="D2" s="501" t="n"/>
      <c r="E2" s="501" t="n"/>
      <c r="F2" s="501" t="n"/>
      <c r="G2" s="501" t="n"/>
    </row>
    <row r="3">
      <c r="A3" s="501" t="n"/>
      <c r="B3" s="501" t="n"/>
      <c r="C3" s="501" t="n"/>
      <c r="D3" s="501" t="n"/>
      <c r="E3" s="501" t="n"/>
      <c r="F3" s="501" t="n"/>
      <c r="G3" s="501" t="n"/>
    </row>
    <row r="4" ht="15" customHeight="1" s="254">
      <c r="A4" s="262" t="inlineStr">
        <is>
          <t>Pricing</t>
        </is>
      </c>
      <c r="B4" s="501" t="n"/>
      <c r="C4" s="501" t="n"/>
      <c r="D4" s="501" t="n"/>
      <c r="E4" s="501" t="n"/>
      <c r="F4" s="501" t="n"/>
      <c r="G4" s="501" t="n"/>
    </row>
    <row r="5" ht="15" customHeight="1" s="254">
      <c r="A5" s="263" t="inlineStr">
        <is>
          <t>Retail price to driver ($/kWh)</t>
        </is>
      </c>
      <c r="B5" s="607" t="n">
        <v>0.65</v>
      </c>
      <c r="C5" s="501" t="n"/>
      <c r="D5" s="501" t="n"/>
      <c r="E5" s="501" t="n"/>
      <c r="F5" s="501" t="n"/>
      <c r="G5" s="501" t="n"/>
    </row>
    <row r="6" ht="30.4" customHeight="1" s="254">
      <c r="A6" s="527" t="inlineStr">
        <is>
          <t>Delivered energy cost — leave blank, now derived</t>
        </is>
      </c>
      <c r="B6" s="406">
        <f>IF(N($B$91)=0,"",$B$91)</f>
        <v/>
      </c>
      <c r="C6" s="505" t="inlineStr">
        <is>
          <t>Derived from the tariff block at the foot of this tab. Set the figures there.</t>
        </is>
      </c>
      <c r="D6" s="501" t="n"/>
      <c r="E6" s="501" t="n"/>
      <c r="F6" s="501" t="n"/>
      <c r="G6" s="501" t="n"/>
    </row>
    <row r="7" ht="31.5" customHeight="1" s="254">
      <c r="A7" s="527" t="inlineStr">
        <is>
          <t>Utility subscription — leave blank, now derived</t>
        </is>
      </c>
      <c r="B7" s="407">
        <f>IF(N($B$95)=0,"",$B$95)</f>
        <v/>
      </c>
      <c r="C7" s="531" t="inlineStr">
        <is>
          <t>Customer charge plus demand charge, annualised, from the tariff block at the foot of this tab. On a demand schedule this is the largest number on the page.</t>
        </is>
      </c>
      <c r="D7" s="501" t="n"/>
      <c r="E7" s="501" t="n"/>
      <c r="F7" s="501" t="n"/>
      <c r="G7" s="501" t="n"/>
    </row>
    <row r="8" ht="15" customHeight="1" s="254">
      <c r="A8" s="263" t="inlineStr">
        <is>
          <t>Card processing fee (% of gross)</t>
        </is>
      </c>
      <c r="B8" s="588" t="n">
        <v>0.03</v>
      </c>
      <c r="C8" s="501" t="n"/>
      <c r="D8" s="501" t="n"/>
      <c r="E8" s="501" t="n"/>
      <c r="F8" s="501" t="n"/>
      <c r="G8" s="501" t="n"/>
    </row>
    <row r="9" ht="15" customHeight="1" s="254">
      <c r="A9" s="263" t="inlineStr">
        <is>
          <t>Idle fee revenue included?</t>
        </is>
      </c>
      <c r="B9" s="565" t="inlineStr">
        <is>
          <t>No</t>
        </is>
      </c>
      <c r="C9" s="508" t="inlineStr">
        <is>
          <t>Keep this No unless it is contracted</t>
        </is>
      </c>
      <c r="D9" s="501" t="n"/>
      <c r="E9" s="501" t="n"/>
      <c r="F9" s="501" t="n"/>
      <c r="G9" s="501" t="n"/>
    </row>
    <row r="10">
      <c r="A10" s="501" t="n"/>
      <c r="B10" s="501" t="n"/>
      <c r="C10" s="501" t="n"/>
      <c r="D10" s="501" t="n"/>
      <c r="E10" s="501" t="n"/>
      <c r="F10" s="501" t="n"/>
      <c r="G10" s="501" t="n"/>
    </row>
    <row r="11" ht="15" customHeight="1" s="254">
      <c r="A11" s="262" t="inlineStr">
        <is>
          <t>Utilisation — steady state</t>
        </is>
      </c>
      <c r="B11" s="501" t="n"/>
      <c r="C11" s="501" t="n"/>
      <c r="D11" s="501" t="n"/>
      <c r="E11" s="501" t="n"/>
      <c r="F11" s="501" t="n"/>
      <c r="G11" s="501" t="n"/>
    </row>
    <row r="12" ht="15" customHeight="1" s="254">
      <c r="A12" s="263" t="inlineStr">
        <is>
          <t>Hours per day the site is chargeable</t>
        </is>
      </c>
      <c r="B12" s="608">
        <f>Project!B22</f>
        <v/>
      </c>
      <c r="C12" s="508" t="inlineStr">
        <is>
          <t>From 1_Project</t>
        </is>
      </c>
      <c r="D12" s="501" t="n"/>
      <c r="E12" s="501" t="n"/>
      <c r="F12" s="501" t="n"/>
      <c r="G12" s="501" t="n"/>
    </row>
    <row r="13" ht="30.4" customHeight="1" s="254">
      <c r="A13" s="527" t="inlineStr">
        <is>
          <t>Stall occupancy (share of stalls used per day)</t>
        </is>
      </c>
      <c r="B13" s="588" t="n">
        <v>0.2</v>
      </c>
      <c r="C13" s="501" t="n"/>
      <c r="D13" s="501" t="n"/>
      <c r="E13" s="501" t="n"/>
      <c r="F13" s="501" t="n"/>
      <c r="G13" s="501" t="n"/>
    </row>
    <row r="14" ht="31.5" customHeight="1" s="254">
      <c r="A14" s="271" t="inlineStr">
        <is>
          <t>Charging hours per occupied stall, as share of open hours</t>
        </is>
      </c>
      <c r="B14" s="588" t="n">
        <v>0.25</v>
      </c>
      <c r="C14" s="501" t="n"/>
      <c r="D14" s="501" t="n"/>
      <c r="E14" s="501" t="n"/>
      <c r="F14" s="501" t="n"/>
      <c r="G14" s="501" t="n"/>
    </row>
    <row r="15" ht="15" customHeight="1" s="254">
      <c r="A15" s="263" t="inlineStr">
        <is>
          <t>Nameplate de-rate factor</t>
        </is>
      </c>
      <c r="B15" s="609" t="n">
        <v>0.98</v>
      </c>
      <c r="C15" s="508" t="inlineStr">
        <is>
          <t>Cabinet output vs label</t>
        </is>
      </c>
      <c r="D15" s="501" t="n"/>
      <c r="E15" s="501" t="n"/>
      <c r="F15" s="501" t="n"/>
      <c r="G15" s="501" t="n"/>
    </row>
    <row r="16" ht="30.4" customHeight="1" s="254">
      <c r="A16" s="527" t="inlineStr">
        <is>
          <t>Average delivered power, share of port rating</t>
        </is>
      </c>
      <c r="B16" s="595" t="n">
        <v>0.7</v>
      </c>
      <c r="C16" s="508" t="inlineStr">
        <is>
          <t>CHARGING-CURVE TAPER</t>
        </is>
      </c>
      <c r="D16" s="501" t="n"/>
      <c r="E16" s="501" t="n"/>
      <c r="F16" s="501" t="n"/>
      <c r="G16" s="501" t="n"/>
    </row>
    <row r="17">
      <c r="A17" s="501" t="n"/>
      <c r="B17" s="501" t="n"/>
      <c r="C17" s="501" t="n"/>
      <c r="D17" s="501" t="n"/>
      <c r="E17" s="501" t="n"/>
      <c r="F17" s="501" t="n"/>
      <c r="G17" s="501" t="n"/>
    </row>
    <row r="18" ht="15" customHeight="1" s="254">
      <c r="A18" s="262" t="inlineStr">
        <is>
          <t>Ramp and growth</t>
        </is>
      </c>
      <c r="B18" s="501" t="n"/>
      <c r="C18" s="501" t="n"/>
      <c r="D18" s="501" t="n"/>
      <c r="E18" s="501" t="n"/>
      <c r="F18" s="501" t="n"/>
      <c r="G18" s="501" t="n"/>
    </row>
    <row r="19" ht="15" customHeight="1" s="254">
      <c r="A19" s="263" t="inlineStr">
        <is>
          <t>Year 1 share of steady state</t>
        </is>
      </c>
      <c r="B19" s="595" t="n">
        <v>0.5</v>
      </c>
      <c r="C19" s="508" t="inlineStr">
        <is>
          <t>Greenfield sites take time to fill</t>
        </is>
      </c>
      <c r="D19" s="501" t="n"/>
      <c r="E19" s="501" t="n"/>
      <c r="F19" s="501" t="n"/>
      <c r="G19" s="501" t="n"/>
    </row>
    <row r="20" ht="15" customHeight="1" s="254">
      <c r="A20" s="263" t="inlineStr">
        <is>
          <t>Year 2 share of steady state</t>
        </is>
      </c>
      <c r="B20" s="595" t="n">
        <v>0.75</v>
      </c>
      <c r="C20" s="501" t="n"/>
      <c r="D20" s="501" t="n"/>
      <c r="E20" s="501" t="n"/>
      <c r="F20" s="501" t="n"/>
      <c r="G20" s="501" t="n"/>
    </row>
    <row r="21" ht="15" customHeight="1" s="254">
      <c r="A21" s="263" t="inlineStr">
        <is>
          <t>Year 3 share of steady state</t>
        </is>
      </c>
      <c r="B21" s="595" t="n">
        <v>1</v>
      </c>
      <c r="C21" s="501" t="n"/>
      <c r="D21" s="501" t="n"/>
      <c r="E21" s="501" t="n"/>
      <c r="F21" s="501" t="n"/>
      <c r="G21" s="501" t="n"/>
    </row>
    <row r="22" ht="15" customHeight="1" s="254">
      <c r="A22" s="263" t="inlineStr">
        <is>
          <t>Annual growth after ramp</t>
        </is>
      </c>
      <c r="B22" s="588" t="n">
        <v>0.06</v>
      </c>
      <c r="C22" s="508" t="inlineStr">
        <is>
          <t>Justify as a level, not a rate</t>
        </is>
      </c>
      <c r="D22" s="501" t="n"/>
      <c r="E22" s="501" t="n"/>
      <c r="F22" s="501" t="n"/>
      <c r="G22" s="501" t="n"/>
    </row>
    <row r="23">
      <c r="A23" s="501" t="n"/>
      <c r="B23" s="501" t="n"/>
      <c r="C23" s="501" t="n"/>
      <c r="D23" s="501" t="n"/>
      <c r="E23" s="501" t="n"/>
      <c r="F23" s="501" t="n"/>
      <c r="G23" s="501" t="n"/>
    </row>
    <row r="24" ht="47.56" customHeight="1" s="254">
      <c r="A24" s="335" t="inlineStr">
        <is>
          <t>Historical actuals — replacement sites only, leave blank for greenfield</t>
        </is>
      </c>
      <c r="B24" s="501" t="n"/>
      <c r="C24" s="501" t="n"/>
      <c r="D24" s="501" t="n"/>
      <c r="E24" s="501" t="n"/>
      <c r="F24" s="501" t="n"/>
      <c r="G24" s="501" t="n"/>
    </row>
    <row r="25" ht="15" customHeight="1" s="254">
      <c r="A25" s="263" t="inlineStr">
        <is>
          <t>Months of history available</t>
        </is>
      </c>
      <c r="B25" s="593" t="n"/>
      <c r="C25" s="501" t="n"/>
      <c r="D25" s="501" t="n"/>
      <c r="E25" s="501" t="n"/>
      <c r="F25" s="501" t="n"/>
      <c r="G25" s="501" t="n"/>
    </row>
    <row r="26" ht="15" customHeight="1" s="254">
      <c r="A26" s="263" t="inlineStr">
        <is>
          <t>Historical kWh dispensed per day</t>
        </is>
      </c>
      <c r="B26" s="610" t="n"/>
      <c r="C26" s="501" t="n"/>
      <c r="D26" s="501" t="n"/>
      <c r="E26" s="501" t="n"/>
      <c r="F26" s="501" t="n"/>
      <c r="G26" s="501" t="n"/>
    </row>
    <row r="27" ht="15" customHeight="1" s="254">
      <c r="A27" s="263" t="inlineStr">
        <is>
          <t>Historical gross revenue per year</t>
        </is>
      </c>
      <c r="B27" s="611" t="n"/>
      <c r="C27" s="501" t="n"/>
      <c r="D27" s="501" t="n"/>
      <c r="E27" s="501" t="n"/>
      <c r="F27" s="501" t="n"/>
      <c r="G27" s="501" t="n"/>
    </row>
    <row r="28" ht="15" customHeight="1" s="254">
      <c r="A28" s="263" t="inlineStr">
        <is>
          <t>Historical net profit per year</t>
        </is>
      </c>
      <c r="B28" s="611" t="n"/>
      <c r="C28" s="501" t="n"/>
      <c r="D28" s="501" t="n"/>
      <c r="E28" s="501" t="n"/>
      <c r="F28" s="501" t="n"/>
      <c r="G28" s="501" t="n"/>
    </row>
    <row r="29" ht="15" customHeight="1" s="254">
      <c r="A29" s="263" t="inlineStr">
        <is>
          <t>Ports in service on an average day</t>
        </is>
      </c>
      <c r="B29" s="612" t="n"/>
      <c r="C29" s="501" t="n"/>
      <c r="D29" s="501" t="n"/>
      <c r="E29" s="501" t="n"/>
      <c r="F29" s="501" t="n"/>
      <c r="G29" s="501" t="n"/>
    </row>
    <row r="30" ht="15" customHeight="1" s="254">
      <c r="A30" s="263" t="inlineStr">
        <is>
          <t>Share of sessions under 1 kWh</t>
        </is>
      </c>
      <c r="B30" s="613" t="n"/>
      <c r="C30" s="508" t="inlineStr">
        <is>
          <t>Failed-session rate</t>
        </is>
      </c>
      <c r="D30" s="501" t="n"/>
      <c r="E30" s="501" t="n"/>
      <c r="F30" s="501" t="n"/>
      <c r="G30" s="501" t="n"/>
    </row>
    <row r="31">
      <c r="A31" s="501" t="n"/>
      <c r="B31" s="501" t="n"/>
      <c r="C31" s="501" t="n"/>
      <c r="D31" s="501" t="n"/>
      <c r="E31" s="501" t="n"/>
      <c r="F31" s="501" t="n"/>
      <c r="G31" s="501" t="n"/>
    </row>
    <row r="32" ht="33.04000000000001" customHeight="1" s="254">
      <c r="A32" s="335" t="inlineStr">
        <is>
          <t>Utility rate selection — drives the delivered energy cost</t>
        </is>
      </c>
      <c r="B32" s="501" t="n"/>
      <c r="C32" s="501" t="n"/>
      <c r="D32" s="501" t="n"/>
      <c r="E32" s="501" t="n"/>
      <c r="F32" s="501" t="n"/>
      <c r="G32" s="501" t="n"/>
    </row>
    <row r="33" ht="19.5" customHeight="1" s="254">
      <c r="A33" s="393" t="inlineStr">
        <is>
          <t>Pick the utility and schedule and the model derives $/kWh and the subscription from the tariff. No blended guess required.</t>
        </is>
      </c>
      <c r="F33" s="501" t="n"/>
      <c r="G33" s="501" t="n"/>
    </row>
    <row r="34">
      <c r="A34" s="501" t="n"/>
      <c r="B34" s="501" t="n"/>
      <c r="C34" s="501" t="n"/>
      <c r="D34" s="501" t="n"/>
      <c r="E34" s="501" t="n"/>
      <c r="F34" s="501" t="n"/>
      <c r="G34" s="501" t="n"/>
    </row>
    <row r="35" ht="19.5" customHeight="1" s="254">
      <c r="A35" s="263" t="inlineStr">
        <is>
          <t>Utility</t>
        </is>
      </c>
      <c r="B35" s="413">
        <f>IF(Project!$B$26="","",Project!$B$26)</f>
        <v/>
      </c>
      <c r="C35" s="505" t="inlineStr">
        <is>
          <t>Reads the utility named on the Project tab. Set it there.</t>
        </is>
      </c>
      <c r="D35" s="501" t="n"/>
      <c r="E35" s="501" t="n"/>
      <c r="F35" s="501" t="n"/>
      <c r="G35" s="501" t="n"/>
    </row>
    <row r="36" ht="26.44" customHeight="1" s="254">
      <c r="A36" s="263" t="inlineStr">
        <is>
          <t>Rate schedule</t>
        </is>
      </c>
      <c r="B36" s="580" t="n"/>
      <c r="C36" s="531" t="inlineStr">
        <is>
          <t>Pick the schedule this site will actually take. The list is on the Utilities tab under RATE SCHEDULE PICKER; add the schedule there first if it is not on it.</t>
        </is>
      </c>
      <c r="D36" s="501" t="n"/>
      <c r="E36" s="501" t="n"/>
      <c r="F36" s="501" t="n"/>
      <c r="G36" s="501" t="n"/>
    </row>
    <row r="37" ht="26.44" customHeight="1" s="254">
      <c r="A37" s="263" t="inlineStr">
        <is>
          <t>Service voltage level</t>
        </is>
      </c>
      <c r="B37" s="580" t="n"/>
      <c r="C37" s="505" t="inlineStr">
        <is>
          <t>Secondary or primary. On schedules that price them differently this changes the rate.</t>
        </is>
      </c>
      <c r="D37" s="501" t="n"/>
      <c r="E37" s="501" t="n"/>
      <c r="F37" s="501" t="n"/>
      <c r="G37" s="501" t="n"/>
    </row>
    <row r="38" ht="26.44" customHeight="1" s="254">
      <c r="A38" s="263" t="inlineStr">
        <is>
          <t>Share of energy dispensed on-peak</t>
        </is>
      </c>
      <c r="B38" s="588" t="n"/>
      <c r="C38" s="531" t="inlineStr">
        <is>
          <t>Only if the schedule has time-of-use periods, and then from ITS periods — not from a remembered 4-9 pm peak. Leave all three blank on a flat schedule.</t>
        </is>
      </c>
      <c r="D38" s="501" t="n"/>
      <c r="E38" s="501" t="n"/>
      <c r="F38" s="501" t="n"/>
      <c r="G38" s="501" t="n"/>
    </row>
    <row r="39" ht="15" customHeight="1" s="254">
      <c r="A39" s="263" t="inlineStr">
        <is>
          <t>Share off-peak</t>
        </is>
      </c>
      <c r="B39" s="588" t="n"/>
      <c r="C39" s="501" t="n"/>
      <c r="D39" s="501" t="n"/>
      <c r="E39" s="501" t="n"/>
      <c r="F39" s="501" t="n"/>
      <c r="G39" s="501" t="n"/>
    </row>
    <row r="40" ht="19.5" customHeight="1" s="254">
      <c r="A40" s="263" t="inlineStr">
        <is>
          <t>Share super off-peak</t>
        </is>
      </c>
      <c r="B40" s="588" t="n"/>
      <c r="C40" s="505" t="inlineStr">
        <is>
          <t>The three shares must sum to 100% where they are used at all.</t>
        </is>
      </c>
      <c r="D40" s="501" t="n"/>
      <c r="E40" s="501" t="n"/>
      <c r="F40" s="501" t="n"/>
      <c r="G40" s="501" t="n"/>
    </row>
    <row r="41" ht="30.4" customHeight="1" s="254">
      <c r="A41" s="527" t="inlineStr">
        <is>
          <t>Expected peak concurrency (ports drawing at once)</t>
        </is>
      </c>
      <c r="B41" s="414">
        <f>IF(OR(N($B$117)=0,N($B$52)=0),"",ROUNDUP($B$117*$B$52,0))</f>
        <v/>
      </c>
      <c r="C41" s="614" t="inlineStr">
        <is>
          <t>DERIVED, not typed. Average concurrent positions across both streams (the block at the foot of this tab) times the peak-to-average factor below.</t>
        </is>
      </c>
      <c r="D41" s="501" t="n"/>
      <c r="E41" s="501" t="n"/>
      <c r="F41" s="501" t="n"/>
      <c r="G41" s="501" t="n"/>
    </row>
    <row r="42" ht="48.88" customHeight="1" s="254">
      <c r="A42" s="263" t="inlineStr">
        <is>
          <t>Subscribed kW</t>
        </is>
      </c>
      <c r="B42" s="414">
        <f>IF(N($B$41)=0,"",IF($B$51="Subscribe at full nameplate",Equipment!$B$23,$B$41*IF(N($B$117)=0,0,($B$115*IF($B$54="Yes",$B$74,$B$75)+$B$116*IF($B$54="Yes",$B$108,$B$108*$B$15))/$B$117)*(1+N($B$53))))</f>
        <v/>
      </c>
      <c r="C42" s="6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c r="D42" s="501" t="n"/>
      <c r="E42" s="501" t="n"/>
      <c r="F42" s="501" t="n"/>
      <c r="G42" s="501" t="n"/>
    </row>
    <row r="43">
      <c r="A43" s="501" t="n"/>
      <c r="B43" s="501" t="n"/>
      <c r="C43" s="501" t="n"/>
      <c r="D43" s="501" t="n"/>
      <c r="E43" s="501" t="n"/>
      <c r="F43" s="501" t="n"/>
      <c r="G43" s="501" t="n"/>
    </row>
    <row r="44" ht="15" customHeight="1" s="254">
      <c r="A44" s="262" t="inlineStr">
        <is>
          <t>Market benchmarking</t>
        </is>
      </c>
      <c r="B44" s="501" t="n"/>
      <c r="C44" s="501" t="n"/>
      <c r="D44" s="501" t="n"/>
      <c r="E44" s="501" t="n"/>
      <c r="F44" s="501" t="n"/>
      <c r="G44" s="501" t="n"/>
    </row>
    <row r="45" ht="26.44" customHeight="1" s="254">
      <c r="A45" s="263" t="inlineStr">
        <is>
          <t>State for benchmarking</t>
        </is>
      </c>
      <c r="B45" s="575" t="n"/>
      <c r="C45" s="531" t="inlineStr">
        <is>
          <t>REQUIRED. Pick the market this projection should be tested against — the list is on RefData under MARKET BENCHMARKS. There is no default: this used to say California on every project regardless of where the site was.</t>
        </is>
      </c>
      <c r="D45" s="501" t="n"/>
      <c r="E45" s="501" t="n"/>
      <c r="F45" s="501" t="n"/>
      <c r="G45" s="501" t="n"/>
    </row>
    <row r="46" ht="30.4" customHeight="1" s="254">
      <c r="A46" s="527" t="inlineStr">
        <is>
          <t>Expected site factor (% of the state average port)</t>
        </is>
      </c>
      <c r="B46" s="615" t="n"/>
      <c r="C46" s="507" t="inlineStr">
        <is>
          <t>Leave blank and the model derives it from your utilisation inputs</t>
        </is>
      </c>
      <c r="D46" s="501" t="n"/>
      <c r="E46" s="501" t="n"/>
      <c r="F46" s="501" t="n"/>
      <c r="G46" s="501" t="n"/>
    </row>
    <row r="47">
      <c r="A47" s="501" t="n"/>
      <c r="B47" s="501" t="n"/>
      <c r="C47" s="501" t="n"/>
      <c r="D47" s="501" t="n"/>
      <c r="E47" s="501" t="n"/>
      <c r="F47" s="501" t="n"/>
      <c r="G47" s="501" t="n"/>
    </row>
    <row r="48" ht="33.04000000000001" customHeight="1" s="254">
      <c r="A48" s="529" t="inlineStr">
        <is>
          <t>Demand subscription — how it should ramp</t>
        </is>
      </c>
      <c r="B48" s="501" t="n"/>
      <c r="C48" s="501" t="n"/>
      <c r="D48" s="501" t="n"/>
      <c r="E48" s="501" t="n"/>
      <c r="F48" s="501" t="n"/>
      <c r="G48" s="501" t="n"/>
    </row>
    <row r="49" ht="19.5" customHeight="1" s="254">
      <c r="A49" s="393" t="inlineStr">
        <is>
          <t>Demand charges are set by simultaneous draw, not annual energy. A site that fills gradually should not carry a full-nameplate subscription from day one.</t>
        </is>
      </c>
      <c r="F49" s="501" t="n"/>
      <c r="G49" s="501" t="n"/>
    </row>
    <row r="50">
      <c r="A50" s="501" t="n"/>
      <c r="B50" s="501" t="n"/>
      <c r="C50" s="501" t="n"/>
      <c r="D50" s="501" t="n"/>
      <c r="E50" s="501" t="n"/>
      <c r="F50" s="501" t="n"/>
      <c r="G50" s="501" t="n"/>
    </row>
    <row r="51" ht="15" customHeight="1" s="254">
      <c r="A51" s="263" t="inlineStr">
        <is>
          <t>Subscription policy</t>
        </is>
      </c>
      <c r="B51" s="575" t="inlineStr">
        <is>
          <t>Ramped to projected demand</t>
        </is>
      </c>
      <c r="C51" s="501" t="n"/>
      <c r="D51" s="501" t="n"/>
      <c r="E51" s="501" t="n"/>
      <c r="F51" s="501" t="n"/>
      <c r="G51" s="501" t="n"/>
    </row>
    <row r="52" ht="15" customHeight="1" s="254">
      <c r="A52" s="263" t="inlineStr">
        <is>
          <t>Peak-to-average concurrency factor</t>
        </is>
      </c>
      <c r="B52" s="616" t="n">
        <v>4</v>
      </c>
      <c r="C52" s="508" t="inlineStr">
        <is>
          <t>Ratio of peak simultaneous draw to the daily average</t>
        </is>
      </c>
      <c r="D52" s="501" t="n"/>
      <c r="E52" s="501" t="n"/>
      <c r="F52" s="501" t="n"/>
      <c r="G52" s="501" t="n"/>
    </row>
    <row r="53" ht="15" customHeight="1" s="254">
      <c r="A53" s="263" t="inlineStr">
        <is>
          <t>Safety margin on subscribed kW</t>
        </is>
      </c>
      <c r="B53" s="588" t="n">
        <v>0.2</v>
      </c>
      <c r="C53" s="508" t="inlineStr">
        <is>
          <t>Headroom above projected peak before overage bites</t>
        </is>
      </c>
      <c r="D53" s="501" t="n"/>
      <c r="E53" s="501" t="n"/>
      <c r="F53" s="501" t="n"/>
      <c r="G53" s="501" t="n"/>
    </row>
    <row r="54" ht="15" customHeight="1" s="254">
      <c r="A54" s="263" t="inlineStr">
        <is>
          <t>Size demand on full port rating?</t>
        </is>
      </c>
      <c r="B54" s="575" t="inlineStr">
        <is>
          <t>Yes</t>
        </is>
      </c>
      <c r="C54" s="508" t="inlineStr">
        <is>
          <t>A vehicle at the start of a session draws full power</t>
        </is>
      </c>
      <c r="D54" s="501" t="n"/>
      <c r="E54" s="501" t="n"/>
      <c r="F54" s="501" t="n"/>
      <c r="G54" s="501" t="n"/>
    </row>
    <row r="55" ht="30.4" customHeight="1" s="254">
      <c r="A55" s="527" t="inlineStr">
        <is>
          <t>Interval data available from the utility?</t>
        </is>
      </c>
      <c r="B55" s="580" t="n"/>
      <c r="C55" s="508" t="inlineStr">
        <is>
          <t>Lets the subscription be trued up after two quarters</t>
        </is>
      </c>
      <c r="D55" s="501" t="n"/>
      <c r="E55" s="501" t="n"/>
      <c r="F55" s="501" t="n"/>
      <c r="G55" s="501" t="n"/>
    </row>
    <row r="56" ht="14.25" customHeight="1" s="254">
      <c r="A56" s="263" t="inlineStr">
        <is>
          <t>Annual tariff escalation</t>
        </is>
      </c>
      <c r="B56" s="588" t="n">
        <v>0</v>
      </c>
      <c r="C56" s="508" t="inlineStr">
        <is>
          <t>Applied to the demand and block rates year by year in the model. Zero holds the tariff flat for the whole horizon, which no utility has ever done — enter the utility's adopted or proposed path where there is one.</t>
        </is>
      </c>
      <c r="D56" s="501" t="n"/>
      <c r="E56" s="501" t="n"/>
      <c r="F56" s="501" t="n"/>
      <c r="G56" s="501" t="n"/>
    </row>
    <row r="57" ht="33.04000000000001" customHeight="1" s="254">
      <c r="A57" s="335" t="inlineStr">
        <is>
          <t>Revenue basis — greenfield benchmark or historical actuals</t>
        </is>
      </c>
      <c r="B57" s="501" t="n"/>
      <c r="C57" s="501" t="n"/>
      <c r="D57" s="501" t="n"/>
      <c r="E57" s="501" t="n"/>
      <c r="F57" s="501" t="n"/>
      <c r="G57" s="501" t="n"/>
    </row>
    <row r="58" ht="27.76" customHeight="1" s="254">
      <c r="A58" s="285"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7.76" customHeight="1" s="254">
      <c r="A59" s="263" t="inlineStr">
        <is>
          <t>Revenue basis</t>
        </is>
      </c>
      <c r="B59" s="532" t="inlineStr">
        <is>
          <t>Market benchmark — greenfield</t>
        </is>
      </c>
      <c r="C59" s="522" t="inlineStr">
        <is>
          <t>Switch to historical actuals on any site with twelve or more months of usable data.</t>
        </is>
      </c>
      <c r="D59" s="501" t="n"/>
      <c r="E59" s="501" t="n"/>
      <c r="F59" s="501" t="n"/>
      <c r="G59" s="501" t="n"/>
    </row>
    <row r="60">
      <c r="A60" s="501" t="n"/>
      <c r="B60" s="501" t="n"/>
      <c r="C60" s="501" t="n"/>
      <c r="D60" s="501" t="n"/>
      <c r="E60" s="501" t="n"/>
      <c r="F60" s="501" t="n"/>
      <c r="G60" s="501" t="n"/>
    </row>
    <row r="61" ht="19.5" customHeight="1" s="254">
      <c r="A61" s="263" t="inlineStr">
        <is>
          <t>Months of history available</t>
        </is>
      </c>
      <c r="B61" s="300">
        <f>Existing!$B$104</f>
        <v/>
      </c>
      <c r="C61" s="522" t="inlineStr">
        <is>
          <t>From the Existing tab section E.</t>
        </is>
      </c>
      <c r="D61" s="501" t="n"/>
      <c r="E61" s="501" t="n"/>
      <c r="F61" s="501" t="n"/>
      <c r="G61" s="501" t="n"/>
    </row>
    <row r="62" ht="15" customHeight="1" s="254">
      <c r="A62" s="263" t="inlineStr">
        <is>
          <t>Historical kWh per year</t>
        </is>
      </c>
      <c r="B62" s="300">
        <f>Existing!$B$112</f>
        <v/>
      </c>
      <c r="C62" s="501" t="n"/>
      <c r="D62" s="501" t="n"/>
      <c r="E62" s="501" t="n"/>
      <c r="F62" s="501" t="n"/>
      <c r="G62" s="501" t="n"/>
    </row>
    <row r="63" ht="15" customHeight="1" s="254">
      <c r="A63" s="263" t="inlineStr">
        <is>
          <t>Combined uplift multiple</t>
        </is>
      </c>
      <c r="B63" s="418">
        <f>Existing!$B$155</f>
        <v/>
      </c>
      <c r="C63" s="501" t="n"/>
      <c r="D63" s="501" t="n"/>
      <c r="E63" s="501" t="n"/>
      <c r="F63" s="501" t="n"/>
      <c r="G63" s="501" t="n"/>
    </row>
    <row r="64" ht="31.5" customHeight="1" s="254">
      <c r="A64" s="545" t="inlineStr">
        <is>
          <t>Projected kWh per year — replacement basis</t>
        </is>
      </c>
      <c r="B64" s="305">
        <f>Existing!$B$156</f>
        <v/>
      </c>
      <c r="C64" s="522" t="inlineStr">
        <is>
          <t>History times the stated uplifts. This is what the model uses when the basis above is set to historical actuals.</t>
        </is>
      </c>
      <c r="D64" s="501" t="n"/>
      <c r="E64" s="501" t="n"/>
      <c r="F64" s="501" t="n"/>
      <c r="G64" s="501" t="n"/>
    </row>
    <row r="65">
      <c r="A65" s="501" t="n"/>
      <c r="B65" s="501" t="n"/>
      <c r="C65" s="501" t="n"/>
      <c r="D65" s="501" t="n"/>
      <c r="E65" s="501" t="n"/>
      <c r="F65" s="501" t="n"/>
      <c r="G65" s="501" t="n"/>
    </row>
    <row r="66" ht="31.5" customHeight="1" s="254">
      <c r="A66" s="257" t="inlineStr">
        <is>
          <t>Which basis is in force?</t>
        </is>
      </c>
      <c r="B66" s="30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521" t="inlineStr">
        <is>
          <t>A replacement site running on market benchmarks is throwing away its best evidence.</t>
        </is>
      </c>
      <c r="E66" s="501" t="n"/>
      <c r="F66" s="501" t="n"/>
      <c r="G66" s="501" t="n"/>
    </row>
    <row r="67" ht="31.5" customHeight="1" s="254">
      <c r="A67" s="545" t="inlineStr">
        <is>
          <t>Historical price against the proposed price</t>
        </is>
      </c>
      <c r="B67" s="301">
        <f>IF(Existing!$B$116=0,"no history entered","History "&amp;TEXT(Existing!$B$116,"$0.000")&amp;" vs proposed "&amp;TEXT($B$5,"$0.000")&amp;" — "&amp;TEXT(IF(Existing!$B$116=0,0,$B$5/Existing!$B$116-1),"+0.0%;-0.0%"))</f>
        <v/>
      </c>
      <c r="C67" s="299" t="n"/>
      <c r="D67" s="521" t="inlineStr">
        <is>
          <t>A large price increase on a site with a settled driver base is a demand risk, not a revenue gain.</t>
        </is>
      </c>
      <c r="E67" s="501" t="n"/>
      <c r="F67" s="501" t="n"/>
      <c r="G67" s="501" t="n"/>
    </row>
    <row r="68" ht="31.5" customHeight="1" s="254">
      <c r="A68" s="545" t="inlineStr">
        <is>
          <t>Historical delivered cost against the tariff estimate</t>
        </is>
      </c>
      <c r="B68" s="301">
        <f>IF(Existing!$B$117=0,"no history entered","Twelve months of billing says "&amp;TEXT(Existing!$B$117,"$0.0000")&amp;" all-in. Use it in preference to any tariff estimate.")</f>
        <v/>
      </c>
      <c r="C68" s="299" t="n"/>
      <c r="D68" s="521" t="inlineStr">
        <is>
          <t>Actual billing beats a tariff lookup every time. This is the number to carry into the model.</t>
        </is>
      </c>
      <c r="E68" s="501" t="n"/>
      <c r="F68" s="501" t="n"/>
      <c r="G68" s="501" t="n"/>
    </row>
    <row r="69">
      <c r="A69" s="501" t="n"/>
      <c r="B69" s="501" t="n"/>
      <c r="C69" s="501" t="n"/>
      <c r="D69" s="501" t="n"/>
      <c r="E69" s="501" t="n"/>
      <c r="F69" s="501" t="n"/>
      <c r="G69" s="501" t="n"/>
    </row>
    <row r="70" ht="29.08" customHeight="1" s="254">
      <c r="A70" s="290"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c r="A71" s="501" t="n"/>
      <c r="B71" s="501" t="n"/>
      <c r="C71" s="501" t="n"/>
      <c r="D71" s="501" t="n"/>
      <c r="E71" s="501" t="n"/>
      <c r="F71" s="501" t="n"/>
      <c r="G71" s="501" t="n"/>
    </row>
    <row r="72" ht="33.04000000000001" customHeight="1" s="254">
      <c r="A72" s="335" t="inlineStr">
        <is>
          <t>STEADY-STATE PROJECTION — the greenfield basis, computed here</t>
        </is>
      </c>
      <c r="B72" s="501" t="n"/>
      <c r="C72" s="501" t="n"/>
      <c r="D72" s="501" t="n"/>
      <c r="E72" s="501" t="n"/>
      <c r="F72" s="501" t="n"/>
      <c r="G72" s="501" t="n"/>
    </row>
    <row r="73" ht="26.44" customHeight="1" s="254">
      <c r="A73" s="419" t="inlineStr">
        <is>
          <t>The model used to compute this downstream, which meant nothing on this sheet could test it. It is computed here so the market cross-check on the Existing tab has something to read on a site with no history.</t>
        </is>
      </c>
      <c r="E73" s="501" t="n"/>
      <c r="F73" s="501" t="n"/>
      <c r="G73" s="501" t="n"/>
    </row>
    <row r="74" ht="37.66" customHeight="1" s="254">
      <c r="A74" s="263" t="inlineStr">
        <is>
          <t>Power per position (kW)</t>
        </is>
      </c>
      <c r="B74" s="420">
        <f>IF(N(Equipment!$B$22-$B$107)=0,0,Equipment!$B$26/(Equipment!$B$22-$B$107))</f>
        <v/>
      </c>
      <c r="C74" s="261" t="inlineStr">
        <is>
          <t>DC positions only: DC output over DC connectors. Level 2 has its own block at the foot of this tab.</t>
        </is>
      </c>
      <c r="D74" s="501" t="n"/>
      <c r="E74" s="501" t="n"/>
      <c r="F74" s="501" t="n"/>
      <c r="G74" s="501" t="n"/>
    </row>
    <row r="75" ht="19.5" customHeight="1" s="254">
      <c r="A75" s="263" t="inlineStr">
        <is>
          <t>Average delivered power (kW)</t>
        </is>
      </c>
      <c r="B75" s="420">
        <f>$B$74*$B$15*$B$16</f>
        <v/>
      </c>
      <c r="C75" s="505" t="inlineStr">
        <is>
          <t>De-rated, then tapered</t>
        </is>
      </c>
      <c r="D75" s="501" t="n"/>
      <c r="E75" s="501" t="n"/>
      <c r="F75" s="501" t="n"/>
      <c r="G75" s="501" t="n"/>
    </row>
    <row r="76" ht="14.25" customHeight="1" s="254">
      <c r="A76" s="263" t="inlineStr">
        <is>
          <t>Charging stall-hours per day</t>
        </is>
      </c>
      <c r="B76" s="421">
        <f>(Equipment!$B$22-$B$107)*$B$13*$B$12*$B$14</f>
        <v/>
      </c>
      <c r="C76" s="261" t="inlineStr">
        <is>
          <t>DC positions only.</t>
        </is>
      </c>
      <c r="D76" s="501" t="n"/>
      <c r="E76" s="501" t="n"/>
      <c r="F76" s="501" t="n"/>
      <c r="G76" s="501" t="n"/>
    </row>
    <row r="77" ht="26.44" customHeight="1" s="254">
      <c r="A77" s="263" t="inlineStr">
        <is>
          <t>Steady-state kWh per day</t>
        </is>
      </c>
      <c r="B77" s="414">
        <f>$B$76*$B$75+$B$112</f>
        <v/>
      </c>
      <c r="C77" s="261" t="inlineStr">
        <is>
          <t>DC stream plus the Level 2 stream from the block at the foot of this tab.</t>
        </is>
      </c>
      <c r="D77" s="501" t="n"/>
      <c r="E77" s="501" t="n"/>
      <c r="F77" s="501" t="n"/>
      <c r="G77" s="501" t="n"/>
    </row>
    <row r="78" ht="14.25" customHeight="1" s="254">
      <c r="A78" s="263" t="inlineStr">
        <is>
          <t>Steady-state kWh per year</t>
        </is>
      </c>
      <c r="B78" s="414">
        <f>$B$77*365</f>
        <v/>
      </c>
      <c r="C78" s="501" t="n"/>
      <c r="D78" s="501" t="n"/>
      <c r="E78" s="501" t="n"/>
      <c r="F78" s="501" t="n"/>
      <c r="G78" s="501" t="n"/>
    </row>
    <row r="79">
      <c r="A79" s="501" t="n"/>
      <c r="B79" s="501" t="n"/>
      <c r="C79" s="501" t="n"/>
      <c r="D79" s="501" t="n"/>
      <c r="E79" s="501" t="n"/>
      <c r="F79" s="501" t="n"/>
      <c r="G79" s="501" t="n"/>
    </row>
    <row r="80" ht="33.04000000000001" customHeight="1" s="254">
      <c r="A80" s="529" t="inlineStr">
        <is>
          <t>Tariff provenance and rate-entry checks</t>
        </is>
      </c>
      <c r="B80" s="501" t="n"/>
      <c r="C80" s="501" t="n"/>
      <c r="D80" s="501" t="n"/>
      <c r="E80" s="501" t="n"/>
      <c r="F80" s="501" t="n"/>
      <c r="G80" s="501" t="n"/>
    </row>
    <row r="81" ht="26.44" customHeight="1" s="254">
      <c r="A81" s="261" t="inlineStr">
        <is>
          <t>Every revenue figure in the model rests on the rate figures above. This block records how much weight they can carry, and the proposal prints it at the point of use rather than in a risk register nobody reads.</t>
        </is>
      </c>
    </row>
    <row r="82" ht="26.44" customHeight="1" s="254">
      <c r="A82" s="263" t="inlineStr">
        <is>
          <t>Source of the rate figures</t>
        </is>
      </c>
      <c r="B82" s="580" t="n"/>
      <c r="C82" s="531" t="inlineStr">
        <is>
          <t>Where each $/kWh and fixed charge came from — a filed tariff sheet, a rate insert, a bill, or a phone call. Name it. The proposal prints this.</t>
        </is>
      </c>
      <c r="D82" s="501" t="n"/>
      <c r="E82" s="501" t="n"/>
      <c r="F82" s="501" t="n"/>
      <c r="G82" s="501" t="n"/>
    </row>
    <row r="83" ht="31.5" customHeight="1" s="254">
      <c r="A83" s="527" t="inlineStr">
        <is>
          <t>Verified against the filed tariff sheets?</t>
        </is>
      </c>
      <c r="B83" s="580" t="n"/>
      <c r="C83" s="531" t="inlineStr">
        <is>
          <t>Yes / No. "No" is a perfectly good answer and the proposal will say so at the point of use; what is not acceptable is nobody knowing.</t>
        </is>
      </c>
      <c r="D83" s="501" t="n"/>
      <c r="E83" s="501" t="n"/>
      <c r="F83" s="501" t="n"/>
      <c r="G83" s="501" t="n"/>
    </row>
    <row r="84" ht="19.5" customHeight="1" s="254">
      <c r="A84" s="263" t="inlineStr">
        <is>
          <t>Verified by / date</t>
        </is>
      </c>
      <c r="B84" s="580" t="n"/>
      <c r="C84" s="505" t="inlineStr">
        <is>
          <t>Who checked it, and when.</t>
        </is>
      </c>
      <c r="D84" s="501" t="n"/>
      <c r="E84" s="501" t="n"/>
      <c r="F84" s="501" t="n"/>
      <c r="G84" s="501" t="n"/>
    </row>
    <row r="85" ht="26.44" customHeight="1" s="254">
      <c r="A85" s="263" t="inlineStr">
        <is>
          <t>Demand-schedule eligibility threshold</t>
        </is>
      </c>
      <c r="B85" s="580" t="n"/>
      <c r="C85" s="531" t="inlineStr">
        <is>
          <t>If this utility moves a customer onto a demand schedule above some monthly consumption, record the threshold and its units here. Leave blank if unknown — blank prints as unconfirmed, which is honest. A figure typed from memory is not.</t>
        </is>
      </c>
      <c r="D85" s="501" t="n"/>
      <c r="E85" s="501" t="n"/>
      <c r="F85" s="501" t="n"/>
      <c r="G85" s="501" t="n"/>
    </row>
    <row r="86" ht="26.44" customHeight="1" s="254">
      <c r="A86" s="263" t="inlineStr">
        <is>
          <t>Would this site cross that threshold?</t>
        </is>
      </c>
      <c r="B86" s="580" t="n"/>
      <c r="C86" s="531" t="inlineStr">
        <is>
          <t>Against the steady-state projection at the foot of this tab. If yes, the tariff behind every revenue figure in the model is the wrong one.</t>
        </is>
      </c>
      <c r="D86" s="501" t="n"/>
      <c r="E86" s="501" t="n"/>
      <c r="F86" s="501" t="n"/>
      <c r="G86" s="501" t="n"/>
    </row>
    <row r="87" ht="26.44" customHeight="1" s="254">
      <c r="A87" s="263" t="inlineStr">
        <is>
          <t>Time-of-use shares entered?</t>
        </is>
      </c>
      <c r="B87" s="543">
        <f>IF(COUNT($B$38:$B$40)=0,"none entered — correct on a flat schedule",IF(ROUND(SUM($B$38:$B$40),4)&lt;&gt;1,"THE THREE SHARES DO NOT SUM TO 100%","ok"))</f>
        <v/>
      </c>
      <c r="C87" s="505" t="inlineStr">
        <is>
          <t>Blank on a flat schedule is the right answer. A split that does not sum to 100% is not.</t>
        </is>
      </c>
      <c r="D87" s="501" t="n"/>
      <c r="E87" s="501" t="n"/>
      <c r="F87" s="501" t="n"/>
      <c r="G87" s="501" t="n"/>
    </row>
    <row r="88">
      <c r="A88" s="501" t="n"/>
      <c r="B88" s="501" t="n"/>
      <c r="C88" s="501" t="n"/>
      <c r="D88" s="501" t="n"/>
      <c r="E88" s="501" t="n"/>
      <c r="F88" s="501" t="n"/>
      <c r="G88" s="501" t="n"/>
    </row>
    <row r="89" ht="14.25" customHeight="1" s="254">
      <c r="A89" s="262" t="inlineStr">
        <is>
          <t>Tariff figures — the bill, decomposed</t>
        </is>
      </c>
      <c r="B89" s="501" t="n"/>
      <c r="C89" s="501" t="n"/>
      <c r="D89" s="501" t="n"/>
      <c r="E89" s="501" t="n"/>
      <c r="F89" s="501" t="n"/>
      <c r="G89" s="501" t="n"/>
    </row>
    <row r="90" ht="19.5" customHeight="1" s="254">
      <c r="A90" s="261" t="inlineStr">
        <is>
          <t>One row per component of the bill, so a demand charge cannot hide inside a blended cents-per-kWh figure. Take them from the schedule row in the RateLibrary tab.</t>
        </is>
      </c>
    </row>
    <row r="91" ht="19.5" customHeight="1" s="254">
      <c r="A91" s="263" t="inlineStr">
        <is>
          <t>Volumetric energy cost ($/kWh)</t>
        </is>
      </c>
      <c r="B91" s="617" t="n"/>
      <c r="C91" s="505" t="inlineStr">
        <is>
          <t>The per-kWh charge on the chosen schedule, before fixed and demand charges.</t>
        </is>
      </c>
      <c r="D91" s="501" t="n"/>
      <c r="E91" s="501" t="n"/>
      <c r="F91" s="501" t="n"/>
      <c r="G91" s="501" t="n"/>
    </row>
    <row r="92" ht="19.5" customHeight="1" s="254">
      <c r="A92" s="263" t="inlineStr">
        <is>
          <t>Customer charge ($/month)</t>
        </is>
      </c>
      <c r="B92" s="618" t="n"/>
      <c r="C92" s="505" t="inlineStr">
        <is>
          <t>The fixed monthly meter charge.</t>
        </is>
      </c>
      <c r="D92" s="501" t="n"/>
      <c r="E92" s="501" t="n"/>
      <c r="F92" s="501" t="n"/>
      <c r="G92" s="501" t="n"/>
    </row>
    <row r="93" ht="26.44" customHeight="1" s="254">
      <c r="A93" s="263" t="inlineStr">
        <is>
          <t>Demand charge ($/kW-month)</t>
        </is>
      </c>
      <c r="B93" s="618" t="n"/>
      <c r="C93" s="531" t="inlineStr">
        <is>
          <t>Zero on a schedule with no demand charge. This is the figure that decides whether a fast charging site works: at low load factor a demand charge can cost more than all the energy.</t>
        </is>
      </c>
      <c r="D93" s="501" t="n"/>
      <c r="E93" s="501" t="n"/>
      <c r="F93" s="501" t="n"/>
      <c r="G93" s="501" t="n"/>
    </row>
    <row r="94" ht="26.44" customHeight="1" s="254">
      <c r="A94" s="263" t="inlineStr">
        <is>
          <t>Billing demand assumed (kW)</t>
        </is>
      </c>
      <c r="B94" s="577" t="n"/>
      <c r="C94" s="531" t="inlineStr">
        <is>
          <t>What the meter will see as the monthly maximum. Full nameplate unless load management caps it. Every kW here costs the demand charge above, twelve times a year.</t>
        </is>
      </c>
      <c r="D94" s="501" t="n"/>
      <c r="E94" s="501" t="n"/>
      <c r="F94" s="501" t="n"/>
      <c r="G94" s="501" t="n"/>
    </row>
    <row r="95" ht="37.66" customHeight="1" s="254">
      <c r="A95" s="263" t="inlineStr">
        <is>
          <t>Annual fixed and demand cost ($/yr)</t>
        </is>
      </c>
      <c r="B95" s="424">
        <f>12*(N($B$92)+N($B$93)*N($B$94))+N($B$102)</f>
        <v/>
      </c>
      <c r="C95" s="6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c r="D95" s="501" t="n"/>
      <c r="E95" s="501" t="n"/>
      <c r="F95" s="501" t="n"/>
      <c r="G95" s="501" t="n"/>
    </row>
    <row r="96">
      <c r="A96" s="501" t="n"/>
      <c r="B96" s="501" t="n"/>
      <c r="C96" s="501" t="n"/>
      <c r="D96" s="501" t="n"/>
      <c r="E96" s="501" t="n"/>
      <c r="F96" s="501" t="n"/>
      <c r="G96" s="501" t="n"/>
    </row>
    <row r="97" ht="30.4" customHeight="1" s="254">
      <c r="A97" s="619" t="inlineStr">
        <is>
          <t>DEMAND SUBSCRIPTION — WHAT THE RAMP ABOVE COSTS</t>
        </is>
      </c>
      <c r="B97" s="501" t="n"/>
      <c r="C97" s="501" t="n"/>
      <c r="D97" s="501" t="n"/>
      <c r="E97" s="501" t="n"/>
      <c r="F97" s="501" t="n"/>
      <c r="G97" s="501" t="n"/>
    </row>
    <row r="98" ht="26.44" customHeight="1" s="254">
      <c r="A98" s="415"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26.44" customHeight="1" s="254">
      <c r="A99" s="263" t="inlineStr">
        <is>
          <t>Subscription block size (kW)</t>
        </is>
      </c>
      <c r="B99" s="414">
        <f>IFERROR(SUMIFS(RateLibrary!$J$5:$J$74,RateLibrary!$A$5:$A$74,$B$35,RateLibrary!$B$5:$B$74,$B$36),0)</f>
        <v/>
      </c>
      <c r="C99" s="614" t="inlineStr">
        <is>
          <t>From the rate library row for this utility and schedule. Zero means the library has no block size for it — not that the schedule has no blocks.</t>
        </is>
      </c>
      <c r="D99" s="501" t="n"/>
      <c r="E99" s="501" t="n"/>
      <c r="F99" s="501" t="n"/>
      <c r="G99" s="501" t="n"/>
    </row>
    <row r="100" ht="30.4" customHeight="1" s="254">
      <c r="A100" s="527" t="inlineStr">
        <is>
          <t>Subscription block price ($/block/month)</t>
        </is>
      </c>
      <c r="B100" s="407">
        <f>IFERROR(SUMIFS(RateLibrary!$K$5:$K$74,RateLibrary!$A$5:$A$74,$B$35,RateLibrary!$B$5:$B$74,$B$36),0)</f>
        <v/>
      </c>
      <c r="C100" s="505" t="inlineStr">
        <is>
          <t>From the same library row.</t>
        </is>
      </c>
      <c r="D100" s="501" t="n"/>
      <c r="E100" s="501" t="n"/>
      <c r="F100" s="501" t="n"/>
      <c r="G100" s="501" t="n"/>
    </row>
    <row r="101" ht="26.44" customHeight="1" s="254">
      <c r="A101" s="263" t="inlineStr">
        <is>
          <t>Blocks subscribed</t>
        </is>
      </c>
      <c r="B101" s="414">
        <f>IF(OR(N($B$99)=0,N($B$42)=0),0,ROUNDUP($B$42/$B$99,0))</f>
        <v/>
      </c>
      <c r="C101" s="505" t="inlineStr">
        <is>
          <t>Subscribed kW over the block size, rounded up.</t>
        </is>
      </c>
      <c r="D101" s="501" t="n"/>
      <c r="E101" s="501" t="n"/>
      <c r="F101" s="501" t="n"/>
      <c r="G101" s="501" t="n"/>
    </row>
    <row r="102" ht="26.44" customHeight="1" s="254">
      <c r="A102" s="263" t="inlineStr">
        <is>
          <t>Subscription cost ($/yr)</t>
        </is>
      </c>
      <c r="B102" s="407">
        <f>N($B$101)*N($B$100)*12</f>
        <v/>
      </c>
      <c r="C102" s="614" t="inlineStr">
        <is>
          <t>Blocks times the block price times twelve. This is the line that decides whether a high-capacity, low-utilisation site works.</t>
        </is>
      </c>
      <c r="D102" s="501" t="n"/>
      <c r="E102" s="501" t="n"/>
      <c r="F102" s="501" t="n"/>
      <c r="G102" s="501" t="n"/>
    </row>
    <row r="103" ht="37.66" customHeight="1" s="254">
      <c r="A103" s="263" t="inlineStr">
        <is>
          <t>Subscription cost basis</t>
        </is>
      </c>
      <c r="B103" s="426">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614" t="inlineStr">
        <is>
          <t>If this reads UNPRICED, check the rate library row for the schedule named above BEFORE asking the utility for figures — a lookup pointing at the wrong cell returns zero exactly the same way a missing library row does.</t>
        </is>
      </c>
      <c r="D103" s="501" t="n"/>
      <c r="E103" s="501" t="n"/>
      <c r="F103" s="501" t="n"/>
      <c r="G103" s="501" t="n"/>
    </row>
    <row r="105" ht="33.04000000000001" customHeight="1" s="254">
      <c r="A105" s="335" t="inlineStr">
        <is>
          <t>LEVEL 2 STREAM — on its own physics</t>
        </is>
      </c>
    </row>
    <row r="106" ht="48.88" customHeight="1" s="254">
      <c r="A106" s="694"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row>
    <row r="107" ht="26.44" customHeight="1" s="254">
      <c r="A107" s="263" t="inlineStr">
        <is>
          <t>Level 2 positions</t>
        </is>
      </c>
      <c r="B107" s="414">
        <f>SUMPRODUCT((Equipment!$E$7:$E$18="level_2")*Equipment!$H$7:$H$18*Equipment!$I$7:$I$18)</f>
        <v/>
      </c>
      <c r="C107" s="261" t="inlineStr">
        <is>
          <t>Connectors on Level 2 units, from the Equipment tab.</t>
        </is>
      </c>
    </row>
    <row r="108" ht="26.44" customHeight="1" s="254">
      <c r="A108" s="263" t="inlineStr">
        <is>
          <t>Power per Level 2 position (kW)</t>
        </is>
      </c>
      <c r="B108" s="421">
        <f>IF(N($B$107)=0,0,SUMPRODUCT((Equipment!$E$7:$E$18="level_2")*Equipment!$G$7:$G$18*Equipment!$I$7:$I$18)/$B$107)</f>
        <v/>
      </c>
      <c r="C108" s="261" t="inlineStr">
        <is>
          <t>AC input at the Level 2 supply voltage stated on the Equipment tab, per connector.</t>
        </is>
      </c>
    </row>
    <row r="109" ht="37.66" customHeight="1" s="254">
      <c r="A109" s="263" t="inlineStr">
        <is>
          <t>Benchmark Level 2 kWh per port per day</t>
        </is>
      </c>
      <c r="B109" s="421">
        <f>IF($B$45="",0,IFERROR(INDEX(BM_L2_KWH,MATCH($B$45,BM_L2_STATE,0)),0))</f>
        <v/>
      </c>
      <c r="C109" s="261" t="inlineStr">
        <is>
          <t>From the Level 2 market table on RefData for the state chosen above. Zero means no state was chosen or the state has no Level 2 row.</t>
        </is>
      </c>
    </row>
    <row r="110" ht="60.1" customHeight="1" s="254">
      <c r="A110" s="263" t="inlineStr">
        <is>
          <t>Level 2 kWh per port per day — site override</t>
        </is>
      </c>
      <c r="B110" s="695" t="n"/>
      <c r="C110" s="261" t="inlineStr">
        <is>
          <t>Leave blank to project at the benchmark. Enter a figure only with a reason the proposal can print: metered history on this site, or a host type with overnight dwell. The row below says which is in force.</t>
        </is>
      </c>
    </row>
    <row r="111">
      <c r="A111" s="263" t="inlineStr">
        <is>
          <t>Level 2 kWh per port per day in force</t>
        </is>
      </c>
      <c r="B111" s="421">
        <f>IF(N($B$110)&gt;0,$B$110,$B$109)</f>
        <v/>
      </c>
      <c r="C111" s="261" t="inlineStr"/>
    </row>
    <row r="112" ht="37.66" customHeight="1" s="254">
      <c r="A112" s="263" t="inlineStr">
        <is>
          <t>Level 2 kWh per day</t>
        </is>
      </c>
      <c r="B112" s="414">
        <f>$B$107*$B$111</f>
        <v/>
      </c>
      <c r="C112" s="261" t="inlineStr">
        <is>
          <t>Site total. The model engine reads this row; the Carbon tab derives the consumption credit from it.</t>
        </is>
      </c>
    </row>
    <row r="113" ht="26.44" customHeight="1" s="254">
      <c r="A113" s="263" t="inlineStr">
        <is>
          <t>Level 2 site factor against the benchmark</t>
        </is>
      </c>
      <c r="B113" s="696">
        <f>IF(N($B$109)=0,0,$B$111/$B$109)</f>
        <v/>
      </c>
      <c r="C113" s="261" t="inlineStr">
        <is>
          <t>Above 100% means this site is assumed to beat the average public Level 2 port.</t>
        </is>
      </c>
    </row>
    <row r="114">
      <c r="A114" s="263" t="inlineStr">
        <is>
          <t>Level 2 basis</t>
        </is>
      </c>
      <c r="B114" s="69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261" t="n"/>
    </row>
    <row r="115" ht="26.44" customHeight="1" s="254">
      <c r="A115" s="263" t="inlineStr">
        <is>
          <t>Average concurrent DC positions</t>
        </is>
      </c>
      <c r="B115" s="421">
        <f>$B$76/24</f>
        <v/>
      </c>
      <c r="C115" s="261" t="inlineStr">
        <is>
          <t>DC charging stall-hours over twenty-four hours.</t>
        </is>
      </c>
    </row>
    <row r="116" ht="26.44" customHeight="1" s="254">
      <c r="A116" s="263" t="inlineStr">
        <is>
          <t>Average concurrent Level 2 positions</t>
        </is>
      </c>
      <c r="B116" s="421">
        <f>IF(N($B$108)*N($B$15)=0,0,$B$112/(24*$B$108*$B$15))</f>
        <v/>
      </c>
      <c r="C116" s="261" t="inlineStr">
        <is>
          <t>Level 2 kWh per day over twenty-four hours of de-rated Level 2 power.</t>
        </is>
      </c>
    </row>
    <row r="117" ht="26.44" customHeight="1" s="254">
      <c r="A117" s="263" t="inlineStr">
        <is>
          <t>Average concurrent positions, all streams</t>
        </is>
      </c>
      <c r="B117" s="421">
        <f>$B$115+$B$116</f>
        <v/>
      </c>
      <c r="C117" s="261"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0"/>
  <cols>
    <col width="32" customWidth="1" style="253" min="1" max="1"/>
    <col width="26" customWidth="1" style="253" min="2" max="2"/>
    <col width="52" customWidth="1" style="253" min="3" max="3"/>
    <col width="9" customWidth="1" style="253" min="4" max="6"/>
  </cols>
  <sheetData>
    <row r="1" ht="25.5" customHeight="1" s="254">
      <c r="A1" s="255" t="inlineStr">
        <is>
          <t>7 · CARBON CREDITS AND INCENTIVES</t>
        </is>
      </c>
    </row>
    <row r="2" ht="51.52" customHeight="1" s="254">
      <c r="A2" s="256" t="inlineStr">
        <is>
          <t>The FCI capacity credit is usually the most reliable revenue in the model. Treat its inputs accordingly.</t>
        </is>
      </c>
      <c r="B2" s="501" t="n"/>
      <c r="C2" s="501" t="n"/>
      <c r="D2" s="501" t="n"/>
      <c r="E2" s="501" t="n"/>
      <c r="F2" s="501" t="n"/>
    </row>
    <row r="3">
      <c r="A3" s="501" t="n"/>
      <c r="B3" s="501" t="n"/>
      <c r="C3" s="501" t="n"/>
      <c r="D3" s="501" t="n"/>
      <c r="E3" s="501" t="n"/>
      <c r="F3" s="501" t="n"/>
    </row>
    <row r="4" ht="15" customHeight="1" s="254">
      <c r="A4" s="262" t="inlineStr">
        <is>
          <t>LCFS / FCI capacity credit</t>
        </is>
      </c>
      <c r="B4" s="501" t="n"/>
      <c r="C4" s="501" t="n"/>
      <c r="D4" s="501" t="n"/>
      <c r="E4" s="501" t="n"/>
      <c r="F4" s="501" t="n"/>
    </row>
    <row r="5" ht="30.4" customHeight="1" s="254">
      <c r="A5" s="527" t="inlineStr">
        <is>
          <t>Site qualifies for FCI capacity credits?</t>
        </is>
      </c>
      <c r="B5" s="506" t="n"/>
      <c r="C5" s="508" t="inlineStr">
        <is>
          <t>Yes / No / Pending</t>
        </is>
      </c>
      <c r="D5" s="501" t="n"/>
      <c r="E5" s="501" t="n"/>
      <c r="F5" s="501" t="n"/>
    </row>
    <row r="6" ht="30.4" customHeight="1" s="254">
      <c r="A6" s="527" t="inlineStr">
        <is>
          <t>Permit clears the 1 Jan 2022 test?</t>
        </is>
      </c>
      <c r="B6" s="506" t="n"/>
      <c r="C6" s="508" t="inlineStr">
        <is>
          <t>Yes / No</t>
        </is>
      </c>
      <c r="D6" s="501" t="n"/>
      <c r="E6" s="501" t="n"/>
      <c r="F6" s="501" t="n"/>
    </row>
    <row r="7" ht="15" customHeight="1" s="254">
      <c r="A7" s="263" t="inlineStr">
        <is>
          <t>Application filed?</t>
        </is>
      </c>
      <c r="B7" s="506" t="n"/>
      <c r="C7" s="508" t="inlineStr">
        <is>
          <t>Yes / No — with date</t>
        </is>
      </c>
      <c r="D7" s="501" t="n"/>
      <c r="E7" s="501" t="n"/>
      <c r="F7" s="501" t="n"/>
    </row>
    <row r="8" ht="15" customHeight="1" s="254">
      <c r="A8" s="263" t="inlineStr">
        <is>
          <t>Registered aggregator</t>
        </is>
      </c>
      <c r="B8" s="506" t="n"/>
      <c r="C8" s="501" t="n"/>
      <c r="D8" s="501" t="n"/>
      <c r="E8" s="501" t="n"/>
      <c r="F8" s="501" t="n"/>
    </row>
    <row r="9" ht="27.76" customHeight="1" s="254">
      <c r="A9" s="263" t="inlineStr">
        <is>
          <t>Aggregator share of credit value</t>
        </is>
      </c>
      <c r="B9" s="588" t="n">
        <v>0.05</v>
      </c>
      <c r="C9" s="589" t="inlineStr">
        <is>
          <t>Third-party administrator. Not our scope — a deduction from proceeds, disclosed as a cost.</t>
        </is>
      </c>
      <c r="D9" s="501" t="n"/>
      <c r="E9" s="501" t="n"/>
      <c r="F9" s="501" t="n"/>
    </row>
    <row r="10" ht="15" customHeight="1" s="254">
      <c r="A10" s="263" t="inlineStr">
        <is>
          <t>FCI credit rate ($/kW/yr)</t>
        </is>
      </c>
      <c r="B10" s="620" t="n">
        <v>71.66670000000001</v>
      </c>
      <c r="C10" s="508" t="inlineStr">
        <is>
          <t>Confirm with the aggregator in writing</t>
        </is>
      </c>
      <c r="D10" s="501" t="n"/>
      <c r="E10" s="501" t="n"/>
      <c r="F10" s="501" t="n"/>
    </row>
    <row r="11" ht="15" customHeight="1" s="254">
      <c r="A11" s="263" t="inlineStr">
        <is>
          <t>Crediting period (years)</t>
        </is>
      </c>
      <c r="B11" s="523" t="n">
        <v>10</v>
      </c>
      <c r="C11" s="501" t="n"/>
      <c r="D11" s="501" t="n"/>
      <c r="E11" s="501" t="n"/>
      <c r="F11" s="501" t="n"/>
    </row>
    <row r="12" ht="27.76" customHeight="1" s="254">
      <c r="A12" s="263" t="inlineStr">
        <is>
          <t>Gross capacity credit per year</t>
        </is>
      </c>
      <c r="B12" s="331">
        <f>Equipment!$B$26*B10</f>
        <v/>
      </c>
      <c r="C12" s="589" t="inlineStr">
        <is>
          <t>DC fast-charging capacity only — the FCI credit does not pay on Level 2.</t>
        </is>
      </c>
      <c r="D12" s="501" t="n"/>
      <c r="E12" s="501" t="n"/>
      <c r="F12" s="501" t="n"/>
    </row>
    <row r="13" ht="30.4" customHeight="1" s="254">
      <c r="A13" s="527" t="inlineStr">
        <is>
          <t>Net of aggregator share, per year</t>
        </is>
      </c>
      <c r="B13" s="331">
        <f>B12*(1-B9)</f>
        <v/>
      </c>
      <c r="C13" s="501" t="n"/>
      <c r="D13" s="501" t="n"/>
      <c r="E13" s="501" t="n"/>
      <c r="F13" s="501" t="n"/>
    </row>
    <row r="14" ht="15" customHeight="1" s="254">
      <c r="A14" s="263" t="inlineStr">
        <is>
          <t>Gross across crediting period</t>
        </is>
      </c>
      <c r="B14" s="331">
        <f>B12*B11</f>
        <v/>
      </c>
      <c r="C14" s="501" t="n"/>
      <c r="D14" s="501" t="n"/>
      <c r="E14" s="501" t="n"/>
      <c r="F14" s="501" t="n"/>
    </row>
    <row r="15">
      <c r="A15" s="501" t="n"/>
      <c r="B15" s="501" t="n"/>
      <c r="C15" s="501" t="n"/>
      <c r="D15" s="501" t="n"/>
      <c r="E15" s="501" t="n"/>
      <c r="F15" s="501" t="n"/>
    </row>
    <row r="16" ht="15" customHeight="1" s="254">
      <c r="A16" s="262" t="inlineStr">
        <is>
          <t>Consumption credits (Level 2)</t>
        </is>
      </c>
      <c r="B16" s="501" t="n"/>
      <c r="C16" s="501" t="n"/>
      <c r="D16" s="501" t="n"/>
      <c r="E16" s="501" t="n"/>
      <c r="F16" s="501" t="n"/>
    </row>
    <row r="17" ht="110.92" customHeight="1" s="254">
      <c r="A17" s="263" t="inlineStr">
        <is>
          <t>L2 consumption credit ($/kWh)</t>
        </is>
      </c>
      <c r="B17" s="621" t="n">
        <v>0.04</v>
      </c>
      <c r="C17" s="256"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501" t="n"/>
      <c r="E17" s="501" t="n"/>
      <c r="F17" s="501" t="n"/>
    </row>
    <row r="18" ht="15" customHeight="1" s="254">
      <c r="A18" s="263" t="inlineStr">
        <is>
          <t>Site-total L2 kWh per day</t>
        </is>
      </c>
      <c r="B18" s="698">
        <f>Revenue!$B$112</f>
        <v/>
      </c>
      <c r="C18" s="508" t="inlineStr">
        <is>
          <t>Derived from the Level 2 stream on the Revenue tab. It used to be typed here as well, and on the first all-Level-2 site it was left blank.</t>
        </is>
      </c>
      <c r="D18" s="501" t="n"/>
      <c r="E18" s="501" t="n"/>
      <c r="F18" s="501" t="n"/>
    </row>
    <row r="19">
      <c r="A19" s="501" t="n"/>
      <c r="B19" s="501" t="n"/>
      <c r="C19" s="501" t="n"/>
      <c r="D19" s="501" t="n"/>
      <c r="E19" s="501" t="n"/>
      <c r="F19" s="501" t="n"/>
    </row>
    <row r="20" ht="15" customHeight="1" s="254">
      <c r="A20" s="262" t="inlineStr">
        <is>
          <t>Cap test</t>
        </is>
      </c>
      <c r="B20" s="501" t="n"/>
      <c r="C20" s="501" t="n"/>
      <c r="D20" s="501" t="n"/>
      <c r="E20" s="501" t="n"/>
      <c r="F20" s="501" t="n"/>
    </row>
    <row r="21" ht="15" customHeight="1" s="254">
      <c r="A21" s="263" t="inlineStr">
        <is>
          <t>Cap multiple of net capex</t>
        </is>
      </c>
      <c r="B21" s="616" t="n">
        <v>1.5</v>
      </c>
      <c r="C21" s="508" t="inlineStr">
        <is>
          <t>FCI revenue stops at this multiple</t>
        </is>
      </c>
      <c r="D21" s="501" t="n"/>
      <c r="E21" s="501" t="n"/>
      <c r="F21" s="501" t="n"/>
    </row>
    <row r="22" ht="15" customHeight="1" s="254">
      <c r="A22" s="263" t="inlineStr">
        <is>
          <t>Grants or rebates awarded</t>
        </is>
      </c>
      <c r="B22" s="622" t="n">
        <v>0</v>
      </c>
      <c r="C22" s="508" t="inlineStr">
        <is>
          <t>Reduces net capex and therefore the cap</t>
        </is>
      </c>
      <c r="D22" s="501" t="n"/>
      <c r="E22" s="501" t="n"/>
      <c r="F22" s="501" t="n"/>
    </row>
    <row r="23">
      <c r="A23" s="501" t="n"/>
      <c r="B23" s="501" t="n"/>
      <c r="C23" s="501" t="n"/>
      <c r="D23" s="501" t="n"/>
      <c r="E23" s="501" t="n"/>
      <c r="F23" s="501" t="n"/>
    </row>
    <row r="24" ht="15" customHeight="1" s="254">
      <c r="A24" s="262" t="inlineStr">
        <is>
          <t>Federal and state incentives</t>
        </is>
      </c>
      <c r="B24" s="501" t="n"/>
      <c r="C24" s="501" t="n"/>
      <c r="D24" s="501" t="n"/>
      <c r="E24" s="501" t="n"/>
      <c r="F24" s="501" t="n"/>
    </row>
    <row r="25" ht="15" customHeight="1" s="254">
      <c r="A25" s="263" t="inlineStr">
        <is>
          <t>Federal ITC claimed?</t>
        </is>
      </c>
      <c r="B25" s="565" t="inlineStr">
        <is>
          <t>No</t>
        </is>
      </c>
      <c r="C25" s="508" t="inlineStr">
        <is>
          <t>Sec 30C ended for property in service after 30 Jun 2026</t>
        </is>
      </c>
      <c r="D25" s="501" t="n"/>
      <c r="E25" s="501" t="n"/>
      <c r="F25" s="501" t="n"/>
    </row>
    <row r="26" ht="27.76" customHeight="1" s="254">
      <c r="A26" s="263" t="inlineStr">
        <is>
          <t>State programme evaluated</t>
        </is>
      </c>
      <c r="B26" s="506" t="n"/>
      <c r="C26" s="589" t="inlineStr">
        <is>
          <t>e.g. Fast Charge California — name it even if it does not qualify</t>
        </is>
      </c>
      <c r="D26" s="501" t="n"/>
      <c r="E26" s="501" t="n"/>
      <c r="F26" s="501" t="n"/>
    </row>
    <row r="27" ht="19.5" customHeight="1" s="254">
      <c r="A27" s="263" t="inlineStr">
        <is>
          <t>State programme outcome</t>
        </is>
      </c>
      <c r="B27" s="506" t="n"/>
      <c r="C27" s="589" t="inlineStr">
        <is>
          <t>Qualifies / Does not qualify / Applied — with the reason</t>
        </is>
      </c>
      <c r="D27" s="501" t="n"/>
      <c r="E27" s="501" t="n"/>
      <c r="F27" s="501" t="n"/>
    </row>
    <row r="29">
      <c r="A29" s="262" t="inlineStr">
        <is>
          <t>Level 2 credit and consistency</t>
        </is>
      </c>
    </row>
    <row r="30">
      <c r="A30" s="263" t="inlineStr">
        <is>
          <t>Level 2 credit per year (gross)</t>
        </is>
      </c>
      <c r="B30" s="706">
        <f>$B$17*$B$18*365</f>
        <v/>
      </c>
      <c r="C30" s="256" t="inlineStr"/>
    </row>
    <row r="31">
      <c r="A31" s="263" t="inlineStr">
        <is>
          <t>Level 2 credit per year, net of aggregator share</t>
        </is>
      </c>
      <c r="B31" s="706">
        <f>$B$30*(1-$B$9)</f>
        <v/>
      </c>
      <c r="C31" s="256" t="inlineStr"/>
    </row>
    <row r="32" ht="39.64" customHeight="1" s="254">
      <c r="A32" s="263" t="inlineStr">
        <is>
          <t>FCI answer against the equipment</t>
        </is>
      </c>
      <c r="B32" s="700">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256"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4" customWidth="1" style="253" min="2" max="2"/>
    <col width="52" customWidth="1" style="253" min="3" max="3"/>
    <col width="9" customWidth="1" style="253" min="4" max="5"/>
    <col width="13" customWidth="1" style="254" min="5" max="5"/>
  </cols>
  <sheetData>
    <row r="1" ht="25.5" customHeight="1" s="254">
      <c r="A1" s="255" t="inlineStr">
        <is>
          <t>8 · DEAL STRUCTURE (OPTIONAL)</t>
        </is>
      </c>
    </row>
    <row r="2" ht="51.52" customHeight="1" s="254">
      <c r="A2" s="265" t="inlineStr">
        <is>
          <t>Leave every knob at zero for a straight sale. Fill them in only when we are trading price for a share of the upside.</t>
        </is>
      </c>
      <c r="B2" s="501" t="n"/>
      <c r="C2" s="501" t="n"/>
      <c r="D2" s="501" t="n"/>
      <c r="E2" s="501" t="n"/>
    </row>
    <row r="3">
      <c r="A3" s="501" t="n"/>
      <c r="B3" s="501" t="n"/>
      <c r="C3" s="501" t="n"/>
      <c r="D3" s="501" t="n"/>
      <c r="E3" s="501" t="n"/>
    </row>
    <row r="4" ht="30.4" customHeight="1" s="254">
      <c r="A4" s="263" t="inlineStr">
        <is>
          <t>•</t>
        </is>
      </c>
      <c r="B4" s="623" t="inlineStr">
        <is>
          <t>This tab is optional. Zero everywhere means a conventional sale and the model runs exactly as it does today.</t>
        </is>
      </c>
      <c r="C4" s="501" t="n"/>
      <c r="D4" s="501" t="n"/>
      <c r="E4" s="501" t="n"/>
    </row>
    <row r="5" ht="31.5" customHeight="1" s="254">
      <c r="A5" s="263" t="inlineStr">
        <is>
          <t>•</t>
        </is>
      </c>
      <c r="B5" s="623" t="inlineStr">
        <is>
          <t>Use it when we want to lower the client's price in return for keeping part of the carbon credit or the charging revenue.</t>
        </is>
      </c>
      <c r="C5" s="501" t="n"/>
      <c r="D5" s="501" t="n"/>
      <c r="E5" s="501" t="n"/>
    </row>
    <row r="6" ht="31.5" customHeight="1" s="254">
      <c r="A6" s="263" t="inlineStr">
        <is>
          <t>•</t>
        </is>
      </c>
      <c r="B6" s="623" t="inlineStr">
        <is>
          <t>The model reports both sides — what the client nets and what we net on the capital we put in — so a structure can be judged before it is offered.</t>
        </is>
      </c>
      <c r="C6" s="501" t="n"/>
      <c r="D6" s="501" t="n"/>
      <c r="E6" s="501" t="n"/>
    </row>
    <row r="7">
      <c r="A7" s="501" t="n"/>
      <c r="B7" s="501" t="n"/>
      <c r="C7" s="501" t="n"/>
      <c r="D7" s="501" t="n"/>
      <c r="E7" s="501" t="n"/>
    </row>
    <row r="8" ht="15" customHeight="1" s="254">
      <c r="A8" s="262" t="inlineStr">
        <is>
          <t>What we keep</t>
        </is>
      </c>
      <c r="B8" s="501" t="n"/>
      <c r="C8" s="501" t="n"/>
      <c r="D8" s="501" t="n"/>
      <c r="E8" s="501" t="n"/>
    </row>
    <row r="9" ht="15" customHeight="1" s="254">
      <c r="A9" s="263" t="inlineStr">
        <is>
          <t>Structure name</t>
        </is>
      </c>
      <c r="B9" s="565" t="inlineStr">
        <is>
          <t>Base case — no share</t>
        </is>
      </c>
      <c r="C9" s="508" t="inlineStr">
        <is>
          <t>A label so a reader knows which structure this is</t>
        </is>
      </c>
      <c r="D9" s="501" t="n"/>
      <c r="E9" s="501" t="n"/>
    </row>
    <row r="10" ht="15" customHeight="1" s="254">
      <c r="A10" s="263" t="inlineStr">
        <is>
          <t>Our share of the net carbon credit</t>
        </is>
      </c>
      <c r="B10" s="588" t="n">
        <v>0</v>
      </c>
      <c r="C10" s="508" t="inlineStr">
        <is>
          <t>0% = client keeps all of it</t>
        </is>
      </c>
      <c r="D10" s="501" t="n"/>
      <c r="E10" s="501" t="n"/>
    </row>
    <row r="11" ht="15" customHeight="1" s="254">
      <c r="A11" s="263" t="inlineStr">
        <is>
          <t>Our share of charging revenue</t>
        </is>
      </c>
      <c r="B11" s="588" t="n">
        <v>0</v>
      </c>
      <c r="C11" s="508" t="inlineStr">
        <is>
          <t>0% = client keeps all of it</t>
        </is>
      </c>
      <c r="D11" s="501" t="n"/>
      <c r="E11" s="501" t="n"/>
    </row>
    <row r="12" ht="15" customHeight="1" s="254">
      <c r="A12" s="263" t="inlineStr">
        <is>
          <t>Revenue share is taken on</t>
        </is>
      </c>
      <c r="B12" s="565" t="inlineStr">
        <is>
          <t>Net charging profit</t>
        </is>
      </c>
      <c r="C12" s="508" t="inlineStr">
        <is>
          <t>Net charging profit / Gross revenue</t>
        </is>
      </c>
      <c r="D12" s="501" t="n"/>
      <c r="E12" s="501" t="n"/>
    </row>
    <row r="13" ht="15" customHeight="1" s="254">
      <c r="A13" s="263" t="inlineStr">
        <is>
          <t>Share runs for (years)</t>
        </is>
      </c>
      <c r="B13" s="624" t="n">
        <v>10</v>
      </c>
      <c r="C13" s="508" t="inlineStr">
        <is>
          <t>Cannot exceed the model horizon</t>
        </is>
      </c>
      <c r="D13" s="501" t="n"/>
      <c r="E13" s="501" t="n"/>
    </row>
    <row r="14">
      <c r="A14" s="501" t="n"/>
      <c r="B14" s="501" t="n"/>
      <c r="C14" s="501" t="n"/>
      <c r="D14" s="501" t="n"/>
      <c r="E14" s="501" t="n"/>
    </row>
    <row r="15" ht="15" customHeight="1" s="254">
      <c r="A15" s="262" t="inlineStr">
        <is>
          <t>What we give in return</t>
        </is>
      </c>
      <c r="B15" s="501" t="n"/>
      <c r="C15" s="501" t="n"/>
      <c r="D15" s="501" t="n"/>
      <c r="E15" s="501" t="n"/>
    </row>
    <row r="16" ht="15" customHeight="1" s="254">
      <c r="A16" s="263" t="inlineStr">
        <is>
          <t>Extra discount on charger hardware</t>
        </is>
      </c>
      <c r="B16" s="588" t="n">
        <v>0</v>
      </c>
      <c r="C16" s="508" t="inlineStr">
        <is>
          <t>On top of the discount already in the base price</t>
        </is>
      </c>
      <c r="D16" s="501" t="n"/>
      <c r="E16" s="501" t="n"/>
    </row>
    <row r="17" ht="30.4" customHeight="1" s="254">
      <c r="A17" s="527" t="inlineStr">
        <is>
          <t>Extra discount on electrical and construction</t>
        </is>
      </c>
      <c r="B17" s="588" t="n">
        <v>0</v>
      </c>
      <c r="C17" s="501" t="n"/>
      <c r="D17" s="501" t="n"/>
      <c r="E17" s="501" t="n"/>
    </row>
    <row r="18" ht="30.4" customHeight="1" s="254">
      <c r="A18" s="527" t="inlineStr">
        <is>
          <t>Extra discount on service, warranty and network</t>
        </is>
      </c>
      <c r="B18" s="588" t="n">
        <v>0</v>
      </c>
      <c r="C18" s="501" t="n"/>
      <c r="D18" s="501" t="n"/>
      <c r="E18" s="501" t="n"/>
    </row>
    <row r="19" ht="15" customHeight="1" s="254">
      <c r="A19" s="263" t="inlineStr">
        <is>
          <t>Direct capital contribution</t>
        </is>
      </c>
      <c r="B19" s="579" t="n">
        <v>0</v>
      </c>
      <c r="C19" s="508" t="inlineStr">
        <is>
          <t>Cash or hardware we fund outright</t>
        </is>
      </c>
      <c r="D19" s="501" t="n"/>
      <c r="E19" s="501" t="n"/>
    </row>
    <row r="20">
      <c r="A20" s="501" t="n"/>
      <c r="B20" s="501" t="n"/>
      <c r="C20" s="501" t="n"/>
      <c r="D20" s="501" t="n"/>
      <c r="E20" s="501" t="n"/>
    </row>
    <row r="21" ht="33.04000000000001" customHeight="1" s="254">
      <c r="A21" s="529" t="inlineStr">
        <is>
          <t>Guard rails — the model will report against these</t>
        </is>
      </c>
      <c r="B21" s="501" t="n"/>
      <c r="C21" s="501" t="n"/>
      <c r="D21" s="501" t="n"/>
      <c r="E21" s="501" t="n"/>
    </row>
    <row r="22" ht="15" customHeight="1" s="254">
      <c r="A22" s="263" t="inlineStr">
        <is>
          <t>Minimum acceptable client NPV</t>
        </is>
      </c>
      <c r="B22" s="579" t="n">
        <v>0</v>
      </c>
      <c r="C22" s="508" t="inlineStr">
        <is>
          <t>Below this the structure is not worth offering</t>
        </is>
      </c>
      <c r="D22" s="501" t="n"/>
      <c r="E22" s="501" t="n"/>
    </row>
    <row r="23" ht="30.4" customHeight="1" s="254">
      <c r="A23" s="527" t="inlineStr">
        <is>
          <t>Minimum acceptable return on our capital</t>
        </is>
      </c>
      <c r="B23" s="625" t="n">
        <v>2</v>
      </c>
      <c r="C23" s="508" t="inlineStr">
        <is>
          <t>Multiple of what we contribute</t>
        </is>
      </c>
      <c r="D23" s="501" t="n"/>
      <c r="E23" s="501" t="n"/>
    </row>
    <row r="24" ht="15" customHeight="1" s="254">
      <c r="A24" s="263" t="inlineStr">
        <is>
          <t>Maximum capital we will contribute</t>
        </is>
      </c>
      <c r="B24" s="626" t="n">
        <v>0</v>
      </c>
      <c r="C24" s="508" t="inlineStr">
        <is>
          <t>Hard ceiling on our exposure</t>
        </is>
      </c>
      <c r="D24" s="501" t="n"/>
      <c r="E24" s="501" t="n"/>
    </row>
    <row r="25" ht="14.25" customHeight="1" s="254">
      <c r="A25" s="263" t="inlineStr">
        <is>
          <t>Price position</t>
        </is>
      </c>
      <c r="B25" s="626" t="n"/>
      <c r="C25" s="508" t="inlineStr">
        <is>
          <t>What we are doing about the guard rails above, and what would change it. A price held on judgement with no written release trigger is a price that quietly drifts — name the evidence or the event that would move it.</t>
        </is>
      </c>
      <c r="D25" s="501" t="n"/>
      <c r="E25" s="501" t="n"/>
    </row>
    <row r="26" ht="33.04000000000001" customHeight="1" s="254">
      <c r="A26" s="529" t="inlineStr">
        <is>
          <t>Scope of supply — which lines do we provide?</t>
        </is>
      </c>
      <c r="B26" s="501" t="n"/>
      <c r="C26" s="501" t="n"/>
      <c r="D26" s="501" t="n"/>
      <c r="E26" s="501" t="n"/>
    </row>
    <row r="27" ht="27.76" customHeight="1" s="254">
      <c r="A27" s="393" t="inlineStr">
        <is>
          <t>Default is all of them, which is the base case. Mark a line "By others" when a third party supplies it — it leaves our contract but stays in the client's project.</t>
        </is>
      </c>
    </row>
    <row r="28">
      <c r="A28" s="501" t="n"/>
      <c r="B28" s="501" t="n"/>
      <c r="C28" s="501" t="n"/>
      <c r="D28" s="501" t="n"/>
      <c r="E28" s="501" t="n"/>
    </row>
    <row r="29" ht="15" customHeight="1" s="254">
      <c r="A29" s="268" t="inlineStr">
        <is>
          <t>Service line</t>
        </is>
      </c>
      <c r="B29" s="510" t="inlineStr">
        <is>
          <t>Who provides it</t>
        </is>
      </c>
      <c r="C29" s="510" t="inlineStr">
        <is>
          <t>Third party name</t>
        </is>
      </c>
      <c r="D29" s="510" t="inlineStr">
        <is>
          <t>Notes</t>
        </is>
      </c>
      <c r="E29" s="501" t="n"/>
    </row>
    <row r="30" ht="30.4" customHeight="1" s="254">
      <c r="A30" s="598" t="inlineStr">
        <is>
          <t>Charger hardware — procurement and sale</t>
        </is>
      </c>
      <c r="B30" s="575" t="inlineStr">
        <is>
          <t>We provide</t>
        </is>
      </c>
      <c r="C30" s="506" t="n"/>
      <c r="D30" s="506" t="n"/>
      <c r="E30" s="501" t="n"/>
    </row>
    <row r="31" ht="15" customHeight="1" s="254">
      <c r="A31" s="383" t="inlineStr">
        <is>
          <t>Extended warranty and O&amp;M service</t>
        </is>
      </c>
      <c r="B31" s="575" t="inlineStr">
        <is>
          <t>We provide</t>
        </is>
      </c>
      <c r="C31" s="506" t="n"/>
      <c r="D31" s="506" t="n"/>
      <c r="E31" s="501" t="n"/>
    </row>
    <row r="32" ht="15" customHeight="1" s="254">
      <c r="A32" s="383" t="inlineStr">
        <is>
          <t>EVOLV platform and commissioning</t>
        </is>
      </c>
      <c r="B32" s="575" t="inlineStr">
        <is>
          <t>We provide</t>
        </is>
      </c>
      <c r="C32" s="506" t="n"/>
      <c r="D32" s="506" t="n"/>
      <c r="E32" s="501" t="n"/>
    </row>
    <row r="33" ht="15" customHeight="1" s="254">
      <c r="A33" s="383" t="inlineStr">
        <is>
          <t>Sales tax on chargers</t>
        </is>
      </c>
      <c r="B33" s="575" t="inlineStr">
        <is>
          <t>We provide</t>
        </is>
      </c>
      <c r="C33" s="506" t="n"/>
      <c r="D33" s="506" t="n"/>
      <c r="E33" s="501" t="n"/>
    </row>
    <row r="34" ht="15" customHeight="1" s="254">
      <c r="A34" s="383" t="inlineStr">
        <is>
          <t>Design and engineering</t>
        </is>
      </c>
      <c r="B34" s="575" t="inlineStr">
        <is>
          <t>We provide</t>
        </is>
      </c>
      <c r="C34" s="506" t="n"/>
      <c r="D34" s="506" t="n"/>
      <c r="E34" s="501" t="n"/>
    </row>
    <row r="35" ht="31.5" customHeight="1" s="254">
      <c r="A35" s="434" t="inlineStr">
        <is>
          <t>Construction — all-inclusive (materials, equipment, labour)</t>
        </is>
      </c>
      <c r="B35" s="575" t="inlineStr">
        <is>
          <t>We provide</t>
        </is>
      </c>
      <c r="C35" s="506" t="n"/>
      <c r="D35" s="506" t="n"/>
      <c r="E35" s="501" t="n"/>
    </row>
    <row r="36" ht="15" customHeight="1" s="254">
      <c r="A36" s="383" t="inlineStr">
        <is>
          <t>Utility interconnection management</t>
        </is>
      </c>
      <c r="B36" s="575" t="inlineStr">
        <is>
          <t>We provide</t>
        </is>
      </c>
      <c r="C36" s="506" t="n"/>
      <c r="D36" s="506" t="n"/>
      <c r="E36" s="501" t="n"/>
    </row>
    <row r="37" ht="19.5" customHeight="1" s="254">
      <c r="A37" s="393" t="inlineStr">
        <is>
          <t>Carbon credit administration is NOT one of our lines — a third-party aggregator takes a share of proceeds. See 7_Carbon.</t>
        </is>
      </c>
      <c r="E37" s="501" t="n"/>
    </row>
    <row r="38" ht="27.76" customHeight="1" s="254">
      <c r="A38" s="501" t="n"/>
      <c r="B38" s="596" t="inlineStr">
        <is>
          <t>Handing a line to a third party removes its price and its margin. The model shows what each one is worth before you offer it.</t>
        </is>
      </c>
      <c r="C38" s="501" t="n"/>
      <c r="D38" s="501" t="n"/>
      <c r="E38" s="501" t="n"/>
    </row>
    <row r="39">
      <c r="A39" s="501" t="n"/>
      <c r="B39" s="501" t="n"/>
      <c r="C39" s="501" t="n"/>
      <c r="D39" s="501" t="n"/>
      <c r="E39" s="501" t="n"/>
    </row>
    <row r="40" ht="15" customHeight="1" s="254">
      <c r="A40" s="262" t="inlineStr">
        <is>
          <t>Financing basis</t>
        </is>
      </c>
      <c r="B40" s="501" t="n"/>
      <c r="C40" s="501" t="n"/>
      <c r="D40" s="501" t="n"/>
      <c r="E40" s="501" t="n"/>
    </row>
    <row r="41" ht="15" customHeight="1" s="254">
      <c r="A41" s="263" t="inlineStr">
        <is>
          <t>Client finances</t>
        </is>
      </c>
      <c r="B41" s="575" t="inlineStr">
        <is>
          <t>Whole project</t>
        </is>
      </c>
      <c r="C41" s="508" t="inlineStr">
        <is>
          <t>Whether the facility covers third-party scope too</t>
        </is>
      </c>
      <c r="D41" s="501" t="n"/>
      <c r="E41" s="501"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34" customWidth="1" style="253" min="2" max="4"/>
    <col width="13" customWidth="1" style="254" min="3" max="3"/>
    <col width="13" customWidth="1" style="254" min="4" max="4"/>
  </cols>
  <sheetData>
    <row r="1" ht="25.5" customHeight="1" s="254">
      <c r="A1" s="255" t="inlineStr">
        <is>
          <t>9 · OVERRIDE REGISTER</t>
        </is>
      </c>
    </row>
    <row r="2" ht="31.5" customHeight="1" s="254">
      <c r="A2" s="256" t="inlineStr">
        <is>
          <t>The escape hatch. Force any derived value here when you know better than the engine — a quote, a fee schedule, a field measurement.</t>
        </is>
      </c>
    </row>
    <row r="3">
      <c r="A3" s="501" t="n"/>
      <c r="B3" s="501" t="n"/>
      <c r="C3" s="501" t="n"/>
      <c r="D3" s="501" t="n"/>
    </row>
    <row r="4" ht="31.5" customHeight="1" s="254">
      <c r="A4" s="263" t="inlineStr">
        <is>
          <t>•</t>
        </is>
      </c>
      <c r="B4" s="623" t="inlineStr">
        <is>
          <t>Leave a row blank and the engine uses its own computed number. Fill it in and the engine uses yours, everywhere.</t>
        </is>
      </c>
      <c r="C4" s="501" t="n"/>
      <c r="D4" s="501" t="n"/>
    </row>
    <row r="5" ht="43.6" customHeight="1" s="254">
      <c r="A5" s="263" t="inlineStr">
        <is>
          <t>•</t>
        </is>
      </c>
      <c r="B5" s="623" t="inlineStr">
        <is>
          <t>Every override is reported on the model summary, so a reviewer can always see that the model was touched and exactly where.</t>
        </is>
      </c>
      <c r="C5" s="501" t="n"/>
      <c r="D5" s="501" t="n"/>
    </row>
    <row r="6" ht="31.5" customHeight="1" s="254">
      <c r="A6" s="263" t="inlineStr">
        <is>
          <t>•</t>
        </is>
      </c>
      <c r="B6" s="623" t="inlineStr">
        <is>
          <t>Put the reason in the last column. An override with no reason is indistinguishable from a typo six months later.</t>
        </is>
      </c>
      <c r="C6" s="501" t="n"/>
      <c r="D6" s="501" t="n"/>
    </row>
    <row r="7">
      <c r="A7" s="501" t="n"/>
      <c r="B7" s="501" t="n"/>
      <c r="C7" s="501" t="n"/>
      <c r="D7" s="501" t="n"/>
    </row>
    <row r="8" ht="39.64" customHeight="1" s="254">
      <c r="A8" s="273" t="inlineStr">
        <is>
          <t>Value</t>
        </is>
      </c>
      <c r="B8" s="515" t="inlineStr">
        <is>
          <t>Override</t>
        </is>
      </c>
      <c r="C8" s="516" t="inlineStr">
        <is>
          <t>Units</t>
        </is>
      </c>
      <c r="D8" s="516" t="inlineStr">
        <is>
          <t>Why — quote, fee schedule, measurement</t>
        </is>
      </c>
    </row>
    <row r="9" ht="30.4" customHeight="1" s="254">
      <c r="A9" s="598" t="inlineStr">
        <is>
          <t>Wires, conduits and peripherals (before uplift)</t>
        </is>
      </c>
      <c r="B9" s="581" t="n"/>
      <c r="C9" s="627" t="inlineStr">
        <is>
          <t>$</t>
        </is>
      </c>
      <c r="D9" s="506" t="n"/>
    </row>
    <row r="10" ht="116.2" customHeight="1" s="254">
      <c r="A10" s="598" t="inlineStr">
        <is>
          <t>Switchgear and distribution (before uplift)</t>
        </is>
      </c>
      <c r="B10" s="581" t="n"/>
      <c r="C10" s="627" t="inlineStr">
        <is>
          <t>$</t>
        </is>
      </c>
      <c r="D10" s="628" t="inlineStr">
        <is>
          <t>Vendor quote for the switchboard, before markup. Use this when the board is quoted rather than taken from the RefData frame schedule.</t>
        </is>
      </c>
    </row>
    <row r="11" ht="15" customHeight="1" s="254">
      <c r="A11" s="383" t="inlineStr">
        <is>
          <t>Site works (before uplift)</t>
        </is>
      </c>
      <c r="B11" s="581" t="n"/>
      <c r="C11" s="627" t="inlineStr">
        <is>
          <t>$</t>
        </is>
      </c>
      <c r="D11" s="506" t="n"/>
    </row>
    <row r="12" ht="30.4" customHeight="1" s="254">
      <c r="A12" s="598" t="inlineStr">
        <is>
          <t>Dump, waste and freight (before uplift)</t>
        </is>
      </c>
      <c r="B12" s="581" t="n"/>
      <c r="C12" s="627" t="inlineStr">
        <is>
          <t>$</t>
        </is>
      </c>
      <c r="D12" s="506" t="n"/>
    </row>
    <row r="13" ht="15" customHeight="1" s="254">
      <c r="A13" s="383" t="inlineStr">
        <is>
          <t>Permits and plan check (before uplift)</t>
        </is>
      </c>
      <c r="B13" s="581" t="n"/>
      <c r="C13" s="627" t="inlineStr">
        <is>
          <t>$</t>
        </is>
      </c>
      <c r="D13" s="506" t="n"/>
    </row>
    <row r="14" ht="30.4" customHeight="1" s="254">
      <c r="A14" s="598" t="inlineStr">
        <is>
          <t>Utility application and contract fees (before uplift)</t>
        </is>
      </c>
      <c r="B14" s="581" t="n"/>
      <c r="C14" s="627" t="inlineStr">
        <is>
          <t>$</t>
        </is>
      </c>
      <c r="D14" s="506" t="n"/>
    </row>
    <row r="15" ht="30.4" customHeight="1" s="254">
      <c r="A15" s="598" t="inlineStr">
        <is>
          <t>Construction equipment rentals (before uplift)</t>
        </is>
      </c>
      <c r="B15" s="581" t="n"/>
      <c r="C15" s="627" t="inlineStr">
        <is>
          <t>$</t>
        </is>
      </c>
      <c r="D15" s="506" t="n"/>
    </row>
    <row r="16" ht="15" customHeight="1" s="254">
      <c r="A16" s="383" t="inlineStr">
        <is>
          <t>Design and engineering</t>
        </is>
      </c>
      <c r="B16" s="581" t="n"/>
      <c r="C16" s="627" t="inlineStr">
        <is>
          <t>$</t>
        </is>
      </c>
      <c r="D16" s="506" t="n"/>
    </row>
    <row r="17" ht="136" customHeight="1" s="254">
      <c r="A17" s="598" t="inlineStr">
        <is>
          <t>Utility line-extension contribution (if any)</t>
        </is>
      </c>
      <c r="B17" s="581" t="n"/>
      <c r="C17" s="627" t="inlineStr">
        <is>
          <t>$</t>
        </is>
      </c>
      <c r="D17" s="629" t="inlineStr">
        <is>
          <t>Leave blank and it is excluded by name in the proposal. Fill it in only when PG&amp;E returns a design that requires it.</t>
        </is>
      </c>
    </row>
    <row r="18" ht="15" customHeight="1" s="254">
      <c r="A18" s="383" t="inlineStr">
        <is>
          <t>Additional or unforeseen scope</t>
        </is>
      </c>
      <c r="B18" s="581" t="n"/>
      <c r="C18" s="627" t="inlineStr">
        <is>
          <t>$</t>
        </is>
      </c>
      <c r="D18" s="506" t="n"/>
    </row>
    <row r="19" ht="15" customHeight="1" s="254">
      <c r="A19" s="383" t="inlineStr">
        <is>
          <t>Standard frame (A)</t>
        </is>
      </c>
      <c r="B19" s="525" t="n"/>
      <c r="C19" s="627" t="inlineStr">
        <is>
          <t>amps</t>
        </is>
      </c>
      <c r="D19" s="506" t="n"/>
    </row>
    <row r="20" ht="15" customHeight="1" s="254">
      <c r="A20" s="383" t="inlineStr">
        <is>
          <t>Branch breaker per cabinet (A)</t>
        </is>
      </c>
      <c r="B20" s="525" t="n"/>
      <c r="C20" s="627" t="inlineStr">
        <is>
          <t>amps</t>
        </is>
      </c>
      <c r="D20" s="506" t="n"/>
    </row>
    <row r="21" ht="15" customHeight="1" s="254">
      <c r="A21" s="383" t="inlineStr">
        <is>
          <t>Crew days on site</t>
        </is>
      </c>
      <c r="B21" s="525" t="n"/>
      <c r="C21" s="627" t="inlineStr">
        <is>
          <t>days</t>
        </is>
      </c>
      <c r="D21" s="506" t="n"/>
    </row>
    <row r="22" ht="15" customHeight="1" s="254">
      <c r="A22" s="383" t="inlineStr">
        <is>
          <t>Steady-state kWh per day</t>
        </is>
      </c>
      <c r="B22" s="525" t="n"/>
      <c r="C22" s="627" t="inlineStr">
        <is>
          <t>kWh</t>
        </is>
      </c>
      <c r="D22" s="506" t="n"/>
    </row>
    <row r="23" ht="15" customHeight="1" s="254">
      <c r="A23" s="383" t="inlineStr">
        <is>
          <t>Gross capacity credit per year</t>
        </is>
      </c>
      <c r="B23" s="581" t="n"/>
      <c r="C23" s="627" t="inlineStr">
        <is>
          <t>$</t>
        </is>
      </c>
      <c r="D23" s="506" t="n"/>
    </row>
    <row r="24" ht="15" customHeight="1" s="254">
      <c r="A24" s="383" t="inlineStr">
        <is>
          <t>Monthly loan payment</t>
        </is>
      </c>
      <c r="B24" s="581" t="n"/>
      <c r="C24" s="627" t="inlineStr">
        <is>
          <t>$</t>
        </is>
      </c>
      <c r="D24" s="506" t="n"/>
    </row>
    <row r="25" ht="15" customHeight="1" s="254">
      <c r="A25" s="383" t="inlineStr">
        <is>
          <t>Hardware MSRP each</t>
        </is>
      </c>
      <c r="B25" s="581" t="n"/>
      <c r="C25" s="627" t="inlineStr">
        <is>
          <t>$</t>
        </is>
      </c>
      <c r="D25" s="506" t="n"/>
    </row>
    <row r="26" ht="15" customHeight="1" s="254">
      <c r="A26" s="383" t="inlineStr">
        <is>
          <t>Retail price to driver</t>
        </is>
      </c>
      <c r="B26" s="612" t="n"/>
      <c r="C26" s="627" t="inlineStr">
        <is>
          <t>$/kWh</t>
        </is>
      </c>
      <c r="D26" s="506" t="n"/>
    </row>
    <row r="27" ht="15" customHeight="1" s="254">
      <c r="A27" s="383" t="inlineStr">
        <is>
          <t>Delivered energy cost</t>
        </is>
      </c>
      <c r="B27" s="612" t="n"/>
      <c r="C27" s="627" t="inlineStr">
        <is>
          <t>$/kWh</t>
        </is>
      </c>
      <c r="D27" s="506" t="n"/>
    </row>
    <row r="28" ht="15" customHeight="1" s="254">
      <c r="A28" s="383" t="inlineStr">
        <is>
          <t>Utility demand / subscription</t>
        </is>
      </c>
      <c r="B28" s="612" t="n"/>
      <c r="C28" s="627" t="inlineStr">
        <is>
          <t>$/yr</t>
        </is>
      </c>
      <c r="D28" s="506"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G1" s="501" t="n"/>
      <c r="H1" s="501" t="n"/>
      <c r="I1" s="630" t="inlineStr">
        <is>
          <t>CONNECTORS</t>
        </is>
      </c>
      <c r="J1" s="630" t="inlineStr">
        <is>
          <t>HOW THE COUNT WAS DECIDED</t>
        </is>
      </c>
      <c r="K1" s="631" t="inlineStr">
        <is>
          <t>SKU INDEX — built from the categories above; the capacity dropdown on 2_Equipment resolves against these columns</t>
        </is>
      </c>
      <c r="L1" s="501" t="n"/>
      <c r="M1" s="501" t="n"/>
      <c r="N1" s="501" t="n"/>
      <c r="O1" s="501" t="n"/>
      <c r="P1" s="501" t="n"/>
      <c r="Q1" s="501" t="n"/>
      <c r="R1" s="501" t="n"/>
      <c r="S1" s="501" t="n"/>
      <c r="T1" s="501" t="n"/>
      <c r="U1" s="501" t="n"/>
      <c r="V1" s="501" t="n"/>
      <c r="W1" s="501" t="n"/>
      <c r="X1" s="501" t="n"/>
      <c r="Y1" s="501" t="n"/>
      <c r="Z1" s="501" t="n"/>
      <c r="AA1" s="501" t="n"/>
      <c r="AB1" s="501" t="n"/>
      <c r="AC1" s="501" t="n"/>
      <c r="AD1" s="501" t="n"/>
      <c r="AE1" s="501" t="n"/>
      <c r="AF1" s="501" t="n"/>
      <c r="AG1" s="501" t="n"/>
    </row>
    <row r="2" ht="19.5" customHeight="1" s="254">
      <c r="A2" s="263" t="inlineStr">
        <is>
          <t>_L2</t>
        </is>
      </c>
      <c r="B2" s="518" t="inlineStr">
        <is>
          <t>CTX-R40-240-1</t>
        </is>
      </c>
      <c r="C2" s="518" t="inlineStr">
        <is>
          <t>40A Single Home Charger</t>
        </is>
      </c>
      <c r="D2" s="632" t="n">
        <v>605</v>
      </c>
      <c r="E2" s="633" t="n"/>
      <c r="F2" s="634" t="n"/>
      <c r="G2" s="501" t="n"/>
      <c r="H2" s="501" t="n"/>
      <c r="I2" s="635" t="n">
        <v>1</v>
      </c>
      <c r="J2" s="636" t="inlineStr">
        <is>
          <t>description says Single</t>
        </is>
      </c>
      <c r="K2" s="637" t="inlineStr">
        <is>
          <t>Level 2 AC</t>
        </is>
      </c>
      <c r="L2" s="638" t="inlineStr">
        <is>
          <t>30 kW DC</t>
        </is>
      </c>
      <c r="M2" s="638" t="inlineStr">
        <is>
          <t>60 kW DC</t>
        </is>
      </c>
      <c r="N2" s="638" t="inlineStr">
        <is>
          <t>120 kW DC</t>
        </is>
      </c>
      <c r="O2" s="638" t="inlineStr">
        <is>
          <t>160 kW DC</t>
        </is>
      </c>
      <c r="P2" s="638" t="inlineStr">
        <is>
          <t>180 kW DC</t>
        </is>
      </c>
      <c r="Q2" s="638" t="inlineStr">
        <is>
          <t>240 kW DC</t>
        </is>
      </c>
      <c r="R2" s="638" t="inlineStr">
        <is>
          <t>360 kW DC</t>
        </is>
      </c>
      <c r="S2" s="638" t="inlineStr">
        <is>
          <t>V2G</t>
        </is>
      </c>
      <c r="T2" s="638" t="inlineStr">
        <is>
          <t>Distributed system</t>
        </is>
      </c>
      <c r="U2" s="638" t="inlineStr">
        <is>
          <t>Accessory</t>
        </is>
      </c>
      <c r="V2" s="501" t="n"/>
      <c r="W2" s="639" t="inlineStr">
        <is>
          <t>CAPACITY</t>
        </is>
      </c>
      <c r="X2" s="639" t="inlineStr">
        <is>
          <t>RATED kW</t>
        </is>
      </c>
      <c r="Y2" s="639" t="inlineStr">
        <is>
          <t>PER PORT</t>
        </is>
      </c>
      <c r="Z2" s="501" t="n"/>
      <c r="AA2" s="501" t="n"/>
      <c r="AB2" s="501" t="n"/>
      <c r="AC2" s="501" t="n"/>
      <c r="AD2" s="639" t="inlineStr">
        <is>
          <t>ROLE BY SKU</t>
        </is>
      </c>
      <c r="AE2" s="639" t="inlineStr">
        <is>
          <t>ROLE</t>
        </is>
      </c>
      <c r="AF2" s="501" t="n"/>
      <c r="AG2" s="640" t="inlineStr">
        <is>
          <t>DISPENSERS</t>
        </is>
      </c>
    </row>
    <row r="3" ht="15" customHeight="1" s="254">
      <c r="A3" s="263" t="inlineStr">
        <is>
          <t>_L2</t>
        </is>
      </c>
      <c r="B3" s="518" t="inlineStr">
        <is>
          <t>CTX-R48-240-1</t>
        </is>
      </c>
      <c r="C3" s="518" t="inlineStr">
        <is>
          <t>48A Single Home Charger</t>
        </is>
      </c>
      <c r="D3" s="632" t="n">
        <v>605</v>
      </c>
      <c r="E3" s="633" t="n"/>
      <c r="F3" s="634" t="n"/>
      <c r="G3" s="501" t="n"/>
      <c r="H3" s="501" t="n"/>
      <c r="I3" s="635" t="n">
        <v>1</v>
      </c>
      <c r="J3" s="636" t="inlineStr">
        <is>
          <t>description says Single</t>
        </is>
      </c>
      <c r="K3" s="641" t="inlineStr">
        <is>
          <t>CTX-R40-240-1</t>
        </is>
      </c>
      <c r="L3" s="641" t="inlineStr">
        <is>
          <t>TP5-30-480-1</t>
        </is>
      </c>
      <c r="M3" s="641" t="inlineStr">
        <is>
          <t>TP5-60-480-1</t>
        </is>
      </c>
      <c r="N3" s="641" t="inlineStr">
        <is>
          <t>TP5-120-480-1</t>
        </is>
      </c>
      <c r="O3" s="641" t="inlineStr">
        <is>
          <t>TP5-160-480-1</t>
        </is>
      </c>
      <c r="P3" s="641" t="inlineStr">
        <is>
          <t>TP5-180-480-1</t>
        </is>
      </c>
      <c r="Q3" s="641" t="inlineStr">
        <is>
          <t>TP5-240-480-2-300</t>
        </is>
      </c>
      <c r="R3" s="641" t="inlineStr">
        <is>
          <t>TP5-360-480-1-300</t>
        </is>
      </c>
      <c r="S3" s="641" t="inlineStr">
        <is>
          <t>CTX-V2G-20-480-1</t>
        </is>
      </c>
      <c r="T3" s="641" t="inlineStr">
        <is>
          <t>CTX-DSPB-360</t>
        </is>
      </c>
      <c r="U3" s="641" t="inlineStr">
        <is>
          <t>CTX-FLUXPED</t>
        </is>
      </c>
      <c r="V3" s="501" t="n"/>
      <c r="W3" s="642" t="inlineStr">
        <is>
          <t>Level 2 AC</t>
        </is>
      </c>
      <c r="X3" s="635" t="n">
        <v>7.2</v>
      </c>
      <c r="Y3" s="635" t="n">
        <v>1</v>
      </c>
      <c r="Z3" s="501" t="n"/>
      <c r="AA3" s="501" t="n"/>
      <c r="AB3" s="501" t="n"/>
      <c r="AC3" s="501" t="n"/>
      <c r="AD3" s="643" t="inlineStr">
        <is>
          <t>CTX-R40-240-1</t>
        </is>
      </c>
      <c r="AE3" s="644" t="inlineStr">
        <is>
          <t>level_2</t>
        </is>
      </c>
      <c r="AF3" s="501" t="n"/>
      <c r="AG3" s="645" t="inlineStr">
        <is>
          <t>CTX-DST-2-300</t>
        </is>
      </c>
    </row>
    <row r="4" ht="15" customHeight="1" s="254">
      <c r="A4" s="263" t="inlineStr">
        <is>
          <t>_L2</t>
        </is>
      </c>
      <c r="B4" s="518" t="inlineStr">
        <is>
          <t>CTX-C32-240-1</t>
        </is>
      </c>
      <c r="C4" s="518" t="inlineStr">
        <is>
          <t>32A Single Commercial L2 Charger</t>
        </is>
      </c>
      <c r="D4" s="632" t="n">
        <v>1402.5</v>
      </c>
      <c r="E4" s="633" t="n"/>
      <c r="F4" s="634" t="n"/>
      <c r="G4" s="501" t="n"/>
      <c r="H4" s="501" t="n"/>
      <c r="I4" s="635" t="n">
        <v>1</v>
      </c>
      <c r="J4" s="636" t="inlineStr">
        <is>
          <t>description says Single</t>
        </is>
      </c>
      <c r="K4" s="641" t="inlineStr">
        <is>
          <t>CTX-R48-240-1</t>
        </is>
      </c>
      <c r="L4" s="641" t="inlineStr">
        <is>
          <t>TP5-30-480-3</t>
        </is>
      </c>
      <c r="M4" s="641" t="inlineStr">
        <is>
          <t>TP5-60-480-2</t>
        </is>
      </c>
      <c r="N4" s="641" t="inlineStr">
        <is>
          <t>TP5-120-480-2</t>
        </is>
      </c>
      <c r="O4" s="641" t="inlineStr">
        <is>
          <t>TP5-160-480-2</t>
        </is>
      </c>
      <c r="P4" s="641" t="inlineStr">
        <is>
          <t>TP5-180-480-2</t>
        </is>
      </c>
      <c r="Q4" s="641" t="inlineStr">
        <is>
          <t>TP5-240-480-2-400</t>
        </is>
      </c>
      <c r="R4" s="641" t="inlineStr">
        <is>
          <t>TP5-360-480-2-300</t>
        </is>
      </c>
      <c r="S4" s="641" t="inlineStr">
        <is>
          <t>CTX-V2G-30-480-1</t>
        </is>
      </c>
      <c r="T4" s="641" t="inlineStr">
        <is>
          <t>CTX-DSPB-480</t>
        </is>
      </c>
      <c r="U4" s="641" t="inlineStr">
        <is>
          <t>CTX-FLUXWAL-CMS-1</t>
        </is>
      </c>
      <c r="V4" s="501" t="n"/>
      <c r="W4" s="642" t="inlineStr">
        <is>
          <t>30 kW DC</t>
        </is>
      </c>
      <c r="X4" s="635" t="n">
        <v>30</v>
      </c>
      <c r="Y4" s="635" t="n">
        <v>0</v>
      </c>
      <c r="Z4" s="501" t="n"/>
      <c r="AA4" s="501" t="n"/>
      <c r="AB4" s="501" t="n"/>
      <c r="AC4" s="501" t="n"/>
      <c r="AD4" s="643" t="inlineStr">
        <is>
          <t>CTX-R48-240-1</t>
        </is>
      </c>
      <c r="AE4" s="644" t="inlineStr">
        <is>
          <t>level_2</t>
        </is>
      </c>
      <c r="AF4" s="501" t="n"/>
      <c r="AG4" s="645" t="inlineStr">
        <is>
          <t>CTX-DST-HPC-2-500/300</t>
        </is>
      </c>
    </row>
    <row r="5" ht="15" customHeight="1" s="254">
      <c r="A5" s="263" t="inlineStr">
        <is>
          <t>_L2</t>
        </is>
      </c>
      <c r="B5" s="518" t="inlineStr">
        <is>
          <t>CTX-C48-240-1</t>
        </is>
      </c>
      <c r="C5" s="518" t="inlineStr">
        <is>
          <t>48A Single Commercial L2 Charger (18' Cable with Modem)</t>
        </is>
      </c>
      <c r="D5" s="632" t="n">
        <v>1402.5</v>
      </c>
      <c r="E5" s="633" t="n"/>
      <c r="F5" s="634" t="n"/>
      <c r="G5" s="501" t="n"/>
      <c r="H5" s="501" t="n"/>
      <c r="I5" s="635" t="n">
        <v>1</v>
      </c>
      <c r="J5" s="636" t="inlineStr">
        <is>
          <t>description says Single</t>
        </is>
      </c>
      <c r="K5" s="641" t="inlineStr">
        <is>
          <t>CTX-C32-240-1</t>
        </is>
      </c>
      <c r="L5" s="501" t="n"/>
      <c r="M5" s="641" t="inlineStr">
        <is>
          <t>TP5-60-480-3</t>
        </is>
      </c>
      <c r="N5" s="641" t="inlineStr">
        <is>
          <t>TP5-120-480-2-300</t>
        </is>
      </c>
      <c r="O5" s="641" t="inlineStr">
        <is>
          <t>TP5-160-480-3</t>
        </is>
      </c>
      <c r="P5" s="641" t="inlineStr">
        <is>
          <t>TP5-180-480-2-300</t>
        </is>
      </c>
      <c r="Q5" s="641" t="inlineStr">
        <is>
          <t>HPC-240-480-1</t>
        </is>
      </c>
      <c r="R5" s="641" t="inlineStr">
        <is>
          <t>TP5-360-480-3-300</t>
        </is>
      </c>
      <c r="S5" s="641" t="inlineStr">
        <is>
          <t>CTX-V2G-40-480-1</t>
        </is>
      </c>
      <c r="T5" s="641" t="inlineStr">
        <is>
          <t>CTX-DSPB-1280</t>
        </is>
      </c>
      <c r="U5" s="641" t="inlineStr">
        <is>
          <t>CTX-FLUXPED-CMS-1</t>
        </is>
      </c>
      <c r="V5" s="501" t="n"/>
      <c r="W5" s="642" t="inlineStr">
        <is>
          <t>60 kW DC</t>
        </is>
      </c>
      <c r="X5" s="635" t="n">
        <v>60</v>
      </c>
      <c r="Y5" s="635" t="n">
        <v>0</v>
      </c>
      <c r="Z5" s="501" t="n"/>
      <c r="AA5" s="501" t="n"/>
      <c r="AB5" s="501" t="n"/>
      <c r="AC5" s="501" t="n"/>
      <c r="AD5" s="643" t="inlineStr">
        <is>
          <t>CTX-C32-240-1</t>
        </is>
      </c>
      <c r="AE5" s="644" t="inlineStr">
        <is>
          <t>level_2</t>
        </is>
      </c>
      <c r="AF5" s="501" t="n"/>
      <c r="AG5" s="501" t="n"/>
    </row>
    <row r="6" ht="15" customHeight="1" s="254">
      <c r="A6" s="263" t="inlineStr">
        <is>
          <t>_L2</t>
        </is>
      </c>
      <c r="B6" s="518" t="inlineStr">
        <is>
          <t>CTX-C80-240-1</t>
        </is>
      </c>
      <c r="C6" s="518" t="inlineStr">
        <is>
          <t>80A Single Commercial L2 Charger (18' Cable with Modem)</t>
        </is>
      </c>
      <c r="D6" s="632" t="n">
        <v>1650</v>
      </c>
      <c r="E6" s="633" t="n"/>
      <c r="F6" s="634" t="n"/>
      <c r="G6" s="501" t="n"/>
      <c r="H6" s="501" t="n"/>
      <c r="I6" s="635" t="n">
        <v>1</v>
      </c>
      <c r="J6" s="636" t="inlineStr">
        <is>
          <t>description says Single</t>
        </is>
      </c>
      <c r="K6" s="641" t="inlineStr">
        <is>
          <t>CTX-C48-240-1</t>
        </is>
      </c>
      <c r="L6" s="501" t="n"/>
      <c r="M6" s="641" t="inlineStr">
        <is>
          <t>TP5-60-480-4</t>
        </is>
      </c>
      <c r="N6" s="641" t="inlineStr">
        <is>
          <t>TP5-120-480-3-300</t>
        </is>
      </c>
      <c r="O6" s="641" t="inlineStr">
        <is>
          <t>TP5-160-480-2-300</t>
        </is>
      </c>
      <c r="P6" s="641" t="inlineStr">
        <is>
          <t>TP5-180-480-3-300</t>
        </is>
      </c>
      <c r="Q6" s="641" t="inlineStr">
        <is>
          <t>HPC-240-480-2</t>
        </is>
      </c>
      <c r="R6" s="641" t="inlineStr">
        <is>
          <t>TP5-360-480-4-300</t>
        </is>
      </c>
      <c r="S6" s="641" t="inlineStr">
        <is>
          <t>CTX-V2G-60-480-1</t>
        </is>
      </c>
      <c r="T6" s="641" t="inlineStr">
        <is>
          <t>CTX-DST-2-300</t>
        </is>
      </c>
      <c r="U6" s="641" t="inlineStr">
        <is>
          <t>CTX-FLUXPED-CMS-2</t>
        </is>
      </c>
      <c r="V6" s="501" t="n"/>
      <c r="W6" s="642" t="inlineStr">
        <is>
          <t>120 kW DC</t>
        </is>
      </c>
      <c r="X6" s="635" t="n">
        <v>120</v>
      </c>
      <c r="Y6" s="635" t="n">
        <v>0</v>
      </c>
      <c r="Z6" s="501" t="n"/>
      <c r="AA6" s="501" t="n"/>
      <c r="AB6" s="501" t="n"/>
      <c r="AC6" s="501" t="n"/>
      <c r="AD6" s="643" t="inlineStr">
        <is>
          <t>CTX-C48-240-1</t>
        </is>
      </c>
      <c r="AE6" s="644" t="inlineStr">
        <is>
          <t>level_2</t>
        </is>
      </c>
      <c r="AF6" s="501" t="n"/>
      <c r="AG6" s="501" t="n"/>
    </row>
    <row r="7" ht="15" customHeight="1" s="254">
      <c r="A7" s="263" t="inlineStr">
        <is>
          <t>_L2</t>
        </is>
      </c>
      <c r="B7" s="518" t="inlineStr">
        <is>
          <t>CTX-C40-240-2</t>
        </is>
      </c>
      <c r="C7" s="518" t="inlineStr">
        <is>
          <t>40A Dual Commercial L2 Charger (18' Cable with Modem)</t>
        </is>
      </c>
      <c r="D7" s="632" t="n">
        <v>1952.5</v>
      </c>
      <c r="E7" s="633" t="n"/>
      <c r="F7" s="634" t="n"/>
      <c r="G7" s="501" t="n"/>
      <c r="H7" s="501" t="n"/>
      <c r="I7" s="635" t="n">
        <v>2</v>
      </c>
      <c r="J7" s="636" t="inlineStr">
        <is>
          <t>description says Dual</t>
        </is>
      </c>
      <c r="K7" s="641" t="inlineStr">
        <is>
          <t>CTX-C80-240-1</t>
        </is>
      </c>
      <c r="L7" s="501" t="n"/>
      <c r="M7" s="641" t="inlineStr">
        <is>
          <t>CTX-AiO-60-2-200</t>
        </is>
      </c>
      <c r="N7" s="641" t="inlineStr">
        <is>
          <t>CTX-AiO-120-2-350</t>
        </is>
      </c>
      <c r="O7" s="641" t="inlineStr">
        <is>
          <t>HPC-160-480-1</t>
        </is>
      </c>
      <c r="P7" s="641" t="inlineStr">
        <is>
          <t>TP5-180-480-2-300-CL20</t>
        </is>
      </c>
      <c r="Q7" s="641" t="inlineStr">
        <is>
          <t>CTX-AiO-240-2-300</t>
        </is>
      </c>
      <c r="R7" s="641" t="inlineStr">
        <is>
          <t>HPC-360-480-1</t>
        </is>
      </c>
      <c r="S7" s="501" t="n"/>
      <c r="T7" s="641" t="inlineStr">
        <is>
          <t>CTX-DST-HPC-2-500/300</t>
        </is>
      </c>
      <c r="U7" s="641" t="inlineStr">
        <is>
          <t>CTX-FLUXPED-SBS</t>
        </is>
      </c>
      <c r="V7" s="501" t="n"/>
      <c r="W7" s="642" t="inlineStr">
        <is>
          <t>160 kW DC</t>
        </is>
      </c>
      <c r="X7" s="635" t="n">
        <v>160</v>
      </c>
      <c r="Y7" s="635" t="n">
        <v>0</v>
      </c>
      <c r="Z7" s="501" t="n"/>
      <c r="AA7" s="501" t="n"/>
      <c r="AB7" s="501" t="n"/>
      <c r="AC7" s="501" t="n"/>
      <c r="AD7" s="643" t="inlineStr">
        <is>
          <t>CTX-C80-240-1</t>
        </is>
      </c>
      <c r="AE7" s="644" t="inlineStr">
        <is>
          <t>level_2</t>
        </is>
      </c>
      <c r="AF7" s="501" t="n"/>
      <c r="AG7" s="501" t="n"/>
    </row>
    <row r="8" ht="15" customHeight="1" s="254">
      <c r="A8" s="263" t="inlineStr">
        <is>
          <t>_L2</t>
        </is>
      </c>
      <c r="B8" s="518" t="inlineStr">
        <is>
          <t>CTX-C80-240-2</t>
        </is>
      </c>
      <c r="C8" s="518" t="inlineStr">
        <is>
          <t>80A Dual Commercial L2 Charger (18' Cable with Modem)</t>
        </is>
      </c>
      <c r="D8" s="632" t="n">
        <v>2194.5</v>
      </c>
      <c r="E8" s="633" t="n"/>
      <c r="F8" s="634" t="n"/>
      <c r="G8" s="501" t="n"/>
      <c r="H8" s="501" t="n"/>
      <c r="I8" s="635" t="n">
        <v>2</v>
      </c>
      <c r="J8" s="636" t="inlineStr">
        <is>
          <t>description says Dual</t>
        </is>
      </c>
      <c r="K8" s="641" t="inlineStr">
        <is>
          <t>CTX-C40-240-2</t>
        </is>
      </c>
      <c r="L8" s="501" t="n"/>
      <c r="M8" s="641" t="inlineStr">
        <is>
          <t>CTX-AiO-60-3-200</t>
        </is>
      </c>
      <c r="N8" s="641" t="inlineStr">
        <is>
          <t>CTX-AiO-120-3-350</t>
        </is>
      </c>
      <c r="O8" s="641" t="inlineStr">
        <is>
          <t>HPC-160-480-2</t>
        </is>
      </c>
      <c r="P8" s="641" t="inlineStr">
        <is>
          <t>TP5-180-480-2-BAA</t>
        </is>
      </c>
      <c r="Q8" s="641" t="inlineStr">
        <is>
          <t>CTX-AiO-240-3-300</t>
        </is>
      </c>
      <c r="R8" s="641" t="inlineStr">
        <is>
          <t>HPC-360-480-2</t>
        </is>
      </c>
      <c r="S8" s="501" t="n"/>
      <c r="T8" s="501" t="n"/>
      <c r="U8" s="501" t="n"/>
      <c r="V8" s="501" t="n"/>
      <c r="W8" s="642" t="inlineStr">
        <is>
          <t>180 kW DC</t>
        </is>
      </c>
      <c r="X8" s="635" t="n">
        <v>180</v>
      </c>
      <c r="Y8" s="635" t="n">
        <v>0</v>
      </c>
      <c r="Z8" s="501" t="n"/>
      <c r="AA8" s="501" t="n"/>
      <c r="AB8" s="501" t="n"/>
      <c r="AC8" s="501" t="n"/>
      <c r="AD8" s="643" t="inlineStr">
        <is>
          <t>CTX-C40-240-2</t>
        </is>
      </c>
      <c r="AE8" s="644" t="inlineStr">
        <is>
          <t>level_2</t>
        </is>
      </c>
      <c r="AF8" s="501" t="n"/>
      <c r="AG8" s="501" t="n"/>
    </row>
    <row r="9" ht="15" customHeight="1" s="254">
      <c r="A9" s="263" t="inlineStr">
        <is>
          <t>_L2</t>
        </is>
      </c>
      <c r="B9" s="518" t="inlineStr">
        <is>
          <t>CTX-C80-240-1-ISO</t>
        </is>
      </c>
      <c r="C9" s="518" t="inlineStr">
        <is>
          <t>80A Single Commercial L2 Charger (18' Cable with Modem)</t>
        </is>
      </c>
      <c r="D9" s="632" t="n">
        <v>2255</v>
      </c>
      <c r="E9" s="633" t="n"/>
      <c r="F9" s="634" t="n"/>
      <c r="G9" s="501" t="n"/>
      <c r="H9" s="501" t="n"/>
      <c r="I9" s="635" t="n">
        <v>1</v>
      </c>
      <c r="J9" s="636" t="inlineStr">
        <is>
          <t>description says Single</t>
        </is>
      </c>
      <c r="K9" s="641" t="inlineStr">
        <is>
          <t>CTX-C80-240-2</t>
        </is>
      </c>
      <c r="L9" s="501" t="n"/>
      <c r="M9" s="641" t="inlineStr">
        <is>
          <t>CTX-AiO-60-4-200</t>
        </is>
      </c>
      <c r="N9" s="641" t="inlineStr">
        <is>
          <t>CTX-AiO-120-4-350</t>
        </is>
      </c>
      <c r="O9" s="641" t="inlineStr">
        <is>
          <t>CTX-AiO-160-2-350</t>
        </is>
      </c>
      <c r="P9" s="641" t="inlineStr">
        <is>
          <t>TP5-180-480-3-BAA</t>
        </is>
      </c>
      <c r="Q9" s="641" t="inlineStr">
        <is>
          <t>CTX-AiO-240-4-300</t>
        </is>
      </c>
      <c r="R9" s="641" t="inlineStr">
        <is>
          <t>HPC-360-480-3</t>
        </is>
      </c>
      <c r="S9" s="501" t="n"/>
      <c r="T9" s="501" t="n"/>
      <c r="U9" s="501" t="n"/>
      <c r="V9" s="501" t="n"/>
      <c r="W9" s="642" t="inlineStr">
        <is>
          <t>240 kW DC</t>
        </is>
      </c>
      <c r="X9" s="635" t="n">
        <v>240</v>
      </c>
      <c r="Y9" s="635" t="n">
        <v>0</v>
      </c>
      <c r="Z9" s="501" t="n"/>
      <c r="AA9" s="501" t="n"/>
      <c r="AB9" s="501" t="n"/>
      <c r="AC9" s="501" t="n"/>
      <c r="AD9" s="643" t="inlineStr">
        <is>
          <t>CTX-C80-240-2</t>
        </is>
      </c>
      <c r="AE9" s="644" t="inlineStr">
        <is>
          <t>level_2</t>
        </is>
      </c>
      <c r="AF9" s="501" t="n"/>
      <c r="AG9" s="501" t="n"/>
    </row>
    <row r="10" ht="15" customHeight="1" s="254">
      <c r="A10" s="263" t="inlineStr">
        <is>
          <t>_L2</t>
        </is>
      </c>
      <c r="B10" s="518" t="inlineStr">
        <is>
          <t>CTX-C40-240-2-ISO</t>
        </is>
      </c>
      <c r="C10" s="518" t="inlineStr">
        <is>
          <t>40A Dual Commercial L2 Charger (18' Cable with Modem)</t>
        </is>
      </c>
      <c r="D10" s="632" t="n">
        <v>2530</v>
      </c>
      <c r="E10" s="633" t="n"/>
      <c r="F10" s="634" t="n"/>
      <c r="G10" s="501" t="n"/>
      <c r="H10" s="501" t="n"/>
      <c r="I10" s="635" t="n">
        <v>2</v>
      </c>
      <c r="J10" s="636" t="inlineStr">
        <is>
          <t>description says Dual</t>
        </is>
      </c>
      <c r="K10" s="641" t="inlineStr">
        <is>
          <t>CTX-C80-240-1-ISO</t>
        </is>
      </c>
      <c r="L10" s="501" t="n"/>
      <c r="M10" s="641" t="inlineStr">
        <is>
          <t>TP5-60-480-2-BAA</t>
        </is>
      </c>
      <c r="N10" s="641" t="inlineStr">
        <is>
          <t>CTX-AiO-120-5-350</t>
        </is>
      </c>
      <c r="O10" s="641" t="inlineStr">
        <is>
          <t>CTX-AiO-160-3-350</t>
        </is>
      </c>
      <c r="P10" s="641" t="inlineStr">
        <is>
          <t>TP5-180-480-4-BAA</t>
        </is>
      </c>
      <c r="Q10" s="641" t="inlineStr">
        <is>
          <t>CTX-AiO-240-5-300</t>
        </is>
      </c>
      <c r="R10" s="641" t="inlineStr">
        <is>
          <t>HPC-360-480-4</t>
        </is>
      </c>
      <c r="S10" s="501" t="n"/>
      <c r="T10" s="501" t="n"/>
      <c r="U10" s="501" t="n"/>
      <c r="V10" s="501" t="n"/>
      <c r="W10" s="642" t="inlineStr">
        <is>
          <t>360 kW DC</t>
        </is>
      </c>
      <c r="X10" s="635" t="n">
        <v>360</v>
      </c>
      <c r="Y10" s="635" t="n">
        <v>0</v>
      </c>
      <c r="Z10" s="501" t="n"/>
      <c r="AA10" s="501" t="n"/>
      <c r="AB10" s="501" t="n"/>
      <c r="AC10" s="501" t="n"/>
      <c r="AD10" s="643" t="inlineStr">
        <is>
          <t>CTX-C80-240-1-ISO</t>
        </is>
      </c>
      <c r="AE10" s="644" t="inlineStr">
        <is>
          <t>level_2</t>
        </is>
      </c>
      <c r="AF10" s="501" t="n"/>
      <c r="AG10" s="501" t="n"/>
    </row>
    <row r="11" ht="15" customHeight="1" s="254">
      <c r="A11" s="263" t="inlineStr">
        <is>
          <t>_L2</t>
        </is>
      </c>
      <c r="B11" s="518" t="inlineStr">
        <is>
          <t>CTX-C80-240-2-ISO</t>
        </is>
      </c>
      <c r="C11" s="518" t="inlineStr">
        <is>
          <t>80A Dual Commercial L2 Charger (18' Cable with Modem)</t>
        </is>
      </c>
      <c r="D11" s="632" t="n">
        <v>2805</v>
      </c>
      <c r="E11" s="633" t="n"/>
      <c r="F11" s="634" t="n"/>
      <c r="G11" s="501" t="n"/>
      <c r="H11" s="501" t="n"/>
      <c r="I11" s="635" t="n">
        <v>2</v>
      </c>
      <c r="J11" s="636" t="inlineStr">
        <is>
          <t>description says Dual</t>
        </is>
      </c>
      <c r="K11" s="641" t="inlineStr">
        <is>
          <t>CTX-C40-240-2-ISO</t>
        </is>
      </c>
      <c r="L11" s="501" t="n"/>
      <c r="M11" s="641" t="inlineStr">
        <is>
          <t>TP5-60-480-3-BAA</t>
        </is>
      </c>
      <c r="N11" s="641" t="inlineStr">
        <is>
          <t>CTX-AiO-120-6-350</t>
        </is>
      </c>
      <c r="O11" s="641" t="inlineStr">
        <is>
          <t>CTX-AiO-160-4-350</t>
        </is>
      </c>
      <c r="P11" s="641" t="inlineStr">
        <is>
          <t>HPC-180-480-2-BAA</t>
        </is>
      </c>
      <c r="Q11" s="501" t="n"/>
      <c r="R11" s="641" t="inlineStr">
        <is>
          <t>TP5-360-480-2-BAA</t>
        </is>
      </c>
      <c r="S11" s="501" t="n"/>
      <c r="T11" s="501" t="n"/>
      <c r="U11" s="501" t="n"/>
      <c r="V11" s="501" t="n"/>
      <c r="W11" s="642" t="inlineStr">
        <is>
          <t>V2G</t>
        </is>
      </c>
      <c r="X11" s="635" t="n">
        <v>0</v>
      </c>
      <c r="Y11" s="635" t="n">
        <v>0</v>
      </c>
      <c r="Z11" s="501" t="n"/>
      <c r="AA11" s="501" t="n"/>
      <c r="AB11" s="501" t="n"/>
      <c r="AC11" s="501" t="n"/>
      <c r="AD11" s="643" t="inlineStr">
        <is>
          <t>CTX-C40-240-2-ISO</t>
        </is>
      </c>
      <c r="AE11" s="644" t="inlineStr">
        <is>
          <t>level_2</t>
        </is>
      </c>
      <c r="AF11" s="501" t="n"/>
      <c r="AG11" s="501" t="n"/>
    </row>
    <row r="12" ht="31.5" customHeight="1" s="254">
      <c r="A12" s="263" t="inlineStr">
        <is>
          <t>_kW30</t>
        </is>
      </c>
      <c r="B12" s="518" t="inlineStr">
        <is>
          <t>TP5-30-480-1</t>
        </is>
      </c>
      <c r="C12" s="514" t="inlineStr">
        <is>
          <t>Gen2 30kW DCFC Wall Mount - 100 Amps / 1000VDC with CCS1 (~16ft)</t>
        </is>
      </c>
      <c r="D12" s="632" t="n">
        <v>13750</v>
      </c>
      <c r="E12" s="646" t="n">
        <v>30</v>
      </c>
      <c r="F12" s="634" t="n"/>
      <c r="G12" s="501" t="n"/>
      <c r="H12" s="501" t="n"/>
      <c r="I12" s="635" t="n">
        <v>1</v>
      </c>
      <c r="J12" s="636" t="inlineStr">
        <is>
          <t>connectors named in the description</t>
        </is>
      </c>
      <c r="K12" s="641" t="inlineStr">
        <is>
          <t>CTX-C80-240-2-ISO</t>
        </is>
      </c>
      <c r="L12" s="501" t="n"/>
      <c r="M12" s="641" t="inlineStr">
        <is>
          <t>TP5-60-480-4-BAA</t>
        </is>
      </c>
      <c r="N12" s="641" t="inlineStr">
        <is>
          <t>TP5-120-480-2-300-BAA</t>
        </is>
      </c>
      <c r="O12" s="641" t="inlineStr">
        <is>
          <t>CTX-AiO-160-5-350</t>
        </is>
      </c>
      <c r="P12" s="641" t="inlineStr">
        <is>
          <t>HPC-180-480-3-BAA</t>
        </is>
      </c>
      <c r="Q12" s="501" t="n"/>
      <c r="R12" s="641" t="inlineStr">
        <is>
          <t>TP5-360-480-3-BAA</t>
        </is>
      </c>
      <c r="S12" s="501" t="n"/>
      <c r="T12" s="501" t="n"/>
      <c r="U12" s="501" t="n"/>
      <c r="V12" s="501" t="n"/>
      <c r="W12" s="642" t="inlineStr">
        <is>
          <t>Distributed system</t>
        </is>
      </c>
      <c r="X12" s="635" t="n">
        <v>0</v>
      </c>
      <c r="Y12" s="635" t="n">
        <v>0</v>
      </c>
      <c r="Z12" s="501" t="n"/>
      <c r="AA12" s="501" t="n"/>
      <c r="AB12" s="501" t="n"/>
      <c r="AC12" s="501" t="n"/>
      <c r="AD12" s="643" t="inlineStr">
        <is>
          <t>CTX-C80-240-2-ISO</t>
        </is>
      </c>
      <c r="AE12" s="644" t="inlineStr">
        <is>
          <t>level_2</t>
        </is>
      </c>
      <c r="AF12" s="501" t="n"/>
      <c r="AG12" s="501" t="n"/>
    </row>
    <row r="13" ht="31.5" customHeight="1" s="254">
      <c r="A13" s="263" t="inlineStr">
        <is>
          <t>_kW30</t>
        </is>
      </c>
      <c r="B13" s="518" t="inlineStr">
        <is>
          <t>TP5-30-480-3</t>
        </is>
      </c>
      <c r="C13" s="514" t="inlineStr">
        <is>
          <t>Gen 2Gen 30kW DCFC Wall Mount - 200 Amps / 1000VDC with NACS (~16ft)</t>
        </is>
      </c>
      <c r="D13" s="632" t="n">
        <v>13750</v>
      </c>
      <c r="E13" s="646" t="n">
        <v>30</v>
      </c>
      <c r="F13" s="634" t="n"/>
      <c r="G13" s="501" t="n"/>
      <c r="H13" s="501" t="n"/>
      <c r="I13" s="635" t="n">
        <v>1</v>
      </c>
      <c r="J13" s="636" t="inlineStr">
        <is>
          <t>connectors named in the description</t>
        </is>
      </c>
      <c r="K13" s="501" t="n"/>
      <c r="L13" s="501" t="n"/>
      <c r="M13" s="501" t="n"/>
      <c r="N13" s="641" t="inlineStr">
        <is>
          <t>TP5-120-480-3-300-BAA</t>
        </is>
      </c>
      <c r="O13" s="641" t="inlineStr">
        <is>
          <t>CTX-AiO-160-6-350</t>
        </is>
      </c>
      <c r="P13" s="641" t="inlineStr">
        <is>
          <t>HPC-180-480-4-BAA</t>
        </is>
      </c>
      <c r="Q13" s="501" t="n"/>
      <c r="R13" s="641" t="inlineStr">
        <is>
          <t>TP5-360-480-4-BAA</t>
        </is>
      </c>
      <c r="S13" s="501" t="n"/>
      <c r="T13" s="501" t="n"/>
      <c r="U13" s="501" t="n"/>
      <c r="V13" s="501" t="n"/>
      <c r="W13" s="642" t="inlineStr">
        <is>
          <t>Accessory</t>
        </is>
      </c>
      <c r="X13" s="635" t="n">
        <v>0</v>
      </c>
      <c r="Y13" s="635" t="n">
        <v>0</v>
      </c>
      <c r="Z13" s="501" t="n"/>
      <c r="AA13" s="501" t="n"/>
      <c r="AB13" s="501" t="n"/>
      <c r="AC13" s="501" t="n"/>
      <c r="AD13" s="643" t="inlineStr">
        <is>
          <t>TP5-30-480-1</t>
        </is>
      </c>
      <c r="AE13" s="644" t="inlineStr">
        <is>
          <t>all_in_one</t>
        </is>
      </c>
      <c r="AF13" s="501" t="n"/>
      <c r="AG13" s="501" t="n"/>
    </row>
    <row r="14" ht="31.5" customHeight="1" s="254">
      <c r="A14" s="263" t="inlineStr">
        <is>
          <t>_kW60</t>
        </is>
      </c>
      <c r="B14" s="518" t="inlineStr">
        <is>
          <t>TP5-60-480-1</t>
        </is>
      </c>
      <c r="C14" s="514" t="inlineStr">
        <is>
          <t xml:space="preserve">60kW DCFC - 200 Amps / 1000VDC with CCS1 &amp; NACS(~16ft) ; 4G Modem </t>
        </is>
      </c>
      <c r="D14" s="632" t="n">
        <v>28500</v>
      </c>
      <c r="E14" s="646" t="n">
        <v>60</v>
      </c>
      <c r="F14" s="634" t="n"/>
      <c r="G14" s="501" t="n"/>
      <c r="H14" s="501" t="n"/>
      <c r="I14" s="635" t="n">
        <v>2</v>
      </c>
      <c r="J14" s="636" t="inlineStr">
        <is>
          <t>connectors named in the description</t>
        </is>
      </c>
      <c r="K14" s="501" t="n"/>
      <c r="L14" s="501" t="n"/>
      <c r="M14" s="501" t="n"/>
      <c r="N14" s="641" t="inlineStr">
        <is>
          <t>TP5-120-480-4-300-BAA</t>
        </is>
      </c>
      <c r="O14" s="501" t="n"/>
      <c r="P14" s="501" t="n"/>
      <c r="Q14" s="501" t="n"/>
      <c r="R14" s="641" t="inlineStr">
        <is>
          <t>HPC-360-480-2-BAA</t>
        </is>
      </c>
      <c r="S14" s="501" t="n"/>
      <c r="T14" s="501" t="n"/>
      <c r="U14" s="501" t="n"/>
      <c r="V14" s="501" t="n"/>
      <c r="W14" s="501" t="n"/>
      <c r="X14" s="501" t="n"/>
      <c r="Y14" s="501" t="n"/>
      <c r="Z14" s="501" t="n"/>
      <c r="AA14" s="501" t="n"/>
      <c r="AB14" s="501" t="n"/>
      <c r="AC14" s="501" t="n"/>
      <c r="AD14" s="643" t="inlineStr">
        <is>
          <t>TP5-30-480-3</t>
        </is>
      </c>
      <c r="AE14" s="644" t="inlineStr">
        <is>
          <t>all_in_one</t>
        </is>
      </c>
      <c r="AF14" s="501" t="n"/>
      <c r="AG14" s="501" t="n"/>
    </row>
    <row r="15" ht="31.5" customHeight="1" s="254">
      <c r="A15" s="263" t="inlineStr">
        <is>
          <t>_kW60</t>
        </is>
      </c>
      <c r="B15" s="518" t="inlineStr">
        <is>
          <t>TP5-60-480-2</t>
        </is>
      </c>
      <c r="C15" s="514" t="inlineStr">
        <is>
          <t xml:space="preserve">60kW DCFC - 200 Amps / 1000VDC with CCS1 &amp; CCS1(~16ft) ; 4G Modem </t>
        </is>
      </c>
      <c r="D15" s="632" t="n">
        <v>28500</v>
      </c>
      <c r="E15" s="646" t="n">
        <v>60</v>
      </c>
      <c r="F15" s="634" t="n"/>
      <c r="G15" s="501" t="n"/>
      <c r="H15" s="501" t="n"/>
      <c r="I15" s="635" t="n">
        <v>2</v>
      </c>
      <c r="J15" s="636" t="inlineStr">
        <is>
          <t>connectors named in the description</t>
        </is>
      </c>
      <c r="K15" s="501" t="n"/>
      <c r="L15" s="501" t="n"/>
      <c r="M15" s="501" t="n"/>
      <c r="N15" s="501" t="n"/>
      <c r="O15" s="501" t="n"/>
      <c r="P15" s="501" t="n"/>
      <c r="Q15" s="501" t="n"/>
      <c r="R15" s="641" t="inlineStr">
        <is>
          <t>HPC-360-480-3-BAA</t>
        </is>
      </c>
      <c r="S15" s="501" t="n"/>
      <c r="T15" s="501" t="n"/>
      <c r="U15" s="501" t="n"/>
      <c r="V15" s="501" t="n"/>
      <c r="W15" s="501" t="n"/>
      <c r="X15" s="501" t="n"/>
      <c r="Y15" s="501" t="n"/>
      <c r="Z15" s="501" t="n"/>
      <c r="AA15" s="501" t="n"/>
      <c r="AB15" s="501" t="n"/>
      <c r="AC15" s="501" t="n"/>
      <c r="AD15" s="643" t="inlineStr">
        <is>
          <t>TP5-60-480-1</t>
        </is>
      </c>
      <c r="AE15" s="644" t="inlineStr">
        <is>
          <t>all_in_one</t>
        </is>
      </c>
      <c r="AF15" s="501" t="n"/>
      <c r="AG15" s="501" t="n"/>
    </row>
    <row r="16" ht="31.5" customHeight="1" s="254">
      <c r="A16" s="263" t="inlineStr">
        <is>
          <t>_kW60</t>
        </is>
      </c>
      <c r="B16" s="518" t="inlineStr">
        <is>
          <t>TP5-60-480-3</t>
        </is>
      </c>
      <c r="C16" s="514" t="inlineStr">
        <is>
          <t xml:space="preserve">60kW DCFC - 200 Amps / 1000VDC with CCS1 &amp; NACS(~16ft) ; 4G Modem </t>
        </is>
      </c>
      <c r="D16" s="632" t="n">
        <v>28500</v>
      </c>
      <c r="E16" s="646" t="n">
        <v>60</v>
      </c>
      <c r="F16" s="634" t="n"/>
      <c r="G16" s="501" t="n"/>
      <c r="H16" s="501" t="n"/>
      <c r="I16" s="635" t="n">
        <v>2</v>
      </c>
      <c r="J16" s="636" t="inlineStr">
        <is>
          <t>connectors named in the description</t>
        </is>
      </c>
      <c r="K16" s="501" t="n"/>
      <c r="L16" s="501" t="n"/>
      <c r="M16" s="501" t="n"/>
      <c r="N16" s="501" t="n"/>
      <c r="O16" s="501" t="n"/>
      <c r="P16" s="501" t="n"/>
      <c r="Q16" s="501" t="n"/>
      <c r="R16" s="641" t="inlineStr">
        <is>
          <t>HPC-360-480-4-BAA</t>
        </is>
      </c>
      <c r="S16" s="501" t="n"/>
      <c r="T16" s="501" t="n"/>
      <c r="U16" s="501" t="n"/>
      <c r="V16" s="501" t="n"/>
      <c r="W16" s="501" t="n"/>
      <c r="X16" s="501" t="n"/>
      <c r="Y16" s="501" t="n"/>
      <c r="Z16" s="501" t="n"/>
      <c r="AA16" s="501" t="n"/>
      <c r="AB16" s="501" t="n"/>
      <c r="AC16" s="501" t="n"/>
      <c r="AD16" s="643" t="inlineStr">
        <is>
          <t>TP5-60-480-2</t>
        </is>
      </c>
      <c r="AE16" s="644" t="inlineStr">
        <is>
          <t>all_in_one</t>
        </is>
      </c>
      <c r="AF16" s="501" t="n"/>
      <c r="AG16" s="501" t="n"/>
    </row>
    <row r="17" ht="31.5" customHeight="1" s="254">
      <c r="A17" s="263" t="inlineStr">
        <is>
          <t>_kW60</t>
        </is>
      </c>
      <c r="B17" s="518" t="inlineStr">
        <is>
          <t>TP5-60-480-4</t>
        </is>
      </c>
      <c r="C17" s="514" t="inlineStr">
        <is>
          <t xml:space="preserve">60kW DCFC - 200 Amps / 1000VDC with NACS &amp; NACS(~16ft) ; 4G Modem </t>
        </is>
      </c>
      <c r="D17" s="632" t="n">
        <v>28500</v>
      </c>
      <c r="E17" s="646" t="n">
        <v>60</v>
      </c>
      <c r="F17" s="634" t="n"/>
      <c r="G17" s="501" t="n"/>
      <c r="H17" s="501" t="n"/>
      <c r="I17" s="635" t="n">
        <v>2</v>
      </c>
      <c r="J17" s="636" t="inlineStr">
        <is>
          <t>connectors named in the description</t>
        </is>
      </c>
      <c r="K17" s="501" t="n"/>
      <c r="L17" s="501" t="n"/>
      <c r="M17" s="501" t="n"/>
      <c r="N17" s="501" t="n"/>
      <c r="O17" s="501" t="n"/>
      <c r="P17" s="501" t="n"/>
      <c r="Q17" s="501" t="n"/>
      <c r="R17" s="501" t="n"/>
      <c r="S17" s="501" t="n"/>
      <c r="T17" s="501" t="n"/>
      <c r="U17" s="501" t="n"/>
      <c r="V17" s="501" t="n"/>
      <c r="W17" s="501" t="n"/>
      <c r="X17" s="501" t="n"/>
      <c r="Y17" s="501" t="n"/>
      <c r="Z17" s="501" t="n"/>
      <c r="AA17" s="501" t="n"/>
      <c r="AB17" s="501" t="n"/>
      <c r="AC17" s="501" t="n"/>
      <c r="AD17" s="643" t="inlineStr">
        <is>
          <t>TP5-60-480-3</t>
        </is>
      </c>
      <c r="AE17" s="644" t="inlineStr">
        <is>
          <t>all_in_one</t>
        </is>
      </c>
      <c r="AF17" s="501" t="n"/>
      <c r="AG17" s="501" t="n"/>
    </row>
    <row r="18" ht="31.5" customHeight="1" s="254">
      <c r="A18" s="263" t="inlineStr">
        <is>
          <t>_kW60</t>
        </is>
      </c>
      <c r="B18" s="518" t="inlineStr">
        <is>
          <t>CTX-AiO-60-2-200</t>
        </is>
      </c>
      <c r="C18" s="514" t="inlineStr">
        <is>
          <t xml:space="preserve">Gen 2 60kW DCFC - 200 Amps / 1000VDC with CCS1 &amp; CCS1(~16ft) ; 4G Modem </t>
        </is>
      </c>
      <c r="D18" s="632" t="n">
        <v>31350</v>
      </c>
      <c r="E18" s="646" t="n">
        <v>60</v>
      </c>
      <c r="F18" s="634" t="n"/>
      <c r="G18" s="501" t="n"/>
      <c r="H18" s="501" t="n"/>
      <c r="I18" s="635" t="n">
        <v>2</v>
      </c>
      <c r="J18" s="636" t="inlineStr">
        <is>
          <t>connectors named in the description</t>
        </is>
      </c>
      <c r="K18" s="501" t="n"/>
      <c r="L18" s="501" t="n"/>
      <c r="M18" s="501" t="n"/>
      <c r="N18" s="501" t="n"/>
      <c r="O18" s="501" t="n"/>
      <c r="P18" s="501" t="n"/>
      <c r="Q18" s="501" t="n"/>
      <c r="R18" s="501" t="n"/>
      <c r="S18" s="501" t="n"/>
      <c r="T18" s="501" t="n"/>
      <c r="U18" s="501" t="n"/>
      <c r="V18" s="501" t="n"/>
      <c r="W18" s="501" t="n"/>
      <c r="X18" s="501" t="n"/>
      <c r="Y18" s="501" t="n"/>
      <c r="Z18" s="501" t="n"/>
      <c r="AA18" s="501" t="n"/>
      <c r="AB18" s="501" t="n"/>
      <c r="AC18" s="501" t="n"/>
      <c r="AD18" s="643" t="inlineStr">
        <is>
          <t>TP5-60-480-4</t>
        </is>
      </c>
      <c r="AE18" s="644" t="inlineStr">
        <is>
          <t>all_in_one</t>
        </is>
      </c>
      <c r="AF18" s="501" t="n"/>
      <c r="AG18" s="501" t="n"/>
    </row>
    <row r="19" ht="31.5" customHeight="1" s="254">
      <c r="A19" s="263" t="inlineStr">
        <is>
          <t>_kW60</t>
        </is>
      </c>
      <c r="B19" s="518" t="inlineStr">
        <is>
          <t>CTX-AiO-60-3-200</t>
        </is>
      </c>
      <c r="C19" s="514" t="inlineStr">
        <is>
          <t xml:space="preserve">Gen 2 60kW DCFC - 200 Amps / 1000VDC with CCS1 &amp; NACS(~16ft) ; 4G Modem </t>
        </is>
      </c>
      <c r="D19" s="632" t="n">
        <v>31350</v>
      </c>
      <c r="E19" s="646" t="n">
        <v>60</v>
      </c>
      <c r="F19" s="634" t="n"/>
      <c r="G19" s="501" t="n"/>
      <c r="H19" s="501" t="n"/>
      <c r="I19" s="635" t="n">
        <v>2</v>
      </c>
      <c r="J19" s="636" t="inlineStr">
        <is>
          <t>connectors named in the description</t>
        </is>
      </c>
      <c r="K19" s="501" t="n"/>
      <c r="L19" s="501" t="n"/>
      <c r="M19" s="501" t="n"/>
      <c r="N19" s="501" t="n"/>
      <c r="O19" s="501" t="n"/>
      <c r="P19" s="501" t="n"/>
      <c r="Q19" s="501" t="n"/>
      <c r="R19" s="501" t="n"/>
      <c r="S19" s="501" t="n"/>
      <c r="T19" s="501" t="n"/>
      <c r="U19" s="501" t="n"/>
      <c r="V19" s="501" t="n"/>
      <c r="W19" s="501" t="n"/>
      <c r="X19" s="501" t="n"/>
      <c r="Y19" s="501" t="n"/>
      <c r="Z19" s="501" t="n"/>
      <c r="AA19" s="501" t="n"/>
      <c r="AB19" s="501" t="n"/>
      <c r="AC19" s="501" t="n"/>
      <c r="AD19" s="643" t="inlineStr">
        <is>
          <t>CTX-AiO-60-2-200</t>
        </is>
      </c>
      <c r="AE19" s="644" t="inlineStr">
        <is>
          <t>all_in_one</t>
        </is>
      </c>
      <c r="AF19" s="501" t="n"/>
      <c r="AG19" s="501" t="n"/>
    </row>
    <row r="20" ht="31.5" customHeight="1" s="254">
      <c r="A20" s="263" t="inlineStr">
        <is>
          <t>_kW60</t>
        </is>
      </c>
      <c r="B20" s="518" t="inlineStr">
        <is>
          <t>CTX-AiO-60-4-200</t>
        </is>
      </c>
      <c r="C20" s="514" t="inlineStr">
        <is>
          <t xml:space="preserve">Gen 2 60kW DCFC - 200 Amps / 1000VDC with NACS &amp; NACS(~16ft) ; 4G Modem </t>
        </is>
      </c>
      <c r="D20" s="632" t="n">
        <v>31350</v>
      </c>
      <c r="E20" s="646" t="n">
        <v>60</v>
      </c>
      <c r="F20" s="634" t="n"/>
      <c r="G20" s="501" t="n"/>
      <c r="H20" s="501" t="n"/>
      <c r="I20" s="635" t="n">
        <v>2</v>
      </c>
      <c r="J20" s="636" t="inlineStr">
        <is>
          <t>connectors named in the description</t>
        </is>
      </c>
      <c r="K20" s="501" t="n"/>
      <c r="L20" s="501" t="n"/>
      <c r="M20" s="501" t="n"/>
      <c r="N20" s="501" t="n"/>
      <c r="O20" s="501" t="n"/>
      <c r="P20" s="501" t="n"/>
      <c r="Q20" s="501" t="n"/>
      <c r="R20" s="501" t="n"/>
      <c r="S20" s="501" t="n"/>
      <c r="T20" s="501" t="n"/>
      <c r="U20" s="501" t="n"/>
      <c r="V20" s="501" t="n"/>
      <c r="W20" s="501" t="n"/>
      <c r="X20" s="501" t="n"/>
      <c r="Y20" s="501" t="n"/>
      <c r="Z20" s="501" t="n"/>
      <c r="AA20" s="501" t="n"/>
      <c r="AB20" s="501" t="n"/>
      <c r="AC20" s="501" t="n"/>
      <c r="AD20" s="643" t="inlineStr">
        <is>
          <t>CTX-AiO-60-3-200</t>
        </is>
      </c>
      <c r="AE20" s="644" t="inlineStr">
        <is>
          <t>all_in_one</t>
        </is>
      </c>
      <c r="AF20" s="501" t="n"/>
      <c r="AG20" s="501" t="n"/>
    </row>
    <row r="21" ht="43.5" customHeight="1" s="254">
      <c r="A21" s="263" t="inlineStr">
        <is>
          <t>_kW120</t>
        </is>
      </c>
      <c r="B21" s="518" t="inlineStr">
        <is>
          <t>TP5-120-480-1</t>
        </is>
      </c>
      <c r="C21" s="514" t="inlineStr">
        <is>
          <t xml:space="preserve">120kW DCFC All In One Charger - 200 Amps / 1000VDC with CCS1 &amp; NACS(~16ft) ; Can charge 2 cars simultaneously with 60kW each ; 4G Modem </t>
        </is>
      </c>
      <c r="D21" s="632" t="n">
        <v>54000</v>
      </c>
      <c r="E21" s="646" t="n">
        <v>120</v>
      </c>
      <c r="F21" s="634" t="n"/>
      <c r="G21" s="501" t="n"/>
      <c r="H21" s="501" t="n"/>
      <c r="I21" s="635" t="n">
        <v>2</v>
      </c>
      <c r="J21" s="636" t="inlineStr">
        <is>
          <t>connectors named in the description</t>
        </is>
      </c>
      <c r="K21" s="501" t="n"/>
      <c r="L21" s="501" t="n"/>
      <c r="M21" s="501" t="n"/>
      <c r="N21" s="501" t="n"/>
      <c r="O21" s="501" t="n"/>
      <c r="P21" s="501" t="n"/>
      <c r="Q21" s="501" t="n"/>
      <c r="R21" s="501" t="n"/>
      <c r="S21" s="501" t="n"/>
      <c r="T21" s="501" t="n"/>
      <c r="U21" s="501" t="n"/>
      <c r="V21" s="501" t="n"/>
      <c r="W21" s="501" t="n"/>
      <c r="X21" s="501" t="n"/>
      <c r="Y21" s="501" t="n"/>
      <c r="Z21" s="501" t="n"/>
      <c r="AA21" s="501" t="n"/>
      <c r="AB21" s="501" t="n"/>
      <c r="AC21" s="501" t="n"/>
      <c r="AD21" s="643" t="inlineStr">
        <is>
          <t>CTX-AiO-60-4-200</t>
        </is>
      </c>
      <c r="AE21" s="644" t="inlineStr">
        <is>
          <t>all_in_one</t>
        </is>
      </c>
      <c r="AF21" s="501" t="n"/>
      <c r="AG21" s="501" t="n"/>
    </row>
    <row r="22" ht="43.5" customHeight="1" s="254">
      <c r="A22" s="263" t="inlineStr">
        <is>
          <t>_kW120</t>
        </is>
      </c>
      <c r="B22" s="518" t="inlineStr">
        <is>
          <t>TP5-120-480-2</t>
        </is>
      </c>
      <c r="C22" s="514" t="inlineStr">
        <is>
          <t xml:space="preserve">120kW DCFC All In One Charger - 200 Amps / 1000VDC with CCS1 &amp; CCS1(~16ft); Can charge 2 cars simultaneously with 60kW each ; 4G Modem </t>
        </is>
      </c>
      <c r="D22" s="632" t="n">
        <v>54000</v>
      </c>
      <c r="E22" s="646" t="n">
        <v>120</v>
      </c>
      <c r="F22" s="634" t="n"/>
      <c r="G22" s="501" t="n"/>
      <c r="H22" s="501" t="n"/>
      <c r="I22" s="635" t="n">
        <v>2</v>
      </c>
      <c r="J22" s="636" t="inlineStr">
        <is>
          <t>connectors named in the description</t>
        </is>
      </c>
      <c r="K22" s="501" t="n"/>
      <c r="L22" s="501" t="n"/>
      <c r="M22" s="501" t="n"/>
      <c r="N22" s="501" t="n"/>
      <c r="O22" s="501" t="n"/>
      <c r="P22" s="501" t="n"/>
      <c r="Q22" s="501" t="n"/>
      <c r="R22" s="501" t="n"/>
      <c r="S22" s="501" t="n"/>
      <c r="T22" s="501" t="n"/>
      <c r="U22" s="501" t="n"/>
      <c r="V22" s="501" t="n"/>
      <c r="W22" s="501" t="n"/>
      <c r="X22" s="501" t="n"/>
      <c r="Y22" s="501" t="n"/>
      <c r="Z22" s="501" t="n"/>
      <c r="AA22" s="501" t="n"/>
      <c r="AB22" s="501" t="n"/>
      <c r="AC22" s="501" t="n"/>
      <c r="AD22" s="643" t="inlineStr">
        <is>
          <t>TP5-120-480-1</t>
        </is>
      </c>
      <c r="AE22" s="644" t="inlineStr">
        <is>
          <t>all_in_one</t>
        </is>
      </c>
      <c r="AF22" s="501" t="n"/>
      <c r="AG22" s="501" t="n"/>
    </row>
    <row r="23" ht="43.5" customHeight="1" s="254">
      <c r="A23" s="263" t="inlineStr">
        <is>
          <t>_kW120</t>
        </is>
      </c>
      <c r="B23" s="518" t="inlineStr">
        <is>
          <t>TP5-120-480-2-300</t>
        </is>
      </c>
      <c r="C23" s="514" t="inlineStr">
        <is>
          <t xml:space="preserve">120kW DCFC All In One Charger - 350A Cable / 1000VDC with CCS1 &amp; CCS1(~16ft); Can charge 2 cars simultaneously with 60kW each ; 4G Modem </t>
        </is>
      </c>
      <c r="D23" s="632" t="n">
        <v>54000</v>
      </c>
      <c r="E23" s="646" t="n">
        <v>120</v>
      </c>
      <c r="F23" s="634" t="n"/>
      <c r="G23" s="501" t="n"/>
      <c r="H23" s="501" t="n"/>
      <c r="I23" s="635" t="n">
        <v>2</v>
      </c>
      <c r="J23" s="636" t="inlineStr">
        <is>
          <t>connectors named in the description</t>
        </is>
      </c>
      <c r="K23" s="501" t="n"/>
      <c r="L23" s="501" t="n"/>
      <c r="M23" s="501" t="n"/>
      <c r="N23" s="501" t="n"/>
      <c r="O23" s="501" t="n"/>
      <c r="P23" s="501" t="n"/>
      <c r="Q23" s="501" t="n"/>
      <c r="R23" s="501" t="n"/>
      <c r="S23" s="501" t="n"/>
      <c r="T23" s="501" t="n"/>
      <c r="U23" s="501" t="n"/>
      <c r="V23" s="501" t="n"/>
      <c r="W23" s="501" t="n"/>
      <c r="X23" s="501" t="n"/>
      <c r="Y23" s="501" t="n"/>
      <c r="Z23" s="501" t="n"/>
      <c r="AA23" s="501" t="n"/>
      <c r="AB23" s="501" t="n"/>
      <c r="AC23" s="501" t="n"/>
      <c r="AD23" s="643" t="inlineStr">
        <is>
          <t>TP5-120-480-2</t>
        </is>
      </c>
      <c r="AE23" s="644" t="inlineStr">
        <is>
          <t>all_in_one</t>
        </is>
      </c>
      <c r="AF23" s="501" t="n"/>
      <c r="AG23" s="501" t="n"/>
    </row>
    <row r="24" ht="43.5" customHeight="1" s="254">
      <c r="A24" s="263" t="inlineStr">
        <is>
          <t>_kW120</t>
        </is>
      </c>
      <c r="B24" s="518" t="inlineStr">
        <is>
          <t>TP5-120-480-3-300</t>
        </is>
      </c>
      <c r="C24" s="514" t="inlineStr">
        <is>
          <t xml:space="preserve">120kW DCFC All In One Charger - 1000VDC, Cables: 350A CCS1 &amp; 400A NACS (~16ft); Can charge 2 cars simultaneously with 60kW each ; 4G Modem </t>
        </is>
      </c>
      <c r="D24" s="632" t="n">
        <v>54000</v>
      </c>
      <c r="E24" s="646" t="n">
        <v>120</v>
      </c>
      <c r="F24" s="634" t="n"/>
      <c r="G24" s="501" t="n"/>
      <c r="H24" s="501" t="n"/>
      <c r="I24" s="635" t="n">
        <v>2</v>
      </c>
      <c r="J24" s="636" t="inlineStr">
        <is>
          <t>manual — description does not state the count</t>
        </is>
      </c>
      <c r="K24" s="501" t="n"/>
      <c r="L24" s="501" t="n"/>
      <c r="M24" s="501" t="n"/>
      <c r="N24" s="501" t="n"/>
      <c r="O24" s="501" t="n"/>
      <c r="P24" s="501" t="n"/>
      <c r="Q24" s="501" t="n"/>
      <c r="R24" s="501" t="n"/>
      <c r="S24" s="501" t="n"/>
      <c r="T24" s="501" t="n"/>
      <c r="U24" s="501" t="n"/>
      <c r="V24" s="501" t="n"/>
      <c r="W24" s="501" t="n"/>
      <c r="X24" s="501" t="n"/>
      <c r="Y24" s="501" t="n"/>
      <c r="Z24" s="501" t="n"/>
      <c r="AA24" s="501" t="n"/>
      <c r="AB24" s="501" t="n"/>
      <c r="AC24" s="501" t="n"/>
      <c r="AD24" s="643" t="inlineStr">
        <is>
          <t>TP5-120-480-2-300</t>
        </is>
      </c>
      <c r="AE24" s="644" t="inlineStr">
        <is>
          <t>all_in_one</t>
        </is>
      </c>
      <c r="AF24" s="501" t="n"/>
      <c r="AG24" s="501" t="n"/>
    </row>
    <row r="25" ht="31.5" customHeight="1" s="254">
      <c r="A25" s="263" t="inlineStr">
        <is>
          <t>_kW120</t>
        </is>
      </c>
      <c r="B25" s="518" t="inlineStr">
        <is>
          <t>CTX-AiO-120-2-350</t>
        </is>
      </c>
      <c r="C25" s="514" t="inlineStr">
        <is>
          <t>Gen3 120kW CCS1 350A + CCS1 350A ; Cable Management + CC</t>
        </is>
      </c>
      <c r="D25" s="632" t="n">
        <v>59400</v>
      </c>
      <c r="E25" s="646" t="n">
        <v>120</v>
      </c>
      <c r="F25" s="634" t="n"/>
      <c r="G25" s="501" t="n"/>
      <c r="H25" s="501" t="n"/>
      <c r="I25" s="635" t="n">
        <v>2</v>
      </c>
      <c r="J25" s="636" t="inlineStr">
        <is>
          <t>connectors named in the description</t>
        </is>
      </c>
      <c r="K25" s="501" t="n"/>
      <c r="L25" s="501" t="n"/>
      <c r="M25" s="501" t="n"/>
      <c r="N25" s="501" t="n"/>
      <c r="O25" s="501" t="n"/>
      <c r="P25" s="501" t="n"/>
      <c r="Q25" s="501" t="n"/>
      <c r="R25" s="501" t="n"/>
      <c r="S25" s="501" t="n"/>
      <c r="T25" s="501" t="n"/>
      <c r="U25" s="501" t="n"/>
      <c r="V25" s="501" t="n"/>
      <c r="W25" s="501" t="n"/>
      <c r="X25" s="501" t="n"/>
      <c r="Y25" s="501" t="n"/>
      <c r="Z25" s="501" t="n"/>
      <c r="AA25" s="501" t="n"/>
      <c r="AB25" s="501" t="n"/>
      <c r="AC25" s="501" t="n"/>
      <c r="AD25" s="643" t="inlineStr">
        <is>
          <t>TP5-120-480-3-300</t>
        </is>
      </c>
      <c r="AE25" s="644" t="inlineStr">
        <is>
          <t>all_in_one</t>
        </is>
      </c>
      <c r="AF25" s="501" t="n"/>
      <c r="AG25" s="501" t="n"/>
    </row>
    <row r="26" ht="31.5" customHeight="1" s="254">
      <c r="A26" s="263" t="inlineStr">
        <is>
          <t>_kW120</t>
        </is>
      </c>
      <c r="B26" s="518" t="inlineStr">
        <is>
          <t>CTX-AiO-120-3-350</t>
        </is>
      </c>
      <c r="C26" s="514" t="inlineStr">
        <is>
          <t>Gen3 120kW CCS1 350A + NACS 350A   ; Cable Management + CC</t>
        </is>
      </c>
      <c r="D26" s="632" t="n">
        <v>59400</v>
      </c>
      <c r="E26" s="646" t="n">
        <v>120</v>
      </c>
      <c r="F26" s="634" t="n"/>
      <c r="G26" s="501" t="n"/>
      <c r="H26" s="501" t="n"/>
      <c r="I26" s="635" t="n">
        <v>2</v>
      </c>
      <c r="J26" s="636" t="inlineStr">
        <is>
          <t>connectors named in the description</t>
        </is>
      </c>
      <c r="K26" s="501" t="n"/>
      <c r="L26" s="501" t="n"/>
      <c r="M26" s="501" t="n"/>
      <c r="N26" s="501" t="n"/>
      <c r="O26" s="501" t="n"/>
      <c r="P26" s="501" t="n"/>
      <c r="Q26" s="501" t="n"/>
      <c r="R26" s="501" t="n"/>
      <c r="S26" s="501" t="n"/>
      <c r="T26" s="501" t="n"/>
      <c r="U26" s="501" t="n"/>
      <c r="V26" s="501" t="n"/>
      <c r="W26" s="501" t="n"/>
      <c r="X26" s="501" t="n"/>
      <c r="Y26" s="501" t="n"/>
      <c r="Z26" s="501" t="n"/>
      <c r="AA26" s="501" t="n"/>
      <c r="AB26" s="501" t="n"/>
      <c r="AC26" s="501" t="n"/>
      <c r="AD26" s="643" t="inlineStr">
        <is>
          <t>CTX-AiO-120-2-350</t>
        </is>
      </c>
      <c r="AE26" s="644" t="inlineStr">
        <is>
          <t>all_in_one</t>
        </is>
      </c>
      <c r="AF26" s="501" t="n"/>
      <c r="AG26" s="501" t="n"/>
    </row>
    <row r="27" ht="31.5" customHeight="1" s="254">
      <c r="A27" s="263" t="inlineStr">
        <is>
          <t>_kW120</t>
        </is>
      </c>
      <c r="B27" s="518" t="inlineStr">
        <is>
          <t>CTX-AiO-120-4-350</t>
        </is>
      </c>
      <c r="C27" s="514" t="inlineStr">
        <is>
          <t>Gen3 120kW NACS 350A + NACS 350A  ; Cable Management + CC</t>
        </is>
      </c>
      <c r="D27" s="632" t="n">
        <v>59400</v>
      </c>
      <c r="E27" s="646" t="n">
        <v>120</v>
      </c>
      <c r="F27" s="634" t="n"/>
      <c r="G27" s="501" t="n"/>
      <c r="H27" s="501" t="n"/>
      <c r="I27" s="635" t="n">
        <v>2</v>
      </c>
      <c r="J27" s="636" t="inlineStr">
        <is>
          <t>connectors named in the description</t>
        </is>
      </c>
      <c r="K27" s="501" t="n"/>
      <c r="L27" s="501" t="n"/>
      <c r="M27" s="501" t="n"/>
      <c r="N27" s="501" t="n"/>
      <c r="O27" s="501" t="n"/>
      <c r="P27" s="501" t="n"/>
      <c r="Q27" s="501" t="n"/>
      <c r="R27" s="501" t="n"/>
      <c r="S27" s="501" t="n"/>
      <c r="T27" s="501" t="n"/>
      <c r="U27" s="501" t="n"/>
      <c r="V27" s="501" t="n"/>
      <c r="W27" s="501" t="n"/>
      <c r="X27" s="501" t="n"/>
      <c r="Y27" s="501" t="n"/>
      <c r="Z27" s="501" t="n"/>
      <c r="AA27" s="501" t="n"/>
      <c r="AB27" s="501" t="n"/>
      <c r="AC27" s="501" t="n"/>
      <c r="AD27" s="643" t="inlineStr">
        <is>
          <t>CTX-AiO-120-3-350</t>
        </is>
      </c>
      <c r="AE27" s="644" t="inlineStr">
        <is>
          <t>all_in_one</t>
        </is>
      </c>
      <c r="AF27" s="501" t="n"/>
      <c r="AG27" s="501" t="n"/>
    </row>
    <row r="28" ht="15" customHeight="1" s="254">
      <c r="A28" s="263" t="inlineStr">
        <is>
          <t>_kW120</t>
        </is>
      </c>
      <c r="B28" s="518" t="inlineStr">
        <is>
          <t>CTX-AiO-120-5-350</t>
        </is>
      </c>
      <c r="C28" s="518" t="inlineStr">
        <is>
          <t>Gen3 120kW Single CCS1 350A  ; Cable Management + CC</t>
        </is>
      </c>
      <c r="D28" s="632" t="n">
        <v>59400</v>
      </c>
      <c r="E28" s="646" t="n">
        <v>120</v>
      </c>
      <c r="F28" s="634" t="n"/>
      <c r="G28" s="501" t="n"/>
      <c r="H28" s="501" t="n"/>
      <c r="I28" s="635" t="n">
        <v>1</v>
      </c>
      <c r="J28" s="636" t="inlineStr">
        <is>
          <t>description says Single</t>
        </is>
      </c>
      <c r="K28" s="501" t="n"/>
      <c r="L28" s="501" t="n"/>
      <c r="M28" s="501" t="n"/>
      <c r="N28" s="501" t="n"/>
      <c r="O28" s="501" t="n"/>
      <c r="P28" s="501" t="n"/>
      <c r="Q28" s="501" t="n"/>
      <c r="R28" s="501" t="n"/>
      <c r="S28" s="501" t="n"/>
      <c r="T28" s="501" t="n"/>
      <c r="U28" s="501" t="n"/>
      <c r="V28" s="501" t="n"/>
      <c r="W28" s="501" t="n"/>
      <c r="X28" s="501" t="n"/>
      <c r="Y28" s="501" t="n"/>
      <c r="Z28" s="501" t="n"/>
      <c r="AA28" s="501" t="n"/>
      <c r="AB28" s="501" t="n"/>
      <c r="AC28" s="501" t="n"/>
      <c r="AD28" s="643" t="inlineStr">
        <is>
          <t>CTX-AiO-120-4-350</t>
        </is>
      </c>
      <c r="AE28" s="644" t="inlineStr">
        <is>
          <t>all_in_one</t>
        </is>
      </c>
      <c r="AF28" s="501" t="n"/>
      <c r="AG28" s="501" t="n"/>
    </row>
    <row r="29" ht="15" customHeight="1" s="254">
      <c r="A29" s="263" t="inlineStr">
        <is>
          <t>_kW120</t>
        </is>
      </c>
      <c r="B29" s="518" t="inlineStr">
        <is>
          <t>CTX-AiO-120-6-350</t>
        </is>
      </c>
      <c r="C29" s="518" t="inlineStr">
        <is>
          <t>Gen3 120kW Single NACS 350A  ; Cable Management + CC</t>
        </is>
      </c>
      <c r="D29" s="632" t="n">
        <v>59400</v>
      </c>
      <c r="E29" s="646" t="n">
        <v>120</v>
      </c>
      <c r="F29" s="634" t="n"/>
      <c r="G29" s="501" t="n"/>
      <c r="H29" s="501" t="n"/>
      <c r="I29" s="635" t="n">
        <v>1</v>
      </c>
      <c r="J29" s="636" t="inlineStr">
        <is>
          <t>description says Single</t>
        </is>
      </c>
      <c r="K29" s="501" t="n"/>
      <c r="L29" s="501" t="n"/>
      <c r="M29" s="501" t="n"/>
      <c r="N29" s="501" t="n"/>
      <c r="O29" s="501" t="n"/>
      <c r="P29" s="501" t="n"/>
      <c r="Q29" s="501" t="n"/>
      <c r="R29" s="501" t="n"/>
      <c r="S29" s="501" t="n"/>
      <c r="T29" s="501" t="n"/>
      <c r="U29" s="501" t="n"/>
      <c r="V29" s="501" t="n"/>
      <c r="W29" s="501" t="n"/>
      <c r="X29" s="501" t="n"/>
      <c r="Y29" s="501" t="n"/>
      <c r="Z29" s="501" t="n"/>
      <c r="AA29" s="501" t="n"/>
      <c r="AB29" s="501" t="n"/>
      <c r="AC29" s="501" t="n"/>
      <c r="AD29" s="643" t="inlineStr">
        <is>
          <t>CTX-AiO-120-5-350</t>
        </is>
      </c>
      <c r="AE29" s="644" t="inlineStr">
        <is>
          <t>all_in_one</t>
        </is>
      </c>
      <c r="AF29" s="501" t="n"/>
      <c r="AG29" s="501" t="n"/>
    </row>
    <row r="30" ht="55.5" customHeight="1" s="254">
      <c r="A30" s="263" t="inlineStr">
        <is>
          <t>_kW160</t>
        </is>
      </c>
      <c r="B30" s="518" t="inlineStr">
        <is>
          <t>TP5-160-480-1</t>
        </is>
      </c>
      <c r="C30" s="514" t="inlineStr">
        <is>
          <t>160kW DCFC All In One Charger - 200 Amps / 1000VDC with CCS1 &amp; NACS(~16ft); It can dispense 200A on single connector and can charge 2 cars simultaneously with 80kW eac</t>
        </is>
      </c>
      <c r="D30" s="632" t="n">
        <v>57000</v>
      </c>
      <c r="E30" s="646" t="n">
        <v>160</v>
      </c>
      <c r="F30" s="634" t="n"/>
      <c r="G30" s="501" t="n"/>
      <c r="H30" s="501" t="n"/>
      <c r="I30" s="635" t="n">
        <v>1</v>
      </c>
      <c r="J30" s="636" t="inlineStr">
        <is>
          <t>description says Single</t>
        </is>
      </c>
      <c r="K30" s="501" t="n"/>
      <c r="L30" s="501" t="n"/>
      <c r="M30" s="501" t="n"/>
      <c r="N30" s="501" t="n"/>
      <c r="O30" s="501" t="n"/>
      <c r="P30" s="501" t="n"/>
      <c r="Q30" s="501" t="n"/>
      <c r="R30" s="501" t="n"/>
      <c r="S30" s="501" t="n"/>
      <c r="T30" s="501" t="n"/>
      <c r="U30" s="501" t="n"/>
      <c r="V30" s="501" t="n"/>
      <c r="W30" s="501" t="n"/>
      <c r="X30" s="501" t="n"/>
      <c r="Y30" s="501" t="n"/>
      <c r="Z30" s="501" t="n"/>
      <c r="AA30" s="501" t="n"/>
      <c r="AB30" s="501" t="n"/>
      <c r="AC30" s="501" t="n"/>
      <c r="AD30" s="643" t="inlineStr">
        <is>
          <t>CTX-AiO-120-6-350</t>
        </is>
      </c>
      <c r="AE30" s="644" t="inlineStr">
        <is>
          <t>all_in_one</t>
        </is>
      </c>
      <c r="AF30" s="501" t="n"/>
      <c r="AG30" s="501" t="n"/>
    </row>
    <row r="31" ht="55.5" customHeight="1" s="254">
      <c r="A31" s="263" t="inlineStr">
        <is>
          <t>_kW160</t>
        </is>
      </c>
      <c r="B31" s="518" t="inlineStr">
        <is>
          <t>TP5-160-480-2</t>
        </is>
      </c>
      <c r="C31" s="514" t="inlineStr">
        <is>
          <t>160kW DCFC All In One Charger - 200 Amps / 1000VDC with CCS1 &amp; CCS1(~16ft); It can dispense 200A on single connector and can charge 2 cars simultaneously with 80kW each ;</t>
        </is>
      </c>
      <c r="D31" s="632" t="n">
        <v>57000</v>
      </c>
      <c r="E31" s="646" t="n">
        <v>160</v>
      </c>
      <c r="F31" s="634" t="n"/>
      <c r="G31" s="501" t="n"/>
      <c r="H31" s="501" t="n"/>
      <c r="I31" s="635" t="n">
        <v>1</v>
      </c>
      <c r="J31" s="636" t="inlineStr">
        <is>
          <t>description says Single</t>
        </is>
      </c>
      <c r="K31" s="501" t="n"/>
      <c r="L31" s="501" t="n"/>
      <c r="M31" s="501" t="n"/>
      <c r="N31" s="501" t="n"/>
      <c r="O31" s="501" t="n"/>
      <c r="P31" s="501" t="n"/>
      <c r="Q31" s="501" t="n"/>
      <c r="R31" s="501" t="n"/>
      <c r="S31" s="501" t="n"/>
      <c r="T31" s="501" t="n"/>
      <c r="U31" s="501" t="n"/>
      <c r="V31" s="501" t="n"/>
      <c r="W31" s="501" t="n"/>
      <c r="X31" s="501" t="n"/>
      <c r="Y31" s="501" t="n"/>
      <c r="Z31" s="501" t="n"/>
      <c r="AA31" s="501" t="n"/>
      <c r="AB31" s="501" t="n"/>
      <c r="AC31" s="501" t="n"/>
      <c r="AD31" s="643" t="inlineStr">
        <is>
          <t>TP5-160-480-1</t>
        </is>
      </c>
      <c r="AE31" s="644" t="inlineStr">
        <is>
          <t>all_in_one</t>
        </is>
      </c>
      <c r="AF31" s="501" t="n"/>
      <c r="AG31" s="501" t="n"/>
    </row>
    <row r="32" ht="55.5" customHeight="1" s="254">
      <c r="A32" s="263" t="inlineStr">
        <is>
          <t>_kW160</t>
        </is>
      </c>
      <c r="B32" s="518" t="inlineStr">
        <is>
          <t>TP5-160-480-3</t>
        </is>
      </c>
      <c r="C32" s="514" t="inlineStr">
        <is>
          <t xml:space="preserve">160kW DCFC All In One Charger - 200 Amps / 1000VDC with CCS1 &amp; NACS (~16ft); It can dispense 200A on single connector and can charge 2 cars simultaneously with 80kW each </t>
        </is>
      </c>
      <c r="D32" s="632" t="n">
        <v>57000</v>
      </c>
      <c r="E32" s="646" t="n">
        <v>160</v>
      </c>
      <c r="F32" s="634" t="n"/>
      <c r="G32" s="501" t="n"/>
      <c r="H32" s="501" t="n"/>
      <c r="I32" s="635" t="n">
        <v>1</v>
      </c>
      <c r="J32" s="636" t="inlineStr">
        <is>
          <t>description says Single</t>
        </is>
      </c>
      <c r="K32" s="501" t="n"/>
      <c r="L32" s="501" t="n"/>
      <c r="M32" s="501" t="n"/>
      <c r="N32" s="501" t="n"/>
      <c r="O32" s="501" t="n"/>
      <c r="P32" s="501" t="n"/>
      <c r="Q32" s="501" t="n"/>
      <c r="R32" s="501" t="n"/>
      <c r="S32" s="501" t="n"/>
      <c r="T32" s="501" t="n"/>
      <c r="U32" s="501" t="n"/>
      <c r="V32" s="501" t="n"/>
      <c r="W32" s="501" t="n"/>
      <c r="X32" s="501" t="n"/>
      <c r="Y32" s="501" t="n"/>
      <c r="Z32" s="501" t="n"/>
      <c r="AA32" s="501" t="n"/>
      <c r="AB32" s="501" t="n"/>
      <c r="AC32" s="501" t="n"/>
      <c r="AD32" s="643" t="inlineStr">
        <is>
          <t>TP5-160-480-2</t>
        </is>
      </c>
      <c r="AE32" s="644" t="inlineStr">
        <is>
          <t>all_in_one</t>
        </is>
      </c>
      <c r="AF32" s="501" t="n"/>
      <c r="AG32" s="501" t="n"/>
    </row>
    <row r="33" ht="43.5" customHeight="1" s="254">
      <c r="A33" s="263" t="inlineStr">
        <is>
          <t>_kW160</t>
        </is>
      </c>
      <c r="B33" s="518" t="inlineStr">
        <is>
          <t>TP5-160-480-2-300</t>
        </is>
      </c>
      <c r="C33" s="514" t="inlineStr">
        <is>
          <t>160kW DCFC All In One Charger - 350A Cable / 1000VDC with CCS1 &amp; CCS1(~16ft); Can charge 2 cars simultaneously with 80kW each ; 4G Modem</t>
        </is>
      </c>
      <c r="D33" s="632" t="n">
        <v>57000</v>
      </c>
      <c r="E33" s="646" t="n">
        <v>160</v>
      </c>
      <c r="F33" s="634" t="n"/>
      <c r="G33" s="501" t="n"/>
      <c r="H33" s="501" t="n"/>
      <c r="I33" s="635" t="n">
        <v>2</v>
      </c>
      <c r="J33" s="636" t="inlineStr">
        <is>
          <t>connectors named in the description</t>
        </is>
      </c>
      <c r="K33" s="501" t="n"/>
      <c r="L33" s="501" t="n"/>
      <c r="M33" s="501" t="n"/>
      <c r="N33" s="501" t="n"/>
      <c r="O33" s="501" t="n"/>
      <c r="P33" s="501" t="n"/>
      <c r="Q33" s="501" t="n"/>
      <c r="R33" s="501" t="n"/>
      <c r="S33" s="501" t="n"/>
      <c r="T33" s="501" t="n"/>
      <c r="U33" s="501" t="n"/>
      <c r="V33" s="501" t="n"/>
      <c r="W33" s="501" t="n"/>
      <c r="X33" s="501" t="n"/>
      <c r="Y33" s="501" t="n"/>
      <c r="Z33" s="501" t="n"/>
      <c r="AA33" s="501" t="n"/>
      <c r="AB33" s="501" t="n"/>
      <c r="AC33" s="501" t="n"/>
      <c r="AD33" s="643" t="inlineStr">
        <is>
          <t>TP5-160-480-3</t>
        </is>
      </c>
      <c r="AE33" s="644" t="inlineStr">
        <is>
          <t>all_in_one</t>
        </is>
      </c>
      <c r="AF33" s="501" t="n"/>
      <c r="AG33" s="501" t="n"/>
    </row>
    <row r="34" ht="55.5" customHeight="1" s="254">
      <c r="A34" s="263" t="inlineStr">
        <is>
          <t>_kW160</t>
        </is>
      </c>
      <c r="B34" s="518" t="inlineStr">
        <is>
          <t>HPC-160-480-1</t>
        </is>
      </c>
      <c r="C34" s="514" t="inlineStr">
        <is>
          <t xml:space="preserve">160kW HPC All In One Charger - 400 Amps / 1000VDC with Liquid Cooled Connector for CCS1(~14ft) &amp; NACS(~16ft) ; It can deliver 400A on the CCS coonnector. Can charge 2 </t>
        </is>
      </c>
      <c r="D34" s="632" t="n">
        <v>68000</v>
      </c>
      <c r="E34" s="646" t="n">
        <v>160</v>
      </c>
      <c r="F34" s="634" t="n"/>
      <c r="G34" s="501" t="n"/>
      <c r="H34" s="501" t="n"/>
      <c r="I34" s="635" t="n">
        <v>2</v>
      </c>
      <c r="J34" s="636" t="inlineStr">
        <is>
          <t>connectors named in the description</t>
        </is>
      </c>
      <c r="K34" s="501" t="n"/>
      <c r="L34" s="501" t="n"/>
      <c r="M34" s="501" t="n"/>
      <c r="N34" s="501" t="n"/>
      <c r="O34" s="501" t="n"/>
      <c r="P34" s="501" t="n"/>
      <c r="Q34" s="501" t="n"/>
      <c r="R34" s="501" t="n"/>
      <c r="S34" s="501" t="n"/>
      <c r="T34" s="501" t="n"/>
      <c r="U34" s="501" t="n"/>
      <c r="V34" s="501" t="n"/>
      <c r="W34" s="501" t="n"/>
      <c r="X34" s="501" t="n"/>
      <c r="Y34" s="501" t="n"/>
      <c r="Z34" s="501" t="n"/>
      <c r="AA34" s="501" t="n"/>
      <c r="AB34" s="501" t="n"/>
      <c r="AC34" s="501" t="n"/>
      <c r="AD34" s="643" t="inlineStr">
        <is>
          <t>TP5-160-480-2-300</t>
        </is>
      </c>
      <c r="AE34" s="644" t="inlineStr">
        <is>
          <t>all_in_one</t>
        </is>
      </c>
      <c r="AF34" s="501" t="n"/>
      <c r="AG34" s="501" t="n"/>
    </row>
    <row r="35" ht="55.5" customHeight="1" s="254">
      <c r="A35" s="263" t="inlineStr">
        <is>
          <t>_kW160</t>
        </is>
      </c>
      <c r="B35" s="518" t="inlineStr">
        <is>
          <t>HPC-160-480-2</t>
        </is>
      </c>
      <c r="C35" s="514" t="inlineStr">
        <is>
          <t>160kW HPC All In One Charger - 400 Amps / 1000VDC with Liquid Cooled Connector for CCS1(~14ft) &amp; NACS(~16ft) ; It can deliver 400A on the CCS coonnector. Also can char</t>
        </is>
      </c>
      <c r="D35" s="632" t="n">
        <v>70000</v>
      </c>
      <c r="E35" s="646" t="n">
        <v>160</v>
      </c>
      <c r="F35" s="634" t="n"/>
      <c r="G35" s="501" t="n"/>
      <c r="H35" s="501" t="n"/>
      <c r="I35" s="635" t="n">
        <v>2</v>
      </c>
      <c r="J35" s="636" t="inlineStr">
        <is>
          <t>connectors named in the description</t>
        </is>
      </c>
      <c r="K35" s="501" t="n"/>
      <c r="L35" s="501" t="n"/>
      <c r="M35" s="501" t="n"/>
      <c r="N35" s="501" t="n"/>
      <c r="O35" s="501" t="n"/>
      <c r="P35" s="501" t="n"/>
      <c r="Q35" s="501" t="n"/>
      <c r="R35" s="501" t="n"/>
      <c r="S35" s="501" t="n"/>
      <c r="T35" s="501" t="n"/>
      <c r="U35" s="501" t="n"/>
      <c r="V35" s="501" t="n"/>
      <c r="W35" s="501" t="n"/>
      <c r="X35" s="501" t="n"/>
      <c r="Y35" s="501" t="n"/>
      <c r="Z35" s="501" t="n"/>
      <c r="AA35" s="501" t="n"/>
      <c r="AB35" s="501" t="n"/>
      <c r="AC35" s="501" t="n"/>
      <c r="AD35" s="643" t="inlineStr">
        <is>
          <t>HPC-160-480-1</t>
        </is>
      </c>
      <c r="AE35" s="644" t="inlineStr">
        <is>
          <t>all_in_one</t>
        </is>
      </c>
      <c r="AF35" s="501" t="n"/>
      <c r="AG35" s="501" t="n"/>
    </row>
    <row r="36" ht="31.5" customHeight="1" s="254">
      <c r="A36" s="263" t="inlineStr">
        <is>
          <t>_kW160</t>
        </is>
      </c>
      <c r="B36" s="518" t="inlineStr">
        <is>
          <t>CTX-AiO-160-2-350</t>
        </is>
      </c>
      <c r="C36" s="514" t="inlineStr">
        <is>
          <t>Gen3 160kW CCS1 350A + CCS1 350A ; Cable Management + CC</t>
        </is>
      </c>
      <c r="D36" s="632" t="n">
        <v>68200</v>
      </c>
      <c r="E36" s="646" t="n">
        <v>160</v>
      </c>
      <c r="F36" s="634" t="n"/>
      <c r="G36" s="501" t="n"/>
      <c r="H36" s="501" t="n"/>
      <c r="I36" s="635" t="n">
        <v>2</v>
      </c>
      <c r="J36" s="636" t="inlineStr">
        <is>
          <t>connectors named in the description</t>
        </is>
      </c>
      <c r="K36" s="501" t="n"/>
      <c r="L36" s="501" t="n"/>
      <c r="M36" s="501" t="n"/>
      <c r="N36" s="501" t="n"/>
      <c r="O36" s="501" t="n"/>
      <c r="P36" s="501" t="n"/>
      <c r="Q36" s="501" t="n"/>
      <c r="R36" s="501" t="n"/>
      <c r="S36" s="501" t="n"/>
      <c r="T36" s="501" t="n"/>
      <c r="U36" s="501" t="n"/>
      <c r="V36" s="501" t="n"/>
      <c r="W36" s="501" t="n"/>
      <c r="X36" s="501" t="n"/>
      <c r="Y36" s="501" t="n"/>
      <c r="Z36" s="501" t="n"/>
      <c r="AA36" s="501" t="n"/>
      <c r="AB36" s="501" t="n"/>
      <c r="AC36" s="501" t="n"/>
      <c r="AD36" s="643" t="inlineStr">
        <is>
          <t>HPC-160-480-2</t>
        </is>
      </c>
      <c r="AE36" s="644" t="inlineStr">
        <is>
          <t>all_in_one</t>
        </is>
      </c>
      <c r="AF36" s="501" t="n"/>
      <c r="AG36" s="501" t="n"/>
    </row>
    <row r="37" ht="31.5" customHeight="1" s="254">
      <c r="A37" s="263" t="inlineStr">
        <is>
          <t>_kW160</t>
        </is>
      </c>
      <c r="B37" s="518" t="inlineStr">
        <is>
          <t>CTX-AiO-160-3-350</t>
        </is>
      </c>
      <c r="C37" s="514" t="inlineStr">
        <is>
          <t>Gen3 160kW CCS1 350A + NACS 350A   ; Cable Management + CC</t>
        </is>
      </c>
      <c r="D37" s="632" t="n">
        <v>68200</v>
      </c>
      <c r="E37" s="646" t="n">
        <v>160</v>
      </c>
      <c r="F37" s="634" t="n"/>
      <c r="G37" s="501" t="n"/>
      <c r="H37" s="501" t="n"/>
      <c r="I37" s="635" t="n">
        <v>2</v>
      </c>
      <c r="J37" s="636" t="inlineStr">
        <is>
          <t>connectors named in the description</t>
        </is>
      </c>
      <c r="K37" s="501" t="n"/>
      <c r="L37" s="501" t="n"/>
      <c r="M37" s="501" t="n"/>
      <c r="N37" s="501" t="n"/>
      <c r="O37" s="501" t="n"/>
      <c r="P37" s="501" t="n"/>
      <c r="Q37" s="501" t="n"/>
      <c r="R37" s="501" t="n"/>
      <c r="S37" s="501" t="n"/>
      <c r="T37" s="501" t="n"/>
      <c r="U37" s="501" t="n"/>
      <c r="V37" s="501" t="n"/>
      <c r="W37" s="501" t="n"/>
      <c r="X37" s="501" t="n"/>
      <c r="Y37" s="501" t="n"/>
      <c r="Z37" s="501" t="n"/>
      <c r="AA37" s="501" t="n"/>
      <c r="AB37" s="501" t="n"/>
      <c r="AC37" s="501" t="n"/>
      <c r="AD37" s="643" t="inlineStr">
        <is>
          <t>CTX-AiO-160-2-350</t>
        </is>
      </c>
      <c r="AE37" s="644" t="inlineStr">
        <is>
          <t>all_in_one</t>
        </is>
      </c>
      <c r="AF37" s="501" t="n"/>
      <c r="AG37" s="501" t="n"/>
    </row>
    <row r="38" ht="31.5" customHeight="1" s="254">
      <c r="A38" s="263" t="inlineStr">
        <is>
          <t>_kW160</t>
        </is>
      </c>
      <c r="B38" s="518" t="inlineStr">
        <is>
          <t>CTX-AiO-160-4-350</t>
        </is>
      </c>
      <c r="C38" s="514" t="inlineStr">
        <is>
          <t>Gen3 160kW NACS 350A + NACS 350A  ; Cable Management + CC</t>
        </is>
      </c>
      <c r="D38" s="632" t="n">
        <v>68200</v>
      </c>
      <c r="E38" s="646" t="n">
        <v>160</v>
      </c>
      <c r="F38" s="634" t="n"/>
      <c r="G38" s="501" t="n"/>
      <c r="H38" s="501" t="n"/>
      <c r="I38" s="635" t="n">
        <v>2</v>
      </c>
      <c r="J38" s="636" t="inlineStr">
        <is>
          <t>connectors named in the description</t>
        </is>
      </c>
      <c r="K38" s="501" t="n"/>
      <c r="L38" s="501" t="n"/>
      <c r="M38" s="501" t="n"/>
      <c r="N38" s="501" t="n"/>
      <c r="O38" s="501" t="n"/>
      <c r="P38" s="501" t="n"/>
      <c r="Q38" s="501" t="n"/>
      <c r="R38" s="501" t="n"/>
      <c r="S38" s="501" t="n"/>
      <c r="T38" s="501" t="n"/>
      <c r="U38" s="501" t="n"/>
      <c r="V38" s="501" t="n"/>
      <c r="W38" s="501" t="n"/>
      <c r="X38" s="501" t="n"/>
      <c r="Y38" s="501" t="n"/>
      <c r="Z38" s="501" t="n"/>
      <c r="AA38" s="501" t="n"/>
      <c r="AB38" s="501" t="n"/>
      <c r="AC38" s="501" t="n"/>
      <c r="AD38" s="643" t="inlineStr">
        <is>
          <t>CTX-AiO-160-3-350</t>
        </is>
      </c>
      <c r="AE38" s="644" t="inlineStr">
        <is>
          <t>all_in_one</t>
        </is>
      </c>
      <c r="AF38" s="501" t="n"/>
      <c r="AG38" s="501" t="n"/>
    </row>
    <row r="39" ht="15" customHeight="1" s="254">
      <c r="A39" s="263" t="inlineStr">
        <is>
          <t>_kW160</t>
        </is>
      </c>
      <c r="B39" s="518" t="inlineStr">
        <is>
          <t>CTX-AiO-160-5-350</t>
        </is>
      </c>
      <c r="C39" s="518" t="inlineStr">
        <is>
          <t>Gen3 160kW Single CCS1 350A  ; Cable Management + CC</t>
        </is>
      </c>
      <c r="D39" s="632" t="n">
        <v>68200</v>
      </c>
      <c r="E39" s="646" t="n">
        <v>160</v>
      </c>
      <c r="F39" s="634" t="n"/>
      <c r="G39" s="501" t="n"/>
      <c r="H39" s="501" t="n"/>
      <c r="I39" s="635" t="n">
        <v>1</v>
      </c>
      <c r="J39" s="636" t="inlineStr">
        <is>
          <t>description says Single</t>
        </is>
      </c>
      <c r="K39" s="501" t="n"/>
      <c r="L39" s="501" t="n"/>
      <c r="M39" s="501" t="n"/>
      <c r="N39" s="501" t="n"/>
      <c r="O39" s="501" t="n"/>
      <c r="P39" s="501" t="n"/>
      <c r="Q39" s="501" t="n"/>
      <c r="R39" s="501" t="n"/>
      <c r="S39" s="501" t="n"/>
      <c r="T39" s="501" t="n"/>
      <c r="U39" s="501" t="n"/>
      <c r="V39" s="501" t="n"/>
      <c r="W39" s="501" t="n"/>
      <c r="X39" s="501" t="n"/>
      <c r="Y39" s="501" t="n"/>
      <c r="Z39" s="501" t="n"/>
      <c r="AA39" s="501" t="n"/>
      <c r="AB39" s="501" t="n"/>
      <c r="AC39" s="501" t="n"/>
      <c r="AD39" s="643" t="inlineStr">
        <is>
          <t>CTX-AiO-160-4-350</t>
        </is>
      </c>
      <c r="AE39" s="644" t="inlineStr">
        <is>
          <t>all_in_one</t>
        </is>
      </c>
      <c r="AF39" s="501" t="n"/>
      <c r="AG39" s="501" t="n"/>
    </row>
    <row r="40" ht="15" customHeight="1" s="254">
      <c r="A40" s="263" t="inlineStr">
        <is>
          <t>_kW160</t>
        </is>
      </c>
      <c r="B40" s="518" t="inlineStr">
        <is>
          <t>CTX-AiO-160-6-350</t>
        </is>
      </c>
      <c r="C40" s="518" t="inlineStr">
        <is>
          <t>Gen3 160kW Single NACS 350A  ; Cable Management + CC</t>
        </is>
      </c>
      <c r="D40" s="632" t="n">
        <v>68200</v>
      </c>
      <c r="E40" s="646" t="n">
        <v>160</v>
      </c>
      <c r="F40" s="634" t="n"/>
      <c r="G40" s="501" t="n"/>
      <c r="H40" s="501" t="n"/>
      <c r="I40" s="635" t="n">
        <v>1</v>
      </c>
      <c r="J40" s="636" t="inlineStr">
        <is>
          <t>description says Single</t>
        </is>
      </c>
      <c r="K40" s="501" t="n"/>
      <c r="L40" s="501" t="n"/>
      <c r="M40" s="501" t="n"/>
      <c r="N40" s="501" t="n"/>
      <c r="O40" s="501" t="n"/>
      <c r="P40" s="501" t="n"/>
      <c r="Q40" s="501" t="n"/>
      <c r="R40" s="501" t="n"/>
      <c r="S40" s="501" t="n"/>
      <c r="T40" s="501" t="n"/>
      <c r="U40" s="501" t="n"/>
      <c r="V40" s="501" t="n"/>
      <c r="W40" s="501" t="n"/>
      <c r="X40" s="501" t="n"/>
      <c r="Y40" s="501" t="n"/>
      <c r="Z40" s="501" t="n"/>
      <c r="AA40" s="501" t="n"/>
      <c r="AB40" s="501" t="n"/>
      <c r="AC40" s="501" t="n"/>
      <c r="AD40" s="643" t="inlineStr">
        <is>
          <t>CTX-AiO-160-5-350</t>
        </is>
      </c>
      <c r="AE40" s="644" t="inlineStr">
        <is>
          <t>all_in_one</t>
        </is>
      </c>
      <c r="AF40" s="501" t="n"/>
      <c r="AG40" s="501" t="n"/>
    </row>
    <row r="41" ht="55.5" customHeight="1" s="254">
      <c r="A41" s="263" t="inlineStr">
        <is>
          <t>_kW180</t>
        </is>
      </c>
      <c r="B41" s="518" t="inlineStr">
        <is>
          <t>TP5-180-480-1</t>
        </is>
      </c>
      <c r="C41" s="514" t="inlineStr">
        <is>
          <t>180kW DCFC All In One Charger - 200 Amps / 1000VDC with CCS1 &amp; NACS(~16ft); Can charge 2 cars simultaneously with 90kW each or 120kW on CCS1 and 60kW on NACS; 4G Mo</t>
        </is>
      </c>
      <c r="D41" s="632" t="n">
        <v>62000</v>
      </c>
      <c r="E41" s="646" t="n">
        <v>180</v>
      </c>
      <c r="F41" s="634" t="n"/>
      <c r="G41" s="501" t="n"/>
      <c r="H41" s="501" t="n"/>
      <c r="I41" s="635" t="n">
        <v>2</v>
      </c>
      <c r="J41" s="636" t="inlineStr">
        <is>
          <t>connectors named in the description</t>
        </is>
      </c>
      <c r="K41" s="501" t="n"/>
      <c r="L41" s="501" t="n"/>
      <c r="M41" s="501" t="n"/>
      <c r="N41" s="501" t="n"/>
      <c r="O41" s="501" t="n"/>
      <c r="P41" s="501" t="n"/>
      <c r="Q41" s="501" t="n"/>
      <c r="R41" s="501" t="n"/>
      <c r="S41" s="501" t="n"/>
      <c r="T41" s="501" t="n"/>
      <c r="U41" s="501" t="n"/>
      <c r="V41" s="501" t="n"/>
      <c r="W41" s="501" t="n"/>
      <c r="X41" s="501" t="n"/>
      <c r="Y41" s="501" t="n"/>
      <c r="Z41" s="501" t="n"/>
      <c r="AA41" s="501" t="n"/>
      <c r="AB41" s="501" t="n"/>
      <c r="AC41" s="501" t="n"/>
      <c r="AD41" s="643" t="inlineStr">
        <is>
          <t>CTX-AiO-160-6-350</t>
        </is>
      </c>
      <c r="AE41" s="644" t="inlineStr">
        <is>
          <t>all_in_one</t>
        </is>
      </c>
      <c r="AF41" s="501" t="n"/>
      <c r="AG41" s="501" t="n"/>
    </row>
    <row r="42" ht="43.5" customHeight="1" s="254">
      <c r="A42" s="263" t="inlineStr">
        <is>
          <t>_kW180</t>
        </is>
      </c>
      <c r="B42" s="518" t="inlineStr">
        <is>
          <t>TP5-180-480-2</t>
        </is>
      </c>
      <c r="C42" s="514" t="inlineStr">
        <is>
          <t xml:space="preserve">180kW DCFC All In One Charger - 200 Amps / 1000VDC with CCS1 &amp; CCS1(~16ft); Can charge 2 cars simultaneously with 90kW each ; 4G Modem </t>
        </is>
      </c>
      <c r="D42" s="632" t="n">
        <v>62000</v>
      </c>
      <c r="E42" s="646" t="n">
        <v>180</v>
      </c>
      <c r="F42" s="634" t="n"/>
      <c r="G42" s="501" t="n"/>
      <c r="H42" s="501" t="n"/>
      <c r="I42" s="635" t="n">
        <v>2</v>
      </c>
      <c r="J42" s="636" t="inlineStr">
        <is>
          <t>connectors named in the description</t>
        </is>
      </c>
      <c r="K42" s="501" t="n"/>
      <c r="L42" s="501" t="n"/>
      <c r="M42" s="501" t="n"/>
      <c r="N42" s="501" t="n"/>
      <c r="O42" s="501" t="n"/>
      <c r="P42" s="501" t="n"/>
      <c r="Q42" s="501" t="n"/>
      <c r="R42" s="501" t="n"/>
      <c r="S42" s="501" t="n"/>
      <c r="T42" s="501" t="n"/>
      <c r="U42" s="501" t="n"/>
      <c r="V42" s="501" t="n"/>
      <c r="W42" s="501" t="n"/>
      <c r="X42" s="501" t="n"/>
      <c r="Y42" s="501" t="n"/>
      <c r="Z42" s="501" t="n"/>
      <c r="AA42" s="501" t="n"/>
      <c r="AB42" s="501" t="n"/>
      <c r="AC42" s="501" t="n"/>
      <c r="AD42" s="643" t="inlineStr">
        <is>
          <t>TP5-180-480-1</t>
        </is>
      </c>
      <c r="AE42" s="644" t="inlineStr">
        <is>
          <t>all_in_one</t>
        </is>
      </c>
      <c r="AF42" s="501" t="n"/>
      <c r="AG42" s="501" t="n"/>
    </row>
    <row r="43" ht="43.5" customHeight="1" s="254">
      <c r="A43" s="263" t="inlineStr">
        <is>
          <t>_kW180</t>
        </is>
      </c>
      <c r="B43" s="518" t="inlineStr">
        <is>
          <t>TP5-180-480-2-300</t>
        </is>
      </c>
      <c r="C43" s="514" t="inlineStr">
        <is>
          <t xml:space="preserve">180kW DCFC All In One Charger - 350A Cable / 1000VDC with CCS1 &amp; CCS1(~16ft); Can charge 2 cars simultaneously with 90kW each ; 4G Modem </t>
        </is>
      </c>
      <c r="D43" s="632" t="n">
        <v>62000</v>
      </c>
      <c r="E43" s="646" t="n">
        <v>180</v>
      </c>
      <c r="F43" s="634" t="n"/>
      <c r="G43" s="501" t="n"/>
      <c r="H43" s="501" t="n"/>
      <c r="I43" s="635" t="n">
        <v>2</v>
      </c>
      <c r="J43" s="636" t="inlineStr">
        <is>
          <t>connectors named in the description</t>
        </is>
      </c>
      <c r="K43" s="501" t="n"/>
      <c r="L43" s="501" t="n"/>
      <c r="M43" s="501" t="n"/>
      <c r="N43" s="501" t="n"/>
      <c r="O43" s="501" t="n"/>
      <c r="P43" s="501" t="n"/>
      <c r="Q43" s="501" t="n"/>
      <c r="R43" s="501" t="n"/>
      <c r="S43" s="501" t="n"/>
      <c r="T43" s="501" t="n"/>
      <c r="U43" s="501" t="n"/>
      <c r="V43" s="501" t="n"/>
      <c r="W43" s="501" t="n"/>
      <c r="X43" s="501" t="n"/>
      <c r="Y43" s="501" t="n"/>
      <c r="Z43" s="501" t="n"/>
      <c r="AA43" s="501" t="n"/>
      <c r="AB43" s="501" t="n"/>
      <c r="AC43" s="501" t="n"/>
      <c r="AD43" s="643" t="inlineStr">
        <is>
          <t>TP5-180-480-2</t>
        </is>
      </c>
      <c r="AE43" s="644" t="inlineStr">
        <is>
          <t>all_in_one</t>
        </is>
      </c>
      <c r="AF43" s="501" t="n"/>
      <c r="AG43" s="501" t="n"/>
    </row>
    <row r="44" ht="43.5" customHeight="1" s="254">
      <c r="A44" s="263" t="inlineStr">
        <is>
          <t>_kW180</t>
        </is>
      </c>
      <c r="B44" s="518" t="inlineStr">
        <is>
          <t>TP5-180-480-3-300</t>
        </is>
      </c>
      <c r="C44" s="514" t="inlineStr">
        <is>
          <t xml:space="preserve">180kW DCFC All In One Charger - 1000VDC, Cables: 350A CCS1 &amp; 400A NACS (~16ft); Can charge 2 cars simultaneously with 90kW each ; 4G Modem </t>
        </is>
      </c>
      <c r="D44" s="632" t="n">
        <v>62000</v>
      </c>
      <c r="E44" s="646" t="n">
        <v>180</v>
      </c>
      <c r="F44" s="634" t="n"/>
      <c r="G44" s="501" t="n"/>
      <c r="H44" s="501" t="n"/>
      <c r="I44" s="635" t="n">
        <v>2</v>
      </c>
      <c r="J44" s="636" t="inlineStr">
        <is>
          <t>manual — description does not state the count</t>
        </is>
      </c>
      <c r="K44" s="501" t="n"/>
      <c r="L44" s="501" t="n"/>
      <c r="M44" s="501" t="n"/>
      <c r="N44" s="501" t="n"/>
      <c r="O44" s="501" t="n"/>
      <c r="P44" s="501" t="n"/>
      <c r="Q44" s="501" t="n"/>
      <c r="R44" s="501" t="n"/>
      <c r="S44" s="501" t="n"/>
      <c r="T44" s="501" t="n"/>
      <c r="U44" s="501" t="n"/>
      <c r="V44" s="501" t="n"/>
      <c r="W44" s="501" t="n"/>
      <c r="X44" s="501" t="n"/>
      <c r="Y44" s="501" t="n"/>
      <c r="Z44" s="501" t="n"/>
      <c r="AA44" s="501" t="n"/>
      <c r="AB44" s="501" t="n"/>
      <c r="AC44" s="501" t="n"/>
      <c r="AD44" s="643" t="inlineStr">
        <is>
          <t>TP5-180-480-2-300</t>
        </is>
      </c>
      <c r="AE44" s="644" t="inlineStr">
        <is>
          <t>all_in_one</t>
        </is>
      </c>
      <c r="AF44" s="501" t="n"/>
      <c r="AG44" s="501" t="n"/>
    </row>
    <row r="45" ht="43.5" customHeight="1" s="254">
      <c r="A45" s="263" t="inlineStr">
        <is>
          <t>_kW180</t>
        </is>
      </c>
      <c r="B45" s="518" t="inlineStr">
        <is>
          <t>TP5-180-480-2-300-CL20</t>
        </is>
      </c>
      <c r="C45" s="514" t="inlineStr">
        <is>
          <t xml:space="preserve">180kW DCFC All In One Charger - 350A Cable / 1000VDC with CCS1 &amp; CCS1(~20ft); Can charge 2 cars simultaneously with 90kW each ; 4G Modem </t>
        </is>
      </c>
      <c r="D45" s="632" t="n">
        <v>62000</v>
      </c>
      <c r="E45" s="646" t="n">
        <v>180</v>
      </c>
      <c r="F45" s="634" t="n"/>
      <c r="G45" s="501" t="n"/>
      <c r="H45" s="501" t="n"/>
      <c r="I45" s="635" t="n">
        <v>2</v>
      </c>
      <c r="J45" s="636" t="inlineStr">
        <is>
          <t>connectors named in the description</t>
        </is>
      </c>
      <c r="K45" s="501" t="n"/>
      <c r="L45" s="501" t="n"/>
      <c r="M45" s="501" t="n"/>
      <c r="N45" s="501" t="n"/>
      <c r="O45" s="501" t="n"/>
      <c r="P45" s="501" t="n"/>
      <c r="Q45" s="501" t="n"/>
      <c r="R45" s="501" t="n"/>
      <c r="S45" s="501" t="n"/>
      <c r="T45" s="501" t="n"/>
      <c r="U45" s="501" t="n"/>
      <c r="V45" s="501" t="n"/>
      <c r="W45" s="501" t="n"/>
      <c r="X45" s="501" t="n"/>
      <c r="Y45" s="501" t="n"/>
      <c r="Z45" s="501" t="n"/>
      <c r="AA45" s="501" t="n"/>
      <c r="AB45" s="501" t="n"/>
      <c r="AC45" s="501" t="n"/>
      <c r="AD45" s="643" t="inlineStr">
        <is>
          <t>TP5-180-480-3-300</t>
        </is>
      </c>
      <c r="AE45" s="644" t="inlineStr">
        <is>
          <t>all_in_one</t>
        </is>
      </c>
      <c r="AF45" s="501" t="n"/>
      <c r="AG45" s="501" t="n"/>
    </row>
    <row r="46" ht="43.5" customHeight="1" s="254">
      <c r="A46" s="263" t="inlineStr">
        <is>
          <t>_kW240</t>
        </is>
      </c>
      <c r="B46" s="518" t="inlineStr">
        <is>
          <t>TP5-240-480-2-300</t>
        </is>
      </c>
      <c r="C46" s="514" t="inlineStr">
        <is>
          <t xml:space="preserve">240kW DCFC All In One Charger - 350A Cable / 1000VDC Dual CCS1 ; Can charge 2 cars simultaneously with 120kW each ; 4G Modem </t>
        </is>
      </c>
      <c r="D46" s="632" t="n">
        <v>80000</v>
      </c>
      <c r="E46" s="646" t="n">
        <v>240</v>
      </c>
      <c r="F46" s="634" t="n"/>
      <c r="G46" s="501" t="n"/>
      <c r="H46" s="501" t="n"/>
      <c r="I46" s="635" t="n">
        <v>2</v>
      </c>
      <c r="J46" s="636" t="inlineStr">
        <is>
          <t>description says Dual</t>
        </is>
      </c>
      <c r="K46" s="501" t="n"/>
      <c r="L46" s="501" t="n"/>
      <c r="M46" s="501" t="n"/>
      <c r="N46" s="501" t="n"/>
      <c r="O46" s="501" t="n"/>
      <c r="P46" s="501" t="n"/>
      <c r="Q46" s="501" t="n"/>
      <c r="R46" s="501" t="n"/>
      <c r="S46" s="501" t="n"/>
      <c r="T46" s="501" t="n"/>
      <c r="U46" s="501" t="n"/>
      <c r="V46" s="501" t="n"/>
      <c r="W46" s="501" t="n"/>
      <c r="X46" s="501" t="n"/>
      <c r="Y46" s="501" t="n"/>
      <c r="Z46" s="501" t="n"/>
      <c r="AA46" s="501" t="n"/>
      <c r="AB46" s="501" t="n"/>
      <c r="AC46" s="501" t="n"/>
      <c r="AD46" s="643" t="inlineStr">
        <is>
          <t>TP5-180-480-2-300-CL20</t>
        </is>
      </c>
      <c r="AE46" s="644" t="inlineStr">
        <is>
          <t>all_in_one</t>
        </is>
      </c>
      <c r="AF46" s="501" t="n"/>
      <c r="AG46" s="501" t="n"/>
    </row>
    <row r="47" ht="43.5" customHeight="1" s="254">
      <c r="A47" s="263" t="inlineStr">
        <is>
          <t>_kW240</t>
        </is>
      </c>
      <c r="B47" s="518" t="inlineStr">
        <is>
          <t>TP5-240-480-2-400</t>
        </is>
      </c>
      <c r="C47" s="514" t="inlineStr">
        <is>
          <t xml:space="preserve">240kW DCFC All In One Charger - 1000VDC, Cables: 350A CCS1 &amp; 400A NACS; Can charge 2 cars simultaneously with 120kW each ; 4G Modem </t>
        </is>
      </c>
      <c r="D47" s="632" t="n">
        <v>80000</v>
      </c>
      <c r="E47" s="646" t="n">
        <v>240</v>
      </c>
      <c r="F47" s="634" t="n"/>
      <c r="G47" s="501" t="n"/>
      <c r="H47" s="501" t="n"/>
      <c r="I47" s="635" t="n">
        <v>2</v>
      </c>
      <c r="J47" s="636" t="inlineStr">
        <is>
          <t>manual — description does not state the count</t>
        </is>
      </c>
      <c r="K47" s="501" t="n"/>
      <c r="L47" s="501" t="n"/>
      <c r="M47" s="501" t="n"/>
      <c r="N47" s="501" t="n"/>
      <c r="O47" s="501" t="n"/>
      <c r="P47" s="501" t="n"/>
      <c r="Q47" s="501" t="n"/>
      <c r="R47" s="501" t="n"/>
      <c r="S47" s="501" t="n"/>
      <c r="T47" s="501" t="n"/>
      <c r="U47" s="501" t="n"/>
      <c r="V47" s="501" t="n"/>
      <c r="W47" s="501" t="n"/>
      <c r="X47" s="501" t="n"/>
      <c r="Y47" s="501" t="n"/>
      <c r="Z47" s="501" t="n"/>
      <c r="AA47" s="501" t="n"/>
      <c r="AB47" s="501" t="n"/>
      <c r="AC47" s="501" t="n"/>
      <c r="AD47" s="643" t="inlineStr">
        <is>
          <t>TP5-240-480-2-300</t>
        </is>
      </c>
      <c r="AE47" s="644" t="inlineStr">
        <is>
          <t>all_in_one</t>
        </is>
      </c>
      <c r="AF47" s="501" t="n"/>
      <c r="AG47" s="501" t="n"/>
    </row>
    <row r="48" ht="55.5" customHeight="1" s="254">
      <c r="A48" s="263" t="inlineStr">
        <is>
          <t>_kW240</t>
        </is>
      </c>
      <c r="B48" s="518" t="inlineStr">
        <is>
          <t>HPC-240-480-1</t>
        </is>
      </c>
      <c r="C48" s="514" t="inlineStr">
        <is>
          <t>240kW HPC All In One Charger - 500 Amps / 1000VDC with Liquid Cooled Connector for CCS1 &amp; NACS(~14ft) ; Can deliver 500A on CCS coonnector. Can charge 2 cars simultane</t>
        </is>
      </c>
      <c r="D48" s="632" t="n">
        <v>98000</v>
      </c>
      <c r="E48" s="646" t="n">
        <v>240</v>
      </c>
      <c r="F48" s="634" t="n"/>
      <c r="G48" s="501" t="n"/>
      <c r="H48" s="501" t="n"/>
      <c r="I48" s="635" t="n">
        <v>2</v>
      </c>
      <c r="J48" s="636" t="inlineStr">
        <is>
          <t>connectors named in the description</t>
        </is>
      </c>
      <c r="K48" s="501" t="n"/>
      <c r="L48" s="501" t="n"/>
      <c r="M48" s="501" t="n"/>
      <c r="N48" s="501" t="n"/>
      <c r="O48" s="501" t="n"/>
      <c r="P48" s="501" t="n"/>
      <c r="Q48" s="501" t="n"/>
      <c r="R48" s="501" t="n"/>
      <c r="S48" s="501" t="n"/>
      <c r="T48" s="501" t="n"/>
      <c r="U48" s="501" t="n"/>
      <c r="V48" s="501" t="n"/>
      <c r="W48" s="501" t="n"/>
      <c r="X48" s="501" t="n"/>
      <c r="Y48" s="501" t="n"/>
      <c r="Z48" s="501" t="n"/>
      <c r="AA48" s="501" t="n"/>
      <c r="AB48" s="501" t="n"/>
      <c r="AC48" s="501" t="n"/>
      <c r="AD48" s="643" t="inlineStr">
        <is>
          <t>TP5-240-480-2-400</t>
        </is>
      </c>
      <c r="AE48" s="644" t="inlineStr">
        <is>
          <t>all_in_one</t>
        </is>
      </c>
      <c r="AF48" s="501" t="n"/>
      <c r="AG48" s="501" t="n"/>
    </row>
    <row r="49" ht="55.5" customHeight="1" s="254">
      <c r="A49" s="263" t="inlineStr">
        <is>
          <t>_kW240</t>
        </is>
      </c>
      <c r="B49" s="518" t="inlineStr">
        <is>
          <t>HPC-240-480-2</t>
        </is>
      </c>
      <c r="C49" s="514" t="inlineStr">
        <is>
          <t>240kW HPC All In One Charger - 500 Amps / 1000VDC with Liquid Cooled Connector for Dual CCS1 ; Can deliver 450A on one CCS coonnector and 250A on each connector if used s</t>
        </is>
      </c>
      <c r="D49" s="632" t="n">
        <v>98000</v>
      </c>
      <c r="E49" s="646" t="n">
        <v>240</v>
      </c>
      <c r="F49" s="634" t="n"/>
      <c r="G49" s="501" t="n"/>
      <c r="H49" s="501" t="n"/>
      <c r="I49" s="635" t="n">
        <v>2</v>
      </c>
      <c r="J49" s="636" t="inlineStr">
        <is>
          <t>description says Dual</t>
        </is>
      </c>
      <c r="K49" s="501" t="n"/>
      <c r="L49" s="501" t="n"/>
      <c r="M49" s="501" t="n"/>
      <c r="N49" s="501" t="n"/>
      <c r="O49" s="501" t="n"/>
      <c r="P49" s="501" t="n"/>
      <c r="Q49" s="501" t="n"/>
      <c r="R49" s="501" t="n"/>
      <c r="S49" s="501" t="n"/>
      <c r="T49" s="501" t="n"/>
      <c r="U49" s="501" t="n"/>
      <c r="V49" s="501" t="n"/>
      <c r="W49" s="501" t="n"/>
      <c r="X49" s="501" t="n"/>
      <c r="Y49" s="501" t="n"/>
      <c r="Z49" s="501" t="n"/>
      <c r="AA49" s="501" t="n"/>
      <c r="AB49" s="501" t="n"/>
      <c r="AC49" s="501" t="n"/>
      <c r="AD49" s="643" t="inlineStr">
        <is>
          <t>HPC-240-480-1</t>
        </is>
      </c>
      <c r="AE49" s="644" t="inlineStr">
        <is>
          <t>all_in_one</t>
        </is>
      </c>
      <c r="AF49" s="501" t="n"/>
      <c r="AG49" s="501" t="n"/>
    </row>
    <row r="50" ht="15" customHeight="1" s="254">
      <c r="A50" s="263" t="inlineStr">
        <is>
          <t>_kW240</t>
        </is>
      </c>
      <c r="B50" s="518" t="inlineStr">
        <is>
          <t>CTX-AiO-240-2-300</t>
        </is>
      </c>
      <c r="C50" s="518" t="inlineStr">
        <is>
          <t>Gen3 240kW CCS1 350A + CCS1 350A; Cable Management + CC</t>
        </is>
      </c>
      <c r="D50" s="632" t="n">
        <v>88000</v>
      </c>
      <c r="E50" s="646" t="n">
        <v>240</v>
      </c>
      <c r="F50" s="634" t="n"/>
      <c r="G50" s="501" t="n"/>
      <c r="H50" s="501" t="n"/>
      <c r="I50" s="635" t="n">
        <v>2</v>
      </c>
      <c r="J50" s="636" t="inlineStr">
        <is>
          <t>connectors named in the description</t>
        </is>
      </c>
      <c r="K50" s="501" t="n"/>
      <c r="L50" s="501" t="n"/>
      <c r="M50" s="501" t="n"/>
      <c r="N50" s="501" t="n"/>
      <c r="O50" s="501" t="n"/>
      <c r="P50" s="501" t="n"/>
      <c r="Q50" s="501" t="n"/>
      <c r="R50" s="501" t="n"/>
      <c r="S50" s="501" t="n"/>
      <c r="T50" s="501" t="n"/>
      <c r="U50" s="501" t="n"/>
      <c r="V50" s="501" t="n"/>
      <c r="W50" s="501" t="n"/>
      <c r="X50" s="501" t="n"/>
      <c r="Y50" s="501" t="n"/>
      <c r="Z50" s="501" t="n"/>
      <c r="AA50" s="501" t="n"/>
      <c r="AB50" s="501" t="n"/>
      <c r="AC50" s="501" t="n"/>
      <c r="AD50" s="643" t="inlineStr">
        <is>
          <t>HPC-240-480-2</t>
        </is>
      </c>
      <c r="AE50" s="644" t="inlineStr">
        <is>
          <t>all_in_one</t>
        </is>
      </c>
      <c r="AF50" s="501" t="n"/>
      <c r="AG50" s="501" t="n"/>
    </row>
    <row r="51" ht="15" customHeight="1" s="254">
      <c r="A51" s="263" t="inlineStr">
        <is>
          <t>_kW240</t>
        </is>
      </c>
      <c r="B51" s="518" t="inlineStr">
        <is>
          <t>CTX-AiO-240-3-300</t>
        </is>
      </c>
      <c r="C51" s="518" t="inlineStr">
        <is>
          <t>Gen3 240kW CCS1 350A + NACS 350A; Cable Management + CC</t>
        </is>
      </c>
      <c r="D51" s="632" t="n">
        <v>88000</v>
      </c>
      <c r="E51" s="646" t="n">
        <v>240</v>
      </c>
      <c r="F51" s="634" t="n"/>
      <c r="G51" s="501" t="n"/>
      <c r="H51" s="501" t="n"/>
      <c r="I51" s="635" t="n">
        <v>2</v>
      </c>
      <c r="J51" s="636" t="inlineStr">
        <is>
          <t>connectors named in the description</t>
        </is>
      </c>
      <c r="K51" s="501" t="n"/>
      <c r="L51" s="501" t="n"/>
      <c r="M51" s="501" t="n"/>
      <c r="N51" s="501" t="n"/>
      <c r="O51" s="501" t="n"/>
      <c r="P51" s="501" t="n"/>
      <c r="Q51" s="501" t="n"/>
      <c r="R51" s="501" t="n"/>
      <c r="S51" s="501" t="n"/>
      <c r="T51" s="501" t="n"/>
      <c r="U51" s="501" t="n"/>
      <c r="V51" s="501" t="n"/>
      <c r="W51" s="501" t="n"/>
      <c r="X51" s="501" t="n"/>
      <c r="Y51" s="501" t="n"/>
      <c r="Z51" s="501" t="n"/>
      <c r="AA51" s="501" t="n"/>
      <c r="AB51" s="501" t="n"/>
      <c r="AC51" s="501" t="n"/>
      <c r="AD51" s="643" t="inlineStr">
        <is>
          <t>CTX-AiO-240-2-300</t>
        </is>
      </c>
      <c r="AE51" s="644" t="inlineStr">
        <is>
          <t>all_in_one</t>
        </is>
      </c>
      <c r="AF51" s="501" t="n"/>
      <c r="AG51" s="501" t="n"/>
    </row>
    <row r="52" ht="15" customHeight="1" s="254">
      <c r="A52" s="263" t="inlineStr">
        <is>
          <t>_kW240</t>
        </is>
      </c>
      <c r="B52" s="518" t="inlineStr">
        <is>
          <t>CTX-AiO-240-4-300</t>
        </is>
      </c>
      <c r="C52" s="518" t="inlineStr">
        <is>
          <t>Gen3 240kW NACS 350A + NACS 350A; Cable Management + CC</t>
        </is>
      </c>
      <c r="D52" s="632" t="n">
        <v>88000</v>
      </c>
      <c r="E52" s="646" t="n">
        <v>240</v>
      </c>
      <c r="F52" s="634" t="n"/>
      <c r="G52" s="501" t="n"/>
      <c r="H52" s="501" t="n"/>
      <c r="I52" s="635" t="n">
        <v>2</v>
      </c>
      <c r="J52" s="636" t="inlineStr">
        <is>
          <t>connectors named in the description</t>
        </is>
      </c>
      <c r="K52" s="501" t="n"/>
      <c r="L52" s="501" t="n"/>
      <c r="M52" s="501" t="n"/>
      <c r="N52" s="501" t="n"/>
      <c r="O52" s="501" t="n"/>
      <c r="P52" s="501" t="n"/>
      <c r="Q52" s="501" t="n"/>
      <c r="R52" s="501" t="n"/>
      <c r="S52" s="501" t="n"/>
      <c r="T52" s="501" t="n"/>
      <c r="U52" s="501" t="n"/>
      <c r="V52" s="501" t="n"/>
      <c r="W52" s="501" t="n"/>
      <c r="X52" s="501" t="n"/>
      <c r="Y52" s="501" t="n"/>
      <c r="Z52" s="501" t="n"/>
      <c r="AA52" s="501" t="n"/>
      <c r="AB52" s="501" t="n"/>
      <c r="AC52" s="501" t="n"/>
      <c r="AD52" s="643" t="inlineStr">
        <is>
          <t>CTX-AiO-240-3-300</t>
        </is>
      </c>
      <c r="AE52" s="644" t="inlineStr">
        <is>
          <t>all_in_one</t>
        </is>
      </c>
      <c r="AF52" s="501" t="n"/>
      <c r="AG52" s="501" t="n"/>
    </row>
    <row r="53" ht="15" customHeight="1" s="254">
      <c r="A53" s="263" t="inlineStr">
        <is>
          <t>_kW240</t>
        </is>
      </c>
      <c r="B53" s="518" t="inlineStr">
        <is>
          <t>CTX-AiO-240-5-300</t>
        </is>
      </c>
      <c r="C53" s="518" t="inlineStr">
        <is>
          <t>Gen3 240kW Single CCS1 350A; Cable Management + CC</t>
        </is>
      </c>
      <c r="D53" s="632" t="n">
        <v>88000</v>
      </c>
      <c r="E53" s="646" t="n">
        <v>240</v>
      </c>
      <c r="F53" s="634" t="n"/>
      <c r="G53" s="501" t="n"/>
      <c r="H53" s="501" t="n"/>
      <c r="I53" s="635" t="n">
        <v>1</v>
      </c>
      <c r="J53" s="636" t="inlineStr">
        <is>
          <t>description says Single</t>
        </is>
      </c>
      <c r="K53" s="501" t="n"/>
      <c r="L53" s="501" t="n"/>
      <c r="M53" s="501" t="n"/>
      <c r="N53" s="501" t="n"/>
      <c r="O53" s="501" t="n"/>
      <c r="P53" s="501" t="n"/>
      <c r="Q53" s="501" t="n"/>
      <c r="R53" s="501" t="n"/>
      <c r="S53" s="501" t="n"/>
      <c r="T53" s="501" t="n"/>
      <c r="U53" s="501" t="n"/>
      <c r="V53" s="501" t="n"/>
      <c r="W53" s="501" t="n"/>
      <c r="X53" s="501" t="n"/>
      <c r="Y53" s="501" t="n"/>
      <c r="Z53" s="501" t="n"/>
      <c r="AA53" s="501" t="n"/>
      <c r="AB53" s="501" t="n"/>
      <c r="AC53" s="501" t="n"/>
      <c r="AD53" s="643" t="inlineStr">
        <is>
          <t>CTX-AiO-240-4-300</t>
        </is>
      </c>
      <c r="AE53" s="644" t="inlineStr">
        <is>
          <t>all_in_one</t>
        </is>
      </c>
      <c r="AF53" s="501" t="n"/>
      <c r="AG53" s="501" t="n"/>
    </row>
    <row r="54" ht="43.5" customHeight="1" s="254">
      <c r="A54" s="263" t="inlineStr">
        <is>
          <t>_kW360</t>
        </is>
      </c>
      <c r="B54" s="518" t="inlineStr">
        <is>
          <t>TP5-360-480-1-300</t>
        </is>
      </c>
      <c r="C54" s="514" t="inlineStr">
        <is>
          <t xml:space="preserve">360kW DCFC All In One Charger - 1000VDC, Cables: 350A CCS1 &amp; NACS ;  Can charge 2 cars simultaneously with 180kW each ; 4G Modem </t>
        </is>
      </c>
      <c r="D54" s="632" t="n">
        <v>99000</v>
      </c>
      <c r="E54" s="646" t="n">
        <v>360</v>
      </c>
      <c r="F54" s="634" t="n"/>
      <c r="G54" s="501" t="n"/>
      <c r="H54" s="501" t="n"/>
      <c r="I54" s="635" t="n">
        <v>2</v>
      </c>
      <c r="J54" s="636" t="inlineStr">
        <is>
          <t>manual — description does not state the count</t>
        </is>
      </c>
      <c r="K54" s="501" t="n"/>
      <c r="L54" s="501" t="n"/>
      <c r="M54" s="501" t="n"/>
      <c r="N54" s="501" t="n"/>
      <c r="O54" s="501" t="n"/>
      <c r="P54" s="501" t="n"/>
      <c r="Q54" s="501" t="n"/>
      <c r="R54" s="501" t="n"/>
      <c r="S54" s="501" t="n"/>
      <c r="T54" s="501" t="n"/>
      <c r="U54" s="501" t="n"/>
      <c r="V54" s="501" t="n"/>
      <c r="W54" s="501" t="n"/>
      <c r="X54" s="501" t="n"/>
      <c r="Y54" s="501" t="n"/>
      <c r="Z54" s="501" t="n"/>
      <c r="AA54" s="501" t="n"/>
      <c r="AB54" s="501" t="n"/>
      <c r="AC54" s="501" t="n"/>
      <c r="AD54" s="643" t="inlineStr">
        <is>
          <t>CTX-AiO-240-5-300</t>
        </is>
      </c>
      <c r="AE54" s="644" t="inlineStr">
        <is>
          <t>all_in_one</t>
        </is>
      </c>
      <c r="AF54" s="501" t="n"/>
      <c r="AG54" s="501" t="n"/>
    </row>
    <row r="55" ht="43.5" customHeight="1" s="254">
      <c r="A55" s="263" t="inlineStr">
        <is>
          <t>_kW360</t>
        </is>
      </c>
      <c r="B55" s="518" t="inlineStr">
        <is>
          <t>TP5-360-480-2-300</t>
        </is>
      </c>
      <c r="C55" s="514" t="inlineStr">
        <is>
          <t xml:space="preserve">360kW DCFC All In One Charger - 350A Cable / 1000VDC Dual CCS1 ;  Can charge 2 cars simultaneously with 180kW each ; 4G Modem </t>
        </is>
      </c>
      <c r="D55" s="632" t="n">
        <v>99000</v>
      </c>
      <c r="E55" s="646" t="n">
        <v>360</v>
      </c>
      <c r="F55" s="634" t="n"/>
      <c r="G55" s="501" t="n"/>
      <c r="H55" s="501" t="n"/>
      <c r="I55" s="635" t="n">
        <v>2</v>
      </c>
      <c r="J55" s="636" t="inlineStr">
        <is>
          <t>description says Dual</t>
        </is>
      </c>
      <c r="K55" s="501" t="n"/>
      <c r="L55" s="501" t="n"/>
      <c r="M55" s="501" t="n"/>
      <c r="N55" s="501" t="n"/>
      <c r="O55" s="501" t="n"/>
      <c r="P55" s="501" t="n"/>
      <c r="Q55" s="501" t="n"/>
      <c r="R55" s="501" t="n"/>
      <c r="S55" s="501" t="n"/>
      <c r="T55" s="501" t="n"/>
      <c r="U55" s="501" t="n"/>
      <c r="V55" s="501" t="n"/>
      <c r="W55" s="501" t="n"/>
      <c r="X55" s="501" t="n"/>
      <c r="Y55" s="501" t="n"/>
      <c r="Z55" s="501" t="n"/>
      <c r="AA55" s="501" t="n"/>
      <c r="AB55" s="501" t="n"/>
      <c r="AC55" s="501" t="n"/>
      <c r="AD55" s="643" t="inlineStr">
        <is>
          <t>TP5-360-480-1-300</t>
        </is>
      </c>
      <c r="AE55" s="644" t="inlineStr">
        <is>
          <t>all_in_one</t>
        </is>
      </c>
      <c r="AF55" s="501" t="n"/>
      <c r="AG55" s="501" t="n"/>
    </row>
    <row r="56" ht="43.5" customHeight="1" s="254">
      <c r="A56" s="263" t="inlineStr">
        <is>
          <t>_kW360</t>
        </is>
      </c>
      <c r="B56" s="518" t="inlineStr">
        <is>
          <t>TP5-360-480-3-300</t>
        </is>
      </c>
      <c r="C56" s="514" t="inlineStr">
        <is>
          <t xml:space="preserve">360kW DCFC All In One Charger - 1000VDC, Cables: 350A CCS1 &amp; 400A NACS ;  Can charge 2 cars simultaneously with 180kW each ; 4G Modem </t>
        </is>
      </c>
      <c r="D56" s="632" t="n">
        <v>99000</v>
      </c>
      <c r="E56" s="646" t="n">
        <v>360</v>
      </c>
      <c r="F56" s="634" t="n"/>
      <c r="G56" s="501" t="n"/>
      <c r="H56" s="501" t="n"/>
      <c r="I56" s="635" t="n">
        <v>2</v>
      </c>
      <c r="J56" s="636" t="inlineStr">
        <is>
          <t>manual — description does not state the count</t>
        </is>
      </c>
      <c r="K56" s="501" t="n"/>
      <c r="L56" s="501" t="n"/>
      <c r="M56" s="501" t="n"/>
      <c r="N56" s="501" t="n"/>
      <c r="O56" s="501" t="n"/>
      <c r="P56" s="501" t="n"/>
      <c r="Q56" s="501" t="n"/>
      <c r="R56" s="501" t="n"/>
      <c r="S56" s="501" t="n"/>
      <c r="T56" s="501" t="n"/>
      <c r="U56" s="501" t="n"/>
      <c r="V56" s="501" t="n"/>
      <c r="W56" s="501" t="n"/>
      <c r="X56" s="501" t="n"/>
      <c r="Y56" s="501" t="n"/>
      <c r="Z56" s="501" t="n"/>
      <c r="AA56" s="501" t="n"/>
      <c r="AB56" s="501" t="n"/>
      <c r="AC56" s="501" t="n"/>
      <c r="AD56" s="643" t="inlineStr">
        <is>
          <t>TP5-360-480-2-300</t>
        </is>
      </c>
      <c r="AE56" s="644" t="inlineStr">
        <is>
          <t>all_in_one</t>
        </is>
      </c>
      <c r="AF56" s="501" t="n"/>
      <c r="AG56" s="501" t="n"/>
    </row>
    <row r="57" ht="43.5" customHeight="1" s="254">
      <c r="A57" s="263" t="inlineStr">
        <is>
          <t>_kW360</t>
        </is>
      </c>
      <c r="B57" s="518" t="inlineStr">
        <is>
          <t>TP5-360-480-4-300</t>
        </is>
      </c>
      <c r="C57" s="514" t="inlineStr">
        <is>
          <t xml:space="preserve">360kW DCFC All In One Charger - 1000VDC, Cables: 400A NACS / 400A NACS ;  Can charge 2 cars simultaneously with 180kW each ; 4G Modem </t>
        </is>
      </c>
      <c r="D57" s="632" t="n">
        <v>99000</v>
      </c>
      <c r="E57" s="646" t="n">
        <v>360</v>
      </c>
      <c r="F57" s="634" t="n"/>
      <c r="G57" s="501" t="n"/>
      <c r="H57" s="501" t="n"/>
      <c r="I57" s="635" t="n">
        <v>2</v>
      </c>
      <c r="J57" s="636" t="inlineStr">
        <is>
          <t>manual — description does not state the count</t>
        </is>
      </c>
      <c r="K57" s="501" t="n"/>
      <c r="L57" s="501" t="n"/>
      <c r="M57" s="501" t="n"/>
      <c r="N57" s="501" t="n"/>
      <c r="O57" s="501" t="n"/>
      <c r="P57" s="501" t="n"/>
      <c r="Q57" s="501" t="n"/>
      <c r="R57" s="501" t="n"/>
      <c r="S57" s="501" t="n"/>
      <c r="T57" s="501" t="n"/>
      <c r="U57" s="501" t="n"/>
      <c r="V57" s="501" t="n"/>
      <c r="W57" s="501" t="n"/>
      <c r="X57" s="501" t="n"/>
      <c r="Y57" s="501" t="n"/>
      <c r="Z57" s="501" t="n"/>
      <c r="AA57" s="501" t="n"/>
      <c r="AB57" s="501" t="n"/>
      <c r="AC57" s="501" t="n"/>
      <c r="AD57" s="643" t="inlineStr">
        <is>
          <t>TP5-360-480-3-300</t>
        </is>
      </c>
      <c r="AE57" s="644" t="inlineStr">
        <is>
          <t>all_in_one</t>
        </is>
      </c>
      <c r="AF57" s="501" t="n"/>
      <c r="AG57" s="501" t="n"/>
    </row>
    <row r="58" ht="55.5" customHeight="1" s="254">
      <c r="A58" s="263" t="inlineStr">
        <is>
          <t>_kW360</t>
        </is>
      </c>
      <c r="B58" s="518" t="inlineStr">
        <is>
          <t>HPC-360-480-1</t>
        </is>
      </c>
      <c r="C58" s="514" t="inlineStr">
        <is>
          <t>360kW HPC All In One Charger - 500 Amps / 1000VDC with Liquid Cooled Connector for CCS1 &amp; NACS(~14ft) ; Can deliver 500A on CCS coonnector. Can charge 2 cars simultane</t>
        </is>
      </c>
      <c r="D58" s="632" t="n">
        <v>110000</v>
      </c>
      <c r="E58" s="646" t="n">
        <v>360</v>
      </c>
      <c r="F58" s="634" t="n"/>
      <c r="G58" s="501" t="n"/>
      <c r="H58" s="501" t="n"/>
      <c r="I58" s="635" t="n">
        <v>2</v>
      </c>
      <c r="J58" s="636" t="inlineStr">
        <is>
          <t>connectors named in the description</t>
        </is>
      </c>
      <c r="K58" s="501" t="n"/>
      <c r="L58" s="501" t="n"/>
      <c r="M58" s="501" t="n"/>
      <c r="N58" s="501" t="n"/>
      <c r="O58" s="501" t="n"/>
      <c r="P58" s="501" t="n"/>
      <c r="Q58" s="501" t="n"/>
      <c r="R58" s="501" t="n"/>
      <c r="S58" s="501" t="n"/>
      <c r="T58" s="501" t="n"/>
      <c r="U58" s="501" t="n"/>
      <c r="V58" s="501" t="n"/>
      <c r="W58" s="501" t="n"/>
      <c r="X58" s="501" t="n"/>
      <c r="Y58" s="501" t="n"/>
      <c r="Z58" s="501" t="n"/>
      <c r="AA58" s="501" t="n"/>
      <c r="AB58" s="501" t="n"/>
      <c r="AC58" s="501" t="n"/>
      <c r="AD58" s="643" t="inlineStr">
        <is>
          <t>TP5-360-480-4-300</t>
        </is>
      </c>
      <c r="AE58" s="644" t="inlineStr">
        <is>
          <t>all_in_one</t>
        </is>
      </c>
      <c r="AF58" s="501" t="n"/>
      <c r="AG58" s="501" t="n"/>
    </row>
    <row r="59" ht="55.5" customHeight="1" s="254">
      <c r="A59" s="263" t="inlineStr">
        <is>
          <t>_kW360</t>
        </is>
      </c>
      <c r="B59" s="518" t="inlineStr">
        <is>
          <t>HPC-360-480-2</t>
        </is>
      </c>
      <c r="C59" s="514" t="inlineStr">
        <is>
          <t>360kW HPC All In One Charger - 500 Amps / 1000VDC with Liquid Cooled Connector for Dual CCS1 ; Can deliver 500A on one CCS coonnector and 400A on each connector if used s</t>
        </is>
      </c>
      <c r="D59" s="632" t="n">
        <v>110000</v>
      </c>
      <c r="E59" s="646" t="n">
        <v>360</v>
      </c>
      <c r="F59" s="634" t="n"/>
      <c r="G59" s="501" t="n"/>
      <c r="H59" s="501" t="n"/>
      <c r="I59" s="635" t="n">
        <v>2</v>
      </c>
      <c r="J59" s="636" t="inlineStr">
        <is>
          <t>description says Dual</t>
        </is>
      </c>
      <c r="K59" s="501" t="n"/>
      <c r="L59" s="501" t="n"/>
      <c r="M59" s="501" t="n"/>
      <c r="N59" s="501" t="n"/>
      <c r="O59" s="501" t="n"/>
      <c r="P59" s="501" t="n"/>
      <c r="Q59" s="501" t="n"/>
      <c r="R59" s="501" t="n"/>
      <c r="S59" s="501" t="n"/>
      <c r="T59" s="501" t="n"/>
      <c r="U59" s="501" t="n"/>
      <c r="V59" s="501" t="n"/>
      <c r="W59" s="501" t="n"/>
      <c r="X59" s="501" t="n"/>
      <c r="Y59" s="501" t="n"/>
      <c r="Z59" s="501" t="n"/>
      <c r="AA59" s="501" t="n"/>
      <c r="AB59" s="501" t="n"/>
      <c r="AC59" s="501" t="n"/>
      <c r="AD59" s="643" t="inlineStr">
        <is>
          <t>HPC-360-480-1</t>
        </is>
      </c>
      <c r="AE59" s="644" t="inlineStr">
        <is>
          <t>all_in_one</t>
        </is>
      </c>
      <c r="AF59" s="501" t="n"/>
      <c r="AG59" s="501" t="n"/>
    </row>
    <row r="60" ht="55.5" customHeight="1" s="254">
      <c r="A60" s="263" t="inlineStr">
        <is>
          <t>_kW360</t>
        </is>
      </c>
      <c r="B60" s="518" t="inlineStr">
        <is>
          <t>HPC-360-480-3</t>
        </is>
      </c>
      <c r="C60" s="514" t="inlineStr">
        <is>
          <t xml:space="preserve">360kW HPC All In One Charger - 500 Amps / 1000VDC with Liquid Cooled Connector for CCS1 &amp; NACS ; Can deliver 500A on CCS coonnector. Can charge 2 cars simultaneously; 4G </t>
        </is>
      </c>
      <c r="D60" s="632" t="n">
        <v>110000</v>
      </c>
      <c r="E60" s="646" t="n">
        <v>360</v>
      </c>
      <c r="F60" s="634" t="n"/>
      <c r="G60" s="501" t="n"/>
      <c r="H60" s="501" t="n"/>
      <c r="I60" s="635" t="n">
        <v>2</v>
      </c>
      <c r="J60" s="636" t="inlineStr">
        <is>
          <t>connectors named in the description</t>
        </is>
      </c>
      <c r="K60" s="501" t="n"/>
      <c r="L60" s="501" t="n"/>
      <c r="M60" s="501" t="n"/>
      <c r="N60" s="501" t="n"/>
      <c r="O60" s="501" t="n"/>
      <c r="P60" s="501" t="n"/>
      <c r="Q60" s="501" t="n"/>
      <c r="R60" s="501" t="n"/>
      <c r="S60" s="501" t="n"/>
      <c r="T60" s="501" t="n"/>
      <c r="U60" s="501" t="n"/>
      <c r="V60" s="501" t="n"/>
      <c r="W60" s="501" t="n"/>
      <c r="X60" s="501" t="n"/>
      <c r="Y60" s="501" t="n"/>
      <c r="Z60" s="501" t="n"/>
      <c r="AA60" s="501" t="n"/>
      <c r="AB60" s="501" t="n"/>
      <c r="AC60" s="501" t="n"/>
      <c r="AD60" s="643" t="inlineStr">
        <is>
          <t>HPC-360-480-2</t>
        </is>
      </c>
      <c r="AE60" s="644" t="inlineStr">
        <is>
          <t>all_in_one</t>
        </is>
      </c>
      <c r="AF60" s="501" t="n"/>
      <c r="AG60" s="501" t="n"/>
    </row>
    <row r="61" ht="55.5" customHeight="1" s="254">
      <c r="A61" s="263" t="inlineStr">
        <is>
          <t>_kW360</t>
        </is>
      </c>
      <c r="B61" s="518" t="inlineStr">
        <is>
          <t>HPC-360-480-4</t>
        </is>
      </c>
      <c r="C61" s="514" t="inlineStr">
        <is>
          <t xml:space="preserve">360kW HPC All In One Charger - 500 Amps / 1000VDC with Liquid Cooled Connector for NACS / NACS ; Can deliver 500A on CCS coonnector. Can charge 2 cars simultaneously; 4G </t>
        </is>
      </c>
      <c r="D61" s="632" t="n">
        <v>110000</v>
      </c>
      <c r="E61" s="646" t="n">
        <v>360</v>
      </c>
      <c r="F61" s="634" t="n"/>
      <c r="G61" s="501" t="n"/>
      <c r="H61" s="501" t="n"/>
      <c r="I61" s="635" t="n">
        <v>2</v>
      </c>
      <c r="J61" s="636" t="inlineStr">
        <is>
          <t>connectors named in the description</t>
        </is>
      </c>
      <c r="K61" s="501" t="n"/>
      <c r="L61" s="501" t="n"/>
      <c r="M61" s="501" t="n"/>
      <c r="N61" s="501" t="n"/>
      <c r="O61" s="501" t="n"/>
      <c r="P61" s="501" t="n"/>
      <c r="Q61" s="501" t="n"/>
      <c r="R61" s="501" t="n"/>
      <c r="S61" s="501" t="n"/>
      <c r="T61" s="501" t="n"/>
      <c r="U61" s="501" t="n"/>
      <c r="V61" s="501" t="n"/>
      <c r="W61" s="501" t="n"/>
      <c r="X61" s="501" t="n"/>
      <c r="Y61" s="501" t="n"/>
      <c r="Z61" s="501" t="n"/>
      <c r="AA61" s="501" t="n"/>
      <c r="AB61" s="501" t="n"/>
      <c r="AC61" s="501" t="n"/>
      <c r="AD61" s="643" t="inlineStr">
        <is>
          <t>HPC-360-480-3</t>
        </is>
      </c>
      <c r="AE61" s="644" t="inlineStr">
        <is>
          <t>all_in_one</t>
        </is>
      </c>
      <c r="AF61" s="501" t="n"/>
      <c r="AG61" s="501" t="n"/>
    </row>
    <row r="62" ht="15" customHeight="1" s="254">
      <c r="A62" s="263" t="inlineStr">
        <is>
          <t>_Distributed_System</t>
        </is>
      </c>
      <c r="B62" s="518" t="inlineStr">
        <is>
          <t>CTX-DSPB-360</t>
        </is>
      </c>
      <c r="C62" s="518" t="inlineStr">
        <is>
          <t>360kW Tower</t>
        </is>
      </c>
      <c r="D62" s="632" t="n">
        <v>81400</v>
      </c>
      <c r="E62" s="646" t="n">
        <v>360</v>
      </c>
      <c r="F62" s="634" t="n"/>
      <c r="G62" s="501" t="n"/>
      <c r="H62" s="501" t="n"/>
      <c r="I62" s="501" t="n"/>
      <c r="J62" s="636" t="inlineStr">
        <is>
          <t>distributed system — the architecture table holds this</t>
        </is>
      </c>
      <c r="K62" s="501" t="n"/>
      <c r="L62" s="501" t="n"/>
      <c r="M62" s="501" t="n"/>
      <c r="N62" s="501" t="n"/>
      <c r="O62" s="501" t="n"/>
      <c r="P62" s="501" t="n"/>
      <c r="Q62" s="501" t="n"/>
      <c r="R62" s="501" t="n"/>
      <c r="S62" s="501" t="n"/>
      <c r="T62" s="501" t="n"/>
      <c r="U62" s="501" t="n"/>
      <c r="V62" s="501" t="n"/>
      <c r="W62" s="501" t="n"/>
      <c r="X62" s="501" t="n"/>
      <c r="Y62" s="501" t="n"/>
      <c r="Z62" s="501" t="n"/>
      <c r="AA62" s="501" t="n"/>
      <c r="AB62" s="501" t="n"/>
      <c r="AC62" s="501" t="n"/>
      <c r="AD62" s="643" t="inlineStr">
        <is>
          <t>HPC-360-480-4</t>
        </is>
      </c>
      <c r="AE62" s="644" t="inlineStr">
        <is>
          <t>all_in_one</t>
        </is>
      </c>
      <c r="AF62" s="501" t="n"/>
      <c r="AG62" s="501" t="n"/>
    </row>
    <row r="63" ht="15" customHeight="1" s="254">
      <c r="A63" s="263" t="inlineStr">
        <is>
          <t>_Distributed_System</t>
        </is>
      </c>
      <c r="B63" s="518" t="inlineStr">
        <is>
          <t>CTX-DSPB-480</t>
        </is>
      </c>
      <c r="C63" s="518" t="inlineStr">
        <is>
          <t>480kW Tower</t>
        </is>
      </c>
      <c r="D63" s="632" t="n">
        <v>90200</v>
      </c>
      <c r="E63" s="646" t="n">
        <v>480</v>
      </c>
      <c r="F63" s="634" t="n"/>
      <c r="G63" s="501" t="n"/>
      <c r="H63" s="501" t="n"/>
      <c r="I63" s="501" t="n"/>
      <c r="J63" s="636" t="inlineStr">
        <is>
          <t>distributed system — the architecture table holds this</t>
        </is>
      </c>
      <c r="K63" s="501" t="n"/>
      <c r="L63" s="501" t="n"/>
      <c r="M63" s="501" t="n"/>
      <c r="N63" s="501" t="n"/>
      <c r="O63" s="501" t="n"/>
      <c r="P63" s="501" t="n"/>
      <c r="Q63" s="501" t="n"/>
      <c r="R63" s="501" t="n"/>
      <c r="S63" s="501" t="n"/>
      <c r="T63" s="501" t="n"/>
      <c r="U63" s="501" t="n"/>
      <c r="V63" s="501" t="n"/>
      <c r="W63" s="501" t="n"/>
      <c r="X63" s="501" t="n"/>
      <c r="Y63" s="501" t="n"/>
      <c r="Z63" s="501" t="n"/>
      <c r="AA63" s="501" t="n"/>
      <c r="AB63" s="501" t="n"/>
      <c r="AC63" s="501" t="n"/>
      <c r="AD63" s="643" t="inlineStr">
        <is>
          <t>CTX-DSPB-360</t>
        </is>
      </c>
      <c r="AE63" s="644" t="inlineStr">
        <is>
          <t>power_cabinet</t>
        </is>
      </c>
      <c r="AF63" s="501" t="n"/>
      <c r="AG63" s="501" t="n"/>
    </row>
    <row r="64" ht="15" customHeight="1" s="254">
      <c r="A64" s="263" t="inlineStr">
        <is>
          <t>_Distributed_System</t>
        </is>
      </c>
      <c r="B64" s="518" t="inlineStr">
        <is>
          <t>CTX-DSPB-1280</t>
        </is>
      </c>
      <c r="C64" s="518" t="inlineStr">
        <is>
          <t>1,280kW Tower</t>
        </is>
      </c>
      <c r="D64" s="632" t="n">
        <v>225000</v>
      </c>
      <c r="E64" s="646" t="n">
        <v>1280</v>
      </c>
      <c r="F64" s="634" t="n"/>
      <c r="G64" s="501" t="n"/>
      <c r="H64" s="501" t="n"/>
      <c r="I64" s="501" t="n"/>
      <c r="J64" s="636" t="inlineStr">
        <is>
          <t>distributed system — the architecture table holds this</t>
        </is>
      </c>
      <c r="K64" s="501" t="n"/>
      <c r="L64" s="501" t="n"/>
      <c r="M64" s="501" t="n"/>
      <c r="N64" s="501" t="n"/>
      <c r="O64" s="501" t="n"/>
      <c r="P64" s="501" t="n"/>
      <c r="Q64" s="501" t="n"/>
      <c r="R64" s="501" t="n"/>
      <c r="S64" s="501" t="n"/>
      <c r="T64" s="501" t="n"/>
      <c r="U64" s="501" t="n"/>
      <c r="V64" s="501" t="n"/>
      <c r="W64" s="501" t="n"/>
      <c r="X64" s="501" t="n"/>
      <c r="Y64" s="501" t="n"/>
      <c r="Z64" s="501" t="n"/>
      <c r="AA64" s="501" t="n"/>
      <c r="AB64" s="501" t="n"/>
      <c r="AC64" s="501" t="n"/>
      <c r="AD64" s="643" t="inlineStr">
        <is>
          <t>CTX-DSPB-480</t>
        </is>
      </c>
      <c r="AE64" s="644" t="inlineStr">
        <is>
          <t>power_cabinet</t>
        </is>
      </c>
      <c r="AF64" s="501" t="n"/>
      <c r="AG64" s="501" t="n"/>
    </row>
    <row r="65" ht="15" customHeight="1" s="254">
      <c r="A65" s="263" t="inlineStr">
        <is>
          <t>_Distributed_System</t>
        </is>
      </c>
      <c r="B65" s="518" t="inlineStr">
        <is>
          <t>CTX-DST-2-300</t>
        </is>
      </c>
      <c r="C65" s="518" t="inlineStr">
        <is>
          <t>Dispenser 300/300</t>
        </is>
      </c>
      <c r="D65" s="632" t="n">
        <v>35200</v>
      </c>
      <c r="E65" s="633" t="n"/>
      <c r="F65" s="634" t="n"/>
      <c r="G65" s="501" t="n"/>
      <c r="H65" s="501" t="n"/>
      <c r="I65" s="501" t="n"/>
      <c r="J65" s="636" t="inlineStr">
        <is>
          <t>distributed system — the architecture table holds this</t>
        </is>
      </c>
      <c r="K65" s="501" t="n"/>
      <c r="L65" s="501" t="n"/>
      <c r="M65" s="501" t="n"/>
      <c r="N65" s="501" t="n"/>
      <c r="O65" s="501" t="n"/>
      <c r="P65" s="501" t="n"/>
      <c r="Q65" s="501" t="n"/>
      <c r="R65" s="501" t="n"/>
      <c r="S65" s="501" t="n"/>
      <c r="T65" s="501" t="n"/>
      <c r="U65" s="501" t="n"/>
      <c r="V65" s="501" t="n"/>
      <c r="W65" s="501" t="n"/>
      <c r="X65" s="501" t="n"/>
      <c r="Y65" s="501" t="n"/>
      <c r="Z65" s="501" t="n"/>
      <c r="AA65" s="501" t="n"/>
      <c r="AB65" s="501" t="n"/>
      <c r="AC65" s="501" t="n"/>
      <c r="AD65" s="643" t="inlineStr">
        <is>
          <t>CTX-DSPB-1280</t>
        </is>
      </c>
      <c r="AE65" s="644" t="inlineStr">
        <is>
          <t>power_cabinet</t>
        </is>
      </c>
      <c r="AF65" s="501" t="n"/>
      <c r="AG65" s="501" t="n"/>
    </row>
    <row r="66" ht="15" customHeight="1" s="254">
      <c r="A66" s="263" t="inlineStr">
        <is>
          <t>_Distributed_System</t>
        </is>
      </c>
      <c r="B66" s="518" t="inlineStr">
        <is>
          <t>CTX-DST-HPC-2-500/300</t>
        </is>
      </c>
      <c r="C66" s="518" t="inlineStr">
        <is>
          <t>Dispenser 500/300</t>
        </is>
      </c>
      <c r="D66" s="632" t="n">
        <v>49500</v>
      </c>
      <c r="E66" s="633" t="n"/>
      <c r="F66" s="634" t="n"/>
      <c r="G66" s="501" t="n"/>
      <c r="H66" s="501" t="n"/>
      <c r="I66" s="501" t="n"/>
      <c r="J66" s="636" t="inlineStr">
        <is>
          <t>distributed system — the architecture table holds this</t>
        </is>
      </c>
      <c r="K66" s="501" t="n"/>
      <c r="L66" s="501" t="n"/>
      <c r="M66" s="501" t="n"/>
      <c r="N66" s="501" t="n"/>
      <c r="O66" s="501" t="n"/>
      <c r="P66" s="501" t="n"/>
      <c r="Q66" s="501" t="n"/>
      <c r="R66" s="501" t="n"/>
      <c r="S66" s="501" t="n"/>
      <c r="T66" s="501" t="n"/>
      <c r="U66" s="501" t="n"/>
      <c r="V66" s="501" t="n"/>
      <c r="W66" s="501" t="n"/>
      <c r="X66" s="501" t="n"/>
      <c r="Y66" s="501" t="n"/>
      <c r="Z66" s="501" t="n"/>
      <c r="AA66" s="501" t="n"/>
      <c r="AB66" s="501" t="n"/>
      <c r="AC66" s="501" t="n"/>
      <c r="AD66" s="643" t="inlineStr">
        <is>
          <t>CTX-DST-2-300</t>
        </is>
      </c>
      <c r="AE66" s="644" t="inlineStr">
        <is>
          <t>dispenser</t>
        </is>
      </c>
      <c r="AF66" s="501" t="n"/>
      <c r="AG66" s="501" t="n"/>
    </row>
    <row r="67" ht="43.5" customHeight="1" s="254">
      <c r="A67" s="263" t="inlineStr">
        <is>
          <t>_Buy_America</t>
        </is>
      </c>
      <c r="B67" s="518" t="inlineStr">
        <is>
          <t>TP5-60-480-2-BAA</t>
        </is>
      </c>
      <c r="C67" s="514" t="inlineStr">
        <is>
          <t xml:space="preserve">Buy America NEVI Compliant, Assembled in CA, USA 60kW DCFC - 140 Amps / 1000VDC with CCS1 &amp; CCS1(~16ft) ; 4G Modem </t>
        </is>
      </c>
      <c r="D67" s="632" t="n">
        <v>68200</v>
      </c>
      <c r="E67" s="633" t="n"/>
      <c r="F67" s="634" t="n"/>
      <c r="G67" s="501" t="n"/>
      <c r="H67" s="501" t="n"/>
      <c r="I67" s="635" t="n">
        <v>2</v>
      </c>
      <c r="J67" s="636" t="inlineStr">
        <is>
          <t>connectors named in the description</t>
        </is>
      </c>
      <c r="K67" s="501" t="n"/>
      <c r="L67" s="501" t="n"/>
      <c r="M67" s="501" t="n"/>
      <c r="N67" s="501" t="n"/>
      <c r="O67" s="501" t="n"/>
      <c r="P67" s="501" t="n"/>
      <c r="Q67" s="501" t="n"/>
      <c r="R67" s="501" t="n"/>
      <c r="S67" s="501" t="n"/>
      <c r="T67" s="501" t="n"/>
      <c r="U67" s="501" t="n"/>
      <c r="V67" s="501" t="n"/>
      <c r="W67" s="501" t="n"/>
      <c r="X67" s="501" t="n"/>
      <c r="Y67" s="501" t="n"/>
      <c r="Z67" s="501" t="n"/>
      <c r="AA67" s="501" t="n"/>
      <c r="AB67" s="501" t="n"/>
      <c r="AC67" s="501" t="n"/>
      <c r="AD67" s="643" t="inlineStr">
        <is>
          <t>CTX-DST-HPC-2-500/300</t>
        </is>
      </c>
      <c r="AE67" s="644" t="inlineStr">
        <is>
          <t>dispenser</t>
        </is>
      </c>
      <c r="AF67" s="501" t="n"/>
      <c r="AG67" s="501" t="n"/>
    </row>
    <row r="68" ht="43.6" customHeight="1" s="254">
      <c r="A68" s="263" t="inlineStr">
        <is>
          <t>_Buy_America</t>
        </is>
      </c>
      <c r="B68" s="518" t="inlineStr">
        <is>
          <t>TP5-60-480-3-BAA</t>
        </is>
      </c>
      <c r="C68" s="514" t="inlineStr">
        <is>
          <t xml:space="preserve">Buy America NEVI Compliant, Assembled in CA, USA 60kW DCFC - 140 Amps / 1000VDC with CCS1 &amp; NACS ; 4G Modem </t>
        </is>
      </c>
      <c r="D68" s="632" t="n">
        <v>68200</v>
      </c>
      <c r="E68" s="633" t="n"/>
      <c r="F68" s="634" t="n"/>
      <c r="G68" s="501" t="n"/>
      <c r="H68" s="501" t="n"/>
      <c r="I68" s="635" t="n">
        <v>2</v>
      </c>
      <c r="J68" s="636" t="inlineStr">
        <is>
          <t>connectors named in the description</t>
        </is>
      </c>
      <c r="K68" s="501" t="n"/>
      <c r="L68" s="501" t="n"/>
      <c r="M68" s="501" t="n"/>
      <c r="N68" s="501" t="n"/>
      <c r="O68" s="501" t="n"/>
      <c r="P68" s="501" t="n"/>
      <c r="Q68" s="501" t="n"/>
      <c r="R68" s="501" t="n"/>
      <c r="S68" s="501" t="n"/>
      <c r="T68" s="501" t="n"/>
      <c r="U68" s="501" t="n"/>
      <c r="V68" s="501" t="n"/>
      <c r="W68" s="501" t="n"/>
      <c r="X68" s="501" t="n"/>
      <c r="Y68" s="501" t="n"/>
      <c r="Z68" s="501" t="n"/>
      <c r="AA68" s="501" t="n"/>
      <c r="AB68" s="501" t="n"/>
      <c r="AC68" s="501" t="n"/>
      <c r="AD68" s="643" t="inlineStr">
        <is>
          <t>TP5-60-480-2-BAA</t>
        </is>
      </c>
      <c r="AE68" s="644" t="inlineStr">
        <is>
          <t>all_in_one</t>
        </is>
      </c>
      <c r="AF68" s="501" t="n"/>
      <c r="AG68" s="501" t="n"/>
    </row>
    <row r="69" ht="43.6" customHeight="1" s="254">
      <c r="A69" s="263" t="inlineStr">
        <is>
          <t>_Buy_America</t>
        </is>
      </c>
      <c r="B69" s="518" t="inlineStr">
        <is>
          <t>TP5-60-480-4-BAA</t>
        </is>
      </c>
      <c r="C69" s="514" t="inlineStr">
        <is>
          <t xml:space="preserve">Buy America NEVI Compliant, Assembled in CA, USA 60kW DCFC - 140 Amps / 1000VDC with NACS &amp; NACS ; 4G Modem </t>
        </is>
      </c>
      <c r="D69" s="632" t="n">
        <v>68200</v>
      </c>
      <c r="E69" s="633" t="n"/>
      <c r="F69" s="634" t="n"/>
      <c r="G69" s="501" t="n"/>
      <c r="H69" s="501" t="n"/>
      <c r="I69" s="635" t="n">
        <v>2</v>
      </c>
      <c r="J69" s="636" t="inlineStr">
        <is>
          <t>connectors named in the description</t>
        </is>
      </c>
      <c r="K69" s="501" t="n"/>
      <c r="L69" s="501" t="n"/>
      <c r="M69" s="501" t="n"/>
      <c r="N69" s="501" t="n"/>
      <c r="O69" s="501" t="n"/>
      <c r="P69" s="501" t="n"/>
      <c r="Q69" s="501" t="n"/>
      <c r="R69" s="501" t="n"/>
      <c r="S69" s="501" t="n"/>
      <c r="T69" s="501" t="n"/>
      <c r="U69" s="501" t="n"/>
      <c r="V69" s="501" t="n"/>
      <c r="W69" s="501" t="n"/>
      <c r="X69" s="501" t="n"/>
      <c r="Y69" s="501" t="n"/>
      <c r="Z69" s="501" t="n"/>
      <c r="AA69" s="501" t="n"/>
      <c r="AB69" s="501" t="n"/>
      <c r="AC69" s="501" t="n"/>
      <c r="AD69" s="643" t="inlineStr">
        <is>
          <t>TP5-60-480-3-BAA</t>
        </is>
      </c>
      <c r="AE69" s="644" t="inlineStr">
        <is>
          <t>all_in_one</t>
        </is>
      </c>
      <c r="AF69" s="501" t="n"/>
      <c r="AG69" s="501" t="n"/>
    </row>
    <row r="70" ht="55.5" customHeight="1" s="254">
      <c r="A70" s="263" t="inlineStr">
        <is>
          <t>_Buy_America</t>
        </is>
      </c>
      <c r="B70" s="518" t="inlineStr">
        <is>
          <t>TP5-120-480-2-300-BAA</t>
        </is>
      </c>
      <c r="C70" s="514" t="inlineStr">
        <is>
          <t xml:space="preserve">Buy America NEVI Compliant, Assembled in CA, USA 120kW DCFC All In One Charger - 350A Cable / 1000VDC with CCS1 &amp; CCS1(~16ft); Can charge 2 cars simultaneously with 60kW </t>
        </is>
      </c>
      <c r="D70" s="632" t="n">
        <v>75900</v>
      </c>
      <c r="E70" s="633" t="n"/>
      <c r="F70" s="634" t="n"/>
      <c r="G70" s="501" t="n"/>
      <c r="H70" s="501" t="n"/>
      <c r="I70" s="635" t="n">
        <v>2</v>
      </c>
      <c r="J70" s="636" t="inlineStr">
        <is>
          <t>connectors named in the description</t>
        </is>
      </c>
      <c r="K70" s="501" t="n"/>
      <c r="L70" s="501" t="n"/>
      <c r="M70" s="501" t="n"/>
      <c r="N70" s="501" t="n"/>
      <c r="O70" s="501" t="n"/>
      <c r="P70" s="501" t="n"/>
      <c r="Q70" s="501" t="n"/>
      <c r="R70" s="501" t="n"/>
      <c r="S70" s="501" t="n"/>
      <c r="T70" s="501" t="n"/>
      <c r="U70" s="501" t="n"/>
      <c r="V70" s="501" t="n"/>
      <c r="W70" s="501" t="n"/>
      <c r="X70" s="501" t="n"/>
      <c r="Y70" s="501" t="n"/>
      <c r="Z70" s="501" t="n"/>
      <c r="AA70" s="501" t="n"/>
      <c r="AB70" s="501" t="n"/>
      <c r="AC70" s="501" t="n"/>
      <c r="AD70" s="643" t="inlineStr">
        <is>
          <t>TP5-60-480-4-BAA</t>
        </is>
      </c>
      <c r="AE70" s="644" t="inlineStr">
        <is>
          <t>all_in_one</t>
        </is>
      </c>
      <c r="AF70" s="501" t="n"/>
      <c r="AG70" s="501" t="n"/>
    </row>
    <row r="71" ht="55.5" customHeight="1" s="254">
      <c r="A71" s="263" t="inlineStr">
        <is>
          <t>_Buy_America</t>
        </is>
      </c>
      <c r="B71" s="518" t="inlineStr">
        <is>
          <t>TP5-120-480-3-300-BAA</t>
        </is>
      </c>
      <c r="C71" s="514" t="inlineStr">
        <is>
          <t xml:space="preserve">Buy America NEVI Compliant, Assembled in CA, USA 120kW DCFC All In One Charger - 350A Cable / 1000VDC with CCS1 &amp; NACS; Can charge 2 cars simultaneously with 60kW each ; </t>
        </is>
      </c>
      <c r="D71" s="632" t="n">
        <v>75900</v>
      </c>
      <c r="E71" s="633" t="n"/>
      <c r="F71" s="634" t="n"/>
      <c r="G71" s="501" t="n"/>
      <c r="H71" s="501" t="n"/>
      <c r="I71" s="635" t="n">
        <v>2</v>
      </c>
      <c r="J71" s="636" t="inlineStr">
        <is>
          <t>connectors named in the description</t>
        </is>
      </c>
      <c r="K71" s="501" t="n"/>
      <c r="L71" s="501" t="n"/>
      <c r="M71" s="501" t="n"/>
      <c r="N71" s="501" t="n"/>
      <c r="O71" s="501" t="n"/>
      <c r="P71" s="501" t="n"/>
      <c r="Q71" s="501" t="n"/>
      <c r="R71" s="501" t="n"/>
      <c r="S71" s="501" t="n"/>
      <c r="T71" s="501" t="n"/>
      <c r="U71" s="501" t="n"/>
      <c r="V71" s="501" t="n"/>
      <c r="W71" s="501" t="n"/>
      <c r="X71" s="501" t="n"/>
      <c r="Y71" s="501" t="n"/>
      <c r="Z71" s="501" t="n"/>
      <c r="AA71" s="501" t="n"/>
      <c r="AB71" s="501" t="n"/>
      <c r="AC71" s="501" t="n"/>
      <c r="AD71" s="643" t="inlineStr">
        <is>
          <t>TP5-120-480-2-300-BAA</t>
        </is>
      </c>
      <c r="AE71" s="644" t="inlineStr">
        <is>
          <t>all_in_one</t>
        </is>
      </c>
      <c r="AF71" s="501" t="n"/>
      <c r="AG71" s="501" t="n"/>
    </row>
    <row r="72" ht="55.5" customHeight="1" s="254">
      <c r="A72" s="263" t="inlineStr">
        <is>
          <t>_Buy_America</t>
        </is>
      </c>
      <c r="B72" s="518" t="inlineStr">
        <is>
          <t>TP5-120-480-4-300-BAA</t>
        </is>
      </c>
      <c r="C72" s="514" t="inlineStr">
        <is>
          <t xml:space="preserve">Buy America NEVI Compliant, Assembled in CA, USA 120kW DCFC All In One Charger - 350A Cable / 1000VDC with NACS &amp; NACS(~16ft); Can charge 2 cars simultaneously with 60kW </t>
        </is>
      </c>
      <c r="D72" s="632" t="n">
        <v>75900</v>
      </c>
      <c r="E72" s="633" t="n"/>
      <c r="F72" s="634" t="n"/>
      <c r="G72" s="501" t="n"/>
      <c r="H72" s="501" t="n"/>
      <c r="I72" s="635" t="n">
        <v>2</v>
      </c>
      <c r="J72" s="636" t="inlineStr">
        <is>
          <t>connectors named in the description</t>
        </is>
      </c>
      <c r="K72" s="501" t="n"/>
      <c r="L72" s="501" t="n"/>
      <c r="M72" s="501" t="n"/>
      <c r="N72" s="501" t="n"/>
      <c r="O72" s="501" t="n"/>
      <c r="P72" s="501" t="n"/>
      <c r="Q72" s="501" t="n"/>
      <c r="R72" s="501" t="n"/>
      <c r="S72" s="501" t="n"/>
      <c r="T72" s="501" t="n"/>
      <c r="U72" s="501" t="n"/>
      <c r="V72" s="501" t="n"/>
      <c r="W72" s="501" t="n"/>
      <c r="X72" s="501" t="n"/>
      <c r="Y72" s="501" t="n"/>
      <c r="Z72" s="501" t="n"/>
      <c r="AA72" s="501" t="n"/>
      <c r="AB72" s="501" t="n"/>
      <c r="AC72" s="501" t="n"/>
      <c r="AD72" s="643" t="inlineStr">
        <is>
          <t>TP5-120-480-3-300-BAA</t>
        </is>
      </c>
      <c r="AE72" s="644" t="inlineStr">
        <is>
          <t>all_in_one</t>
        </is>
      </c>
      <c r="AF72" s="501" t="n"/>
      <c r="AG72" s="501" t="n"/>
    </row>
    <row r="73" ht="55.5" customHeight="1" s="254">
      <c r="A73" s="263" t="inlineStr">
        <is>
          <t>_Buy_America</t>
        </is>
      </c>
      <c r="B73" s="518" t="inlineStr">
        <is>
          <t>TP5-180-480-2-BAA</t>
        </is>
      </c>
      <c r="C73" s="514" t="inlineStr">
        <is>
          <t xml:space="preserve">Buy America NEVI Compliant, Assembled in CA, USA 180kW Air Cooled 350A Cable (BAA) CCS1 / CCS1 1000VDC Connector for Dual CCS1; Can deliver 350A on one CCS conector. Set </t>
        </is>
      </c>
      <c r="D73" s="632" t="n">
        <v>82500</v>
      </c>
      <c r="E73" s="633" t="n"/>
      <c r="F73" s="634" t="n"/>
      <c r="G73" s="501" t="n"/>
      <c r="H73" s="501" t="n"/>
      <c r="I73" s="635" t="n">
        <v>2</v>
      </c>
      <c r="J73" s="636" t="inlineStr">
        <is>
          <t>description says Dual</t>
        </is>
      </c>
      <c r="K73" s="501" t="n"/>
      <c r="L73" s="501" t="n"/>
      <c r="M73" s="501" t="n"/>
      <c r="N73" s="501" t="n"/>
      <c r="O73" s="501" t="n"/>
      <c r="P73" s="501" t="n"/>
      <c r="Q73" s="501" t="n"/>
      <c r="R73" s="501" t="n"/>
      <c r="S73" s="501" t="n"/>
      <c r="T73" s="501" t="n"/>
      <c r="U73" s="501" t="n"/>
      <c r="V73" s="501" t="n"/>
      <c r="W73" s="501" t="n"/>
      <c r="X73" s="501" t="n"/>
      <c r="Y73" s="501" t="n"/>
      <c r="Z73" s="501" t="n"/>
      <c r="AA73" s="501" t="n"/>
      <c r="AB73" s="501" t="n"/>
      <c r="AC73" s="501" t="n"/>
      <c r="AD73" s="643" t="inlineStr">
        <is>
          <t>TP5-120-480-4-300-BAA</t>
        </is>
      </c>
      <c r="AE73" s="644" t="inlineStr">
        <is>
          <t>all_in_one</t>
        </is>
      </c>
      <c r="AF73" s="501" t="n"/>
      <c r="AG73" s="501" t="n"/>
    </row>
    <row r="74" ht="55.5" customHeight="1" s="254">
      <c r="A74" s="263" t="inlineStr">
        <is>
          <t>_Buy_America</t>
        </is>
      </c>
      <c r="B74" s="518" t="inlineStr">
        <is>
          <t>TP5-180-480-3-BAA</t>
        </is>
      </c>
      <c r="C74" s="514" t="inlineStr">
        <is>
          <t>Buy America NEVI Compliant, Assembled in CA, USA 180kW Air Cooled 350A Cable (BAA)  CCS1 / NACS 1000VDC Connector for Dual CCS1; Can deliver 350A on one CCS conector. Set</t>
        </is>
      </c>
      <c r="D74" s="632" t="n">
        <v>82500</v>
      </c>
      <c r="E74" s="633" t="n"/>
      <c r="F74" s="634" t="n"/>
      <c r="G74" s="501" t="n"/>
      <c r="H74" s="501" t="n"/>
      <c r="I74" s="635" t="n">
        <v>2</v>
      </c>
      <c r="J74" s="636" t="inlineStr">
        <is>
          <t>description says Dual</t>
        </is>
      </c>
      <c r="K74" s="501" t="n"/>
      <c r="L74" s="501" t="n"/>
      <c r="M74" s="501" t="n"/>
      <c r="N74" s="501" t="n"/>
      <c r="O74" s="501" t="n"/>
      <c r="P74" s="501" t="n"/>
      <c r="Q74" s="501" t="n"/>
      <c r="R74" s="501" t="n"/>
      <c r="S74" s="501" t="n"/>
      <c r="T74" s="501" t="n"/>
      <c r="U74" s="501" t="n"/>
      <c r="V74" s="501" t="n"/>
      <c r="W74" s="501" t="n"/>
      <c r="X74" s="501" t="n"/>
      <c r="Y74" s="501" t="n"/>
      <c r="Z74" s="501" t="n"/>
      <c r="AA74" s="501" t="n"/>
      <c r="AB74" s="501" t="n"/>
      <c r="AC74" s="501" t="n"/>
      <c r="AD74" s="643" t="inlineStr">
        <is>
          <t>TP5-180-480-2-BAA</t>
        </is>
      </c>
      <c r="AE74" s="644" t="inlineStr">
        <is>
          <t>all_in_one</t>
        </is>
      </c>
      <c r="AF74" s="501" t="n"/>
      <c r="AG74" s="501" t="n"/>
    </row>
    <row r="75" ht="55.5" customHeight="1" s="254">
      <c r="A75" s="263" t="inlineStr">
        <is>
          <t>_Buy_America</t>
        </is>
      </c>
      <c r="B75" s="518" t="inlineStr">
        <is>
          <t>TP5-180-480-4-BAA</t>
        </is>
      </c>
      <c r="C75" s="514" t="inlineStr">
        <is>
          <t xml:space="preserve">Buy America NEVI Compliant, Assembled in CA, USA 180kW Air Cooled 350A Cable (BAA) NACS / NACS 1000VDC Connector for Dual CCS1; Can deliver 350A on one CCS conector. Set </t>
        </is>
      </c>
      <c r="D75" s="632" t="n">
        <v>82500</v>
      </c>
      <c r="E75" s="633" t="n"/>
      <c r="F75" s="634" t="n"/>
      <c r="G75" s="501" t="n"/>
      <c r="H75" s="501" t="n"/>
      <c r="I75" s="635" t="n">
        <v>2</v>
      </c>
      <c r="J75" s="636" t="inlineStr">
        <is>
          <t>description says Dual</t>
        </is>
      </c>
      <c r="K75" s="501" t="n"/>
      <c r="L75" s="501" t="n"/>
      <c r="M75" s="501" t="n"/>
      <c r="N75" s="501" t="n"/>
      <c r="O75" s="501" t="n"/>
      <c r="P75" s="501" t="n"/>
      <c r="Q75" s="501" t="n"/>
      <c r="R75" s="501" t="n"/>
      <c r="S75" s="501" t="n"/>
      <c r="T75" s="501" t="n"/>
      <c r="U75" s="501" t="n"/>
      <c r="V75" s="501" t="n"/>
      <c r="W75" s="501" t="n"/>
      <c r="X75" s="501" t="n"/>
      <c r="Y75" s="501" t="n"/>
      <c r="Z75" s="501" t="n"/>
      <c r="AA75" s="501" t="n"/>
      <c r="AB75" s="501" t="n"/>
      <c r="AC75" s="501" t="n"/>
      <c r="AD75" s="643" t="inlineStr">
        <is>
          <t>TP5-180-480-3-BAA</t>
        </is>
      </c>
      <c r="AE75" s="644" t="inlineStr">
        <is>
          <t>all_in_one</t>
        </is>
      </c>
      <c r="AF75" s="501" t="n"/>
      <c r="AG75" s="501" t="n"/>
    </row>
    <row r="76" ht="55.5" customHeight="1" s="254">
      <c r="A76" s="263" t="inlineStr">
        <is>
          <t>_Buy_America</t>
        </is>
      </c>
      <c r="B76" s="518" t="inlineStr">
        <is>
          <t>HPC-180-480-2-BAA</t>
        </is>
      </c>
      <c r="C76" s="514" t="inlineStr">
        <is>
          <t>Buy America NEVI Compliant, Assembled in CA, USA 180kW Liquid Cooled (BAA) Dual CCS1 500 Amps / 1000VDC with Liquid Cooled Connector for Dual CCS1 ; Can deliver 450A on o</t>
        </is>
      </c>
      <c r="D76" s="632" t="n">
        <v>82500</v>
      </c>
      <c r="E76" s="633" t="n"/>
      <c r="F76" s="634" t="n"/>
      <c r="G76" s="501" t="n"/>
      <c r="H76" s="501" t="n"/>
      <c r="I76" s="635" t="n">
        <v>2</v>
      </c>
      <c r="J76" s="636" t="inlineStr">
        <is>
          <t>description says Dual</t>
        </is>
      </c>
      <c r="K76" s="501" t="n"/>
      <c r="L76" s="501" t="n"/>
      <c r="M76" s="501" t="n"/>
      <c r="N76" s="501" t="n"/>
      <c r="O76" s="501" t="n"/>
      <c r="P76" s="501" t="n"/>
      <c r="Q76" s="501" t="n"/>
      <c r="R76" s="501" t="n"/>
      <c r="S76" s="501" t="n"/>
      <c r="T76" s="501" t="n"/>
      <c r="U76" s="501" t="n"/>
      <c r="V76" s="501" t="n"/>
      <c r="W76" s="501" t="n"/>
      <c r="X76" s="501" t="n"/>
      <c r="Y76" s="501" t="n"/>
      <c r="Z76" s="501" t="n"/>
      <c r="AA76" s="501" t="n"/>
      <c r="AB76" s="501" t="n"/>
      <c r="AC76" s="501" t="n"/>
      <c r="AD76" s="643" t="inlineStr">
        <is>
          <t>TP5-180-480-4-BAA</t>
        </is>
      </c>
      <c r="AE76" s="644" t="inlineStr">
        <is>
          <t>all_in_one</t>
        </is>
      </c>
      <c r="AF76" s="501" t="n"/>
      <c r="AG76" s="501" t="n"/>
    </row>
    <row r="77" ht="55.5" customHeight="1" s="254">
      <c r="A77" s="263" t="inlineStr">
        <is>
          <t>_Buy_America</t>
        </is>
      </c>
      <c r="B77" s="518" t="inlineStr">
        <is>
          <t>HPC-180-480-3-BAA</t>
        </is>
      </c>
      <c r="C77" s="514" t="inlineStr">
        <is>
          <t>Buy America NEVI Compliant, Assembled in CA, USA 180kW Liquid Cooled (BAA) CCS1 / NACS 1000VDC with Liquid Cooled Connector for Dual CCS1 ; Can deliver 450A on one CCS co</t>
        </is>
      </c>
      <c r="D77" s="632" t="n">
        <v>82500</v>
      </c>
      <c r="E77" s="633" t="n"/>
      <c r="F77" s="634" t="n"/>
      <c r="G77" s="501" t="n"/>
      <c r="H77" s="501" t="n"/>
      <c r="I77" s="635" t="n">
        <v>2</v>
      </c>
      <c r="J77" s="636" t="inlineStr">
        <is>
          <t>description says Dual</t>
        </is>
      </c>
      <c r="K77" s="501" t="n"/>
      <c r="L77" s="501" t="n"/>
      <c r="M77" s="501" t="n"/>
      <c r="N77" s="501" t="n"/>
      <c r="O77" s="501" t="n"/>
      <c r="P77" s="501" t="n"/>
      <c r="Q77" s="501" t="n"/>
      <c r="R77" s="501" t="n"/>
      <c r="S77" s="501" t="n"/>
      <c r="T77" s="501" t="n"/>
      <c r="U77" s="501" t="n"/>
      <c r="V77" s="501" t="n"/>
      <c r="W77" s="501" t="n"/>
      <c r="X77" s="501" t="n"/>
      <c r="Y77" s="501" t="n"/>
      <c r="Z77" s="501" t="n"/>
      <c r="AA77" s="501" t="n"/>
      <c r="AB77" s="501" t="n"/>
      <c r="AC77" s="501" t="n"/>
      <c r="AD77" s="643" t="inlineStr">
        <is>
          <t>HPC-180-480-2-BAA</t>
        </is>
      </c>
      <c r="AE77" s="644" t="inlineStr">
        <is>
          <t>all_in_one</t>
        </is>
      </c>
      <c r="AF77" s="501" t="n"/>
      <c r="AG77" s="501" t="n"/>
    </row>
    <row r="78" ht="55.5" customHeight="1" s="254">
      <c r="A78" s="263" t="inlineStr">
        <is>
          <t>_Buy_America</t>
        </is>
      </c>
      <c r="B78" s="518" t="inlineStr">
        <is>
          <t>HPC-180-480-4-BAA</t>
        </is>
      </c>
      <c r="C78" s="514" t="inlineStr">
        <is>
          <t>Buy America NEVI Compliant, Assembled in CA, USA 180kW Liquid Cooled (BAA) NACS /NACS 1000VDC with Liquid Cooled Connector for Dual CCS1 ; Can deliver 450A on one CCS con</t>
        </is>
      </c>
      <c r="D78" s="632" t="n">
        <v>82500</v>
      </c>
      <c r="E78" s="633" t="n"/>
      <c r="F78" s="634" t="n"/>
      <c r="G78" s="501" t="n"/>
      <c r="H78" s="501" t="n"/>
      <c r="I78" s="635" t="n">
        <v>2</v>
      </c>
      <c r="J78" s="636" t="inlineStr">
        <is>
          <t>description says Dual</t>
        </is>
      </c>
      <c r="K78" s="501" t="n"/>
      <c r="L78" s="501" t="n"/>
      <c r="M78" s="501" t="n"/>
      <c r="N78" s="501" t="n"/>
      <c r="O78" s="501" t="n"/>
      <c r="P78" s="501" t="n"/>
      <c r="Q78" s="501" t="n"/>
      <c r="R78" s="501" t="n"/>
      <c r="S78" s="501" t="n"/>
      <c r="T78" s="501" t="n"/>
      <c r="U78" s="501" t="n"/>
      <c r="V78" s="501" t="n"/>
      <c r="W78" s="501" t="n"/>
      <c r="X78" s="501" t="n"/>
      <c r="Y78" s="501" t="n"/>
      <c r="Z78" s="501" t="n"/>
      <c r="AA78" s="501" t="n"/>
      <c r="AB78" s="501" t="n"/>
      <c r="AC78" s="501" t="n"/>
      <c r="AD78" s="643" t="inlineStr">
        <is>
          <t>HPC-180-480-3-BAA</t>
        </is>
      </c>
      <c r="AE78" s="644" t="inlineStr">
        <is>
          <t>all_in_one</t>
        </is>
      </c>
      <c r="AF78" s="501" t="n"/>
      <c r="AG78" s="501" t="n"/>
    </row>
    <row r="79" ht="55.5" customHeight="1" s="254">
      <c r="A79" s="263" t="inlineStr">
        <is>
          <t>_Buy_America</t>
        </is>
      </c>
      <c r="B79" s="518" t="inlineStr">
        <is>
          <t>TP5-360-480-2-BAA</t>
        </is>
      </c>
      <c r="C79" s="514" t="inlineStr">
        <is>
          <t>Buy America NEVI Compliant 360kW Air Cooled 350A Cable (BAA) Dual CCS1 / 1000VDC Connector for Dual CCS1 ; Can deliver 350A on one CCS connector and 350A on each connecto</t>
        </is>
      </c>
      <c r="D79" s="632" t="n">
        <v>138600</v>
      </c>
      <c r="E79" s="633" t="n"/>
      <c r="F79" s="634" t="n"/>
      <c r="G79" s="501" t="n"/>
      <c r="H79" s="501" t="n"/>
      <c r="I79" s="635" t="n">
        <v>2</v>
      </c>
      <c r="J79" s="636" t="inlineStr">
        <is>
          <t>description says Dual</t>
        </is>
      </c>
      <c r="K79" s="501" t="n"/>
      <c r="L79" s="501" t="n"/>
      <c r="M79" s="501" t="n"/>
      <c r="N79" s="501" t="n"/>
      <c r="O79" s="501" t="n"/>
      <c r="P79" s="501" t="n"/>
      <c r="Q79" s="501" t="n"/>
      <c r="R79" s="501" t="n"/>
      <c r="S79" s="501" t="n"/>
      <c r="T79" s="501" t="n"/>
      <c r="U79" s="501" t="n"/>
      <c r="V79" s="501" t="n"/>
      <c r="W79" s="501" t="n"/>
      <c r="X79" s="501" t="n"/>
      <c r="Y79" s="501" t="n"/>
      <c r="Z79" s="501" t="n"/>
      <c r="AA79" s="501" t="n"/>
      <c r="AB79" s="501" t="n"/>
      <c r="AC79" s="501" t="n"/>
      <c r="AD79" s="643" t="inlineStr">
        <is>
          <t>HPC-180-480-4-BAA</t>
        </is>
      </c>
      <c r="AE79" s="644" t="inlineStr">
        <is>
          <t>all_in_one</t>
        </is>
      </c>
      <c r="AF79" s="501" t="n"/>
      <c r="AG79" s="501" t="n"/>
    </row>
    <row r="80" ht="55.5" customHeight="1" s="254">
      <c r="A80" s="263" t="inlineStr">
        <is>
          <t>_Buy_America</t>
        </is>
      </c>
      <c r="B80" s="518" t="inlineStr">
        <is>
          <t>TP5-360-480-3-BAA</t>
        </is>
      </c>
      <c r="C80" s="514" t="inlineStr">
        <is>
          <t>Buy America NEVI Compliant 360kW Air Cooled 350A Cable (BAA) Dual CCS1 / 1000VDC Connector for CCS1/NACS ; Can deliver 350A on one CCS connector and 350A on each connecto</t>
        </is>
      </c>
      <c r="D80" s="632" t="n">
        <v>138600</v>
      </c>
      <c r="E80" s="633" t="n"/>
      <c r="F80" s="634" t="n"/>
      <c r="G80" s="501" t="n"/>
      <c r="H80" s="501" t="n"/>
      <c r="I80" s="635" t="n">
        <v>2</v>
      </c>
      <c r="J80" s="636" t="inlineStr">
        <is>
          <t>description says Dual</t>
        </is>
      </c>
      <c r="K80" s="501" t="n"/>
      <c r="L80" s="501" t="n"/>
      <c r="M80" s="501" t="n"/>
      <c r="N80" s="501" t="n"/>
      <c r="O80" s="501" t="n"/>
      <c r="P80" s="501" t="n"/>
      <c r="Q80" s="501" t="n"/>
      <c r="R80" s="501" t="n"/>
      <c r="S80" s="501" t="n"/>
      <c r="T80" s="501" t="n"/>
      <c r="U80" s="501" t="n"/>
      <c r="V80" s="501" t="n"/>
      <c r="W80" s="501" t="n"/>
      <c r="X80" s="501" t="n"/>
      <c r="Y80" s="501" t="n"/>
      <c r="Z80" s="501" t="n"/>
      <c r="AA80" s="501" t="n"/>
      <c r="AB80" s="501" t="n"/>
      <c r="AC80" s="501" t="n"/>
      <c r="AD80" s="643" t="inlineStr">
        <is>
          <t>TP5-360-480-2-BAA</t>
        </is>
      </c>
      <c r="AE80" s="644" t="inlineStr">
        <is>
          <t>all_in_one</t>
        </is>
      </c>
      <c r="AF80" s="501" t="n"/>
      <c r="AG80" s="501" t="n"/>
    </row>
    <row r="81" ht="55.5" customHeight="1" s="254">
      <c r="A81" s="263" t="inlineStr">
        <is>
          <t>_Buy_America</t>
        </is>
      </c>
      <c r="B81" s="518" t="inlineStr">
        <is>
          <t>TP5-360-480-4-BAA</t>
        </is>
      </c>
      <c r="C81" s="514" t="inlineStr">
        <is>
          <t>Buy America NEVI Compliant 360kW Air Cooled 350A Cable (BAA) Dual CCS1 / 1000VDC Connector for NACS/NACS ; Can deliver 350A on one CCS connector and 350A on each connecto</t>
        </is>
      </c>
      <c r="D81" s="632" t="n">
        <v>138600</v>
      </c>
      <c r="E81" s="633" t="n"/>
      <c r="F81" s="634" t="n"/>
      <c r="G81" s="501" t="n"/>
      <c r="H81" s="501" t="n"/>
      <c r="I81" s="635" t="n">
        <v>2</v>
      </c>
      <c r="J81" s="636" t="inlineStr">
        <is>
          <t>description says Dual</t>
        </is>
      </c>
      <c r="K81" s="501" t="n"/>
      <c r="L81" s="501" t="n"/>
      <c r="M81" s="501" t="n"/>
      <c r="N81" s="501" t="n"/>
      <c r="O81" s="501" t="n"/>
      <c r="P81" s="501" t="n"/>
      <c r="Q81" s="501" t="n"/>
      <c r="R81" s="501" t="n"/>
      <c r="S81" s="501" t="n"/>
      <c r="T81" s="501" t="n"/>
      <c r="U81" s="501" t="n"/>
      <c r="V81" s="501" t="n"/>
      <c r="W81" s="501" t="n"/>
      <c r="X81" s="501" t="n"/>
      <c r="Y81" s="501" t="n"/>
      <c r="Z81" s="501" t="n"/>
      <c r="AA81" s="501" t="n"/>
      <c r="AB81" s="501" t="n"/>
      <c r="AC81" s="501" t="n"/>
      <c r="AD81" s="643" t="inlineStr">
        <is>
          <t>TP5-360-480-3-BAA</t>
        </is>
      </c>
      <c r="AE81" s="644" t="inlineStr">
        <is>
          <t>all_in_one</t>
        </is>
      </c>
      <c r="AF81" s="501" t="n"/>
      <c r="AG81" s="501" t="n"/>
    </row>
    <row r="82" ht="55.5" customHeight="1" s="254">
      <c r="A82" s="263" t="inlineStr">
        <is>
          <t>_Buy_America</t>
        </is>
      </c>
      <c r="B82" s="518" t="inlineStr">
        <is>
          <t>HPC-360-480-2-BAA</t>
        </is>
      </c>
      <c r="C82" s="514" t="inlineStr">
        <is>
          <t>Buy America NEVI Compliant 360kW Liquid Cooled (BAA) 500 Amps / 1000VDC with Liquid Cooled Connector for Dual CCS1 ; Can deliver 500A on one CCS connector and 400A on eac</t>
        </is>
      </c>
      <c r="D82" s="632" t="n">
        <v>137500</v>
      </c>
      <c r="E82" s="633" t="n"/>
      <c r="F82" s="634" t="n"/>
      <c r="G82" s="501" t="n"/>
      <c r="H82" s="501" t="n"/>
      <c r="I82" s="635" t="n">
        <v>2</v>
      </c>
      <c r="J82" s="636" t="inlineStr">
        <is>
          <t>description says Dual</t>
        </is>
      </c>
      <c r="K82" s="501" t="n"/>
      <c r="L82" s="501" t="n"/>
      <c r="M82" s="501" t="n"/>
      <c r="N82" s="501" t="n"/>
      <c r="O82" s="501" t="n"/>
      <c r="P82" s="501" t="n"/>
      <c r="Q82" s="501" t="n"/>
      <c r="R82" s="501" t="n"/>
      <c r="S82" s="501" t="n"/>
      <c r="T82" s="501" t="n"/>
      <c r="U82" s="501" t="n"/>
      <c r="V82" s="501" t="n"/>
      <c r="W82" s="501" t="n"/>
      <c r="X82" s="501" t="n"/>
      <c r="Y82" s="501" t="n"/>
      <c r="Z82" s="501" t="n"/>
      <c r="AA82" s="501" t="n"/>
      <c r="AB82" s="501" t="n"/>
      <c r="AC82" s="501" t="n"/>
      <c r="AD82" s="643" t="inlineStr">
        <is>
          <t>TP5-360-480-4-BAA</t>
        </is>
      </c>
      <c r="AE82" s="644" t="inlineStr">
        <is>
          <t>all_in_one</t>
        </is>
      </c>
      <c r="AF82" s="501" t="n"/>
      <c r="AG82" s="501" t="n"/>
    </row>
    <row r="83" ht="55.5" customHeight="1" s="254">
      <c r="A83" s="263" t="inlineStr">
        <is>
          <t>_Buy_America</t>
        </is>
      </c>
      <c r="B83" s="518" t="inlineStr">
        <is>
          <t>HPC-360-480-3-BAA</t>
        </is>
      </c>
      <c r="C83" s="514" t="inlineStr">
        <is>
          <t>Buy America NEVI Compliant 360kW Liquid Cooled (BAA) 500 Amps / 1000VDC with Liquid Cooled Connector for CCS1/NACS ; Can deliver 500A on one CCS connector and 400A on eac</t>
        </is>
      </c>
      <c r="D83" s="632" t="n">
        <v>137500</v>
      </c>
      <c r="E83" s="633" t="n"/>
      <c r="F83" s="634" t="n"/>
      <c r="G83" s="501" t="n"/>
      <c r="H83" s="501" t="n"/>
      <c r="I83" s="635" t="n">
        <v>2</v>
      </c>
      <c r="J83" s="636" t="inlineStr">
        <is>
          <t>connectors named in the description</t>
        </is>
      </c>
      <c r="K83" s="501" t="n"/>
      <c r="L83" s="501" t="n"/>
      <c r="M83" s="501" t="n"/>
      <c r="N83" s="501" t="n"/>
      <c r="O83" s="501" t="n"/>
      <c r="P83" s="501" t="n"/>
      <c r="Q83" s="501" t="n"/>
      <c r="R83" s="501" t="n"/>
      <c r="S83" s="501" t="n"/>
      <c r="T83" s="501" t="n"/>
      <c r="U83" s="501" t="n"/>
      <c r="V83" s="501" t="n"/>
      <c r="W83" s="501" t="n"/>
      <c r="X83" s="501" t="n"/>
      <c r="Y83" s="501" t="n"/>
      <c r="Z83" s="501" t="n"/>
      <c r="AA83" s="501" t="n"/>
      <c r="AB83" s="501" t="n"/>
      <c r="AC83" s="501" t="n"/>
      <c r="AD83" s="643" t="inlineStr">
        <is>
          <t>HPC-360-480-2-BAA</t>
        </is>
      </c>
      <c r="AE83" s="644" t="inlineStr">
        <is>
          <t>all_in_one</t>
        </is>
      </c>
      <c r="AF83" s="501" t="n"/>
      <c r="AG83" s="501" t="n"/>
    </row>
    <row r="84" ht="55.5" customHeight="1" s="254">
      <c r="A84" s="263" t="inlineStr">
        <is>
          <t>_Buy_America</t>
        </is>
      </c>
      <c r="B84" s="518" t="inlineStr">
        <is>
          <t>HPC-360-480-4-BAA</t>
        </is>
      </c>
      <c r="C84" s="514" t="inlineStr">
        <is>
          <t>Buy America NEVI Compliant 360kW Liquid Cooled (BAA) 500 Amps / 1000VDC with Liquid Cooled Connector for NACS/NACS ; Can deliver 500A on one CCS connector and 400A on eac</t>
        </is>
      </c>
      <c r="D84" s="632" t="n">
        <v>137500</v>
      </c>
      <c r="E84" s="633" t="n"/>
      <c r="F84" s="634" t="n"/>
      <c r="G84" s="501" t="n"/>
      <c r="H84" s="501" t="n"/>
      <c r="I84" s="635" t="n">
        <v>2</v>
      </c>
      <c r="J84" s="636" t="inlineStr">
        <is>
          <t>connectors named in the description</t>
        </is>
      </c>
      <c r="K84" s="501" t="n"/>
      <c r="L84" s="501" t="n"/>
      <c r="M84" s="501" t="n"/>
      <c r="N84" s="501" t="n"/>
      <c r="O84" s="501" t="n"/>
      <c r="P84" s="501" t="n"/>
      <c r="Q84" s="501" t="n"/>
      <c r="R84" s="501" t="n"/>
      <c r="S84" s="501" t="n"/>
      <c r="T84" s="501" t="n"/>
      <c r="U84" s="501" t="n"/>
      <c r="V84" s="501" t="n"/>
      <c r="W84" s="501" t="n"/>
      <c r="X84" s="501" t="n"/>
      <c r="Y84" s="501" t="n"/>
      <c r="Z84" s="501" t="n"/>
      <c r="AA84" s="501" t="n"/>
      <c r="AB84" s="501" t="n"/>
      <c r="AC84" s="501" t="n"/>
      <c r="AD84" s="643" t="inlineStr">
        <is>
          <t>HPC-360-480-3-BAA</t>
        </is>
      </c>
      <c r="AE84" s="644" t="inlineStr">
        <is>
          <t>all_in_one</t>
        </is>
      </c>
      <c r="AF84" s="501" t="n"/>
      <c r="AG84" s="501" t="n"/>
    </row>
    <row r="85" ht="15" customHeight="1" s="254">
      <c r="A85" s="263" t="inlineStr">
        <is>
          <t>_V2G</t>
        </is>
      </c>
      <c r="B85" s="518" t="inlineStr">
        <is>
          <t>CTX-V2G-20-480-1</t>
        </is>
      </c>
      <c r="C85" s="518" t="inlineStr">
        <is>
          <t>20kW V2G Charger</t>
        </is>
      </c>
      <c r="D85" s="632" t="n">
        <v>16700</v>
      </c>
      <c r="E85" s="633" t="n"/>
      <c r="F85" s="634" t="n"/>
      <c r="G85" s="501" t="n"/>
      <c r="H85" s="501" t="n"/>
      <c r="I85" s="635" t="n">
        <v>1</v>
      </c>
      <c r="J85" s="636" t="inlineStr">
        <is>
          <t>manual — description does not state the count</t>
        </is>
      </c>
      <c r="K85" s="501" t="n"/>
      <c r="L85" s="501" t="n"/>
      <c r="M85" s="501" t="n"/>
      <c r="N85" s="501" t="n"/>
      <c r="O85" s="501" t="n"/>
      <c r="P85" s="501" t="n"/>
      <c r="Q85" s="501" t="n"/>
      <c r="R85" s="501" t="n"/>
      <c r="S85" s="501" t="n"/>
      <c r="T85" s="501" t="n"/>
      <c r="U85" s="501" t="n"/>
      <c r="V85" s="501" t="n"/>
      <c r="W85" s="501" t="n"/>
      <c r="X85" s="501" t="n"/>
      <c r="Y85" s="501" t="n"/>
      <c r="Z85" s="501" t="n"/>
      <c r="AA85" s="501" t="n"/>
      <c r="AB85" s="501" t="n"/>
      <c r="AC85" s="501" t="n"/>
      <c r="AD85" s="643" t="inlineStr">
        <is>
          <t>HPC-360-480-4-BAA</t>
        </is>
      </c>
      <c r="AE85" s="644" t="inlineStr">
        <is>
          <t>all_in_one</t>
        </is>
      </c>
      <c r="AF85" s="501" t="n"/>
      <c r="AG85" s="501" t="n"/>
    </row>
    <row r="86" ht="15" customHeight="1" s="254">
      <c r="A86" s="263" t="inlineStr">
        <is>
          <t>_V2G</t>
        </is>
      </c>
      <c r="B86" s="518" t="inlineStr">
        <is>
          <t>CTX-V2G-30-480-1</t>
        </is>
      </c>
      <c r="C86" s="518" t="inlineStr">
        <is>
          <t>30kW V2G Charger</t>
        </is>
      </c>
      <c r="D86" s="632" t="n">
        <v>23800</v>
      </c>
      <c r="E86" s="633" t="n"/>
      <c r="F86" s="634" t="n"/>
      <c r="G86" s="501" t="n"/>
      <c r="H86" s="501" t="n"/>
      <c r="I86" s="635" t="n">
        <v>1</v>
      </c>
      <c r="J86" s="636" t="inlineStr">
        <is>
          <t>manual — description does not state the count</t>
        </is>
      </c>
      <c r="K86" s="501" t="n"/>
      <c r="L86" s="501" t="n"/>
      <c r="M86" s="501" t="n"/>
      <c r="N86" s="501" t="n"/>
      <c r="O86" s="501" t="n"/>
      <c r="P86" s="501" t="n"/>
      <c r="Q86" s="501" t="n"/>
      <c r="R86" s="501" t="n"/>
      <c r="S86" s="501" t="n"/>
      <c r="T86" s="501" t="n"/>
      <c r="U86" s="501" t="n"/>
      <c r="V86" s="501" t="n"/>
      <c r="W86" s="501" t="n"/>
      <c r="X86" s="501" t="n"/>
      <c r="Y86" s="501" t="n"/>
      <c r="Z86" s="501" t="n"/>
      <c r="AA86" s="501" t="n"/>
      <c r="AB86" s="501" t="n"/>
      <c r="AC86" s="501" t="n"/>
      <c r="AD86" s="643" t="inlineStr">
        <is>
          <t>CTX-V2G-20-480-1</t>
        </is>
      </c>
      <c r="AE86" s="644" t="inlineStr">
        <is>
          <t>all_in_one</t>
        </is>
      </c>
      <c r="AF86" s="501" t="n"/>
      <c r="AG86" s="501" t="n"/>
    </row>
    <row r="87" ht="15" customHeight="1" s="254">
      <c r="A87" s="263" t="inlineStr">
        <is>
          <t>_V2G</t>
        </is>
      </c>
      <c r="B87" s="518" t="inlineStr">
        <is>
          <t>CTX-V2G-40-480-1</t>
        </is>
      </c>
      <c r="C87" s="518" t="inlineStr">
        <is>
          <t>40kW V2G Charger</t>
        </is>
      </c>
      <c r="D87" s="632" t="n">
        <v>35900</v>
      </c>
      <c r="E87" s="633" t="n"/>
      <c r="F87" s="634" t="n"/>
      <c r="G87" s="501" t="n"/>
      <c r="H87" s="501" t="n"/>
      <c r="I87" s="635" t="n">
        <v>1</v>
      </c>
      <c r="J87" s="636" t="inlineStr">
        <is>
          <t>manual — description does not state the count</t>
        </is>
      </c>
      <c r="K87" s="501" t="n"/>
      <c r="L87" s="501" t="n"/>
      <c r="M87" s="501" t="n"/>
      <c r="N87" s="501" t="n"/>
      <c r="O87" s="501" t="n"/>
      <c r="P87" s="501" t="n"/>
      <c r="Q87" s="501" t="n"/>
      <c r="R87" s="501" t="n"/>
      <c r="S87" s="501" t="n"/>
      <c r="T87" s="501" t="n"/>
      <c r="U87" s="501" t="n"/>
      <c r="V87" s="501" t="n"/>
      <c r="W87" s="501" t="n"/>
      <c r="X87" s="501" t="n"/>
      <c r="Y87" s="501" t="n"/>
      <c r="Z87" s="501" t="n"/>
      <c r="AA87" s="501" t="n"/>
      <c r="AB87" s="501" t="n"/>
      <c r="AC87" s="501" t="n"/>
      <c r="AD87" s="643" t="inlineStr">
        <is>
          <t>CTX-V2G-30-480-1</t>
        </is>
      </c>
      <c r="AE87" s="644" t="inlineStr">
        <is>
          <t>all_in_one</t>
        </is>
      </c>
      <c r="AF87" s="501" t="n"/>
      <c r="AG87" s="501" t="n"/>
    </row>
    <row r="88" ht="15" customHeight="1" s="254">
      <c r="A88" s="263" t="inlineStr">
        <is>
          <t>_V2G</t>
        </is>
      </c>
      <c r="B88" s="518" t="inlineStr">
        <is>
          <t>CTX-V2G-60-480-1</t>
        </is>
      </c>
      <c r="C88" s="518" t="inlineStr">
        <is>
          <t>60kW V2G Charger</t>
        </is>
      </c>
      <c r="D88" s="632" t="n">
        <v>50000</v>
      </c>
      <c r="E88" s="633" t="n"/>
      <c r="F88" s="634" t="n"/>
      <c r="G88" s="501" t="n"/>
      <c r="H88" s="501" t="n"/>
      <c r="I88" s="635" t="n">
        <v>1</v>
      </c>
      <c r="J88" s="636" t="inlineStr">
        <is>
          <t>manual — description does not state the count</t>
        </is>
      </c>
      <c r="K88" s="501" t="n"/>
      <c r="L88" s="501" t="n"/>
      <c r="M88" s="501" t="n"/>
      <c r="N88" s="501" t="n"/>
      <c r="O88" s="501" t="n"/>
      <c r="P88" s="501" t="n"/>
      <c r="Q88" s="501" t="n"/>
      <c r="R88" s="501" t="n"/>
      <c r="S88" s="501" t="n"/>
      <c r="T88" s="501" t="n"/>
      <c r="U88" s="501" t="n"/>
      <c r="V88" s="501" t="n"/>
      <c r="W88" s="501" t="n"/>
      <c r="X88" s="501" t="n"/>
      <c r="Y88" s="501" t="n"/>
      <c r="Z88" s="501" t="n"/>
      <c r="AA88" s="501" t="n"/>
      <c r="AB88" s="501" t="n"/>
      <c r="AC88" s="501" t="n"/>
      <c r="AD88" s="643" t="inlineStr">
        <is>
          <t>CTX-V2G-40-480-1</t>
        </is>
      </c>
      <c r="AE88" s="644" t="inlineStr">
        <is>
          <t>all_in_one</t>
        </is>
      </c>
      <c r="AF88" s="501" t="n"/>
      <c r="AG88" s="501" t="n"/>
    </row>
    <row r="89" ht="15" customHeight="1" s="254">
      <c r="A89" s="263" t="inlineStr">
        <is>
          <t>_L2_Accessories</t>
        </is>
      </c>
      <c r="B89" s="518" t="inlineStr">
        <is>
          <t>CTX-FLUXPED</t>
        </is>
      </c>
      <c r="C89" s="518" t="inlineStr">
        <is>
          <t>Single Post (no Retraction)</t>
        </is>
      </c>
      <c r="D89" s="632" t="n">
        <v>412.5</v>
      </c>
      <c r="E89" s="633" t="n"/>
      <c r="F89" s="634" t="n"/>
      <c r="G89" s="501" t="n"/>
      <c r="H89" s="501" t="n"/>
      <c r="I89" s="635" t="n">
        <v>0</v>
      </c>
      <c r="J89" s="636" t="inlineStr">
        <is>
          <t>accessory — not a charging position</t>
        </is>
      </c>
      <c r="K89" s="501" t="n"/>
      <c r="L89" s="501" t="n"/>
      <c r="M89" s="501" t="n"/>
      <c r="N89" s="501" t="n"/>
      <c r="O89" s="501" t="n"/>
      <c r="P89" s="501" t="n"/>
      <c r="Q89" s="501" t="n"/>
      <c r="R89" s="501" t="n"/>
      <c r="S89" s="501" t="n"/>
      <c r="T89" s="501" t="n"/>
      <c r="U89" s="501" t="n"/>
      <c r="V89" s="501" t="n"/>
      <c r="W89" s="501" t="n"/>
      <c r="X89" s="501" t="n"/>
      <c r="Y89" s="501" t="n"/>
      <c r="Z89" s="501" t="n"/>
      <c r="AA89" s="501" t="n"/>
      <c r="AB89" s="501" t="n"/>
      <c r="AC89" s="501" t="n"/>
      <c r="AD89" s="643" t="inlineStr">
        <is>
          <t>CTX-V2G-60-480-1</t>
        </is>
      </c>
      <c r="AE89" s="644" t="inlineStr">
        <is>
          <t>all_in_one</t>
        </is>
      </c>
      <c r="AF89" s="501" t="n"/>
      <c r="AG89" s="501" t="n"/>
    </row>
    <row r="90" ht="15" customHeight="1" s="254">
      <c r="A90" s="263" t="inlineStr">
        <is>
          <t>_L2_Accessories</t>
        </is>
      </c>
      <c r="B90" s="518" t="inlineStr">
        <is>
          <t>CTX-FLUXWAL-CMS-1</t>
        </is>
      </c>
      <c r="C90" s="518" t="inlineStr">
        <is>
          <t>Single Retractor (Wall)</t>
        </is>
      </c>
      <c r="D90" s="632" t="n">
        <v>275</v>
      </c>
      <c r="E90" s="633" t="n"/>
      <c r="F90" s="634" t="n"/>
      <c r="G90" s="501" t="n"/>
      <c r="H90" s="501" t="n"/>
      <c r="I90" s="635" t="n">
        <v>0</v>
      </c>
      <c r="J90" s="636" t="inlineStr">
        <is>
          <t>accessory — not a charging position</t>
        </is>
      </c>
      <c r="K90" s="501" t="n"/>
      <c r="L90" s="501" t="n"/>
      <c r="M90" s="501" t="n"/>
      <c r="N90" s="501" t="n"/>
      <c r="O90" s="501" t="n"/>
      <c r="P90" s="501" t="n"/>
      <c r="Q90" s="501" t="n"/>
      <c r="R90" s="501" t="n"/>
      <c r="S90" s="501" t="n"/>
      <c r="T90" s="501" t="n"/>
      <c r="U90" s="501" t="n"/>
      <c r="V90" s="501" t="n"/>
      <c r="W90" s="501" t="n"/>
      <c r="X90" s="501" t="n"/>
      <c r="Y90" s="501" t="n"/>
      <c r="Z90" s="501" t="n"/>
      <c r="AA90" s="501" t="n"/>
      <c r="AB90" s="501" t="n"/>
      <c r="AC90" s="501" t="n"/>
      <c r="AD90" s="643" t="inlineStr">
        <is>
          <t>CTX-FLUXPED</t>
        </is>
      </c>
      <c r="AE90" s="644" t="inlineStr">
        <is>
          <t>accessory</t>
        </is>
      </c>
      <c r="AF90" s="501" t="n"/>
      <c r="AG90" s="501" t="n"/>
    </row>
    <row r="91" ht="15" customHeight="1" s="254">
      <c r="A91" s="263" t="inlineStr">
        <is>
          <t>_L2_Accessories</t>
        </is>
      </c>
      <c r="B91" s="518" t="inlineStr">
        <is>
          <t>CTX-FLUXPED-CMS-1</t>
        </is>
      </c>
      <c r="C91" s="518" t="inlineStr">
        <is>
          <t>Single Retractor post</t>
        </is>
      </c>
      <c r="D91" s="632" t="n">
        <v>412.5</v>
      </c>
      <c r="E91" s="633" t="n"/>
      <c r="F91" s="634" t="n"/>
      <c r="G91" s="501" t="n"/>
      <c r="H91" s="501" t="n"/>
      <c r="I91" s="635" t="n">
        <v>0</v>
      </c>
      <c r="J91" s="636" t="inlineStr">
        <is>
          <t>accessory — not a charging position</t>
        </is>
      </c>
      <c r="K91" s="501" t="n"/>
      <c r="L91" s="501" t="n"/>
      <c r="M91" s="501" t="n"/>
      <c r="N91" s="501" t="n"/>
      <c r="O91" s="501" t="n"/>
      <c r="P91" s="501" t="n"/>
      <c r="Q91" s="501" t="n"/>
      <c r="R91" s="501" t="n"/>
      <c r="S91" s="501" t="n"/>
      <c r="T91" s="501" t="n"/>
      <c r="U91" s="501" t="n"/>
      <c r="V91" s="501" t="n"/>
      <c r="W91" s="501" t="n"/>
      <c r="X91" s="501" t="n"/>
      <c r="Y91" s="501" t="n"/>
      <c r="Z91" s="501" t="n"/>
      <c r="AA91" s="501" t="n"/>
      <c r="AB91" s="501" t="n"/>
      <c r="AC91" s="501" t="n"/>
      <c r="AD91" s="643" t="inlineStr">
        <is>
          <t>CTX-FLUXWAL-CMS-1</t>
        </is>
      </c>
      <c r="AE91" s="644" t="inlineStr">
        <is>
          <t>accessory</t>
        </is>
      </c>
      <c r="AF91" s="501" t="n"/>
      <c r="AG91" s="501" t="n"/>
    </row>
    <row r="92" ht="15" customHeight="1" s="254">
      <c r="A92" s="263" t="inlineStr">
        <is>
          <t>_L2_Accessories</t>
        </is>
      </c>
      <c r="B92" s="518" t="inlineStr">
        <is>
          <t>CTX-FLUXPED-CMS-2</t>
        </is>
      </c>
      <c r="C92" s="518" t="inlineStr">
        <is>
          <t>Dual Retractor (Post)</t>
        </is>
      </c>
      <c r="D92" s="632" t="n">
        <v>632.5</v>
      </c>
      <c r="E92" s="633" t="n"/>
      <c r="F92" s="634" t="n"/>
      <c r="G92" s="501" t="n"/>
      <c r="H92" s="501" t="n"/>
      <c r="I92" s="635" t="n">
        <v>0</v>
      </c>
      <c r="J92" s="636" t="inlineStr">
        <is>
          <t>accessory — not a charging position</t>
        </is>
      </c>
      <c r="K92" s="501" t="n"/>
      <c r="L92" s="501" t="n"/>
      <c r="M92" s="501" t="n"/>
      <c r="N92" s="501" t="n"/>
      <c r="O92" s="501" t="n"/>
      <c r="P92" s="501" t="n"/>
      <c r="Q92" s="501" t="n"/>
      <c r="R92" s="501" t="n"/>
      <c r="S92" s="501" t="n"/>
      <c r="T92" s="501" t="n"/>
      <c r="U92" s="501" t="n"/>
      <c r="V92" s="501" t="n"/>
      <c r="W92" s="501" t="n"/>
      <c r="X92" s="501" t="n"/>
      <c r="Y92" s="501" t="n"/>
      <c r="Z92" s="501" t="n"/>
      <c r="AA92" s="501" t="n"/>
      <c r="AB92" s="501" t="n"/>
      <c r="AC92" s="501" t="n"/>
      <c r="AD92" s="643" t="inlineStr">
        <is>
          <t>CTX-FLUXPED-CMS-1</t>
        </is>
      </c>
      <c r="AE92" s="644" t="inlineStr">
        <is>
          <t>accessory</t>
        </is>
      </c>
      <c r="AF92" s="501" t="n"/>
      <c r="AG92" s="501" t="n"/>
    </row>
    <row r="93" ht="15" customHeight="1" s="254">
      <c r="A93" s="263" t="inlineStr">
        <is>
          <t>_L2_Accessories</t>
        </is>
      </c>
      <c r="B93" s="518" t="inlineStr">
        <is>
          <t>CTX-FLUXPED-SBS</t>
        </is>
      </c>
      <c r="C93" s="518" t="inlineStr">
        <is>
          <t>Side By Side Bracket</t>
        </is>
      </c>
      <c r="D93" s="632" t="n">
        <v>137.5</v>
      </c>
      <c r="E93" s="633" t="n"/>
      <c r="F93" s="634" t="n"/>
      <c r="G93" s="501" t="n"/>
      <c r="H93" s="501" t="n"/>
      <c r="I93" s="635" t="n">
        <v>0</v>
      </c>
      <c r="J93" s="636" t="inlineStr">
        <is>
          <t>accessory — not a charging position</t>
        </is>
      </c>
      <c r="K93" s="501" t="n"/>
      <c r="L93" s="501" t="n"/>
      <c r="M93" s="501" t="n"/>
      <c r="N93" s="501" t="n"/>
      <c r="O93" s="501" t="n"/>
      <c r="P93" s="501" t="n"/>
      <c r="Q93" s="501" t="n"/>
      <c r="R93" s="501" t="n"/>
      <c r="S93" s="501" t="n"/>
      <c r="T93" s="501" t="n"/>
      <c r="U93" s="501" t="n"/>
      <c r="V93" s="501" t="n"/>
      <c r="W93" s="501" t="n"/>
      <c r="X93" s="501" t="n"/>
      <c r="Y93" s="501" t="n"/>
      <c r="Z93" s="501" t="n"/>
      <c r="AA93" s="501" t="n"/>
      <c r="AB93" s="501" t="n"/>
      <c r="AC93" s="501" t="n"/>
      <c r="AD93" s="643" t="inlineStr">
        <is>
          <t>CTX-FLUXPED-CMS-2</t>
        </is>
      </c>
      <c r="AE93" s="644" t="inlineStr">
        <is>
          <t>accessory</t>
        </is>
      </c>
      <c r="AF93" s="501" t="n"/>
      <c r="AG93" s="501" t="n"/>
    </row>
    <row r="94" ht="15" customHeight="1" s="254">
      <c r="A94" s="501" t="n"/>
      <c r="B94" s="501" t="n"/>
      <c r="C94" s="501" t="n"/>
      <c r="D94" s="501" t="n"/>
      <c r="E94" s="501" t="n"/>
      <c r="F94" s="501" t="n"/>
      <c r="G94" s="501" t="n"/>
      <c r="H94" s="501" t="n"/>
      <c r="I94" s="501" t="n"/>
      <c r="J94" s="501" t="n"/>
      <c r="K94" s="501" t="n"/>
      <c r="L94" s="501" t="n"/>
      <c r="M94" s="501" t="n"/>
      <c r="N94" s="501" t="n"/>
      <c r="O94" s="501" t="n"/>
      <c r="P94" s="501" t="n"/>
      <c r="Q94" s="501" t="n"/>
      <c r="R94" s="501" t="n"/>
      <c r="S94" s="501" t="n"/>
      <c r="T94" s="501" t="n"/>
      <c r="U94" s="501" t="n"/>
      <c r="V94" s="501" t="n"/>
      <c r="W94" s="501" t="n"/>
      <c r="X94" s="501" t="n"/>
      <c r="Y94" s="501" t="n"/>
      <c r="Z94" s="501" t="n"/>
      <c r="AA94" s="501" t="n"/>
      <c r="AB94" s="501" t="n"/>
      <c r="AC94" s="501" t="n"/>
      <c r="AD94" s="643" t="inlineStr">
        <is>
          <t>CTX-FLUXPED-SBS</t>
        </is>
      </c>
      <c r="AE94" s="644" t="inlineStr">
        <is>
          <t>accessory</t>
        </is>
      </c>
      <c r="AF94" s="501" t="n"/>
      <c r="AG94" s="501" t="n"/>
    </row>
    <row r="95" ht="15" customHeight="1" s="254">
      <c r="A95" s="262" t="inlineStr">
        <is>
          <t>SERVICE AND WARRANTY RATES PER CABINET PER YEAR</t>
        </is>
      </c>
      <c r="B95" s="501" t="n"/>
      <c r="C95" s="501" t="n"/>
      <c r="D95" s="501" t="n"/>
      <c r="E95" s="501" t="n"/>
      <c r="F95" s="501" t="n"/>
      <c r="G95" s="501" t="n"/>
      <c r="H95" s="501" t="n"/>
      <c r="I95" s="501" t="n"/>
      <c r="J95" s="501" t="n"/>
      <c r="K95" s="501" t="n"/>
      <c r="L95" s="501" t="n"/>
      <c r="M95" s="501" t="n"/>
      <c r="N95" s="501" t="n"/>
      <c r="O95" s="501" t="n"/>
      <c r="P95" s="501" t="n"/>
      <c r="Q95" s="501" t="n"/>
      <c r="R95" s="501" t="n"/>
      <c r="S95" s="501" t="n"/>
      <c r="T95" s="501" t="n"/>
      <c r="U95" s="501" t="n"/>
      <c r="V95" s="501" t="n"/>
      <c r="W95" s="501" t="n"/>
      <c r="X95" s="501" t="n"/>
      <c r="Y95" s="501" t="n"/>
      <c r="Z95" s="501" t="n"/>
      <c r="AA95" s="501" t="n"/>
      <c r="AB95" s="501" t="n"/>
      <c r="AC95" s="501" t="n"/>
      <c r="AD95" s="501" t="n"/>
      <c r="AE95" s="501" t="n"/>
      <c r="AF95" s="501" t="n"/>
      <c r="AG95" s="501" t="n"/>
    </row>
    <row r="96" ht="26.44" customHeight="1" s="254">
      <c r="A96" s="268" t="inlineStr">
        <is>
          <t>Class</t>
        </is>
      </c>
      <c r="B96" s="647" t="n"/>
      <c r="C96" s="510" t="inlineStr">
        <is>
          <t>Yearly warranty</t>
        </is>
      </c>
      <c r="D96" s="510" t="inlineStr">
        <is>
          <t>In-warranty service</t>
        </is>
      </c>
      <c r="E96" s="510" t="inlineStr">
        <is>
          <t>Warranty + service, year 3+</t>
        </is>
      </c>
      <c r="F96" s="510" t="inlineStr">
        <is>
          <t>Out-of-warranty service</t>
        </is>
      </c>
      <c r="G96" s="638" t="inlineStr">
        <is>
          <t>Included manufacturer warranty</t>
        </is>
      </c>
      <c r="H96" s="501" t="n"/>
      <c r="I96" s="501" t="n"/>
      <c r="J96" s="501" t="n"/>
      <c r="K96" s="501" t="n"/>
      <c r="L96" s="501" t="n"/>
      <c r="M96" s="501" t="n"/>
      <c r="N96" s="501" t="n"/>
      <c r="O96" s="501" t="n"/>
      <c r="P96" s="501" t="n"/>
      <c r="Q96" s="501" t="n"/>
      <c r="R96" s="501" t="n"/>
      <c r="S96" s="501" t="n"/>
      <c r="T96" s="501" t="n"/>
      <c r="U96" s="501" t="n"/>
      <c r="V96" s="501" t="n"/>
      <c r="W96" s="501" t="n"/>
      <c r="X96" s="501" t="n"/>
      <c r="Y96" s="501" t="n"/>
      <c r="Z96" s="501" t="n"/>
      <c r="AA96" s="501" t="n"/>
      <c r="AB96" s="501" t="n"/>
      <c r="AC96" s="501" t="n"/>
      <c r="AD96" s="501" t="n"/>
      <c r="AE96" s="501" t="n"/>
      <c r="AF96" s="501" t="n"/>
      <c r="AG96" s="501" t="n"/>
    </row>
    <row r="97" ht="15" customHeight="1" s="254">
      <c r="A97" s="263" t="inlineStr">
        <is>
          <t>AC Charger - 7.2 kW UP80J-PMP Single</t>
        </is>
      </c>
      <c r="B97" s="501" t="n"/>
      <c r="C97" s="632" t="n">
        <v>416</v>
      </c>
      <c r="D97" s="632" t="n">
        <v>320.11</v>
      </c>
      <c r="E97" s="632" t="n">
        <v>736.11</v>
      </c>
      <c r="F97" s="648" t="inlineStr">
        <is>
          <t>NOT OFFERED</t>
        </is>
      </c>
      <c r="G97" s="566" t="inlineStr">
        <is>
          <t>1 year, parts only</t>
        </is>
      </c>
      <c r="H97" s="501" t="n"/>
      <c r="I97" s="501" t="n"/>
      <c r="J97" s="501" t="n"/>
      <c r="K97" s="501" t="n"/>
      <c r="L97" s="501" t="n"/>
      <c r="M97" s="501" t="n"/>
      <c r="N97" s="501" t="n"/>
      <c r="O97" s="501" t="n"/>
      <c r="P97" s="501" t="n"/>
      <c r="Q97" s="501" t="n"/>
      <c r="R97" s="501" t="n"/>
      <c r="S97" s="501" t="n"/>
      <c r="T97" s="501" t="n"/>
      <c r="U97" s="501" t="n"/>
      <c r="V97" s="501" t="n"/>
      <c r="W97" s="501" t="n"/>
      <c r="X97" s="501" t="n"/>
      <c r="Y97" s="501" t="n"/>
      <c r="Z97" s="501" t="n"/>
      <c r="AA97" s="501" t="n"/>
      <c r="AB97" s="501" t="n"/>
      <c r="AC97" s="501" t="n"/>
      <c r="AD97" s="501" t="n"/>
      <c r="AE97" s="501" t="n"/>
      <c r="AF97" s="501" t="n"/>
      <c r="AG97" s="501" t="n"/>
    </row>
    <row r="98" ht="15" customHeight="1" s="254">
      <c r="A98" s="263" t="inlineStr">
        <is>
          <t>AC Charger - 2 x 7.2 kW UP160J-PMP Dual</t>
        </is>
      </c>
      <c r="B98" s="501" t="n"/>
      <c r="C98" s="632" t="n">
        <v>416</v>
      </c>
      <c r="D98" s="632" t="n">
        <v>320.11</v>
      </c>
      <c r="E98" s="632" t="n">
        <v>736.11</v>
      </c>
      <c r="F98" s="648" t="inlineStr">
        <is>
          <t>NOT OFFERED</t>
        </is>
      </c>
      <c r="G98" s="566" t="inlineStr">
        <is>
          <t>1 year, parts only</t>
        </is>
      </c>
      <c r="H98" s="501" t="n"/>
      <c r="I98" s="501" t="n"/>
      <c r="J98" s="501" t="n"/>
      <c r="K98" s="501" t="n"/>
      <c r="L98" s="501" t="n"/>
      <c r="M98" s="501" t="n"/>
      <c r="N98" s="501" t="n"/>
      <c r="O98" s="501" t="n"/>
      <c r="P98" s="501" t="n"/>
      <c r="Q98" s="501" t="n"/>
      <c r="R98" s="501" t="n"/>
      <c r="S98" s="501" t="n"/>
      <c r="T98" s="501" t="n"/>
      <c r="U98" s="501" t="n"/>
      <c r="V98" s="501" t="n"/>
      <c r="W98" s="501" t="n"/>
      <c r="X98" s="501" t="n"/>
      <c r="Y98" s="501" t="n"/>
      <c r="Z98" s="501" t="n"/>
      <c r="AA98" s="501" t="n"/>
      <c r="AB98" s="501" t="n"/>
      <c r="AC98" s="501" t="n"/>
      <c r="AD98" s="501" t="n"/>
      <c r="AE98" s="501" t="n"/>
      <c r="AF98" s="501" t="n"/>
      <c r="AG98" s="501" t="n"/>
    </row>
    <row r="99" ht="15" customHeight="1" s="254">
      <c r="A99" s="263" t="inlineStr">
        <is>
          <t>AC Charger - 7.2 kW UP80J-WMP Single</t>
        </is>
      </c>
      <c r="B99" s="501" t="n"/>
      <c r="C99" s="632" t="n">
        <v>416</v>
      </c>
      <c r="D99" s="632" t="n">
        <v>320.11</v>
      </c>
      <c r="E99" s="632" t="n">
        <v>736.11</v>
      </c>
      <c r="F99" s="648" t="inlineStr">
        <is>
          <t>NOT OFFERED</t>
        </is>
      </c>
      <c r="G99" s="566" t="inlineStr">
        <is>
          <t>1 year, parts only</t>
        </is>
      </c>
      <c r="H99" s="501" t="n"/>
      <c r="I99" s="501" t="n"/>
      <c r="J99" s="501" t="n"/>
      <c r="K99" s="501" t="n"/>
      <c r="L99" s="501" t="n"/>
      <c r="M99" s="501" t="n"/>
      <c r="N99" s="501" t="n"/>
      <c r="O99" s="501" t="n"/>
      <c r="P99" s="501" t="n"/>
      <c r="Q99" s="501" t="n"/>
      <c r="R99" s="501" t="n"/>
      <c r="S99" s="501" t="n"/>
      <c r="T99" s="501" t="n"/>
      <c r="U99" s="501" t="n"/>
      <c r="V99" s="501" t="n"/>
      <c r="W99" s="501" t="n"/>
      <c r="X99" s="501" t="n"/>
      <c r="Y99" s="501" t="n"/>
      <c r="Z99" s="501" t="n"/>
      <c r="AA99" s="501" t="n"/>
      <c r="AB99" s="501" t="n"/>
      <c r="AC99" s="501" t="n"/>
      <c r="AD99" s="501" t="n"/>
      <c r="AE99" s="501" t="n"/>
      <c r="AF99" s="501" t="n"/>
      <c r="AG99" s="501" t="n"/>
    </row>
    <row r="100" ht="15" customHeight="1" s="254">
      <c r="A100" s="263" t="inlineStr">
        <is>
          <t>AC Charger - 2 x 7.2 kW UP160J-WMP Dual</t>
        </is>
      </c>
      <c r="B100" s="501" t="n"/>
      <c r="C100" s="632" t="n">
        <v>416</v>
      </c>
      <c r="D100" s="632" t="n">
        <v>320.11</v>
      </c>
      <c r="E100" s="632" t="n">
        <v>736.11</v>
      </c>
      <c r="F100" s="648" t="inlineStr">
        <is>
          <t>NOT OFFERED</t>
        </is>
      </c>
      <c r="G100" s="566" t="inlineStr">
        <is>
          <t>1 year, parts only</t>
        </is>
      </c>
      <c r="H100" s="501" t="n"/>
      <c r="I100" s="501" t="n"/>
      <c r="J100" s="501" t="n"/>
      <c r="K100" s="501" t="n"/>
      <c r="L100" s="501" t="n"/>
      <c r="M100" s="501" t="n"/>
      <c r="N100" s="501" t="n"/>
      <c r="O100" s="501" t="n"/>
      <c r="P100" s="501" t="n"/>
      <c r="Q100" s="501" t="n"/>
      <c r="R100" s="501" t="n"/>
      <c r="S100" s="501" t="n"/>
      <c r="T100" s="501" t="n"/>
      <c r="U100" s="501" t="n"/>
      <c r="V100" s="501" t="n"/>
      <c r="W100" s="501" t="n"/>
      <c r="X100" s="501" t="n"/>
      <c r="Y100" s="501" t="n"/>
      <c r="Z100" s="501" t="n"/>
      <c r="AA100" s="501" t="n"/>
      <c r="AB100" s="501" t="n"/>
      <c r="AC100" s="501" t="n"/>
      <c r="AD100" s="501" t="n"/>
      <c r="AE100" s="501" t="n"/>
      <c r="AF100" s="501" t="n"/>
      <c r="AG100" s="501" t="n"/>
    </row>
    <row r="101" ht="15" customHeight="1" s="254">
      <c r="A101" s="263" t="inlineStr">
        <is>
          <t>DC-60kW CCS1 + NACS</t>
        </is>
      </c>
      <c r="B101" s="501" t="n"/>
      <c r="C101" s="632" t="n">
        <v>962.84</v>
      </c>
      <c r="D101" s="632" t="n">
        <v>1476.36</v>
      </c>
      <c r="E101" s="632" t="n">
        <v>2439.2</v>
      </c>
      <c r="F101" s="648" t="inlineStr">
        <is>
          <t>NOT OFFERED</t>
        </is>
      </c>
      <c r="G101" s="566" t="inlineStr">
        <is>
          <t>2 years, parts only</t>
        </is>
      </c>
      <c r="H101" s="501" t="n"/>
      <c r="I101" s="501" t="n"/>
      <c r="J101" s="501" t="n"/>
      <c r="K101" s="501" t="n"/>
      <c r="L101" s="501" t="n"/>
      <c r="M101" s="501" t="n"/>
      <c r="N101" s="501" t="n"/>
      <c r="O101" s="501" t="n"/>
      <c r="P101" s="501" t="n"/>
      <c r="Q101" s="501" t="n"/>
      <c r="R101" s="501" t="n"/>
      <c r="S101" s="501" t="n"/>
      <c r="T101" s="501" t="n"/>
      <c r="U101" s="501" t="n"/>
      <c r="V101" s="501" t="n"/>
      <c r="W101" s="501" t="n"/>
      <c r="X101" s="501" t="n"/>
      <c r="Y101" s="501" t="n"/>
      <c r="Z101" s="501" t="n"/>
      <c r="AA101" s="501" t="n"/>
      <c r="AB101" s="501" t="n"/>
      <c r="AC101" s="501" t="n"/>
      <c r="AD101" s="501" t="n"/>
      <c r="AE101" s="501" t="n"/>
      <c r="AF101" s="501" t="n"/>
      <c r="AG101" s="501" t="n"/>
    </row>
    <row r="102" ht="15" customHeight="1" s="254">
      <c r="A102" s="263" t="inlineStr">
        <is>
          <t>DC-120kW CCS1 + NACS</t>
        </is>
      </c>
      <c r="B102" s="501" t="n"/>
      <c r="C102" s="632" t="n">
        <v>1196.91</v>
      </c>
      <c r="D102" s="632" t="n">
        <v>1616.76</v>
      </c>
      <c r="E102" s="632" t="n">
        <v>2813.67</v>
      </c>
      <c r="F102" s="648" t="inlineStr">
        <is>
          <t>NOT OFFERED</t>
        </is>
      </c>
      <c r="G102" s="566" t="inlineStr">
        <is>
          <t>2 years, parts only</t>
        </is>
      </c>
      <c r="H102" s="501" t="n"/>
      <c r="I102" s="501" t="n"/>
      <c r="J102" s="501" t="n"/>
      <c r="K102" s="501" t="n"/>
      <c r="L102" s="501" t="n"/>
      <c r="M102" s="501" t="n"/>
      <c r="N102" s="501" t="n"/>
      <c r="O102" s="501" t="n"/>
      <c r="P102" s="501" t="n"/>
      <c r="Q102" s="501" t="n"/>
      <c r="R102" s="501" t="n"/>
      <c r="S102" s="501" t="n"/>
      <c r="T102" s="501" t="n"/>
      <c r="U102" s="501" t="n"/>
      <c r="V102" s="501" t="n"/>
      <c r="W102" s="501" t="n"/>
      <c r="X102" s="501" t="n"/>
      <c r="Y102" s="501" t="n"/>
      <c r="Z102" s="501" t="n"/>
      <c r="AA102" s="501" t="n"/>
      <c r="AB102" s="501" t="n"/>
      <c r="AC102" s="501" t="n"/>
      <c r="AD102" s="501" t="n"/>
      <c r="AE102" s="501" t="n"/>
      <c r="AF102" s="501" t="n"/>
      <c r="AG102" s="501" t="n"/>
    </row>
    <row r="103" ht="15" customHeight="1" s="254">
      <c r="A103" s="263" t="inlineStr">
        <is>
          <t>DC-160kW CCS1 + NACS</t>
        </is>
      </c>
      <c r="B103" s="501" t="n"/>
      <c r="C103" s="632" t="n">
        <v>1428.57</v>
      </c>
      <c r="D103" s="632" t="n">
        <v>1879.2</v>
      </c>
      <c r="E103" s="632" t="n">
        <v>3307.77</v>
      </c>
      <c r="F103" s="648" t="inlineStr">
        <is>
          <t>NOT OFFERED</t>
        </is>
      </c>
      <c r="G103" s="566" t="inlineStr">
        <is>
          <t>2 years, parts only</t>
        </is>
      </c>
      <c r="H103" s="501" t="n"/>
      <c r="I103" s="501" t="n"/>
      <c r="J103" s="501" t="n"/>
      <c r="K103" s="501" t="n"/>
      <c r="L103" s="501" t="n"/>
      <c r="M103" s="501" t="n"/>
      <c r="N103" s="501" t="n"/>
      <c r="O103" s="501" t="n"/>
      <c r="P103" s="501" t="n"/>
      <c r="Q103" s="501" t="n"/>
      <c r="R103" s="501" t="n"/>
      <c r="S103" s="501" t="n"/>
      <c r="T103" s="501" t="n"/>
      <c r="U103" s="501" t="n"/>
      <c r="V103" s="501" t="n"/>
      <c r="W103" s="501" t="n"/>
      <c r="X103" s="501" t="n"/>
      <c r="Y103" s="501" t="n"/>
      <c r="Z103" s="501" t="n"/>
      <c r="AA103" s="501" t="n"/>
      <c r="AB103" s="501" t="n"/>
      <c r="AC103" s="501" t="n"/>
      <c r="AD103" s="501" t="n"/>
      <c r="AE103" s="501" t="n"/>
      <c r="AF103" s="501" t="n"/>
      <c r="AG103" s="501" t="n"/>
    </row>
    <row r="104" ht="15" customHeight="1" s="254">
      <c r="A104" s="263" t="inlineStr">
        <is>
          <t>DC-180KW</t>
        </is>
      </c>
      <c r="B104" s="501" t="n"/>
      <c r="C104" s="632" t="n">
        <v>1856.844</v>
      </c>
      <c r="D104" s="632" t="n">
        <v>2708.64</v>
      </c>
      <c r="E104" s="632" t="n">
        <v>4565.484</v>
      </c>
      <c r="F104" s="648" t="inlineStr">
        <is>
          <t>NOT OFFERED</t>
        </is>
      </c>
      <c r="G104" s="566" t="inlineStr">
        <is>
          <t>2 years, parts only</t>
        </is>
      </c>
      <c r="H104" s="501" t="n"/>
      <c r="I104" s="501" t="n"/>
      <c r="J104" s="501" t="n"/>
      <c r="K104" s="501" t="n"/>
      <c r="L104" s="501" t="n"/>
      <c r="M104" s="501" t="n"/>
      <c r="N104" s="501" t="n"/>
      <c r="O104" s="501" t="n"/>
      <c r="P104" s="501" t="n"/>
      <c r="Q104" s="501" t="n"/>
      <c r="R104" s="501" t="n"/>
      <c r="S104" s="501" t="n"/>
      <c r="T104" s="501" t="n"/>
      <c r="U104" s="501" t="n"/>
      <c r="V104" s="501" t="n"/>
      <c r="W104" s="501" t="n"/>
      <c r="X104" s="501" t="n"/>
      <c r="Y104" s="501" t="n"/>
      <c r="Z104" s="501" t="n"/>
      <c r="AA104" s="501" t="n"/>
      <c r="AB104" s="501" t="n"/>
      <c r="AC104" s="501" t="n"/>
      <c r="AD104" s="501" t="n"/>
      <c r="AE104" s="501" t="n"/>
      <c r="AF104" s="501" t="n"/>
      <c r="AG104" s="501" t="n"/>
    </row>
    <row r="105" ht="15" customHeight="1" s="254">
      <c r="A105" s="263" t="inlineStr">
        <is>
          <t>DC-240KW</t>
        </is>
      </c>
      <c r="B105" s="501" t="n"/>
      <c r="C105" s="632" t="n">
        <v>2708.64</v>
      </c>
      <c r="D105" s="632" t="n">
        <v>6478.754</v>
      </c>
      <c r="E105" s="632" t="n">
        <v>9187.394</v>
      </c>
      <c r="F105" s="648" t="inlineStr">
        <is>
          <t>NOT OFFERED</t>
        </is>
      </c>
      <c r="G105" s="566" t="inlineStr">
        <is>
          <t>2 years, parts only</t>
        </is>
      </c>
      <c r="H105" s="501" t="n"/>
      <c r="I105" s="501" t="n"/>
      <c r="J105" s="501" t="n"/>
      <c r="K105" s="501" t="n"/>
      <c r="L105" s="501" t="n"/>
      <c r="M105" s="501" t="n"/>
      <c r="N105" s="501" t="n"/>
      <c r="O105" s="501" t="n"/>
      <c r="P105" s="501" t="n"/>
      <c r="Q105" s="501" t="n"/>
      <c r="R105" s="501" t="n"/>
      <c r="S105" s="501" t="n"/>
      <c r="T105" s="501" t="n"/>
      <c r="U105" s="501" t="n"/>
      <c r="V105" s="501" t="n"/>
      <c r="W105" s="501" t="n"/>
      <c r="X105" s="501" t="n"/>
      <c r="Y105" s="501" t="n"/>
      <c r="Z105" s="501" t="n"/>
      <c r="AA105" s="501" t="n"/>
      <c r="AB105" s="501" t="n"/>
      <c r="AC105" s="501" t="n"/>
      <c r="AD105" s="501" t="n"/>
      <c r="AE105" s="501" t="n"/>
      <c r="AF105" s="501" t="n"/>
      <c r="AG105" s="501" t="n"/>
    </row>
    <row r="106" ht="15" customHeight="1" s="254">
      <c r="A106" s="263" t="inlineStr">
        <is>
          <t>DC-360kW CCS1 + CCS1</t>
        </is>
      </c>
      <c r="B106" s="501" t="n"/>
      <c r="C106" s="632" t="n">
        <v>4051.08</v>
      </c>
      <c r="D106" s="632" t="n">
        <v>4898.88</v>
      </c>
      <c r="E106" s="632" t="n">
        <v>8949.959999999999</v>
      </c>
      <c r="F106" s="648" t="inlineStr">
        <is>
          <t>NOT OFFERED</t>
        </is>
      </c>
      <c r="G106" s="566" t="inlineStr">
        <is>
          <t>2 years, parts only</t>
        </is>
      </c>
      <c r="H106" s="501" t="n"/>
      <c r="I106" s="501" t="n"/>
      <c r="J106" s="501" t="n"/>
      <c r="K106" s="501" t="n"/>
      <c r="L106" s="501" t="n"/>
      <c r="M106" s="501" t="n"/>
      <c r="N106" s="501" t="n"/>
      <c r="O106" s="501" t="n"/>
      <c r="P106" s="501" t="n"/>
      <c r="Q106" s="501" t="n"/>
      <c r="R106" s="501" t="n"/>
      <c r="S106" s="501" t="n"/>
      <c r="T106" s="501" t="n"/>
      <c r="U106" s="501" t="n"/>
      <c r="V106" s="501" t="n"/>
      <c r="W106" s="501" t="n"/>
      <c r="X106" s="501" t="n"/>
      <c r="Y106" s="501" t="n"/>
      <c r="Z106" s="501" t="n"/>
      <c r="AA106" s="501" t="n"/>
      <c r="AB106" s="501" t="n"/>
      <c r="AC106" s="501" t="n"/>
      <c r="AD106" s="501" t="n"/>
      <c r="AE106" s="501" t="n"/>
      <c r="AF106" s="501" t="n"/>
      <c r="AG106" s="501" t="n"/>
    </row>
    <row r="107" ht="15" customHeight="1" s="254">
      <c r="A107" s="263" t="inlineStr">
        <is>
          <t>CTX-DSPB-360</t>
        </is>
      </c>
      <c r="B107" s="649" t="n"/>
      <c r="C107" s="441">
        <f>C106+(C106*25%)</f>
        <v/>
      </c>
      <c r="D107" s="441">
        <f>D106+(D106*25%)</f>
        <v/>
      </c>
      <c r="E107" s="441">
        <f>D107+C107</f>
        <v/>
      </c>
      <c r="F107" s="648" t="inlineStr">
        <is>
          <t>NOT OFFERED</t>
        </is>
      </c>
      <c r="G107" s="566" t="inlineStr">
        <is>
          <t>2 years, parts only</t>
        </is>
      </c>
      <c r="H107" s="501" t="n"/>
      <c r="I107" s="501" t="n"/>
      <c r="J107" s="501" t="n"/>
      <c r="K107" s="501" t="n"/>
      <c r="L107" s="501" t="n"/>
      <c r="M107" s="501" t="n"/>
      <c r="N107" s="501" t="n"/>
      <c r="O107" s="501" t="n"/>
      <c r="P107" s="501" t="n"/>
      <c r="Q107" s="501" t="n"/>
      <c r="R107" s="501" t="n"/>
      <c r="S107" s="501" t="n"/>
      <c r="T107" s="501" t="n"/>
      <c r="U107" s="501" t="n"/>
      <c r="V107" s="501" t="n"/>
      <c r="W107" s="501" t="n"/>
      <c r="X107" s="501" t="n"/>
      <c r="Y107" s="501" t="n"/>
      <c r="Z107" s="501" t="n"/>
      <c r="AA107" s="501" t="n"/>
      <c r="AB107" s="501" t="n"/>
      <c r="AC107" s="501" t="n"/>
      <c r="AD107" s="501" t="n"/>
      <c r="AE107" s="501" t="n"/>
      <c r="AF107" s="501" t="n"/>
      <c r="AG107" s="501" t="n"/>
    </row>
    <row r="108" ht="15" customHeight="1" s="254">
      <c r="A108" s="263" t="inlineStr">
        <is>
          <t>CTX-DSPB-480</t>
        </is>
      </c>
      <c r="B108" s="649" t="n"/>
      <c r="C108" s="441">
        <f>C107+(C107*30%)</f>
        <v/>
      </c>
      <c r="D108" s="441">
        <f>D107+(D107*25%)</f>
        <v/>
      </c>
      <c r="E108" s="441">
        <f>D108+C108</f>
        <v/>
      </c>
      <c r="F108" s="648" t="inlineStr">
        <is>
          <t>NOT OFFERED</t>
        </is>
      </c>
      <c r="G108" s="566" t="inlineStr">
        <is>
          <t>2 years, parts only</t>
        </is>
      </c>
      <c r="H108" s="501" t="n"/>
      <c r="I108" s="501" t="n"/>
      <c r="J108" s="501" t="n"/>
      <c r="K108" s="501" t="n"/>
      <c r="L108" s="501" t="n"/>
      <c r="M108" s="501" t="n"/>
      <c r="N108" s="501" t="n"/>
      <c r="O108" s="501" t="n"/>
      <c r="P108" s="501" t="n"/>
      <c r="Q108" s="501" t="n"/>
      <c r="R108" s="501" t="n"/>
      <c r="S108" s="501" t="n"/>
      <c r="T108" s="501" t="n"/>
      <c r="U108" s="501" t="n"/>
      <c r="V108" s="501" t="n"/>
      <c r="W108" s="501" t="n"/>
      <c r="X108" s="501" t="n"/>
      <c r="Y108" s="501" t="n"/>
      <c r="Z108" s="501" t="n"/>
      <c r="AA108" s="501" t="n"/>
      <c r="AB108" s="501" t="n"/>
      <c r="AC108" s="501" t="n"/>
      <c r="AD108" s="501" t="n"/>
      <c r="AE108" s="501" t="n"/>
      <c r="AF108" s="501" t="n"/>
      <c r="AG108" s="501" t="n"/>
    </row>
    <row r="109" ht="15" customHeight="1" s="254">
      <c r="A109" s="263" t="inlineStr">
        <is>
          <t>CTX-DSPB-1280</t>
        </is>
      </c>
      <c r="B109" s="649" t="n"/>
      <c r="C109" s="441">
        <f>C108+(C108*50%)</f>
        <v/>
      </c>
      <c r="D109" s="441">
        <f>D108+(D108*25%)</f>
        <v/>
      </c>
      <c r="E109" s="441">
        <f>D109+C109</f>
        <v/>
      </c>
      <c r="F109" s="648" t="inlineStr">
        <is>
          <t>NOT OFFERED</t>
        </is>
      </c>
      <c r="G109" s="566" t="inlineStr">
        <is>
          <t>2 years, parts only</t>
        </is>
      </c>
      <c r="H109" s="501" t="n"/>
      <c r="I109" s="501" t="n"/>
      <c r="J109" s="501" t="n"/>
      <c r="K109" s="501" t="n"/>
      <c r="L109" s="501" t="n"/>
      <c r="M109" s="501" t="n"/>
      <c r="N109" s="501" t="n"/>
      <c r="O109" s="501" t="n"/>
      <c r="P109" s="501" t="n"/>
      <c r="Q109" s="501" t="n"/>
      <c r="R109" s="501" t="n"/>
      <c r="S109" s="501" t="n"/>
      <c r="T109" s="501" t="n"/>
      <c r="U109" s="501" t="n"/>
      <c r="V109" s="501" t="n"/>
      <c r="W109" s="501" t="n"/>
      <c r="X109" s="501" t="n"/>
      <c r="Y109" s="501" t="n"/>
      <c r="Z109" s="501" t="n"/>
      <c r="AA109" s="501" t="n"/>
      <c r="AB109" s="501" t="n"/>
      <c r="AC109" s="501" t="n"/>
      <c r="AD109" s="501" t="n"/>
      <c r="AE109" s="501" t="n"/>
      <c r="AF109" s="501" t="n"/>
      <c r="AG109" s="501" t="n"/>
    </row>
    <row r="110" ht="14.25" customHeight="1" s="254">
      <c r="A110" s="263" t="inlineStr">
        <is>
          <t>CTX-DST-2-300/CTX-DST-HPC-2-500/300</t>
        </is>
      </c>
      <c r="B110" s="501" t="n"/>
      <c r="C110" s="632" t="n">
        <v>962.84</v>
      </c>
      <c r="D110" s="632" t="n">
        <v>1476.36</v>
      </c>
      <c r="E110" s="441">
        <f>D110+C110</f>
        <v/>
      </c>
      <c r="F110" s="501" t="n"/>
      <c r="G110" s="501" t="n"/>
      <c r="H110" s="501" t="n"/>
      <c r="I110" s="501" t="n"/>
      <c r="J110" s="501" t="n"/>
      <c r="K110" s="501" t="n"/>
      <c r="L110" s="501" t="n"/>
      <c r="M110" s="501" t="n"/>
      <c r="N110" s="501" t="n"/>
      <c r="O110" s="501" t="n"/>
      <c r="P110" s="501" t="n"/>
      <c r="Q110" s="501" t="n"/>
      <c r="R110" s="501" t="n"/>
      <c r="S110" s="501" t="n"/>
      <c r="T110" s="501" t="n"/>
      <c r="U110" s="501" t="n"/>
      <c r="V110" s="501" t="n"/>
      <c r="W110" s="501" t="n"/>
      <c r="X110" s="501" t="n"/>
      <c r="Y110" s="501" t="n"/>
      <c r="Z110" s="501" t="n"/>
      <c r="AA110" s="501" t="n"/>
      <c r="AB110" s="501" t="n"/>
      <c r="AC110" s="501" t="n"/>
      <c r="AD110" s="501" t="n"/>
      <c r="AE110" s="501" t="n"/>
      <c r="AF110" s="501" t="n"/>
      <c r="AG110" s="501" t="n"/>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501" t="n"/>
      <c r="I111" s="501" t="n"/>
      <c r="J111" s="501" t="n"/>
      <c r="K111" s="501" t="n"/>
      <c r="L111" s="501" t="n"/>
      <c r="M111" s="501" t="n"/>
      <c r="N111" s="501" t="n"/>
      <c r="O111" s="501" t="n"/>
      <c r="P111" s="501" t="n"/>
      <c r="Q111" s="501" t="n"/>
      <c r="R111" s="501" t="n"/>
      <c r="S111" s="501" t="n"/>
      <c r="T111" s="501" t="n"/>
      <c r="U111" s="501" t="n"/>
      <c r="V111" s="501" t="n"/>
      <c r="W111" s="501" t="n"/>
      <c r="X111" s="501" t="n"/>
      <c r="Y111" s="501" t="n"/>
      <c r="Z111" s="501" t="n"/>
      <c r="AA111" s="501" t="n"/>
      <c r="AB111" s="501" t="n"/>
      <c r="AC111" s="501" t="n"/>
      <c r="AD111" s="501" t="n"/>
      <c r="AE111" s="501" t="n"/>
      <c r="AF111" s="501" t="n"/>
      <c r="AG111" s="501" t="n"/>
    </row>
    <row r="112" ht="19.5" customHeight="1" s="254">
      <c r="A112" s="285" t="inlineStr">
        <is>
          <t>The year-3+ rate is the yearly warranty plus the in-warranty service rate. Extending the warranty does not change what service costs; it adds back the warranty the manufacturer previously gave.</t>
        </is>
      </c>
      <c r="H112" s="501" t="n"/>
      <c r="I112" s="501" t="n"/>
      <c r="J112" s="501" t="n"/>
      <c r="K112" s="501" t="n"/>
      <c r="L112" s="501" t="n"/>
      <c r="M112" s="501" t="n"/>
      <c r="N112" s="501" t="n"/>
      <c r="O112" s="501" t="n"/>
      <c r="P112" s="501" t="n"/>
      <c r="Q112" s="501" t="n"/>
      <c r="R112" s="501" t="n"/>
      <c r="S112" s="501" t="n"/>
      <c r="T112" s="501" t="n"/>
      <c r="U112" s="501" t="n"/>
      <c r="V112" s="501" t="n"/>
      <c r="W112" s="501" t="n"/>
      <c r="X112" s="501" t="n"/>
      <c r="Y112" s="501" t="n"/>
      <c r="Z112" s="501" t="n"/>
      <c r="AA112" s="501" t="n"/>
      <c r="AB112" s="501" t="n"/>
      <c r="AC112" s="501" t="n"/>
      <c r="AD112" s="501" t="n"/>
      <c r="AE112" s="501" t="n"/>
      <c r="AF112" s="501" t="n"/>
      <c r="AG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c r="W113" s="501" t="n"/>
      <c r="X113" s="501" t="n"/>
      <c r="Y113" s="501" t="n"/>
      <c r="Z113" s="501" t="n"/>
      <c r="AA113" s="501" t="n"/>
      <c r="AB113" s="501" t="n"/>
      <c r="AC113" s="501" t="n"/>
      <c r="AD113" s="501" t="n"/>
      <c r="AE113" s="501" t="n"/>
      <c r="AF113" s="501" t="n"/>
      <c r="AG113" s="501" t="n"/>
    </row>
    <row r="114" ht="14.25" customHeight="1" s="254">
      <c r="A114" s="501" t="n"/>
      <c r="B114" s="501" t="n"/>
      <c r="C114" s="501" t="n"/>
      <c r="D114" s="501" t="n"/>
      <c r="E114" s="650" t="n"/>
      <c r="F114" s="501" t="n"/>
      <c r="G114" s="501" t="n"/>
      <c r="H114" s="501" t="n"/>
      <c r="I114" s="501" t="n"/>
      <c r="J114" s="501" t="n"/>
      <c r="K114" s="501" t="n"/>
      <c r="L114" s="501" t="n"/>
      <c r="M114" s="501" t="n"/>
      <c r="N114" s="501" t="n"/>
      <c r="O114" s="501" t="n"/>
      <c r="P114" s="501" t="n"/>
      <c r="Q114" s="501" t="n"/>
      <c r="R114" s="501" t="n"/>
      <c r="S114" s="501" t="n"/>
      <c r="T114" s="501" t="n"/>
      <c r="U114" s="501" t="n"/>
      <c r="V114" s="501" t="n"/>
      <c r="W114" s="501" t="n"/>
      <c r="X114" s="501" t="n"/>
      <c r="Y114" s="501" t="n"/>
      <c r="Z114" s="501" t="n"/>
      <c r="AA114" s="501" t="n"/>
      <c r="AB114" s="501" t="n"/>
      <c r="AC114" s="501" t="n"/>
      <c r="AD114" s="501" t="n"/>
      <c r="AE114" s="501" t="n"/>
      <c r="AF114" s="501" t="n"/>
      <c r="AG114" s="501" t="n"/>
    </row>
    <row r="115" ht="33.04000000000001" customHeight="1" s="254">
      <c r="A115" s="335" t="inlineStr">
        <is>
          <t>EQUIPMENT ARCHITECTURE — what each SKU is, not just what it costs</t>
        </is>
      </c>
      <c r="B115" s="501" t="n"/>
      <c r="C115" s="501" t="n"/>
      <c r="D115" s="501" t="n"/>
      <c r="E115" s="501" t="n"/>
      <c r="F115" s="501" t="n"/>
      <c r="G115" s="501" t="n"/>
      <c r="H115" s="501" t="n"/>
      <c r="I115" s="501" t="n"/>
      <c r="J115" s="501" t="n"/>
      <c r="K115" s="501" t="n"/>
      <c r="L115" s="501" t="n"/>
      <c r="M115" s="501" t="n"/>
      <c r="N115" s="501" t="n"/>
      <c r="O115" s="501" t="n"/>
      <c r="P115" s="501" t="n"/>
      <c r="Q115" s="501" t="n"/>
      <c r="R115" s="501" t="n"/>
      <c r="S115" s="501" t="n"/>
      <c r="T115" s="501" t="n"/>
      <c r="U115" s="501" t="n"/>
      <c r="V115" s="501" t="n"/>
      <c r="W115" s="501" t="n"/>
      <c r="X115" s="501" t="n"/>
      <c r="Y115" s="501" t="n"/>
      <c r="Z115" s="501" t="n"/>
      <c r="AA115" s="501" t="n"/>
      <c r="AB115" s="501" t="n"/>
      <c r="AC115" s="501" t="n"/>
      <c r="AD115" s="501" t="n"/>
      <c r="AE115" s="501" t="n"/>
      <c r="AF115" s="501" t="n"/>
      <c r="AG115" s="501" t="n"/>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c r="I116" s="501" t="n"/>
      <c r="J116" s="501" t="n"/>
      <c r="K116" s="501" t="n"/>
      <c r="L116" s="501" t="n"/>
      <c r="M116" s="501" t="n"/>
      <c r="N116" s="501" t="n"/>
      <c r="O116" s="501" t="n"/>
      <c r="P116" s="501" t="n"/>
      <c r="Q116" s="501" t="n"/>
      <c r="R116" s="501" t="n"/>
      <c r="S116" s="501" t="n"/>
      <c r="T116" s="501" t="n"/>
      <c r="U116" s="501" t="n"/>
      <c r="V116" s="501" t="n"/>
      <c r="W116" s="501" t="n"/>
      <c r="X116" s="501" t="n"/>
      <c r="Y116" s="501" t="n"/>
      <c r="Z116" s="501" t="n"/>
      <c r="AA116" s="501" t="n"/>
      <c r="AB116" s="501" t="n"/>
      <c r="AC116" s="501" t="n"/>
      <c r="AD116" s="501" t="n"/>
      <c r="AE116" s="501" t="n"/>
      <c r="AF116" s="501" t="n"/>
      <c r="AG116" s="501" t="n"/>
    </row>
    <row r="117" ht="26.44" customHeight="1" s="254">
      <c r="A117" s="351" t="inlineStr">
        <is>
          <t>SKU</t>
        </is>
      </c>
      <c r="B117" s="572" t="inlineStr">
        <is>
          <t>Role</t>
        </is>
      </c>
      <c r="C117" s="571" t="inlineStr">
        <is>
          <t>DC output kW</t>
        </is>
      </c>
      <c r="D117" s="572" t="inlineStr">
        <is>
          <t>AC input kW</t>
        </is>
      </c>
      <c r="E117" s="572" t="inlineStr">
        <is>
          <t>AC input circuits</t>
        </is>
      </c>
      <c r="F117" s="572" t="inlineStr">
        <is>
          <t>AC FLA total</t>
        </is>
      </c>
      <c r="G117" s="572" t="inlineStr">
        <is>
          <t>DC outputs / connectors</t>
        </is>
      </c>
      <c r="H117" s="572" t="inlineStr">
        <is>
          <t>Max dual dispensers</t>
        </is>
      </c>
      <c r="I117" s="571" t="inlineStr">
        <is>
          <t>Source and confidence</t>
        </is>
      </c>
      <c r="J117" s="501" t="n"/>
      <c r="K117" s="501" t="n"/>
      <c r="L117" s="501" t="n"/>
      <c r="M117" s="501" t="n"/>
      <c r="N117" s="501" t="n"/>
      <c r="O117" s="501" t="n"/>
      <c r="P117" s="501" t="n"/>
      <c r="Q117" s="501" t="n"/>
      <c r="R117" s="501" t="n"/>
      <c r="S117" s="501" t="n"/>
      <c r="T117" s="501" t="n"/>
      <c r="U117" s="501" t="n"/>
      <c r="V117" s="501" t="n"/>
      <c r="W117" s="501" t="n"/>
      <c r="X117" s="501" t="n"/>
      <c r="Y117" s="501" t="n"/>
      <c r="Z117" s="501" t="n"/>
      <c r="AA117" s="501" t="n"/>
      <c r="AB117" s="501" t="n"/>
      <c r="AC117" s="501" t="n"/>
      <c r="AD117" s="501" t="n"/>
      <c r="AE117" s="501" t="n"/>
      <c r="AF117" s="501" t="n"/>
      <c r="AG117" s="501" t="n"/>
    </row>
    <row r="118" ht="19.5" customHeight="1" s="254">
      <c r="A118" s="459" t="inlineStr">
        <is>
          <t>CTX-DSPB-360</t>
        </is>
      </c>
      <c r="B118" s="651" t="inlineStr">
        <is>
          <t>Power cabinet — no connectors</t>
        </is>
      </c>
      <c r="C118" s="652" t="n">
        <v>360</v>
      </c>
      <c r="D118" s="652" t="n">
        <v>393</v>
      </c>
      <c r="E118" s="652" t="n">
        <v>2</v>
      </c>
      <c r="F118" s="652" t="n">
        <v>472.7</v>
      </c>
      <c r="G118" s="652" t="n">
        <v>6</v>
      </c>
      <c r="H118" s="652" t="n">
        <v>3</v>
      </c>
      <c r="I118" s="653" t="inlineStr">
        <is>
          <t>DERIVED — AC input, circuit count and the 3-dispenser limit extrapolated from the published 480 kW cabinet. Confirm all three with Chargetronix before sizing service.</t>
        </is>
      </c>
      <c r="J118" s="538" t="n"/>
      <c r="K118" s="538" t="n"/>
      <c r="L118" s="538" t="n"/>
      <c r="M118" s="538" t="n"/>
      <c r="N118" s="538" t="n"/>
      <c r="O118" s="538" t="n"/>
      <c r="P118" s="538" t="n"/>
      <c r="Q118" s="538" t="n"/>
      <c r="R118" s="501" t="n"/>
      <c r="S118" s="501" t="n"/>
      <c r="T118" s="501" t="n"/>
      <c r="U118" s="501" t="n"/>
      <c r="V118" s="501" t="n"/>
      <c r="W118" s="501" t="n"/>
      <c r="X118" s="501" t="n"/>
      <c r="Y118" s="501" t="n"/>
      <c r="Z118" s="501" t="n"/>
      <c r="AA118" s="501" t="n"/>
      <c r="AB118" s="501" t="n"/>
      <c r="AC118" s="501" t="n"/>
      <c r="AD118" s="501" t="n"/>
      <c r="AE118" s="501" t="n"/>
      <c r="AF118" s="501" t="n"/>
      <c r="AG118" s="501" t="n"/>
    </row>
    <row r="119" ht="25.12" customHeight="1" s="254">
      <c r="A119" s="459" t="inlineStr">
        <is>
          <t>CTX-DSPB-480</t>
        </is>
      </c>
      <c r="B119" s="651" t="inlineStr">
        <is>
          <t>Power cabinet — no connectors</t>
        </is>
      </c>
      <c r="C119" s="652" t="n">
        <v>480</v>
      </c>
      <c r="D119" s="652" t="n">
        <v>524</v>
      </c>
      <c r="E119" s="652" t="n">
        <v>2</v>
      </c>
      <c r="F119" s="652" t="n">
        <v>630.3</v>
      </c>
      <c r="G119" s="652" t="n">
        <v>6</v>
      </c>
      <c r="H119" s="652" t="n">
        <v>3</v>
      </c>
      <c r="I119" s="654" t="inlineStr">
        <is>
          <t>PUBLISHED — 480 VAC +/-10%, 3P+PE, 2 input circuits at 315 A each, input power 524 kW, output 480 kW, 200-1000 VDC, 500 A per channel, 1,600 A system, up to 6 DC outputs, dynamic power sharing in 40 kW increments. Takes UP TO 3 DUAL DISPENSERS (6 connectors).</t>
        </is>
      </c>
      <c r="J119" s="538" t="n"/>
      <c r="K119" s="538" t="n"/>
      <c r="L119" s="538" t="n"/>
      <c r="M119" s="538" t="n"/>
      <c r="N119" s="538" t="n"/>
      <c r="O119" s="538" t="n"/>
      <c r="P119" s="538" t="n"/>
      <c r="Q119" s="538" t="n"/>
      <c r="R119" s="501" t="n"/>
      <c r="S119" s="501" t="n"/>
      <c r="T119" s="501" t="n"/>
      <c r="U119" s="501" t="n"/>
      <c r="V119" s="501" t="n"/>
      <c r="W119" s="501" t="n"/>
      <c r="X119" s="501" t="n"/>
      <c r="Y119" s="501" t="n"/>
      <c r="Z119" s="501" t="n"/>
      <c r="AA119" s="501" t="n"/>
      <c r="AB119" s="501" t="n"/>
      <c r="AC119" s="501" t="n"/>
      <c r="AD119" s="501" t="n"/>
      <c r="AE119" s="501" t="n"/>
      <c r="AF119" s="501" t="n"/>
      <c r="AG119" s="501" t="n"/>
    </row>
    <row r="120" ht="19.5" customHeight="1" s="254">
      <c r="A120" s="459" t="inlineStr">
        <is>
          <t>CTX-DSPB-1280</t>
        </is>
      </c>
      <c r="B120" s="651" t="inlineStr">
        <is>
          <t>Power cabinet — no connectors</t>
        </is>
      </c>
      <c r="C120" s="652" t="n">
        <v>1280</v>
      </c>
      <c r="D120" s="652" t="n">
        <v>1397.3</v>
      </c>
      <c r="E120" s="652" t="n">
        <v>6</v>
      </c>
      <c r="F120" s="652" t="n">
        <v>1680.7</v>
      </c>
      <c r="G120" s="652" t="n">
        <v>16</v>
      </c>
      <c r="H120" s="652" t="n">
        <v>8</v>
      </c>
      <c r="I120" s="653" t="inlineStr">
        <is>
          <t>PART PUBLISHED — 1,280 kW output, 480 VAC, 200-1000 VDC, 500 A per output, 4,267 A total, 16 connectors max — so UP TO 8 DUAL DISPENSERS. AC input power and circuit count are DERIVED; confirm with Chargetronix before sizing service.</t>
        </is>
      </c>
      <c r="J120" s="538" t="n"/>
      <c r="K120" s="538" t="n"/>
      <c r="L120" s="538" t="n"/>
      <c r="M120" s="538" t="n"/>
      <c r="N120" s="538" t="n"/>
      <c r="O120" s="538" t="n"/>
      <c r="P120" s="538" t="n"/>
      <c r="Q120" s="538" t="n"/>
      <c r="R120" s="501" t="n"/>
      <c r="S120" s="501" t="n"/>
      <c r="T120" s="501" t="n"/>
      <c r="U120" s="501" t="n"/>
      <c r="V120" s="501" t="n"/>
      <c r="W120" s="501" t="n"/>
      <c r="X120" s="501" t="n"/>
      <c r="Y120" s="501" t="n"/>
      <c r="Z120" s="501" t="n"/>
      <c r="AA120" s="501" t="n"/>
      <c r="AB120" s="501" t="n"/>
      <c r="AC120" s="501" t="n"/>
      <c r="AD120" s="501" t="n"/>
      <c r="AE120" s="501" t="n"/>
      <c r="AF120" s="501" t="n"/>
      <c r="AG120" s="501" t="n"/>
    </row>
    <row r="121" ht="19.5" customHeight="1" s="254">
      <c r="A121" s="459" t="inlineStr">
        <is>
          <t>CTX-DST-2-300</t>
        </is>
      </c>
      <c r="B121" s="651" t="inlineStr">
        <is>
          <t>Dispenser — connectors only</t>
        </is>
      </c>
      <c r="C121" s="652" t="n">
        <v>0</v>
      </c>
      <c r="D121" s="652" t="n">
        <v>0</v>
      </c>
      <c r="E121" s="652" t="n">
        <v>0</v>
      </c>
      <c r="F121" s="652" t="n">
        <v>0</v>
      </c>
      <c r="G121" s="652" t="n">
        <v>2</v>
      </c>
      <c r="H121" s="652" t="n">
        <v>0</v>
      </c>
      <c r="I121" s="654" t="inlineStr">
        <is>
          <t>PUBLISHED — 2 connectors CCS1/NACS, 200-1000 V, up to 2 input circuits per dispenser, load sharing across 2 EVs, 5 m cable, 15 in touchscreen, 241 kg.</t>
        </is>
      </c>
      <c r="J121" s="538" t="n"/>
      <c r="K121" s="538" t="n"/>
      <c r="L121" s="538" t="n"/>
      <c r="M121" s="538" t="n"/>
      <c r="N121" s="538" t="n"/>
      <c r="O121" s="538" t="n"/>
      <c r="P121" s="538" t="n"/>
      <c r="Q121" s="538" t="n"/>
      <c r="R121" s="501" t="n"/>
      <c r="S121" s="501" t="n"/>
      <c r="T121" s="501" t="n"/>
      <c r="U121" s="501" t="n"/>
      <c r="V121" s="501" t="n"/>
      <c r="W121" s="501" t="n"/>
      <c r="X121" s="501" t="n"/>
      <c r="Y121" s="501" t="n"/>
      <c r="Z121" s="501" t="n"/>
      <c r="AA121" s="501" t="n"/>
      <c r="AB121" s="501" t="n"/>
      <c r="AC121" s="501" t="n"/>
      <c r="AD121" s="501" t="n"/>
      <c r="AE121" s="501" t="n"/>
      <c r="AF121" s="501" t="n"/>
      <c r="AG121" s="501" t="n"/>
    </row>
    <row r="122" ht="19.5" customHeight="1" s="254">
      <c r="A122" s="459" t="inlineStr">
        <is>
          <t>CTX-DST-HPC-2-500/300</t>
        </is>
      </c>
      <c r="B122" s="651" t="inlineStr">
        <is>
          <t>Dispenser — connectors only</t>
        </is>
      </c>
      <c r="C122" s="652" t="n">
        <v>0</v>
      </c>
      <c r="D122" s="652" t="n">
        <v>0</v>
      </c>
      <c r="E122" s="652" t="n">
        <v>0</v>
      </c>
      <c r="F122" s="652" t="n">
        <v>0</v>
      </c>
      <c r="G122" s="652" t="n">
        <v>2</v>
      </c>
      <c r="H122" s="652" t="n">
        <v>0</v>
      </c>
      <c r="I122" s="655" t="inlineStr">
        <is>
          <t>PUBLISHED — liquid-cooled connector rated 500 A, air-cooled 200/350 A boost to 400 A.</t>
        </is>
      </c>
      <c r="J122" s="538" t="n"/>
      <c r="K122" s="501" t="n"/>
      <c r="L122" s="501" t="n"/>
      <c r="M122" s="501" t="n"/>
      <c r="N122" s="501" t="n"/>
      <c r="O122" s="501" t="n"/>
      <c r="P122" s="501" t="n"/>
      <c r="Q122" s="501" t="n"/>
      <c r="R122" s="501" t="n"/>
      <c r="S122" s="501" t="n"/>
      <c r="T122" s="501" t="n"/>
      <c r="U122" s="501" t="n"/>
      <c r="V122" s="501" t="n"/>
      <c r="W122" s="501" t="n"/>
      <c r="X122" s="501" t="n"/>
      <c r="Y122" s="501" t="n"/>
      <c r="Z122" s="501" t="n"/>
      <c r="AA122" s="501" t="n"/>
      <c r="AB122" s="501" t="n"/>
      <c r="AC122" s="501" t="n"/>
      <c r="AD122" s="501" t="n"/>
      <c r="AE122" s="501" t="n"/>
      <c r="AF122" s="501" t="n"/>
      <c r="AG122" s="501" t="n"/>
    </row>
    <row r="123">
      <c r="A123" s="501" t="n"/>
      <c r="B123" s="501" t="n"/>
      <c r="C123" s="501" t="n"/>
      <c r="D123" s="501" t="n"/>
      <c r="E123" s="501" t="n"/>
      <c r="F123" s="501" t="n"/>
      <c r="G123" s="501" t="n"/>
      <c r="H123" s="501" t="n"/>
      <c r="I123" s="501" t="n"/>
      <c r="J123" s="501" t="n"/>
      <c r="K123" s="501" t="n"/>
      <c r="L123" s="501" t="n"/>
      <c r="M123" s="501" t="n"/>
      <c r="N123" s="501" t="n"/>
      <c r="O123" s="501" t="n"/>
      <c r="P123" s="501" t="n"/>
      <c r="Q123" s="501" t="n"/>
      <c r="R123" s="501" t="n"/>
      <c r="S123" s="501" t="n"/>
      <c r="T123" s="501" t="n"/>
      <c r="U123" s="501" t="n"/>
      <c r="V123" s="501" t="n"/>
      <c r="W123" s="501" t="n"/>
      <c r="X123" s="501" t="n"/>
      <c r="Y123" s="501" t="n"/>
      <c r="Z123" s="501" t="n"/>
      <c r="AA123" s="501" t="n"/>
      <c r="AB123" s="501" t="n"/>
      <c r="AC123" s="501" t="n"/>
      <c r="AD123" s="501" t="n"/>
      <c r="AE123" s="501" t="n"/>
      <c r="AF123" s="501" t="n"/>
      <c r="AG123" s="501" t="n"/>
    </row>
    <row r="124" ht="19.5" customHeight="1" s="254">
      <c r="A124" s="465" t="inlineStr">
        <is>
          <t>MISSING FROM THE PRICE BOOK — Nexus Fleet Dispenser</t>
        </is>
      </c>
      <c r="B124" s="501" t="n"/>
      <c r="C124" s="561" t="inlineStr">
        <is>
          <t>single connector, CCS1/NACS air cooled 200/350 A, 50 kg, 5 m or 7 m cable, no user interface — in the published range but absent from the price book, so it cannot be quoted.</t>
        </is>
      </c>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c r="W124" s="501" t="n"/>
      <c r="X124" s="501" t="n"/>
      <c r="Y124" s="501" t="n"/>
      <c r="Z124" s="501" t="n"/>
      <c r="AA124" s="501" t="n"/>
      <c r="AB124" s="501" t="n"/>
      <c r="AC124" s="501" t="n"/>
      <c r="AD124" s="501" t="n"/>
      <c r="AE124" s="501" t="n"/>
      <c r="AF124" s="501" t="n"/>
      <c r="AG124" s="501" t="n"/>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tabColor rgb="007A7A7A"/>
    <outlinePr summaryBelow="1" summaryRight="1"/>
    <pageSetUpPr fitToPage="1"/>
  </sheetPr>
  <dimension ref="A1:G20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c r="G1" s="501" t="n"/>
    </row>
    <row r="2" ht="31.5" customHeight="1" s="254">
      <c r="A2" s="265" t="inlineStr">
        <is>
          <t>Lookup tables used by the electrical checks and the costing engine.</t>
        </is>
      </c>
      <c r="B2" s="501" t="n"/>
      <c r="C2" s="501" t="n"/>
      <c r="D2" s="501" t="n"/>
      <c r="E2" s="501" t="n"/>
      <c r="F2" s="501" t="n"/>
      <c r="G2" s="501" t="n"/>
    </row>
    <row r="3" ht="15" customHeight="1" s="254">
      <c r="A3" s="466" t="inlineStr">
        <is>
          <t>Amps required</t>
        </is>
      </c>
      <c r="B3" s="656" t="inlineStr">
        <is>
          <t>Standard frame</t>
        </is>
      </c>
      <c r="C3" s="501" t="n"/>
      <c r="D3" s="656" t="inlineStr">
        <is>
          <t>Charger kW</t>
        </is>
      </c>
      <c r="E3" s="656" t="inlineStr">
        <is>
          <t>Design amps</t>
        </is>
      </c>
      <c r="F3" s="656" t="inlineStr">
        <is>
          <t>Breaker A</t>
        </is>
      </c>
      <c r="G3" s="501" t="n"/>
    </row>
    <row r="4" ht="15" customHeight="1" s="254">
      <c r="A4" s="646" t="n">
        <v>0</v>
      </c>
      <c r="B4" s="646" t="n">
        <v>400</v>
      </c>
      <c r="C4" s="501" t="n"/>
      <c r="D4" s="646" t="n">
        <v>30</v>
      </c>
      <c r="E4" s="646" t="n">
        <v>40</v>
      </c>
      <c r="F4" s="646" t="n">
        <v>50</v>
      </c>
      <c r="G4" s="501" t="n"/>
    </row>
    <row r="5" ht="15" customHeight="1" s="254">
      <c r="A5" s="646" t="n">
        <v>400</v>
      </c>
      <c r="B5" s="646" t="n">
        <v>600</v>
      </c>
      <c r="C5" s="501" t="n"/>
      <c r="D5" s="646" t="n">
        <v>50</v>
      </c>
      <c r="E5" s="646" t="n">
        <v>72</v>
      </c>
      <c r="F5" s="646" t="n">
        <v>100</v>
      </c>
      <c r="G5" s="501" t="n"/>
    </row>
    <row r="6" ht="15" customHeight="1" s="254">
      <c r="A6" s="646" t="n">
        <v>600</v>
      </c>
      <c r="B6" s="646" t="n">
        <v>800</v>
      </c>
      <c r="C6" s="501" t="n"/>
      <c r="D6" s="646" t="n">
        <v>60</v>
      </c>
      <c r="E6" s="646" t="n">
        <v>80</v>
      </c>
      <c r="F6" s="646" t="n">
        <v>100</v>
      </c>
      <c r="G6" s="501" t="n"/>
    </row>
    <row r="7" ht="15" customHeight="1" s="254">
      <c r="A7" s="646" t="n">
        <v>800</v>
      </c>
      <c r="B7" s="646" t="n">
        <v>1000</v>
      </c>
      <c r="C7" s="501" t="n"/>
      <c r="D7" s="646" t="n">
        <v>100</v>
      </c>
      <c r="E7" s="646" t="n">
        <v>130</v>
      </c>
      <c r="F7" s="646" t="n">
        <v>200</v>
      </c>
      <c r="G7" s="501" t="n"/>
    </row>
    <row r="8" ht="15" customHeight="1" s="254">
      <c r="A8" s="646" t="n">
        <v>1000</v>
      </c>
      <c r="B8" s="646" t="n">
        <v>1200</v>
      </c>
      <c r="C8" s="501" t="n"/>
      <c r="D8" s="646" t="n">
        <v>120</v>
      </c>
      <c r="E8" s="646" t="n">
        <v>160</v>
      </c>
      <c r="F8" s="646" t="n">
        <v>200</v>
      </c>
      <c r="G8" s="501" t="n"/>
    </row>
    <row r="9" ht="15" customHeight="1" s="254">
      <c r="A9" s="646" t="n">
        <v>1200</v>
      </c>
      <c r="B9" s="646" t="n">
        <v>1600</v>
      </c>
      <c r="C9" s="501" t="n"/>
      <c r="D9" s="646" t="n">
        <v>160</v>
      </c>
      <c r="E9" s="646" t="n">
        <v>215</v>
      </c>
      <c r="F9" s="646" t="n">
        <v>300</v>
      </c>
      <c r="G9" s="501" t="n"/>
    </row>
    <row r="10" ht="15" customHeight="1" s="254">
      <c r="A10" s="646" t="n">
        <v>1600</v>
      </c>
      <c r="B10" s="646" t="n">
        <v>2000</v>
      </c>
      <c r="C10" s="501" t="n"/>
      <c r="D10" s="646" t="n">
        <v>180</v>
      </c>
      <c r="E10" s="646" t="n">
        <v>240</v>
      </c>
      <c r="F10" s="646" t="n">
        <v>300</v>
      </c>
      <c r="G10" s="501" t="n"/>
    </row>
    <row r="11" ht="15" customHeight="1" s="254">
      <c r="A11" s="646" t="n">
        <v>2000</v>
      </c>
      <c r="B11" s="646" t="n">
        <v>3200</v>
      </c>
      <c r="C11" s="501" t="n"/>
      <c r="D11" s="646" t="n">
        <v>200</v>
      </c>
      <c r="E11" s="646" t="n">
        <v>265</v>
      </c>
      <c r="F11" s="646" t="n">
        <v>335</v>
      </c>
      <c r="G11" s="501" t="n"/>
    </row>
    <row r="12" ht="15" customHeight="1" s="254">
      <c r="A12" s="646" t="n">
        <v>3200</v>
      </c>
      <c r="B12" s="646" t="n">
        <v>4000</v>
      </c>
      <c r="C12" s="501" t="n"/>
      <c r="D12" s="646" t="n">
        <v>240</v>
      </c>
      <c r="E12" s="646" t="n">
        <v>320</v>
      </c>
      <c r="F12" s="646" t="n">
        <v>400</v>
      </c>
      <c r="G12" s="501" t="n"/>
    </row>
    <row r="13" ht="15" customHeight="1" s="254">
      <c r="A13" s="646" t="n">
        <v>4000</v>
      </c>
      <c r="B13" s="646" t="n">
        <v>5000</v>
      </c>
      <c r="C13" s="501" t="n"/>
      <c r="D13" s="646" t="n">
        <v>275</v>
      </c>
      <c r="E13" s="646" t="n">
        <v>385</v>
      </c>
      <c r="F13" s="646" t="n">
        <v>500</v>
      </c>
      <c r="G13" s="501" t="n"/>
    </row>
    <row r="14" ht="15" customHeight="1" s="254">
      <c r="A14" s="646" t="n">
        <v>5000</v>
      </c>
      <c r="B14" s="646" t="n">
        <v>6000</v>
      </c>
      <c r="C14" s="501" t="n"/>
      <c r="D14" s="646" t="n">
        <v>300</v>
      </c>
      <c r="E14" s="646" t="n">
        <v>400</v>
      </c>
      <c r="F14" s="646" t="n">
        <v>500</v>
      </c>
      <c r="G14" s="501" t="n"/>
    </row>
    <row r="15" ht="15" customHeight="1" s="254">
      <c r="A15" s="646" t="n">
        <v>6000</v>
      </c>
      <c r="B15" s="646" t="n">
        <v>10000</v>
      </c>
      <c r="C15" s="501" t="n"/>
      <c r="D15" s="646" t="n">
        <v>360</v>
      </c>
      <c r="E15" s="646" t="n">
        <v>480</v>
      </c>
      <c r="F15" s="646" t="n">
        <v>600</v>
      </c>
      <c r="G15" s="501" t="n"/>
    </row>
    <row r="16">
      <c r="A16" s="501" t="n"/>
      <c r="B16" s="501" t="n"/>
      <c r="C16" s="501" t="n"/>
      <c r="D16" s="501" t="n"/>
      <c r="E16" s="501" t="n"/>
      <c r="F16" s="501" t="n"/>
      <c r="G16" s="501" t="n"/>
    </row>
    <row r="17">
      <c r="A17" s="501" t="n"/>
      <c r="B17" s="501" t="n"/>
      <c r="C17" s="501" t="n"/>
      <c r="D17" s="501" t="n"/>
      <c r="E17" s="501" t="n"/>
      <c r="F17" s="501" t="n"/>
      <c r="G17" s="501" t="n"/>
    </row>
    <row r="18" ht="15" customHeight="1" s="254">
      <c r="A18" s="262" t="inlineStr">
        <is>
          <t>480V SWITCHGEAR AND BREAKER PRICES</t>
        </is>
      </c>
      <c r="B18" s="501" t="n"/>
      <c r="C18" s="501" t="n"/>
      <c r="D18" s="501" t="n"/>
      <c r="E18" s="501" t="n"/>
      <c r="F18" s="501" t="n"/>
      <c r="G18" s="501" t="n"/>
    </row>
    <row r="19" ht="15" customHeight="1" s="254">
      <c r="A19" s="268" t="inlineStr">
        <is>
          <t>Item</t>
        </is>
      </c>
      <c r="B19" s="510" t="inlineStr">
        <is>
          <t>Size</t>
        </is>
      </c>
      <c r="C19" s="510" t="inlineStr">
        <is>
          <t>Cost</t>
        </is>
      </c>
      <c r="D19" s="501" t="n"/>
      <c r="E19" s="501" t="n"/>
      <c r="F19" s="501" t="n"/>
      <c r="G19" s="501" t="n"/>
    </row>
    <row r="20" ht="15" customHeight="1" s="254">
      <c r="A20" s="263" t="inlineStr">
        <is>
          <t>Main</t>
        </is>
      </c>
      <c r="B20" s="518" t="inlineStr">
        <is>
          <t>400A</t>
        </is>
      </c>
      <c r="C20" s="632" t="n">
        <v>20426.82</v>
      </c>
      <c r="D20" s="501" t="n"/>
      <c r="E20" s="501" t="n"/>
      <c r="F20" s="501" t="n"/>
      <c r="G20" s="501" t="n"/>
    </row>
    <row r="21" ht="15" customHeight="1" s="254">
      <c r="A21" s="263" t="inlineStr">
        <is>
          <t>Main</t>
        </is>
      </c>
      <c r="B21" s="518" t="inlineStr">
        <is>
          <t>800A</t>
        </is>
      </c>
      <c r="C21" s="632" t="n">
        <v>31187</v>
      </c>
      <c r="D21" s="501" t="n"/>
      <c r="E21" s="501" t="n"/>
      <c r="F21" s="501" t="n"/>
      <c r="G21" s="501" t="n"/>
    </row>
    <row r="22" ht="15" customHeight="1" s="254">
      <c r="A22" s="263" t="inlineStr">
        <is>
          <t>Main</t>
        </is>
      </c>
      <c r="B22" s="518" t="inlineStr">
        <is>
          <t>1000A</t>
        </is>
      </c>
      <c r="C22" s="632" t="n">
        <v>36812.5</v>
      </c>
      <c r="D22" s="501" t="n"/>
      <c r="E22" s="501" t="n"/>
      <c r="F22" s="501" t="n"/>
      <c r="G22" s="501" t="n"/>
    </row>
    <row r="23" ht="15" customHeight="1" s="254">
      <c r="A23" s="263" t="inlineStr">
        <is>
          <t>Main</t>
        </is>
      </c>
      <c r="B23" s="518" t="inlineStr">
        <is>
          <t>1200A</t>
        </is>
      </c>
      <c r="C23" s="632" t="n">
        <v>43292.68</v>
      </c>
      <c r="D23" s="501" t="n"/>
      <c r="E23" s="501" t="n"/>
      <c r="F23" s="501" t="n"/>
      <c r="G23" s="501" t="n"/>
    </row>
    <row r="24" ht="15" customHeight="1" s="254">
      <c r="A24" s="263" t="inlineStr">
        <is>
          <t>Main</t>
        </is>
      </c>
      <c r="B24" s="518" t="inlineStr">
        <is>
          <t>1600A</t>
        </is>
      </c>
      <c r="C24" s="632" t="n">
        <v>56750</v>
      </c>
      <c r="D24" s="501" t="n"/>
      <c r="E24" s="501" t="n"/>
      <c r="F24" s="501" t="n"/>
      <c r="G24" s="501" t="n"/>
    </row>
    <row r="25" ht="15" customHeight="1" s="254">
      <c r="A25" s="263" t="inlineStr">
        <is>
          <t>Main</t>
        </is>
      </c>
      <c r="B25" s="518" t="inlineStr">
        <is>
          <t>2000A</t>
        </is>
      </c>
      <c r="C25" s="632" t="n">
        <v>60000</v>
      </c>
      <c r="D25" s="501" t="n"/>
      <c r="E25" s="501" t="n"/>
      <c r="F25" s="501" t="n"/>
      <c r="G25" s="501" t="n"/>
    </row>
    <row r="26" ht="15" customHeight="1" s="254">
      <c r="A26" s="263" t="inlineStr">
        <is>
          <t>Main</t>
        </is>
      </c>
      <c r="B26" s="518" t="inlineStr">
        <is>
          <t>2500.0</t>
        </is>
      </c>
      <c r="C26" s="632" t="n">
        <v>58540</v>
      </c>
      <c r="D26" s="501" t="n"/>
      <c r="E26" s="501" t="n"/>
      <c r="F26" s="501" t="n"/>
      <c r="G26" s="501" t="n"/>
    </row>
    <row r="27" ht="15" customHeight="1" s="254">
      <c r="A27" s="263" t="inlineStr">
        <is>
          <t>Main</t>
        </is>
      </c>
      <c r="B27" s="518" t="inlineStr">
        <is>
          <t>3000A</t>
        </is>
      </c>
      <c r="C27" s="632" t="n">
        <v>65000</v>
      </c>
      <c r="D27" s="501" t="n"/>
      <c r="E27" s="501" t="n"/>
      <c r="F27" s="501" t="n"/>
      <c r="G27" s="501" t="n"/>
    </row>
    <row r="28" ht="15" customHeight="1" s="254">
      <c r="A28" s="263" t="inlineStr">
        <is>
          <t>Main</t>
        </is>
      </c>
      <c r="B28" s="518" t="inlineStr">
        <is>
          <t>4000A</t>
        </is>
      </c>
      <c r="C28" s="632" t="n">
        <v>67500</v>
      </c>
      <c r="D28" s="501" t="n"/>
      <c r="E28" s="501" t="n"/>
      <c r="F28" s="501" t="n"/>
      <c r="G28" s="501" t="n"/>
    </row>
    <row r="29" ht="15" customHeight="1" s="254">
      <c r="A29" s="263" t="inlineStr">
        <is>
          <t>Main</t>
        </is>
      </c>
      <c r="B29" s="518" t="inlineStr">
        <is>
          <t>5000A</t>
        </is>
      </c>
      <c r="C29" s="632" t="n">
        <v>70000</v>
      </c>
      <c r="D29" s="501" t="n"/>
      <c r="E29" s="501" t="n"/>
      <c r="F29" s="501" t="n"/>
      <c r="G29" s="501" t="n"/>
    </row>
    <row r="30" ht="15" customHeight="1" s="254">
      <c r="A30" s="263" t="inlineStr">
        <is>
          <t>main breakers</t>
        </is>
      </c>
      <c r="B30" s="518" t="inlineStr">
        <is>
          <t>110A</t>
        </is>
      </c>
      <c r="C30" s="632" t="n">
        <v>650</v>
      </c>
      <c r="D30" s="501" t="n"/>
      <c r="E30" s="501" t="n"/>
      <c r="F30" s="501" t="n"/>
      <c r="G30" s="501" t="n"/>
    </row>
    <row r="31" ht="15" customHeight="1" s="254">
      <c r="A31" s="263" t="inlineStr">
        <is>
          <t>main breakers</t>
        </is>
      </c>
      <c r="B31" s="518" t="inlineStr">
        <is>
          <t>125A</t>
        </is>
      </c>
      <c r="C31" s="632" t="n">
        <v>700</v>
      </c>
      <c r="D31" s="501" t="n"/>
      <c r="E31" s="501" t="n"/>
      <c r="F31" s="501" t="n"/>
      <c r="G31" s="501" t="n"/>
    </row>
    <row r="32" ht="15" customHeight="1" s="254">
      <c r="A32" s="263" t="inlineStr">
        <is>
          <t>main breakers</t>
        </is>
      </c>
      <c r="B32" s="518" t="inlineStr">
        <is>
          <t>250A</t>
        </is>
      </c>
      <c r="C32" s="632" t="n">
        <v>1100</v>
      </c>
      <c r="D32" s="501" t="n"/>
      <c r="E32" s="501" t="n"/>
      <c r="F32" s="501" t="n"/>
      <c r="G32" s="501" t="n"/>
    </row>
    <row r="33" ht="15" customHeight="1" s="254">
      <c r="A33" s="263" t="inlineStr">
        <is>
          <t>main breakers</t>
        </is>
      </c>
      <c r="B33" s="518" t="inlineStr">
        <is>
          <t>3000A</t>
        </is>
      </c>
      <c r="C33" s="632" t="n">
        <v>32500</v>
      </c>
      <c r="D33" s="501" t="n"/>
      <c r="E33" s="501" t="n"/>
      <c r="F33" s="501" t="n"/>
      <c r="G33" s="501" t="n"/>
    </row>
    <row r="34" ht="15" customHeight="1" s="254">
      <c r="A34" s="263" t="inlineStr">
        <is>
          <t>breakers</t>
        </is>
      </c>
      <c r="B34" s="518" t="inlineStr">
        <is>
          <t>100A</t>
        </is>
      </c>
      <c r="C34" s="632" t="n">
        <v>580</v>
      </c>
      <c r="D34" s="501" t="n"/>
      <c r="E34" s="501" t="n"/>
      <c r="F34" s="501" t="n"/>
      <c r="G34" s="501" t="n"/>
    </row>
    <row r="35" ht="15" customHeight="1" s="254">
      <c r="A35" s="263" t="inlineStr">
        <is>
          <t>breakers</t>
        </is>
      </c>
      <c r="B35" s="518" t="inlineStr">
        <is>
          <t>200A</t>
        </is>
      </c>
      <c r="C35" s="632" t="n">
        <v>900</v>
      </c>
      <c r="D35" s="501" t="n"/>
      <c r="E35" s="501" t="n"/>
      <c r="F35" s="501" t="n"/>
      <c r="G35" s="501" t="n"/>
    </row>
    <row r="36" ht="15" customHeight="1" s="254">
      <c r="A36" s="263" t="inlineStr">
        <is>
          <t>breakers</t>
        </is>
      </c>
      <c r="B36" s="518" t="inlineStr">
        <is>
          <t>300A</t>
        </is>
      </c>
      <c r="C36" s="632" t="n">
        <v>1450</v>
      </c>
      <c r="D36" s="501" t="n"/>
      <c r="E36" s="501" t="n"/>
      <c r="F36" s="501" t="n"/>
      <c r="G36" s="501" t="n"/>
    </row>
    <row r="37" ht="15" customHeight="1" s="254">
      <c r="A37" s="263" t="inlineStr">
        <is>
          <t>breakers</t>
        </is>
      </c>
      <c r="B37" s="518" t="inlineStr">
        <is>
          <t>500A</t>
        </is>
      </c>
      <c r="C37" s="632" t="n">
        <v>3100</v>
      </c>
      <c r="D37" s="501" t="n"/>
      <c r="E37" s="501" t="n"/>
      <c r="F37" s="501" t="n"/>
      <c r="G37" s="501" t="n"/>
    </row>
    <row r="38" ht="15" customHeight="1" s="254">
      <c r="A38" s="263" t="inlineStr">
        <is>
          <t>breakers</t>
        </is>
      </c>
      <c r="B38" s="518" t="inlineStr">
        <is>
          <t>600A</t>
        </is>
      </c>
      <c r="C38" s="632" t="n">
        <v>3700</v>
      </c>
      <c r="D38" s="501" t="n"/>
      <c r="E38" s="501" t="n"/>
      <c r="F38" s="501" t="n"/>
      <c r="G38" s="501" t="n"/>
    </row>
    <row r="39" ht="14.25" customHeight="1" s="254">
      <c r="A39" s="263" t="inlineStr">
        <is>
          <t>disconnects</t>
        </is>
      </c>
      <c r="B39" s="518" t="inlineStr">
        <is>
          <t>500A</t>
        </is>
      </c>
      <c r="C39" s="632" t="n">
        <v>4000</v>
      </c>
      <c r="D39" s="501" t="n"/>
      <c r="E39" s="501" t="n"/>
      <c r="F39" s="501" t="n"/>
      <c r="G39" s="501" t="n"/>
    </row>
    <row r="40" ht="15" customHeight="1" s="254">
      <c r="A40" s="262" t="inlineStr">
        <is>
          <t>CONDUCTOR AND CONDUIT — $ PER FOOT</t>
        </is>
      </c>
      <c r="B40" s="501" t="n"/>
      <c r="C40" s="501" t="n"/>
      <c r="D40" s="501" t="n"/>
      <c r="E40" s="501" t="n"/>
      <c r="F40" s="501" t="n"/>
      <c r="G40" s="501" t="n"/>
    </row>
    <row r="41" ht="15" customHeight="1" s="254">
      <c r="A41" s="268" t="inlineStr">
        <is>
          <t>Wire size</t>
        </is>
      </c>
      <c r="B41" s="510" t="inlineStr">
        <is>
          <t>Copper $/ft</t>
        </is>
      </c>
      <c r="C41" s="510" t="inlineStr">
        <is>
          <t>Aluminium $/ft</t>
        </is>
      </c>
      <c r="D41" s="510" t="inlineStr">
        <is>
          <t>Conduit size</t>
        </is>
      </c>
      <c r="E41" s="510" t="inlineStr">
        <is>
          <t>PVC $/ft</t>
        </is>
      </c>
      <c r="F41" s="501" t="n"/>
      <c r="G41" s="501" t="n"/>
    </row>
    <row r="42" ht="15" customHeight="1" s="254">
      <c r="A42" s="263" t="inlineStr">
        <is>
          <t>10 AWG</t>
        </is>
      </c>
      <c r="B42" s="657" t="n">
        <v>0.30329</v>
      </c>
      <c r="C42" s="657" t="n">
        <v>0.28</v>
      </c>
      <c r="D42" s="518" t="inlineStr">
        <is>
          <t>(1/2")</t>
        </is>
      </c>
      <c r="E42" s="657" t="n">
        <v>0.2445</v>
      </c>
      <c r="F42" s="501" t="n"/>
      <c r="G42" s="501" t="n"/>
    </row>
    <row r="43" ht="15" customHeight="1" s="254">
      <c r="A43" s="263" t="inlineStr">
        <is>
          <t>8 AWG</t>
        </is>
      </c>
      <c r="B43" s="657" t="n">
        <v>0.56613</v>
      </c>
      <c r="C43" s="501" t="n"/>
      <c r="D43" s="518" t="inlineStr">
        <is>
          <t>(3/4")</t>
        </is>
      </c>
      <c r="E43" s="657" t="n">
        <v>0.2912</v>
      </c>
      <c r="F43" s="501" t="n"/>
      <c r="G43" s="501" t="n"/>
    </row>
    <row r="44" ht="15" customHeight="1" s="254">
      <c r="A44" s="263" t="inlineStr">
        <is>
          <t>6 AWG</t>
        </is>
      </c>
      <c r="B44" s="657" t="n">
        <v>0.87104</v>
      </c>
      <c r="C44" s="657" t="n">
        <v>0.30636</v>
      </c>
      <c r="D44" s="518" t="inlineStr">
        <is>
          <t>(1")</t>
        </is>
      </c>
      <c r="E44" s="657" t="n">
        <v>0.4698</v>
      </c>
      <c r="F44" s="501" t="n"/>
      <c r="G44" s="501" t="n"/>
    </row>
    <row r="45" ht="15" customHeight="1" s="254">
      <c r="A45" s="263" t="inlineStr">
        <is>
          <t>4 AWG</t>
        </is>
      </c>
      <c r="B45" s="657" t="n">
        <v>1.33293</v>
      </c>
      <c r="C45" s="657" t="n">
        <v>0.37998</v>
      </c>
      <c r="D45" s="518" t="inlineStr">
        <is>
          <t>(1 1/4")</t>
        </is>
      </c>
      <c r="E45" s="657" t="n">
        <v>0.6155</v>
      </c>
      <c r="F45" s="501" t="n"/>
      <c r="G45" s="501" t="n"/>
    </row>
    <row r="46" ht="15" customHeight="1" s="254">
      <c r="A46" s="263" t="inlineStr">
        <is>
          <t>2 AWG</t>
        </is>
      </c>
      <c r="B46" s="657" t="n">
        <v>2.1044</v>
      </c>
      <c r="C46" s="657" t="n">
        <v>0.36681</v>
      </c>
      <c r="D46" s="518" t="inlineStr">
        <is>
          <t>(1 1/2")</t>
        </is>
      </c>
      <c r="E46" s="657" t="n">
        <v>0.7129</v>
      </c>
      <c r="F46" s="501" t="n"/>
      <c r="G46" s="501" t="n"/>
    </row>
    <row r="47" ht="15" customHeight="1" s="254">
      <c r="A47" s="263" t="inlineStr">
        <is>
          <t>1 AWG</t>
        </is>
      </c>
      <c r="B47" s="657" t="n">
        <v>2.39833</v>
      </c>
      <c r="C47" s="657" t="n">
        <v>0.4821</v>
      </c>
      <c r="D47" s="518" t="inlineStr">
        <is>
          <t>(2")</t>
        </is>
      </c>
      <c r="E47" s="657" t="n">
        <v>0.8897</v>
      </c>
      <c r="F47" s="501" t="n"/>
      <c r="G47" s="501" t="n"/>
    </row>
    <row r="48" ht="15" customHeight="1" s="254">
      <c r="A48" s="263" t="inlineStr">
        <is>
          <t>1 /0</t>
        </is>
      </c>
      <c r="B48" s="657" t="n">
        <v>2.95304</v>
      </c>
      <c r="C48" s="657" t="n">
        <v>0.66733</v>
      </c>
      <c r="D48" s="518" t="inlineStr">
        <is>
          <t>(2 1/2")</t>
        </is>
      </c>
      <c r="E48" s="657" t="n">
        <v>1.396</v>
      </c>
      <c r="F48" s="501" t="n"/>
      <c r="G48" s="501" t="n"/>
    </row>
    <row r="49" ht="15" customHeight="1" s="254">
      <c r="A49" s="263" t="inlineStr">
        <is>
          <t>2 /0</t>
        </is>
      </c>
      <c r="B49" s="657" t="n">
        <v>3.63758</v>
      </c>
      <c r="C49" s="657" t="n">
        <v>0.75045</v>
      </c>
      <c r="D49" s="518" t="inlineStr">
        <is>
          <t xml:space="preserve">(3") </t>
        </is>
      </c>
      <c r="E49" s="657" t="n">
        <v>1.7033</v>
      </c>
      <c r="F49" s="501" t="n"/>
      <c r="G49" s="501" t="n"/>
    </row>
    <row r="50" ht="15" customHeight="1" s="254">
      <c r="A50" s="263" t="inlineStr">
        <is>
          <t>3 /0</t>
        </is>
      </c>
      <c r="B50" s="657" t="n">
        <v>4.5658</v>
      </c>
      <c r="C50" s="657" t="n">
        <v>0.88701</v>
      </c>
      <c r="D50" s="518" t="inlineStr">
        <is>
          <t>(3  1/2")</t>
        </is>
      </c>
      <c r="E50" s="657" t="n">
        <v>2.25</v>
      </c>
      <c r="F50" s="501" t="n"/>
      <c r="G50" s="501" t="n"/>
    </row>
    <row r="51" ht="15" customHeight="1" s="254">
      <c r="A51" s="263" t="inlineStr">
        <is>
          <t>4 /0</t>
        </is>
      </c>
      <c r="B51" s="657" t="n">
        <v>5.73045</v>
      </c>
      <c r="C51" s="657" t="n">
        <v>1.09956</v>
      </c>
      <c r="D51" s="518" t="inlineStr">
        <is>
          <t>(4")</t>
        </is>
      </c>
      <c r="E51" s="657" t="n">
        <v>2.3164</v>
      </c>
      <c r="F51" s="501" t="n"/>
      <c r="G51" s="501" t="n"/>
    </row>
    <row r="52" ht="15" customHeight="1" s="254">
      <c r="A52" s="263" t="inlineStr">
        <is>
          <t>250 KCMIL</t>
        </is>
      </c>
      <c r="B52" s="657" t="n">
        <v>6.64016</v>
      </c>
      <c r="C52" s="657" t="n">
        <v>1.2278</v>
      </c>
      <c r="D52" s="518" t="inlineStr">
        <is>
          <t>(5")</t>
        </is>
      </c>
      <c r="E52" s="657" t="n">
        <v>3.3106</v>
      </c>
      <c r="F52" s="501" t="n"/>
      <c r="G52" s="501" t="n"/>
    </row>
    <row r="53" ht="15" customHeight="1" s="254">
      <c r="A53" s="263" t="inlineStr">
        <is>
          <t>300 KCMIL</t>
        </is>
      </c>
      <c r="B53" s="657" t="n">
        <v>7.9632</v>
      </c>
      <c r="C53" s="657" t="n">
        <v>1.49616</v>
      </c>
      <c r="D53" s="501" t="n"/>
      <c r="E53" s="501" t="n"/>
      <c r="F53" s="501" t="n"/>
      <c r="G53" s="501" t="n"/>
    </row>
    <row r="54" ht="15" customHeight="1" s="254">
      <c r="A54" s="263" t="inlineStr">
        <is>
          <t>350 KCMIL</t>
        </is>
      </c>
      <c r="B54" s="657" t="n">
        <v>9.324159999999999</v>
      </c>
      <c r="C54" s="657" t="n">
        <v>2.06137</v>
      </c>
      <c r="D54" s="501" t="n"/>
      <c r="E54" s="501" t="n"/>
      <c r="F54" s="501" t="n"/>
      <c r="G54" s="501" t="n"/>
    </row>
    <row r="55" ht="15" customHeight="1" s="254">
      <c r="A55" s="263" t="inlineStr">
        <is>
          <t>400 KCMIL</t>
        </is>
      </c>
      <c r="B55" s="657" t="n">
        <v>10.60671</v>
      </c>
      <c r="C55" s="657" t="n">
        <v>2.10412</v>
      </c>
      <c r="D55" s="501" t="n"/>
      <c r="E55" s="501" t="n"/>
      <c r="F55" s="501" t="n"/>
      <c r="G55" s="501" t="n"/>
    </row>
    <row r="56" ht="15" customHeight="1" s="254">
      <c r="A56" s="263" t="inlineStr">
        <is>
          <t>450 KCMIL</t>
        </is>
      </c>
      <c r="B56" s="657" t="n">
        <v>11.334</v>
      </c>
      <c r="C56" s="657" t="n">
        <v>2.7204</v>
      </c>
      <c r="D56" s="501" t="n"/>
      <c r="E56" s="501" t="n"/>
      <c r="F56" s="501" t="n"/>
      <c r="G56" s="501" t="n"/>
    </row>
    <row r="57" ht="15" customHeight="1" s="254">
      <c r="A57" s="263" t="inlineStr">
        <is>
          <t>500 KCMIL</t>
        </is>
      </c>
      <c r="B57" s="657" t="n">
        <v>13.30059</v>
      </c>
      <c r="C57" s="657" t="n">
        <v>2.7204</v>
      </c>
      <c r="D57" s="501" t="n"/>
      <c r="E57" s="501" t="n"/>
      <c r="F57" s="501" t="n"/>
      <c r="G57" s="501" t="n"/>
    </row>
    <row r="58" ht="15" customHeight="1" s="254">
      <c r="A58" s="263" t="inlineStr">
        <is>
          <t>600 KCMIL</t>
        </is>
      </c>
      <c r="B58" s="657" t="n">
        <v>16.57382</v>
      </c>
      <c r="C58" s="657" t="n">
        <v>2.7204</v>
      </c>
      <c r="D58" s="501" t="n"/>
      <c r="E58" s="501" t="n"/>
      <c r="F58" s="501" t="n"/>
      <c r="G58" s="501" t="n"/>
    </row>
    <row r="59" ht="15" customHeight="1" s="254">
      <c r="A59" s="263" t="inlineStr">
        <is>
          <t>750 KCMIL</t>
        </is>
      </c>
      <c r="B59" s="657" t="n">
        <v>25.921</v>
      </c>
      <c r="C59" s="657" t="n">
        <v>4.809</v>
      </c>
      <c r="D59" s="501" t="n"/>
      <c r="E59" s="501" t="n"/>
      <c r="F59" s="501" t="n"/>
      <c r="G59" s="501" t="n"/>
    </row>
    <row r="60" ht="15" customHeight="1" s="254">
      <c r="A60" s="263" t="inlineStr">
        <is>
          <t>1000 KCMIL</t>
        </is>
      </c>
      <c r="B60" s="657" t="n">
        <v>34.398</v>
      </c>
      <c r="C60" s="657" t="n">
        <v>7.566</v>
      </c>
      <c r="D60" s="501" t="n"/>
      <c r="E60" s="501" t="n"/>
      <c r="F60" s="501" t="n"/>
      <c r="G60" s="501" t="n"/>
    </row>
    <row r="61">
      <c r="A61" s="501" t="n"/>
      <c r="B61" s="501" t="n"/>
      <c r="C61" s="501" t="n"/>
      <c r="D61" s="501" t="n"/>
      <c r="E61" s="501" t="n"/>
      <c r="F61" s="501" t="n"/>
      <c r="G61" s="501" t="n"/>
    </row>
    <row r="62">
      <c r="A62" s="501" t="n"/>
      <c r="B62" s="501" t="n"/>
      <c r="C62" s="501" t="n"/>
      <c r="D62" s="501" t="n"/>
      <c r="E62" s="501" t="n"/>
      <c r="F62" s="501" t="n"/>
      <c r="G62" s="501" t="n"/>
    </row>
    <row r="63" ht="14.25" customHeight="1" s="254">
      <c r="A63" s="345" t="inlineStr">
        <is>
          <t>CONDUCTOR AMPACITY — NEC Table 310.16</t>
        </is>
      </c>
      <c r="B63" s="501" t="n"/>
      <c r="C63" s="501" t="n"/>
      <c r="D63" s="501" t="n"/>
      <c r="E63" s="501" t="n"/>
      <c r="F63" s="501" t="n"/>
      <c r="G63" s="501" t="n"/>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658" t="inlineStr">
        <is>
          <t>Cu-60</t>
        </is>
      </c>
      <c r="C65" s="658" t="inlineStr">
        <is>
          <t>Cu-75</t>
        </is>
      </c>
      <c r="D65" s="658" t="inlineStr">
        <is>
          <t>Cu-90</t>
        </is>
      </c>
      <c r="E65" s="658" t="inlineStr">
        <is>
          <t>Al-60</t>
        </is>
      </c>
      <c r="F65" s="658" t="inlineStr">
        <is>
          <t>Al-75</t>
        </is>
      </c>
      <c r="G65" s="658" t="inlineStr">
        <is>
          <t>Al-90</t>
        </is>
      </c>
    </row>
    <row r="66" ht="14.25" customHeight="1" s="254">
      <c r="A66" s="324" t="inlineStr">
        <is>
          <t>10 AWG</t>
        </is>
      </c>
      <c r="B66" s="659" t="n">
        <v>30</v>
      </c>
      <c r="C66" s="659" t="n">
        <v>35</v>
      </c>
      <c r="D66" s="659" t="n">
        <v>40</v>
      </c>
      <c r="E66" s="659" t="n">
        <v>25</v>
      </c>
      <c r="F66" s="659" t="n">
        <v>30</v>
      </c>
      <c r="G66" s="659" t="n">
        <v>35</v>
      </c>
    </row>
    <row r="67" ht="14.25" customHeight="1" s="254">
      <c r="A67" s="324" t="inlineStr">
        <is>
          <t>8 AWG</t>
        </is>
      </c>
      <c r="B67" s="659" t="n">
        <v>40</v>
      </c>
      <c r="C67" s="659" t="n">
        <v>50</v>
      </c>
      <c r="D67" s="659" t="n">
        <v>55</v>
      </c>
      <c r="E67" s="659" t="n">
        <v>35</v>
      </c>
      <c r="F67" s="659" t="n">
        <v>40</v>
      </c>
      <c r="G67" s="659" t="n">
        <v>45</v>
      </c>
    </row>
    <row r="68" ht="14.25" customHeight="1" s="254">
      <c r="A68" s="324" t="inlineStr">
        <is>
          <t>6 AWG</t>
        </is>
      </c>
      <c r="B68" s="659" t="n">
        <v>55</v>
      </c>
      <c r="C68" s="659" t="n">
        <v>65</v>
      </c>
      <c r="D68" s="659" t="n">
        <v>75</v>
      </c>
      <c r="E68" s="659" t="n">
        <v>40</v>
      </c>
      <c r="F68" s="659" t="n">
        <v>50</v>
      </c>
      <c r="G68" s="659" t="n">
        <v>55</v>
      </c>
    </row>
    <row r="69" ht="14.25" customHeight="1" s="254">
      <c r="A69" s="324" t="inlineStr">
        <is>
          <t>4 AWG</t>
        </is>
      </c>
      <c r="B69" s="659" t="n">
        <v>70</v>
      </c>
      <c r="C69" s="659" t="n">
        <v>85</v>
      </c>
      <c r="D69" s="659" t="n">
        <v>95</v>
      </c>
      <c r="E69" s="659" t="n">
        <v>55</v>
      </c>
      <c r="F69" s="659" t="n">
        <v>65</v>
      </c>
      <c r="G69" s="659" t="n">
        <v>75</v>
      </c>
    </row>
    <row r="70" ht="14.25" customHeight="1" s="254">
      <c r="A70" s="324" t="inlineStr">
        <is>
          <t>2 AWG</t>
        </is>
      </c>
      <c r="B70" s="659" t="n">
        <v>95</v>
      </c>
      <c r="C70" s="659" t="n">
        <v>115</v>
      </c>
      <c r="D70" s="659" t="n">
        <v>130</v>
      </c>
      <c r="E70" s="659" t="n">
        <v>75</v>
      </c>
      <c r="F70" s="659" t="n">
        <v>90</v>
      </c>
      <c r="G70" s="659" t="n">
        <v>100</v>
      </c>
    </row>
    <row r="71" ht="14.25" customHeight="1" s="254">
      <c r="A71" s="324" t="inlineStr">
        <is>
          <t>1 AWG</t>
        </is>
      </c>
      <c r="B71" s="659" t="n">
        <v>110</v>
      </c>
      <c r="C71" s="659" t="n">
        <v>130</v>
      </c>
      <c r="D71" s="659" t="n">
        <v>145</v>
      </c>
      <c r="E71" s="659" t="n">
        <v>85</v>
      </c>
      <c r="F71" s="659" t="n">
        <v>100</v>
      </c>
      <c r="G71" s="659" t="n">
        <v>115</v>
      </c>
    </row>
    <row r="72" ht="14.25" customHeight="1" s="254">
      <c r="A72" s="324" t="inlineStr">
        <is>
          <t>1 /0</t>
        </is>
      </c>
      <c r="B72" s="659" t="n">
        <v>125</v>
      </c>
      <c r="C72" s="659" t="n">
        <v>150</v>
      </c>
      <c r="D72" s="659" t="n">
        <v>170</v>
      </c>
      <c r="E72" s="659" t="n">
        <v>100</v>
      </c>
      <c r="F72" s="659" t="n">
        <v>120</v>
      </c>
      <c r="G72" s="659" t="n">
        <v>135</v>
      </c>
    </row>
    <row r="73" ht="14.25" customHeight="1" s="254">
      <c r="A73" s="324" t="inlineStr">
        <is>
          <t>2 /0</t>
        </is>
      </c>
      <c r="B73" s="659" t="n">
        <v>145</v>
      </c>
      <c r="C73" s="659" t="n">
        <v>175</v>
      </c>
      <c r="D73" s="659" t="n">
        <v>195</v>
      </c>
      <c r="E73" s="659" t="n">
        <v>115</v>
      </c>
      <c r="F73" s="659" t="n">
        <v>135</v>
      </c>
      <c r="G73" s="659" t="n">
        <v>150</v>
      </c>
    </row>
    <row r="74" ht="14.25" customHeight="1" s="254">
      <c r="A74" s="324" t="inlineStr">
        <is>
          <t>3 /0</t>
        </is>
      </c>
      <c r="B74" s="659" t="n">
        <v>165</v>
      </c>
      <c r="C74" s="659" t="n">
        <v>200</v>
      </c>
      <c r="D74" s="659" t="n">
        <v>225</v>
      </c>
      <c r="E74" s="659" t="n">
        <v>130</v>
      </c>
      <c r="F74" s="659" t="n">
        <v>155</v>
      </c>
      <c r="G74" s="659" t="n">
        <v>175</v>
      </c>
    </row>
    <row r="75" ht="14.25" customHeight="1" s="254">
      <c r="A75" s="324" t="inlineStr">
        <is>
          <t>4 /0</t>
        </is>
      </c>
      <c r="B75" s="659" t="n">
        <v>195</v>
      </c>
      <c r="C75" s="659" t="n">
        <v>230</v>
      </c>
      <c r="D75" s="659" t="n">
        <v>260</v>
      </c>
      <c r="E75" s="659" t="n">
        <v>150</v>
      </c>
      <c r="F75" s="659" t="n">
        <v>180</v>
      </c>
      <c r="G75" s="659" t="n">
        <v>205</v>
      </c>
    </row>
    <row r="76" ht="14.25" customHeight="1" s="254">
      <c r="A76" s="324" t="inlineStr">
        <is>
          <t>250 KCMIL</t>
        </is>
      </c>
      <c r="B76" s="659" t="n">
        <v>215</v>
      </c>
      <c r="C76" s="659" t="n">
        <v>255</v>
      </c>
      <c r="D76" s="659" t="n">
        <v>290</v>
      </c>
      <c r="E76" s="659" t="n">
        <v>170</v>
      </c>
      <c r="F76" s="659" t="n">
        <v>205</v>
      </c>
      <c r="G76" s="659" t="n">
        <v>230</v>
      </c>
    </row>
    <row r="77" ht="14.25" customHeight="1" s="254">
      <c r="A77" s="324" t="inlineStr">
        <is>
          <t>300 KCMIL</t>
        </is>
      </c>
      <c r="B77" s="659" t="n">
        <v>240</v>
      </c>
      <c r="C77" s="659" t="n">
        <v>285</v>
      </c>
      <c r="D77" s="659" t="n">
        <v>320</v>
      </c>
      <c r="E77" s="659" t="n">
        <v>195</v>
      </c>
      <c r="F77" s="659" t="n">
        <v>230</v>
      </c>
      <c r="G77" s="659" t="n">
        <v>260</v>
      </c>
    </row>
    <row r="78" ht="14.25" customHeight="1" s="254">
      <c r="A78" s="324" t="inlineStr">
        <is>
          <t>350 KCMIL</t>
        </is>
      </c>
      <c r="B78" s="659" t="n">
        <v>260</v>
      </c>
      <c r="C78" s="659" t="n">
        <v>310</v>
      </c>
      <c r="D78" s="659" t="n">
        <v>350</v>
      </c>
      <c r="E78" s="659" t="n">
        <v>210</v>
      </c>
      <c r="F78" s="659" t="n">
        <v>250</v>
      </c>
      <c r="G78" s="659" t="n">
        <v>280</v>
      </c>
    </row>
    <row r="79" ht="14.25" customHeight="1" s="254">
      <c r="A79" s="324" t="inlineStr">
        <is>
          <t>400 KCMIL</t>
        </is>
      </c>
      <c r="B79" s="659" t="n">
        <v>280</v>
      </c>
      <c r="C79" s="659" t="n">
        <v>335</v>
      </c>
      <c r="D79" s="659" t="n">
        <v>380</v>
      </c>
      <c r="E79" s="659" t="n">
        <v>225</v>
      </c>
      <c r="F79" s="659" t="n">
        <v>270</v>
      </c>
      <c r="G79" s="659" t="n">
        <v>305</v>
      </c>
    </row>
    <row r="80" ht="14.25" customHeight="1" s="254">
      <c r="A80" s="324" t="inlineStr">
        <is>
          <t>450 KCMIL</t>
        </is>
      </c>
      <c r="B80" s="660" t="n"/>
      <c r="C80" s="660" t="n"/>
      <c r="D80" s="660" t="n"/>
      <c r="E80" s="660" t="n"/>
      <c r="F80" s="660" t="n"/>
      <c r="G80" s="660" t="n"/>
    </row>
    <row r="81" ht="14.25" customHeight="1" s="254">
      <c r="A81" s="324" t="inlineStr">
        <is>
          <t>500 KCMIL</t>
        </is>
      </c>
      <c r="B81" s="659" t="n">
        <v>320</v>
      </c>
      <c r="C81" s="659" t="n">
        <v>380</v>
      </c>
      <c r="D81" s="659" t="n">
        <v>430</v>
      </c>
      <c r="E81" s="659" t="n">
        <v>260</v>
      </c>
      <c r="F81" s="659" t="n">
        <v>310</v>
      </c>
      <c r="G81" s="659" t="n">
        <v>350</v>
      </c>
    </row>
    <row r="82" ht="14.25" customHeight="1" s="254">
      <c r="A82" s="324" t="inlineStr">
        <is>
          <t>600 KCMIL</t>
        </is>
      </c>
      <c r="B82" s="659" t="n">
        <v>350</v>
      </c>
      <c r="C82" s="659" t="n">
        <v>420</v>
      </c>
      <c r="D82" s="659" t="n">
        <v>475</v>
      </c>
      <c r="E82" s="659" t="n">
        <v>285</v>
      </c>
      <c r="F82" s="659" t="n">
        <v>340</v>
      </c>
      <c r="G82" s="659" t="n">
        <v>385</v>
      </c>
    </row>
    <row r="83" ht="14.25" customHeight="1" s="254">
      <c r="A83" s="324" t="inlineStr">
        <is>
          <t>750 KCMIL</t>
        </is>
      </c>
      <c r="B83" s="659" t="n">
        <v>400</v>
      </c>
      <c r="C83" s="659" t="n">
        <v>475</v>
      </c>
      <c r="D83" s="659" t="n">
        <v>535</v>
      </c>
      <c r="E83" s="659" t="n">
        <v>320</v>
      </c>
      <c r="F83" s="659" t="n">
        <v>385</v>
      </c>
      <c r="G83" s="659" t="n">
        <v>435</v>
      </c>
    </row>
    <row r="84" ht="14.25" customHeight="1" s="254">
      <c r="A84" s="324" t="inlineStr">
        <is>
          <t>1000 KCMIL</t>
        </is>
      </c>
      <c r="B84" s="659" t="n">
        <v>455</v>
      </c>
      <c r="C84" s="659" t="n">
        <v>545</v>
      </c>
      <c r="D84" s="659" t="n">
        <v>615</v>
      </c>
      <c r="E84" s="659" t="n">
        <v>375</v>
      </c>
      <c r="F84" s="659" t="n">
        <v>445</v>
      </c>
      <c r="G84" s="659" t="n">
        <v>500</v>
      </c>
    </row>
    <row r="85">
      <c r="A85" s="501" t="n"/>
      <c r="B85" s="501" t="n"/>
      <c r="C85" s="501" t="n"/>
      <c r="D85" s="501" t="n"/>
      <c r="E85" s="501" t="n"/>
      <c r="F85" s="501" t="n"/>
      <c r="G85" s="501" t="n"/>
    </row>
    <row r="86">
      <c r="A86" s="501" t="n"/>
      <c r="B86" s="501" t="n"/>
      <c r="C86" s="501" t="n"/>
      <c r="D86" s="501" t="n"/>
      <c r="E86" s="501" t="n"/>
      <c r="F86" s="501" t="n"/>
      <c r="G86" s="501" t="n"/>
    </row>
    <row r="87" ht="31.5" customHeight="1" s="254">
      <c r="A87" s="470" t="inlineStr">
        <is>
          <t>AMBIENT TEMPERATURE CORRECTION — NEC Table 310.15(B)(1)(1)</t>
        </is>
      </c>
      <c r="B87" s="501" t="n"/>
      <c r="C87" s="501" t="n"/>
      <c r="D87" s="501" t="n"/>
      <c r="E87" s="501" t="n"/>
      <c r="F87" s="501" t="n"/>
      <c r="G87" s="501" t="n"/>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501" t="n"/>
      <c r="F88" s="501" t="n"/>
      <c r="G88" s="501" t="n"/>
    </row>
    <row r="89" ht="14.25" customHeight="1" s="254">
      <c r="A89" s="468" t="inlineStr">
        <is>
          <t>Up to C</t>
        </is>
      </c>
      <c r="B89" s="658" t="inlineStr">
        <is>
          <t>60</t>
        </is>
      </c>
      <c r="C89" s="658" t="inlineStr">
        <is>
          <t>75</t>
        </is>
      </c>
      <c r="D89" s="658" t="inlineStr">
        <is>
          <t>90</t>
        </is>
      </c>
      <c r="E89" s="501" t="n"/>
      <c r="F89" s="501" t="n"/>
      <c r="G89" s="501" t="n"/>
    </row>
    <row r="90" ht="14.25" customHeight="1" s="254">
      <c r="A90" s="659" t="n">
        <v>10</v>
      </c>
      <c r="B90" s="661" t="n">
        <v>1.29</v>
      </c>
      <c r="C90" s="661" t="n">
        <v>1.2</v>
      </c>
      <c r="D90" s="661" t="n">
        <v>1.15</v>
      </c>
      <c r="E90" s="501" t="n"/>
      <c r="F90" s="501" t="n"/>
      <c r="G90" s="501" t="n"/>
    </row>
    <row r="91" ht="14.25" customHeight="1" s="254">
      <c r="A91" s="659" t="n">
        <v>15</v>
      </c>
      <c r="B91" s="661" t="n">
        <v>1.22</v>
      </c>
      <c r="C91" s="661" t="n">
        <v>1.15</v>
      </c>
      <c r="D91" s="661" t="n">
        <v>1.12</v>
      </c>
      <c r="E91" s="501" t="n"/>
      <c r="F91" s="501" t="n"/>
      <c r="G91" s="501" t="n"/>
    </row>
    <row r="92" ht="14.25" customHeight="1" s="254">
      <c r="A92" s="659" t="n">
        <v>20</v>
      </c>
      <c r="B92" s="661" t="n">
        <v>1.15</v>
      </c>
      <c r="C92" s="661" t="n">
        <v>1.11</v>
      </c>
      <c r="D92" s="661" t="n">
        <v>1.08</v>
      </c>
      <c r="E92" s="501" t="n"/>
      <c r="F92" s="501" t="n"/>
      <c r="G92" s="501" t="n"/>
    </row>
    <row r="93" ht="14.25" customHeight="1" s="254">
      <c r="A93" s="659" t="n">
        <v>25</v>
      </c>
      <c r="B93" s="661" t="n">
        <v>1.08</v>
      </c>
      <c r="C93" s="661" t="n">
        <v>1.05</v>
      </c>
      <c r="D93" s="661" t="n">
        <v>1.04</v>
      </c>
      <c r="E93" s="501" t="n"/>
      <c r="F93" s="501" t="n"/>
      <c r="G93" s="501" t="n"/>
    </row>
    <row r="94" ht="14.25" customHeight="1" s="254">
      <c r="A94" s="659" t="n">
        <v>30</v>
      </c>
      <c r="B94" s="661" t="n">
        <v>1</v>
      </c>
      <c r="C94" s="661" t="n">
        <v>1</v>
      </c>
      <c r="D94" s="661" t="n">
        <v>1</v>
      </c>
      <c r="E94" s="501" t="n"/>
      <c r="F94" s="501" t="n"/>
      <c r="G94" s="501" t="n"/>
    </row>
    <row r="95" ht="14.25" customHeight="1" s="254">
      <c r="A95" s="659" t="n">
        <v>35</v>
      </c>
      <c r="B95" s="661" t="n">
        <v>0.91</v>
      </c>
      <c r="C95" s="661" t="n">
        <v>0.9399999999999999</v>
      </c>
      <c r="D95" s="661" t="n">
        <v>0.96</v>
      </c>
      <c r="E95" s="501" t="n"/>
      <c r="F95" s="501" t="n"/>
      <c r="G95" s="501" t="n"/>
    </row>
    <row r="96" ht="14.25" customHeight="1" s="254">
      <c r="A96" s="659" t="n">
        <v>40</v>
      </c>
      <c r="B96" s="661" t="n">
        <v>0.82</v>
      </c>
      <c r="C96" s="661" t="n">
        <v>0.88</v>
      </c>
      <c r="D96" s="661" t="n">
        <v>0.91</v>
      </c>
      <c r="E96" s="501" t="n"/>
      <c r="F96" s="501" t="n"/>
      <c r="G96" s="501" t="n"/>
    </row>
    <row r="97" ht="14.25" customHeight="1" s="254">
      <c r="A97" s="659" t="n">
        <v>45</v>
      </c>
      <c r="B97" s="661" t="n">
        <v>0.71</v>
      </c>
      <c r="C97" s="661" t="n">
        <v>0.82</v>
      </c>
      <c r="D97" s="661" t="n">
        <v>0.87</v>
      </c>
      <c r="E97" s="501" t="n"/>
      <c r="F97" s="501" t="n"/>
      <c r="G97" s="501" t="n"/>
    </row>
    <row r="98" ht="14.25" customHeight="1" s="254">
      <c r="A98" s="659" t="n">
        <v>50</v>
      </c>
      <c r="B98" s="661" t="n">
        <v>0.58</v>
      </c>
      <c r="C98" s="661" t="n">
        <v>0.75</v>
      </c>
      <c r="D98" s="661" t="n">
        <v>0.82</v>
      </c>
      <c r="E98" s="501" t="n"/>
      <c r="F98" s="501" t="n"/>
      <c r="G98" s="501" t="n"/>
    </row>
    <row r="99" ht="14.25" customHeight="1" s="254">
      <c r="A99" s="659" t="n">
        <v>55</v>
      </c>
      <c r="B99" s="661" t="n">
        <v>0.41</v>
      </c>
      <c r="C99" s="661" t="n">
        <v>0.67</v>
      </c>
      <c r="D99" s="661" t="n">
        <v>0.76</v>
      </c>
      <c r="E99" s="501" t="n"/>
      <c r="F99" s="501" t="n"/>
      <c r="G99" s="501" t="n"/>
    </row>
    <row r="100" ht="14.25" customHeight="1" s="254">
      <c r="A100" s="659" t="n">
        <v>60</v>
      </c>
      <c r="B100" s="662" t="n"/>
      <c r="C100" s="661" t="n">
        <v>0.58</v>
      </c>
      <c r="D100" s="661" t="n">
        <v>0.71</v>
      </c>
      <c r="E100" s="501" t="n"/>
      <c r="F100" s="501" t="n"/>
      <c r="G100" s="501" t="n"/>
    </row>
    <row r="101" ht="14.25" customHeight="1" s="254">
      <c r="A101" s="659" t="n">
        <v>65</v>
      </c>
      <c r="B101" s="662" t="n"/>
      <c r="C101" s="661" t="n">
        <v>0.47</v>
      </c>
      <c r="D101" s="661" t="n">
        <v>0.65</v>
      </c>
      <c r="E101" s="501" t="n"/>
      <c r="F101" s="501" t="n"/>
      <c r="G101" s="501" t="n"/>
    </row>
    <row r="102" ht="14.25" customHeight="1" s="254">
      <c r="A102" s="659" t="n">
        <v>70</v>
      </c>
      <c r="B102" s="662" t="n"/>
      <c r="C102" s="661" t="n">
        <v>0.33</v>
      </c>
      <c r="D102" s="661" t="n">
        <v>0.58</v>
      </c>
      <c r="E102" s="501" t="n"/>
      <c r="F102" s="501" t="n"/>
      <c r="G102" s="501" t="n"/>
    </row>
    <row r="103" ht="14.25" customHeight="1" s="254">
      <c r="A103" s="659" t="n">
        <v>75</v>
      </c>
      <c r="B103" s="662" t="n"/>
      <c r="C103" s="662" t="n"/>
      <c r="D103" s="661" t="n">
        <v>0.5</v>
      </c>
      <c r="E103" s="501" t="n"/>
      <c r="F103" s="501" t="n"/>
      <c r="G103" s="501" t="n"/>
    </row>
    <row r="104" ht="14.25" customHeight="1" s="254">
      <c r="A104" s="659" t="n">
        <v>80</v>
      </c>
      <c r="B104" s="662" t="n"/>
      <c r="C104" s="662" t="n"/>
      <c r="D104" s="661" t="n">
        <v>0.41</v>
      </c>
      <c r="E104" s="501" t="n"/>
      <c r="F104" s="501" t="n"/>
      <c r="G104" s="501" t="n"/>
    </row>
    <row r="105">
      <c r="A105" s="501" t="n"/>
      <c r="B105" s="501" t="n"/>
      <c r="C105" s="501" t="n"/>
      <c r="D105" s="501" t="n"/>
      <c r="E105" s="501" t="n"/>
      <c r="F105" s="501" t="n"/>
      <c r="G105" s="501" t="n"/>
    </row>
    <row r="106">
      <c r="A106" s="501" t="n"/>
      <c r="B106" s="501" t="n"/>
      <c r="C106" s="501" t="n"/>
      <c r="D106" s="501" t="n"/>
      <c r="E106" s="501" t="n"/>
      <c r="F106" s="501" t="n"/>
      <c r="G106" s="501" t="n"/>
    </row>
    <row r="107" ht="14.25" customHeight="1" s="254">
      <c r="A107" s="345" t="inlineStr">
        <is>
          <t>CONDUCTOR IMPEDANCE — NEC Chapter 9 Table 9</t>
        </is>
      </c>
      <c r="B107" s="501" t="n"/>
      <c r="C107" s="501" t="n"/>
      <c r="D107" s="501" t="n"/>
      <c r="E107" s="501" t="n"/>
      <c r="F107" s="501" t="n"/>
      <c r="G107" s="501" t="n"/>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501" t="n"/>
      <c r="E108" s="501" t="n"/>
      <c r="F108" s="501" t="n"/>
      <c r="G108" s="501" t="n"/>
    </row>
    <row r="109" ht="14.25" customHeight="1" s="254">
      <c r="A109" s="468" t="inlineStr">
        <is>
          <t>Size</t>
        </is>
      </c>
      <c r="B109" s="658" t="inlineStr">
        <is>
          <t>Cu ohm/1000ft</t>
        </is>
      </c>
      <c r="C109" s="658" t="inlineStr">
        <is>
          <t>Al ohm/1000ft</t>
        </is>
      </c>
      <c r="D109" s="501" t="n"/>
      <c r="E109" s="501" t="n"/>
      <c r="F109" s="501" t="n"/>
      <c r="G109" s="501" t="n"/>
    </row>
    <row r="110" ht="14.25" customHeight="1" s="254">
      <c r="A110" s="324" t="inlineStr">
        <is>
          <t>10 AWG</t>
        </is>
      </c>
      <c r="B110" s="663" t="n">
        <v>1.2</v>
      </c>
      <c r="C110" s="664" t="n"/>
      <c r="D110" s="501" t="n"/>
      <c r="E110" s="501" t="n"/>
      <c r="F110" s="501" t="n"/>
      <c r="G110" s="501" t="n"/>
    </row>
    <row r="111" ht="14.25" customHeight="1" s="254">
      <c r="A111" s="324" t="inlineStr">
        <is>
          <t>8 AWG</t>
        </is>
      </c>
      <c r="B111" s="663" t="n">
        <v>0.78</v>
      </c>
      <c r="C111" s="664" t="n"/>
      <c r="D111" s="501" t="n"/>
      <c r="E111" s="501" t="n"/>
      <c r="F111" s="501" t="n"/>
      <c r="G111" s="501" t="n"/>
    </row>
    <row r="112" ht="14.25" customHeight="1" s="254">
      <c r="A112" s="324" t="inlineStr">
        <is>
          <t>6 AWG</t>
        </is>
      </c>
      <c r="B112" s="663" t="n">
        <v>0.49</v>
      </c>
      <c r="C112" s="663" t="n">
        <v>0.71</v>
      </c>
      <c r="D112" s="501" t="n"/>
      <c r="E112" s="501" t="n"/>
      <c r="F112" s="501" t="n"/>
      <c r="G112" s="501" t="n"/>
    </row>
    <row r="113" ht="14.25" customHeight="1" s="254">
      <c r="A113" s="324" t="inlineStr">
        <is>
          <t>4 AWG</t>
        </is>
      </c>
      <c r="B113" s="663" t="n">
        <v>0.31</v>
      </c>
      <c r="C113" s="663" t="n">
        <v>0.45</v>
      </c>
      <c r="D113" s="501" t="n"/>
      <c r="E113" s="501" t="n"/>
      <c r="F113" s="501" t="n"/>
      <c r="G113" s="501" t="n"/>
    </row>
    <row r="114" ht="14.25" customHeight="1" s="254">
      <c r="A114" s="324" t="inlineStr">
        <is>
          <t>2 AWG</t>
        </is>
      </c>
      <c r="B114" s="663" t="n">
        <v>0.19</v>
      </c>
      <c r="C114" s="663" t="n">
        <v>0.29</v>
      </c>
      <c r="D114" s="501" t="n"/>
      <c r="E114" s="501" t="n"/>
      <c r="F114" s="501" t="n"/>
      <c r="G114" s="501" t="n"/>
    </row>
    <row r="115" ht="14.25" customHeight="1" s="254">
      <c r="A115" s="324" t="inlineStr">
        <is>
          <t>1 AWG</t>
        </is>
      </c>
      <c r="B115" s="663" t="n">
        <v>0.15</v>
      </c>
      <c r="C115" s="663" t="n">
        <v>0.23</v>
      </c>
      <c r="D115" s="501" t="n"/>
      <c r="E115" s="501" t="n"/>
      <c r="F115" s="501" t="n"/>
      <c r="G115" s="501" t="n"/>
    </row>
    <row r="116" ht="14.25" customHeight="1" s="254">
      <c r="A116" s="324" t="inlineStr">
        <is>
          <t>1 /0</t>
        </is>
      </c>
      <c r="B116" s="663" t="n">
        <v>0.12</v>
      </c>
      <c r="C116" s="663" t="n">
        <v>0.19</v>
      </c>
      <c r="D116" s="501" t="n"/>
      <c r="E116" s="501" t="n"/>
      <c r="F116" s="501" t="n"/>
      <c r="G116" s="501" t="n"/>
    </row>
    <row r="117" ht="14.25" customHeight="1" s="254">
      <c r="A117" s="324" t="inlineStr">
        <is>
          <t>2 /0</t>
        </is>
      </c>
      <c r="B117" s="663" t="n">
        <v>0.1</v>
      </c>
      <c r="C117" s="663" t="n">
        <v>0.15</v>
      </c>
      <c r="D117" s="501" t="n"/>
      <c r="E117" s="501" t="n"/>
      <c r="F117" s="501" t="n"/>
      <c r="G117" s="501" t="n"/>
    </row>
    <row r="118" ht="14.25" customHeight="1" s="254">
      <c r="A118" s="324" t="inlineStr">
        <is>
          <t>3 /0</t>
        </is>
      </c>
      <c r="B118" s="663" t="n">
        <v>0.077</v>
      </c>
      <c r="C118" s="663" t="n">
        <v>0.12</v>
      </c>
      <c r="D118" s="501" t="n"/>
      <c r="E118" s="501" t="n"/>
      <c r="F118" s="501" t="n"/>
      <c r="G118" s="501" t="n"/>
    </row>
    <row r="119" ht="14.25" customHeight="1" s="254">
      <c r="A119" s="324" t="inlineStr">
        <is>
          <t>4 /0</t>
        </is>
      </c>
      <c r="B119" s="663" t="n">
        <v>0.062</v>
      </c>
      <c r="C119" s="663" t="n">
        <v>0.1</v>
      </c>
      <c r="D119" s="501" t="n"/>
      <c r="E119" s="501" t="n"/>
      <c r="F119" s="501" t="n"/>
      <c r="G119" s="501" t="n"/>
    </row>
    <row r="120" ht="14.25" customHeight="1" s="254">
      <c r="A120" s="324" t="inlineStr">
        <is>
          <t>250 KCMIL</t>
        </is>
      </c>
      <c r="B120" s="663" t="n">
        <v>0.052</v>
      </c>
      <c r="C120" s="663" t="n">
        <v>0.08500000000000001</v>
      </c>
      <c r="D120" s="501" t="n"/>
      <c r="E120" s="501" t="n"/>
      <c r="F120" s="501" t="n"/>
      <c r="G120" s="501" t="n"/>
    </row>
    <row r="121" ht="14.25" customHeight="1" s="254">
      <c r="A121" s="324" t="inlineStr">
        <is>
          <t>300 KCMIL</t>
        </is>
      </c>
      <c r="B121" s="663" t="n">
        <v>0.044</v>
      </c>
      <c r="C121" s="663" t="n">
        <v>0.07099999999999999</v>
      </c>
      <c r="D121" s="501" t="n"/>
      <c r="E121" s="501" t="n"/>
      <c r="F121" s="501" t="n"/>
      <c r="G121" s="501" t="n"/>
    </row>
    <row r="122" ht="14.25" customHeight="1" s="254">
      <c r="A122" s="324" t="inlineStr">
        <is>
          <t>350 KCMIL</t>
        </is>
      </c>
      <c r="B122" s="663" t="n">
        <v>0.038</v>
      </c>
      <c r="C122" s="663" t="n">
        <v>0.061</v>
      </c>
      <c r="D122" s="501" t="n"/>
      <c r="E122" s="501" t="n"/>
      <c r="F122" s="501" t="n"/>
      <c r="G122" s="501" t="n"/>
    </row>
    <row r="123" ht="14.25" customHeight="1" s="254">
      <c r="A123" s="324" t="inlineStr">
        <is>
          <t>400 KCMIL</t>
        </is>
      </c>
      <c r="B123" s="663" t="n">
        <v>0.033</v>
      </c>
      <c r="C123" s="663" t="n">
        <v>0.054</v>
      </c>
      <c r="D123" s="501" t="n"/>
      <c r="E123" s="501" t="n"/>
      <c r="F123" s="501" t="n"/>
      <c r="G123" s="501" t="n"/>
    </row>
    <row r="124" ht="14.25" customHeight="1" s="254">
      <c r="A124" s="324" t="inlineStr">
        <is>
          <t>450 KCMIL</t>
        </is>
      </c>
      <c r="B124" s="664" t="n"/>
      <c r="C124" s="664" t="n"/>
      <c r="D124" s="501" t="n"/>
      <c r="E124" s="501" t="n"/>
      <c r="F124" s="501" t="n"/>
      <c r="G124" s="501" t="n"/>
    </row>
    <row r="125" ht="14.25" customHeight="1" s="254">
      <c r="A125" s="324" t="inlineStr">
        <is>
          <t>500 KCMIL</t>
        </is>
      </c>
      <c r="B125" s="663" t="n">
        <v>0.027</v>
      </c>
      <c r="C125" s="663" t="n">
        <v>0.043</v>
      </c>
      <c r="D125" s="501" t="n"/>
      <c r="E125" s="501" t="n"/>
      <c r="F125" s="501" t="n"/>
      <c r="G125" s="501" t="n"/>
    </row>
    <row r="126" ht="14.25" customHeight="1" s="254">
      <c r="A126" s="324" t="inlineStr">
        <is>
          <t>600 KCMIL</t>
        </is>
      </c>
      <c r="B126" s="663" t="n">
        <v>0.023</v>
      </c>
      <c r="C126" s="663" t="n">
        <v>0.036</v>
      </c>
      <c r="D126" s="501" t="n"/>
      <c r="E126" s="501" t="n"/>
      <c r="F126" s="501" t="n"/>
      <c r="G126" s="501" t="n"/>
    </row>
    <row r="127" ht="14.25" customHeight="1" s="254">
      <c r="A127" s="324" t="inlineStr">
        <is>
          <t>750 KCMIL</t>
        </is>
      </c>
      <c r="B127" s="663" t="n">
        <v>0.019</v>
      </c>
      <c r="C127" s="663" t="n">
        <v>0.029</v>
      </c>
      <c r="D127" s="501" t="n"/>
      <c r="E127" s="501" t="n"/>
      <c r="F127" s="501" t="n"/>
      <c r="G127" s="501" t="n"/>
    </row>
    <row r="128" ht="14.25" customHeight="1" s="254">
      <c r="A128" s="324" t="inlineStr">
        <is>
          <t>1000 KCMIL</t>
        </is>
      </c>
      <c r="B128" s="663" t="n">
        <v>0.015</v>
      </c>
      <c r="C128" s="663" t="n">
        <v>0.023</v>
      </c>
      <c r="D128" s="501" t="n"/>
      <c r="E128" s="501" t="n"/>
      <c r="F128" s="501" t="n"/>
      <c r="G128" s="501" t="n"/>
    </row>
    <row r="129">
      <c r="A129" s="501" t="n"/>
      <c r="B129" s="501" t="n"/>
      <c r="C129" s="501" t="n"/>
      <c r="D129" s="501" t="n"/>
      <c r="E129" s="501" t="n"/>
      <c r="F129" s="501" t="n"/>
      <c r="G129" s="501" t="n"/>
    </row>
    <row r="130">
      <c r="A130" s="501" t="n"/>
      <c r="B130" s="501" t="n"/>
      <c r="C130" s="501" t="n"/>
      <c r="D130" s="501" t="n"/>
      <c r="E130" s="501" t="n"/>
      <c r="F130" s="501" t="n"/>
      <c r="G130" s="501" t="n"/>
    </row>
    <row r="131" ht="14.25" customHeight="1" s="254">
      <c r="A131" s="345" t="inlineStr">
        <is>
          <t>STANDARD OVERCURRENT DEVICE RATINGS — NEC 240.6(A)</t>
        </is>
      </c>
      <c r="B131" s="501" t="n"/>
      <c r="C131" s="501" t="n"/>
      <c r="D131" s="501" t="n"/>
      <c r="E131" s="501" t="n"/>
      <c r="F131" s="501" t="n"/>
      <c r="G131" s="501" t="n"/>
    </row>
    <row r="132" ht="14.25" customHeight="1" s="254">
      <c r="A132" s="659" t="n">
        <v>15</v>
      </c>
      <c r="B132" s="501" t="n"/>
      <c r="C132" s="501" t="n"/>
      <c r="D132" s="501" t="n"/>
      <c r="E132" s="501" t="n"/>
      <c r="F132" s="501" t="n"/>
      <c r="G132" s="501" t="n"/>
    </row>
    <row r="133" ht="14.25" customHeight="1" s="254">
      <c r="A133" s="659" t="n">
        <v>20</v>
      </c>
      <c r="B133" s="501" t="n"/>
      <c r="C133" s="501" t="n"/>
      <c r="D133" s="501" t="n"/>
      <c r="E133" s="501" t="n"/>
      <c r="F133" s="501" t="n"/>
      <c r="G133" s="501" t="n"/>
    </row>
    <row r="134" ht="14.25" customHeight="1" s="254">
      <c r="A134" s="659" t="n">
        <v>25</v>
      </c>
      <c r="B134" s="501" t="n"/>
      <c r="C134" s="501" t="n"/>
      <c r="D134" s="501" t="n"/>
      <c r="E134" s="501" t="n"/>
      <c r="F134" s="501" t="n"/>
      <c r="G134" s="501" t="n"/>
    </row>
    <row r="135" ht="14.25" customHeight="1" s="254">
      <c r="A135" s="659" t="n">
        <v>30</v>
      </c>
      <c r="B135" s="501" t="n"/>
      <c r="C135" s="501" t="n"/>
      <c r="D135" s="501" t="n"/>
      <c r="E135" s="501" t="n"/>
      <c r="F135" s="501" t="n"/>
      <c r="G135" s="501" t="n"/>
    </row>
    <row r="136" ht="14.25" customHeight="1" s="254">
      <c r="A136" s="659" t="n">
        <v>35</v>
      </c>
      <c r="B136" s="501" t="n"/>
      <c r="C136" s="501" t="n"/>
      <c r="D136" s="501" t="n"/>
      <c r="E136" s="501" t="n"/>
      <c r="F136" s="501" t="n"/>
      <c r="G136" s="501" t="n"/>
    </row>
    <row r="137" ht="14.25" customHeight="1" s="254">
      <c r="A137" s="659" t="n">
        <v>40</v>
      </c>
      <c r="B137" s="501" t="n"/>
      <c r="C137" s="501" t="n"/>
      <c r="D137" s="501" t="n"/>
      <c r="E137" s="501" t="n"/>
      <c r="F137" s="501" t="n"/>
      <c r="G137" s="501" t="n"/>
    </row>
    <row r="138" ht="14.25" customHeight="1" s="254">
      <c r="A138" s="659" t="n">
        <v>45</v>
      </c>
      <c r="B138" s="501" t="n"/>
      <c r="C138" s="501" t="n"/>
      <c r="D138" s="501" t="n"/>
      <c r="E138" s="501" t="n"/>
      <c r="F138" s="501" t="n"/>
      <c r="G138" s="501" t="n"/>
    </row>
    <row r="139" ht="14.25" customHeight="1" s="254">
      <c r="A139" s="659" t="n">
        <v>50</v>
      </c>
      <c r="B139" s="501" t="n"/>
      <c r="C139" s="501" t="n"/>
      <c r="D139" s="501" t="n"/>
      <c r="E139" s="501" t="n"/>
      <c r="F139" s="501" t="n"/>
      <c r="G139" s="501" t="n"/>
    </row>
    <row r="140" ht="14.25" customHeight="1" s="254">
      <c r="A140" s="659" t="n">
        <v>60</v>
      </c>
      <c r="B140" s="501" t="n"/>
      <c r="C140" s="501" t="n"/>
      <c r="D140" s="501" t="n"/>
      <c r="E140" s="501" t="n"/>
      <c r="F140" s="501" t="n"/>
      <c r="G140" s="501" t="n"/>
    </row>
    <row r="141" ht="14.25" customHeight="1" s="254">
      <c r="A141" s="659" t="n">
        <v>70</v>
      </c>
      <c r="B141" s="501" t="n"/>
      <c r="C141" s="501" t="n"/>
      <c r="D141" s="501" t="n"/>
      <c r="E141" s="501" t="n"/>
      <c r="F141" s="501" t="n"/>
      <c r="G141" s="501" t="n"/>
    </row>
    <row r="142" ht="14.25" customHeight="1" s="254">
      <c r="A142" s="659" t="n">
        <v>80</v>
      </c>
      <c r="B142" s="501" t="n"/>
      <c r="C142" s="501" t="n"/>
      <c r="D142" s="501" t="n"/>
      <c r="E142" s="501" t="n"/>
      <c r="F142" s="501" t="n"/>
      <c r="G142" s="501" t="n"/>
    </row>
    <row r="143" ht="14.25" customHeight="1" s="254">
      <c r="A143" s="659" t="n">
        <v>90</v>
      </c>
      <c r="B143" s="501" t="n"/>
      <c r="C143" s="501" t="n"/>
      <c r="D143" s="501" t="n"/>
      <c r="E143" s="501" t="n"/>
      <c r="F143" s="501" t="n"/>
      <c r="G143" s="501" t="n"/>
    </row>
    <row r="144" ht="14.25" customHeight="1" s="254">
      <c r="A144" s="659" t="n">
        <v>100</v>
      </c>
      <c r="B144" s="501" t="n"/>
      <c r="C144" s="501" t="n"/>
      <c r="D144" s="501" t="n"/>
      <c r="E144" s="501" t="n"/>
      <c r="F144" s="501" t="n"/>
      <c r="G144" s="501" t="n"/>
    </row>
    <row r="145" ht="14.25" customHeight="1" s="254">
      <c r="A145" s="659" t="n">
        <v>110</v>
      </c>
      <c r="B145" s="501" t="n"/>
      <c r="C145" s="501" t="n"/>
      <c r="D145" s="501" t="n"/>
      <c r="E145" s="501" t="n"/>
      <c r="F145" s="501" t="n"/>
      <c r="G145" s="501" t="n"/>
    </row>
    <row r="146" ht="14.25" customHeight="1" s="254">
      <c r="A146" s="659" t="n">
        <v>125</v>
      </c>
      <c r="B146" s="501" t="n"/>
      <c r="C146" s="501" t="n"/>
      <c r="D146" s="501" t="n"/>
      <c r="E146" s="501" t="n"/>
      <c r="F146" s="501" t="n"/>
      <c r="G146" s="501" t="n"/>
    </row>
    <row r="147" ht="14.25" customHeight="1" s="254">
      <c r="A147" s="659" t="n">
        <v>150</v>
      </c>
      <c r="B147" s="501" t="n"/>
      <c r="C147" s="501" t="n"/>
      <c r="D147" s="501" t="n"/>
      <c r="E147" s="501" t="n"/>
      <c r="F147" s="501" t="n"/>
      <c r="G147" s="501" t="n"/>
    </row>
    <row r="148" ht="14.25" customHeight="1" s="254">
      <c r="A148" s="659" t="n">
        <v>175</v>
      </c>
      <c r="B148" s="501" t="n"/>
      <c r="C148" s="501" t="n"/>
      <c r="D148" s="501" t="n"/>
      <c r="E148" s="501" t="n"/>
      <c r="F148" s="501" t="n"/>
      <c r="G148" s="501" t="n"/>
    </row>
    <row r="149" ht="14.25" customHeight="1" s="254">
      <c r="A149" s="659" t="n">
        <v>200</v>
      </c>
      <c r="B149" s="501" t="n"/>
      <c r="C149" s="501" t="n"/>
      <c r="D149" s="501" t="n"/>
      <c r="E149" s="501" t="n"/>
      <c r="F149" s="501" t="n"/>
      <c r="G149" s="501" t="n"/>
    </row>
    <row r="150" ht="14.25" customHeight="1" s="254">
      <c r="A150" s="659" t="n">
        <v>225</v>
      </c>
      <c r="B150" s="501" t="n"/>
      <c r="C150" s="501" t="n"/>
      <c r="D150" s="501" t="n"/>
      <c r="E150" s="501" t="n"/>
      <c r="F150" s="501" t="n"/>
      <c r="G150" s="501" t="n"/>
    </row>
    <row r="151" ht="14.25" customHeight="1" s="254">
      <c r="A151" s="659" t="n">
        <v>250</v>
      </c>
      <c r="B151" s="501" t="n"/>
      <c r="C151" s="501" t="n"/>
      <c r="D151" s="501" t="n"/>
      <c r="E151" s="501" t="n"/>
      <c r="F151" s="501" t="n"/>
      <c r="G151" s="501" t="n"/>
    </row>
    <row r="152" ht="14.25" customHeight="1" s="254">
      <c r="A152" s="659" t="n">
        <v>300</v>
      </c>
      <c r="B152" s="501" t="n"/>
      <c r="C152" s="501" t="n"/>
      <c r="D152" s="501" t="n"/>
      <c r="E152" s="501" t="n"/>
      <c r="F152" s="501" t="n"/>
      <c r="G152" s="501" t="n"/>
    </row>
    <row r="153" ht="14.25" customHeight="1" s="254">
      <c r="A153" s="659" t="n">
        <v>350</v>
      </c>
      <c r="B153" s="501" t="n"/>
      <c r="C153" s="501" t="n"/>
      <c r="D153" s="501" t="n"/>
      <c r="E153" s="501" t="n"/>
      <c r="F153" s="501" t="n"/>
      <c r="G153" s="501" t="n"/>
    </row>
    <row r="154" ht="14.25" customHeight="1" s="254">
      <c r="A154" s="659" t="n">
        <v>400</v>
      </c>
      <c r="B154" s="501" t="n"/>
      <c r="C154" s="501" t="n"/>
      <c r="D154" s="501" t="n"/>
      <c r="E154" s="501" t="n"/>
      <c r="F154" s="501" t="n"/>
      <c r="G154" s="501" t="n"/>
    </row>
    <row r="155" ht="14.25" customHeight="1" s="254">
      <c r="A155" s="659" t="n">
        <v>450</v>
      </c>
      <c r="B155" s="501" t="n"/>
      <c r="C155" s="501" t="n"/>
      <c r="D155" s="501" t="n"/>
      <c r="E155" s="501" t="n"/>
      <c r="F155" s="501" t="n"/>
      <c r="G155" s="501" t="n"/>
    </row>
    <row r="156" ht="14.25" customHeight="1" s="254">
      <c r="A156" s="659" t="n">
        <v>500</v>
      </c>
      <c r="B156" s="501" t="n"/>
      <c r="C156" s="501" t="n"/>
      <c r="D156" s="501" t="n"/>
      <c r="E156" s="501" t="n"/>
      <c r="F156" s="501" t="n"/>
      <c r="G156" s="501" t="n"/>
    </row>
    <row r="157" ht="14.25" customHeight="1" s="254">
      <c r="A157" s="659" t="n">
        <v>600</v>
      </c>
      <c r="B157" s="501" t="n"/>
      <c r="C157" s="501" t="n"/>
      <c r="D157" s="501" t="n"/>
      <c r="E157" s="501" t="n"/>
      <c r="F157" s="501" t="n"/>
      <c r="G157" s="501" t="n"/>
    </row>
    <row r="158" ht="14.25" customHeight="1" s="254">
      <c r="A158" s="659" t="n">
        <v>700</v>
      </c>
      <c r="B158" s="501" t="n"/>
      <c r="C158" s="501" t="n"/>
      <c r="D158" s="501" t="n"/>
      <c r="E158" s="501" t="n"/>
      <c r="F158" s="501" t="n"/>
      <c r="G158" s="501" t="n"/>
    </row>
    <row r="159" ht="14.25" customHeight="1" s="254">
      <c r="A159" s="659" t="n">
        <v>800</v>
      </c>
      <c r="B159" s="501" t="n"/>
      <c r="C159" s="501" t="n"/>
      <c r="D159" s="501" t="n"/>
      <c r="E159" s="501" t="n"/>
      <c r="F159" s="501" t="n"/>
      <c r="G159" s="501" t="n"/>
    </row>
    <row r="160" ht="14.25" customHeight="1" s="254">
      <c r="A160" s="659" t="n">
        <v>1000</v>
      </c>
      <c r="B160" s="501" t="n"/>
      <c r="C160" s="501" t="n"/>
      <c r="D160" s="501" t="n"/>
      <c r="E160" s="501" t="n"/>
      <c r="F160" s="501" t="n"/>
      <c r="G160" s="501" t="n"/>
    </row>
    <row r="161" ht="14.25" customHeight="1" s="254">
      <c r="A161" s="659" t="n">
        <v>1200</v>
      </c>
      <c r="B161" s="501" t="n"/>
      <c r="C161" s="501" t="n"/>
      <c r="D161" s="501" t="n"/>
      <c r="E161" s="501" t="n"/>
      <c r="F161" s="501" t="n"/>
      <c r="G161" s="501" t="n"/>
    </row>
    <row r="162" ht="14.25" customHeight="1" s="254">
      <c r="A162" s="659" t="n">
        <v>1600</v>
      </c>
      <c r="B162" s="501" t="n"/>
      <c r="C162" s="501" t="n"/>
      <c r="D162" s="501" t="n"/>
      <c r="E162" s="501" t="n"/>
      <c r="F162" s="501" t="n"/>
      <c r="G162" s="501" t="n"/>
    </row>
    <row r="163" ht="14.25" customHeight="1" s="254">
      <c r="A163" s="659" t="n">
        <v>2000</v>
      </c>
      <c r="B163" s="501" t="n"/>
      <c r="C163" s="501" t="n"/>
      <c r="D163" s="501" t="n"/>
      <c r="E163" s="501" t="n"/>
      <c r="F163" s="501" t="n"/>
      <c r="G163" s="501" t="n"/>
    </row>
    <row r="164" ht="14.25" customHeight="1" s="254">
      <c r="A164" s="659" t="n">
        <v>2500</v>
      </c>
      <c r="B164" s="501" t="n"/>
      <c r="C164" s="501" t="n"/>
      <c r="D164" s="501" t="n"/>
      <c r="E164" s="501" t="n"/>
      <c r="F164" s="501" t="n"/>
      <c r="G164" s="501" t="n"/>
    </row>
    <row r="165" ht="14.25" customHeight="1" s="254">
      <c r="A165" s="659" t="n">
        <v>3000</v>
      </c>
      <c r="B165" s="501" t="n"/>
      <c r="C165" s="501" t="n"/>
      <c r="D165" s="501" t="n"/>
      <c r="E165" s="501" t="n"/>
      <c r="F165" s="501" t="n"/>
      <c r="G165" s="501" t="n"/>
    </row>
    <row r="166" ht="14.25" customHeight="1" s="254">
      <c r="A166" s="659" t="n">
        <v>4000</v>
      </c>
      <c r="B166" s="501" t="n"/>
      <c r="C166" s="501" t="n"/>
      <c r="D166" s="501" t="n"/>
      <c r="E166" s="501" t="n"/>
      <c r="F166" s="501" t="n"/>
      <c r="G166" s="501" t="n"/>
    </row>
    <row r="167" ht="14.25" customHeight="1" s="254">
      <c r="A167" s="659" t="n">
        <v>5000</v>
      </c>
      <c r="B167" s="501" t="n"/>
      <c r="C167" s="501" t="n"/>
      <c r="D167" s="501" t="n"/>
      <c r="E167" s="501" t="n"/>
      <c r="F167" s="501" t="n"/>
      <c r="G167" s="501" t="n"/>
    </row>
    <row r="168" ht="14.25" customHeight="1" s="254">
      <c r="A168" s="659" t="n">
        <v>6000</v>
      </c>
      <c r="B168" s="501" t="n"/>
      <c r="C168" s="501" t="n"/>
      <c r="D168" s="501" t="n"/>
      <c r="E168" s="501" t="n"/>
      <c r="F168" s="501" t="n"/>
      <c r="G168" s="501" t="n"/>
    </row>
    <row r="169">
      <c r="A169" s="501" t="n"/>
      <c r="B169" s="501" t="n"/>
      <c r="C169" s="501" t="n"/>
      <c r="D169" s="501" t="n"/>
      <c r="E169" s="501" t="n"/>
      <c r="F169" s="501" t="n"/>
      <c r="G169" s="501" t="n"/>
    </row>
    <row r="170" ht="14.25" customHeight="1" s="254">
      <c r="A170" s="257" t="inlineStr">
        <is>
          <t>MARKET BENCHMARKS — DC fast charging by state</t>
        </is>
      </c>
      <c r="B170" s="501" t="n"/>
      <c r="C170" s="501" t="n"/>
      <c r="D170" s="501" t="n"/>
      <c r="E170" s="501" t="n"/>
      <c r="F170" s="501" t="n"/>
      <c r="G170" s="501" t="n"/>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630" t="inlineStr">
        <is>
          <t>Port utilisation</t>
        </is>
      </c>
      <c r="C172" s="630" t="inlineStr">
        <is>
          <t>Price to driver $/kWh</t>
        </is>
      </c>
      <c r="D172" s="501" t="n"/>
      <c r="E172" s="501" t="n"/>
      <c r="F172" s="501" t="n"/>
      <c r="G172" s="501" t="n"/>
    </row>
    <row r="173" ht="14.25" customHeight="1" s="254">
      <c r="A173" s="276" t="inlineStr">
        <is>
          <t>United States (average)</t>
        </is>
      </c>
      <c r="B173" s="665" t="n">
        <v>0.1576</v>
      </c>
      <c r="C173" s="666" t="n">
        <v>0.538</v>
      </c>
      <c r="D173" s="501" t="n"/>
      <c r="E173" s="501" t="n"/>
      <c r="F173" s="501" t="n"/>
      <c r="G173" s="501" t="n"/>
    </row>
    <row r="174" ht="14.25" customHeight="1" s="254">
      <c r="A174" s="276" t="inlineStr">
        <is>
          <t>California</t>
        </is>
      </c>
      <c r="B174" s="665" t="n">
        <v>0.231</v>
      </c>
      <c r="C174" s="666" t="n">
        <v>0.606</v>
      </c>
      <c r="D174" s="501" t="n"/>
      <c r="E174" s="501" t="n"/>
      <c r="F174" s="501" t="n"/>
      <c r="G174" s="501" t="n"/>
    </row>
    <row r="175" ht="14.25" customHeight="1" s="254">
      <c r="A175" s="276" t="inlineStr">
        <is>
          <t>District of Columbia</t>
        </is>
      </c>
      <c r="B175" s="665" t="n">
        <v>0.297</v>
      </c>
      <c r="C175" s="667" t="n"/>
      <c r="D175" s="501" t="n"/>
      <c r="E175" s="501" t="n"/>
      <c r="F175" s="501" t="n"/>
      <c r="G175" s="501" t="n"/>
    </row>
    <row r="176" ht="14.25" customHeight="1" s="254">
      <c r="A176" s="276" t="inlineStr">
        <is>
          <t>Hawaii</t>
        </is>
      </c>
      <c r="B176" s="665" t="n">
        <v>0.287</v>
      </c>
      <c r="C176" s="666" t="n">
        <v>0.856</v>
      </c>
      <c r="D176" s="501" t="n"/>
      <c r="E176" s="501" t="n"/>
      <c r="F176" s="501" t="n"/>
      <c r="G176" s="501" t="n"/>
    </row>
    <row r="177" ht="14.25" customHeight="1" s="254">
      <c r="A177" s="276" t="inlineStr">
        <is>
          <t>Florida</t>
        </is>
      </c>
      <c r="B177" s="665" t="n">
        <v>0.201</v>
      </c>
      <c r="C177" s="667" t="n"/>
      <c r="D177" s="501" t="n"/>
      <c r="E177" s="501" t="n"/>
      <c r="F177" s="501" t="n"/>
      <c r="G177" s="501" t="n"/>
    </row>
    <row r="178" ht="14.25" customHeight="1" s="254">
      <c r="A178" s="276" t="inlineStr">
        <is>
          <t>Alaska</t>
        </is>
      </c>
      <c r="B178" s="665" t="n">
        <v>0.02</v>
      </c>
      <c r="C178" s="667" t="n"/>
      <c r="D178" s="501" t="n"/>
      <c r="E178" s="501" t="n"/>
      <c r="F178" s="501" t="n"/>
      <c r="G178" s="501" t="n"/>
    </row>
    <row r="179" ht="14.25" customHeight="1" s="254">
      <c r="A179" s="276" t="inlineStr">
        <is>
          <t>Nebraska</t>
        </is>
      </c>
      <c r="B179" s="668" t="n"/>
      <c r="C179" s="666" t="n">
        <v>0.428</v>
      </c>
      <c r="D179" s="501" t="n"/>
      <c r="E179" s="501" t="n"/>
      <c r="F179" s="501" t="n"/>
      <c r="G179" s="501" t="n"/>
    </row>
    <row r="180">
      <c r="A180" s="501" t="n"/>
      <c r="B180" s="501" t="n"/>
      <c r="C180" s="501" t="n"/>
      <c r="D180" s="501" t="n"/>
      <c r="E180" s="501" t="n"/>
      <c r="F180" s="501" t="n"/>
      <c r="G180" s="501" t="n"/>
    </row>
    <row r="181" ht="14.25" customHeight="1" s="254">
      <c r="A181" s="257" t="inlineStr">
        <is>
          <t>NEC 250.122 — EQUIPMENT GROUND BY OCPD</t>
        </is>
      </c>
      <c r="B181" s="501" t="n"/>
      <c r="C181" s="501" t="n"/>
      <c r="D181" s="501" t="n"/>
      <c r="E181" s="501" t="n"/>
      <c r="F181" s="501" t="n"/>
      <c r="G181" s="501" t="n"/>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630" t="inlineStr">
        <is>
          <t>Copper</t>
        </is>
      </c>
      <c r="C183" s="630" t="inlineStr">
        <is>
          <t>Aluminium</t>
        </is>
      </c>
      <c r="D183" s="501" t="n"/>
      <c r="E183" s="501" t="n"/>
      <c r="F183" s="501" t="n"/>
      <c r="G183" s="501" t="n"/>
    </row>
    <row r="184" ht="14.25" customHeight="1" s="254">
      <c r="A184" s="635" t="n">
        <v>15</v>
      </c>
      <c r="B184" s="642" t="inlineStr">
        <is>
          <t>14 AWG</t>
        </is>
      </c>
      <c r="C184" s="642" t="inlineStr">
        <is>
          <t>12 AWG</t>
        </is>
      </c>
      <c r="D184" s="501" t="n"/>
      <c r="E184" s="501" t="n"/>
      <c r="F184" s="501" t="n"/>
      <c r="G184" s="501" t="n"/>
    </row>
    <row r="185" ht="14.25" customHeight="1" s="254">
      <c r="A185" s="635" t="n">
        <v>20</v>
      </c>
      <c r="B185" s="642" t="inlineStr">
        <is>
          <t>12 AWG</t>
        </is>
      </c>
      <c r="C185" s="642" t="inlineStr">
        <is>
          <t>10 AWG</t>
        </is>
      </c>
      <c r="D185" s="501" t="n"/>
      <c r="E185" s="501" t="n"/>
      <c r="F185" s="501" t="n"/>
      <c r="G185" s="501" t="n"/>
    </row>
    <row r="186" ht="14.25" customHeight="1" s="254">
      <c r="A186" s="635" t="n">
        <v>60</v>
      </c>
      <c r="B186" s="642" t="inlineStr">
        <is>
          <t>10 AWG</t>
        </is>
      </c>
      <c r="C186" s="642" t="inlineStr">
        <is>
          <t>8 AWG</t>
        </is>
      </c>
      <c r="D186" s="501" t="n"/>
      <c r="E186" s="501" t="n"/>
      <c r="F186" s="501" t="n"/>
      <c r="G186" s="501" t="n"/>
    </row>
    <row r="187" ht="14.25" customHeight="1" s="254">
      <c r="A187" s="635" t="n">
        <v>100</v>
      </c>
      <c r="B187" s="642" t="inlineStr">
        <is>
          <t>8 AWG</t>
        </is>
      </c>
      <c r="C187" s="642" t="inlineStr">
        <is>
          <t>6 AWG</t>
        </is>
      </c>
      <c r="D187" s="501" t="n"/>
      <c r="E187" s="501" t="n"/>
      <c r="F187" s="501" t="n"/>
      <c r="G187" s="501" t="n"/>
    </row>
    <row r="188" ht="14.25" customHeight="1" s="254">
      <c r="A188" s="635" t="n">
        <v>200</v>
      </c>
      <c r="B188" s="642" t="inlineStr">
        <is>
          <t>6 AWG</t>
        </is>
      </c>
      <c r="C188" s="642" t="inlineStr">
        <is>
          <t>4 AWG</t>
        </is>
      </c>
      <c r="D188" s="501" t="n"/>
      <c r="E188" s="501" t="n"/>
      <c r="F188" s="501" t="n"/>
      <c r="G188" s="501" t="n"/>
    </row>
    <row r="189" ht="14.25" customHeight="1" s="254">
      <c r="A189" s="635" t="n">
        <v>300</v>
      </c>
      <c r="B189" s="642" t="inlineStr">
        <is>
          <t>4 AWG</t>
        </is>
      </c>
      <c r="C189" s="642" t="inlineStr">
        <is>
          <t>2 AWG</t>
        </is>
      </c>
      <c r="D189" s="501" t="n"/>
      <c r="E189" s="501" t="n"/>
      <c r="F189" s="501" t="n"/>
      <c r="G189" s="501" t="n"/>
    </row>
    <row r="190" ht="14.25" customHeight="1" s="254">
      <c r="A190" s="635" t="n">
        <v>400</v>
      </c>
      <c r="B190" s="642" t="inlineStr">
        <is>
          <t>3 AWG</t>
        </is>
      </c>
      <c r="C190" s="642" t="inlineStr">
        <is>
          <t>1 AWG</t>
        </is>
      </c>
      <c r="D190" s="501" t="n"/>
      <c r="E190" s="501" t="n"/>
      <c r="F190" s="501" t="n"/>
      <c r="G190" s="501" t="n"/>
    </row>
    <row r="191" ht="14.25" customHeight="1" s="254">
      <c r="A191" s="635" t="n">
        <v>500</v>
      </c>
      <c r="B191" s="642" t="inlineStr">
        <is>
          <t>2 AWG</t>
        </is>
      </c>
      <c r="C191" s="642" t="inlineStr">
        <is>
          <t>1 /0</t>
        </is>
      </c>
      <c r="D191" s="501" t="n"/>
      <c r="E191" s="501" t="n"/>
      <c r="F191" s="501" t="n"/>
      <c r="G191" s="501" t="n"/>
    </row>
    <row r="192" ht="14.25" customHeight="1" s="254">
      <c r="A192" s="635" t="n">
        <v>600</v>
      </c>
      <c r="B192" s="642" t="inlineStr">
        <is>
          <t>1 AWG</t>
        </is>
      </c>
      <c r="C192" s="642" t="inlineStr">
        <is>
          <t>2 /0</t>
        </is>
      </c>
      <c r="D192" s="501" t="n"/>
      <c r="E192" s="501" t="n"/>
      <c r="F192" s="501" t="n"/>
      <c r="G192" s="501" t="n"/>
    </row>
    <row r="193" ht="14.25" customHeight="1" s="254">
      <c r="A193" s="635" t="n">
        <v>800</v>
      </c>
      <c r="B193" s="642" t="inlineStr">
        <is>
          <t>1 /0</t>
        </is>
      </c>
      <c r="C193" s="642" t="inlineStr">
        <is>
          <t>3 /0</t>
        </is>
      </c>
      <c r="D193" s="501" t="n"/>
      <c r="E193" s="501" t="n"/>
      <c r="F193" s="501" t="n"/>
      <c r="G193" s="501" t="n"/>
    </row>
    <row r="194" ht="14.25" customHeight="1" s="254">
      <c r="A194" s="635" t="n">
        <v>1000</v>
      </c>
      <c r="B194" s="642" t="inlineStr">
        <is>
          <t>2 /0</t>
        </is>
      </c>
      <c r="C194" s="642" t="inlineStr">
        <is>
          <t>4 /0</t>
        </is>
      </c>
      <c r="D194" s="501" t="n"/>
      <c r="E194" s="501" t="n"/>
      <c r="F194" s="501" t="n"/>
      <c r="G194" s="501" t="n"/>
    </row>
    <row r="195" ht="14.25" customHeight="1" s="254">
      <c r="A195" s="635" t="n">
        <v>1200</v>
      </c>
      <c r="B195" s="642" t="inlineStr">
        <is>
          <t>3 /0</t>
        </is>
      </c>
      <c r="C195" s="642" t="inlineStr">
        <is>
          <t>250 KCMIL</t>
        </is>
      </c>
      <c r="D195" s="501" t="n"/>
      <c r="E195" s="501" t="n"/>
      <c r="F195" s="501" t="n"/>
      <c r="G195" s="501" t="n"/>
    </row>
    <row r="196" ht="14.25" customHeight="1" s="254">
      <c r="A196" s="635" t="n">
        <v>1600</v>
      </c>
      <c r="B196" s="642" t="inlineStr">
        <is>
          <t>4 /0</t>
        </is>
      </c>
      <c r="C196" s="642" t="inlineStr">
        <is>
          <t>350 KCMIL</t>
        </is>
      </c>
      <c r="D196" s="501" t="n"/>
      <c r="E196" s="501" t="n"/>
      <c r="F196" s="501" t="n"/>
      <c r="G196" s="501" t="n"/>
    </row>
    <row r="197" ht="14.25" customHeight="1" s="254">
      <c r="A197" s="635" t="n">
        <v>2000</v>
      </c>
      <c r="B197" s="642" t="inlineStr">
        <is>
          <t>250 KCMIL</t>
        </is>
      </c>
      <c r="C197" s="642" t="inlineStr">
        <is>
          <t>400 KCMIL</t>
        </is>
      </c>
      <c r="D197" s="501" t="n"/>
      <c r="E197" s="501" t="n"/>
      <c r="F197" s="501" t="n"/>
      <c r="G197" s="501" t="n"/>
    </row>
    <row r="198" ht="14.25" customHeight="1" s="254">
      <c r="A198" s="635" t="n">
        <v>2500</v>
      </c>
      <c r="B198" s="642" t="inlineStr">
        <is>
          <t>350 KCMIL</t>
        </is>
      </c>
      <c r="C198" s="642" t="inlineStr">
        <is>
          <t>600 KCMIL</t>
        </is>
      </c>
      <c r="D198" s="501" t="n"/>
      <c r="E198" s="501" t="n"/>
      <c r="F198" s="501" t="n"/>
      <c r="G198" s="501" t="n"/>
    </row>
    <row r="199" ht="14.25" customHeight="1" s="254">
      <c r="A199" s="635" t="n">
        <v>3000</v>
      </c>
      <c r="B199" s="642" t="inlineStr">
        <is>
          <t>400 KCMIL</t>
        </is>
      </c>
      <c r="C199" s="642" t="inlineStr">
        <is>
          <t>600 KCMIL</t>
        </is>
      </c>
      <c r="D199" s="501" t="n"/>
      <c r="E199" s="501" t="n"/>
      <c r="F199" s="501" t="n"/>
      <c r="G199" s="501" t="n"/>
    </row>
    <row r="200" ht="14.25" customHeight="1" s="254">
      <c r="A200" s="635" t="n">
        <v>4000</v>
      </c>
      <c r="B200" s="642" t="inlineStr">
        <is>
          <t>500 KCMIL</t>
        </is>
      </c>
      <c r="C200" s="642" t="inlineStr">
        <is>
          <t>750 KCMIL</t>
        </is>
      </c>
      <c r="D200" s="501" t="n"/>
      <c r="E200" s="501" t="n"/>
      <c r="F200" s="501" t="n"/>
      <c r="G200" s="501" t="n"/>
    </row>
    <row r="202">
      <c r="A202" s="257" t="inlineStr">
        <is>
          <t>MARKET BENCHMARKS — Level 2 by state</t>
        </is>
      </c>
    </row>
    <row r="203">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c r="F1" s="501" t="n"/>
      <c r="G1" s="501" t="n"/>
      <c r="H1" s="501" t="n"/>
      <c r="I1" s="501" t="n"/>
      <c r="J1" s="501" t="n"/>
      <c r="K1" s="501" t="n"/>
      <c r="L1" s="501" t="n"/>
      <c r="M1" s="501" t="n"/>
      <c r="N1" s="501" t="n"/>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501" t="n"/>
      <c r="G2" s="501" t="n"/>
      <c r="H2" s="501" t="n"/>
      <c r="I2" s="501" t="n"/>
      <c r="J2" s="501" t="n"/>
      <c r="K2" s="501" t="n"/>
      <c r="L2" s="501" t="n"/>
      <c r="M2" s="501" t="n"/>
      <c r="N2" s="501" t="n"/>
    </row>
    <row r="3">
      <c r="A3" s="501" t="n"/>
      <c r="B3" s="501" t="n"/>
      <c r="C3" s="501" t="n"/>
      <c r="D3" s="501" t="n"/>
      <c r="E3" s="501" t="n"/>
      <c r="F3" s="501" t="n"/>
      <c r="G3" s="501" t="n"/>
      <c r="H3" s="501" t="n"/>
      <c r="I3" s="501" t="n"/>
      <c r="J3" s="501" t="n"/>
      <c r="K3" s="501" t="n"/>
      <c r="L3" s="501" t="n"/>
      <c r="M3" s="501" t="n"/>
      <c r="N3" s="501" t="n"/>
    </row>
    <row r="4" ht="15" customHeight="1" s="254">
      <c r="A4" s="479" t="inlineStr">
        <is>
          <t>Utility</t>
        </is>
      </c>
      <c r="B4" s="669" t="inlineStr">
        <is>
          <t>Type</t>
        </is>
      </c>
      <c r="C4" s="669" t="inlineStr">
        <is>
          <t>Service territory</t>
        </is>
      </c>
      <c r="D4" s="669" t="inlineStr">
        <is>
          <t>EV rate status</t>
        </is>
      </c>
      <c r="E4" s="670" t="n"/>
      <c r="F4" s="671" t="inlineStr">
        <is>
          <t>DELIVERY UTILITY PICKER — what the Project tab offers</t>
        </is>
      </c>
      <c r="G4" s="501" t="n"/>
      <c r="H4" s="509" t="inlineStr">
        <is>
          <t>RATE SCHEDULE PICKER — what the Revenue tab offers</t>
        </is>
      </c>
      <c r="I4" s="501" t="n"/>
      <c r="J4" s="671" t="inlineStr">
        <is>
          <t>Utility (resolved)</t>
        </is>
      </c>
      <c r="K4" s="671" t="inlineStr">
        <is>
          <t>Type</t>
        </is>
      </c>
      <c r="L4" s="671" t="inlineStr">
        <is>
          <t>Service territory</t>
        </is>
      </c>
      <c r="M4" s="671" t="inlineStr">
        <is>
          <t>EV rate status</t>
        </is>
      </c>
      <c r="N4" s="671" t="inlineStr">
        <is>
          <t>State</t>
        </is>
      </c>
    </row>
    <row r="5" ht="19.5" customHeight="1" s="254">
      <c r="A5" s="298" t="inlineStr">
        <is>
          <t>PG&amp;E — Pacific Gas and Electric</t>
        </is>
      </c>
      <c r="B5" s="550" t="inlineStr">
        <is>
          <t>IOU</t>
        </is>
      </c>
      <c r="C5" s="672" t="inlineStr">
        <is>
          <t>Northern &amp; central CA, 47 counties</t>
        </is>
      </c>
      <c r="D5" s="673" t="inlineStr">
        <is>
          <t>EV rate: BEV-1 / BEV-2-S / BEV-2-P</t>
        </is>
      </c>
      <c r="E5" s="501" t="n"/>
      <c r="F5" s="642" t="inlineStr">
        <is>
          <t>PG&amp;E — Pacific Gas and Electric</t>
        </is>
      </c>
      <c r="G5" s="501" t="n"/>
      <c r="H5" s="509" t="inlineStr">
        <is>
          <t>BEV-1</t>
        </is>
      </c>
      <c r="I5" s="501" t="n"/>
      <c r="J5" s="642" t="inlineStr">
        <is>
          <t>PG&amp;E — Pacific Gas and Electric</t>
        </is>
      </c>
      <c r="K5" s="642" t="inlineStr">
        <is>
          <t>IOU</t>
        </is>
      </c>
      <c r="L5" s="642" t="inlineStr">
        <is>
          <t>Northern &amp; central CA, 47 counties</t>
        </is>
      </c>
      <c r="M5" s="642" t="inlineStr">
        <is>
          <t>EV rate: BEV-1 / BEV-2-S / BEV-2-P</t>
        </is>
      </c>
      <c r="N5" s="642" t="inlineStr">
        <is>
          <t>California</t>
        </is>
      </c>
    </row>
    <row r="6" ht="19.5" customHeight="1" s="254">
      <c r="A6" s="298" t="inlineStr">
        <is>
          <t>SCE — Southern California Edison</t>
        </is>
      </c>
      <c r="B6" s="550" t="inlineStr">
        <is>
          <t>IOU</t>
        </is>
      </c>
      <c r="C6" s="672" t="inlineStr">
        <is>
          <t>Central &amp; southern CA, 15 counties</t>
        </is>
      </c>
      <c r="D6" s="673" t="inlineStr">
        <is>
          <t>EV rate: TOU-EV-7 / 8 / 9</t>
        </is>
      </c>
      <c r="E6" s="501" t="n"/>
      <c r="F6" s="642" t="inlineStr">
        <is>
          <t>SCE — Southern California Edison</t>
        </is>
      </c>
      <c r="G6" s="501" t="n"/>
      <c r="H6" s="509" t="inlineStr">
        <is>
          <t>BEV-2-S</t>
        </is>
      </c>
      <c r="I6" s="501" t="n"/>
      <c r="J6" s="642" t="inlineStr">
        <is>
          <t>SCE — Southern California Edison</t>
        </is>
      </c>
      <c r="K6" s="642" t="inlineStr">
        <is>
          <t>IOU</t>
        </is>
      </c>
      <c r="L6" s="642" t="inlineStr">
        <is>
          <t>Central &amp; southern CA, 15 counties</t>
        </is>
      </c>
      <c r="M6" s="642" t="inlineStr">
        <is>
          <t>EV rate: TOU-EV-7 / 8 / 9</t>
        </is>
      </c>
      <c r="N6" s="642" t="inlineStr">
        <is>
          <t>California</t>
        </is>
      </c>
    </row>
    <row r="7" ht="19.5" customHeight="1" s="254">
      <c r="A7" s="298" t="inlineStr">
        <is>
          <t>SDG&amp;E — San Diego Gas &amp; Electric</t>
        </is>
      </c>
      <c r="B7" s="550" t="inlineStr">
        <is>
          <t>IOU</t>
        </is>
      </c>
      <c r="C7" s="672" t="inlineStr">
        <is>
          <t>San Diego Co. + southern Orange Co.</t>
        </is>
      </c>
      <c r="D7" s="673" t="inlineStr">
        <is>
          <t>EV rate: EV-HP</t>
        </is>
      </c>
      <c r="E7" s="501" t="n"/>
      <c r="F7" s="642" t="inlineStr">
        <is>
          <t>SDG&amp;E — San Diego Gas &amp; Electric</t>
        </is>
      </c>
      <c r="G7" s="501" t="n"/>
      <c r="H7" s="509" t="inlineStr">
        <is>
          <t>BEV-2-P</t>
        </is>
      </c>
      <c r="I7" s="501" t="n"/>
      <c r="J7" s="642" t="inlineStr">
        <is>
          <t>SDG&amp;E — San Diego Gas &amp; Electric</t>
        </is>
      </c>
      <c r="K7" s="642" t="inlineStr">
        <is>
          <t>IOU</t>
        </is>
      </c>
      <c r="L7" s="642" t="inlineStr">
        <is>
          <t>San Diego Co. + southern Orange Co.</t>
        </is>
      </c>
      <c r="M7" s="642" t="inlineStr">
        <is>
          <t>EV rate: EV-HP</t>
        </is>
      </c>
      <c r="N7" s="642" t="inlineStr">
        <is>
          <t>California</t>
        </is>
      </c>
    </row>
    <row r="8" ht="19.5" customHeight="1" s="254">
      <c r="A8" s="298" t="inlineStr">
        <is>
          <t>Liberty Utilities (CalPeco Electric)</t>
        </is>
      </c>
      <c r="B8" s="550" t="inlineStr">
        <is>
          <t>IOU</t>
        </is>
      </c>
      <c r="C8" s="672" t="inlineStr">
        <is>
          <t>North Lake Tahoe &amp; eastern Sierra</t>
        </is>
      </c>
      <c r="D8" s="673" t="inlineStr">
        <is>
          <t>EV rate: TOU A-1/A-2/A-3 EV</t>
        </is>
      </c>
      <c r="E8" s="501" t="n"/>
      <c r="F8" s="642" t="inlineStr">
        <is>
          <t>Liberty Utilities (CalPeco Electric)</t>
        </is>
      </c>
      <c r="G8" s="501" t="n"/>
      <c r="H8" s="509" t="inlineStr">
        <is>
          <t>TOU-EV-7</t>
        </is>
      </c>
      <c r="I8" s="501" t="n"/>
      <c r="J8" s="642" t="inlineStr">
        <is>
          <t>Liberty Utilities (CalPeco Electric)</t>
        </is>
      </c>
      <c r="K8" s="642" t="inlineStr">
        <is>
          <t>IOU</t>
        </is>
      </c>
      <c r="L8" s="642" t="inlineStr">
        <is>
          <t>North Lake Tahoe &amp; eastern Sierra</t>
        </is>
      </c>
      <c r="M8" s="642" t="inlineStr">
        <is>
          <t>EV rate: TOU A-1/A-2/A-3 EV</t>
        </is>
      </c>
      <c r="N8" s="642" t="inlineStr">
        <is>
          <t>California</t>
        </is>
      </c>
    </row>
    <row r="9" ht="19.5" customHeight="1" s="254">
      <c r="A9" s="298" t="inlineStr">
        <is>
          <t>Pacific Power (PacifiCorp)</t>
        </is>
      </c>
      <c r="B9" s="550" t="inlineStr">
        <is>
          <t>IOU</t>
        </is>
      </c>
      <c r="C9" s="672" t="inlineStr">
        <is>
          <t>Siskiyou, Modoc, Shasta, Del Norte</t>
        </is>
      </c>
      <c r="D9" s="674" t="inlineStr">
        <is>
          <t>NO commercial EV rate</t>
        </is>
      </c>
      <c r="E9" s="501" t="n"/>
      <c r="F9" s="642" t="inlineStr">
        <is>
          <t>Pacific Power (PacifiCorp)</t>
        </is>
      </c>
      <c r="G9" s="501" t="n"/>
      <c r="H9" s="509" t="inlineStr">
        <is>
          <t>TOU-EV-8</t>
        </is>
      </c>
      <c r="I9" s="501" t="n"/>
      <c r="J9" s="642" t="inlineStr">
        <is>
          <t>Pacific Power (PacifiCorp)</t>
        </is>
      </c>
      <c r="K9" s="642" t="inlineStr">
        <is>
          <t>IOU</t>
        </is>
      </c>
      <c r="L9" s="642" t="inlineStr">
        <is>
          <t>Siskiyou, Modoc, Shasta, Del Norte</t>
        </is>
      </c>
      <c r="M9" s="642" t="inlineStr">
        <is>
          <t>NO commercial EV rate</t>
        </is>
      </c>
      <c r="N9" s="642" t="inlineStr">
        <is>
          <t>California</t>
        </is>
      </c>
    </row>
    <row r="10" ht="27.76" customHeight="1" s="254">
      <c r="A10" s="298" t="inlineStr">
        <is>
          <t>Bear Valley Electric Service (BVES)</t>
        </is>
      </c>
      <c r="B10" s="550" t="inlineStr">
        <is>
          <t>IOU</t>
        </is>
      </c>
      <c r="C10" s="672" t="inlineStr">
        <is>
          <t>Big Bear Lake, San Bernardino Co.</t>
        </is>
      </c>
      <c r="D10" s="673" t="inlineStr">
        <is>
          <t>EV rate: TOU-EV-2 / TOU-EV-3 (max 500 kW)</t>
        </is>
      </c>
      <c r="E10" s="501" t="n"/>
      <c r="F10" s="642" t="inlineStr">
        <is>
          <t>Bear Valley Electric Service (BVES)</t>
        </is>
      </c>
      <c r="G10" s="501" t="n"/>
      <c r="H10" s="509" t="inlineStr">
        <is>
          <t>TOU-EV-9</t>
        </is>
      </c>
      <c r="I10" s="501" t="n"/>
      <c r="J10" s="642" t="inlineStr">
        <is>
          <t>Bear Valley Electric Service (BVES)</t>
        </is>
      </c>
      <c r="K10" s="642" t="inlineStr">
        <is>
          <t>IOU</t>
        </is>
      </c>
      <c r="L10" s="642" t="inlineStr">
        <is>
          <t>Big Bear Lake, San Bernardino Co.</t>
        </is>
      </c>
      <c r="M10" s="642" t="inlineStr">
        <is>
          <t>EV rate: TOU-EV-2 / TOU-EV-3 (max 500 kW)</t>
        </is>
      </c>
      <c r="N10" s="642" t="inlineStr">
        <is>
          <t>California</t>
        </is>
      </c>
    </row>
    <row r="11" ht="19.5" customHeight="1" s="254">
      <c r="A11" s="298" t="inlineStr">
        <is>
          <t>LADWP — Los Angeles Dept of Water &amp; Power</t>
        </is>
      </c>
      <c r="B11" s="550" t="inlineStr">
        <is>
          <t>POU</t>
        </is>
      </c>
      <c r="C11" s="672" t="inlineStr">
        <is>
          <t>City of Los Angeles + Owens Valley</t>
        </is>
      </c>
      <c r="D11" s="673" t="inlineStr">
        <is>
          <t>EV rate: EVA1 / EVA2 / EVA3 (pilot)</t>
        </is>
      </c>
      <c r="E11" s="501" t="n"/>
      <c r="F11" s="642" t="inlineStr">
        <is>
          <t>LADWP — Los Angeles Dept of Water &amp; Power</t>
        </is>
      </c>
      <c r="G11" s="501" t="n"/>
      <c r="H11" s="509" t="inlineStr">
        <is>
          <t>EV-HP &gt;150kW</t>
        </is>
      </c>
      <c r="I11" s="501" t="n"/>
      <c r="J11" s="642" t="inlineStr">
        <is>
          <t>LADWP — Los Angeles Dept of Water &amp; Power</t>
        </is>
      </c>
      <c r="K11" s="642" t="inlineStr">
        <is>
          <t>POU</t>
        </is>
      </c>
      <c r="L11" s="642" t="inlineStr">
        <is>
          <t>City of Los Angeles + Owens Valley</t>
        </is>
      </c>
      <c r="M11" s="642" t="inlineStr">
        <is>
          <t>EV rate: EVA1 / EVA2 / EVA3 (pilot)</t>
        </is>
      </c>
      <c r="N11" s="642" t="inlineStr">
        <is>
          <t>California</t>
        </is>
      </c>
    </row>
    <row r="12" ht="29.08" customHeight="1" s="254">
      <c r="A12" s="298" t="inlineStr">
        <is>
          <t>SMUD — Sacramento Municipal Utility District</t>
        </is>
      </c>
      <c r="B12" s="550" t="inlineStr">
        <is>
          <t>POU</t>
        </is>
      </c>
      <c r="C12" s="672" t="inlineStr">
        <is>
          <t>Sacramento Co. + part of Placer Co.</t>
        </is>
      </c>
      <c r="D12" s="673" t="inlineStr">
        <is>
          <t>EV rate: EV_SR subscription</t>
        </is>
      </c>
      <c r="E12" s="501" t="n"/>
      <c r="F12" s="642" t="inlineStr">
        <is>
          <t>SMUD — Sacramento Municipal Utility District</t>
        </is>
      </c>
      <c r="G12" s="501" t="n"/>
      <c r="H12" s="509" t="inlineStr">
        <is>
          <t>EV-HP &lt;150kW</t>
        </is>
      </c>
      <c r="I12" s="501" t="n"/>
      <c r="J12" s="642" t="inlineStr">
        <is>
          <t>SMUD — Sacramento Municipal Utility District</t>
        </is>
      </c>
      <c r="K12" s="642" t="inlineStr">
        <is>
          <t>POU</t>
        </is>
      </c>
      <c r="L12" s="642" t="inlineStr">
        <is>
          <t>Sacramento Co. + part of Placer Co.</t>
        </is>
      </c>
      <c r="M12" s="642" t="inlineStr">
        <is>
          <t>EV rate: EV_SR subscription</t>
        </is>
      </c>
      <c r="N12" s="642" t="inlineStr">
        <is>
          <t>California</t>
        </is>
      </c>
    </row>
    <row r="13" ht="27.76" customHeight="1" s="254">
      <c r="A13" s="298" t="inlineStr">
        <is>
          <t>IID — Imperial Irrigation District</t>
        </is>
      </c>
      <c r="B13" s="550" t="inlineStr">
        <is>
          <t>POU</t>
        </is>
      </c>
      <c r="C13" s="672" t="inlineStr">
        <is>
          <t>Imperial Co. + eastern Coachella Valley</t>
        </is>
      </c>
      <c r="D13" s="674" t="inlineStr">
        <is>
          <t>NO EV rate</t>
        </is>
      </c>
      <c r="E13" s="501" t="n"/>
      <c r="F13" s="642" t="inlineStr">
        <is>
          <t>IID — Imperial Irrigation District</t>
        </is>
      </c>
      <c r="G13" s="501" t="n"/>
      <c r="H13" s="509" t="inlineStr">
        <is>
          <t>UMERC Cg1 — General Secondary, three-phase</t>
        </is>
      </c>
      <c r="I13" s="501" t="n"/>
      <c r="J13" s="642" t="inlineStr">
        <is>
          <t>IID — Imperial Irrigation District</t>
        </is>
      </c>
      <c r="K13" s="642" t="inlineStr">
        <is>
          <t>POU</t>
        </is>
      </c>
      <c r="L13" s="642" t="inlineStr">
        <is>
          <t>Imperial Co. + eastern Coachella Valley</t>
        </is>
      </c>
      <c r="M13" s="642" t="inlineStr">
        <is>
          <t>NO EV rate</t>
        </is>
      </c>
      <c r="N13" s="642" t="inlineStr">
        <is>
          <t>California</t>
        </is>
      </c>
    </row>
    <row r="14" ht="19.5" customHeight="1" s="254">
      <c r="A14" s="298" t="inlineStr">
        <is>
          <t>MID — Modesto Irrigation District</t>
        </is>
      </c>
      <c r="B14" s="550" t="inlineStr">
        <is>
          <t>POU</t>
        </is>
      </c>
      <c r="C14" s="672" t="inlineStr">
        <is>
          <t>Modesto &amp; Stanislaus Co.</t>
        </is>
      </c>
      <c r="D14" s="674" t="inlineStr">
        <is>
          <t>NO commercial EV rate</t>
        </is>
      </c>
      <c r="E14" s="501" t="n"/>
      <c r="F14" s="642" t="inlineStr">
        <is>
          <t>MID — Modesto Irrigation District</t>
        </is>
      </c>
      <c r="G14" s="501" t="n"/>
      <c r="H14" s="509" t="inlineStr">
        <is>
          <t>UMERC Cg5 — General Secondary Time-of-Use</t>
        </is>
      </c>
      <c r="I14" s="501" t="n"/>
      <c r="J14" s="642" t="inlineStr">
        <is>
          <t>MID — Modesto Irrigation District</t>
        </is>
      </c>
      <c r="K14" s="642" t="inlineStr">
        <is>
          <t>POU</t>
        </is>
      </c>
      <c r="L14" s="642" t="inlineStr">
        <is>
          <t>Modesto &amp; Stanislaus Co.</t>
        </is>
      </c>
      <c r="M14" s="642" t="inlineStr">
        <is>
          <t>NO commercial EV rate</t>
        </is>
      </c>
      <c r="N14" s="642" t="inlineStr">
        <is>
          <t>California</t>
        </is>
      </c>
    </row>
    <row r="15" ht="27.76" customHeight="1" s="254">
      <c r="A15" s="298" t="inlineStr">
        <is>
          <t>Anaheim Public Utilities</t>
        </is>
      </c>
      <c r="B15" s="550" t="inlineStr">
        <is>
          <t>POU</t>
        </is>
      </c>
      <c r="C15" s="672" t="inlineStr">
        <is>
          <t>City of Anaheim, Orange Co.</t>
        </is>
      </c>
      <c r="D15" s="675" t="inlineStr">
        <is>
          <t>EV rate D-EV-2 CLOSED to new customers</t>
        </is>
      </c>
      <c r="E15" s="501" t="n"/>
      <c r="F15" s="642" t="inlineStr">
        <is>
          <t>Anaheim Public Utilities</t>
        </is>
      </c>
      <c r="G15" s="501" t="n"/>
      <c r="H15" s="509" t="inlineStr">
        <is>
          <t>UMERC Cg3 — General Secondary Demand TOU</t>
        </is>
      </c>
      <c r="I15" s="501" t="n"/>
      <c r="J15" s="642" t="inlineStr">
        <is>
          <t>Anaheim Public Utilities</t>
        </is>
      </c>
      <c r="K15" s="642" t="inlineStr">
        <is>
          <t>POU</t>
        </is>
      </c>
      <c r="L15" s="642" t="inlineStr">
        <is>
          <t>City of Anaheim, Orange Co.</t>
        </is>
      </c>
      <c r="M15" s="642" t="inlineStr">
        <is>
          <t>EV rate D-EV-2 CLOSED to new customers</t>
        </is>
      </c>
      <c r="N15" s="642" t="inlineStr">
        <is>
          <t>California</t>
        </is>
      </c>
    </row>
    <row r="16" ht="19.5" customHeight="1" s="254">
      <c r="A16" s="298" t="inlineStr">
        <is>
          <t>Riverside Public Utilities</t>
        </is>
      </c>
      <c r="B16" s="550" t="inlineStr">
        <is>
          <t>POU</t>
        </is>
      </c>
      <c r="C16" s="672" t="inlineStr">
        <is>
          <t>City of Riverside</t>
        </is>
      </c>
      <c r="D16" s="675" t="inlineStr">
        <is>
          <t>EV rate SMEVC capped below 150 kW</t>
        </is>
      </c>
      <c r="E16" s="501" t="n"/>
      <c r="F16" s="642" t="inlineStr">
        <is>
          <t>Riverside Public Utilities</t>
        </is>
      </c>
      <c r="G16" s="501" t="n"/>
      <c r="H16" s="509" t="inlineStr">
        <is>
          <t>Manual</t>
        </is>
      </c>
      <c r="I16" s="501" t="n"/>
      <c r="J16" s="642" t="inlineStr">
        <is>
          <t>Riverside Public Utilities</t>
        </is>
      </c>
      <c r="K16" s="642" t="inlineStr">
        <is>
          <t>POU</t>
        </is>
      </c>
      <c r="L16" s="642" t="inlineStr">
        <is>
          <t>City of Riverside</t>
        </is>
      </c>
      <c r="M16" s="642" t="inlineStr">
        <is>
          <t>EV rate SMEVC capped below 150 kW</t>
        </is>
      </c>
      <c r="N16" s="642" t="inlineStr">
        <is>
          <t>California</t>
        </is>
      </c>
    </row>
    <row r="17" ht="19.5" customHeight="1" s="254">
      <c r="A17" s="298" t="inlineStr">
        <is>
          <t>TID — Turlock Irrigation District</t>
        </is>
      </c>
      <c r="B17" s="550" t="inlineStr">
        <is>
          <t>POU</t>
        </is>
      </c>
      <c r="C17" s="672" t="inlineStr">
        <is>
          <t>Turlock; Stanislaus, Merced, Tuolumne</t>
        </is>
      </c>
      <c r="D17" s="674" t="inlineStr">
        <is>
          <t>NO EV rate</t>
        </is>
      </c>
      <c r="E17" s="501" t="n"/>
      <c r="F17" s="642" t="inlineStr">
        <is>
          <t>TID — Turlock Irrigation District</t>
        </is>
      </c>
      <c r="G17" s="501" t="n"/>
      <c r="H17" s="642" t="inlineStr">
        <is>
          <t>REU E2 — Small Commercial (no demand)</t>
        </is>
      </c>
      <c r="I17" s="501" t="n"/>
      <c r="J17" s="642" t="inlineStr">
        <is>
          <t>TID — Turlock Irrigation District</t>
        </is>
      </c>
      <c r="K17" s="642" t="inlineStr">
        <is>
          <t>POU</t>
        </is>
      </c>
      <c r="L17" s="642" t="inlineStr">
        <is>
          <t>Turlock; Stanislaus, Merced, Tuolumne</t>
        </is>
      </c>
      <c r="M17" s="642" t="inlineStr">
        <is>
          <t>NO EV rate</t>
        </is>
      </c>
      <c r="N17" s="642" t="inlineStr">
        <is>
          <t>California</t>
        </is>
      </c>
    </row>
    <row r="18" ht="19.5" customHeight="1" s="254">
      <c r="A18" s="298" t="inlineStr">
        <is>
          <t>Glendale Water and Power</t>
        </is>
      </c>
      <c r="B18" s="550" t="inlineStr">
        <is>
          <t>POU</t>
        </is>
      </c>
      <c r="C18" s="672" t="inlineStr">
        <is>
          <t>City of Glendale, LA Co.</t>
        </is>
      </c>
      <c r="D18" s="674" t="inlineStr">
        <is>
          <t>NO commercial EV rate</t>
        </is>
      </c>
      <c r="E18" s="501" t="n"/>
      <c r="F18" s="642" t="inlineStr">
        <is>
          <t>Glendale Water and Power</t>
        </is>
      </c>
      <c r="G18" s="501" t="n"/>
      <c r="H18" s="642" t="inlineStr">
        <is>
          <t>REU E7/E8 — Large Commercial (demand)</t>
        </is>
      </c>
      <c r="I18" s="501" t="n"/>
      <c r="J18" s="642" t="inlineStr">
        <is>
          <t>Glendale Water and Power</t>
        </is>
      </c>
      <c r="K18" s="642" t="inlineStr">
        <is>
          <t>POU</t>
        </is>
      </c>
      <c r="L18" s="642" t="inlineStr">
        <is>
          <t>City of Glendale, LA Co.</t>
        </is>
      </c>
      <c r="M18" s="642" t="inlineStr">
        <is>
          <t>NO commercial EV rate</t>
        </is>
      </c>
      <c r="N18" s="642" t="inlineStr">
        <is>
          <t>California</t>
        </is>
      </c>
    </row>
    <row r="19" ht="19.5" customHeight="1" s="254">
      <c r="A19" s="298" t="inlineStr">
        <is>
          <t>Roseville Electric Utility</t>
        </is>
      </c>
      <c r="B19" s="550" t="inlineStr">
        <is>
          <t>POU</t>
        </is>
      </c>
      <c r="C19" s="672" t="inlineStr">
        <is>
          <t>City of Roseville, Placer Co.</t>
        </is>
      </c>
      <c r="D19" s="674" t="inlineStr">
        <is>
          <t>NO commercial EV rate</t>
        </is>
      </c>
      <c r="E19" s="501" t="n"/>
      <c r="F19" s="642" t="inlineStr">
        <is>
          <t>Roseville Electric Utility</t>
        </is>
      </c>
      <c r="G19" s="501" t="n"/>
      <c r="H19" s="501" t="n"/>
      <c r="I19" s="501" t="n"/>
      <c r="J19" s="642" t="inlineStr">
        <is>
          <t>Roseville Electric Utility</t>
        </is>
      </c>
      <c r="K19" s="642" t="inlineStr">
        <is>
          <t>POU</t>
        </is>
      </c>
      <c r="L19" s="642" t="inlineStr">
        <is>
          <t>City of Roseville, Placer Co.</t>
        </is>
      </c>
      <c r="M19" s="642" t="inlineStr">
        <is>
          <t>NO commercial EV rate</t>
        </is>
      </c>
      <c r="N19" s="642" t="inlineStr">
        <is>
          <t>California</t>
        </is>
      </c>
    </row>
    <row r="20" ht="19.5" customHeight="1" s="254">
      <c r="A20" s="298" t="inlineStr">
        <is>
          <t>Pasadena Water and Power</t>
        </is>
      </c>
      <c r="B20" s="550" t="inlineStr">
        <is>
          <t>POU</t>
        </is>
      </c>
      <c r="C20" s="672" t="inlineStr">
        <is>
          <t>City of Pasadena, LA Co.</t>
        </is>
      </c>
      <c r="D20" s="674" t="inlineStr">
        <is>
          <t>NO commercial EV rate</t>
        </is>
      </c>
      <c r="E20" s="501" t="n"/>
      <c r="F20" s="642" t="inlineStr">
        <is>
          <t>Pasadena Water and Power</t>
        </is>
      </c>
      <c r="G20" s="501" t="n"/>
      <c r="H20" s="501" t="n"/>
      <c r="I20" s="501" t="n"/>
      <c r="J20" s="642" t="inlineStr">
        <is>
          <t>Pasadena Water and Power</t>
        </is>
      </c>
      <c r="K20" s="642" t="inlineStr">
        <is>
          <t>POU</t>
        </is>
      </c>
      <c r="L20" s="642" t="inlineStr">
        <is>
          <t>City of Pasadena, LA Co.</t>
        </is>
      </c>
      <c r="M20" s="642" t="inlineStr">
        <is>
          <t>NO commercial EV rate</t>
        </is>
      </c>
      <c r="N20" s="642" t="inlineStr">
        <is>
          <t>California</t>
        </is>
      </c>
    </row>
    <row r="21" ht="19.5" customHeight="1" s="254">
      <c r="A21" s="298" t="inlineStr">
        <is>
          <t>Silicon Valley Power (Santa Clara)</t>
        </is>
      </c>
      <c r="B21" s="550" t="inlineStr">
        <is>
          <t>POU</t>
        </is>
      </c>
      <c r="C21" s="672" t="inlineStr">
        <is>
          <t>City of Santa Clara</t>
        </is>
      </c>
      <c r="D21" s="674" t="inlineStr">
        <is>
          <t>NO EV rate — by policy</t>
        </is>
      </c>
      <c r="E21" s="501" t="n"/>
      <c r="F21" s="642" t="inlineStr">
        <is>
          <t>Silicon Valley Power (Santa Clara)</t>
        </is>
      </c>
      <c r="G21" s="501" t="n"/>
      <c r="H21" s="501" t="n"/>
      <c r="I21" s="501" t="n"/>
      <c r="J21" s="642" t="inlineStr">
        <is>
          <t>Silicon Valley Power (Santa Clara)</t>
        </is>
      </c>
      <c r="K21" s="642" t="inlineStr">
        <is>
          <t>POU</t>
        </is>
      </c>
      <c r="L21" s="642" t="inlineStr">
        <is>
          <t>City of Santa Clara</t>
        </is>
      </c>
      <c r="M21" s="642" t="inlineStr">
        <is>
          <t>NO EV rate — by policy</t>
        </is>
      </c>
      <c r="N21" s="642" t="inlineStr">
        <is>
          <t>California</t>
        </is>
      </c>
    </row>
    <row r="22" ht="19.5" customHeight="1" s="254">
      <c r="A22" s="298" t="inlineStr">
        <is>
          <t>Burbank Water and Power</t>
        </is>
      </c>
      <c r="B22" s="550" t="inlineStr">
        <is>
          <t>POU</t>
        </is>
      </c>
      <c r="C22" s="672" t="inlineStr">
        <is>
          <t>City of Burbank, LA Co.</t>
        </is>
      </c>
      <c r="D22" s="674" t="inlineStr">
        <is>
          <t>NO commercial EV rate</t>
        </is>
      </c>
      <c r="E22" s="501" t="n"/>
      <c r="F22" s="642" t="inlineStr">
        <is>
          <t>Burbank Water and Power</t>
        </is>
      </c>
      <c r="G22" s="501" t="n"/>
      <c r="H22" s="501" t="n"/>
      <c r="I22" s="501" t="n"/>
      <c r="J22" s="642" t="inlineStr">
        <is>
          <t>Burbank Water and Power</t>
        </is>
      </c>
      <c r="K22" s="642" t="inlineStr">
        <is>
          <t>POU</t>
        </is>
      </c>
      <c r="L22" s="642" t="inlineStr">
        <is>
          <t>City of Burbank, LA Co.</t>
        </is>
      </c>
      <c r="M22" s="642" t="inlineStr">
        <is>
          <t>NO commercial EV rate</t>
        </is>
      </c>
      <c r="N22" s="642" t="inlineStr">
        <is>
          <t>California</t>
        </is>
      </c>
    </row>
    <row r="23" ht="19.5" customHeight="1" s="254">
      <c r="A23" s="298" t="inlineStr">
        <is>
          <t>Redding Electric Utility</t>
        </is>
      </c>
      <c r="B23" s="550" t="inlineStr">
        <is>
          <t>POU</t>
        </is>
      </c>
      <c r="C23" s="672" t="inlineStr">
        <is>
          <t>City of Redding, Shasta Co.</t>
        </is>
      </c>
      <c r="D23" s="675" t="inlineStr">
        <is>
          <t>Not researched</t>
        </is>
      </c>
      <c r="E23" s="501" t="n"/>
      <c r="F23" s="642" t="inlineStr">
        <is>
          <t>Redding Electric Utility</t>
        </is>
      </c>
      <c r="G23" s="501" t="n"/>
      <c r="H23" s="501" t="n"/>
      <c r="I23" s="501" t="n"/>
      <c r="J23" s="642" t="inlineStr">
        <is>
          <t>Redding Electric Utility</t>
        </is>
      </c>
      <c r="K23" s="642" t="inlineStr">
        <is>
          <t>POU</t>
        </is>
      </c>
      <c r="L23" s="642" t="inlineStr">
        <is>
          <t>City of Redding, Shasta Co.</t>
        </is>
      </c>
      <c r="M23" s="642" t="inlineStr">
        <is>
          <t>Not researched</t>
        </is>
      </c>
      <c r="N23" s="642" t="inlineStr">
        <is>
          <t>California</t>
        </is>
      </c>
    </row>
    <row r="24" ht="19.5" customHeight="1" s="254">
      <c r="A24" s="298" t="inlineStr">
        <is>
          <t>Alameda Municipal Power</t>
        </is>
      </c>
      <c r="B24" s="550" t="inlineStr">
        <is>
          <t>POU</t>
        </is>
      </c>
      <c r="C24" s="672" t="inlineStr">
        <is>
          <t>City of Alameda</t>
        </is>
      </c>
      <c r="D24" s="674" t="inlineStr">
        <is>
          <t>NO commercial EV rate</t>
        </is>
      </c>
      <c r="E24" s="501" t="n"/>
      <c r="F24" s="642" t="inlineStr">
        <is>
          <t>Alameda Municipal Power</t>
        </is>
      </c>
      <c r="G24" s="501" t="n"/>
      <c r="H24" s="501" t="n"/>
      <c r="I24" s="501" t="n"/>
      <c r="J24" s="642" t="inlineStr">
        <is>
          <t>Alameda Municipal Power</t>
        </is>
      </c>
      <c r="K24" s="642" t="inlineStr">
        <is>
          <t>POU</t>
        </is>
      </c>
      <c r="L24" s="642" t="inlineStr">
        <is>
          <t>City of Alameda</t>
        </is>
      </c>
      <c r="M24" s="642" t="inlineStr">
        <is>
          <t>NO commercial EV rate</t>
        </is>
      </c>
      <c r="N24" s="642" t="inlineStr">
        <is>
          <t>California</t>
        </is>
      </c>
    </row>
    <row r="25" ht="19.5" customHeight="1" s="254">
      <c r="A25" s="298" t="inlineStr">
        <is>
          <t>City of Palo Alto Utilities</t>
        </is>
      </c>
      <c r="B25" s="550" t="inlineStr">
        <is>
          <t>POU</t>
        </is>
      </c>
      <c r="C25" s="672" t="inlineStr">
        <is>
          <t>City of Palo Alto</t>
        </is>
      </c>
      <c r="D25" s="674" t="inlineStr">
        <is>
          <t>NO commercial EV rate</t>
        </is>
      </c>
      <c r="E25" s="501" t="n"/>
      <c r="F25" s="642" t="inlineStr">
        <is>
          <t>City of Palo Alto Utilities</t>
        </is>
      </c>
      <c r="G25" s="501" t="n"/>
      <c r="H25" s="501" t="n"/>
      <c r="I25" s="501" t="n"/>
      <c r="J25" s="642" t="inlineStr">
        <is>
          <t>City of Palo Alto Utilities</t>
        </is>
      </c>
      <c r="K25" s="642" t="inlineStr">
        <is>
          <t>POU</t>
        </is>
      </c>
      <c r="L25" s="642" t="inlineStr">
        <is>
          <t>City of Palo Alto</t>
        </is>
      </c>
      <c r="M25" s="642" t="inlineStr">
        <is>
          <t>NO commercial EV rate</t>
        </is>
      </c>
      <c r="N25" s="642" t="inlineStr">
        <is>
          <t>California</t>
        </is>
      </c>
    </row>
    <row r="26" ht="19.5" customHeight="1" s="254">
      <c r="A26" s="298" t="inlineStr">
        <is>
          <t>Lodi Electric Utility</t>
        </is>
      </c>
      <c r="B26" s="550" t="inlineStr">
        <is>
          <t>POU</t>
        </is>
      </c>
      <c r="C26" s="672" t="inlineStr">
        <is>
          <t>City of Lodi, San Joaquin Co.</t>
        </is>
      </c>
      <c r="D26" s="675" t="inlineStr">
        <is>
          <t>Not researched</t>
        </is>
      </c>
      <c r="E26" s="501" t="n"/>
      <c r="F26" s="642" t="inlineStr">
        <is>
          <t>Lodi Electric Utility</t>
        </is>
      </c>
      <c r="G26" s="501" t="n"/>
      <c r="H26" s="501" t="n"/>
      <c r="I26" s="501" t="n"/>
      <c r="J26" s="642" t="inlineStr">
        <is>
          <t>Lodi Electric Utility</t>
        </is>
      </c>
      <c r="K26" s="642" t="inlineStr">
        <is>
          <t>POU</t>
        </is>
      </c>
      <c r="L26" s="642" t="inlineStr">
        <is>
          <t>City of Lodi, San Joaquin Co.</t>
        </is>
      </c>
      <c r="M26" s="642" t="inlineStr">
        <is>
          <t>Not researched</t>
        </is>
      </c>
      <c r="N26" s="642" t="inlineStr">
        <is>
          <t>California</t>
        </is>
      </c>
    </row>
    <row r="27" ht="19.5" customHeight="1" s="254">
      <c r="A27" s="298" t="inlineStr">
        <is>
          <t>Colton Public Utilities</t>
        </is>
      </c>
      <c r="B27" s="550" t="inlineStr">
        <is>
          <t>POU</t>
        </is>
      </c>
      <c r="C27" s="672" t="inlineStr">
        <is>
          <t>City of Colton, San Bernardino Co.</t>
        </is>
      </c>
      <c r="D27" s="675" t="inlineStr">
        <is>
          <t>EV rate page exists — obtain tariff</t>
        </is>
      </c>
      <c r="E27" s="501" t="n"/>
      <c r="F27" s="642" t="inlineStr">
        <is>
          <t>Colton Public Utilities</t>
        </is>
      </c>
      <c r="G27" s="501" t="n"/>
      <c r="H27" s="501" t="n"/>
      <c r="I27" s="501" t="n"/>
      <c r="J27" s="642" t="inlineStr">
        <is>
          <t>Colton Public Utilities</t>
        </is>
      </c>
      <c r="K27" s="642" t="inlineStr">
        <is>
          <t>POU</t>
        </is>
      </c>
      <c r="L27" s="642" t="inlineStr">
        <is>
          <t>City of Colton, San Bernardino Co.</t>
        </is>
      </c>
      <c r="M27" s="642" t="inlineStr">
        <is>
          <t>EV rate page exists — obtain tariff</t>
        </is>
      </c>
      <c r="N27" s="642" t="inlineStr">
        <is>
          <t>California</t>
        </is>
      </c>
    </row>
    <row r="28" ht="19.5" customHeight="1" s="254">
      <c r="A28" s="298" t="inlineStr">
        <is>
          <t>Azusa Light &amp; Water</t>
        </is>
      </c>
      <c r="B28" s="550" t="inlineStr">
        <is>
          <t>POU</t>
        </is>
      </c>
      <c r="C28" s="672" t="inlineStr">
        <is>
          <t>City of Azusa, LA Co.</t>
        </is>
      </c>
      <c r="D28" s="674" t="inlineStr">
        <is>
          <t>NO commercial EV rate</t>
        </is>
      </c>
      <c r="E28" s="501" t="n"/>
      <c r="F28" s="642" t="inlineStr">
        <is>
          <t>Azusa Light &amp; Water</t>
        </is>
      </c>
      <c r="G28" s="501" t="n"/>
      <c r="H28" s="501" t="n"/>
      <c r="I28" s="501" t="n"/>
      <c r="J28" s="642" t="inlineStr">
        <is>
          <t>Azusa Light &amp; Water</t>
        </is>
      </c>
      <c r="K28" s="642" t="inlineStr">
        <is>
          <t>POU</t>
        </is>
      </c>
      <c r="L28" s="642" t="inlineStr">
        <is>
          <t>City of Azusa, LA Co.</t>
        </is>
      </c>
      <c r="M28" s="642" t="inlineStr">
        <is>
          <t>NO commercial EV rate</t>
        </is>
      </c>
      <c r="N28" s="642" t="inlineStr">
        <is>
          <t>California</t>
        </is>
      </c>
    </row>
    <row r="29" ht="19.5" customHeight="1" s="254">
      <c r="A29" s="298" t="inlineStr">
        <is>
          <t>Lompoc Electric Division</t>
        </is>
      </c>
      <c r="B29" s="550" t="inlineStr">
        <is>
          <t>POU</t>
        </is>
      </c>
      <c r="C29" s="672" t="inlineStr">
        <is>
          <t>City of Lompoc, Santa Barbara Co.</t>
        </is>
      </c>
      <c r="D29" s="675" t="inlineStr">
        <is>
          <t>Not researched</t>
        </is>
      </c>
      <c r="E29" s="501" t="n"/>
      <c r="F29" s="642" t="inlineStr">
        <is>
          <t>Lompoc Electric Division</t>
        </is>
      </c>
      <c r="G29" s="501" t="n"/>
      <c r="H29" s="501" t="n"/>
      <c r="I29" s="501" t="n"/>
      <c r="J29" s="642" t="inlineStr">
        <is>
          <t>Lompoc Electric Division</t>
        </is>
      </c>
      <c r="K29" s="642" t="inlineStr">
        <is>
          <t>POU</t>
        </is>
      </c>
      <c r="L29" s="642" t="inlineStr">
        <is>
          <t>City of Lompoc, Santa Barbara Co.</t>
        </is>
      </c>
      <c r="M29" s="642" t="inlineStr">
        <is>
          <t>Not researched</t>
        </is>
      </c>
      <c r="N29" s="642" t="inlineStr">
        <is>
          <t>California</t>
        </is>
      </c>
    </row>
    <row r="30" ht="19.5" customHeight="1" s="254">
      <c r="A30" s="298" t="inlineStr">
        <is>
          <t>Truckee Donner PUD</t>
        </is>
      </c>
      <c r="B30" s="550" t="inlineStr">
        <is>
          <t>POU</t>
        </is>
      </c>
      <c r="C30" s="672" t="inlineStr">
        <is>
          <t>Truckee &amp; Donner, Nevada/Placer Co.</t>
        </is>
      </c>
      <c r="D30" s="675" t="inlineStr">
        <is>
          <t>Not researched</t>
        </is>
      </c>
      <c r="E30" s="501" t="n"/>
      <c r="F30" s="642" t="inlineStr">
        <is>
          <t>Truckee Donner PUD</t>
        </is>
      </c>
      <c r="G30" s="501" t="n"/>
      <c r="H30" s="501" t="n"/>
      <c r="I30" s="501" t="n"/>
      <c r="J30" s="642" t="inlineStr">
        <is>
          <t>Truckee Donner PUD</t>
        </is>
      </c>
      <c r="K30" s="642" t="inlineStr">
        <is>
          <t>POU</t>
        </is>
      </c>
      <c r="L30" s="642" t="inlineStr">
        <is>
          <t>Truckee &amp; Donner, Nevada/Placer Co.</t>
        </is>
      </c>
      <c r="M30" s="642" t="inlineStr">
        <is>
          <t>Not researched</t>
        </is>
      </c>
      <c r="N30" s="642" t="inlineStr">
        <is>
          <t>California</t>
        </is>
      </c>
    </row>
    <row r="31" ht="19.5" customHeight="1" s="254">
      <c r="A31" s="298" t="inlineStr">
        <is>
          <t>Banning Electric Utility</t>
        </is>
      </c>
      <c r="B31" s="550" t="inlineStr">
        <is>
          <t>POU</t>
        </is>
      </c>
      <c r="C31" s="672" t="inlineStr">
        <is>
          <t>City of Banning, Riverside Co.</t>
        </is>
      </c>
      <c r="D31" s="675" t="inlineStr">
        <is>
          <t>Not researched</t>
        </is>
      </c>
      <c r="E31" s="501" t="n"/>
      <c r="F31" s="642" t="inlineStr">
        <is>
          <t>Banning Electric Utility</t>
        </is>
      </c>
      <c r="G31" s="501" t="n"/>
      <c r="H31" s="501" t="n"/>
      <c r="I31" s="501" t="n"/>
      <c r="J31" s="642" t="inlineStr">
        <is>
          <t>Banning Electric Utility</t>
        </is>
      </c>
      <c r="K31" s="642" t="inlineStr">
        <is>
          <t>POU</t>
        </is>
      </c>
      <c r="L31" s="642" t="inlineStr">
        <is>
          <t>City of Banning, Riverside Co.</t>
        </is>
      </c>
      <c r="M31" s="642" t="inlineStr">
        <is>
          <t>Not researched</t>
        </is>
      </c>
      <c r="N31" s="642" t="inlineStr">
        <is>
          <t>California</t>
        </is>
      </c>
    </row>
    <row r="32" ht="19.5" customHeight="1" s="254">
      <c r="A32" s="298" t="inlineStr">
        <is>
          <t>Merced Irrigation District</t>
        </is>
      </c>
      <c r="B32" s="550" t="inlineStr">
        <is>
          <t>POU</t>
        </is>
      </c>
      <c r="C32" s="672" t="inlineStr">
        <is>
          <t>Merced County</t>
        </is>
      </c>
      <c r="D32" s="675" t="inlineStr">
        <is>
          <t>Not researched</t>
        </is>
      </c>
      <c r="E32" s="501" t="n"/>
      <c r="F32" s="642" t="inlineStr">
        <is>
          <t>Merced Irrigation District</t>
        </is>
      </c>
      <c r="G32" s="501" t="n"/>
      <c r="H32" s="501" t="n"/>
      <c r="I32" s="501" t="n"/>
      <c r="J32" s="642" t="inlineStr">
        <is>
          <t>Merced Irrigation District</t>
        </is>
      </c>
      <c r="K32" s="642" t="inlineStr">
        <is>
          <t>POU</t>
        </is>
      </c>
      <c r="L32" s="642" t="inlineStr">
        <is>
          <t>Merced County</t>
        </is>
      </c>
      <c r="M32" s="642" t="inlineStr">
        <is>
          <t>Not researched</t>
        </is>
      </c>
      <c r="N32" s="642" t="inlineStr">
        <is>
          <t>California</t>
        </is>
      </c>
    </row>
    <row r="33" ht="19.5" customHeight="1" s="254">
      <c r="A33" s="298" t="inlineStr">
        <is>
          <t>LMUD — Lassen Municipal Utility District</t>
        </is>
      </c>
      <c r="B33" s="550" t="inlineStr">
        <is>
          <t>POU</t>
        </is>
      </c>
      <c r="C33" s="672" t="inlineStr">
        <is>
          <t>Susanville &amp; Lassen Co.</t>
        </is>
      </c>
      <c r="D33" s="675" t="inlineStr">
        <is>
          <t>Not researched</t>
        </is>
      </c>
      <c r="E33" s="501" t="n"/>
      <c r="F33" s="642" t="inlineStr">
        <is>
          <t>LMUD — Lassen Municipal Utility District</t>
        </is>
      </c>
      <c r="G33" s="501" t="n"/>
      <c r="H33" s="501" t="n"/>
      <c r="I33" s="501" t="n"/>
      <c r="J33" s="642" t="inlineStr">
        <is>
          <t>LMUD — Lassen Municipal Utility District</t>
        </is>
      </c>
      <c r="K33" s="642" t="inlineStr">
        <is>
          <t>POU</t>
        </is>
      </c>
      <c r="L33" s="642" t="inlineStr">
        <is>
          <t>Susanville &amp; Lassen Co.</t>
        </is>
      </c>
      <c r="M33" s="642" t="inlineStr">
        <is>
          <t>Not researched</t>
        </is>
      </c>
      <c r="N33" s="642" t="inlineStr">
        <is>
          <t>California</t>
        </is>
      </c>
    </row>
    <row r="34" ht="19.5" customHeight="1" s="254">
      <c r="A34" s="298" t="inlineStr">
        <is>
          <t>Ukiah Electric Utility</t>
        </is>
      </c>
      <c r="B34" s="550" t="inlineStr">
        <is>
          <t>POU</t>
        </is>
      </c>
      <c r="C34" s="672" t="inlineStr">
        <is>
          <t>City of Ukiah, Mendocino Co.</t>
        </is>
      </c>
      <c r="D34" s="675" t="inlineStr">
        <is>
          <t>Not researched</t>
        </is>
      </c>
      <c r="E34" s="501" t="n"/>
      <c r="F34" s="642" t="inlineStr">
        <is>
          <t>Ukiah Electric Utility</t>
        </is>
      </c>
      <c r="G34" s="501" t="n"/>
      <c r="H34" s="501" t="n"/>
      <c r="I34" s="501" t="n"/>
      <c r="J34" s="642" t="inlineStr">
        <is>
          <t>Ukiah Electric Utility</t>
        </is>
      </c>
      <c r="K34" s="642" t="inlineStr">
        <is>
          <t>POU</t>
        </is>
      </c>
      <c r="L34" s="642" t="inlineStr">
        <is>
          <t>City of Ukiah, Mendocino Co.</t>
        </is>
      </c>
      <c r="M34" s="642" t="inlineStr">
        <is>
          <t>Not researched</t>
        </is>
      </c>
      <c r="N34" s="642" t="inlineStr">
        <is>
          <t>California</t>
        </is>
      </c>
    </row>
    <row r="35" ht="19.5" customHeight="1" s="254">
      <c r="A35" s="298" t="inlineStr">
        <is>
          <t>Trinity Public Utilities District</t>
        </is>
      </c>
      <c r="B35" s="550" t="inlineStr">
        <is>
          <t>POU</t>
        </is>
      </c>
      <c r="C35" s="672" t="inlineStr">
        <is>
          <t>Trinity County</t>
        </is>
      </c>
      <c r="D35" s="675" t="inlineStr">
        <is>
          <t>Not researched</t>
        </is>
      </c>
      <c r="E35" s="501" t="n"/>
      <c r="F35" s="642" t="inlineStr">
        <is>
          <t>Trinity Public Utilities District</t>
        </is>
      </c>
      <c r="G35" s="501" t="n"/>
      <c r="H35" s="501" t="n"/>
      <c r="I35" s="501" t="n"/>
      <c r="J35" s="642" t="inlineStr">
        <is>
          <t>Trinity Public Utilities District</t>
        </is>
      </c>
      <c r="K35" s="642" t="inlineStr">
        <is>
          <t>POU</t>
        </is>
      </c>
      <c r="L35" s="642" t="inlineStr">
        <is>
          <t>Trinity County</t>
        </is>
      </c>
      <c r="M35" s="642" t="inlineStr">
        <is>
          <t>Not researched</t>
        </is>
      </c>
      <c r="N35" s="642" t="inlineStr">
        <is>
          <t>California</t>
        </is>
      </c>
    </row>
    <row r="36" ht="19.5" customHeight="1" s="254">
      <c r="A36" s="298" t="inlineStr">
        <is>
          <t>Healdsburg Electric Department</t>
        </is>
      </c>
      <c r="B36" s="550" t="inlineStr">
        <is>
          <t>POU</t>
        </is>
      </c>
      <c r="C36" s="672" t="inlineStr">
        <is>
          <t>City of Healdsburg, Sonoma Co.</t>
        </is>
      </c>
      <c r="D36" s="675" t="inlineStr">
        <is>
          <t>Not researched</t>
        </is>
      </c>
      <c r="E36" s="501" t="n"/>
      <c r="F36" s="642" t="inlineStr">
        <is>
          <t>Healdsburg Electric Department</t>
        </is>
      </c>
      <c r="G36" s="501" t="n"/>
      <c r="H36" s="501" t="n"/>
      <c r="I36" s="501" t="n"/>
      <c r="J36" s="642" t="inlineStr">
        <is>
          <t>Healdsburg Electric Department</t>
        </is>
      </c>
      <c r="K36" s="642" t="inlineStr">
        <is>
          <t>POU</t>
        </is>
      </c>
      <c r="L36" s="642" t="inlineStr">
        <is>
          <t>City of Healdsburg, Sonoma Co.</t>
        </is>
      </c>
      <c r="M36" s="642" t="inlineStr">
        <is>
          <t>Not researched</t>
        </is>
      </c>
      <c r="N36" s="642" t="inlineStr">
        <is>
          <t>California</t>
        </is>
      </c>
    </row>
    <row r="37" ht="19.5" customHeight="1" s="254">
      <c r="A37" s="298" t="inlineStr">
        <is>
          <t>Shasta Lake Electric Utility</t>
        </is>
      </c>
      <c r="B37" s="550" t="inlineStr">
        <is>
          <t>POU</t>
        </is>
      </c>
      <c r="C37" s="672" t="inlineStr">
        <is>
          <t>City of Shasta Lake, Shasta Co.</t>
        </is>
      </c>
      <c r="D37" s="675" t="inlineStr">
        <is>
          <t>Not researched</t>
        </is>
      </c>
      <c r="E37" s="501" t="n"/>
      <c r="F37" s="642" t="inlineStr">
        <is>
          <t>Shasta Lake Electric Utility</t>
        </is>
      </c>
      <c r="G37" s="501" t="n"/>
      <c r="H37" s="501" t="n"/>
      <c r="I37" s="501" t="n"/>
      <c r="J37" s="642" t="inlineStr">
        <is>
          <t>Shasta Lake Electric Utility</t>
        </is>
      </c>
      <c r="K37" s="642" t="inlineStr">
        <is>
          <t>POU</t>
        </is>
      </c>
      <c r="L37" s="642" t="inlineStr">
        <is>
          <t>City of Shasta Lake, Shasta Co.</t>
        </is>
      </c>
      <c r="M37" s="642" t="inlineStr">
        <is>
          <t>Not researched</t>
        </is>
      </c>
      <c r="N37" s="642" t="inlineStr">
        <is>
          <t>California</t>
        </is>
      </c>
    </row>
    <row r="38" ht="27.76" customHeight="1" s="254">
      <c r="A38" s="298" t="inlineStr">
        <is>
          <t>Rancho Cucamonga Municipal Utility</t>
        </is>
      </c>
      <c r="B38" s="550" t="inlineStr">
        <is>
          <t>POU</t>
        </is>
      </c>
      <c r="C38" s="672" t="inlineStr">
        <is>
          <t>PARTIAL — newer development only; SCE serves the rest</t>
        </is>
      </c>
      <c r="D38" s="675" t="inlineStr">
        <is>
          <t>Not researched</t>
        </is>
      </c>
      <c r="E38" s="501" t="n"/>
      <c r="F38" s="642" t="inlineStr">
        <is>
          <t>Rancho Cucamonga Municipal Utility</t>
        </is>
      </c>
      <c r="G38" s="501" t="n"/>
      <c r="H38" s="501" t="n"/>
      <c r="I38" s="501" t="n"/>
      <c r="J38" s="642" t="inlineStr">
        <is>
          <t>Rancho Cucamonga Municipal Utility</t>
        </is>
      </c>
      <c r="K38" s="642" t="inlineStr">
        <is>
          <t>POU</t>
        </is>
      </c>
      <c r="L38" s="642" t="inlineStr">
        <is>
          <t>PARTIAL — newer development only; SCE serves the rest</t>
        </is>
      </c>
      <c r="M38" s="642" t="inlineStr">
        <is>
          <t>Not researched</t>
        </is>
      </c>
      <c r="N38" s="642" t="inlineStr">
        <is>
          <t>California</t>
        </is>
      </c>
    </row>
    <row r="39" ht="27.76" customHeight="1" s="254">
      <c r="A39" s="298" t="inlineStr">
        <is>
          <t>Moreno Valley Utility</t>
        </is>
      </c>
      <c r="B39" s="550" t="inlineStr">
        <is>
          <t>POU</t>
        </is>
      </c>
      <c r="C39" s="672" t="inlineStr">
        <is>
          <t>PARTIAL — post-2004 development only; SCE serves the rest</t>
        </is>
      </c>
      <c r="D39" s="675" t="inlineStr">
        <is>
          <t>Not researched</t>
        </is>
      </c>
      <c r="E39" s="501" t="n"/>
      <c r="F39" s="642" t="inlineStr">
        <is>
          <t>Moreno Valley Utility</t>
        </is>
      </c>
      <c r="G39" s="501" t="n"/>
      <c r="H39" s="501" t="n"/>
      <c r="I39" s="501" t="n"/>
      <c r="J39" s="642" t="inlineStr">
        <is>
          <t>Moreno Valley Utility</t>
        </is>
      </c>
      <c r="K39" s="642" t="inlineStr">
        <is>
          <t>POU</t>
        </is>
      </c>
      <c r="L39" s="676" t="inlineStr">
        <is>
          <t>PARTIAL — post-2004 development only; SCE serves the rest</t>
        </is>
      </c>
      <c r="M39" s="642" t="inlineStr">
        <is>
          <t>Not researched</t>
        </is>
      </c>
      <c r="N39" s="642" t="inlineStr">
        <is>
          <t>California</t>
        </is>
      </c>
    </row>
    <row r="40" ht="19.5" customHeight="1" s="254">
      <c r="A40" s="298" t="inlineStr">
        <is>
          <t>Gridley Electric Utility</t>
        </is>
      </c>
      <c r="B40" s="550" t="inlineStr">
        <is>
          <t>POU</t>
        </is>
      </c>
      <c r="C40" s="672" t="inlineStr">
        <is>
          <t>City of Gridley, Butte Co.</t>
        </is>
      </c>
      <c r="D40" s="675" t="inlineStr">
        <is>
          <t>Not researched</t>
        </is>
      </c>
      <c r="E40" s="501" t="n"/>
      <c r="F40" s="642" t="inlineStr">
        <is>
          <t>Gridley Electric Utility</t>
        </is>
      </c>
      <c r="G40" s="501" t="n"/>
      <c r="H40" s="501" t="n"/>
      <c r="I40" s="501" t="n"/>
      <c r="J40" s="642" t="inlineStr">
        <is>
          <t>Gridley Electric Utility</t>
        </is>
      </c>
      <c r="K40" s="642" t="inlineStr">
        <is>
          <t>POU</t>
        </is>
      </c>
      <c r="L40" s="642" t="inlineStr">
        <is>
          <t>City of Gridley, Butte Co.</t>
        </is>
      </c>
      <c r="M40" s="642" t="inlineStr">
        <is>
          <t>Not researched</t>
        </is>
      </c>
      <c r="N40" s="642" t="inlineStr">
        <is>
          <t>California</t>
        </is>
      </c>
    </row>
    <row r="41" ht="19.5" customHeight="1" s="254">
      <c r="A41" s="298" t="inlineStr">
        <is>
          <t>Needles Public Utility Authority</t>
        </is>
      </c>
      <c r="B41" s="550" t="inlineStr">
        <is>
          <t>POU</t>
        </is>
      </c>
      <c r="C41" s="672" t="inlineStr">
        <is>
          <t>City of Needles, San Bernardino Co.</t>
        </is>
      </c>
      <c r="D41" s="675" t="inlineStr">
        <is>
          <t>Not researched</t>
        </is>
      </c>
      <c r="E41" s="501" t="n"/>
      <c r="F41" s="642" t="inlineStr">
        <is>
          <t>Needles Public Utility Authority</t>
        </is>
      </c>
      <c r="G41" s="501" t="n"/>
      <c r="H41" s="501" t="n"/>
      <c r="I41" s="501" t="n"/>
      <c r="J41" s="642" t="inlineStr">
        <is>
          <t>Needles Public Utility Authority</t>
        </is>
      </c>
      <c r="K41" s="642" t="inlineStr">
        <is>
          <t>POU</t>
        </is>
      </c>
      <c r="L41" s="642" t="inlineStr">
        <is>
          <t>City of Needles, San Bernardino Co.</t>
        </is>
      </c>
      <c r="M41" s="642" t="inlineStr">
        <is>
          <t>Not researched</t>
        </is>
      </c>
      <c r="N41" s="642" t="inlineStr">
        <is>
          <t>California</t>
        </is>
      </c>
    </row>
    <row r="42" ht="19.5" customHeight="1" s="254">
      <c r="A42" s="298" t="inlineStr">
        <is>
          <t>Biggs Municipal Utilities</t>
        </is>
      </c>
      <c r="B42" s="550" t="inlineStr">
        <is>
          <t>POU</t>
        </is>
      </c>
      <c r="C42" s="672" t="inlineStr">
        <is>
          <t>City of Biggs, Butte Co.</t>
        </is>
      </c>
      <c r="D42" s="675" t="inlineStr">
        <is>
          <t>Not researched</t>
        </is>
      </c>
      <c r="E42" s="501" t="n"/>
      <c r="F42" s="642" t="inlineStr">
        <is>
          <t>Biggs Municipal Utilities</t>
        </is>
      </c>
      <c r="G42" s="501" t="n"/>
      <c r="H42" s="501" t="n"/>
      <c r="I42" s="501" t="n"/>
      <c r="J42" s="642" t="inlineStr">
        <is>
          <t>Biggs Municipal Utilities</t>
        </is>
      </c>
      <c r="K42" s="642" t="inlineStr">
        <is>
          <t>POU</t>
        </is>
      </c>
      <c r="L42" s="642" t="inlineStr">
        <is>
          <t>City of Biggs, Butte Co.</t>
        </is>
      </c>
      <c r="M42" s="642" t="inlineStr">
        <is>
          <t>Not researched</t>
        </is>
      </c>
      <c r="N42" s="642" t="inlineStr">
        <is>
          <t>California</t>
        </is>
      </c>
    </row>
    <row r="43" ht="27.76" customHeight="1" s="254">
      <c r="A43" s="298" t="inlineStr">
        <is>
          <t>Kirkwood Meadows PUD</t>
        </is>
      </c>
      <c r="B43" s="550" t="inlineStr">
        <is>
          <t>POU</t>
        </is>
      </c>
      <c r="C43" s="672" t="inlineStr">
        <is>
          <t>Kirkwood ski area, Alpine/Amador/El Dorado</t>
        </is>
      </c>
      <c r="D43" s="675" t="inlineStr">
        <is>
          <t>Not researched</t>
        </is>
      </c>
      <c r="E43" s="501" t="n"/>
      <c r="F43" s="642" t="inlineStr">
        <is>
          <t>Kirkwood Meadows PUD</t>
        </is>
      </c>
      <c r="G43" s="501" t="n"/>
      <c r="H43" s="501" t="n"/>
      <c r="I43" s="501" t="n"/>
      <c r="J43" s="642" t="inlineStr">
        <is>
          <t>Kirkwood Meadows PUD</t>
        </is>
      </c>
      <c r="K43" s="642" t="inlineStr">
        <is>
          <t>POU</t>
        </is>
      </c>
      <c r="L43" s="642" t="inlineStr">
        <is>
          <t>Kirkwood ski area, Alpine/Amador/El Dorado</t>
        </is>
      </c>
      <c r="M43" s="642" t="inlineStr">
        <is>
          <t>Not researched</t>
        </is>
      </c>
      <c r="N43" s="642" t="inlineStr">
        <is>
          <t>California</t>
        </is>
      </c>
    </row>
    <row r="44" ht="19.5" customHeight="1" s="254">
      <c r="A44" s="298" t="inlineStr">
        <is>
          <t>Shelter Cove Resort Improvement District</t>
        </is>
      </c>
      <c r="B44" s="550" t="inlineStr">
        <is>
          <t>POU</t>
        </is>
      </c>
      <c r="C44" s="672" t="inlineStr">
        <is>
          <t>Shelter Cove, Humboldt Co.</t>
        </is>
      </c>
      <c r="D44" s="675" t="inlineStr">
        <is>
          <t>Not researched</t>
        </is>
      </c>
      <c r="E44" s="501" t="n"/>
      <c r="F44" s="642" t="inlineStr">
        <is>
          <t>Shelter Cove Resort Improvement District</t>
        </is>
      </c>
      <c r="G44" s="501" t="n"/>
      <c r="H44" s="501" t="n"/>
      <c r="I44" s="501" t="n"/>
      <c r="J44" s="642" t="inlineStr">
        <is>
          <t>Shelter Cove Resort Improvement District</t>
        </is>
      </c>
      <c r="K44" s="642" t="inlineStr">
        <is>
          <t>POU</t>
        </is>
      </c>
      <c r="L44" s="642" t="inlineStr">
        <is>
          <t>Shelter Cove, Humboldt Co.</t>
        </is>
      </c>
      <c r="M44" s="642" t="inlineStr">
        <is>
          <t>Not researched</t>
        </is>
      </c>
      <c r="N44" s="642" t="inlineStr">
        <is>
          <t>California</t>
        </is>
      </c>
    </row>
    <row r="45" ht="27.76" customHeight="1" s="254">
      <c r="A45" s="298" t="inlineStr">
        <is>
          <t>Hetch Hetchy Power (SFPUC)</t>
        </is>
      </c>
      <c r="B45" s="550" t="inlineStr">
        <is>
          <t>POU</t>
        </is>
      </c>
      <c r="C45" s="672" t="inlineStr">
        <is>
          <t>SF municipal, SFO, Muni, new development</t>
        </is>
      </c>
      <c r="D45" s="675" t="inlineStr">
        <is>
          <t>Not researched</t>
        </is>
      </c>
      <c r="E45" s="501" t="n"/>
      <c r="F45" s="642" t="inlineStr">
        <is>
          <t>Hetch Hetchy Power (SFPUC)</t>
        </is>
      </c>
      <c r="G45" s="501" t="n"/>
      <c r="H45" s="501" t="n"/>
      <c r="I45" s="501" t="n"/>
      <c r="J45" s="642" t="inlineStr">
        <is>
          <t>Hetch Hetchy Power (SFPUC)</t>
        </is>
      </c>
      <c r="K45" s="642" t="inlineStr">
        <is>
          <t>POU</t>
        </is>
      </c>
      <c r="L45" s="642" t="inlineStr">
        <is>
          <t>SF municipal, SFO, Muni, new development</t>
        </is>
      </c>
      <c r="M45" s="642" t="inlineStr">
        <is>
          <t>Not researched</t>
        </is>
      </c>
      <c r="N45" s="642" t="inlineStr">
        <is>
          <t>California</t>
        </is>
      </c>
    </row>
    <row r="46" ht="19.5" customHeight="1" s="254">
      <c r="A46" s="298" t="inlineStr">
        <is>
          <t>City of Vernon (Vernon Public Utilities)</t>
        </is>
      </c>
      <c r="B46" s="550" t="inlineStr">
        <is>
          <t>POU</t>
        </is>
      </c>
      <c r="C46" s="672" t="inlineStr">
        <is>
          <t>Industrial city of Vernon, LA Co.</t>
        </is>
      </c>
      <c r="D46" s="675" t="inlineStr">
        <is>
          <t>Not researched</t>
        </is>
      </c>
      <c r="E46" s="501" t="n"/>
      <c r="F46" s="642" t="inlineStr">
        <is>
          <t>City of Vernon (Vernon Public Utilities)</t>
        </is>
      </c>
      <c r="G46" s="501" t="n"/>
      <c r="H46" s="501" t="n"/>
      <c r="I46" s="501" t="n"/>
      <c r="J46" s="642" t="inlineStr">
        <is>
          <t>City of Vernon (Vernon Public Utilities)</t>
        </is>
      </c>
      <c r="K46" s="642" t="inlineStr">
        <is>
          <t>POU</t>
        </is>
      </c>
      <c r="L46" s="642" t="inlineStr">
        <is>
          <t>Industrial city of Vernon, LA Co.</t>
        </is>
      </c>
      <c r="M46" s="642" t="inlineStr">
        <is>
          <t>Not researched</t>
        </is>
      </c>
      <c r="N46" s="642" t="inlineStr">
        <is>
          <t>California</t>
        </is>
      </c>
    </row>
    <row r="47" ht="27.76" customHeight="1" s="254">
      <c r="A47" s="298" t="inlineStr">
        <is>
          <t>Corona Department of Water &amp; Power</t>
        </is>
      </c>
      <c r="B47" s="550" t="inlineStr">
        <is>
          <t>POU</t>
        </is>
      </c>
      <c r="C47" s="672" t="inlineStr">
        <is>
          <t>PARTIAL — limited footprint; SCE serves most of Corona</t>
        </is>
      </c>
      <c r="D47" s="675" t="inlineStr">
        <is>
          <t>Not researched</t>
        </is>
      </c>
      <c r="E47" s="501" t="n"/>
      <c r="F47" s="642" t="inlineStr">
        <is>
          <t>Corona Department of Water &amp; Power</t>
        </is>
      </c>
      <c r="G47" s="501" t="n"/>
      <c r="H47" s="501" t="n"/>
      <c r="I47" s="501" t="n"/>
      <c r="J47" s="642" t="inlineStr">
        <is>
          <t>Corona Department of Water &amp; Power</t>
        </is>
      </c>
      <c r="K47" s="642" t="inlineStr">
        <is>
          <t>POU</t>
        </is>
      </c>
      <c r="L47" s="642" t="inlineStr">
        <is>
          <t>PARTIAL — limited footprint; SCE serves most of Corona</t>
        </is>
      </c>
      <c r="M47" s="642" t="inlineStr">
        <is>
          <t>Not researched</t>
        </is>
      </c>
      <c r="N47" s="642" t="inlineStr">
        <is>
          <t>California</t>
        </is>
      </c>
    </row>
    <row r="48" ht="27.76" customHeight="1" s="254">
      <c r="A48" s="298" t="inlineStr">
        <is>
          <t>Victorville Municipal Utilities Services</t>
        </is>
      </c>
      <c r="B48" s="550" t="inlineStr">
        <is>
          <t>POU</t>
        </is>
      </c>
      <c r="C48" s="672" t="inlineStr">
        <is>
          <t>SCLA &amp; industrial Victorville; SCE serves the rest</t>
        </is>
      </c>
      <c r="D48" s="675" t="inlineStr">
        <is>
          <t>Not researched</t>
        </is>
      </c>
      <c r="E48" s="501" t="n"/>
      <c r="F48" s="642" t="inlineStr">
        <is>
          <t>Victorville Municipal Utilities Services</t>
        </is>
      </c>
      <c r="G48" s="501" t="n"/>
      <c r="H48" s="501" t="n"/>
      <c r="I48" s="501" t="n"/>
      <c r="J48" s="642" t="inlineStr">
        <is>
          <t>Victorville Municipal Utilities Services</t>
        </is>
      </c>
      <c r="K48" s="642" t="inlineStr">
        <is>
          <t>POU</t>
        </is>
      </c>
      <c r="L48" s="642" t="inlineStr">
        <is>
          <t>SCLA &amp; industrial Victorville; SCE serves the rest</t>
        </is>
      </c>
      <c r="M48" s="642" t="inlineStr">
        <is>
          <t>Not researched</t>
        </is>
      </c>
      <c r="N48" s="642" t="inlineStr">
        <is>
          <t>California</t>
        </is>
      </c>
    </row>
    <row r="49" ht="19.5" customHeight="1" s="254">
      <c r="A49" s="298" t="inlineStr">
        <is>
          <t>Island Energy (Pittsburg Power Co.)</t>
        </is>
      </c>
      <c r="B49" s="550" t="inlineStr">
        <is>
          <t>POU</t>
        </is>
      </c>
      <c r="C49" s="672" t="inlineStr">
        <is>
          <t>Mare Island &amp; Pittsburg</t>
        </is>
      </c>
      <c r="D49" s="675" t="inlineStr">
        <is>
          <t>Not researched</t>
        </is>
      </c>
      <c r="E49" s="501" t="n"/>
      <c r="F49" s="642" t="inlineStr">
        <is>
          <t>Island Energy (Pittsburg Power Co.)</t>
        </is>
      </c>
      <c r="G49" s="501" t="n"/>
      <c r="H49" s="501" t="n"/>
      <c r="I49" s="501" t="n"/>
      <c r="J49" s="642" t="inlineStr">
        <is>
          <t>Island Energy (Pittsburg Power Co.)</t>
        </is>
      </c>
      <c r="K49" s="642" t="inlineStr">
        <is>
          <t>POU</t>
        </is>
      </c>
      <c r="L49" s="642" t="inlineStr">
        <is>
          <t>Mare Island &amp; Pittsburg</t>
        </is>
      </c>
      <c r="M49" s="642" t="inlineStr">
        <is>
          <t>Not researched</t>
        </is>
      </c>
      <c r="N49" s="642" t="inlineStr">
        <is>
          <t>California</t>
        </is>
      </c>
    </row>
    <row r="50" ht="19.5" customHeight="1" s="254">
      <c r="A50" s="298" t="inlineStr">
        <is>
          <t>Port of Oakland</t>
        </is>
      </c>
      <c r="B50" s="550" t="inlineStr">
        <is>
          <t>POU</t>
        </is>
      </c>
      <c r="C50" s="672" t="inlineStr">
        <is>
          <t>Port &amp; Oakland Airport tenants</t>
        </is>
      </c>
      <c r="D50" s="675" t="inlineStr">
        <is>
          <t>Not researched</t>
        </is>
      </c>
      <c r="E50" s="501" t="n"/>
      <c r="F50" s="642" t="inlineStr">
        <is>
          <t>Port of Oakland</t>
        </is>
      </c>
      <c r="G50" s="501" t="n"/>
      <c r="H50" s="501" t="n"/>
      <c r="I50" s="501" t="n"/>
      <c r="J50" s="642" t="inlineStr">
        <is>
          <t>Port of Oakland</t>
        </is>
      </c>
      <c r="K50" s="642" t="inlineStr">
        <is>
          <t>POU</t>
        </is>
      </c>
      <c r="L50" s="642" t="inlineStr">
        <is>
          <t>Port &amp; Oakland Airport tenants</t>
        </is>
      </c>
      <c r="M50" s="642" t="inlineStr">
        <is>
          <t>Not researched</t>
        </is>
      </c>
      <c r="N50" s="642" t="inlineStr">
        <is>
          <t>California</t>
        </is>
      </c>
    </row>
    <row r="51" ht="19.5" customHeight="1" s="254">
      <c r="A51" s="298" t="inlineStr">
        <is>
          <t>Port of Stockton</t>
        </is>
      </c>
      <c r="B51" s="550" t="inlineStr">
        <is>
          <t>POU</t>
        </is>
      </c>
      <c r="C51" s="672" t="inlineStr">
        <is>
          <t>Port tenants, San Joaquin Co.</t>
        </is>
      </c>
      <c r="D51" s="675" t="inlineStr">
        <is>
          <t>Not researched</t>
        </is>
      </c>
      <c r="E51" s="501" t="n"/>
      <c r="F51" s="642" t="inlineStr">
        <is>
          <t>Port of Stockton</t>
        </is>
      </c>
      <c r="G51" s="501" t="n"/>
      <c r="H51" s="501" t="n"/>
      <c r="I51" s="501" t="n"/>
      <c r="J51" s="642" t="inlineStr">
        <is>
          <t>Port of Stockton</t>
        </is>
      </c>
      <c r="K51" s="642" t="inlineStr">
        <is>
          <t>POU</t>
        </is>
      </c>
      <c r="L51" s="642" t="inlineStr">
        <is>
          <t>Port tenants, San Joaquin Co.</t>
        </is>
      </c>
      <c r="M51" s="642" t="inlineStr">
        <is>
          <t>Not researched</t>
        </is>
      </c>
      <c r="N51" s="642" t="inlineStr">
        <is>
          <t>California</t>
        </is>
      </c>
    </row>
    <row r="52" ht="19.5" customHeight="1" s="254">
      <c r="A52" s="298" t="inlineStr">
        <is>
          <t>City of Industry</t>
        </is>
      </c>
      <c r="B52" s="550" t="inlineStr">
        <is>
          <t>POU</t>
        </is>
      </c>
      <c r="C52" s="672" t="inlineStr">
        <is>
          <t>Industrial city, LA Co.</t>
        </is>
      </c>
      <c r="D52" s="675" t="inlineStr">
        <is>
          <t>Not researched</t>
        </is>
      </c>
      <c r="E52" s="501" t="n"/>
      <c r="F52" s="642" t="inlineStr">
        <is>
          <t>City of Industry</t>
        </is>
      </c>
      <c r="G52" s="501" t="n"/>
      <c r="H52" s="501" t="n"/>
      <c r="I52" s="501" t="n"/>
      <c r="J52" s="642" t="inlineStr">
        <is>
          <t>City of Industry</t>
        </is>
      </c>
      <c r="K52" s="642" t="inlineStr">
        <is>
          <t>POU</t>
        </is>
      </c>
      <c r="L52" s="642" t="inlineStr">
        <is>
          <t>Industrial city, LA Co.</t>
        </is>
      </c>
      <c r="M52" s="642" t="inlineStr">
        <is>
          <t>Not researched</t>
        </is>
      </c>
      <c r="N52" s="642" t="inlineStr">
        <is>
          <t>California</t>
        </is>
      </c>
    </row>
    <row r="53" ht="27.76" customHeight="1" s="254">
      <c r="A53" s="298" t="inlineStr">
        <is>
          <t>Cerritos Electric Utility</t>
        </is>
      </c>
      <c r="B53" s="550" t="inlineStr">
        <is>
          <t>POU</t>
        </is>
      </c>
      <c r="C53" s="672" t="inlineStr">
        <is>
          <t>Cerritos businesses — SCE still DELIVERS. Verify</t>
        </is>
      </c>
      <c r="D53" s="675" t="inlineStr">
        <is>
          <t>Verify delivery tariff with SCE</t>
        </is>
      </c>
      <c r="E53" s="501" t="n"/>
      <c r="F53" s="642" t="inlineStr">
        <is>
          <t>Cerritos Electric Utility</t>
        </is>
      </c>
      <c r="G53" s="501" t="n"/>
      <c r="H53" s="501" t="n"/>
      <c r="I53" s="501" t="n"/>
      <c r="J53" s="642" t="inlineStr">
        <is>
          <t>Cerritos Electric Utility</t>
        </is>
      </c>
      <c r="K53" s="642" t="inlineStr">
        <is>
          <t>POU</t>
        </is>
      </c>
      <c r="L53" s="642" t="inlineStr">
        <is>
          <t>Cerritos businesses — SCE still DELIVERS. Verify</t>
        </is>
      </c>
      <c r="M53" s="642" t="inlineStr">
        <is>
          <t>Verify delivery tariff with SCE</t>
        </is>
      </c>
      <c r="N53" s="642" t="inlineStr">
        <is>
          <t>California</t>
        </is>
      </c>
    </row>
    <row r="54" ht="19.5" customHeight="1" s="254">
      <c r="A54" s="298" t="inlineStr">
        <is>
          <t>Lathrop Irrigation District</t>
        </is>
      </c>
      <c r="B54" s="550" t="inlineStr">
        <is>
          <t>POU</t>
        </is>
      </c>
      <c r="C54" s="672" t="inlineStr">
        <is>
          <t>Parts of Lathrop, San Joaquin Co.</t>
        </is>
      </c>
      <c r="D54" s="675" t="inlineStr">
        <is>
          <t>Not researched</t>
        </is>
      </c>
      <c r="E54" s="501" t="n"/>
      <c r="F54" s="642" t="inlineStr">
        <is>
          <t>Lathrop Irrigation District</t>
        </is>
      </c>
      <c r="G54" s="501" t="n"/>
      <c r="H54" s="501" t="n"/>
      <c r="I54" s="501" t="n"/>
      <c r="J54" s="642" t="inlineStr">
        <is>
          <t>Lathrop Irrigation District</t>
        </is>
      </c>
      <c r="K54" s="642" t="inlineStr">
        <is>
          <t>POU</t>
        </is>
      </c>
      <c r="L54" s="642" t="inlineStr">
        <is>
          <t>Parts of Lathrop, San Joaquin Co.</t>
        </is>
      </c>
      <c r="M54" s="642" t="inlineStr">
        <is>
          <t>Not researched</t>
        </is>
      </c>
      <c r="N54" s="642" t="inlineStr">
        <is>
          <t>California</t>
        </is>
      </c>
    </row>
    <row r="55" ht="19.5" customHeight="1" s="254">
      <c r="A55" s="298" t="inlineStr">
        <is>
          <t>Aha Macav Power Service (Fort Mojave)</t>
        </is>
      </c>
      <c r="B55" s="550" t="inlineStr">
        <is>
          <t>Tribal</t>
        </is>
      </c>
      <c r="C55" s="672" t="inlineStr">
        <is>
          <t>Fort Mojave reservation near Needles</t>
        </is>
      </c>
      <c r="D55" s="675" t="inlineStr">
        <is>
          <t>Not researched</t>
        </is>
      </c>
      <c r="E55" s="501" t="n"/>
      <c r="F55" s="642" t="inlineStr">
        <is>
          <t>Aha Macav Power Service (Fort Mojave)</t>
        </is>
      </c>
      <c r="G55" s="501" t="n"/>
      <c r="H55" s="501" t="n"/>
      <c r="I55" s="501" t="n"/>
      <c r="J55" s="642" t="inlineStr">
        <is>
          <t>Aha Macav Power Service (Fort Mojave)</t>
        </is>
      </c>
      <c r="K55" s="642" t="inlineStr">
        <is>
          <t>Tribal</t>
        </is>
      </c>
      <c r="L55" s="642" t="inlineStr">
        <is>
          <t>Fort Mojave reservation near Needles</t>
        </is>
      </c>
      <c r="M55" s="642" t="inlineStr">
        <is>
          <t>Not researched</t>
        </is>
      </c>
      <c r="N55" s="642" t="inlineStr">
        <is>
          <t>California</t>
        </is>
      </c>
    </row>
    <row r="56" ht="19.5" customHeight="1" s="254">
      <c r="A56" s="298" t="inlineStr">
        <is>
          <t>Plumas-Sierra Rural Electric Cooperative</t>
        </is>
      </c>
      <c r="B56" s="550" t="inlineStr">
        <is>
          <t>Co-op</t>
        </is>
      </c>
      <c r="C56" s="672" t="inlineStr">
        <is>
          <t>Plumas, Lassen, Sierra counties</t>
        </is>
      </c>
      <c r="D56" s="675" t="inlineStr">
        <is>
          <t>Not researched</t>
        </is>
      </c>
      <c r="E56" s="501" t="n"/>
      <c r="F56" s="642" t="inlineStr">
        <is>
          <t>Plumas-Sierra Rural Electric Cooperative</t>
        </is>
      </c>
      <c r="G56" s="501" t="n"/>
      <c r="H56" s="501" t="n"/>
      <c r="I56" s="501" t="n"/>
      <c r="J56" s="642" t="inlineStr">
        <is>
          <t>Plumas-Sierra Rural Electric Cooperative</t>
        </is>
      </c>
      <c r="K56" s="642" t="inlineStr">
        <is>
          <t>Co-op</t>
        </is>
      </c>
      <c r="L56" s="642" t="inlineStr">
        <is>
          <t>Plumas, Lassen, Sierra counties</t>
        </is>
      </c>
      <c r="M56" s="642" t="inlineStr">
        <is>
          <t>Not researched</t>
        </is>
      </c>
      <c r="N56" s="642" t="inlineStr">
        <is>
          <t>California</t>
        </is>
      </c>
    </row>
    <row r="57" ht="27.76" customHeight="1" s="254">
      <c r="A57" s="298" t="inlineStr">
        <is>
          <t>Anza Electric Cooperative</t>
        </is>
      </c>
      <c r="B57" s="550" t="inlineStr">
        <is>
          <t>Co-op</t>
        </is>
      </c>
      <c r="C57" s="672" t="inlineStr">
        <is>
          <t>Anza, Aguanga, Garner Valley, Riverside Co.</t>
        </is>
      </c>
      <c r="D57" s="675" t="inlineStr">
        <is>
          <t>Not researched</t>
        </is>
      </c>
      <c r="E57" s="501" t="n"/>
      <c r="F57" s="642" t="inlineStr">
        <is>
          <t>Anza Electric Cooperative</t>
        </is>
      </c>
      <c r="G57" s="501" t="n"/>
      <c r="H57" s="501" t="n"/>
      <c r="I57" s="501" t="n"/>
      <c r="J57" s="642" t="inlineStr">
        <is>
          <t>Anza Electric Cooperative</t>
        </is>
      </c>
      <c r="K57" s="642" t="inlineStr">
        <is>
          <t>Co-op</t>
        </is>
      </c>
      <c r="L57" s="642" t="inlineStr">
        <is>
          <t>Anza, Aguanga, Garner Valley, Riverside Co.</t>
        </is>
      </c>
      <c r="M57" s="642" t="inlineStr">
        <is>
          <t>Not researched</t>
        </is>
      </c>
      <c r="N57" s="642" t="inlineStr">
        <is>
          <t>California</t>
        </is>
      </c>
    </row>
    <row r="58" ht="19.5" customHeight="1" s="254">
      <c r="A58" s="298" t="inlineStr">
        <is>
          <t>Surprise Valley Electrification Corp</t>
        </is>
      </c>
      <c r="B58" s="550" t="inlineStr">
        <is>
          <t>Co-op</t>
        </is>
      </c>
      <c r="C58" s="672" t="inlineStr">
        <is>
          <t>Modoc &amp; Lassen counties</t>
        </is>
      </c>
      <c r="D58" s="675" t="inlineStr">
        <is>
          <t>Not researched</t>
        </is>
      </c>
      <c r="E58" s="501" t="n"/>
      <c r="F58" s="642" t="inlineStr">
        <is>
          <t>Surprise Valley Electrification Corp</t>
        </is>
      </c>
      <c r="G58" s="501" t="n"/>
      <c r="H58" s="501" t="n"/>
      <c r="I58" s="501" t="n"/>
      <c r="J58" s="642" t="inlineStr">
        <is>
          <t>Surprise Valley Electrification Corp</t>
        </is>
      </c>
      <c r="K58" s="642" t="inlineStr">
        <is>
          <t>Co-op</t>
        </is>
      </c>
      <c r="L58" s="642" t="inlineStr">
        <is>
          <t>Modoc &amp; Lassen counties</t>
        </is>
      </c>
      <c r="M58" s="642" t="inlineStr">
        <is>
          <t>Not researched</t>
        </is>
      </c>
      <c r="N58" s="642" t="inlineStr">
        <is>
          <t>California</t>
        </is>
      </c>
    </row>
    <row r="59" ht="27.76" customHeight="1" s="254">
      <c r="A59" s="298" t="inlineStr">
        <is>
          <t>Valley Electric Association</t>
        </is>
      </c>
      <c r="B59" s="550" t="inlineStr">
        <is>
          <t>Co-op</t>
        </is>
      </c>
      <c r="C59" s="672" t="inlineStr">
        <is>
          <t>Sliver of eastern Inyo Co. (44 customers)</t>
        </is>
      </c>
      <c r="D59" s="675" t="inlineStr">
        <is>
          <t>Not researched</t>
        </is>
      </c>
      <c r="E59" s="501" t="n"/>
      <c r="F59" s="642" t="inlineStr">
        <is>
          <t>Valley Electric Association</t>
        </is>
      </c>
      <c r="G59" s="501" t="n"/>
      <c r="H59" s="501" t="n"/>
      <c r="I59" s="501" t="n"/>
      <c r="J59" s="642" t="inlineStr">
        <is>
          <t>Valley Electric Association</t>
        </is>
      </c>
      <c r="K59" s="642" t="inlineStr">
        <is>
          <t>Co-op</t>
        </is>
      </c>
      <c r="L59" s="642" t="inlineStr">
        <is>
          <t>Sliver of eastern Inyo Co. (44 customers)</t>
        </is>
      </c>
      <c r="M59" s="642" t="inlineStr">
        <is>
          <t>Not researched</t>
        </is>
      </c>
      <c r="N59" s="642" t="inlineStr">
        <is>
          <t>California</t>
        </is>
      </c>
    </row>
    <row r="60" ht="27.76" customHeight="1" s="254">
      <c r="A60" s="298" t="inlineStr">
        <is>
          <t>Other / not listed — enter manually</t>
        </is>
      </c>
      <c r="B60" s="550" t="inlineStr">
        <is>
          <t>Other</t>
        </is>
      </c>
      <c r="C60" s="677" t="n"/>
      <c r="D60" s="675" t="inlineStr">
        <is>
          <t>Enter the tariff manually on 9_Overrides</t>
        </is>
      </c>
      <c r="E60" s="501" t="n"/>
      <c r="F60" s="642" t="inlineStr">
        <is>
          <t>DTE Electric Company</t>
        </is>
      </c>
      <c r="G60" s="501" t="n"/>
      <c r="H60" s="501" t="n"/>
      <c r="I60" s="501" t="n"/>
      <c r="J60" s="642" t="inlineStr">
        <is>
          <t>DTE Electric Company</t>
        </is>
      </c>
      <c r="K60" s="642" t="inlineStr">
        <is>
          <t>IOU</t>
        </is>
      </c>
      <c r="L60" s="642" t="inlineStr">
        <is>
          <t>Southeast Michigan — Detroit, Ann Arbor, Port Huron</t>
        </is>
      </c>
      <c r="M60" s="642" t="inlineStr">
        <is>
          <t>Not researched here</t>
        </is>
      </c>
      <c r="N60" s="642" t="inlineStr">
        <is>
          <t>Michigan</t>
        </is>
      </c>
    </row>
    <row r="61" ht="14.25" customHeight="1" s="254">
      <c r="A61" s="501" t="n"/>
      <c r="B61" s="501" t="n"/>
      <c r="C61" s="501" t="n"/>
      <c r="D61" s="501" t="n"/>
      <c r="E61" s="501" t="n"/>
      <c r="F61" s="642" t="inlineStr">
        <is>
          <t>Consumers Energy</t>
        </is>
      </c>
      <c r="G61" s="501" t="n"/>
      <c r="H61" s="501" t="n"/>
      <c r="I61" s="501" t="n"/>
      <c r="J61" s="642" t="inlineStr">
        <is>
          <t>Consumers Energy</t>
        </is>
      </c>
      <c r="K61" s="642" t="inlineStr">
        <is>
          <t>IOU</t>
        </is>
      </c>
      <c r="L61" s="642" t="inlineStr">
        <is>
          <t>Most of the Lower Peninsula outside DTE</t>
        </is>
      </c>
      <c r="M61" s="642" t="inlineStr">
        <is>
          <t>Not researched here</t>
        </is>
      </c>
      <c r="N61" s="642" t="inlineStr">
        <is>
          <t>Michigan</t>
        </is>
      </c>
    </row>
    <row r="62" ht="14.25" customHeight="1" s="254">
      <c r="A62" s="501" t="n"/>
      <c r="B62" s="501" t="n"/>
      <c r="C62" s="501" t="n"/>
      <c r="D62" s="501" t="n"/>
      <c r="E62" s="501" t="n"/>
      <c r="F62" s="642" t="inlineStr">
        <is>
          <t>Indiana Michigan Power (AEP)</t>
        </is>
      </c>
      <c r="G62" s="501" t="n"/>
      <c r="H62" s="501" t="n"/>
      <c r="I62" s="501" t="n"/>
      <c r="J62" s="642" t="inlineStr">
        <is>
          <t>Indiana Michigan Power (AEP)</t>
        </is>
      </c>
      <c r="K62" s="642" t="inlineStr">
        <is>
          <t>IOU</t>
        </is>
      </c>
      <c r="L62" s="642" t="inlineStr">
        <is>
          <t>Southwest MI — Berrien, Cass, St Joseph</t>
        </is>
      </c>
      <c r="M62" s="642" t="inlineStr">
        <is>
          <t>Not researched here</t>
        </is>
      </c>
      <c r="N62" s="642" t="inlineStr">
        <is>
          <t>Michigan</t>
        </is>
      </c>
    </row>
    <row r="63" ht="15" customHeight="1" s="254">
      <c r="A63" s="262" t="inlineStr">
        <is>
          <t>COMMUNITY CHOICE AGGREGATORS — generation only</t>
        </is>
      </c>
      <c r="B63" s="501" t="n"/>
      <c r="C63" s="501" t="n"/>
      <c r="D63" s="501" t="n"/>
      <c r="E63" s="501" t="n"/>
      <c r="F63" s="642" t="inlineStr">
        <is>
          <t>UMERC — Upper Michigan Energy Resources (We Energies)</t>
        </is>
      </c>
      <c r="G63" s="501" t="n"/>
      <c r="H63" s="501" t="n"/>
      <c r="I63" s="501" t="n"/>
      <c r="J63" s="642" t="inlineStr">
        <is>
          <t>UMERC — Upper Michigan Energy Resources (We Energies)</t>
        </is>
      </c>
      <c r="K63" s="642" t="inlineStr">
        <is>
          <t>IOU</t>
        </is>
      </c>
      <c r="L63" s="642" t="inlineStr">
        <is>
          <t>Upper Peninsula — Marquette, Menominee</t>
        </is>
      </c>
      <c r="M63" s="642" t="inlineStr">
        <is>
          <t>Not researched here</t>
        </is>
      </c>
      <c r="N63" s="642"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642" t="inlineStr">
        <is>
          <t>UPPCO — Upper Peninsula Power Company</t>
        </is>
      </c>
      <c r="G64" s="501" t="n"/>
      <c r="H64" s="501" t="n"/>
      <c r="I64" s="501" t="n"/>
      <c r="J64" s="642" t="inlineStr">
        <is>
          <t>UPPCO — Upper Peninsula Power Company</t>
        </is>
      </c>
      <c r="K64" s="642" t="inlineStr">
        <is>
          <t>IOU</t>
        </is>
      </c>
      <c r="L64" s="642" t="inlineStr">
        <is>
          <t>Upper Peninsula</t>
        </is>
      </c>
      <c r="M64" s="642" t="inlineStr">
        <is>
          <t>Not researched here</t>
        </is>
      </c>
      <c r="N64" s="642" t="inlineStr">
        <is>
          <t>Michigan</t>
        </is>
      </c>
    </row>
    <row r="65" ht="14.25" customHeight="1" s="254">
      <c r="A65" s="501" t="n"/>
      <c r="B65" s="501" t="n"/>
      <c r="C65" s="501" t="n"/>
      <c r="D65" s="501" t="n"/>
      <c r="E65" s="501" t="n"/>
      <c r="F65" s="642" t="inlineStr">
        <is>
          <t>Northern States Power — Xcel</t>
        </is>
      </c>
      <c r="G65" s="501" t="n"/>
      <c r="H65" s="501" t="n"/>
      <c r="I65" s="501" t="n"/>
      <c r="J65" s="642" t="inlineStr">
        <is>
          <t>Northern States Power — Xcel</t>
        </is>
      </c>
      <c r="K65" s="642" t="inlineStr">
        <is>
          <t>IOU</t>
        </is>
      </c>
      <c r="L65" s="642" t="inlineStr">
        <is>
          <t>Western Upper Peninsula</t>
        </is>
      </c>
      <c r="M65" s="642" t="inlineStr">
        <is>
          <t>Not researched here</t>
        </is>
      </c>
      <c r="N65" s="642" t="inlineStr">
        <is>
          <t>Michigan</t>
        </is>
      </c>
    </row>
    <row r="66" ht="15" customHeight="1" s="254">
      <c r="A66" s="479" t="inlineStr">
        <is>
          <t>Community choice aggregator</t>
        </is>
      </c>
      <c r="B66" s="670" t="n"/>
      <c r="C66" s="669" t="inlineStr">
        <is>
          <t>Delivery utility</t>
        </is>
      </c>
      <c r="D66" s="670" t="n"/>
      <c r="E66" s="501" t="n"/>
      <c r="F66" s="642" t="inlineStr">
        <is>
          <t>Alpena Power Company</t>
        </is>
      </c>
      <c r="G66" s="501" t="n"/>
      <c r="H66" s="501" t="n"/>
      <c r="I66" s="501" t="n"/>
      <c r="J66" s="642" t="inlineStr">
        <is>
          <t>Alpena Power Company</t>
        </is>
      </c>
      <c r="K66" s="642" t="inlineStr">
        <is>
          <t>IOU</t>
        </is>
      </c>
      <c r="L66" s="642" t="inlineStr">
        <is>
          <t>Alpena and surrounding townships</t>
        </is>
      </c>
      <c r="M66" s="642" t="inlineStr">
        <is>
          <t>Not researched here</t>
        </is>
      </c>
      <c r="N66" s="642" t="inlineStr">
        <is>
          <t>Michigan</t>
        </is>
      </c>
    </row>
    <row r="67" ht="15" customHeight="1" s="254">
      <c r="A67" s="296" t="inlineStr">
        <is>
          <t>None — bundled utility service</t>
        </is>
      </c>
      <c r="B67" s="678" t="n"/>
      <c r="C67" s="539" t="inlineStr">
        <is>
          <t>—</t>
        </is>
      </c>
      <c r="D67" s="501" t="n"/>
      <c r="E67" s="501" t="n"/>
      <c r="F67" s="642" t="inlineStr">
        <is>
          <t>Lansing Board of Water &amp; Light</t>
        </is>
      </c>
      <c r="G67" s="501" t="n"/>
      <c r="H67" s="501" t="n"/>
      <c r="I67" s="501" t="n"/>
      <c r="J67" s="642" t="inlineStr">
        <is>
          <t>Lansing Board of Water &amp; Light</t>
        </is>
      </c>
      <c r="K67" s="642" t="inlineStr">
        <is>
          <t>POU</t>
        </is>
      </c>
      <c r="L67" s="642" t="inlineStr">
        <is>
          <t>Lansing and East Lansing</t>
        </is>
      </c>
      <c r="M67" s="642" t="inlineStr">
        <is>
          <t>Not researched here</t>
        </is>
      </c>
      <c r="N67" s="642" t="inlineStr">
        <is>
          <t>Michigan</t>
        </is>
      </c>
    </row>
    <row r="68" ht="15" customHeight="1" s="254">
      <c r="A68" s="296" t="inlineStr">
        <is>
          <t>Ava Community Energy (fmr East Bay CE)</t>
        </is>
      </c>
      <c r="B68" s="678" t="n"/>
      <c r="C68" s="539" t="inlineStr">
        <is>
          <t>PG&amp;E</t>
        </is>
      </c>
      <c r="D68" s="501" t="n"/>
      <c r="E68" s="501" t="n"/>
      <c r="F68" s="642" t="inlineStr">
        <is>
          <t>Holland Board of Public Works</t>
        </is>
      </c>
      <c r="G68" s="501" t="n"/>
      <c r="H68" s="501" t="n"/>
      <c r="I68" s="501" t="n"/>
      <c r="J68" s="642" t="inlineStr">
        <is>
          <t>Holland Board of Public Works</t>
        </is>
      </c>
      <c r="K68" s="642" t="inlineStr">
        <is>
          <t>POU</t>
        </is>
      </c>
      <c r="L68" s="642" t="inlineStr">
        <is>
          <t>City of Holland</t>
        </is>
      </c>
      <c r="M68" s="642" t="inlineStr">
        <is>
          <t>Not researched here</t>
        </is>
      </c>
      <c r="N68" s="642" t="inlineStr">
        <is>
          <t>Michigan</t>
        </is>
      </c>
    </row>
    <row r="69" ht="15" customHeight="1" s="254">
      <c r="A69" s="296" t="inlineStr">
        <is>
          <t>Clean Power Alliance</t>
        </is>
      </c>
      <c r="B69" s="678" t="n"/>
      <c r="C69" s="539" t="inlineStr">
        <is>
          <t>SCE</t>
        </is>
      </c>
      <c r="D69" s="501" t="n"/>
      <c r="E69" s="501" t="n"/>
      <c r="F69" s="642" t="inlineStr">
        <is>
          <t>Traverse City Light &amp; Power</t>
        </is>
      </c>
      <c r="G69" s="501" t="n"/>
      <c r="H69" s="501" t="n"/>
      <c r="I69" s="501" t="n"/>
      <c r="J69" s="642" t="inlineStr">
        <is>
          <t>Traverse City Light &amp; Power</t>
        </is>
      </c>
      <c r="K69" s="642" t="inlineStr">
        <is>
          <t>POU</t>
        </is>
      </c>
      <c r="L69" s="642" t="inlineStr">
        <is>
          <t>City of Traverse City</t>
        </is>
      </c>
      <c r="M69" s="642" t="inlineStr">
        <is>
          <t>Not researched here</t>
        </is>
      </c>
      <c r="N69" s="642" t="inlineStr">
        <is>
          <t>Michigan</t>
        </is>
      </c>
    </row>
    <row r="70" ht="15" customHeight="1" s="254">
      <c r="A70" s="296" t="inlineStr">
        <is>
          <t>Central Coast Community Energy (3CE)</t>
        </is>
      </c>
      <c r="B70" s="678" t="n"/>
      <c r="C70" s="539" t="inlineStr">
        <is>
          <t>PG&amp;E and SCE — depends on address</t>
        </is>
      </c>
      <c r="D70" s="501" t="n"/>
      <c r="E70" s="501" t="n"/>
      <c r="F70" s="642" t="inlineStr">
        <is>
          <t>Coldwater Board of Public Utilities</t>
        </is>
      </c>
      <c r="G70" s="501" t="n"/>
      <c r="H70" s="501" t="n"/>
      <c r="I70" s="501" t="n"/>
      <c r="J70" s="642" t="inlineStr">
        <is>
          <t>Coldwater Board of Public Utilities</t>
        </is>
      </c>
      <c r="K70" s="642" t="inlineStr">
        <is>
          <t>POU</t>
        </is>
      </c>
      <c r="L70" s="642" t="inlineStr">
        <is>
          <t>City of Coldwater</t>
        </is>
      </c>
      <c r="M70" s="642" t="inlineStr">
        <is>
          <t>Not researched here</t>
        </is>
      </c>
      <c r="N70" s="642" t="inlineStr">
        <is>
          <t>Michigan</t>
        </is>
      </c>
    </row>
    <row r="71" ht="15" customHeight="1" s="254">
      <c r="A71" s="296" t="inlineStr">
        <is>
          <t>MCE</t>
        </is>
      </c>
      <c r="B71" s="678" t="n"/>
      <c r="C71" s="539" t="inlineStr">
        <is>
          <t>PG&amp;E</t>
        </is>
      </c>
      <c r="D71" s="501" t="n"/>
      <c r="E71" s="501" t="n"/>
      <c r="F71" s="642" t="inlineStr">
        <is>
          <t>Wyandotte Municipal Services</t>
        </is>
      </c>
      <c r="G71" s="501" t="n"/>
      <c r="H71" s="501" t="n"/>
      <c r="I71" s="501" t="n"/>
      <c r="J71" s="642" t="inlineStr">
        <is>
          <t>Wyandotte Municipal Services</t>
        </is>
      </c>
      <c r="K71" s="642" t="inlineStr">
        <is>
          <t>POU</t>
        </is>
      </c>
      <c r="L71" s="642" t="inlineStr">
        <is>
          <t>City of Wyandotte</t>
        </is>
      </c>
      <c r="M71" s="642" t="inlineStr">
        <is>
          <t>Not researched here</t>
        </is>
      </c>
      <c r="N71" s="642" t="inlineStr">
        <is>
          <t>Michigan</t>
        </is>
      </c>
    </row>
    <row r="72" ht="15" customHeight="1" s="254">
      <c r="A72" s="296" t="inlineStr">
        <is>
          <t>San Diego Community Power</t>
        </is>
      </c>
      <c r="B72" s="678" t="n"/>
      <c r="C72" s="539" t="inlineStr">
        <is>
          <t>SDG&amp;E</t>
        </is>
      </c>
      <c r="D72" s="501" t="n"/>
      <c r="E72" s="501" t="n"/>
      <c r="F72" s="642" t="inlineStr">
        <is>
          <t>Cloverland Electric Cooperative</t>
        </is>
      </c>
      <c r="G72" s="501" t="n"/>
      <c r="H72" s="501" t="n"/>
      <c r="I72" s="501" t="n"/>
      <c r="J72" s="642" t="inlineStr">
        <is>
          <t>Cloverland Electric Cooperative</t>
        </is>
      </c>
      <c r="K72" s="642" t="inlineStr">
        <is>
          <t>Co-op</t>
        </is>
      </c>
      <c r="L72" s="642" t="inlineStr">
        <is>
          <t>Eastern Upper Peninsula</t>
        </is>
      </c>
      <c r="M72" s="642" t="inlineStr">
        <is>
          <t>Not researched here</t>
        </is>
      </c>
      <c r="N72" s="642" t="inlineStr">
        <is>
          <t>Michigan</t>
        </is>
      </c>
    </row>
    <row r="73" ht="15" customHeight="1" s="254">
      <c r="A73" s="296" t="inlineStr">
        <is>
          <t>CleanPowerSF</t>
        </is>
      </c>
      <c r="B73" s="678" t="n"/>
      <c r="C73" s="539" t="inlineStr">
        <is>
          <t>PG&amp;E</t>
        </is>
      </c>
      <c r="D73" s="501" t="n"/>
      <c r="E73" s="501" t="n"/>
      <c r="F73" s="642" t="inlineStr">
        <is>
          <t>Great Lakes Energy</t>
        </is>
      </c>
      <c r="G73" s="501" t="n"/>
      <c r="H73" s="501" t="n"/>
      <c r="I73" s="501" t="n"/>
      <c r="J73" s="642" t="inlineStr">
        <is>
          <t>Great Lakes Energy</t>
        </is>
      </c>
      <c r="K73" s="642" t="inlineStr">
        <is>
          <t>Co-op</t>
        </is>
      </c>
      <c r="L73" s="642" t="inlineStr">
        <is>
          <t>Northwest Lower Peninsula</t>
        </is>
      </c>
      <c r="M73" s="642" t="inlineStr">
        <is>
          <t>Not researched here</t>
        </is>
      </c>
      <c r="N73" s="642" t="inlineStr">
        <is>
          <t>Michigan</t>
        </is>
      </c>
    </row>
    <row r="74" ht="15" customHeight="1" s="254">
      <c r="A74" s="296" t="inlineStr">
        <is>
          <t>WestLight Energy (fmr Peninsula Clean Energy)</t>
        </is>
      </c>
      <c r="B74" s="678" t="n"/>
      <c r="C74" s="539" t="inlineStr">
        <is>
          <t>PG&amp;E</t>
        </is>
      </c>
      <c r="D74" s="501" t="n"/>
      <c r="E74" s="501" t="n"/>
      <c r="F74" s="642" t="inlineStr">
        <is>
          <t>Presque Isle Electric &amp; Gas Co-op</t>
        </is>
      </c>
      <c r="G74" s="501" t="n"/>
      <c r="H74" s="501" t="n"/>
      <c r="I74" s="501" t="n"/>
      <c r="J74" s="642" t="inlineStr">
        <is>
          <t>Presque Isle Electric &amp; Gas Co-op</t>
        </is>
      </c>
      <c r="K74" s="642" t="inlineStr">
        <is>
          <t>Co-op</t>
        </is>
      </c>
      <c r="L74" s="642" t="inlineStr">
        <is>
          <t>Northeast Lower Peninsula</t>
        </is>
      </c>
      <c r="M74" s="642" t="inlineStr">
        <is>
          <t>Not researched here</t>
        </is>
      </c>
      <c r="N74" s="642" t="inlineStr">
        <is>
          <t>Michigan</t>
        </is>
      </c>
    </row>
    <row r="75" ht="15" customHeight="1" s="254">
      <c r="A75" s="296" t="inlineStr">
        <is>
          <t>San José Clean Energy</t>
        </is>
      </c>
      <c r="B75" s="678" t="n"/>
      <c r="C75" s="539" t="inlineStr">
        <is>
          <t>PG&amp;E</t>
        </is>
      </c>
      <c r="D75" s="501" t="n"/>
      <c r="E75" s="501" t="n"/>
      <c r="F75" s="642" t="inlineStr">
        <is>
          <t>HomeWorks Tri-County Electric</t>
        </is>
      </c>
      <c r="G75" s="501" t="n"/>
      <c r="H75" s="501" t="n"/>
      <c r="I75" s="501" t="n"/>
      <c r="J75" s="642" t="inlineStr">
        <is>
          <t>HomeWorks Tri-County Electric</t>
        </is>
      </c>
      <c r="K75" s="642" t="inlineStr">
        <is>
          <t>Co-op</t>
        </is>
      </c>
      <c r="L75" s="642" t="inlineStr">
        <is>
          <t>Central Lower Peninsula</t>
        </is>
      </c>
      <c r="M75" s="642" t="inlineStr">
        <is>
          <t>Not researched here</t>
        </is>
      </c>
      <c r="N75" s="642" t="inlineStr">
        <is>
          <t>Michigan</t>
        </is>
      </c>
    </row>
    <row r="76" ht="15" customHeight="1" s="254">
      <c r="A76" s="296" t="inlineStr">
        <is>
          <t>Silicon Valley Clean Energy</t>
        </is>
      </c>
      <c r="B76" s="678" t="n"/>
      <c r="C76" s="539" t="inlineStr">
        <is>
          <t>PG&amp;E</t>
        </is>
      </c>
      <c r="D76" s="501" t="n"/>
      <c r="E76" s="501" t="n"/>
      <c r="F76" s="642" t="inlineStr">
        <is>
          <t>Midwest Energy &amp; Communications</t>
        </is>
      </c>
      <c r="G76" s="501" t="n"/>
      <c r="H76" s="501" t="n"/>
      <c r="I76" s="501" t="n"/>
      <c r="J76" s="642" t="inlineStr">
        <is>
          <t>Midwest Energy &amp; Communications</t>
        </is>
      </c>
      <c r="K76" s="642" t="inlineStr">
        <is>
          <t>Co-op</t>
        </is>
      </c>
      <c r="L76" s="642" t="inlineStr">
        <is>
          <t>Southwest Lower Peninsula</t>
        </is>
      </c>
      <c r="M76" s="642" t="inlineStr">
        <is>
          <t>Not researched here</t>
        </is>
      </c>
      <c r="N76" s="642" t="inlineStr">
        <is>
          <t>Michigan</t>
        </is>
      </c>
    </row>
    <row r="77" ht="15" customHeight="1" s="254">
      <c r="A77" s="296" t="inlineStr">
        <is>
          <t>Clean Energy Alliance</t>
        </is>
      </c>
      <c r="B77" s="678" t="n"/>
      <c r="C77" s="539" t="inlineStr">
        <is>
          <t>SDG&amp;E</t>
        </is>
      </c>
      <c r="D77" s="501" t="n"/>
      <c r="E77" s="501" t="n"/>
      <c r="F77" s="642" t="inlineStr">
        <is>
          <t>Thumb Electric Cooperative</t>
        </is>
      </c>
      <c r="G77" s="501" t="n"/>
      <c r="H77" s="501" t="n"/>
      <c r="I77" s="501" t="n"/>
      <c r="J77" s="642" t="inlineStr">
        <is>
          <t>Thumb Electric Cooperative</t>
        </is>
      </c>
      <c r="K77" s="642" t="inlineStr">
        <is>
          <t>Co-op</t>
        </is>
      </c>
      <c r="L77" s="642" t="inlineStr">
        <is>
          <t>The Thumb — Huron, Sanilac, Tuscola</t>
        </is>
      </c>
      <c r="M77" s="642" t="inlineStr">
        <is>
          <t>Not researched here</t>
        </is>
      </c>
      <c r="N77" s="642" t="inlineStr">
        <is>
          <t>Michigan</t>
        </is>
      </c>
    </row>
    <row r="78" ht="15" customHeight="1" s="254">
      <c r="A78" s="296" t="inlineStr">
        <is>
          <t>Sonoma Clean Power</t>
        </is>
      </c>
      <c r="B78" s="678" t="n"/>
      <c r="C78" s="539" t="inlineStr">
        <is>
          <t>PG&amp;E</t>
        </is>
      </c>
      <c r="D78" s="501" t="n"/>
      <c r="E78" s="501" t="n"/>
      <c r="F78" s="642" t="inlineStr">
        <is>
          <t>Other / not listed — enter manually</t>
        </is>
      </c>
      <c r="G78" s="501" t="n"/>
      <c r="H78" s="501" t="n"/>
      <c r="I78" s="501" t="n"/>
      <c r="J78" s="642" t="inlineStr">
        <is>
          <t>Other / not listed — enter manually</t>
        </is>
      </c>
      <c r="K78" s="642" t="inlineStr">
        <is>
          <t>Other</t>
        </is>
      </c>
      <c r="L78" s="560" t="n"/>
      <c r="M78" s="642" t="inlineStr">
        <is>
          <t>Enter the tariff manually</t>
        </is>
      </c>
      <c r="N78" s="560" t="n"/>
    </row>
    <row r="79" ht="15" customHeight="1" s="254">
      <c r="A79" s="296" t="inlineStr">
        <is>
          <t>Orange County Power Authority</t>
        </is>
      </c>
      <c r="B79" s="678" t="n"/>
      <c r="C79" s="539" t="inlineStr">
        <is>
          <t>SCE</t>
        </is>
      </c>
      <c r="D79" s="501" t="n"/>
      <c r="E79" s="501" t="n"/>
      <c r="F79" s="501" t="n"/>
      <c r="G79" s="501" t="n"/>
      <c r="H79" s="501" t="n"/>
      <c r="I79" s="501" t="n"/>
      <c r="J79" s="501" t="n"/>
      <c r="K79" s="501" t="n"/>
      <c r="L79" s="501" t="n"/>
      <c r="M79" s="501" t="n"/>
      <c r="N79" s="501" t="n"/>
    </row>
    <row r="80" ht="15" customHeight="1" s="254">
      <c r="A80" s="296" t="inlineStr">
        <is>
          <t>Pioneer Community Energy</t>
        </is>
      </c>
      <c r="B80" s="678" t="n"/>
      <c r="C80" s="539" t="inlineStr">
        <is>
          <t>PG&amp;E</t>
        </is>
      </c>
      <c r="D80" s="501" t="n"/>
      <c r="E80" s="501" t="n"/>
      <c r="F80" s="501" t="n"/>
      <c r="G80" s="501" t="n"/>
      <c r="H80" s="501" t="n"/>
      <c r="I80" s="501" t="n"/>
      <c r="J80" s="501" t="n"/>
      <c r="K80" s="501" t="n"/>
      <c r="L80" s="501" t="n"/>
      <c r="M80" s="501" t="n"/>
      <c r="N80" s="501" t="n"/>
    </row>
    <row r="81" ht="15" customHeight="1" s="254">
      <c r="A81" s="296" t="inlineStr">
        <is>
          <t>Redwood Coast Energy Authority</t>
        </is>
      </c>
      <c r="B81" s="678" t="n"/>
      <c r="C81" s="539" t="inlineStr">
        <is>
          <t>PG&amp;E</t>
        </is>
      </c>
      <c r="D81" s="501" t="n"/>
      <c r="E81" s="501" t="n"/>
      <c r="F81" s="501" t="n"/>
      <c r="G81" s="501" t="n"/>
      <c r="H81" s="501" t="n"/>
      <c r="I81" s="501" t="n"/>
      <c r="J81" s="501" t="n"/>
      <c r="K81" s="501" t="n"/>
      <c r="L81" s="501" t="n"/>
      <c r="M81" s="501" t="n"/>
      <c r="N81" s="501" t="n"/>
    </row>
    <row r="82" ht="15" customHeight="1" s="254">
      <c r="A82" s="296" t="inlineStr">
        <is>
          <t>Valley Clean Energy</t>
        </is>
      </c>
      <c r="B82" s="678" t="n"/>
      <c r="C82" s="539" t="inlineStr">
        <is>
          <t>PG&amp;E</t>
        </is>
      </c>
      <c r="D82" s="501" t="n"/>
      <c r="E82" s="501" t="n"/>
      <c r="F82" s="501" t="n"/>
      <c r="G82" s="501" t="n"/>
      <c r="H82" s="501" t="n"/>
      <c r="I82" s="501" t="n"/>
      <c r="J82" s="501" t="n"/>
      <c r="K82" s="501" t="n"/>
      <c r="L82" s="501" t="n"/>
      <c r="M82" s="501" t="n"/>
      <c r="N82" s="501" t="n"/>
    </row>
    <row r="83" ht="15" customHeight="1" s="254">
      <c r="A83" s="296" t="inlineStr">
        <is>
          <t>Lancaster Energy</t>
        </is>
      </c>
      <c r="B83" s="678" t="n"/>
      <c r="C83" s="539" t="inlineStr">
        <is>
          <t>SCE</t>
        </is>
      </c>
      <c r="D83" s="501" t="n"/>
      <c r="E83" s="501" t="n"/>
      <c r="F83" s="501" t="n"/>
      <c r="G83" s="501" t="n"/>
      <c r="H83" s="501" t="n"/>
      <c r="I83" s="501" t="n"/>
      <c r="J83" s="501" t="n"/>
      <c r="K83" s="501" t="n"/>
      <c r="L83" s="501" t="n"/>
      <c r="M83" s="501" t="n"/>
      <c r="N83" s="501" t="n"/>
    </row>
    <row r="84" ht="15" customHeight="1" s="254">
      <c r="A84" s="296" t="inlineStr">
        <is>
          <t>Desert Community Energy</t>
        </is>
      </c>
      <c r="B84" s="678" t="n"/>
      <c r="C84" s="539" t="inlineStr">
        <is>
          <t>SCE</t>
        </is>
      </c>
      <c r="D84" s="501" t="n"/>
      <c r="E84" s="501" t="n"/>
      <c r="F84" s="501" t="n"/>
      <c r="G84" s="501" t="n"/>
      <c r="H84" s="501" t="n"/>
      <c r="I84" s="501" t="n"/>
      <c r="J84" s="501" t="n"/>
      <c r="K84" s="501" t="n"/>
      <c r="L84" s="501" t="n"/>
      <c r="M84" s="501" t="n"/>
      <c r="N84" s="501" t="n"/>
    </row>
    <row r="85" ht="15" customHeight="1" s="254">
      <c r="A85" s="296" t="inlineStr">
        <is>
          <t>Rancho Mirage Energy Authority</t>
        </is>
      </c>
      <c r="B85" s="678" t="n"/>
      <c r="C85" s="539" t="inlineStr">
        <is>
          <t>SCE</t>
        </is>
      </c>
      <c r="D85" s="501" t="n"/>
      <c r="E85" s="501" t="n"/>
      <c r="F85" s="501" t="n"/>
      <c r="G85" s="501" t="n"/>
      <c r="H85" s="501" t="n"/>
      <c r="I85" s="501" t="n"/>
      <c r="J85" s="501" t="n"/>
      <c r="K85" s="501" t="n"/>
      <c r="L85" s="501" t="n"/>
      <c r="M85" s="501" t="n"/>
      <c r="N85" s="501" t="n"/>
    </row>
    <row r="86" ht="15" customHeight="1" s="254">
      <c r="A86" s="296" t="inlineStr">
        <is>
          <t>Apple Valley Choice Energy</t>
        </is>
      </c>
      <c r="B86" s="678" t="n"/>
      <c r="C86" s="539" t="inlineStr">
        <is>
          <t>SCE</t>
        </is>
      </c>
      <c r="D86" s="501" t="n"/>
      <c r="E86" s="501" t="n"/>
      <c r="F86" s="501" t="n"/>
      <c r="G86" s="501" t="n"/>
      <c r="H86" s="501" t="n"/>
      <c r="I86" s="501" t="n"/>
      <c r="J86" s="501" t="n"/>
      <c r="K86" s="501" t="n"/>
      <c r="L86" s="501" t="n"/>
      <c r="M86" s="501" t="n"/>
      <c r="N86" s="501" t="n"/>
    </row>
    <row r="87" ht="15" customHeight="1" s="254">
      <c r="A87" s="296" t="inlineStr">
        <is>
          <t>Energy for Palmdale's Independent Choice</t>
        </is>
      </c>
      <c r="B87" s="678" t="n"/>
      <c r="C87" s="539" t="inlineStr">
        <is>
          <t>SCE</t>
        </is>
      </c>
      <c r="D87" s="501" t="n"/>
      <c r="E87" s="501" t="n"/>
      <c r="F87" s="501" t="n"/>
      <c r="G87" s="501" t="n"/>
      <c r="H87" s="501" t="n"/>
      <c r="I87" s="501" t="n"/>
      <c r="J87" s="501" t="n"/>
      <c r="K87" s="501" t="n"/>
      <c r="L87" s="501" t="n"/>
      <c r="M87" s="501" t="n"/>
      <c r="N87" s="501" t="n"/>
    </row>
    <row r="88" ht="15" customHeight="1" s="254">
      <c r="A88" s="296" t="inlineStr">
        <is>
          <t>King City Community Power</t>
        </is>
      </c>
      <c r="B88" s="678" t="n"/>
      <c r="C88" s="539" t="inlineStr">
        <is>
          <t>PG&amp;E</t>
        </is>
      </c>
      <c r="D88" s="501" t="n"/>
      <c r="E88" s="501" t="n"/>
      <c r="F88" s="501" t="n"/>
      <c r="G88" s="501" t="n"/>
      <c r="H88" s="501" t="n"/>
      <c r="I88" s="501" t="n"/>
      <c r="J88" s="501" t="n"/>
      <c r="K88" s="501" t="n"/>
      <c r="L88" s="501" t="n"/>
      <c r="M88" s="501" t="n"/>
      <c r="N88" s="501" t="n"/>
    </row>
    <row r="89" ht="15" customHeight="1" s="254">
      <c r="A89" s="296" t="inlineStr">
        <is>
          <t>Pico Rivera Innovative Municipal Energy</t>
        </is>
      </c>
      <c r="B89" s="678" t="n"/>
      <c r="C89" s="539" t="inlineStr">
        <is>
          <t>SCE</t>
        </is>
      </c>
      <c r="D89" s="501" t="n"/>
      <c r="E89" s="501" t="n"/>
      <c r="F89" s="501" t="n"/>
      <c r="G89" s="501" t="n"/>
      <c r="H89" s="501" t="n"/>
      <c r="I89" s="501" t="n"/>
      <c r="J89" s="501" t="n"/>
      <c r="K89" s="501" t="n"/>
      <c r="L89" s="501" t="n"/>
      <c r="M89" s="501" t="n"/>
      <c r="N89" s="501" t="n"/>
    </row>
    <row r="90" ht="15" customHeight="1" s="254">
      <c r="A90" s="296" t="inlineStr">
        <is>
          <t>Pomona Choice Energy</t>
        </is>
      </c>
      <c r="B90" s="678" t="n"/>
      <c r="C90" s="539" t="inlineStr">
        <is>
          <t>SCE</t>
        </is>
      </c>
      <c r="D90" s="501" t="n"/>
      <c r="E90" s="501" t="n"/>
      <c r="F90" s="501" t="n"/>
      <c r="G90" s="501" t="n"/>
      <c r="H90" s="501" t="n"/>
      <c r="I90" s="501" t="n"/>
      <c r="J90" s="501" t="n"/>
      <c r="K90" s="501" t="n"/>
      <c r="L90" s="501" t="n"/>
      <c r="M90" s="501" t="n"/>
      <c r="N90" s="501" t="n"/>
    </row>
    <row r="91" ht="15" customHeight="1" s="254">
      <c r="A91" s="296" t="inlineStr">
        <is>
          <t>San Jacinto Power</t>
        </is>
      </c>
      <c r="B91" s="678" t="n"/>
      <c r="C91" s="539" t="inlineStr">
        <is>
          <t>SCE</t>
        </is>
      </c>
      <c r="D91" s="501" t="n"/>
      <c r="E91" s="501" t="n"/>
      <c r="F91" s="501" t="n"/>
      <c r="G91" s="501" t="n"/>
      <c r="H91" s="501" t="n"/>
      <c r="I91" s="501" t="n"/>
      <c r="J91" s="501" t="n"/>
      <c r="K91" s="501" t="n"/>
      <c r="L91" s="501" t="n"/>
      <c r="M91" s="501" t="n"/>
      <c r="N91" s="501" t="n"/>
    </row>
    <row r="92" ht="15" customHeight="1" s="254">
      <c r="A92" s="296" t="inlineStr">
        <is>
          <t>Santa Barbara Clean Energy</t>
        </is>
      </c>
      <c r="B92" s="678" t="n"/>
      <c r="C92" s="539" t="inlineStr">
        <is>
          <t>SCE</t>
        </is>
      </c>
      <c r="D92" s="501" t="n"/>
      <c r="E92" s="501" t="n"/>
      <c r="F92" s="501" t="n"/>
      <c r="G92" s="501" t="n"/>
      <c r="H92" s="501" t="n"/>
      <c r="I92" s="501" t="n"/>
      <c r="J92" s="501" t="n"/>
      <c r="K92" s="501" t="n"/>
      <c r="L92" s="501" t="n"/>
      <c r="M92" s="501" t="n"/>
      <c r="N92" s="501" t="n"/>
    </row>
    <row r="93" ht="15" customHeight="1" s="254">
      <c r="A93" s="296" t="inlineStr">
        <is>
          <t>Direct Access ESP (Calpine, Constellation, Shell…)</t>
        </is>
      </c>
      <c r="B93" s="678" t="n"/>
      <c r="C93" s="539" t="inlineStr">
        <is>
          <t>Host IOU</t>
        </is>
      </c>
      <c r="D93" s="501" t="n"/>
      <c r="E93" s="501" t="n"/>
      <c r="F93" s="501" t="n"/>
      <c r="G93" s="501" t="n"/>
      <c r="H93" s="501" t="n"/>
      <c r="I93" s="501" t="n"/>
      <c r="J93" s="501" t="n"/>
      <c r="K93" s="501" t="n"/>
      <c r="L93" s="501" t="n"/>
      <c r="M93" s="501" t="n"/>
      <c r="N93" s="501" t="n"/>
    </row>
    <row r="94">
      <c r="A94" s="501" t="n"/>
      <c r="B94" s="501" t="n"/>
      <c r="C94" s="501" t="n"/>
      <c r="D94" s="501" t="n"/>
      <c r="E94" s="501" t="n"/>
      <c r="F94" s="501" t="n"/>
      <c r="G94" s="501" t="n"/>
      <c r="H94" s="501" t="n"/>
      <c r="I94" s="501" t="n"/>
      <c r="J94" s="501" t="n"/>
      <c r="K94" s="501" t="n"/>
      <c r="L94" s="501" t="n"/>
      <c r="M94" s="501" t="n"/>
      <c r="N94" s="501" t="n"/>
    </row>
    <row r="95">
      <c r="A95" s="501" t="n"/>
      <c r="B95" s="501" t="n"/>
      <c r="C95" s="501" t="n"/>
      <c r="D95" s="501" t="n"/>
      <c r="E95" s="501" t="n"/>
      <c r="F95" s="501" t="n"/>
      <c r="G95" s="501" t="n"/>
      <c r="H95" s="501" t="n"/>
      <c r="I95" s="501" t="n"/>
      <c r="J95" s="501" t="n"/>
      <c r="K95" s="501" t="n"/>
      <c r="L95" s="501" t="n"/>
      <c r="M95" s="501" t="n"/>
      <c r="N95" s="501" t="n"/>
    </row>
    <row r="96" ht="17.25" customHeight="1" s="254">
      <c r="A96" s="488" t="inlineStr">
        <is>
          <t>MICHIGAN ELECTRIC UTILITIES — DELIVERY</t>
        </is>
      </c>
      <c r="B96" s="501" t="n"/>
      <c r="C96" s="501" t="n"/>
      <c r="D96" s="501" t="n"/>
      <c r="E96" s="501" t="n"/>
      <c r="F96" s="501" t="n"/>
      <c r="G96" s="501" t="n"/>
      <c r="H96" s="501" t="n"/>
      <c r="I96" s="501" t="n"/>
      <c r="J96" s="501" t="n"/>
      <c r="K96" s="501" t="n"/>
      <c r="L96" s="501" t="n"/>
      <c r="M96" s="501" t="n"/>
      <c r="N96" s="501" t="n"/>
    </row>
    <row r="97" ht="19.5" customHeight="1" s="254">
      <c r="A97" s="279" t="inlineStr">
        <is>
          <t>Service territory in Michigan does not follow a mailing address in any obvious way. Confirm the serving utility against the site address before pricing anything that depends on it.</t>
        </is>
      </c>
      <c r="I97" s="501" t="n"/>
      <c r="J97" s="501" t="n"/>
      <c r="K97" s="501" t="n"/>
      <c r="L97" s="501" t="n"/>
      <c r="M97" s="501" t="n"/>
      <c r="N97" s="501" t="n"/>
    </row>
    <row r="98">
      <c r="A98" s="501" t="n"/>
      <c r="B98" s="501" t="n"/>
      <c r="C98" s="501" t="n"/>
      <c r="D98" s="501" t="n"/>
      <c r="E98" s="501" t="n"/>
      <c r="F98" s="501" t="n"/>
      <c r="G98" s="501" t="n"/>
      <c r="H98" s="501" t="n"/>
      <c r="I98" s="501" t="n"/>
      <c r="J98" s="501" t="n"/>
      <c r="K98" s="501" t="n"/>
      <c r="L98" s="501" t="n"/>
      <c r="M98" s="501" t="n"/>
      <c r="N98" s="501" t="n"/>
    </row>
    <row r="99" ht="14.25" customHeight="1" s="254">
      <c r="A99" s="479" t="inlineStr">
        <is>
          <t>Utility</t>
        </is>
      </c>
      <c r="B99" s="669" t="inlineStr">
        <is>
          <t>Type</t>
        </is>
      </c>
      <c r="C99" s="669" t="inlineStr">
        <is>
          <t>Service territory</t>
        </is>
      </c>
      <c r="D99" s="501" t="n"/>
      <c r="E99" s="501" t="n"/>
      <c r="F99" s="501" t="n"/>
      <c r="G99" s="501" t="n"/>
      <c r="H99" s="501" t="n"/>
      <c r="I99" s="501" t="n"/>
      <c r="J99" s="501" t="n"/>
      <c r="K99" s="501" t="n"/>
      <c r="L99" s="501" t="n"/>
      <c r="M99" s="501" t="n"/>
      <c r="N99" s="501" t="n"/>
    </row>
    <row r="100" ht="29.08" customHeight="1" s="254">
      <c r="A100" s="298" t="inlineStr">
        <is>
          <t>DTE Electric Company</t>
        </is>
      </c>
      <c r="B100" s="550" t="inlineStr">
        <is>
          <t>IOU</t>
        </is>
      </c>
      <c r="C100" s="550" t="inlineStr">
        <is>
          <t>Southeast Michigan — Detroit, Ann Arbor, Port Huron</t>
        </is>
      </c>
      <c r="D100" s="501" t="n"/>
      <c r="E100" s="501" t="n"/>
      <c r="F100" s="501" t="n"/>
      <c r="G100" s="501" t="n"/>
      <c r="H100" s="501" t="n"/>
      <c r="I100" s="501" t="n"/>
      <c r="J100" s="501" t="n"/>
      <c r="K100" s="501" t="n"/>
      <c r="L100" s="501" t="n"/>
      <c r="M100" s="501" t="n"/>
      <c r="N100" s="501" t="n"/>
    </row>
    <row r="101" ht="29.08" customHeight="1" s="254">
      <c r="A101" s="298" t="inlineStr">
        <is>
          <t>Consumers Energy</t>
        </is>
      </c>
      <c r="B101" s="550" t="inlineStr">
        <is>
          <t>IOU</t>
        </is>
      </c>
      <c r="C101" s="550" t="inlineStr">
        <is>
          <t>Most of the Lower Peninsula outside DTE</t>
        </is>
      </c>
      <c r="D101" s="501" t="n"/>
      <c r="E101" s="501" t="n"/>
      <c r="F101" s="501" t="n"/>
      <c r="G101" s="501" t="n"/>
      <c r="H101" s="501" t="n"/>
      <c r="I101" s="501" t="n"/>
      <c r="J101" s="501" t="n"/>
      <c r="K101" s="501" t="n"/>
      <c r="L101" s="501" t="n"/>
      <c r="M101" s="501" t="n"/>
      <c r="N101" s="501" t="n"/>
    </row>
    <row r="102" ht="29.08" customHeight="1" s="254">
      <c r="A102" s="298" t="inlineStr">
        <is>
          <t>Indiana Michigan Power (AEP)</t>
        </is>
      </c>
      <c r="B102" s="550" t="inlineStr">
        <is>
          <t>IOU</t>
        </is>
      </c>
      <c r="C102" s="550" t="inlineStr">
        <is>
          <t>Southwest MI — Berrien, Cass, St Joseph</t>
        </is>
      </c>
      <c r="D102" s="501" t="n"/>
      <c r="E102" s="501" t="n"/>
      <c r="F102" s="501" t="n"/>
      <c r="G102" s="501" t="n"/>
      <c r="H102" s="501" t="n"/>
      <c r="I102" s="501" t="n"/>
      <c r="J102" s="501" t="n"/>
      <c r="K102" s="501" t="n"/>
      <c r="L102" s="501" t="n"/>
      <c r="M102" s="501" t="n"/>
      <c r="N102" s="501" t="n"/>
    </row>
    <row r="103" ht="29.08" customHeight="1" s="254">
      <c r="A103" s="298" t="inlineStr">
        <is>
          <t>UMERC — Upper Michigan Energy Resources (We Energies)</t>
        </is>
      </c>
      <c r="B103" s="550" t="inlineStr">
        <is>
          <t>IOU</t>
        </is>
      </c>
      <c r="C103" s="550" t="inlineStr">
        <is>
          <t>Upper Peninsula — Marquette, Menominee</t>
        </is>
      </c>
      <c r="D103" s="501" t="n"/>
      <c r="E103" s="501" t="n"/>
      <c r="F103" s="501" t="n"/>
      <c r="G103" s="501" t="n"/>
      <c r="H103" s="501" t="n"/>
      <c r="I103" s="501" t="n"/>
      <c r="J103" s="501" t="n"/>
      <c r="K103" s="501" t="n"/>
      <c r="L103" s="501" t="n"/>
      <c r="M103" s="501" t="n"/>
      <c r="N103" s="501" t="n"/>
    </row>
    <row r="104" ht="19.5" customHeight="1" s="254">
      <c r="A104" s="298" t="inlineStr">
        <is>
          <t>UPPCO — Upper Peninsula Power Company</t>
        </is>
      </c>
      <c r="B104" s="550" t="inlineStr">
        <is>
          <t>IOU</t>
        </is>
      </c>
      <c r="C104" s="550" t="inlineStr">
        <is>
          <t>Upper Peninsula</t>
        </is>
      </c>
      <c r="D104" s="501" t="n"/>
      <c r="E104" s="501" t="n"/>
      <c r="F104" s="501" t="n"/>
      <c r="G104" s="501" t="n"/>
      <c r="H104" s="501" t="n"/>
      <c r="I104" s="501" t="n"/>
      <c r="J104" s="501" t="n"/>
      <c r="K104" s="501" t="n"/>
      <c r="L104" s="501" t="n"/>
      <c r="M104" s="501" t="n"/>
      <c r="N104" s="501" t="n"/>
    </row>
    <row r="105" ht="19.5" customHeight="1" s="254">
      <c r="A105" s="298" t="inlineStr">
        <is>
          <t>Northern States Power — Xcel</t>
        </is>
      </c>
      <c r="B105" s="550" t="inlineStr">
        <is>
          <t>IOU</t>
        </is>
      </c>
      <c r="C105" s="550" t="inlineStr">
        <is>
          <t>Western Upper Peninsula</t>
        </is>
      </c>
      <c r="D105" s="501" t="n"/>
      <c r="E105" s="501" t="n"/>
      <c r="F105" s="501" t="n"/>
      <c r="G105" s="501" t="n"/>
      <c r="H105" s="501" t="n"/>
      <c r="I105" s="501" t="n"/>
      <c r="J105" s="501" t="n"/>
      <c r="K105" s="501" t="n"/>
      <c r="L105" s="501" t="n"/>
      <c r="M105" s="501" t="n"/>
      <c r="N105" s="501" t="n"/>
    </row>
    <row r="106" ht="19.5" customHeight="1" s="254">
      <c r="A106" s="298" t="inlineStr">
        <is>
          <t>Alpena Power Company</t>
        </is>
      </c>
      <c r="B106" s="550" t="inlineStr">
        <is>
          <t>IOU</t>
        </is>
      </c>
      <c r="C106" s="550" t="inlineStr">
        <is>
          <t>Alpena and surrounding townships</t>
        </is>
      </c>
      <c r="D106" s="501" t="n"/>
      <c r="E106" s="501" t="n"/>
      <c r="F106" s="501" t="n"/>
      <c r="G106" s="501" t="n"/>
      <c r="H106" s="501" t="n"/>
      <c r="I106" s="501" t="n"/>
      <c r="J106" s="501" t="n"/>
      <c r="K106" s="501" t="n"/>
      <c r="L106" s="501" t="n"/>
      <c r="M106" s="501" t="n"/>
      <c r="N106" s="501" t="n"/>
    </row>
    <row r="107" ht="19.5" customHeight="1" s="254">
      <c r="A107" s="298" t="inlineStr">
        <is>
          <t>Lansing Board of Water &amp; Light</t>
        </is>
      </c>
      <c r="B107" s="550" t="inlineStr">
        <is>
          <t>POU</t>
        </is>
      </c>
      <c r="C107" s="550" t="inlineStr">
        <is>
          <t>Lansing and East Lansing</t>
        </is>
      </c>
      <c r="D107" s="501" t="n"/>
      <c r="E107" s="501" t="n"/>
      <c r="F107" s="501" t="n"/>
      <c r="G107" s="501" t="n"/>
      <c r="H107" s="501" t="n"/>
      <c r="I107" s="501" t="n"/>
      <c r="J107" s="501" t="n"/>
      <c r="K107" s="501" t="n"/>
      <c r="L107" s="501" t="n"/>
      <c r="M107" s="501" t="n"/>
      <c r="N107" s="501" t="n"/>
    </row>
    <row r="108" ht="19.5" customHeight="1" s="254">
      <c r="A108" s="298" t="inlineStr">
        <is>
          <t>Holland Board of Public Works</t>
        </is>
      </c>
      <c r="B108" s="550" t="inlineStr">
        <is>
          <t>POU</t>
        </is>
      </c>
      <c r="C108" s="550" t="inlineStr">
        <is>
          <t>City of Holland</t>
        </is>
      </c>
      <c r="D108" s="501" t="n"/>
      <c r="E108" s="501" t="n"/>
      <c r="F108" s="501" t="n"/>
      <c r="G108" s="501" t="n"/>
      <c r="H108" s="501" t="n"/>
      <c r="I108" s="501" t="n"/>
      <c r="J108" s="501" t="n"/>
      <c r="K108" s="501" t="n"/>
      <c r="L108" s="501" t="n"/>
      <c r="M108" s="501" t="n"/>
      <c r="N108" s="501" t="n"/>
    </row>
    <row r="109" ht="19.5" customHeight="1" s="254">
      <c r="A109" s="298" t="inlineStr">
        <is>
          <t>Traverse City Light &amp; Power</t>
        </is>
      </c>
      <c r="B109" s="550" t="inlineStr">
        <is>
          <t>POU</t>
        </is>
      </c>
      <c r="C109" s="550" t="inlineStr">
        <is>
          <t>City of Traverse City</t>
        </is>
      </c>
      <c r="D109" s="501" t="n"/>
      <c r="E109" s="501" t="n"/>
      <c r="F109" s="501" t="n"/>
      <c r="G109" s="501" t="n"/>
      <c r="H109" s="501" t="n"/>
      <c r="I109" s="501" t="n"/>
      <c r="J109" s="501" t="n"/>
      <c r="K109" s="501" t="n"/>
      <c r="L109" s="501" t="n"/>
      <c r="M109" s="501" t="n"/>
      <c r="N109" s="501" t="n"/>
    </row>
    <row r="110" ht="19.5" customHeight="1" s="254">
      <c r="A110" s="298" t="inlineStr">
        <is>
          <t>Coldwater Board of Public Utilities</t>
        </is>
      </c>
      <c r="B110" s="550" t="inlineStr">
        <is>
          <t>POU</t>
        </is>
      </c>
      <c r="C110" s="550" t="inlineStr">
        <is>
          <t>City of Coldwater</t>
        </is>
      </c>
      <c r="D110" s="501" t="n"/>
      <c r="E110" s="501" t="n"/>
      <c r="F110" s="501" t="n"/>
      <c r="G110" s="501" t="n"/>
      <c r="H110" s="501" t="n"/>
      <c r="I110" s="501" t="n"/>
      <c r="J110" s="501" t="n"/>
      <c r="K110" s="501" t="n"/>
      <c r="L110" s="501" t="n"/>
      <c r="M110" s="501" t="n"/>
      <c r="N110" s="501" t="n"/>
    </row>
    <row r="111" ht="19.5" customHeight="1" s="254">
      <c r="A111" s="298" t="inlineStr">
        <is>
          <t>Wyandotte Municipal Services</t>
        </is>
      </c>
      <c r="B111" s="550" t="inlineStr">
        <is>
          <t>POU</t>
        </is>
      </c>
      <c r="C111" s="550" t="inlineStr">
        <is>
          <t>City of Wyandotte</t>
        </is>
      </c>
      <c r="D111" s="501" t="n"/>
      <c r="E111" s="501" t="n"/>
      <c r="F111" s="501" t="n"/>
      <c r="G111" s="501" t="n"/>
      <c r="H111" s="501" t="n"/>
      <c r="I111" s="501" t="n"/>
      <c r="J111" s="501" t="n"/>
      <c r="K111" s="501" t="n"/>
      <c r="L111" s="501" t="n"/>
      <c r="M111" s="501" t="n"/>
      <c r="N111" s="501" t="n"/>
    </row>
    <row r="112" ht="19.5" customHeight="1" s="254">
      <c r="A112" s="298" t="inlineStr">
        <is>
          <t>Cloverland Electric Cooperative</t>
        </is>
      </c>
      <c r="B112" s="550" t="inlineStr">
        <is>
          <t>Co-op</t>
        </is>
      </c>
      <c r="C112" s="550" t="inlineStr">
        <is>
          <t>Eastern Upper Peninsula</t>
        </is>
      </c>
      <c r="D112" s="501" t="n"/>
      <c r="E112" s="501" t="n"/>
      <c r="F112" s="501" t="n"/>
      <c r="G112" s="501" t="n"/>
      <c r="H112" s="501" t="n"/>
      <c r="I112" s="501" t="n"/>
      <c r="J112" s="501" t="n"/>
      <c r="K112" s="501" t="n"/>
      <c r="L112" s="501" t="n"/>
      <c r="M112" s="501" t="n"/>
      <c r="N112" s="501" t="n"/>
    </row>
    <row r="113" ht="19.5" customHeight="1" s="254">
      <c r="A113" s="298" t="inlineStr">
        <is>
          <t>Great Lakes Energy</t>
        </is>
      </c>
      <c r="B113" s="550" t="inlineStr">
        <is>
          <t>Co-op</t>
        </is>
      </c>
      <c r="C113" s="550" t="inlineStr">
        <is>
          <t>Northwest Lower Peninsula</t>
        </is>
      </c>
      <c r="D113" s="501" t="n"/>
      <c r="E113" s="501" t="n"/>
      <c r="F113" s="501" t="n"/>
      <c r="G113" s="501" t="n"/>
      <c r="H113" s="501" t="n"/>
      <c r="I113" s="501" t="n"/>
      <c r="J113" s="501" t="n"/>
      <c r="K113" s="501" t="n"/>
      <c r="L113" s="501" t="n"/>
      <c r="M113" s="501" t="n"/>
      <c r="N113" s="501" t="n"/>
    </row>
    <row r="114" ht="19.5" customHeight="1" s="254">
      <c r="A114" s="298" t="inlineStr">
        <is>
          <t>Presque Isle Electric &amp; Gas Co-op</t>
        </is>
      </c>
      <c r="B114" s="550" t="inlineStr">
        <is>
          <t>Co-op</t>
        </is>
      </c>
      <c r="C114" s="550" t="inlineStr">
        <is>
          <t>Northeast Lower Peninsula</t>
        </is>
      </c>
      <c r="D114" s="501" t="n"/>
      <c r="E114" s="501" t="n"/>
      <c r="F114" s="501" t="n"/>
      <c r="G114" s="501" t="n"/>
      <c r="H114" s="501" t="n"/>
      <c r="I114" s="501" t="n"/>
      <c r="J114" s="501" t="n"/>
      <c r="K114" s="501" t="n"/>
      <c r="L114" s="501" t="n"/>
      <c r="M114" s="501" t="n"/>
      <c r="N114" s="501" t="n"/>
    </row>
    <row r="115" ht="19.5" customHeight="1" s="254">
      <c r="A115" s="298" t="inlineStr">
        <is>
          <t>HomeWorks Tri-County Electric</t>
        </is>
      </c>
      <c r="B115" s="550" t="inlineStr">
        <is>
          <t>Co-op</t>
        </is>
      </c>
      <c r="C115" s="550" t="inlineStr">
        <is>
          <t>Central Lower Peninsula</t>
        </is>
      </c>
      <c r="D115" s="501" t="n"/>
      <c r="E115" s="501" t="n"/>
      <c r="F115" s="501" t="n"/>
      <c r="G115" s="501" t="n"/>
      <c r="H115" s="501" t="n"/>
      <c r="I115" s="501" t="n"/>
      <c r="J115" s="501" t="n"/>
      <c r="K115" s="501" t="n"/>
      <c r="L115" s="501" t="n"/>
      <c r="M115" s="501" t="n"/>
      <c r="N115" s="501" t="n"/>
    </row>
    <row r="116" ht="19.5" customHeight="1" s="254">
      <c r="A116" s="298" t="inlineStr">
        <is>
          <t>Midwest Energy &amp; Communications</t>
        </is>
      </c>
      <c r="B116" s="550" t="inlineStr">
        <is>
          <t>Co-op</t>
        </is>
      </c>
      <c r="C116" s="550" t="inlineStr">
        <is>
          <t>Southwest Lower Peninsula</t>
        </is>
      </c>
      <c r="D116" s="501" t="n"/>
      <c r="E116" s="501" t="n"/>
      <c r="F116" s="501" t="n"/>
      <c r="G116" s="501" t="n"/>
      <c r="H116" s="501" t="n"/>
      <c r="I116" s="501" t="n"/>
      <c r="J116" s="501" t="n"/>
      <c r="K116" s="501" t="n"/>
      <c r="L116" s="501" t="n"/>
      <c r="M116" s="501" t="n"/>
      <c r="N116" s="501" t="n"/>
    </row>
    <row r="117" ht="19.5" customHeight="1" s="254">
      <c r="A117" s="298" t="inlineStr">
        <is>
          <t>Thumb Electric Cooperative</t>
        </is>
      </c>
      <c r="B117" s="550" t="inlineStr">
        <is>
          <t>Co-op</t>
        </is>
      </c>
      <c r="C117" s="550" t="inlineStr">
        <is>
          <t>The Thumb — Huron, Sanilac, Tuscola</t>
        </is>
      </c>
      <c r="D117" s="501" t="n"/>
      <c r="E117" s="501" t="n"/>
      <c r="F117" s="501" t="n"/>
      <c r="G117" s="501" t="n"/>
      <c r="H117" s="501" t="n"/>
      <c r="I117" s="501" t="n"/>
      <c r="J117" s="501" t="n"/>
      <c r="K117" s="501" t="n"/>
      <c r="L117" s="501" t="n"/>
      <c r="M117" s="501" t="n"/>
      <c r="N117" s="501" t="n"/>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c r="A3" s="501" t="n"/>
      <c r="B3" s="501" t="n"/>
      <c r="C3" s="501" t="n"/>
      <c r="D3" s="501" t="n"/>
      <c r="E3" s="501" t="n"/>
      <c r="F3" s="501" t="n"/>
      <c r="G3" s="501" t="n"/>
      <c r="H3" s="501" t="n"/>
      <c r="I3" s="501" t="n"/>
      <c r="J3" s="501" t="n"/>
      <c r="K3" s="501" t="n"/>
      <c r="L3" s="501" t="n"/>
      <c r="M3" s="501" t="n"/>
      <c r="N3" s="501" t="n"/>
      <c r="O3" s="501" t="n"/>
      <c r="P3" s="501" t="n"/>
      <c r="Q3" s="501" t="n"/>
      <c r="R3" s="501" t="n"/>
    </row>
    <row r="4" ht="26.44" customHeight="1" s="254">
      <c r="A4" s="351" t="inlineStr">
        <is>
          <t>Utility</t>
        </is>
      </c>
      <c r="B4" s="572" t="inlineStr">
        <is>
          <t>Schedule</t>
        </is>
      </c>
      <c r="C4" s="572" t="inlineStr">
        <is>
          <t>From kW</t>
        </is>
      </c>
      <c r="D4" s="571" t="inlineStr">
        <is>
          <t>To kW</t>
        </is>
      </c>
      <c r="E4" s="572" t="inlineStr">
        <is>
          <t>Voltage</t>
        </is>
      </c>
      <c r="F4" s="572" t="inlineStr">
        <is>
          <t>Peak $/kWh</t>
        </is>
      </c>
      <c r="G4" s="572" t="inlineStr">
        <is>
          <t>Off-peak $/kWh</t>
        </is>
      </c>
      <c r="H4" s="572" t="inlineStr">
        <is>
          <t>Super off $/kWh</t>
        </is>
      </c>
      <c r="I4" s="572" t="inlineStr">
        <is>
          <t>Demand $/kW-mo</t>
        </is>
      </c>
      <c r="J4" s="572" t="inlineStr">
        <is>
          <t>Block kW</t>
        </is>
      </c>
      <c r="K4" s="572" t="inlineStr">
        <is>
          <t>Block $/mo</t>
        </is>
      </c>
      <c r="L4" s="572" t="inlineStr">
        <is>
          <t>Overage $/kW</t>
        </is>
      </c>
      <c r="M4" s="572" t="inlineStr">
        <is>
          <t>Customer $/mo</t>
        </is>
      </c>
      <c r="N4" s="572" t="inlineStr">
        <is>
          <t>Seasons</t>
        </is>
      </c>
      <c r="O4" s="572" t="inlineStr">
        <is>
          <t>Time-of-use periods</t>
        </is>
      </c>
      <c r="P4" s="572" t="inlineStr">
        <is>
          <t>STATUS</t>
        </is>
      </c>
      <c r="Q4" s="572" t="inlineStr">
        <is>
          <t>Effective</t>
        </is>
      </c>
      <c r="R4" s="572" t="inlineStr">
        <is>
          <t>Source</t>
        </is>
      </c>
    </row>
    <row r="5" ht="31.5" customHeight="1" s="254">
      <c r="A5" s="489" t="inlineStr">
        <is>
          <t>PG&amp;E — Pacific Gas and Electric</t>
        </is>
      </c>
      <c r="B5" s="672" t="inlineStr">
        <is>
          <t>BEV-1</t>
        </is>
      </c>
      <c r="C5" s="679" t="n">
        <v>0</v>
      </c>
      <c r="D5" s="679" t="n">
        <v>100</v>
      </c>
      <c r="E5" s="672" t="inlineStr">
        <is>
          <t>Secondary</t>
        </is>
      </c>
      <c r="F5" s="680" t="n">
        <v>0.35711</v>
      </c>
      <c r="G5" s="680" t="n">
        <v>0.1651</v>
      </c>
      <c r="H5" s="680" t="n">
        <v>0.13844</v>
      </c>
      <c r="I5" s="681" t="n">
        <v>0</v>
      </c>
      <c r="J5" s="679" t="n">
        <v>10</v>
      </c>
      <c r="K5" s="681" t="n">
        <v>12.41</v>
      </c>
      <c r="L5" s="681" t="n">
        <v>2.48</v>
      </c>
      <c r="M5" s="681" t="n">
        <v>0</v>
      </c>
      <c r="N5" s="672" t="inlineStr">
        <is>
          <t>None — no seasonal variation</t>
        </is>
      </c>
      <c r="O5" s="672" t="inlineStr">
        <is>
          <t>Peak 4-9pm daily; Off 9pm-9am &amp; 2-4pm; Super off 9am-2pm — ALL YEAR</t>
        </is>
      </c>
      <c r="P5" s="682" t="inlineStr">
        <is>
          <t>VERIFIED</t>
        </is>
      </c>
      <c r="Q5" s="672" t="inlineStr">
        <is>
          <t>2026-03-01</t>
        </is>
      </c>
      <c r="R5" s="683" t="inlineStr">
        <is>
          <t>https://www.pge.com/tariffs/assets/pdf/tariffbook/ELEC_SCHEDS_BEV.pdf</t>
        </is>
      </c>
    </row>
    <row r="6" ht="31.5" customHeight="1" s="254">
      <c r="A6" s="489" t="inlineStr">
        <is>
          <t>PG&amp;E — Pacific Gas and Electric</t>
        </is>
      </c>
      <c r="B6" s="672" t="inlineStr">
        <is>
          <t>BEV-2-S</t>
        </is>
      </c>
      <c r="C6" s="679" t="n">
        <v>100</v>
      </c>
      <c r="D6" s="679" t="n">
        <v>99999</v>
      </c>
      <c r="E6" s="672" t="inlineStr">
        <is>
          <t>Secondary</t>
        </is>
      </c>
      <c r="F6" s="680" t="n">
        <v>0.36977</v>
      </c>
      <c r="G6" s="680" t="n">
        <v>0.15654</v>
      </c>
      <c r="H6" s="680" t="n">
        <v>0.13327</v>
      </c>
      <c r="I6" s="681" t="n">
        <v>0</v>
      </c>
      <c r="J6" s="679" t="n">
        <v>50</v>
      </c>
      <c r="K6" s="681" t="n">
        <v>95.56</v>
      </c>
      <c r="L6" s="681" t="n">
        <v>3.82</v>
      </c>
      <c r="M6" s="681" t="n">
        <v>0</v>
      </c>
      <c r="N6" s="672" t="inlineStr">
        <is>
          <t>None — no seasonal variation</t>
        </is>
      </c>
      <c r="O6" s="672" t="inlineStr">
        <is>
          <t>Peak 4-9pm daily; Off 9pm-9am &amp; 2-4pm; Super off 9am-2pm — ALL YEAR</t>
        </is>
      </c>
      <c r="P6" s="682" t="inlineStr">
        <is>
          <t>VERIFIED</t>
        </is>
      </c>
      <c r="Q6" s="672" t="inlineStr">
        <is>
          <t>2026-03-01</t>
        </is>
      </c>
      <c r="R6" s="683" t="inlineStr">
        <is>
          <t>https://www.pge.com/tariffs/assets/pdf/tariffbook/ELEC_SCHEDS_BEV.pdf</t>
        </is>
      </c>
    </row>
    <row r="7" ht="31.5" customHeight="1" s="254">
      <c r="A7" s="489" t="inlineStr">
        <is>
          <t>PG&amp;E — Pacific Gas and Electric</t>
        </is>
      </c>
      <c r="B7" s="672" t="inlineStr">
        <is>
          <t>BEV-2-P</t>
        </is>
      </c>
      <c r="C7" s="679" t="n">
        <v>100</v>
      </c>
      <c r="D7" s="679" t="n">
        <v>99999</v>
      </c>
      <c r="E7" s="672" t="inlineStr">
        <is>
          <t>Primary</t>
        </is>
      </c>
      <c r="F7" s="680" t="n">
        <v>0.36003</v>
      </c>
      <c r="G7" s="680" t="n">
        <v>0.15115</v>
      </c>
      <c r="H7" s="680" t="n">
        <v>0.12849</v>
      </c>
      <c r="I7" s="681" t="n">
        <v>0</v>
      </c>
      <c r="J7" s="679" t="n">
        <v>50</v>
      </c>
      <c r="K7" s="681" t="n">
        <v>85.98</v>
      </c>
      <c r="L7" s="681" t="n">
        <v>3.44</v>
      </c>
      <c r="M7" s="681" t="n">
        <v>0</v>
      </c>
      <c r="N7" s="672" t="inlineStr">
        <is>
          <t>None — no seasonal variation</t>
        </is>
      </c>
      <c r="O7" s="672" t="inlineStr">
        <is>
          <t>Peak 4-9pm daily; Off 9pm-9am &amp; 2-4pm; Super off 9am-2pm — ALL YEAR</t>
        </is>
      </c>
      <c r="P7" s="682" t="inlineStr">
        <is>
          <t>VERIFIED</t>
        </is>
      </c>
      <c r="Q7" s="672" t="inlineStr">
        <is>
          <t>2026-03-01</t>
        </is>
      </c>
      <c r="R7" s="683" t="inlineStr">
        <is>
          <t>https://www.pge.com/tariffs/assets/pdf/tariffbook/ELEC_SCHEDS_BEV.pdf</t>
        </is>
      </c>
    </row>
    <row r="8" ht="31.5" customHeight="1" s="254">
      <c r="A8" s="489" t="inlineStr">
        <is>
          <t>PG&amp;E — Pacific Gas and Electric</t>
        </is>
      </c>
      <c r="B8" s="672" t="inlineStr">
        <is>
          <t>B-20 (non-EV alternative)</t>
        </is>
      </c>
      <c r="C8" s="679" t="n">
        <v>1000</v>
      </c>
      <c r="D8" s="679" t="n">
        <v>99999</v>
      </c>
      <c r="E8" s="672" t="inlineStr">
        <is>
          <t>Secondary</t>
        </is>
      </c>
      <c r="F8" s="680" t="n">
        <v>0.17702</v>
      </c>
      <c r="G8" s="680" t="n">
        <v>0.11482</v>
      </c>
      <c r="H8" s="680" t="n">
        <v>0.05872</v>
      </c>
      <c r="I8" s="681" t="n">
        <v>80.43000000000001</v>
      </c>
      <c r="J8" s="679" t="n">
        <v>0</v>
      </c>
      <c r="K8" s="681" t="n">
        <v>0</v>
      </c>
      <c r="L8" s="681" t="n">
        <v>0</v>
      </c>
      <c r="M8" s="681" t="n">
        <v>3265</v>
      </c>
      <c r="N8" s="672" t="inlineStr">
        <is>
          <t>Summer Jun-Sep / Winter Oct-May</t>
        </is>
      </c>
      <c r="O8" s="672" t="inlineStr">
        <is>
          <t>Peak 4-9pm; Super off 9am-2pm MARCH-MAY ONLY</t>
        </is>
      </c>
      <c r="P8" s="684" t="inlineStr">
        <is>
          <t>PARTIAL</t>
        </is>
      </c>
      <c r="Q8" s="672" t="inlineStr">
        <is>
          <t>2026-03-01</t>
        </is>
      </c>
      <c r="R8" s="683" t="inlineStr">
        <is>
          <t>https://www.pge.com/tariffs/assets/pdf/tariffbook/ELEC_SCHEDS_B-20.pdf</t>
        </is>
      </c>
    </row>
    <row r="9" ht="55.5" customHeight="1" s="254">
      <c r="A9" s="489" t="inlineStr">
        <is>
          <t>SCE — Southern California Edison</t>
        </is>
      </c>
      <c r="B9" s="672" t="inlineStr">
        <is>
          <t>TOU-EV-7</t>
        </is>
      </c>
      <c r="C9" s="679" t="n">
        <v>0</v>
      </c>
      <c r="D9" s="679" t="n">
        <v>20</v>
      </c>
      <c r="E9" s="672" t="inlineStr">
        <is>
          <t>Secondary</t>
        </is>
      </c>
      <c r="F9" s="680" t="n">
        <v>0</v>
      </c>
      <c r="G9" s="680" t="n">
        <v>0</v>
      </c>
      <c r="H9" s="680" t="n">
        <v>0</v>
      </c>
      <c r="I9" s="681" t="n">
        <v>0</v>
      </c>
      <c r="J9" s="679" t="n">
        <v>0</v>
      </c>
      <c r="K9" s="681" t="n">
        <v>0</v>
      </c>
      <c r="L9" s="681" t="n">
        <v>0</v>
      </c>
      <c r="M9" s="681" t="n">
        <v>0</v>
      </c>
      <c r="N9" s="672" t="inlineStr">
        <is>
          <t>Summer Jun-Sep / Winter Oct-May</t>
        </is>
      </c>
      <c r="O9" s="672" t="inlineStr">
        <is>
          <t>On-peak 4-9pm summer weekdays</t>
        </is>
      </c>
      <c r="P9" s="685" t="inlineStr">
        <is>
          <t>NOT PUBLISHED</t>
        </is>
      </c>
      <c r="Q9" s="677" t="n"/>
      <c r="R9" s="683" t="inlineStr">
        <is>
          <t>https://www.sce.com/sites/default/files/custom-files/PDF_Files/TOU-EV-7_8_9_Rate_Fact_Sheet_072025_Accessible.pdf</t>
        </is>
      </c>
    </row>
    <row r="10" ht="55.5" customHeight="1" s="254">
      <c r="A10" s="489" t="inlineStr">
        <is>
          <t>SCE — Southern California Edison</t>
        </is>
      </c>
      <c r="B10" s="672" t="inlineStr">
        <is>
          <t>TOU-EV-8</t>
        </is>
      </c>
      <c r="C10" s="679" t="n">
        <v>20</v>
      </c>
      <c r="D10" s="679" t="n">
        <v>500</v>
      </c>
      <c r="E10" s="672" t="inlineStr">
        <is>
          <t>Secondary</t>
        </is>
      </c>
      <c r="F10" s="680" t="n">
        <v>0</v>
      </c>
      <c r="G10" s="680" t="n">
        <v>0</v>
      </c>
      <c r="H10" s="680" t="n">
        <v>0</v>
      </c>
      <c r="I10" s="681" t="n">
        <v>0</v>
      </c>
      <c r="J10" s="679" t="n">
        <v>0</v>
      </c>
      <c r="K10" s="681" t="n">
        <v>0</v>
      </c>
      <c r="L10" s="681" t="n">
        <v>0</v>
      </c>
      <c r="M10" s="681" t="n">
        <v>0</v>
      </c>
      <c r="N10" s="672" t="inlineStr">
        <is>
          <t>Summer Jun-Sep / Winter Oct-May</t>
        </is>
      </c>
      <c r="O10" s="672" t="inlineStr">
        <is>
          <t>On-peak 4-9pm summer weekdays</t>
        </is>
      </c>
      <c r="P10" s="685" t="inlineStr">
        <is>
          <t>NOT PUBLISHED</t>
        </is>
      </c>
      <c r="Q10" s="677" t="n"/>
      <c r="R10" s="683" t="inlineStr">
        <is>
          <t>https://www.sce.com/sites/default/files/custom-files/PDF_Files/TOU-EV-7_8_9_Rate_Fact_Sheet_072025_Accessible.pdf</t>
        </is>
      </c>
    </row>
    <row r="11" ht="27.76" customHeight="1" s="254">
      <c r="A11" s="489" t="inlineStr">
        <is>
          <t>SCE — Southern California Edison</t>
        </is>
      </c>
      <c r="B11" s="672" t="inlineStr">
        <is>
          <t>TOU-EV-9</t>
        </is>
      </c>
      <c r="C11" s="679" t="n">
        <v>500</v>
      </c>
      <c r="D11" s="679" t="n">
        <v>99999</v>
      </c>
      <c r="E11" s="672" t="inlineStr">
        <is>
          <t>Tiered by voltage</t>
        </is>
      </c>
      <c r="F11" s="680" t="n">
        <v>0</v>
      </c>
      <c r="G11" s="680" t="n">
        <v>0</v>
      </c>
      <c r="H11" s="680" t="n">
        <v>0</v>
      </c>
      <c r="I11" s="681" t="n">
        <v>0</v>
      </c>
      <c r="J11" s="679" t="n">
        <v>0</v>
      </c>
      <c r="K11" s="681" t="n">
        <v>0</v>
      </c>
      <c r="L11" s="681" t="n">
        <v>0</v>
      </c>
      <c r="M11" s="681" t="n">
        <v>0</v>
      </c>
      <c r="N11" s="672" t="inlineStr">
        <is>
          <t>Summer Jun-Sep / Winter Oct-May</t>
        </is>
      </c>
      <c r="O11" s="672" t="inlineStr">
        <is>
          <t>On-peak 4-9pm summer weekdays</t>
        </is>
      </c>
      <c r="P11" s="685" t="inlineStr">
        <is>
          <t>NOT PUBLISHED</t>
        </is>
      </c>
      <c r="Q11" s="677" t="n"/>
      <c r="R11" s="683" t="inlineStr">
        <is>
          <t>https://www.sce.com/sites/default/files/custom-files/PDF_Files/TOU-EV-7_8_9_Rate_Fact_Sheet_072025_Accessible.pdf</t>
        </is>
      </c>
    </row>
    <row r="12" ht="43.5" customHeight="1" s="254">
      <c r="A12" s="489" t="inlineStr">
        <is>
          <t>SDG&amp;E — San Diego Gas &amp; Electric</t>
        </is>
      </c>
      <c r="B12" s="672" t="inlineStr">
        <is>
          <t>EV-HP (&lt;=150 kW)</t>
        </is>
      </c>
      <c r="C12" s="679" t="n">
        <v>20</v>
      </c>
      <c r="D12" s="679" t="n">
        <v>150</v>
      </c>
      <c r="E12" s="672" t="inlineStr">
        <is>
          <t>Secondary</t>
        </is>
      </c>
      <c r="F12" s="680" t="n">
        <v>0.32882</v>
      </c>
      <c r="G12" s="680" t="n">
        <v>0.16295</v>
      </c>
      <c r="H12" s="680" t="n">
        <v>0.15307</v>
      </c>
      <c r="I12" s="681" t="n">
        <v>9.43</v>
      </c>
      <c r="J12" s="679" t="n">
        <v>10</v>
      </c>
      <c r="K12" s="681" t="n">
        <v>50.76</v>
      </c>
      <c r="L12" s="681" t="n">
        <v>0</v>
      </c>
      <c r="M12" s="681" t="n">
        <v>151.26</v>
      </c>
      <c r="N12" s="672" t="inlineStr">
        <is>
          <t>Summer Jun 1-Oct 31 / Winter Nov 1-May 31</t>
        </is>
      </c>
      <c r="O12" s="672" t="inlineStr">
        <is>
          <t>NOT PUBLISHED — obtain from the tariff sheet</t>
        </is>
      </c>
      <c r="P12" s="684" t="inlineStr">
        <is>
          <t>PARTIAL</t>
        </is>
      </c>
      <c r="Q12" s="672" t="inlineStr">
        <is>
          <t>2026-08-01</t>
        </is>
      </c>
      <c r="R12" s="683" t="inlineStr">
        <is>
          <t>https://www.sdge.com/sites/default/files/regulatory/Summary%20Table%20for%20Medium%20Comm%208-1-26.pdf</t>
        </is>
      </c>
    </row>
    <row r="13" ht="43.5" customHeight="1" s="254">
      <c r="A13" s="489" t="inlineStr">
        <is>
          <t>SDG&amp;E — San Diego Gas &amp; Electric</t>
        </is>
      </c>
      <c r="B13" s="672" t="inlineStr">
        <is>
          <t>EV-HP (&gt;150 kW)</t>
        </is>
      </c>
      <c r="C13" s="679" t="n">
        <v>150</v>
      </c>
      <c r="D13" s="679" t="n">
        <v>99999</v>
      </c>
      <c r="E13" s="672" t="inlineStr">
        <is>
          <t>Secondary</t>
        </is>
      </c>
      <c r="F13" s="680" t="n">
        <v>0.32882</v>
      </c>
      <c r="G13" s="680" t="n">
        <v>0.16295</v>
      </c>
      <c r="H13" s="680" t="n">
        <v>0.15307</v>
      </c>
      <c r="I13" s="681" t="n">
        <v>9.43</v>
      </c>
      <c r="J13" s="679" t="n">
        <v>25</v>
      </c>
      <c r="K13" s="681" t="n">
        <v>126.89</v>
      </c>
      <c r="L13" s="681" t="n">
        <v>0</v>
      </c>
      <c r="M13" s="681" t="n">
        <v>151.26</v>
      </c>
      <c r="N13" s="672" t="inlineStr">
        <is>
          <t>Summer Jun 1-Oct 31 / Winter Nov 1-May 31</t>
        </is>
      </c>
      <c r="O13" s="672" t="inlineStr">
        <is>
          <t>NOT PUBLISHED — obtain from the tariff sheet</t>
        </is>
      </c>
      <c r="P13" s="684" t="inlineStr">
        <is>
          <t>PARTIAL</t>
        </is>
      </c>
      <c r="Q13" s="672" t="inlineStr">
        <is>
          <t>2026-08-01</t>
        </is>
      </c>
      <c r="R13" s="683" t="inlineStr">
        <is>
          <t>https://www.sdge.com/sites/default/files/regulatory/Summary%20Table%20for%20Medium%20Comm%208-1-26.pdf</t>
        </is>
      </c>
    </row>
    <row r="14" ht="43.5" customHeight="1" s="254">
      <c r="A14" s="489" t="inlineStr">
        <is>
          <t>SDG&amp;E — San Diego Gas &amp; Electric</t>
        </is>
      </c>
      <c r="B14" s="672" t="inlineStr">
        <is>
          <t>EV-HP Primary (&gt;150 kW)</t>
        </is>
      </c>
      <c r="C14" s="679" t="n">
        <v>150</v>
      </c>
      <c r="D14" s="679" t="n">
        <v>99999</v>
      </c>
      <c r="E14" s="672" t="inlineStr">
        <is>
          <t>Primary</t>
        </is>
      </c>
      <c r="F14" s="680" t="n">
        <v>0.3055</v>
      </c>
      <c r="G14" s="680" t="n">
        <v>0.16257</v>
      </c>
      <c r="H14" s="680" t="n">
        <v>0.15283</v>
      </c>
      <c r="I14" s="681" t="n">
        <v>9.390000000000001</v>
      </c>
      <c r="J14" s="679" t="n">
        <v>25</v>
      </c>
      <c r="K14" s="681" t="n">
        <v>126.24</v>
      </c>
      <c r="L14" s="681" t="n">
        <v>0</v>
      </c>
      <c r="M14" s="681" t="n">
        <v>66.15000000000001</v>
      </c>
      <c r="N14" s="672" t="inlineStr">
        <is>
          <t>Summer Jun 1-Oct 31 / Winter Nov 1-May 31</t>
        </is>
      </c>
      <c r="O14" s="672" t="inlineStr">
        <is>
          <t>NOT PUBLISHED — obtain from the tariff sheet</t>
        </is>
      </c>
      <c r="P14" s="684" t="inlineStr">
        <is>
          <t>PARTIAL</t>
        </is>
      </c>
      <c r="Q14" s="672" t="inlineStr">
        <is>
          <t>2026-08-01</t>
        </is>
      </c>
      <c r="R14" s="683" t="inlineStr">
        <is>
          <t>https://www.sdge.com/sites/default/files/regulatory/Summary%20Table%20for%20Large%20Comm%208-1-26.pdf</t>
        </is>
      </c>
    </row>
    <row r="15" ht="55.5" customHeight="1" s="254">
      <c r="A15" s="489" t="inlineStr">
        <is>
          <t>Liberty Utilities (CalPeco Electric)</t>
        </is>
      </c>
      <c r="B15" s="672" t="inlineStr">
        <is>
          <t>TOU A-3 EV</t>
        </is>
      </c>
      <c r="C15" s="679" t="n">
        <v>200</v>
      </c>
      <c r="D15" s="679" t="n">
        <v>99999</v>
      </c>
      <c r="E15" s="672" t="inlineStr">
        <is>
          <t>All</t>
        </is>
      </c>
      <c r="F15" s="680" t="n">
        <v>0.52239</v>
      </c>
      <c r="G15" s="680" t="n">
        <v>0.30281</v>
      </c>
      <c r="H15" s="680" t="n">
        <v>0</v>
      </c>
      <c r="I15" s="681" t="n">
        <v>0</v>
      </c>
      <c r="J15" s="679" t="n">
        <v>0</v>
      </c>
      <c r="K15" s="681" t="n">
        <v>0</v>
      </c>
      <c r="L15" s="681" t="n">
        <v>0</v>
      </c>
      <c r="M15" s="681" t="n">
        <v>850.8099999999999</v>
      </c>
      <c r="N15" s="672" t="inlineStr">
        <is>
          <t>Summer / Winter — months NOT PUBLISHED</t>
        </is>
      </c>
      <c r="O15" s="672" t="inlineStr">
        <is>
          <t>NOT PUBLISHED — cross-referenced to Special Conditions</t>
        </is>
      </c>
      <c r="P15" s="684" t="inlineStr">
        <is>
          <t>PARTIAL</t>
        </is>
      </c>
      <c r="Q15" s="672" t="inlineStr">
        <is>
          <t>2026-06-01</t>
        </is>
      </c>
      <c r="R15" s="683" t="inlineStr">
        <is>
          <t>https://california.libertyutilities.com/uploads/CalPeco%20Tariffs/Schedule%20No.%20A-3%20TOU%20EV%20Large%20General%20Service.pdf</t>
        </is>
      </c>
    </row>
    <row r="16" ht="43.5" customHeight="1" s="254">
      <c r="A16" s="489" t="inlineStr">
        <is>
          <t>Liberty Utilities (CalPeco Electric)</t>
        </is>
      </c>
      <c r="B16" s="672" t="inlineStr">
        <is>
          <t>TOU A-2 EV</t>
        </is>
      </c>
      <c r="C16" s="679" t="n">
        <v>0</v>
      </c>
      <c r="D16" s="679" t="n">
        <v>200</v>
      </c>
      <c r="E16" s="672" t="inlineStr">
        <is>
          <t>All</t>
        </is>
      </c>
      <c r="F16" s="680" t="n">
        <v>0</v>
      </c>
      <c r="G16" s="680" t="n">
        <v>0</v>
      </c>
      <c r="H16" s="680" t="n">
        <v>0</v>
      </c>
      <c r="I16" s="681" t="n">
        <v>0</v>
      </c>
      <c r="J16" s="679" t="n">
        <v>0</v>
      </c>
      <c r="K16" s="681" t="n">
        <v>0</v>
      </c>
      <c r="L16" s="681" t="n">
        <v>0</v>
      </c>
      <c r="M16" s="681" t="n">
        <v>201.85</v>
      </c>
      <c r="N16" s="672" t="inlineStr">
        <is>
          <t>Summer / Winter — months NOT PUBLISHED</t>
        </is>
      </c>
      <c r="O16" s="672" t="inlineStr">
        <is>
          <t>NOT PUBLISHED</t>
        </is>
      </c>
      <c r="P16" s="684" t="inlineStr">
        <is>
          <t>PARTIAL</t>
        </is>
      </c>
      <c r="Q16" s="672" t="inlineStr">
        <is>
          <t>2026-06-01</t>
        </is>
      </c>
      <c r="R16" s="683" t="inlineStr">
        <is>
          <t>https://california.libertyutilities.com/uploads/CalPeco%20Tariffs/Schedule%20No%20A-2%20TOU%20EV.pdf</t>
        </is>
      </c>
    </row>
    <row r="17" ht="55.5" customHeight="1" s="254">
      <c r="A17" s="489" t="inlineStr">
        <is>
          <t>Pacific Power (PacifiCorp)</t>
        </is>
      </c>
      <c r="B17" s="672" t="inlineStr">
        <is>
          <t>AT-48 Large General TOU</t>
        </is>
      </c>
      <c r="C17" s="679" t="n">
        <v>500</v>
      </c>
      <c r="D17" s="679" t="n">
        <v>99999</v>
      </c>
      <c r="E17" s="672" t="inlineStr">
        <is>
          <t>Secondary</t>
        </is>
      </c>
      <c r="F17" s="680" t="n">
        <v>0.14448</v>
      </c>
      <c r="G17" s="680" t="n">
        <v>0.13419</v>
      </c>
      <c r="H17" s="680" t="n">
        <v>0</v>
      </c>
      <c r="I17" s="681" t="n">
        <v>13.45</v>
      </c>
      <c r="J17" s="679" t="n">
        <v>0</v>
      </c>
      <c r="K17" s="681" t="n">
        <v>0</v>
      </c>
      <c r="L17" s="681" t="n">
        <v>0</v>
      </c>
      <c r="M17" s="681" t="n">
        <v>842.62</v>
      </c>
      <c r="N17" s="672" t="inlineStr">
        <is>
          <t>None</t>
        </is>
      </c>
      <c r="O17" s="672" t="inlineStr">
        <is>
          <t>On-peak adder +0.858c; off-peak credit -0.171c</t>
        </is>
      </c>
      <c r="P17" s="682" t="inlineStr">
        <is>
          <t>VERIFIED</t>
        </is>
      </c>
      <c r="Q17" s="672" t="inlineStr">
        <is>
          <t>2026-07-10</t>
        </is>
      </c>
      <c r="R17" s="683" t="inlineStr">
        <is>
          <t>https://www.pacificpower.net/content/dam/pcorp/documents/en/pacificpower/rates-regulation/california/CA_Price_Summary.pdf</t>
        </is>
      </c>
    </row>
    <row r="18" ht="55.5" customHeight="1" s="254">
      <c r="A18" s="489" t="inlineStr">
        <is>
          <t>Pacific Power (PacifiCorp)</t>
        </is>
      </c>
      <c r="B18" s="672" t="inlineStr">
        <is>
          <t>A-32 General Service</t>
        </is>
      </c>
      <c r="C18" s="679" t="n">
        <v>20</v>
      </c>
      <c r="D18" s="679" t="n">
        <v>500</v>
      </c>
      <c r="E18" s="672" t="inlineStr">
        <is>
          <t>Secondary</t>
        </is>
      </c>
      <c r="F18" s="680" t="n">
        <v>0.20212</v>
      </c>
      <c r="G18" s="680" t="n">
        <v>0.20212</v>
      </c>
      <c r="H18" s="680" t="n">
        <v>0.20212</v>
      </c>
      <c r="I18" s="681" t="n">
        <v>8.5</v>
      </c>
      <c r="J18" s="679" t="n">
        <v>0</v>
      </c>
      <c r="K18" s="681" t="n">
        <v>0</v>
      </c>
      <c r="L18" s="681" t="n">
        <v>0</v>
      </c>
      <c r="M18" s="681" t="n">
        <v>30.54</v>
      </c>
      <c r="N18" s="672" t="inlineStr">
        <is>
          <t>None</t>
        </is>
      </c>
      <c r="O18" s="672" t="inlineStr">
        <is>
          <t>NO time-of-use differentiation at all</t>
        </is>
      </c>
      <c r="P18" s="682" t="inlineStr">
        <is>
          <t>VERIFIED</t>
        </is>
      </c>
      <c r="Q18" s="672" t="inlineStr">
        <is>
          <t>2026-06-08</t>
        </is>
      </c>
      <c r="R18" s="683" t="inlineStr">
        <is>
          <t>https://www.pacificpower.net/content/dam/pcorp/documents/en/pacificpower/rates-regulation/california/CA_Price_Summary.pdf</t>
        </is>
      </c>
    </row>
    <row r="19" ht="43.5" customHeight="1" s="254">
      <c r="A19" s="489" t="inlineStr">
        <is>
          <t>Bear Valley Electric Service (BVES)</t>
        </is>
      </c>
      <c r="B19" s="672" t="inlineStr">
        <is>
          <t>TOU-EV-3</t>
        </is>
      </c>
      <c r="C19" s="679" t="n">
        <v>20</v>
      </c>
      <c r="D19" s="679" t="n">
        <v>500</v>
      </c>
      <c r="E19" s="672" t="inlineStr">
        <is>
          <t>All</t>
        </is>
      </c>
      <c r="F19" s="680" t="n">
        <v>0.46315</v>
      </c>
      <c r="G19" s="680" t="n">
        <v>0.37417</v>
      </c>
      <c r="H19" s="680" t="n">
        <v>0.26005</v>
      </c>
      <c r="I19" s="681" t="n">
        <v>9.5</v>
      </c>
      <c r="J19" s="679" t="n">
        <v>0</v>
      </c>
      <c r="K19" s="681" t="n">
        <v>0</v>
      </c>
      <c r="L19" s="681" t="n">
        <v>0</v>
      </c>
      <c r="M19" s="681" t="n">
        <v>0</v>
      </c>
      <c r="N19" s="672" t="inlineStr">
        <is>
          <t>Summer / Winter — months NOT PUBLISHED</t>
        </is>
      </c>
      <c r="O19" s="672" t="inlineStr">
        <is>
          <t>NOT PUBLISHED</t>
        </is>
      </c>
      <c r="P19" s="684" t="inlineStr">
        <is>
          <t>PARTIAL</t>
        </is>
      </c>
      <c r="Q19" s="672" t="inlineStr">
        <is>
          <t>2026-09-01</t>
        </is>
      </c>
      <c r="R19" s="683" t="inlineStr">
        <is>
          <t>https://www.bvesinc.com/assets/documents/rates/8-24-26-549-e/schedule-no-tou-ev-3.pdf</t>
        </is>
      </c>
    </row>
    <row r="20" ht="43.5" customHeight="1" s="254">
      <c r="A20" s="489" t="inlineStr">
        <is>
          <t>SMUD — Sacramento Municipal Utility District</t>
        </is>
      </c>
      <c r="B20" s="672" t="inlineStr">
        <is>
          <t>EV_SR tier EV3 (&gt;20% util)</t>
        </is>
      </c>
      <c r="C20" s="679" t="n">
        <v>20</v>
      </c>
      <c r="D20" s="679" t="n">
        <v>99999</v>
      </c>
      <c r="E20" s="672" t="inlineStr">
        <is>
          <t>Secondary</t>
        </is>
      </c>
      <c r="F20" s="680" t="n">
        <v>0.2151</v>
      </c>
      <c r="G20" s="680" t="n">
        <v>0.089</v>
      </c>
      <c r="H20" s="680" t="n">
        <v>0.0638</v>
      </c>
      <c r="I20" s="681" t="n">
        <v>0</v>
      </c>
      <c r="J20" s="679" t="n">
        <v>25</v>
      </c>
      <c r="K20" s="681" t="n">
        <v>333</v>
      </c>
      <c r="L20" s="681" t="n">
        <v>0</v>
      </c>
      <c r="M20" s="681" t="n">
        <v>0</v>
      </c>
      <c r="N20" s="672" t="inlineStr">
        <is>
          <t>Summer Jun 1-Sep 30 / Non-summer Oct 1-May 31</t>
        </is>
      </c>
      <c r="O20" s="672" t="inlineStr">
        <is>
          <t>Peak 4-9pm weekdays; off-peak saver 9am-4pm non-summer</t>
        </is>
      </c>
      <c r="P20" s="682" t="inlineStr">
        <is>
          <t>VERIFIED</t>
        </is>
      </c>
      <c r="Q20" s="672" t="inlineStr">
        <is>
          <t>2026-01-01</t>
        </is>
      </c>
      <c r="R20" s="683" t="inlineStr">
        <is>
          <t>https://www.smud.org/-/media/Documents/Rate-Information/Rates/EV-Pilot-Tariff.ashx</t>
        </is>
      </c>
    </row>
    <row r="21" ht="43.5" customHeight="1" s="254">
      <c r="A21" s="489" t="inlineStr">
        <is>
          <t>SMUD — Sacramento Municipal Utility District</t>
        </is>
      </c>
      <c r="B21" s="672" t="inlineStr">
        <is>
          <t>EV_SR tier EV2 (10-20% util)</t>
        </is>
      </c>
      <c r="C21" s="679" t="n">
        <v>20</v>
      </c>
      <c r="D21" s="679" t="n">
        <v>99999</v>
      </c>
      <c r="E21" s="672" t="inlineStr">
        <is>
          <t>Secondary</t>
        </is>
      </c>
      <c r="F21" s="680" t="n">
        <v>0.2669</v>
      </c>
      <c r="G21" s="680" t="n">
        <v>0.1088</v>
      </c>
      <c r="H21" s="680" t="n">
        <v>0.0658</v>
      </c>
      <c r="I21" s="681" t="n">
        <v>0</v>
      </c>
      <c r="J21" s="679" t="n">
        <v>25</v>
      </c>
      <c r="K21" s="681" t="n">
        <v>264</v>
      </c>
      <c r="L21" s="681" t="n">
        <v>0</v>
      </c>
      <c r="M21" s="681" t="n">
        <v>0</v>
      </c>
      <c r="N21" s="672" t="inlineStr">
        <is>
          <t>Summer Jun 1-Sep 30 / Non-summer Oct 1-May 31</t>
        </is>
      </c>
      <c r="O21" s="672" t="inlineStr">
        <is>
          <t>Peak 4-9pm weekdays; off-peak saver 9am-4pm non-summer</t>
        </is>
      </c>
      <c r="P21" s="682" t="inlineStr">
        <is>
          <t>VERIFIED</t>
        </is>
      </c>
      <c r="Q21" s="672" t="inlineStr">
        <is>
          <t>2026-01-01</t>
        </is>
      </c>
      <c r="R21" s="683" t="inlineStr">
        <is>
          <t>https://www.smud.org/-/media/Documents/Rate-Information/Rates/EV-Pilot-Tariff.ashx</t>
        </is>
      </c>
    </row>
    <row r="22" ht="43.5" customHeight="1" s="254">
      <c r="A22" s="489" t="inlineStr">
        <is>
          <t>SMUD — Sacramento Municipal Utility District</t>
        </is>
      </c>
      <c r="B22" s="672" t="inlineStr">
        <is>
          <t>EV_SR tier EV1 (&lt;10% util)</t>
        </is>
      </c>
      <c r="C22" s="679" t="n">
        <v>20</v>
      </c>
      <c r="D22" s="679" t="n">
        <v>99999</v>
      </c>
      <c r="E22" s="672" t="inlineStr">
        <is>
          <t>Secondary</t>
        </is>
      </c>
      <c r="F22" s="680" t="n">
        <v>0.5198</v>
      </c>
      <c r="G22" s="680" t="n">
        <v>0.2051</v>
      </c>
      <c r="H22" s="680" t="n">
        <v>0.115</v>
      </c>
      <c r="I22" s="681" t="n">
        <v>0</v>
      </c>
      <c r="J22" s="679" t="n">
        <v>25</v>
      </c>
      <c r="K22" s="681" t="n">
        <v>120</v>
      </c>
      <c r="L22" s="681" t="n">
        <v>0</v>
      </c>
      <c r="M22" s="681" t="n">
        <v>0</v>
      </c>
      <c r="N22" s="672" t="inlineStr">
        <is>
          <t>Summer Jun 1-Sep 30 / Non-summer Oct 1-May 31</t>
        </is>
      </c>
      <c r="O22" s="672" t="inlineStr">
        <is>
          <t>Peak 4-9pm weekdays; off-peak saver 9am-4pm non-summer</t>
        </is>
      </c>
      <c r="P22" s="682" t="inlineStr">
        <is>
          <t>VERIFIED</t>
        </is>
      </c>
      <c r="Q22" s="672" t="inlineStr">
        <is>
          <t>2026-01-01</t>
        </is>
      </c>
      <c r="R22" s="683" t="inlineStr">
        <is>
          <t>https://www.smud.org/-/media/Documents/Rate-Information/Rates/EV-Pilot-Tariff.ashx</t>
        </is>
      </c>
    </row>
    <row r="23" ht="43.5" customHeight="1" s="254">
      <c r="A23" s="489" t="inlineStr">
        <is>
          <t>SMUD — Sacramento Municipal Utility District</t>
        </is>
      </c>
      <c r="B23" s="672" t="inlineStr">
        <is>
          <t>CI-TOD4 (non-EV alternative)</t>
        </is>
      </c>
      <c r="C23" s="679" t="n">
        <v>1000</v>
      </c>
      <c r="D23" s="679" t="n">
        <v>99999</v>
      </c>
      <c r="E23" s="672" t="inlineStr">
        <is>
          <t>Secondary</t>
        </is>
      </c>
      <c r="F23" s="680" t="n">
        <v>0.2438</v>
      </c>
      <c r="G23" s="680" t="n">
        <v>0.1186</v>
      </c>
      <c r="H23" s="680" t="n">
        <v>0.0788</v>
      </c>
      <c r="I23" s="681" t="n">
        <v>17.66</v>
      </c>
      <c r="J23" s="679" t="n">
        <v>0</v>
      </c>
      <c r="K23" s="681" t="n">
        <v>0</v>
      </c>
      <c r="L23" s="681" t="n">
        <v>0</v>
      </c>
      <c r="M23" s="681" t="n">
        <v>4014.3</v>
      </c>
      <c r="N23" s="672" t="inlineStr">
        <is>
          <t>Summer Jun 1-Sep 30 / Non-summer Oct 1-May 31</t>
        </is>
      </c>
      <c r="O23" s="672" t="inlineStr">
        <is>
          <t>Peak 4-9pm weekdays</t>
        </is>
      </c>
      <c r="P23" s="682" t="inlineStr">
        <is>
          <t>VERIFIED</t>
        </is>
      </c>
      <c r="Q23" s="672" t="inlineStr">
        <is>
          <t>2026-01-01</t>
        </is>
      </c>
      <c r="R23" s="683" t="inlineStr">
        <is>
          <t>https://www.smud.org/-/media/Documents/Rate-Information/Rates/CI-TOD4.ashx</t>
        </is>
      </c>
    </row>
    <row r="24" ht="43.5" customHeight="1" s="254">
      <c r="A24" s="489" t="inlineStr">
        <is>
          <t>LADWP — Los Angeles Dept of Water &amp; Power</t>
        </is>
      </c>
      <c r="B24" s="672" t="inlineStr">
        <is>
          <t>A-2 (2009 base rates)</t>
        </is>
      </c>
      <c r="C24" s="679" t="n">
        <v>30</v>
      </c>
      <c r="D24" s="679" t="n">
        <v>99999</v>
      </c>
      <c r="E24" s="672" t="inlineStr">
        <is>
          <t>4.8 kV</t>
        </is>
      </c>
      <c r="F24" s="680" t="n">
        <v>0.04679</v>
      </c>
      <c r="G24" s="680" t="n">
        <v>0.01879</v>
      </c>
      <c r="H24" s="680" t="n">
        <v>0</v>
      </c>
      <c r="I24" s="681" t="n">
        <v>14</v>
      </c>
      <c r="J24" s="679" t="n">
        <v>0</v>
      </c>
      <c r="K24" s="681" t="n">
        <v>0</v>
      </c>
      <c r="L24" s="681" t="n">
        <v>0</v>
      </c>
      <c r="M24" s="681" t="n">
        <v>25</v>
      </c>
      <c r="N24" s="672" t="inlineStr">
        <is>
          <t>High Jun-Sep / Low Oct-May</t>
        </is>
      </c>
      <c r="O24" s="672" t="inlineStr">
        <is>
          <t>NOT PUBLISHED</t>
        </is>
      </c>
      <c r="P24" s="684" t="inlineStr">
        <is>
          <t>PARTIAL</t>
        </is>
      </c>
      <c r="Q24" s="672" t="inlineStr">
        <is>
          <t>2009-07-01</t>
        </is>
      </c>
      <c r="R24" s="683" t="inlineStr">
        <is>
          <t>https://www.ladwp.com/sites/default/files/documents/LADWP_Electric_Rates.pdf</t>
        </is>
      </c>
    </row>
    <row r="25" ht="43.5" customHeight="1" s="254">
      <c r="A25" s="489" t="inlineStr">
        <is>
          <t>IID — Imperial Irrigation District</t>
        </is>
      </c>
      <c r="B25" s="672" t="inlineStr">
        <is>
          <t>TOU-GL</t>
        </is>
      </c>
      <c r="C25" s="679" t="n">
        <v>100</v>
      </c>
      <c r="D25" s="679" t="n">
        <v>99999</v>
      </c>
      <c r="E25" s="672" t="inlineStr">
        <is>
          <t>All</t>
        </is>
      </c>
      <c r="F25" s="680" t="n">
        <v>0.2873</v>
      </c>
      <c r="G25" s="680" t="n">
        <v>0.08210000000000001</v>
      </c>
      <c r="H25" s="680" t="n">
        <v>0</v>
      </c>
      <c r="I25" s="681" t="n">
        <v>13</v>
      </c>
      <c r="J25" s="679" t="n">
        <v>0</v>
      </c>
      <c r="K25" s="681" t="n">
        <v>0</v>
      </c>
      <c r="L25" s="681" t="n">
        <v>0</v>
      </c>
      <c r="M25" s="681" t="n">
        <v>140</v>
      </c>
      <c r="N25" s="672" t="inlineStr">
        <is>
          <t>Summer May-Oct / Winter Nov-Apr</t>
        </is>
      </c>
      <c r="O25" s="672" t="inlineStr">
        <is>
          <t>Summer on-peak 4-9pm M-F; winter 5-9am &amp; 5-9pm M-F</t>
        </is>
      </c>
      <c r="P25" s="682" t="inlineStr">
        <is>
          <t>VERIFIED</t>
        </is>
      </c>
      <c r="Q25" s="672" t="inlineStr">
        <is>
          <t>2026-01-01</t>
        </is>
      </c>
      <c r="R25" s="683" t="inlineStr">
        <is>
          <t>https://www.iid.com/home/showpublisheddocument/22777/638738285500970000</t>
        </is>
      </c>
    </row>
    <row r="26" ht="43.5" customHeight="1" s="254">
      <c r="A26" s="489" t="inlineStr">
        <is>
          <t>Silicon Valley Power (Santa Clara)</t>
        </is>
      </c>
      <c r="B26" s="672" t="inlineStr">
        <is>
          <t>CB-1 TOU</t>
        </is>
      </c>
      <c r="C26" s="679" t="n">
        <v>0</v>
      </c>
      <c r="D26" s="679" t="n">
        <v>4000</v>
      </c>
      <c r="E26" s="672" t="inlineStr">
        <is>
          <t>Secondary</t>
        </is>
      </c>
      <c r="F26" s="680" t="n">
        <v>0.1849</v>
      </c>
      <c r="G26" s="680" t="n">
        <v>0.14217</v>
      </c>
      <c r="H26" s="680" t="n">
        <v>0</v>
      </c>
      <c r="I26" s="681" t="n">
        <v>12.14</v>
      </c>
      <c r="J26" s="679" t="n">
        <v>0</v>
      </c>
      <c r="K26" s="681" t="n">
        <v>0</v>
      </c>
      <c r="L26" s="681" t="n">
        <v>0</v>
      </c>
      <c r="M26" s="681" t="n">
        <v>100.45</v>
      </c>
      <c r="N26" s="672" t="inlineStr">
        <is>
          <t>None</t>
        </is>
      </c>
      <c r="O26" s="672" t="inlineStr">
        <is>
          <t>Peak 6am-10pm Mon-Sat — 16-hour, 6-day window</t>
        </is>
      </c>
      <c r="P26" s="682" t="inlineStr">
        <is>
          <t>VERIFIED</t>
        </is>
      </c>
      <c r="Q26" s="672" t="inlineStr">
        <is>
          <t>2026-01-01</t>
        </is>
      </c>
      <c r="R26" s="683" t="inlineStr">
        <is>
          <t>https://www.siliconvalleypower.com/home/showpublisheddocument/6251/639032065160570000</t>
        </is>
      </c>
    </row>
    <row r="27" ht="67.5" customHeight="1" s="254">
      <c r="A27" s="489" t="inlineStr">
        <is>
          <t>Riverside Public Utilities</t>
        </is>
      </c>
      <c r="B27" s="672" t="inlineStr">
        <is>
          <t>TOU Large General &amp; Industrial</t>
        </is>
      </c>
      <c r="C27" s="679" t="n">
        <v>150</v>
      </c>
      <c r="D27" s="679" t="n">
        <v>99999</v>
      </c>
      <c r="E27" s="672" t="inlineStr">
        <is>
          <t>All</t>
        </is>
      </c>
      <c r="F27" s="680" t="n">
        <v>0.1295</v>
      </c>
      <c r="G27" s="680" t="n">
        <v>0.0907</v>
      </c>
      <c r="H27" s="680" t="n">
        <v>0</v>
      </c>
      <c r="I27" s="681" t="n">
        <v>14.12</v>
      </c>
      <c r="J27" s="679" t="n">
        <v>0</v>
      </c>
      <c r="K27" s="681" t="n">
        <v>0</v>
      </c>
      <c r="L27" s="681" t="n">
        <v>0</v>
      </c>
      <c r="M27" s="681" t="n">
        <v>742.28</v>
      </c>
      <c r="N27" s="672" t="inlineStr">
        <is>
          <t>Summer Jun 1-Sep 30 / Winter Oct 1-May 31</t>
        </is>
      </c>
      <c r="O27" s="672" t="inlineStr">
        <is>
          <t>Summer on-peak 12-6pm wkdy; winter on-peak 5-9pm wkdy</t>
        </is>
      </c>
      <c r="P27" s="682" t="inlineStr">
        <is>
          <t>VERIFIED</t>
        </is>
      </c>
      <c r="Q27" s="672" t="inlineStr">
        <is>
          <t>2026-01-01</t>
        </is>
      </c>
      <c r="R27" s="683" t="inlineStr">
        <is>
          <t>https://www.riversideca.gov/utilities/sites/riversideca.gov.utilities/files/pdf/rates-electric/2024/Electric%20Schedule%20TOU%20-%20Effective%2001-1-24%20Final.pdf</t>
        </is>
      </c>
    </row>
    <row r="28" ht="79.5" customHeight="1" s="254">
      <c r="A28" s="489" t="inlineStr">
        <is>
          <t>Anaheim Public Utilities</t>
        </is>
      </c>
      <c r="B28" s="672" t="inlineStr">
        <is>
          <t>Anaheim Schedule TOU</t>
        </is>
      </c>
      <c r="C28" s="679" t="n">
        <v>500</v>
      </c>
      <c r="D28" s="679" t="n">
        <v>99999</v>
      </c>
      <c r="E28" s="672" t="inlineStr">
        <is>
          <t>&lt;=50 kV</t>
        </is>
      </c>
      <c r="F28" s="680" t="n">
        <v>0.148</v>
      </c>
      <c r="G28" s="680" t="n">
        <v>0.07870000000000001</v>
      </c>
      <c r="H28" s="680" t="n">
        <v>0</v>
      </c>
      <c r="I28" s="681" t="n">
        <v>24.34</v>
      </c>
      <c r="J28" s="679" t="n">
        <v>0</v>
      </c>
      <c r="K28" s="681" t="n">
        <v>0</v>
      </c>
      <c r="L28" s="681" t="n">
        <v>0</v>
      </c>
      <c r="M28" s="681" t="n">
        <v>342.12</v>
      </c>
      <c r="N28" s="672" t="inlineStr">
        <is>
          <t>Summer Jul 1-Nov 1 / Winter Nov 1-Jul 1</t>
        </is>
      </c>
      <c r="O28" s="672" t="inlineStr">
        <is>
          <t>Summer on-peak 4-9pm wkdy; mid-peak 12-4pm &amp; 9-11pm</t>
        </is>
      </c>
      <c r="P28" s="682" t="inlineStr">
        <is>
          <t>VERIFIED</t>
        </is>
      </c>
      <c r="Q28" s="672" t="inlineStr">
        <is>
          <t>2023-04-03</t>
        </is>
      </c>
      <c r="R28" s="68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672" t="inlineStr">
        <is>
          <t>PC-1-B TOU</t>
        </is>
      </c>
      <c r="C29" s="679" t="n">
        <v>500</v>
      </c>
      <c r="D29" s="679" t="n">
        <v>99999</v>
      </c>
      <c r="E29" s="672" t="inlineStr">
        <is>
          <t>All</t>
        </is>
      </c>
      <c r="F29" s="680" t="n">
        <v>0.3892</v>
      </c>
      <c r="G29" s="680" t="n">
        <v>0.1384</v>
      </c>
      <c r="H29" s="680" t="n">
        <v>0</v>
      </c>
      <c r="I29" s="681" t="n">
        <v>28.3</v>
      </c>
      <c r="J29" s="679" t="n">
        <v>0</v>
      </c>
      <c r="K29" s="681" t="n">
        <v>0</v>
      </c>
      <c r="L29" s="681" t="n">
        <v>0</v>
      </c>
      <c r="M29" s="681" t="n">
        <v>0</v>
      </c>
      <c r="N29" s="672" t="inlineStr">
        <is>
          <t>High Jul-Oct / Low Nov-Jun</t>
        </is>
      </c>
      <c r="O29" s="672" t="inlineStr">
        <is>
          <t>NOT PUBLISHED — note charge is per kW per DAY</t>
        </is>
      </c>
      <c r="P29" s="684" t="inlineStr">
        <is>
          <t>PARTIAL</t>
        </is>
      </c>
      <c r="Q29" s="672" t="inlineStr">
        <is>
          <t>2024-01-01</t>
        </is>
      </c>
      <c r="R29" s="683" t="inlineStr">
        <is>
          <t>https://www.glendaleca.gov/government/departments/glendale-water-and-power/rates/large-business-pc-1-electric-rates</t>
        </is>
      </c>
    </row>
    <row r="30" ht="55.5" customHeight="1" s="254">
      <c r="A30" s="489" t="inlineStr">
        <is>
          <t>Burbank Water and Power</t>
        </is>
      </c>
      <c r="B30" s="672" t="inlineStr">
        <is>
          <t>XL-TOU</t>
        </is>
      </c>
      <c r="C30" s="679" t="n">
        <v>1000</v>
      </c>
      <c r="D30" s="679" t="n">
        <v>99999</v>
      </c>
      <c r="E30" s="672" t="inlineStr">
        <is>
          <t>All</t>
        </is>
      </c>
      <c r="F30" s="680" t="n">
        <v>0.2131</v>
      </c>
      <c r="G30" s="680" t="n">
        <v>0.0896</v>
      </c>
      <c r="H30" s="680" t="n">
        <v>0</v>
      </c>
      <c r="I30" s="681" t="n">
        <v>20</v>
      </c>
      <c r="J30" s="679" t="n">
        <v>0</v>
      </c>
      <c r="K30" s="681" t="n">
        <v>0</v>
      </c>
      <c r="L30" s="681" t="n">
        <v>0</v>
      </c>
      <c r="M30" s="681" t="n">
        <v>0</v>
      </c>
      <c r="N30" s="672" t="inlineStr">
        <is>
          <t>Summer / Winter</t>
        </is>
      </c>
      <c r="O30" s="672" t="inlineStr">
        <is>
          <t>NOT PUBLISHED — demand billed per kVA not kW</t>
        </is>
      </c>
      <c r="P30" s="684" t="inlineStr">
        <is>
          <t>PARTIAL</t>
        </is>
      </c>
      <c r="Q30" s="672" t="inlineStr">
        <is>
          <t>2026-01-01</t>
        </is>
      </c>
      <c r="R30" s="683" t="inlineStr">
        <is>
          <t>https://www.burbankwaterandpower.com/documents/d/guest/Summary-of-Electric-Rates-by-Customer-Type_Commercial_all</t>
        </is>
      </c>
    </row>
    <row r="31" ht="43.5" customHeight="1" s="254">
      <c r="A31" s="489" t="inlineStr">
        <is>
          <t>Pasadena Water and Power</t>
        </is>
      </c>
      <c r="B31" s="672" t="inlineStr">
        <is>
          <t>L-1 Secondary</t>
        </is>
      </c>
      <c r="C31" s="679" t="n">
        <v>0</v>
      </c>
      <c r="D31" s="679" t="n">
        <v>99999</v>
      </c>
      <c r="E31" s="672" t="inlineStr">
        <is>
          <t>Secondary</t>
        </is>
      </c>
      <c r="F31" s="680" t="n">
        <v>0.13409</v>
      </c>
      <c r="G31" s="680" t="n">
        <v>0.12489</v>
      </c>
      <c r="H31" s="680" t="n">
        <v>0</v>
      </c>
      <c r="I31" s="681" t="n">
        <v>18.76</v>
      </c>
      <c r="J31" s="679" t="n">
        <v>0</v>
      </c>
      <c r="K31" s="681" t="n">
        <v>0</v>
      </c>
      <c r="L31" s="681" t="n">
        <v>0</v>
      </c>
      <c r="M31" s="681" t="n">
        <v>1500</v>
      </c>
      <c r="N31" s="672" t="inlineStr">
        <is>
          <t>Summer / Winter</t>
        </is>
      </c>
      <c r="O31" s="672" t="inlineStr">
        <is>
          <t>NOT PUBLISHED</t>
        </is>
      </c>
      <c r="P31" s="684" t="inlineStr">
        <is>
          <t>PARTIAL</t>
        </is>
      </c>
      <c r="Q31" s="672" t="inlineStr">
        <is>
          <t>2025-10-01</t>
        </is>
      </c>
      <c r="R31" s="683" t="inlineStr">
        <is>
          <t>https://pwp.cityofpasadena.net/wp-content/uploads/2025/09/Summary-Rates-2025_10.pdf</t>
        </is>
      </c>
    </row>
    <row r="32" ht="31.5" customHeight="1" s="254">
      <c r="A32" s="489" t="inlineStr">
        <is>
          <t>Roseville Electric Utility</t>
        </is>
      </c>
      <c r="B32" s="672" t="inlineStr">
        <is>
          <t>GS-4</t>
        </is>
      </c>
      <c r="C32" s="679" t="n">
        <v>1000</v>
      </c>
      <c r="D32" s="679" t="n">
        <v>99999</v>
      </c>
      <c r="E32" s="672" t="inlineStr">
        <is>
          <t>All</t>
        </is>
      </c>
      <c r="F32" s="680" t="n">
        <v>0.1969</v>
      </c>
      <c r="G32" s="680" t="n">
        <v>0.095</v>
      </c>
      <c r="H32" s="680" t="n">
        <v>0</v>
      </c>
      <c r="I32" s="681" t="n">
        <v>11.51</v>
      </c>
      <c r="J32" s="679" t="n">
        <v>0</v>
      </c>
      <c r="K32" s="681" t="n">
        <v>0</v>
      </c>
      <c r="L32" s="681" t="n">
        <v>0</v>
      </c>
      <c r="M32" s="681" t="n">
        <v>0</v>
      </c>
      <c r="N32" s="672" t="inlineStr">
        <is>
          <t>Summer / Winter</t>
        </is>
      </c>
      <c r="O32" s="672" t="inlineStr">
        <is>
          <t>NOT PUBLISHED</t>
        </is>
      </c>
      <c r="P32" s="684" t="inlineStr">
        <is>
          <t>PARTIAL</t>
        </is>
      </c>
      <c r="Q32" s="672" t="inlineStr">
        <is>
          <t>2026-07-01</t>
        </is>
      </c>
      <c r="R32" s="683" t="inlineStr">
        <is>
          <t>https://www.roseville.ca.gov/electric_utility/rates/index.php</t>
        </is>
      </c>
    </row>
    <row r="33" ht="67.5" customHeight="1" s="254">
      <c r="A33" s="489" t="inlineStr">
        <is>
          <t>City of Palo Alto Utilities</t>
        </is>
      </c>
      <c r="B33" s="672" t="inlineStr">
        <is>
          <t>E-7</t>
        </is>
      </c>
      <c r="C33" s="679" t="n">
        <v>1000</v>
      </c>
      <c r="D33" s="679" t="n">
        <v>99999</v>
      </c>
      <c r="E33" s="672" t="inlineStr">
        <is>
          <t>All</t>
        </is>
      </c>
      <c r="F33" s="680" t="n">
        <v>0.20068</v>
      </c>
      <c r="G33" s="680" t="n">
        <v>0.12834</v>
      </c>
      <c r="H33" s="680" t="n">
        <v>0.08</v>
      </c>
      <c r="I33" s="681" t="n">
        <v>47.54</v>
      </c>
      <c r="J33" s="679" t="n">
        <v>0</v>
      </c>
      <c r="K33" s="681" t="n">
        <v>0</v>
      </c>
      <c r="L33" s="681" t="n">
        <v>0</v>
      </c>
      <c r="M33" s="681" t="n">
        <v>604</v>
      </c>
      <c r="N33" s="672" t="inlineStr">
        <is>
          <t>Summer / Winter</t>
        </is>
      </c>
      <c r="O33" s="672" t="inlineStr">
        <is>
          <t>NOT PUBLISHED — two demand charges stack</t>
        </is>
      </c>
      <c r="P33" s="684" t="inlineStr">
        <is>
          <t>PARTIAL</t>
        </is>
      </c>
      <c r="Q33" s="672" t="inlineStr">
        <is>
          <t>2026-07-01</t>
        </is>
      </c>
      <c r="R33" s="683" t="inlineStr">
        <is>
          <t>https://www.cityofpaloalto.org/files/assets/public/v/5/utilities/rates-schedules-for-utilities/commercial-utility-rates/e-7-tou-effective-2025-07-01.pdf</t>
        </is>
      </c>
    </row>
    <row r="34" ht="43.5" customHeight="1" s="254">
      <c r="A34" s="489" t="inlineStr">
        <is>
          <t>TID — Turlock Irrigation District</t>
        </is>
      </c>
      <c r="B34" s="672" t="inlineStr">
        <is>
          <t>Schedule HT</t>
        </is>
      </c>
      <c r="C34" s="679" t="n">
        <v>500</v>
      </c>
      <c r="D34" s="679" t="n">
        <v>2999</v>
      </c>
      <c r="E34" s="672" t="inlineStr">
        <is>
          <t>All</t>
        </is>
      </c>
      <c r="F34" s="680" t="n">
        <v>0.1464</v>
      </c>
      <c r="G34" s="680" t="n">
        <v>0.0892</v>
      </c>
      <c r="H34" s="680" t="n">
        <v>0</v>
      </c>
      <c r="I34" s="681" t="n">
        <v>16</v>
      </c>
      <c r="J34" s="679" t="n">
        <v>0</v>
      </c>
      <c r="K34" s="681" t="n">
        <v>0</v>
      </c>
      <c r="L34" s="681" t="n">
        <v>0</v>
      </c>
      <c r="M34" s="681" t="n">
        <v>300</v>
      </c>
      <c r="N34" s="672" t="inlineStr">
        <is>
          <t>Summer / Winter</t>
        </is>
      </c>
      <c r="O34" s="672" t="inlineStr">
        <is>
          <t>On-peak 12pm-9pm Mon-Fri</t>
        </is>
      </c>
      <c r="P34" s="682" t="inlineStr">
        <is>
          <t>VERIFIED</t>
        </is>
      </c>
      <c r="Q34" s="672" t="inlineStr">
        <is>
          <t>2026-01-01</t>
        </is>
      </c>
      <c r="R34" s="683" t="inlineStr">
        <is>
          <t>https://www.tid.org/wp-content/uploads/2024/10/HT-Rate-Tariff-Effective-2025.pdf</t>
        </is>
      </c>
    </row>
    <row r="35" ht="43.5" customHeight="1" s="254">
      <c r="A35" s="489" t="inlineStr">
        <is>
          <t>Alameda Municipal Power</t>
        </is>
      </c>
      <c r="B35" s="672" t="inlineStr">
        <is>
          <t>Schedule A-3</t>
        </is>
      </c>
      <c r="C35" s="679" t="n">
        <v>500</v>
      </c>
      <c r="D35" s="679" t="n">
        <v>4000</v>
      </c>
      <c r="E35" s="672" t="inlineStr">
        <is>
          <t>All</t>
        </is>
      </c>
      <c r="F35" s="680" t="n">
        <v>0.14673</v>
      </c>
      <c r="G35" s="680" t="n">
        <v>0.14673</v>
      </c>
      <c r="H35" s="680" t="n">
        <v>0.14673</v>
      </c>
      <c r="I35" s="681" t="n">
        <v>17.96</v>
      </c>
      <c r="J35" s="679" t="n">
        <v>0</v>
      </c>
      <c r="K35" s="681" t="n">
        <v>0</v>
      </c>
      <c r="L35" s="681" t="n">
        <v>0</v>
      </c>
      <c r="M35" s="681" t="n">
        <v>573.6</v>
      </c>
      <c r="N35" s="672" t="inlineStr">
        <is>
          <t>None</t>
        </is>
      </c>
      <c r="O35" s="672" t="inlineStr">
        <is>
          <t>Flat, non-TOU</t>
        </is>
      </c>
      <c r="P35" s="682" t="inlineStr">
        <is>
          <t>VERIFIED</t>
        </is>
      </c>
      <c r="Q35" s="672" t="inlineStr">
        <is>
          <t>2025-07-01</t>
        </is>
      </c>
      <c r="R35" s="683" t="inlineStr">
        <is>
          <t>https://www.alamedamp.com/DocumentCenter/View/1477/A3-Rate-Schedule-Effective-2025-7-1</t>
        </is>
      </c>
    </row>
    <row r="36" ht="43.5" customHeight="1" s="254">
      <c r="A36" s="489" t="inlineStr">
        <is>
          <t>Azusa Light &amp; Water</t>
        </is>
      </c>
      <c r="B36" s="672" t="inlineStr">
        <is>
          <t>Azusa Schedule TOU</t>
        </is>
      </c>
      <c r="C36" s="679" t="n">
        <v>200</v>
      </c>
      <c r="D36" s="679" t="n">
        <v>99999</v>
      </c>
      <c r="E36" s="672" t="inlineStr">
        <is>
          <t>All</t>
        </is>
      </c>
      <c r="F36" s="680" t="n">
        <v>0.15455</v>
      </c>
      <c r="G36" s="680" t="n">
        <v>0.07026</v>
      </c>
      <c r="H36" s="680" t="n">
        <v>0</v>
      </c>
      <c r="I36" s="681" t="n">
        <v>12.01</v>
      </c>
      <c r="J36" s="679" t="n">
        <v>0</v>
      </c>
      <c r="K36" s="681" t="n">
        <v>0</v>
      </c>
      <c r="L36" s="681" t="n">
        <v>0</v>
      </c>
      <c r="M36" s="681" t="n">
        <v>42.15</v>
      </c>
      <c r="N36" s="672" t="inlineStr">
        <is>
          <t>Summer / Winter</t>
        </is>
      </c>
      <c r="O36" s="672" t="inlineStr">
        <is>
          <t>Off-peak demand charge is ZERO</t>
        </is>
      </c>
      <c r="P36" s="682" t="inlineStr">
        <is>
          <t>VERIFIED</t>
        </is>
      </c>
      <c r="Q36" s="672" t="inlineStr">
        <is>
          <t>2026-06-01</t>
        </is>
      </c>
      <c r="R36" s="683" t="inlineStr">
        <is>
          <t>https://azusaca.gov/DocumentCenter/View/50568/Rules-and-Regulations-6-1-2026</t>
        </is>
      </c>
    </row>
    <row r="37" ht="67.5" customHeight="1" s="254">
      <c r="A37" s="489" t="inlineStr">
        <is>
          <t>SCE — Southern California Edison</t>
        </is>
      </c>
      <c r="B37" s="672" t="inlineStr">
        <is>
          <t>TOU-EV-9 PLACEHOLDER &lt;2kV</t>
        </is>
      </c>
      <c r="C37" s="679" t="n">
        <v>500</v>
      </c>
      <c r="D37" s="679" t="n">
        <v>99999</v>
      </c>
      <c r="E37" s="672" t="inlineStr">
        <is>
          <t>Below 2 kV</t>
        </is>
      </c>
      <c r="F37" s="680" t="n">
        <v>0.52398</v>
      </c>
      <c r="G37" s="680" t="n">
        <v>0.13292</v>
      </c>
      <c r="H37" s="680" t="n">
        <v>0.08666</v>
      </c>
      <c r="I37" s="681" t="n">
        <v>0</v>
      </c>
      <c r="J37" s="679" t="n">
        <v>0</v>
      </c>
      <c r="K37" s="681" t="n">
        <v>0</v>
      </c>
      <c r="L37" s="681" t="n">
        <v>0</v>
      </c>
      <c r="M37" s="681" t="n">
        <v>701.42</v>
      </c>
      <c r="N37" s="672" t="inlineStr">
        <is>
          <t>Summer Jun-Sep / Winter Oct-May</t>
        </is>
      </c>
      <c r="O37" s="672" t="inlineStr">
        <is>
          <t>Summer on-peak 4-9pm wkdy. Winter period boundaries DISPUTED between sources</t>
        </is>
      </c>
      <c r="P37" s="686" t="inlineStr">
        <is>
          <t>PLACEHOLDER 2021 VINTAGE</t>
        </is>
      </c>
      <c r="Q37" s="672" t="inlineStr">
        <is>
          <t>2021-10-01</t>
        </is>
      </c>
      <c r="R37" s="683" t="inlineStr">
        <is>
          <t>https://www.cpuc.ca.gov/-/media/cpuc-website/divisions/energy-division/documents/transportation-electrification/sce-ev-rates-updated-oct-2021.pdf</t>
        </is>
      </c>
    </row>
    <row r="38" ht="67.5" customHeight="1" s="254">
      <c r="A38" s="489" t="inlineStr">
        <is>
          <t>SCE — Southern California Edison</t>
        </is>
      </c>
      <c r="B38" s="672" t="inlineStr">
        <is>
          <t>TOU-EV-9 PLACEHOLDER 2-50kV</t>
        </is>
      </c>
      <c r="C38" s="679" t="n">
        <v>500</v>
      </c>
      <c r="D38" s="679" t="n">
        <v>99999</v>
      </c>
      <c r="E38" s="672" t="inlineStr">
        <is>
          <t>2-50 kV</t>
        </is>
      </c>
      <c r="F38" s="680" t="n">
        <v>0.48076</v>
      </c>
      <c r="G38" s="680" t="n">
        <v>0.12201</v>
      </c>
      <c r="H38" s="680" t="n">
        <v>0.08198999999999999</v>
      </c>
      <c r="I38" s="681" t="n">
        <v>0</v>
      </c>
      <c r="J38" s="679" t="n">
        <v>0</v>
      </c>
      <c r="K38" s="681" t="n">
        <v>0</v>
      </c>
      <c r="L38" s="681" t="n">
        <v>0</v>
      </c>
      <c r="M38" s="681" t="n">
        <v>373.12</v>
      </c>
      <c r="N38" s="672" t="inlineStr">
        <is>
          <t>Summer Jun-Sep / Winter Oct-May</t>
        </is>
      </c>
      <c r="O38" s="672" t="inlineStr">
        <is>
          <t>Summer on-peak 4-9pm wkdy</t>
        </is>
      </c>
      <c r="P38" s="686" t="inlineStr">
        <is>
          <t>PLACEHOLDER 2021 VINTAGE</t>
        </is>
      </c>
      <c r="Q38" s="672" t="inlineStr">
        <is>
          <t>2021-10-01</t>
        </is>
      </c>
      <c r="R38" s="683" t="inlineStr">
        <is>
          <t>https://www.cpuc.ca.gov/-/media/cpuc-website/divisions/energy-division/documents/transportation-electrification/sce-ev-rates-updated-oct-2021.pdf</t>
        </is>
      </c>
    </row>
    <row r="39" ht="67.5" customHeight="1" s="254">
      <c r="A39" s="489" t="inlineStr">
        <is>
          <t>SCE — Southern California Edison</t>
        </is>
      </c>
      <c r="B39" s="672" t="inlineStr">
        <is>
          <t>TOU-EV-8 PLACEHOLDER</t>
        </is>
      </c>
      <c r="C39" s="679" t="n">
        <v>20</v>
      </c>
      <c r="D39" s="679" t="n">
        <v>500</v>
      </c>
      <c r="E39" s="672" t="inlineStr">
        <is>
          <t>Secondary</t>
        </is>
      </c>
      <c r="F39" s="680" t="n">
        <v>0.59521</v>
      </c>
      <c r="G39" s="680" t="n">
        <v>0.15808</v>
      </c>
      <c r="H39" s="680" t="n">
        <v>0.09772</v>
      </c>
      <c r="I39" s="681" t="n">
        <v>0</v>
      </c>
      <c r="J39" s="679" t="n">
        <v>0</v>
      </c>
      <c r="K39" s="681" t="n">
        <v>0</v>
      </c>
      <c r="L39" s="681" t="n">
        <v>0</v>
      </c>
      <c r="M39" s="681" t="n">
        <v>194.05</v>
      </c>
      <c r="N39" s="672" t="inlineStr">
        <is>
          <t>Summer Jun-Sep / Winter Oct-May</t>
        </is>
      </c>
      <c r="O39" s="672" t="inlineStr">
        <is>
          <t>Summer on-peak 4-9pm wkdy</t>
        </is>
      </c>
      <c r="P39" s="686" t="inlineStr">
        <is>
          <t>PLACEHOLDER 2021 VINTAGE</t>
        </is>
      </c>
      <c r="Q39" s="672" t="inlineStr">
        <is>
          <t>2021-10-01</t>
        </is>
      </c>
      <c r="R39" s="683" t="inlineStr">
        <is>
          <t>https://www.cpuc.ca.gov/-/media/cpuc-website/divisions/energy-division/documents/transportation-electrification/sce-ev-rates-updated-oct-2021.pdf</t>
        </is>
      </c>
    </row>
    <row r="40" ht="27.76" customHeight="1" s="254">
      <c r="A40" s="489" t="inlineStr">
        <is>
          <t>Redding Electric Utility</t>
        </is>
      </c>
      <c r="B40" s="672" t="inlineStr">
        <is>
          <t>E2 — Small Commercial (no demand charge)</t>
        </is>
      </c>
      <c r="C40" s="679" t="n">
        <v>0</v>
      </c>
      <c r="D40" s="679" t="n">
        <v>75</v>
      </c>
      <c r="E40" s="672" t="inlineStr">
        <is>
          <t>Secondary</t>
        </is>
      </c>
      <c r="F40" s="680" t="n">
        <v>0.1649</v>
      </c>
      <c r="G40" s="680" t="n">
        <v>0.1649</v>
      </c>
      <c r="H40" s="680" t="n">
        <v>0.1649</v>
      </c>
      <c r="I40" s="681" t="n">
        <v>0</v>
      </c>
      <c r="J40" s="679" t="n">
        <v>0</v>
      </c>
      <c r="K40" s="681" t="n">
        <v>0</v>
      </c>
      <c r="L40" s="681" t="n">
        <v>0</v>
      </c>
      <c r="M40" s="681" t="n">
        <v>70</v>
      </c>
      <c r="N40" s="672" t="inlineStr">
        <is>
          <t>None — flat all year</t>
        </is>
      </c>
      <c r="O40" s="672" t="inlineStr">
        <is>
          <t>None — REU publishes no commercial time-of-use rate</t>
        </is>
      </c>
      <c r="P40" s="682" t="inlineStr">
        <is>
          <t>UNVERIFIED — third-party summary</t>
        </is>
      </c>
      <c r="Q40" s="672" t="inlineStr">
        <is>
          <t>2025-01-01</t>
        </is>
      </c>
      <c r="R40"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672" t="inlineStr">
        <is>
          <t>E7/E8 — Large Commercial (demand)</t>
        </is>
      </c>
      <c r="C41" s="679" t="n">
        <v>25</v>
      </c>
      <c r="D41" s="679" t="n">
        <v>99999</v>
      </c>
      <c r="E41" s="672" t="inlineStr">
        <is>
          <t>Secondary</t>
        </is>
      </c>
      <c r="F41" s="680" t="n">
        <v>0.1086</v>
      </c>
      <c r="G41" s="680" t="n">
        <v>0.1086</v>
      </c>
      <c r="H41" s="680" t="n">
        <v>0.1086</v>
      </c>
      <c r="I41" s="681" t="n">
        <v>21.5</v>
      </c>
      <c r="J41" s="679" t="n">
        <v>0</v>
      </c>
      <c r="K41" s="681" t="n">
        <v>0</v>
      </c>
      <c r="L41" s="681" t="n">
        <v>0</v>
      </c>
      <c r="M41" s="681" t="n">
        <v>95</v>
      </c>
      <c r="N41" s="672" t="inlineStr">
        <is>
          <t>None — flat all year</t>
        </is>
      </c>
      <c r="O41" s="672" t="inlineStr">
        <is>
          <t>None — no time-of-use. Demand is set by the highest 15-minute interval in the month</t>
        </is>
      </c>
      <c r="P41" s="682" t="inlineStr">
        <is>
          <t>UNVERIFIED — third-party summary</t>
        </is>
      </c>
      <c r="Q41" s="672" t="inlineStr">
        <is>
          <t>2025-01-01</t>
        </is>
      </c>
      <c r="R41"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687" t="n"/>
      <c r="B42" s="501" t="n"/>
      <c r="C42" s="501" t="n"/>
      <c r="D42" s="501" t="n"/>
      <c r="E42" s="501" t="n"/>
      <c r="F42" s="501" t="n"/>
      <c r="G42" s="501" t="n"/>
      <c r="H42" s="501" t="n"/>
      <c r="I42" s="501" t="n"/>
      <c r="J42" s="501" t="n"/>
      <c r="K42" s="501" t="n"/>
      <c r="L42" s="501" t="n"/>
      <c r="M42" s="501" t="n"/>
      <c r="N42" s="501" t="n"/>
      <c r="O42" s="501" t="n"/>
      <c r="P42" s="501" t="n"/>
      <c r="Q42" s="501" t="n"/>
      <c r="R42" s="501" t="n"/>
    </row>
    <row r="43" ht="15" customHeight="1" s="254">
      <c r="A43" s="688" t="n"/>
      <c r="B43" s="501" t="n"/>
      <c r="C43" s="501" t="n"/>
      <c r="D43" s="501" t="n"/>
      <c r="E43" s="501" t="n"/>
      <c r="F43" s="501" t="n"/>
      <c r="G43" s="501" t="n"/>
      <c r="H43" s="501" t="n"/>
      <c r="I43" s="501" t="n"/>
      <c r="J43" s="501" t="n"/>
      <c r="K43" s="501" t="n"/>
      <c r="L43" s="501" t="n"/>
      <c r="M43" s="501" t="n"/>
      <c r="N43" s="501" t="n"/>
      <c r="O43" s="501" t="n"/>
      <c r="P43" s="501" t="n"/>
      <c r="Q43" s="501" t="n"/>
      <c r="R43" s="501" t="n"/>
    </row>
    <row r="44" ht="15" customHeight="1" s="254">
      <c r="A44" s="669" t="n"/>
      <c r="B44" s="669" t="n"/>
      <c r="C44" s="669" t="n"/>
      <c r="D44" s="669" t="n"/>
      <c r="E44" s="501" t="n"/>
      <c r="F44" s="501" t="n"/>
      <c r="G44" s="501" t="n"/>
      <c r="H44" s="501" t="n"/>
      <c r="I44" s="501" t="n"/>
      <c r="J44" s="501" t="n"/>
      <c r="K44" s="501" t="n"/>
      <c r="L44" s="501" t="n"/>
      <c r="M44" s="501" t="n"/>
      <c r="N44" s="501" t="n"/>
      <c r="O44" s="501" t="n"/>
      <c r="P44" s="501" t="n"/>
      <c r="Q44" s="501" t="n"/>
      <c r="R44" s="501" t="n"/>
    </row>
    <row r="45" ht="19.5" customHeight="1" s="254">
      <c r="A45" s="566" t="n"/>
      <c r="B45" s="566" t="n"/>
      <c r="C45" s="689" t="n"/>
      <c r="D45" s="677" t="n"/>
      <c r="E45" s="501" t="n"/>
      <c r="F45" s="501" t="n"/>
      <c r="G45" s="501" t="n"/>
      <c r="H45" s="501" t="n"/>
      <c r="I45" s="501" t="n"/>
      <c r="J45" s="501" t="n"/>
      <c r="K45" s="501" t="n"/>
      <c r="L45" s="501" t="n"/>
      <c r="M45" s="501" t="n"/>
      <c r="N45" s="501" t="n"/>
      <c r="O45" s="501" t="n"/>
      <c r="P45" s="501" t="n"/>
      <c r="Q45" s="501" t="n"/>
      <c r="R45" s="501" t="n"/>
    </row>
    <row r="46" ht="19.5" customHeight="1" s="254">
      <c r="A46" s="566" t="n"/>
      <c r="B46" s="566" t="n"/>
      <c r="C46" s="690" t="n"/>
      <c r="D46" s="677" t="n"/>
      <c r="E46" s="501" t="n"/>
      <c r="F46" s="501" t="n"/>
      <c r="G46" s="501" t="n"/>
      <c r="H46" s="501" t="n"/>
      <c r="I46" s="501" t="n"/>
      <c r="J46" s="501" t="n"/>
      <c r="K46" s="501" t="n"/>
      <c r="L46" s="501" t="n"/>
      <c r="M46" s="501" t="n"/>
      <c r="N46" s="501" t="n"/>
      <c r="O46" s="501" t="n"/>
      <c r="P46" s="501" t="n"/>
      <c r="Q46" s="501" t="n"/>
      <c r="R46" s="501" t="n"/>
    </row>
    <row r="47" ht="19.5" customHeight="1" s="254">
      <c r="A47" s="566" t="n"/>
      <c r="B47" s="566" t="n"/>
      <c r="C47" s="690" t="n"/>
      <c r="D47" s="677" t="n"/>
      <c r="E47" s="501" t="n"/>
      <c r="F47" s="501" t="n"/>
      <c r="G47" s="501" t="n"/>
      <c r="H47" s="501" t="n"/>
      <c r="I47" s="501" t="n"/>
      <c r="J47" s="501" t="n"/>
      <c r="K47" s="501" t="n"/>
      <c r="L47" s="501" t="n"/>
      <c r="M47" s="501" t="n"/>
      <c r="N47" s="501" t="n"/>
      <c r="O47" s="501" t="n"/>
      <c r="P47" s="501" t="n"/>
      <c r="Q47" s="501" t="n"/>
      <c r="R47" s="501" t="n"/>
    </row>
    <row r="48" ht="19.5" customHeight="1" s="254">
      <c r="A48" s="566" t="n"/>
      <c r="B48" s="566" t="n"/>
      <c r="C48" s="690" t="n"/>
      <c r="D48" s="677" t="n"/>
      <c r="E48" s="501" t="n"/>
      <c r="F48" s="501" t="n"/>
      <c r="G48" s="501" t="n"/>
      <c r="H48" s="501" t="n"/>
      <c r="I48" s="501" t="n"/>
      <c r="J48" s="501" t="n"/>
      <c r="K48" s="501" t="n"/>
      <c r="L48" s="501" t="n"/>
      <c r="M48" s="501" t="n"/>
      <c r="N48" s="501" t="n"/>
      <c r="O48" s="501" t="n"/>
      <c r="P48" s="501" t="n"/>
      <c r="Q48" s="501" t="n"/>
      <c r="R48" s="501" t="n"/>
    </row>
    <row r="49" ht="19.5" customHeight="1" s="254">
      <c r="A49" s="566" t="n"/>
      <c r="B49" s="566" t="n"/>
      <c r="C49" s="691" t="n"/>
      <c r="D49" s="677" t="n"/>
      <c r="E49" s="501" t="n"/>
      <c r="F49" s="501" t="n"/>
      <c r="G49" s="501" t="n"/>
      <c r="H49" s="501" t="n"/>
      <c r="I49" s="501" t="n"/>
      <c r="J49" s="501" t="n"/>
      <c r="K49" s="501" t="n"/>
      <c r="L49" s="501" t="n"/>
      <c r="M49" s="501" t="n"/>
      <c r="N49" s="501" t="n"/>
      <c r="O49" s="501" t="n"/>
      <c r="P49" s="501" t="n"/>
      <c r="Q49" s="501" t="n"/>
      <c r="R49" s="501" t="n"/>
    </row>
    <row r="50" ht="19.5" customHeight="1" s="254">
      <c r="A50" s="566" t="n"/>
      <c r="B50" s="566" t="n"/>
      <c r="C50" s="691" t="n"/>
      <c r="D50" s="677" t="n"/>
      <c r="E50" s="501" t="n"/>
      <c r="F50" s="501" t="n"/>
      <c r="G50" s="501" t="n"/>
      <c r="H50" s="501" t="n"/>
      <c r="I50" s="501" t="n"/>
      <c r="J50" s="501" t="n"/>
      <c r="K50" s="501" t="n"/>
      <c r="L50" s="501" t="n"/>
      <c r="M50" s="501" t="n"/>
      <c r="N50" s="501" t="n"/>
      <c r="O50" s="501" t="n"/>
      <c r="P50" s="501" t="n"/>
      <c r="Q50" s="501" t="n"/>
      <c r="R50" s="501" t="n"/>
    </row>
    <row r="51" ht="19.5" customHeight="1" s="254">
      <c r="A51" s="566" t="n"/>
      <c r="B51" s="566" t="n"/>
      <c r="C51" s="690" t="n"/>
      <c r="D51" s="677" t="n"/>
      <c r="E51" s="501" t="n"/>
      <c r="F51" s="501" t="n"/>
      <c r="G51" s="501" t="n"/>
      <c r="H51" s="501" t="n"/>
      <c r="I51" s="501" t="n"/>
      <c r="J51" s="501" t="n"/>
      <c r="K51" s="501" t="n"/>
      <c r="L51" s="501" t="n"/>
      <c r="M51" s="501" t="n"/>
      <c r="N51" s="501" t="n"/>
      <c r="O51" s="501" t="n"/>
      <c r="P51" s="501" t="n"/>
      <c r="Q51" s="501" t="n"/>
      <c r="R51" s="501" t="n"/>
    </row>
    <row r="52" ht="19.5" customHeight="1" s="254">
      <c r="A52" s="566" t="n"/>
      <c r="B52" s="566" t="n"/>
      <c r="C52" s="689" t="n"/>
      <c r="D52" s="677" t="n"/>
      <c r="E52" s="501" t="n"/>
      <c r="F52" s="501" t="n"/>
      <c r="G52" s="501" t="n"/>
      <c r="H52" s="501" t="n"/>
      <c r="I52" s="501" t="n"/>
      <c r="J52" s="501" t="n"/>
      <c r="K52" s="501" t="n"/>
      <c r="L52" s="501" t="n"/>
      <c r="M52" s="501" t="n"/>
      <c r="N52" s="501" t="n"/>
      <c r="O52" s="501" t="n"/>
      <c r="P52" s="501" t="n"/>
      <c r="Q52" s="501" t="n"/>
      <c r="R52" s="501" t="n"/>
    </row>
    <row r="53" ht="19.5" customHeight="1" s="254">
      <c r="A53" s="566" t="n"/>
      <c r="B53" s="566" t="n"/>
      <c r="C53" s="689" t="n"/>
      <c r="D53" s="677" t="n"/>
      <c r="E53" s="501" t="n"/>
      <c r="F53" s="501" t="n"/>
      <c r="G53" s="501" t="n"/>
      <c r="H53" s="501" t="n"/>
      <c r="I53" s="501" t="n"/>
      <c r="J53" s="501" t="n"/>
      <c r="K53" s="501" t="n"/>
      <c r="L53" s="501" t="n"/>
      <c r="M53" s="501" t="n"/>
      <c r="N53" s="501" t="n"/>
      <c r="O53" s="501" t="n"/>
      <c r="P53" s="501" t="n"/>
      <c r="Q53" s="501" t="n"/>
      <c r="R53" s="501" t="n"/>
    </row>
    <row r="54" ht="19.5" customHeight="1" s="254">
      <c r="A54" s="566" t="n"/>
      <c r="B54" s="566" t="n"/>
      <c r="C54" s="691" t="n"/>
      <c r="D54" s="677" t="n"/>
      <c r="E54" s="501" t="n"/>
      <c r="F54" s="501" t="n"/>
      <c r="G54" s="501" t="n"/>
      <c r="H54" s="501" t="n"/>
      <c r="I54" s="501" t="n"/>
      <c r="J54" s="501" t="n"/>
      <c r="K54" s="501" t="n"/>
      <c r="L54" s="501" t="n"/>
      <c r="M54" s="501" t="n"/>
      <c r="N54" s="501" t="n"/>
      <c r="O54" s="501" t="n"/>
      <c r="P54" s="501" t="n"/>
      <c r="Q54" s="501" t="n"/>
      <c r="R54" s="501" t="n"/>
    </row>
    <row r="55" ht="19.5" customHeight="1" s="254">
      <c r="A55" s="566" t="n"/>
      <c r="B55" s="566" t="n"/>
      <c r="C55" s="689" t="n"/>
      <c r="D55" s="677" t="n"/>
      <c r="E55" s="501" t="n"/>
      <c r="F55" s="501" t="n"/>
      <c r="G55" s="501" t="n"/>
      <c r="H55" s="501" t="n"/>
      <c r="I55" s="501" t="n"/>
      <c r="J55" s="501" t="n"/>
      <c r="K55" s="501" t="n"/>
      <c r="L55" s="501" t="n"/>
      <c r="M55" s="501" t="n"/>
      <c r="N55" s="501" t="n"/>
      <c r="O55" s="501" t="n"/>
      <c r="P55" s="501" t="n"/>
      <c r="Q55" s="501" t="n"/>
      <c r="R55" s="501" t="n"/>
    </row>
    <row r="56">
      <c r="A56" s="501" t="n"/>
      <c r="B56" s="501" t="n"/>
      <c r="C56" s="501" t="n"/>
      <c r="D56" s="501" t="n"/>
      <c r="E56" s="501" t="n"/>
      <c r="F56" s="501" t="n"/>
      <c r="G56" s="501" t="n"/>
      <c r="H56" s="501" t="n"/>
      <c r="I56" s="501" t="n"/>
      <c r="J56" s="501" t="n"/>
      <c r="K56" s="501" t="n"/>
      <c r="L56" s="501" t="n"/>
      <c r="M56" s="501" t="n"/>
      <c r="N56" s="501" t="n"/>
      <c r="O56" s="501" t="n"/>
      <c r="P56" s="501" t="n"/>
      <c r="Q56" s="501" t="n"/>
      <c r="R56" s="501" t="n"/>
    </row>
    <row r="57">
      <c r="A57" s="501" t="n"/>
      <c r="B57" s="501" t="n"/>
      <c r="C57" s="501" t="n"/>
      <c r="D57" s="501" t="n"/>
      <c r="E57" s="501" t="n"/>
      <c r="F57" s="501" t="n"/>
      <c r="G57" s="501" t="n"/>
      <c r="H57" s="501" t="n"/>
      <c r="I57" s="501" t="n"/>
      <c r="J57" s="501" t="n"/>
      <c r="K57" s="501" t="n"/>
      <c r="L57" s="501" t="n"/>
      <c r="M57" s="501" t="n"/>
      <c r="N57" s="501" t="n"/>
      <c r="O57" s="501" t="n"/>
      <c r="P57" s="501" t="n"/>
      <c r="Q57" s="501" t="n"/>
      <c r="R57" s="501" t="n"/>
    </row>
    <row r="58">
      <c r="A58" s="501" t="n"/>
      <c r="B58" s="501" t="n"/>
      <c r="C58" s="501" t="n"/>
      <c r="D58" s="501" t="n"/>
      <c r="E58" s="501" t="n"/>
      <c r="F58" s="501" t="n"/>
      <c r="G58" s="501" t="n"/>
      <c r="H58" s="501" t="n"/>
      <c r="I58" s="501" t="n"/>
      <c r="J58" s="501" t="n"/>
      <c r="K58" s="501" t="n"/>
      <c r="L58" s="501" t="n"/>
      <c r="M58" s="501" t="n"/>
      <c r="N58" s="501" t="n"/>
      <c r="O58" s="501" t="n"/>
      <c r="P58" s="501" t="n"/>
      <c r="Q58" s="501" t="n"/>
      <c r="R58" s="501" t="n"/>
    </row>
    <row r="59">
      <c r="A59" s="501" t="n"/>
      <c r="B59" s="501" t="n"/>
      <c r="C59" s="501" t="n"/>
      <c r="D59" s="501" t="n"/>
      <c r="E59" s="501" t="n"/>
      <c r="F59" s="501" t="n"/>
      <c r="G59" s="501" t="n"/>
      <c r="H59" s="501" t="n"/>
      <c r="I59" s="501" t="n"/>
      <c r="J59" s="501" t="n"/>
      <c r="K59" s="501" t="n"/>
      <c r="L59" s="501" t="n"/>
      <c r="M59" s="501" t="n"/>
      <c r="N59" s="501" t="n"/>
      <c r="O59" s="501" t="n"/>
      <c r="P59" s="501" t="n"/>
      <c r="Q59" s="501" t="n"/>
      <c r="R59" s="501" t="n"/>
    </row>
    <row r="60" ht="14.25" customHeight="1" s="254">
      <c r="A60" s="262" t="inlineStr">
        <is>
          <t>UTILITY EV CHARGING REBATE AND MAKE-READY PROGRAMMES</t>
        </is>
      </c>
      <c r="B60" s="501" t="n"/>
      <c r="C60" s="501" t="n"/>
      <c r="D60" s="501" t="n"/>
      <c r="E60" s="501" t="n"/>
      <c r="F60" s="501" t="n"/>
      <c r="G60" s="501" t="n"/>
      <c r="H60" s="501" t="n"/>
      <c r="I60" s="501" t="n"/>
      <c r="J60" s="501" t="n"/>
      <c r="K60" s="501" t="n"/>
      <c r="L60" s="501" t="n"/>
      <c r="M60" s="501" t="n"/>
      <c r="N60" s="501" t="n"/>
      <c r="O60" s="501" t="n"/>
      <c r="P60" s="501" t="n"/>
      <c r="Q60" s="501" t="n"/>
      <c r="R60" s="501" t="n"/>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669" t="inlineStr">
        <is>
          <t>Programme</t>
        </is>
      </c>
      <c r="C62" s="669" t="inlineStr">
        <is>
          <t>Status</t>
        </is>
      </c>
      <c r="D62" s="669" t="inlineStr">
        <is>
          <t>Amounts</t>
        </is>
      </c>
      <c r="E62" s="501" t="n"/>
      <c r="F62" s="501" t="n"/>
      <c r="G62" s="501" t="n"/>
      <c r="H62" s="501" t="n"/>
      <c r="I62" s="501" t="n"/>
      <c r="J62" s="501" t="n"/>
      <c r="K62" s="501" t="n"/>
      <c r="L62" s="501" t="n"/>
      <c r="M62" s="501" t="n"/>
      <c r="N62" s="501" t="n"/>
      <c r="O62" s="501" t="n"/>
      <c r="P62" s="501" t="n"/>
      <c r="Q62" s="501" t="n"/>
      <c r="R62" s="501" t="n"/>
    </row>
    <row r="63" ht="19.5" customHeight="1" s="254">
      <c r="A63" s="324" t="inlineStr">
        <is>
          <t>LADWP</t>
        </is>
      </c>
      <c r="B63" s="566" t="inlineStr">
        <is>
          <t>Commercial EV Charger Rebate</t>
        </is>
      </c>
      <c r="C63" s="689" t="inlineStr">
        <is>
          <t>CLOSED — reopening Oct 2026</t>
        </is>
      </c>
      <c r="D63" s="677" t="inlineStr">
        <is>
          <t>DCFC $20k (50-149kW) / $55k (150-274kW) / $100k (275kW+); +25% in DACs; $2m cap per premises</t>
        </is>
      </c>
      <c r="E63" s="538" t="n"/>
      <c r="F63" s="538" t="n"/>
      <c r="G63" s="538" t="n"/>
      <c r="H63" s="538" t="n"/>
      <c r="I63" s="538" t="n"/>
      <c r="J63" s="538" t="n"/>
      <c r="K63" s="538" t="n"/>
      <c r="L63" s="538" t="n"/>
      <c r="M63" s="538" t="n"/>
      <c r="N63" s="538" t="n"/>
      <c r="O63" s="538" t="n"/>
      <c r="P63" s="538" t="n"/>
      <c r="Q63" s="538" t="n"/>
      <c r="R63" s="538" t="n"/>
    </row>
    <row r="64" ht="19.5" customHeight="1" s="254">
      <c r="A64" s="324" t="inlineStr">
        <is>
          <t>SMUD</t>
        </is>
      </c>
      <c r="B64" s="566" t="inlineStr">
        <is>
          <t>Commercial EV Program</t>
        </is>
      </c>
      <c r="C64" s="690" t="inlineStr">
        <is>
          <t>OPEN — first come first served</t>
        </is>
      </c>
      <c r="D64" s="677" t="inlineStr">
        <is>
          <t>DCFC $7.5k/handle &lt;50kW; $15k 50-149.9kW; $30k &gt;=150kW. Make-ready: panel $1k, transformer $5k, storage $100/kWh</t>
        </is>
      </c>
      <c r="E64" s="538" t="n"/>
      <c r="F64" s="538" t="n"/>
      <c r="G64" s="538" t="n"/>
      <c r="H64" s="538" t="n"/>
      <c r="I64" s="538" t="n"/>
      <c r="J64" s="538" t="n"/>
      <c r="K64" s="538" t="n"/>
      <c r="L64" s="538" t="n"/>
      <c r="M64" s="538" t="n"/>
      <c r="N64" s="538" t="n"/>
      <c r="O64" s="538" t="n"/>
      <c r="P64" s="538" t="n"/>
      <c r="Q64" s="538" t="n"/>
      <c r="R64" s="538" t="n"/>
    </row>
    <row r="65" ht="19.5" customHeight="1" s="254">
      <c r="A65" s="324" t="inlineStr">
        <is>
          <t>Riverside Public Utilities</t>
        </is>
      </c>
      <c r="B65" s="566" t="inlineStr">
        <is>
          <t>Electrify Riverside</t>
        </is>
      </c>
      <c r="C65" s="690" t="inlineStr">
        <is>
          <t>OPEN — first come first served</t>
        </is>
      </c>
      <c r="D65" s="677" t="inlineStr">
        <is>
          <t>Up to $10k per DC fast charger; infrastructure 50% of cost up to $50k</t>
        </is>
      </c>
      <c r="E65" s="538" t="n"/>
      <c r="F65" s="538" t="n"/>
      <c r="G65" s="538" t="n"/>
      <c r="H65" s="538" t="n"/>
      <c r="I65" s="538" t="n"/>
      <c r="J65" s="538" t="n"/>
      <c r="K65" s="538" t="n"/>
      <c r="L65" s="538" t="n"/>
      <c r="M65" s="538" t="n"/>
      <c r="N65" s="538" t="n"/>
      <c r="O65" s="538" t="n"/>
      <c r="P65" s="538" t="n"/>
      <c r="Q65" s="538" t="n"/>
      <c r="R65" s="538" t="n"/>
    </row>
    <row r="66" ht="19.5" customHeight="1" s="254">
      <c r="A66" s="324" t="inlineStr">
        <is>
          <t>Glendale Water and Power</t>
        </is>
      </c>
      <c r="B66" s="566" t="inlineStr">
        <is>
          <t>Commercial EV charger rebate</t>
        </is>
      </c>
      <c r="C66" s="690" t="inlineStr">
        <is>
          <t>OPEN</t>
        </is>
      </c>
      <c r="D66" s="677" t="inlineStr">
        <is>
          <t>Lesser of $50k or 50%; up to $75k/75% for DCFC &gt;=50kW, DACs, public access</t>
        </is>
      </c>
      <c r="E66" s="538" t="n"/>
      <c r="F66" s="538" t="n"/>
      <c r="G66" s="538" t="n"/>
      <c r="H66" s="538" t="n"/>
      <c r="I66" s="538" t="n"/>
      <c r="J66" s="538" t="n"/>
      <c r="K66" s="538" t="n"/>
      <c r="L66" s="538" t="n"/>
      <c r="M66" s="538" t="n"/>
      <c r="N66" s="538" t="n"/>
      <c r="O66" s="538" t="n"/>
      <c r="P66" s="538" t="n"/>
      <c r="Q66" s="538" t="n"/>
      <c r="R66" s="538" t="n"/>
    </row>
    <row r="67" ht="19.5" customHeight="1" s="254">
      <c r="A67" s="324" t="inlineStr">
        <is>
          <t>Burbank Water and Power</t>
        </is>
      </c>
      <c r="B67" s="566" t="inlineStr">
        <is>
          <t>Commercial EV charging rebate</t>
        </is>
      </c>
      <c r="C67" s="691" t="inlineStr">
        <is>
          <t>Status not stated</t>
        </is>
      </c>
      <c r="D67" s="677" t="inlineStr">
        <is>
          <t>DCFC $5k-$10k/port; $10k-$20k for DAC/public/MFH. Cap $200k or 40 ports</t>
        </is>
      </c>
      <c r="E67" s="538" t="n"/>
      <c r="F67" s="538" t="n"/>
      <c r="G67" s="538" t="n"/>
      <c r="H67" s="538" t="n"/>
      <c r="I67" s="538" t="n"/>
      <c r="J67" s="538" t="n"/>
      <c r="K67" s="538" t="n"/>
      <c r="L67" s="538" t="n"/>
      <c r="M67" s="538" t="n"/>
      <c r="N67" s="538" t="n"/>
      <c r="O67" s="538" t="n"/>
      <c r="P67" s="538" t="n"/>
      <c r="Q67" s="538" t="n"/>
      <c r="R67" s="538" t="n"/>
    </row>
    <row r="68" ht="19.5" customHeight="1" s="254">
      <c r="A68" s="324" t="inlineStr">
        <is>
          <t>Pasadena Water and Power</t>
        </is>
      </c>
      <c r="B68" s="566" t="inlineStr">
        <is>
          <t>Commercial charger rebate</t>
        </is>
      </c>
      <c r="C68" s="691" t="inlineStr">
        <is>
          <t>'Limited time' — status not stated</t>
        </is>
      </c>
      <c r="D68" s="677" t="inlineStr">
        <is>
          <t>$4,000 per L2; DCFC double, up to $8,000 per charger</t>
        </is>
      </c>
      <c r="E68" s="538" t="n"/>
      <c r="F68" s="538" t="n"/>
      <c r="G68" s="538" t="n"/>
      <c r="H68" s="538" t="n"/>
      <c r="I68" s="538" t="n"/>
      <c r="J68" s="538" t="n"/>
      <c r="K68" s="538" t="n"/>
      <c r="L68" s="538" t="n"/>
      <c r="M68" s="538" t="n"/>
      <c r="N68" s="538" t="n"/>
      <c r="O68" s="538" t="n"/>
      <c r="P68" s="538" t="n"/>
      <c r="Q68" s="538" t="n"/>
      <c r="R68" s="538" t="n"/>
    </row>
    <row r="69" ht="19.5" customHeight="1" s="254">
      <c r="A69" s="324" t="inlineStr">
        <is>
          <t>Roseville Electric Utility</t>
        </is>
      </c>
      <c r="B69" s="566" t="inlineStr">
        <is>
          <t>Charge Ahead</t>
        </is>
      </c>
      <c r="C69" s="690" t="inlineStr">
        <is>
          <t>OPEN — but DCFC is non-profit &amp; multifamily ONLY</t>
        </is>
      </c>
      <c r="D69" s="677" t="inlineStr">
        <is>
          <t>DCFC $20k/unit (not available to commercial); transformer $5k, panel $1k</t>
        </is>
      </c>
      <c r="E69" s="538" t="n"/>
      <c r="F69" s="538" t="n"/>
      <c r="G69" s="538" t="n"/>
      <c r="H69" s="538" t="n"/>
      <c r="I69" s="538" t="n"/>
      <c r="J69" s="538" t="n"/>
      <c r="K69" s="538" t="n"/>
      <c r="L69" s="538" t="n"/>
      <c r="M69" s="538" t="n"/>
      <c r="N69" s="538" t="n"/>
      <c r="O69" s="538" t="n"/>
      <c r="P69" s="538" t="n"/>
      <c r="Q69" s="538" t="n"/>
      <c r="R69" s="538" t="n"/>
    </row>
    <row r="70" ht="19.5" customHeight="1" s="254">
      <c r="A70" s="324" t="inlineStr">
        <is>
          <t>Silicon Valley Power</t>
        </is>
      </c>
      <c r="B70" s="566" t="inlineStr">
        <is>
          <t>MFH &amp; Commercial EV incentive</t>
        </is>
      </c>
      <c r="C70" s="689" t="inlineStr">
        <is>
          <t>CLOSED — fully subscribed</t>
        </is>
      </c>
      <c r="D70" s="677" t="inlineStr">
        <is>
          <t>Up to $150k/site but LEVEL 2 ONLY, no DCFC. Refers DCFC to CALeVIP</t>
        </is>
      </c>
      <c r="E70" s="538" t="n"/>
      <c r="F70" s="538" t="n"/>
      <c r="G70" s="538" t="n"/>
      <c r="H70" s="538" t="n"/>
      <c r="I70" s="538" t="n"/>
      <c r="J70" s="538" t="n"/>
      <c r="K70" s="538" t="n"/>
      <c r="L70" s="538" t="n"/>
      <c r="M70" s="538" t="n"/>
      <c r="N70" s="538" t="n"/>
      <c r="O70" s="538" t="n"/>
      <c r="P70" s="538" t="n"/>
      <c r="Q70" s="538" t="n"/>
      <c r="R70" s="538" t="n"/>
    </row>
    <row r="71" ht="19.5" customHeight="1" s="254">
      <c r="A71" s="324" t="inlineStr">
        <is>
          <t>City of Palo Alto Utilities</t>
        </is>
      </c>
      <c r="B71" s="566" t="inlineStr">
        <is>
          <t>EV charger programme</t>
        </is>
      </c>
      <c r="C71" s="689" t="inlineStr">
        <is>
          <t>Non-residential reservations CLOSED</t>
        </is>
      </c>
      <c r="D71" s="677" t="inlineStr">
        <is>
          <t>Level 2 only, no DCFC. MFH up to $8k/EVSE, $80k site cap</t>
        </is>
      </c>
      <c r="E71" s="538" t="n"/>
      <c r="F71" s="538" t="n"/>
      <c r="G71" s="538" t="n"/>
      <c r="H71" s="538" t="n"/>
      <c r="I71" s="538" t="n"/>
      <c r="J71" s="538" t="n"/>
      <c r="K71" s="538" t="n"/>
      <c r="L71" s="538" t="n"/>
      <c r="M71" s="538" t="n"/>
      <c r="N71" s="538" t="n"/>
      <c r="O71" s="538" t="n"/>
      <c r="P71" s="538" t="n"/>
      <c r="Q71" s="538" t="n"/>
      <c r="R71" s="538" t="n"/>
    </row>
    <row r="72" ht="19.5" customHeight="1" s="254">
      <c r="A72" s="324" t="inlineStr">
        <is>
          <t>IID</t>
        </is>
      </c>
      <c r="B72" s="566" t="inlineStr">
        <is>
          <t>(none found for commercial)</t>
        </is>
      </c>
      <c r="C72" s="691" t="inlineStr">
        <is>
          <t>—</t>
        </is>
      </c>
      <c r="D72" s="677" t="inlineStr">
        <is>
          <t>Residential Level 2 only, up to $500</t>
        </is>
      </c>
      <c r="E72" s="538" t="n"/>
      <c r="F72" s="538" t="n"/>
      <c r="G72" s="538" t="n"/>
      <c r="H72" s="538" t="n"/>
      <c r="I72" s="538" t="n"/>
      <c r="J72" s="538" t="n"/>
      <c r="K72" s="538" t="n"/>
      <c r="L72" s="538" t="n"/>
      <c r="M72" s="538" t="n"/>
      <c r="N72" s="538" t="n"/>
      <c r="O72" s="538" t="n"/>
      <c r="P72" s="538" t="n"/>
      <c r="Q72" s="538" t="n"/>
      <c r="R72" s="538" t="n"/>
    </row>
    <row r="73" ht="19.5" customHeight="1" s="254">
      <c r="A73" s="324" t="inlineStr">
        <is>
          <t>SCE</t>
        </is>
      </c>
      <c r="B73" s="566" t="inlineStr">
        <is>
          <t>Charge Ready</t>
        </is>
      </c>
      <c r="C73" s="689" t="inlineStr">
        <is>
          <t>CLOSED — agreements had to be signed by 31 Dec 2026</t>
        </is>
      </c>
      <c r="D73" s="677" t="inlineStr">
        <is>
          <t>Level 1 and 2 only; DCFC was never available</t>
        </is>
      </c>
      <c r="E73" s="538" t="n"/>
      <c r="F73" s="538" t="n"/>
      <c r="G73" s="538" t="n"/>
      <c r="H73" s="538" t="n"/>
      <c r="I73" s="538" t="n"/>
      <c r="J73" s="538" t="n"/>
      <c r="K73" s="538" t="n"/>
      <c r="L73" s="538" t="n"/>
      <c r="M73" s="538" t="n"/>
      <c r="N73" s="538" t="n"/>
      <c r="O73" s="538" t="n"/>
      <c r="P73" s="538" t="n"/>
      <c r="Q73" s="538" t="n"/>
      <c r="R73" s="538" t="n"/>
    </row>
    <row r="74" ht="27.76" customHeight="1" s="254">
      <c r="A74" s="324" t="inlineStr">
        <is>
          <t>Redding Electric Utility</t>
        </is>
      </c>
      <c r="B74" s="566" t="inlineStr">
        <is>
          <t>DC Fast Charger Rebate</t>
        </is>
      </c>
      <c r="C74" s="689" t="inlineStr">
        <is>
          <t>OPEN — verify funding before relying on it</t>
        </is>
      </c>
      <c r="D74" s="677" t="inlineStr">
        <is>
          <t>Up to $6,000 per DC fast charging station, maximum 4 stations per customer. Stations must be separately metered. THE CUSTOMER MUST ASSIGN LCFS CREDITS TO REU — which forecloses the FCI capacity credit on the Carbon tab. The two cannot both be taken.</t>
        </is>
      </c>
      <c r="E74" s="538" t="n"/>
      <c r="F74" s="538" t="n"/>
      <c r="G74" s="538" t="n"/>
      <c r="H74" s="538" t="n"/>
      <c r="I74" s="538" t="n"/>
      <c r="J74" s="538" t="n"/>
      <c r="K74" s="538" t="n"/>
      <c r="L74" s="538" t="n"/>
      <c r="M74" s="538" t="n"/>
      <c r="N74" s="538" t="n"/>
      <c r="O74" s="538" t="n"/>
      <c r="P74" s="538" t="n"/>
      <c r="Q74" s="538" t="n"/>
      <c r="R74" s="538"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2026-09-04T16:54:02Z</dcterms:modified>
  <cp:revision>0</cp:revision>
</cp:coreProperties>
</file>