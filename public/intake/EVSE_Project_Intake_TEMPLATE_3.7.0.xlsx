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0" autoFilterDateGrouping="1"/>
  </bookViews>
  <sheets>
    <sheet xmlns:r="http://schemas.openxmlformats.org/officeDocument/2006/relationships" name="START HERE" sheetId="1" state="visible" r:id="rId1"/>
    <sheet xmlns:r="http://schemas.openxmlformats.org/officeDocument/2006/relationships" name="Version" sheetId="2" state="visible" r:id="rId2"/>
    <sheet xmlns:r="http://schemas.openxmlformats.org/officeDocument/2006/relationships" name="Revisions" sheetId="3" state="visible" r:id="rId3"/>
    <sheet xmlns:r="http://schemas.openxmlformats.org/officeDocument/2006/relationships" name="README" sheetId="4" state="visible" r:id="rId4"/>
    <sheet xmlns:r="http://schemas.openxmlformats.org/officeDocument/2006/relationships" name="Project" sheetId="5" state="visible" r:id="rId5"/>
    <sheet xmlns:r="http://schemas.openxmlformats.org/officeDocument/2006/relationships" name="Existing" sheetId="6" state="visible" r:id="rId6"/>
    <sheet xmlns:r="http://schemas.openxmlformats.org/officeDocument/2006/relationships" name="Equipment" sheetId="7" state="visible" r:id="rId7"/>
    <sheet xmlns:r="http://schemas.openxmlformats.org/officeDocument/2006/relationships" name="Electrical" sheetId="8" state="visible" r:id="rId8"/>
    <sheet xmlns:r="http://schemas.openxmlformats.org/officeDocument/2006/relationships" name="Construction" sheetId="9" state="visible" r:id="rId9"/>
    <sheet xmlns:r="http://schemas.openxmlformats.org/officeDocument/2006/relationships" name="Commercial" sheetId="10" state="visible" r:id="rId10"/>
    <sheet xmlns:r="http://schemas.openxmlformats.org/officeDocument/2006/relationships" name="Pricing" sheetId="11" state="visible" r:id="rId11"/>
    <sheet xmlns:r="http://schemas.openxmlformats.org/officeDocument/2006/relationships" name="Revenue" sheetId="12" state="visible" r:id="rId12"/>
    <sheet xmlns:r="http://schemas.openxmlformats.org/officeDocument/2006/relationships" name="Carbon" sheetId="13" state="visible" r:id="rId13"/>
    <sheet xmlns:r="http://schemas.openxmlformats.org/officeDocument/2006/relationships" name="Deal_Structure" sheetId="14" state="visible" r:id="rId14"/>
    <sheet xmlns:r="http://schemas.openxmlformats.org/officeDocument/2006/relationships" name="Overrides" sheetId="15" state="visible" r:id="rId15"/>
    <sheet xmlns:r="http://schemas.openxmlformats.org/officeDocument/2006/relationships" name="PriceBook" sheetId="16" state="hidden" r:id="rId16"/>
    <sheet xmlns:r="http://schemas.openxmlformats.org/officeDocument/2006/relationships" name="RefData" sheetId="17" state="hidden" r:id="rId17"/>
    <sheet xmlns:r="http://schemas.openxmlformats.org/officeDocument/2006/relationships" name="Utilities" sheetId="18" state="hidden" r:id="rId18"/>
    <sheet xmlns:r="http://schemas.openxmlformats.org/officeDocument/2006/relationships" name="RateLibrary" sheetId="19" state="hidden" r:id="rId19"/>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BM_L2_STATE">RefData!$A$205:$A$206</definedName>
    <definedName name="BM_L2_KWH">RefData!$B$205:$B$206</definedName>
    <definedName name="BM_L2_PRICE">RefData!$C$205:$C$206</definedName>
    <definedName name="CND_SIZE">RefData!$A$211:$A$228</definedName>
    <definedName name="CND_3G">RefData!$B$211:$B$228</definedName>
    <definedName name="CND_2G">RefData!$C$211:$C$228</definedName>
    <definedName name="SZ_SIZE">Electrical!$A$220:$A$237</definedName>
    <definedName name="SZ_AMP">Electrical!$D$220:$D$237</definedName>
    <definedName name="SZ_Z">Electrical!$E$220:$E$237</definedName>
    <definedName name="_xlnm.Print_Titles" localSheetId="0">'START HERE'!$1:$2</definedName>
    <definedName name="_xlnm.Print_Area" localSheetId="0">'START HERE'!$A$1:$B$19</definedName>
    <definedName name="_xlnm.Print_Titles" localSheetId="1">'Version'!$1:$2</definedName>
    <definedName name="_xlnm.Print_Area" localSheetId="1">'Version'!$A$1:$C$56</definedName>
    <definedName name="_xlnm.Print_Titles" localSheetId="2">'Revisions'!$1:$2</definedName>
    <definedName name="_xlnm.Print_Area" localSheetId="2">'Revisions'!$A$1:$D$20</definedName>
    <definedName name="_xlnm.Print_Titles" localSheetId="3">'README'!$1:$2</definedName>
    <definedName name="_xlnm.Print_Area" localSheetId="3">'README'!$A$1:$F$50</definedName>
    <definedName name="_xlnm.Print_Titles" localSheetId="4">'Project'!$1:$2</definedName>
    <definedName name="_xlnm.Print_Area" localSheetId="4">'Project'!$A$1:$F$49</definedName>
    <definedName name="_xlnm.Print_Titles" localSheetId="5">'Existing'!$1:$2</definedName>
    <definedName name="_xlnm.Print_Area" localSheetId="5">'Existing'!$A$1:$G$201</definedName>
    <definedName name="_xlnm.Print_Titles" localSheetId="6">'Equipment'!$1:$2</definedName>
    <definedName name="_xlnm.Print_Area" localSheetId="6">'Equipment'!$A$1:$V$55</definedName>
    <definedName name="_xlnm.Print_Titles" localSheetId="7">'Electrical'!$1:$2</definedName>
    <definedName name="_xlnm.Print_Area" localSheetId="7">'Electrical'!$A$1:$X$259</definedName>
    <definedName name="_xlnm.Print_Titles" localSheetId="8">'Construction'!$1:$2</definedName>
    <definedName name="_xlnm.Print_Area" localSheetId="8">'Construction'!$A$1:$G$91</definedName>
    <definedName name="_xlnm.Print_Titles" localSheetId="9">'Commercial'!$1:$2</definedName>
    <definedName name="_xlnm.Print_Area" localSheetId="9">'Commercial'!$A$1:$F$29</definedName>
    <definedName name="_xlnm.Print_Titles" localSheetId="10">'Pricing'!$1:$2</definedName>
    <definedName name="_xlnm.Print_Area" localSheetId="10">'Pricing'!$A$1:$H$48</definedName>
    <definedName name="_xlnm.Print_Titles" localSheetId="11">'Revenue'!$1:$2</definedName>
    <definedName name="_xlnm.Print_Area" localSheetId="11">'Revenue'!$A$1:$G$117</definedName>
    <definedName name="_xlnm.Print_Titles" localSheetId="12">'Carbon'!$1:$2</definedName>
    <definedName name="_xlnm.Print_Area" localSheetId="12">'Carbon'!$A$1:$F$32</definedName>
    <definedName name="_xlnm.Print_Titles" localSheetId="13">'Deal_Structure'!$1:$2</definedName>
    <definedName name="_xlnm.Print_Area" localSheetId="13">'Deal_Structure'!$A$1:$E$41</definedName>
    <definedName name="_xlnm.Print_Titles" localSheetId="14">'Overrides'!$1:$2</definedName>
    <definedName name="_xlnm.Print_Area" localSheetId="14">'Overrides'!$A$1:$D$28</definedName>
    <definedName name="_xlnm.Print_Titles" localSheetId="15">'PriceBook'!$1:$2</definedName>
    <definedName name="_xlnm.Print_Area" localSheetId="15">'PriceBook'!$A$1:$AG$124</definedName>
    <definedName name="_xlnm.Print_Titles" localSheetId="16">'RefData'!$1:$2</definedName>
    <definedName name="_xlnm.Print_Area" localSheetId="16">'RefData'!$A$1:$G$228</definedName>
    <definedName name="_xlnm.Print_Titles" localSheetId="17">'Utilities'!$1:$2</definedName>
    <definedName name="_xlnm.Print_Area" localSheetId="17">'Utilities'!$A$1:$N$117</definedName>
    <definedName name="_xlnm.Print_Titles" localSheetId="18">'RateLibrary'!$1:$2</definedName>
    <definedName name="_xlnm.Print_Area" localSheetId="18">'RateLibrary'!$A$1:$R$74</definedName>
  </definedNames>
  <calcPr calcId="124519" fullCalcOnLoad="1" refMode="A1" iterate="0" iterateCount="100" iterateDelta="0.0001"/>
</workbook>
</file>

<file path=xl/styles.xml><?xml version="1.0" encoding="utf-8"?>
<styleSheet xmlns="http://schemas.openxmlformats.org/spreadsheetml/2006/main">
  <numFmts count="25">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0"/>
    <numFmt numFmtId="183" formatCode="$0.000"/>
    <numFmt numFmtId="184" formatCode="$#,##0.00"/>
    <numFmt numFmtId="185" formatCode="yyyy-mm-dd"/>
    <numFmt numFmtId="186" formatCode="$#,##0.00;-$#,##0.00;;@"/>
    <numFmt numFmtId="187" formatCode="#,##0;-#,##0;"/>
    <numFmt numFmtId="188" formatCode="$#,##0.00;-$#,##0.00;"/>
  </numFmts>
  <fonts count="8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
      <name val="Arial"/>
      <b val="1"/>
      <color rgb="FFFFFFFF"/>
      <sz val="14"/>
    </font>
    <font>
      <name val="Arial"/>
      <i val="1"/>
      <color rgb="FF606060"/>
      <sz val="9"/>
    </font>
    <font>
      <name val="Arial"/>
      <color rgb="FF6B7B7C"/>
      <sz val="8.5"/>
    </font>
    <font>
      <name val="Arial"/>
      <b val="1"/>
      <color rgb="FF0E5C61"/>
      <sz val="11"/>
    </font>
    <font>
      <name val="Arial"/>
      <sz val="10"/>
    </font>
    <font>
      <name val="Arial"/>
      <color rgb="FF0000FF"/>
      <sz val="10"/>
    </font>
    <font>
      <name val="Arial"/>
      <b val="1"/>
      <color rgb="FFFFFFFF"/>
      <sz val="8.5"/>
    </font>
    <font>
      <name val="Arial"/>
      <sz val="9"/>
    </font>
    <font>
      <name val="Arial"/>
      <b val="1"/>
      <color rgb="FF0000FF"/>
      <sz val="9"/>
    </font>
    <font>
      <name val="Arial"/>
      <b val="1"/>
      <color rgb="FF006400"/>
      <sz val="10"/>
    </font>
    <font>
      <name val="Arial"/>
      <b val="1"/>
      <sz val="9"/>
    </font>
    <font>
      <name val="Arial"/>
      <b val="1"/>
      <color rgb="FF0E7C82"/>
      <sz val="10"/>
    </font>
    <font>
      <name val="Arial"/>
      <color rgb="FF8A5A00"/>
      <sz val="9"/>
    </font>
    <font>
      <name val="Arial"/>
      <color theme="1"/>
      <sz val="10"/>
    </font>
    <font>
      <name val="Arial"/>
      <i val="1"/>
      <color rgb="FF606060"/>
      <sz val="10"/>
    </font>
    <font>
      <name val="Arial"/>
      <b val="1"/>
      <sz val="10"/>
    </font>
    <font>
      <name val="Arial"/>
      <color rgb="FF6B7B7C"/>
      <sz val="10"/>
    </font>
    <font>
      <name val="Arial"/>
      <b val="1"/>
      <color rgb="FFFFFFFF"/>
      <sz val="10"/>
    </font>
    <font>
      <name val="Arial"/>
      <b val="1"/>
      <color rgb="FF0E5C61"/>
      <sz val="10"/>
    </font>
    <font>
      <name val="Arial"/>
      <color rgb="FF0E5C61"/>
      <sz val="10"/>
    </font>
    <font>
      <name val="Arial"/>
      <b val="1"/>
      <color rgb="FF0000FF"/>
      <sz val="10"/>
    </font>
    <font>
      <name val="Arial"/>
      <color rgb="FF606060"/>
      <sz val="10"/>
    </font>
    <font>
      <name val="Arial"/>
      <b val="1"/>
      <color rgb="FF8A5A00"/>
      <sz val="10"/>
    </font>
    <font>
      <name val="Arial"/>
      <color rgb="FF8A5A00"/>
      <sz val="10"/>
    </font>
    <font>
      <name val="Arial"/>
      <i val="1"/>
      <color rgb="FF6B7B7C"/>
      <sz val="10"/>
    </font>
    <font>
      <name val="Arial"/>
      <i val="1"/>
      <color rgb="FF555555"/>
      <sz val="10"/>
    </font>
    <font>
      <name val="Arial"/>
      <b val="1"/>
      <color rgb="000E7C82"/>
      <sz val="11"/>
    </font>
    <font>
      <name val="Arial"/>
      <color rgb="FFFFFFFF"/>
      <sz val="10"/>
    </font>
    <font>
      <name val="Arial"/>
      <i val="1"/>
      <color rgb="FF0E5C61"/>
      <sz val="10"/>
    </font>
  </fonts>
  <fills count="14">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
      <patternFill patternType="solid">
        <fgColor rgb="FF0E7C82"/>
      </patternFill>
    </fill>
    <fill>
      <patternFill patternType="solid">
        <fgColor rgb="FFEAF7EC"/>
      </patternFill>
    </fill>
    <fill>
      <patternFill patternType="solid">
        <fgColor rgb="FFFFF4E0"/>
      </patternFill>
    </fill>
    <fill>
      <patternFill patternType="solid">
        <fgColor rgb="FFF1F4F5"/>
      </patternFill>
    </fill>
  </fills>
  <borders count="15">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
      <bottom style="thin">
        <color rgb="FFD0D7D8"/>
      </bottom>
    </border>
    <border>
      <top style="thin">
        <color rgb="FFD0D7D8"/>
      </top>
      <bottom style="thin">
        <color rgb="FFD0D7D8"/>
      </bottom>
    </border>
    <border>
      <right/>
      <bottom style="thin">
        <color rgb="FFD0D7D8"/>
      </bottom>
    </border>
    <border>
      <left style="thin">
        <color rgb="FFB9C3C4"/>
      </left>
      <right style="thin">
        <color rgb="FFB9C3C4"/>
      </right>
      <top style="thin">
        <color rgb="FFB9C3C4"/>
      </top>
      <bottom style="thin">
        <color rgb="FFB9C3C4"/>
      </bottom>
    </border>
    <border>
      <left/>
      <right/>
      <top style="thin">
        <color rgb="FFB9C3C4"/>
      </top>
      <bottom/>
      <diagonal/>
    </border>
    <border>
      <left/>
      <right style="thin">
        <color rgb="FFB9C3C4"/>
      </right>
      <top style="thin">
        <color rgb="FFB9C3C4"/>
      </top>
      <bottom/>
      <diagonal/>
    </border>
    <border>
      <left/>
      <right style="thin">
        <color rgb="FFB9C3C4"/>
      </right>
      <top style="thin">
        <color rgb="FFB9C3C4"/>
      </top>
      <bottom style="thin">
        <color rgb="FFB9C3C4"/>
      </bottom>
      <diagonal/>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4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0" fontId="15" fillId="0" borderId="2" applyAlignment="1" pivotButton="0" quotePrefix="0" xfId="0">
      <alignment horizontal="general" vertical="bottom"/>
    </xf>
    <xf numFmtId="0" fontId="25" fillId="0" borderId="0" applyAlignment="1" pivotButton="0" quotePrefix="0" xfId="0">
      <alignment vertical="top" wrapText="1"/>
    </xf>
    <xf numFmtId="0" fontId="32" fillId="0" borderId="0" applyAlignment="1" pivotButton="0" quotePrefix="0" xfId="0">
      <alignment vertical="top" wrapText="1"/>
    </xf>
    <xf numFmtId="4" fontId="17" fillId="9" borderId="1" applyAlignment="1" applyProtection="1" pivotButton="0" quotePrefix="0" xfId="0">
      <alignment horizontal="right" vertical="center"/>
      <protection locked="0" hidden="0"/>
    </xf>
    <xf numFmtId="9" fontId="17" fillId="0" borderId="0" applyAlignment="1" pivotButton="0" quotePrefix="0" xfId="0">
      <alignment horizontal="right" vertical="center"/>
    </xf>
    <xf numFmtId="0" fontId="17" fillId="0" borderId="0" applyAlignment="1" pivotButton="0" quotePrefix="0" xfId="0">
      <alignment vertical="top" wrapText="1"/>
    </xf>
    <xf numFmtId="3" fontId="23" fillId="0" borderId="1" applyAlignment="1" pivotButton="0" quotePrefix="0" xfId="0">
      <alignment horizontal="right" vertical="center"/>
    </xf>
    <xf numFmtId="182" fontId="23" fillId="0" borderId="1" applyAlignment="1" pivotButton="0" quotePrefix="0" xfId="0">
      <alignment horizontal="right" vertical="center"/>
    </xf>
    <xf numFmtId="0" fontId="23" fillId="0" borderId="1" applyAlignment="1" pivotButton="0" quotePrefix="0" xfId="0">
      <alignment vertical="top" wrapText="1"/>
    </xf>
    <xf numFmtId="0" fontId="9" fillId="0" borderId="0" applyAlignment="1" pivotButton="0" quotePrefix="0" xfId="0">
      <alignment vertical="top" wrapText="1"/>
    </xf>
    <xf numFmtId="2" fontId="49" fillId="0" borderId="0" applyAlignment="1" pivotButton="0" quotePrefix="0" xfId="0">
      <alignment horizontal="right" vertical="center"/>
    </xf>
    <xf numFmtId="183" fontId="49" fillId="0" borderId="0" applyAlignment="1" pivotButton="0" quotePrefix="0" xfId="0">
      <alignment horizontal="right" vertical="center"/>
    </xf>
    <xf numFmtId="0" fontId="49" fillId="0" borderId="0" applyAlignment="1" pivotButton="0" quotePrefix="0" xfId="0">
      <alignment vertical="top" wrapText="1"/>
    </xf>
    <xf numFmtId="0" fontId="50" fillId="0" borderId="0" applyAlignment="1" pivotButton="0" quotePrefix="0" xfId="0">
      <alignment vertical="top" wrapText="1"/>
    </xf>
    <xf numFmtId="182" fontId="23" fillId="0" borderId="1" applyAlignment="1" pivotButton="0" quotePrefix="0" xfId="0">
      <alignment horizontal="right" vertical="center"/>
    </xf>
    <xf numFmtId="183" fontId="49" fillId="0" borderId="0" applyAlignment="1" pivotButton="0" quotePrefix="0" xfId="0">
      <alignment horizontal="right" vertical="center"/>
    </xf>
    <xf numFmtId="0" fontId="14" fillId="0" borderId="2" applyAlignment="1" pivotButton="0" quotePrefix="0" xfId="0">
      <alignment horizontal="right" vertical="center"/>
    </xf>
    <xf numFmtId="184" fontId="14" fillId="0" borderId="2" applyAlignment="1" pivotButton="0" quotePrefix="0" xfId="0">
      <alignment horizontal="right" vertical="center"/>
    </xf>
    <xf numFmtId="0" fontId="28" fillId="0" borderId="0" applyAlignment="1" pivotButton="0" quotePrefix="0" xfId="0">
      <alignment vertical="top" wrapText="1"/>
    </xf>
    <xf numFmtId="184" fontId="49" fillId="0" borderId="0" applyAlignment="1" pivotButton="0" quotePrefix="0" xfId="0">
      <alignment horizontal="left" vertical="center"/>
    </xf>
    <xf numFmtId="0" fontId="5" fillId="0" borderId="0" applyAlignment="1" pivotButton="0" quotePrefix="0" xfId="0">
      <alignment vertical="top" wrapText="1"/>
    </xf>
    <xf numFmtId="0" fontId="52" fillId="10" borderId="0" applyAlignment="1" pivotButton="0" quotePrefix="0" xfId="0">
      <alignment vertical="center"/>
    </xf>
    <xf numFmtId="0" fontId="53" fillId="0" borderId="0" applyAlignment="1" pivotButton="0" quotePrefix="0" xfId="0">
      <alignment vertical="top" wrapText="1"/>
    </xf>
    <xf numFmtId="0" fontId="58" fillId="10" borderId="7" applyAlignment="1" pivotButton="0" quotePrefix="0" xfId="0">
      <alignment horizontal="left" vertical="top" wrapText="1"/>
    </xf>
    <xf numFmtId="0" fontId="60" fillId="9" borderId="7" applyAlignment="1" applyProtection="1" pivotButton="0" quotePrefix="0" xfId="0">
      <alignment vertical="center"/>
      <protection locked="0" hidden="0"/>
    </xf>
    <xf numFmtId="185" fontId="60" fillId="9" borderId="7" applyAlignment="1" applyProtection="1" pivotButton="0" quotePrefix="0" xfId="0">
      <alignment vertical="center"/>
      <protection locked="0" hidden="0"/>
    </xf>
    <xf numFmtId="0" fontId="60" fillId="9" borderId="7" applyAlignment="1" applyProtection="1" pivotButton="0" quotePrefix="0" xfId="0">
      <alignment vertical="top" wrapText="1"/>
      <protection locked="0" hidden="0"/>
    </xf>
    <xf numFmtId="0" fontId="56" fillId="0" borderId="0" applyAlignment="1" pivotButton="0" quotePrefix="0" xfId="0">
      <alignment vertical="center" wrapText="1"/>
    </xf>
    <xf numFmtId="3" fontId="61" fillId="11" borderId="8" applyAlignment="1" pivotButton="0" quotePrefix="0" xfId="0">
      <alignment horizontal="right" vertical="center"/>
    </xf>
    <xf numFmtId="0" fontId="61" fillId="11" borderId="8" applyAlignment="1" pivotButton="0" quotePrefix="0" xfId="0">
      <alignment horizontal="left" vertical="center"/>
    </xf>
    <xf numFmtId="0" fontId="54" fillId="0" borderId="0" applyAlignment="1" pivotButton="0" quotePrefix="0" xfId="0">
      <alignment vertical="top" wrapText="1"/>
    </xf>
    <xf numFmtId="0" fontId="55" fillId="0" borderId="0" applyAlignment="1" pivotButton="0" quotePrefix="0" xfId="0">
      <alignment vertical="top" wrapText="1"/>
    </xf>
    <xf numFmtId="0" fontId="57" fillId="9" borderId="8" applyAlignment="1" applyProtection="1" pivotButton="0" quotePrefix="0" xfId="0">
      <alignment vertical="center"/>
      <protection locked="0" hidden="0"/>
    </xf>
    <xf numFmtId="3" fontId="57" fillId="9" borderId="8" applyAlignment="1" applyProtection="1" pivotButton="0" quotePrefix="0" xfId="0">
      <alignment vertical="center"/>
      <protection locked="0" hidden="0"/>
    </xf>
    <xf numFmtId="167" fontId="57" fillId="9" borderId="8" applyAlignment="1" applyProtection="1" pivotButton="0" quotePrefix="0" xfId="0">
      <alignment vertical="center"/>
      <protection locked="0" hidden="0"/>
    </xf>
    <xf numFmtId="0" fontId="59" fillId="0" borderId="7" applyAlignment="1" pivotButton="0" quotePrefix="0" xfId="0">
      <alignment vertical="top"/>
    </xf>
    <xf numFmtId="0" fontId="59" fillId="0" borderId="7" applyAlignment="1" pivotButton="0" quotePrefix="0" xfId="0">
      <alignment vertical="top" wrapText="1"/>
    </xf>
    <xf numFmtId="0" fontId="59" fillId="0" borderId="7" applyAlignment="1" pivotButton="0" quotePrefix="0" xfId="0">
      <alignment vertical="center"/>
    </xf>
    <xf numFmtId="172" fontId="59" fillId="0" borderId="7" applyAlignment="1" pivotButton="0" quotePrefix="0" xfId="0">
      <alignment horizontal="right" vertical="center"/>
    </xf>
    <xf numFmtId="3" fontId="60" fillId="9" borderId="7" applyAlignment="1" applyProtection="1" pivotButton="0" quotePrefix="0" xfId="0">
      <alignment vertical="center"/>
      <protection locked="0" hidden="0"/>
    </xf>
    <xf numFmtId="3" fontId="59" fillId="0" borderId="7" applyAlignment="1" pivotButton="0" quotePrefix="0" xfId="0">
      <alignment horizontal="right" vertical="center"/>
    </xf>
    <xf numFmtId="10" fontId="59" fillId="0" borderId="7" applyAlignment="1" pivotButton="0" quotePrefix="0" xfId="0">
      <alignment horizontal="right" vertical="center"/>
    </xf>
    <xf numFmtId="186" fontId="59" fillId="0" borderId="7" applyAlignment="1" pivotButton="0" quotePrefix="0" xfId="0">
      <alignment horizontal="right" vertical="center"/>
    </xf>
    <xf numFmtId="1" fontId="54" fillId="0" borderId="7" applyAlignment="1" pivotButton="0" quotePrefix="0" xfId="0">
      <alignment horizontal="center" vertical="center"/>
    </xf>
    <xf numFmtId="0" fontId="54" fillId="0" borderId="7" applyAlignment="1" pivotButton="0" quotePrefix="0" xfId="0">
      <alignment horizontal="center" vertical="center"/>
    </xf>
    <xf numFmtId="184" fontId="61" fillId="11" borderId="8" applyAlignment="1" pivotButton="0" quotePrefix="0" xfId="0">
      <alignment horizontal="right" vertical="center"/>
    </xf>
    <xf numFmtId="187" fontId="59" fillId="0" borderId="7" applyAlignment="1" pivotButton="0" quotePrefix="0" xfId="0">
      <alignment horizontal="right" vertical="center"/>
    </xf>
    <xf numFmtId="0" fontId="62" fillId="0" borderId="0" applyAlignment="1" pivotButton="0" quotePrefix="0" xfId="0">
      <alignment vertical="center"/>
    </xf>
    <xf numFmtId="3" fontId="62" fillId="0" borderId="7" applyAlignment="1" pivotButton="0" quotePrefix="0" xfId="0">
      <alignment horizontal="right" vertical="center"/>
    </xf>
    <xf numFmtId="184" fontId="62" fillId="0" borderId="7" applyAlignment="1" pivotButton="0" quotePrefix="0" xfId="0">
      <alignment horizontal="right" vertical="center"/>
    </xf>
    <xf numFmtId="172" fontId="61" fillId="11" borderId="8" applyAlignment="1" pivotButton="0" quotePrefix="0" xfId="0">
      <alignment horizontal="right" vertical="center"/>
    </xf>
    <xf numFmtId="0" fontId="61" fillId="11" borderId="8" applyAlignment="1" pivotButton="0" quotePrefix="0" xfId="0">
      <alignment horizontal="left" vertical="center" wrapText="1"/>
    </xf>
    <xf numFmtId="0" fontId="63" fillId="0" borderId="0" applyAlignment="1" pivotButton="0" quotePrefix="0" xfId="0">
      <alignment vertical="center"/>
    </xf>
    <xf numFmtId="3" fontId="59" fillId="0" borderId="7" applyAlignment="1" pivotButton="0" quotePrefix="0" xfId="0">
      <alignment horizontal="right" vertical="center" wrapText="1"/>
    </xf>
    <xf numFmtId="184" fontId="60" fillId="9" borderId="7" applyAlignment="1" applyProtection="1" pivotButton="0" quotePrefix="0" xfId="0">
      <alignment vertical="center"/>
      <protection locked="0" hidden="0"/>
    </xf>
    <xf numFmtId="0" fontId="64" fillId="12" borderId="0" applyAlignment="1" pivotButton="0" quotePrefix="0" xfId="0">
      <alignment vertical="top" wrapText="1"/>
    </xf>
    <xf numFmtId="0" fontId="57" fillId="9" borderId="8" applyAlignment="1" applyProtection="1" pivotButton="0" quotePrefix="0" xfId="0">
      <alignment vertical="center" wrapText="1"/>
      <protection locked="0" hidden="0"/>
    </xf>
    <xf numFmtId="3" fontId="57" fillId="9" borderId="8" applyAlignment="1" applyProtection="1" pivotButton="0" quotePrefix="0" xfId="0">
      <alignment vertical="center" wrapText="1"/>
      <protection locked="0" hidden="0"/>
    </xf>
    <xf numFmtId="184" fontId="57" fillId="9" borderId="8" applyAlignment="1" applyProtection="1" pivotButton="0" quotePrefix="0" xfId="0">
      <alignment vertical="center" wrapText="1"/>
      <protection locked="0" hidden="0"/>
    </xf>
    <xf numFmtId="0" fontId="56" fillId="0" borderId="0" applyAlignment="1" pivotButton="0" quotePrefix="0" xfId="0">
      <alignment vertical="center"/>
    </xf>
    <xf numFmtId="2" fontId="59" fillId="0" borderId="7" applyAlignment="1" pivotButton="0" quotePrefix="0" xfId="0">
      <alignment horizontal="right" vertical="center"/>
    </xf>
    <xf numFmtId="166" fontId="59" fillId="0" borderId="7" applyAlignment="1" pivotButton="0" quotePrefix="0" xfId="0">
      <alignment horizontal="right" vertical="center"/>
    </xf>
    <xf numFmtId="184" fontId="59" fillId="0" borderId="7" applyAlignment="1" pivotButton="0" quotePrefix="0" xfId="0">
      <alignment horizontal="right" vertical="center"/>
    </xf>
    <xf numFmtId="185" fontId="60" fillId="9" borderId="7" applyAlignment="1" applyProtection="1" pivotButton="0" quotePrefix="0" xfId="0">
      <alignment vertical="center"/>
      <protection locked="0" hidden="0"/>
    </xf>
    <xf numFmtId="186" fontId="59" fillId="0" borderId="7" applyAlignment="1" pivotButton="0" quotePrefix="0" xfId="0">
      <alignment horizontal="right" vertical="center"/>
    </xf>
    <xf numFmtId="187" fontId="59" fillId="0" borderId="7" applyAlignment="1" pivotButton="0" quotePrefix="0" xfId="0">
      <alignment horizontal="right" vertical="center"/>
    </xf>
    <xf numFmtId="0" fontId="58" fillId="10" borderId="9" applyAlignment="1" pivotButton="0" quotePrefix="0" xfId="0">
      <alignment horizontal="left" vertical="top" wrapText="1"/>
    </xf>
    <xf numFmtId="0" fontId="52" fillId="10" borderId="0" applyAlignment="1" pivotButton="0" quotePrefix="0" xfId="0">
      <alignment vertical="center"/>
    </xf>
    <xf numFmtId="0" fontId="56" fillId="0" borderId="7" applyAlignment="1" pivotButton="0" quotePrefix="0" xfId="0">
      <alignment vertical="center"/>
    </xf>
    <xf numFmtId="184" fontId="59" fillId="0" borderId="7" applyAlignment="1" pivotButton="0" quotePrefix="0" xfId="0">
      <alignment horizontal="right" vertical="center"/>
    </xf>
    <xf numFmtId="9" fontId="59" fillId="0" borderId="7" applyAlignment="1" pivotButton="0" quotePrefix="0" xfId="0">
      <alignment horizontal="right" vertical="center"/>
    </xf>
    <xf numFmtId="186" fontId="59" fillId="0" borderId="7" applyAlignment="1" pivotButton="0" quotePrefix="0" xfId="0">
      <alignment horizontal="right" vertical="center"/>
    </xf>
    <xf numFmtId="0" fontId="54" fillId="0" borderId="7" applyAlignment="1" pivotButton="0" quotePrefix="0" xfId="0">
      <alignment vertical="top" wrapText="1"/>
    </xf>
    <xf numFmtId="0" fontId="62" fillId="11" borderId="7" applyAlignment="1" pivotButton="0" quotePrefix="0" xfId="0">
      <alignment vertical="center"/>
    </xf>
    <xf numFmtId="184" fontId="62" fillId="11" borderId="7" applyAlignment="1" pivotButton="0" quotePrefix="0" xfId="0">
      <alignment horizontal="right" vertical="center"/>
    </xf>
    <xf numFmtId="0" fontId="54" fillId="11" borderId="7" applyAlignment="1" pivotButton="0" quotePrefix="0" xfId="0">
      <alignment vertical="center" wrapText="1"/>
    </xf>
    <xf numFmtId="167" fontId="61" fillId="11" borderId="8" applyAlignment="1" pivotButton="0" quotePrefix="0" xfId="0">
      <alignment horizontal="right" vertical="center"/>
    </xf>
    <xf numFmtId="184" fontId="61" fillId="11" borderId="8" applyAlignment="1" pivotButton="0" quotePrefix="0" xfId="0">
      <alignment horizontal="right" vertical="center"/>
    </xf>
    <xf numFmtId="0" fontId="59" fillId="0" borderId="7" applyAlignment="1" pivotButton="0" quotePrefix="0" xfId="0">
      <alignment vertical="center"/>
    </xf>
    <xf numFmtId="187" fontId="59" fillId="0" borderId="7" applyAlignment="1" pivotButton="0" quotePrefix="0" xfId="0">
      <alignment horizontal="right" vertical="center"/>
    </xf>
    <xf numFmtId="188" fontId="59" fillId="0" borderId="7" applyAlignment="1" pivotButton="0" quotePrefix="0" xfId="0">
      <alignment horizontal="right" vertical="center"/>
    </xf>
    <xf numFmtId="0" fontId="59" fillId="0" borderId="7" applyAlignment="1" pivotButton="0" quotePrefix="0" xfId="0">
      <alignment vertical="center" wrapText="1"/>
    </xf>
    <xf numFmtId="0" fontId="54" fillId="11" borderId="7" applyAlignment="1" pivotButton="0" quotePrefix="0" xfId="0">
      <alignment vertical="center"/>
    </xf>
    <xf numFmtId="0" fontId="61" fillId="11" borderId="8" applyAlignment="1" pivotButton="0" quotePrefix="0" xfId="0">
      <alignment horizontal="left" vertical="center"/>
    </xf>
    <xf numFmtId="3" fontId="61" fillId="11" borderId="8" applyAlignment="1" pivotButton="0" quotePrefix="0" xfId="0">
      <alignment horizontal="right" vertical="center"/>
    </xf>
    <xf numFmtId="0" fontId="0" fillId="10" borderId="0" pivotButton="0" quotePrefix="0" xfId="0"/>
    <xf numFmtId="0" fontId="52" fillId="10" borderId="0" applyAlignment="1" pivotButton="0" quotePrefix="0" xfId="0">
      <alignment horizontal="left" vertical="center"/>
    </xf>
    <xf numFmtId="0" fontId="77" fillId="0" borderId="0" pivotButton="0" quotePrefix="0" xfId="0"/>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78" fillId="0" borderId="0" pivotButton="0" quotePrefix="0" xfId="0"/>
    <xf numFmtId="0" fontId="0" fillId="9" borderId="10" applyProtection="1" pivotButton="0" quotePrefix="0" xfId="0">
      <protection locked="0" hidden="0"/>
    </xf>
    <xf numFmtId="0" fontId="56" fillId="0" borderId="0" applyAlignment="1" pivotButton="0" quotePrefix="0" xfId="0">
      <alignment horizontal="left" vertical="center"/>
    </xf>
    <xf numFmtId="0" fontId="0" fillId="13" borderId="10" pivotButton="0" quotePrefix="0" xfId="0"/>
    <xf numFmtId="0" fontId="0" fillId="11" borderId="10" pivotButton="0" quotePrefix="0" xfId="0"/>
    <xf numFmtId="0" fontId="0" fillId="12" borderId="10" pivotButton="0" quotePrefix="0" xfId="0"/>
    <xf numFmtId="0" fontId="0" fillId="10" borderId="10" pivotButton="0" quotePrefix="0" xfId="0"/>
    <xf numFmtId="0" fontId="79" fillId="10" borderId="0" applyAlignment="1" pivotButton="0" quotePrefix="0" xfId="0">
      <alignment horizontal="left" vertical="center"/>
    </xf>
    <xf numFmtId="0" fontId="4" fillId="2" borderId="0" applyAlignment="1" pivotButton="0" quotePrefix="0" xfId="0">
      <alignment horizontal="center" vertical="center" wrapText="1"/>
    </xf>
    <xf numFmtId="0" fontId="65" fillId="9" borderId="10" applyAlignment="1" applyProtection="1" pivotButton="0" quotePrefix="0" xfId="0">
      <alignment horizontal="center" vertical="center" wrapText="1"/>
      <protection locked="0" hidden="0"/>
    </xf>
    <xf numFmtId="0" fontId="66" fillId="0" borderId="0" applyAlignment="1" pivotButton="0" quotePrefix="0" xfId="0">
      <alignment horizontal="left" vertical="center" wrapText="1"/>
    </xf>
    <xf numFmtId="0" fontId="65" fillId="9" borderId="10" applyAlignment="1" applyProtection="1" pivotButton="0" quotePrefix="0" xfId="0">
      <alignment horizontal="left" vertical="center" wrapText="1"/>
      <protection locked="0" hidden="0"/>
    </xf>
    <xf numFmtId="0" fontId="67" fillId="0" borderId="0" applyAlignment="1" pivotButton="0" quotePrefix="0" xfId="0">
      <alignment horizontal="left" vertical="center" wrapText="1"/>
    </xf>
    <xf numFmtId="0" fontId="55" fillId="9" borderId="10" applyAlignment="1" applyProtection="1" pivotButton="0" quotePrefix="0" xfId="0">
      <alignment horizontal="center" vertical="center" wrapText="1"/>
      <protection locked="0" hidden="0"/>
    </xf>
    <xf numFmtId="0" fontId="56" fillId="9" borderId="10" applyAlignment="1" applyProtection="1" pivotButton="0" quotePrefix="0" xfId="0">
      <alignment horizontal="center" vertical="center" wrapText="1"/>
      <protection locked="0" hidden="0"/>
    </xf>
    <xf numFmtId="0" fontId="68" fillId="9" borderId="10" applyAlignment="1" applyProtection="1" pivotButton="0" quotePrefix="0" xfId="0">
      <alignment horizontal="center" vertical="center" wrapText="1"/>
      <protection locked="0" hidden="0"/>
    </xf>
    <xf numFmtId="0" fontId="55" fillId="0" borderId="0" applyAlignment="1" pivotButton="0" quotePrefix="0" xfId="0">
      <alignment horizontal="left" vertical="center" wrapText="1"/>
    </xf>
    <xf numFmtId="0" fontId="57" fillId="9" borderId="10" applyAlignment="1" applyProtection="1" pivotButton="0" quotePrefix="0" xfId="0">
      <alignment horizontal="center" vertical="center" wrapText="1"/>
      <protection locked="0" hidden="0"/>
    </xf>
    <xf numFmtId="0" fontId="66" fillId="9" borderId="10" applyAlignment="1" applyProtection="1" pivotButton="0" quotePrefix="0" xfId="0">
      <alignment horizontal="center" vertical="center" wrapText="1"/>
      <protection locked="0" hidden="0"/>
    </xf>
    <xf numFmtId="0" fontId="69" fillId="2" borderId="1" applyAlignment="1" pivotButton="0" quotePrefix="0" xfId="0">
      <alignment horizontal="center" vertical="center" wrapText="1"/>
    </xf>
    <xf numFmtId="0" fontId="70" fillId="0" borderId="0" applyAlignment="1" pivotButton="0" quotePrefix="0" xfId="0">
      <alignment horizontal="left" vertical="center" wrapText="1"/>
    </xf>
    <xf numFmtId="0" fontId="71" fillId="9" borderId="10" applyAlignment="1" applyProtection="1" pivotButton="0" quotePrefix="0" xfId="0">
      <alignment horizontal="center" vertical="center" wrapText="1"/>
      <protection locked="0" hidden="0"/>
    </xf>
    <xf numFmtId="0" fontId="65" fillId="0" borderId="0" pivotButton="0" quotePrefix="0" xfId="0"/>
    <xf numFmtId="0" fontId="52" fillId="10" borderId="0" applyAlignment="1" pivotButton="0" quotePrefix="0" xfId="0">
      <alignment horizontal="center" vertical="center" wrapText="1"/>
    </xf>
    <xf numFmtId="0" fontId="69" fillId="10" borderId="7" applyAlignment="1" pivotButton="0" quotePrefix="0" xfId="0">
      <alignment horizontal="center" vertical="center" wrapText="1"/>
    </xf>
    <xf numFmtId="0" fontId="72" fillId="9" borderId="10" applyAlignment="1" applyProtection="1" pivotButton="0" quotePrefix="0" xfId="0">
      <alignment horizontal="center" vertical="center" wrapText="1"/>
      <protection locked="0" hidden="0"/>
    </xf>
    <xf numFmtId="185" fontId="72" fillId="9" borderId="10" applyAlignment="1" applyProtection="1" pivotButton="0" quotePrefix="0" xfId="0">
      <alignment horizontal="center" vertical="center" wrapText="1"/>
      <protection locked="0" hidden="0"/>
    </xf>
    <xf numFmtId="3" fontId="61" fillId="11" borderId="8" applyAlignment="1" pivotButton="0" quotePrefix="0" xfId="0">
      <alignment horizontal="center" vertical="center" wrapText="1"/>
    </xf>
    <xf numFmtId="0" fontId="61" fillId="11" borderId="8" applyAlignment="1" pivotButton="0" quotePrefix="0" xfId="0">
      <alignment horizontal="center" vertical="center" wrapText="1"/>
    </xf>
    <xf numFmtId="0" fontId="65" fillId="0" borderId="0" applyAlignment="1" pivotButton="0" quotePrefix="0" xfId="0">
      <alignment horizontal="left" vertical="center" wrapText="1"/>
    </xf>
    <xf numFmtId="0" fontId="56" fillId="9" borderId="10" applyAlignment="1" applyProtection="1" pivotButton="0" quotePrefix="0" xfId="0">
      <alignment horizontal="left" vertical="center" wrapText="1"/>
      <protection locked="0" hidden="0"/>
    </xf>
    <xf numFmtId="0" fontId="56" fillId="3" borderId="1" applyAlignment="1" pivotButton="0" quotePrefix="0" xfId="0">
      <alignment horizontal="left" vertical="center" wrapText="1"/>
    </xf>
    <xf numFmtId="0" fontId="68" fillId="0" borderId="0" applyAlignment="1" pivotButton="0" quotePrefix="0" xfId="0">
      <alignment horizontal="left" vertical="center" wrapText="1"/>
    </xf>
    <xf numFmtId="0" fontId="70" fillId="5" borderId="1" applyAlignment="1" pivotButton="0" quotePrefix="0" xfId="0">
      <alignment horizontal="center" vertical="center" wrapText="1"/>
    </xf>
    <xf numFmtId="0" fontId="73" fillId="0" borderId="0" applyAlignment="1" pivotButton="0" quotePrefix="0" xfId="0">
      <alignment horizontal="left" vertical="center" wrapText="1"/>
    </xf>
    <xf numFmtId="1" fontId="72" fillId="9" borderId="10" applyAlignment="1" applyProtection="1" pivotButton="0" quotePrefix="0" xfId="0">
      <alignment horizontal="center" vertical="center" wrapText="1"/>
      <protection locked="0" hidden="0"/>
    </xf>
    <xf numFmtId="3" fontId="57" fillId="9" borderId="10" applyAlignment="1" applyProtection="1" pivotButton="0" quotePrefix="0" xfId="0">
      <alignment horizontal="center" vertical="center" wrapText="1"/>
      <protection locked="0" hidden="0"/>
    </xf>
    <xf numFmtId="1" fontId="57" fillId="9" borderId="10" applyAlignment="1" applyProtection="1" pivotButton="0" quotePrefix="0" xfId="0">
      <alignment horizontal="center" vertical="center" wrapText="1"/>
      <protection locked="0" hidden="0"/>
    </xf>
    <xf numFmtId="164" fontId="57" fillId="9" borderId="10" applyAlignment="1" applyProtection="1" pivotButton="0" quotePrefix="0" xfId="0">
      <alignment horizontal="center" vertical="center" wrapText="1"/>
      <protection locked="0" hidden="0"/>
    </xf>
    <xf numFmtId="0" fontId="71" fillId="13" borderId="2" applyAlignment="1" pivotButton="0" quotePrefix="0" xfId="0">
      <alignment horizontal="center" vertical="center" wrapText="1"/>
    </xf>
    <xf numFmtId="0" fontId="70" fillId="5" borderId="2" applyAlignment="1" pivotButton="0" quotePrefix="0" xfId="0">
      <alignment horizontal="center" vertical="center" wrapText="1"/>
    </xf>
    <xf numFmtId="0" fontId="74" fillId="7" borderId="0" applyAlignment="1" pivotButton="0" quotePrefix="0" xfId="0">
      <alignment horizontal="left" vertical="center" wrapText="1"/>
    </xf>
    <xf numFmtId="0" fontId="69" fillId="2" borderId="2" applyAlignment="1" pivotButton="0" quotePrefix="0" xfId="0">
      <alignment horizontal="center" vertical="center" wrapText="1"/>
    </xf>
    <xf numFmtId="0" fontId="56" fillId="0" borderId="2" applyAlignment="1" pivotButton="0" quotePrefix="0" xfId="0">
      <alignment horizontal="left" vertical="center" wrapText="1"/>
    </xf>
    <xf numFmtId="3" fontId="71" fillId="13" borderId="2" applyAlignment="1" pivotButton="0" quotePrefix="0" xfId="0">
      <alignment horizontal="center" vertical="center" wrapText="1"/>
    </xf>
    <xf numFmtId="0" fontId="57" fillId="9" borderId="10" applyAlignment="1" applyProtection="1" pivotButton="0" quotePrefix="0" xfId="0">
      <alignment horizontal="left" vertical="center" wrapText="1"/>
      <protection locked="0" hidden="0"/>
    </xf>
    <xf numFmtId="3" fontId="70" fillId="5" borderId="2" applyAlignment="1" pivotButton="0" quotePrefix="0" xfId="0">
      <alignment horizontal="center" vertical="center" wrapText="1"/>
    </xf>
    <xf numFmtId="4" fontId="70" fillId="5" borderId="2" applyAlignment="1" pivotButton="0" quotePrefix="0" xfId="0">
      <alignment horizontal="center" vertical="center" wrapText="1"/>
    </xf>
    <xf numFmtId="0" fontId="65" fillId="13" borderId="0" applyAlignment="1" pivotButton="0" quotePrefix="0" xfId="0">
      <alignment horizontal="center" vertical="center" wrapText="1"/>
    </xf>
    <xf numFmtId="3" fontId="72" fillId="9" borderId="10" applyAlignment="1" applyProtection="1" pivotButton="0" quotePrefix="0" xfId="0">
      <alignment horizontal="center" vertical="center" wrapText="1"/>
      <protection locked="0" hidden="0"/>
    </xf>
    <xf numFmtId="0" fontId="70" fillId="13" borderId="2" applyAlignment="1" pivotButton="0" quotePrefix="0" xfId="0">
      <alignment horizontal="center" vertical="center" wrapText="1"/>
    </xf>
    <xf numFmtId="165" fontId="57" fillId="9" borderId="10" applyAlignment="1" applyProtection="1" pivotButton="0" quotePrefix="0" xfId="0">
      <alignment horizontal="center" vertical="center" wrapText="1"/>
      <protection locked="0" hidden="0"/>
    </xf>
    <xf numFmtId="4" fontId="57" fillId="9" borderId="10" applyAlignment="1" applyProtection="1" pivotButton="0" quotePrefix="0" xfId="0">
      <alignment horizontal="center" vertical="center" wrapText="1"/>
      <protection locked="0" hidden="0"/>
    </xf>
    <xf numFmtId="165" fontId="70" fillId="5" borderId="2" applyAlignment="1" pivotButton="0" quotePrefix="0" xfId="0">
      <alignment horizontal="center" vertical="center" wrapText="1"/>
    </xf>
    <xf numFmtId="166" fontId="70" fillId="5" borderId="2" applyAlignment="1" pivotButton="0" quotePrefix="0" xfId="0">
      <alignment horizontal="center" vertical="center" wrapText="1"/>
    </xf>
    <xf numFmtId="167" fontId="70" fillId="5" borderId="2" applyAlignment="1" pivotButton="0" quotePrefix="0" xfId="0">
      <alignment horizontal="center" vertical="center" wrapText="1"/>
    </xf>
    <xf numFmtId="168" fontId="70" fillId="5" borderId="2" applyAlignment="1" pivotButton="0" quotePrefix="0" xfId="0">
      <alignment horizontal="center" vertical="center" wrapText="1"/>
    </xf>
    <xf numFmtId="167" fontId="57" fillId="9" borderId="10" applyAlignment="1" applyProtection="1" pivotButton="0" quotePrefix="0" xfId="0">
      <alignment horizontal="center" vertical="center" wrapText="1"/>
      <protection locked="0" hidden="0"/>
    </xf>
    <xf numFmtId="167" fontId="71" fillId="13" borderId="2" applyAlignment="1" pivotButton="0" quotePrefix="0" xfId="0">
      <alignment horizontal="center" vertical="center" wrapText="1"/>
    </xf>
    <xf numFmtId="4" fontId="71" fillId="13" borderId="2" applyAlignment="1" pivotButton="0" quotePrefix="0" xfId="0">
      <alignment horizontal="center" vertical="center" wrapText="1"/>
    </xf>
    <xf numFmtId="168" fontId="56" fillId="13" borderId="2" applyAlignment="1" pivotButton="0" quotePrefix="0" xfId="0">
      <alignment horizontal="center" vertical="center" wrapText="1"/>
    </xf>
    <xf numFmtId="0" fontId="56" fillId="0" borderId="2" applyAlignment="1" pivotButton="0" quotePrefix="0" xfId="0">
      <alignment horizontal="general" vertical="bottom"/>
    </xf>
    <xf numFmtId="0" fontId="56" fillId="13" borderId="2" applyAlignment="1" pivotButton="0" quotePrefix="0" xfId="0">
      <alignment horizontal="center" vertical="center" wrapText="1"/>
    </xf>
    <xf numFmtId="169" fontId="56" fillId="13" borderId="2" applyAlignment="1" pivotButton="0" quotePrefix="0" xfId="0">
      <alignment horizontal="center" vertical="center" wrapText="1"/>
    </xf>
    <xf numFmtId="170" fontId="56" fillId="13" borderId="2" applyAlignment="1" pivotButton="0" quotePrefix="0" xfId="0">
      <alignment horizontal="center" vertical="center" wrapText="1"/>
    </xf>
    <xf numFmtId="0" fontId="56" fillId="0" borderId="2" applyAlignment="1" pivotButton="0" quotePrefix="0" xfId="0">
      <alignment horizontal="general" vertical="center"/>
    </xf>
    <xf numFmtId="171" fontId="56" fillId="13" borderId="2" applyAlignment="1" pivotButton="0" quotePrefix="0" xfId="0">
      <alignment horizontal="center" vertical="center" wrapText="1"/>
    </xf>
    <xf numFmtId="3" fontId="56" fillId="13" borderId="2" applyAlignment="1" pivotButton="0" quotePrefix="0" xfId="0">
      <alignment horizontal="center" vertical="center" wrapText="1"/>
    </xf>
    <xf numFmtId="3" fontId="61" fillId="8" borderId="1" applyAlignment="1" pivotButton="0" quotePrefix="0" xfId="0">
      <alignment horizontal="center" vertical="center" wrapText="1"/>
    </xf>
    <xf numFmtId="165" fontId="61" fillId="8" borderId="1" applyAlignment="1" pivotButton="0" quotePrefix="0" xfId="0">
      <alignment horizontal="center" vertical="center" wrapText="1"/>
    </xf>
    <xf numFmtId="172" fontId="67" fillId="13" borderId="0" applyAlignment="1" pivotButton="0" quotePrefix="0" xfId="0">
      <alignment horizontal="center" vertical="center" wrapText="1"/>
    </xf>
    <xf numFmtId="0" fontId="65" fillId="0" borderId="0" applyAlignment="1" pivotButton="0" quotePrefix="0" xfId="0">
      <alignment horizontal="general" vertical="bottom"/>
    </xf>
    <xf numFmtId="0" fontId="56" fillId="0" borderId="0" applyAlignment="1" pivotButton="0" quotePrefix="0" xfId="0">
      <alignment horizontal="general" vertical="bottom"/>
    </xf>
    <xf numFmtId="0" fontId="56" fillId="13" borderId="0" applyAlignment="1" pivotButton="0" quotePrefix="0" xfId="0">
      <alignment horizontal="center" vertical="center" wrapText="1"/>
    </xf>
    <xf numFmtId="0" fontId="67" fillId="13" borderId="0" applyAlignment="1" pivotButton="0" quotePrefix="0" xfId="0">
      <alignment horizontal="center" vertical="center" wrapText="1"/>
    </xf>
    <xf numFmtId="165" fontId="56" fillId="13" borderId="0" applyAlignment="1" pivotButton="0" quotePrefix="0" xfId="0">
      <alignment horizontal="center" vertical="center" wrapText="1"/>
    </xf>
    <xf numFmtId="0" fontId="74" fillId="7" borderId="0" applyAlignment="1" pivotButton="0" quotePrefix="0" xfId="0">
      <alignment horizontal="center" vertical="center" wrapText="1"/>
    </xf>
    <xf numFmtId="0" fontId="66" fillId="0" borderId="0" applyAlignment="1" pivotButton="0" quotePrefix="0" xfId="0">
      <alignment horizontal="left" vertical="top" wrapText="1" indent="1"/>
    </xf>
    <xf numFmtId="0" fontId="67" fillId="13" borderId="0" applyAlignment="1" pivotButton="0" quotePrefix="0" xfId="0">
      <alignment horizontal="left" vertical="center" wrapText="1"/>
    </xf>
    <xf numFmtId="0" fontId="69" fillId="10" borderId="0" applyAlignment="1" pivotButton="0" quotePrefix="0" xfId="0">
      <alignment horizontal="center" vertical="center" wrapText="1"/>
    </xf>
    <xf numFmtId="0" fontId="56" fillId="13" borderId="7" applyAlignment="1" pivotButton="0" quotePrefix="0" xfId="0">
      <alignment horizontal="left" vertical="center" wrapText="1"/>
    </xf>
    <xf numFmtId="0" fontId="56" fillId="13" borderId="7" applyAlignment="1" pivotButton="0" quotePrefix="0" xfId="0">
      <alignment horizontal="center" vertical="center" wrapText="1"/>
    </xf>
    <xf numFmtId="172" fontId="56" fillId="13" borderId="7" applyAlignment="1" pivotButton="0" quotePrefix="0" xfId="0">
      <alignment horizontal="center" vertical="center" wrapText="1"/>
    </xf>
    <xf numFmtId="3" fontId="56" fillId="13" borderId="7" applyAlignment="1" pivotButton="0" quotePrefix="0" xfId="0">
      <alignment horizontal="center" vertical="center" wrapText="1"/>
    </xf>
    <xf numFmtId="10" fontId="56" fillId="13" borderId="7" applyAlignment="1" pivotButton="0" quotePrefix="0" xfId="0">
      <alignment horizontal="center" vertical="center" wrapText="1"/>
    </xf>
    <xf numFmtId="186" fontId="56" fillId="13" borderId="7" applyAlignment="1" pivotButton="0" quotePrefix="0" xfId="0">
      <alignment horizontal="center" vertical="center" wrapText="1"/>
    </xf>
    <xf numFmtId="1" fontId="68" fillId="13" borderId="7" applyAlignment="1" pivotButton="0" quotePrefix="0" xfId="0">
      <alignment horizontal="center" vertical="center" wrapText="1"/>
    </xf>
    <xf numFmtId="0" fontId="68" fillId="13" borderId="7" applyAlignment="1" pivotButton="0" quotePrefix="0" xfId="0">
      <alignment horizontal="center" vertical="center" wrapText="1"/>
    </xf>
    <xf numFmtId="184" fontId="61" fillId="11" borderId="8" applyAlignment="1" pivotButton="0" quotePrefix="0" xfId="0">
      <alignment horizontal="center" vertical="center" wrapText="1"/>
    </xf>
    <xf numFmtId="187" fontId="56" fillId="13" borderId="7" applyAlignment="1" pivotButton="0" quotePrefix="0" xfId="0">
      <alignment horizontal="center" vertical="center" wrapText="1"/>
    </xf>
    <xf numFmtId="3" fontId="67" fillId="13" borderId="7" applyAlignment="1" pivotButton="0" quotePrefix="0" xfId="0">
      <alignment horizontal="center" vertical="center" wrapText="1"/>
    </xf>
    <xf numFmtId="184" fontId="67" fillId="13" borderId="7" applyAlignment="1" pivotButton="0" quotePrefix="0" xfId="0">
      <alignment horizontal="center" vertical="center" wrapText="1"/>
    </xf>
    <xf numFmtId="172" fontId="61" fillId="11" borderId="8" applyAlignment="1" pivotButton="0" quotePrefix="0" xfId="0">
      <alignment horizontal="center" vertical="center" wrapText="1"/>
    </xf>
    <xf numFmtId="0" fontId="63" fillId="0" borderId="0" applyAlignment="1" pivotButton="0" quotePrefix="0" xfId="0">
      <alignment horizontal="left" vertical="center" wrapText="1"/>
    </xf>
    <xf numFmtId="0" fontId="56" fillId="0" borderId="7" applyAlignment="1" pivotButton="0" quotePrefix="0" xfId="0">
      <alignment horizontal="left" vertical="center" wrapText="1"/>
    </xf>
    <xf numFmtId="0" fontId="72" fillId="9" borderId="10" applyAlignment="1" applyProtection="1" pivotButton="0" quotePrefix="0" xfId="0">
      <alignment horizontal="left" vertical="center" wrapText="1"/>
      <protection locked="0" hidden="0"/>
    </xf>
    <xf numFmtId="184" fontId="72" fillId="9" borderId="10" applyAlignment="1" applyProtection="1" pivotButton="0" quotePrefix="0" xfId="0">
      <alignment horizontal="center" vertical="center" wrapText="1"/>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wrapText="1"/>
      <protection locked="0" hidden="0"/>
    </xf>
    <xf numFmtId="0" fontId="69" fillId="10" borderId="9" applyAlignment="1" pivotButton="0" quotePrefix="0" xfId="0">
      <alignment horizontal="center" vertical="center" wrapText="1"/>
    </xf>
    <xf numFmtId="0" fontId="68" fillId="13" borderId="0" applyAlignment="1" pivotButton="0" quotePrefix="0" xfId="0">
      <alignment horizontal="center" vertical="center" wrapText="1"/>
    </xf>
    <xf numFmtId="2" fontId="56" fillId="13" borderId="7" applyAlignment="1" pivotButton="0" quotePrefix="0" xfId="0">
      <alignment horizontal="center" vertical="center" wrapText="1"/>
    </xf>
    <xf numFmtId="166" fontId="56" fillId="13" borderId="7" applyAlignment="1" pivotButton="0" quotePrefix="0" xfId="0">
      <alignment horizontal="center" vertical="center" wrapText="1"/>
    </xf>
    <xf numFmtId="184" fontId="56" fillId="13" borderId="7" applyAlignment="1" pivotButton="0" quotePrefix="0" xfId="0">
      <alignment horizontal="center" vertical="center" wrapText="1"/>
    </xf>
    <xf numFmtId="9" fontId="57" fillId="9" borderId="10" applyAlignment="1" applyProtection="1" pivotButton="0" quotePrefix="0" xfId="0">
      <alignment horizontal="center" vertical="center" wrapText="1"/>
      <protection locked="0" hidden="0"/>
    </xf>
    <xf numFmtId="167" fontId="72" fillId="9" borderId="10" applyAlignment="1" applyProtection="1" pivotButton="0" quotePrefix="0" xfId="0">
      <alignment horizontal="center" vertical="center" wrapText="1"/>
      <protection locked="0" hidden="0"/>
    </xf>
    <xf numFmtId="0" fontId="56" fillId="0" borderId="1" applyAlignment="1" pivotButton="0" quotePrefix="0" xfId="0">
      <alignment horizontal="left" vertical="center" wrapText="1"/>
    </xf>
    <xf numFmtId="165" fontId="56" fillId="9" borderId="10" applyAlignment="1" applyProtection="1" pivotButton="0" quotePrefix="0" xfId="0">
      <alignment horizontal="center" vertical="center" wrapText="1"/>
      <protection locked="0" hidden="0"/>
    </xf>
    <xf numFmtId="0" fontId="66" fillId="0" borderId="0" applyAlignment="1" pivotButton="0" quotePrefix="0" xfId="0">
      <alignment horizontal="general" vertical="bottom"/>
    </xf>
    <xf numFmtId="0" fontId="56" fillId="0" borderId="1" applyAlignment="1" pivotButton="0" quotePrefix="0" xfId="0">
      <alignment horizontal="general" vertical="bottom"/>
    </xf>
    <xf numFmtId="0" fontId="70" fillId="5" borderId="0" applyAlignment="1" pivotButton="0" quotePrefix="0" xfId="0">
      <alignment horizontal="center" vertical="center" wrapText="1"/>
    </xf>
    <xf numFmtId="9" fontId="72" fillId="9" borderId="10" applyAlignment="1" applyProtection="1" pivotButton="0" quotePrefix="0" xfId="0">
      <alignment horizontal="center" vertical="center" wrapText="1"/>
      <protection locked="0" hidden="0"/>
    </xf>
    <xf numFmtId="9" fontId="56" fillId="13" borderId="1" applyAlignment="1" pivotButton="0" quotePrefix="0" xfId="0">
      <alignment horizontal="center" vertical="center" wrapText="1"/>
    </xf>
    <xf numFmtId="165" fontId="76" fillId="8" borderId="1" applyAlignment="1" pivotButton="0" quotePrefix="0" xfId="0">
      <alignment horizontal="center" vertical="center" wrapText="1"/>
    </xf>
    <xf numFmtId="0" fontId="67" fillId="0" borderId="1" applyAlignment="1" pivotButton="0" quotePrefix="0" xfId="0">
      <alignment horizontal="left" vertical="center" wrapText="1"/>
    </xf>
    <xf numFmtId="0" fontId="61" fillId="8" borderId="1" applyAlignment="1" pivotButton="0" quotePrefix="0" xfId="0">
      <alignment horizontal="center" vertical="center" wrapText="1"/>
    </xf>
    <xf numFmtId="10" fontId="72" fillId="9" borderId="10" applyAlignment="1" applyProtection="1" pivotButton="0" quotePrefix="0" xfId="0">
      <alignment horizontal="center" vertical="center" wrapText="1"/>
      <protection locked="0" hidden="0"/>
    </xf>
    <xf numFmtId="0" fontId="61" fillId="9" borderId="10" applyAlignment="1" applyProtection="1" pivotButton="0" quotePrefix="0" xfId="0">
      <alignment horizontal="center" vertical="center" wrapText="1"/>
      <protection locked="0" hidden="0"/>
    </xf>
    <xf numFmtId="173" fontId="57" fillId="9" borderId="10" applyAlignment="1" applyProtection="1" pivotButton="0" quotePrefix="0" xfId="0">
      <alignment horizontal="center" vertical="center" wrapText="1"/>
      <protection locked="0" hidden="0"/>
    </xf>
    <xf numFmtId="9" fontId="56" fillId="13" borderId="7" applyAlignment="1" pivotButton="0" quotePrefix="0" xfId="0">
      <alignment horizontal="center" vertical="center" wrapText="1"/>
    </xf>
    <xf numFmtId="0" fontId="68" fillId="0" borderId="7" applyAlignment="1" pivotButton="0" quotePrefix="0" xfId="0">
      <alignment horizontal="left" vertical="center" wrapText="1"/>
    </xf>
    <xf numFmtId="9" fontId="56" fillId="0" borderId="7" applyAlignment="1" pivotButton="0" quotePrefix="0" xfId="0">
      <alignment horizontal="center" vertical="center" wrapText="1"/>
    </xf>
    <xf numFmtId="0" fontId="67" fillId="11" borderId="7" applyAlignment="1" pivotButton="0" quotePrefix="0" xfId="0">
      <alignment horizontal="left" vertical="center" wrapText="1"/>
    </xf>
    <xf numFmtId="184" fontId="67" fillId="11" borderId="7" applyAlignment="1" pivotButton="0" quotePrefix="0" xfId="0">
      <alignment horizontal="center" vertical="center" wrapText="1"/>
    </xf>
    <xf numFmtId="0" fontId="67" fillId="11" borderId="7" applyAlignment="1" pivotButton="0" quotePrefix="0" xfId="0">
      <alignment vertical="center"/>
    </xf>
    <xf numFmtId="0" fontId="68" fillId="11" borderId="7" applyAlignment="1" pivotButton="0" quotePrefix="0" xfId="0">
      <alignment horizontal="left" vertical="center" wrapText="1"/>
    </xf>
    <xf numFmtId="167" fontId="61" fillId="11" borderId="8" applyAlignment="1" pivotButton="0" quotePrefix="0" xfId="0">
      <alignment horizontal="center" vertical="center" wrapText="1"/>
    </xf>
    <xf numFmtId="188" fontId="56" fillId="13" borderId="7" applyAlignment="1" pivotButton="0" quotePrefix="0" xfId="0">
      <alignment horizontal="center" vertical="center" wrapText="1"/>
    </xf>
    <xf numFmtId="0" fontId="68" fillId="11" borderId="7" applyAlignment="1" pivotButton="0" quotePrefix="0" xfId="0">
      <alignment horizontal="center" vertical="center" wrapText="1"/>
    </xf>
    <xf numFmtId="174" fontId="72" fillId="9" borderId="10" applyAlignment="1" applyProtection="1" pivotButton="0" quotePrefix="0" xfId="0">
      <alignment horizontal="center" vertical="center" wrapText="1"/>
      <protection locked="0" hidden="0"/>
    </xf>
    <xf numFmtId="175" fontId="72" fillId="13" borderId="0" applyAlignment="1" pivotButton="0" quotePrefix="0" xfId="0">
      <alignment horizontal="center" vertical="center" wrapText="1"/>
    </xf>
    <xf numFmtId="165" fontId="72" fillId="13" borderId="0" applyAlignment="1" pivotButton="0" quotePrefix="0" xfId="0">
      <alignment horizontal="center" vertical="center" wrapText="1"/>
    </xf>
    <xf numFmtId="1" fontId="57" fillId="13" borderId="1" applyAlignment="1" pivotButton="0" quotePrefix="0" xfId="0">
      <alignment horizontal="center" vertical="center" wrapText="1"/>
    </xf>
    <xf numFmtId="2" fontId="72" fillId="9" borderId="10" applyAlignment="1" applyProtection="1" pivotButton="0" quotePrefix="0" xfId="0">
      <alignment horizontal="center" vertical="center" wrapText="1"/>
      <protection locked="0" hidden="0"/>
    </xf>
    <xf numFmtId="172" fontId="57" fillId="9" borderId="10" applyAlignment="1" applyProtection="1" pivotButton="0" quotePrefix="0" xfId="0">
      <alignment horizontal="center" vertical="center" wrapText="1"/>
      <protection locked="0" hidden="0"/>
    </xf>
    <xf numFmtId="0" fontId="76" fillId="13" borderId="1" applyAlignment="1" pivotButton="0" quotePrefix="0" xfId="0">
      <alignment horizontal="center" vertical="center" wrapText="1"/>
    </xf>
    <xf numFmtId="3" fontId="72" fillId="13" borderId="0" applyAlignment="1" pivotButton="0" quotePrefix="0" xfId="0">
      <alignment horizontal="center" vertical="center" wrapText="1"/>
    </xf>
    <xf numFmtId="176" fontId="72" fillId="9" borderId="10" applyAlignment="1" applyProtection="1" pivotButton="0" quotePrefix="0" xfId="0">
      <alignment horizontal="center" vertical="center" wrapText="1"/>
      <protection locked="0" hidden="0"/>
    </xf>
    <xf numFmtId="168" fontId="71" fillId="13" borderId="2" applyAlignment="1" pivotButton="0" quotePrefix="0" xfId="0">
      <alignment horizontal="center" vertical="center" wrapText="1"/>
    </xf>
    <xf numFmtId="0" fontId="76" fillId="0" borderId="0" applyAlignment="1" pivotButton="0" quotePrefix="0" xfId="0">
      <alignment horizontal="left" vertical="center" wrapText="1"/>
    </xf>
    <xf numFmtId="172" fontId="72" fillId="13" borderId="0" applyAlignment="1" pivotButton="0" quotePrefix="0" xfId="0">
      <alignment horizontal="center" vertical="center" wrapText="1"/>
    </xf>
    <xf numFmtId="4" fontId="72" fillId="13" borderId="0" applyAlignment="1" pivotButton="0" quotePrefix="0" xfId="0">
      <alignment horizontal="center" vertical="center" wrapText="1"/>
    </xf>
    <xf numFmtId="175" fontId="72" fillId="9" borderId="10" applyAlignment="1" applyProtection="1" pivotButton="0" quotePrefix="0" xfId="0">
      <alignment horizontal="center" vertical="center" wrapText="1"/>
      <protection locked="0" hidden="0"/>
    </xf>
    <xf numFmtId="165" fontId="72" fillId="9" borderId="10" applyAlignment="1" applyProtection="1" pivotButton="0" quotePrefix="0" xfId="0">
      <alignment horizontal="center" vertical="center" wrapText="1"/>
      <protection locked="0" hidden="0"/>
    </xf>
    <xf numFmtId="165" fontId="67" fillId="13" borderId="1" applyAlignment="1" pivotButton="0" quotePrefix="0" xfId="0">
      <alignment horizontal="center" vertical="center" wrapText="1"/>
    </xf>
    <xf numFmtId="0" fontId="72" fillId="13" borderId="0" applyAlignment="1" pivotButton="0" quotePrefix="0" xfId="0">
      <alignment horizontal="center" vertical="center" wrapText="1"/>
    </xf>
    <xf numFmtId="4" fontId="72" fillId="9" borderId="10" applyAlignment="1" applyProtection="1" pivotButton="0" quotePrefix="0" xfId="0">
      <alignment horizontal="center" vertical="center" wrapText="1"/>
      <protection locked="0" hidden="0"/>
    </xf>
    <xf numFmtId="0" fontId="68" fillId="0" borderId="0" applyAlignment="1" pivotButton="0" quotePrefix="0" xfId="0">
      <alignment horizontal="left" vertical="top" wrapText="1" indent="1"/>
    </xf>
    <xf numFmtId="9" fontId="72" fillId="13" borderId="0" applyAlignment="1" pivotButton="0" quotePrefix="0" xfId="0">
      <alignment horizontal="center" vertical="center" wrapText="1"/>
    </xf>
    <xf numFmtId="177" fontId="72" fillId="9" borderId="10" applyAlignment="1" applyProtection="1" pivotButton="0" quotePrefix="0" xfId="0">
      <alignment horizontal="center" vertical="center" wrapText="1"/>
      <protection locked="0" hidden="0"/>
    </xf>
    <xf numFmtId="177" fontId="57" fillId="9" borderId="10" applyAlignment="1" applyProtection="1" pivotButton="0" quotePrefix="0" xfId="0">
      <alignment horizontal="center" vertical="center" wrapText="1"/>
      <protection locked="0" hidden="0"/>
    </xf>
    <xf numFmtId="3" fontId="61" fillId="13" borderId="1" applyAlignment="1" pivotButton="0" quotePrefix="0" xfId="0">
      <alignment horizontal="center" vertical="center" wrapText="1"/>
    </xf>
    <xf numFmtId="173" fontId="72" fillId="9" borderId="10" applyAlignment="1" applyProtection="1" pivotButton="0" quotePrefix="0" xfId="0">
      <alignment horizontal="center" vertical="center" wrapText="1"/>
      <protection locked="0" hidden="0"/>
    </xf>
    <xf numFmtId="182" fontId="61" fillId="13" borderId="1" applyAlignment="1" pivotButton="0" quotePrefix="0" xfId="0">
      <alignment horizontal="center" vertical="center" wrapText="1"/>
    </xf>
    <xf numFmtId="0" fontId="66" fillId="0" borderId="0" applyAlignment="1" pivotButton="0" quotePrefix="0" xfId="0">
      <alignment horizontal="left" vertical="top" wrapText="1"/>
    </xf>
    <xf numFmtId="0" fontId="61" fillId="13" borderId="1" applyAlignment="1" pivotButton="0" quotePrefix="0" xfId="0">
      <alignment horizontal="center" vertical="center" wrapText="1"/>
    </xf>
    <xf numFmtId="178" fontId="72" fillId="9" borderId="10" applyAlignment="1" applyProtection="1" pivotButton="0" quotePrefix="0" xfId="0">
      <alignment horizontal="center" vertical="center" wrapText="1"/>
      <protection locked="0" hidden="0"/>
    </xf>
    <xf numFmtId="0" fontId="66" fillId="0" borderId="1" applyAlignment="1" pivotButton="0" quotePrefix="0" xfId="0">
      <alignment horizontal="left" vertical="center" wrapText="1"/>
    </xf>
    <xf numFmtId="167" fontId="49" fillId="0" borderId="0" applyAlignment="1" pivotButton="0" quotePrefix="0" xfId="0">
      <alignment horizontal="right" vertical="center"/>
    </xf>
    <xf numFmtId="181" fontId="49" fillId="0" borderId="0" applyAlignment="1" pivotButton="0" quotePrefix="0" xfId="0">
      <alignment horizontal="right" vertical="center"/>
    </xf>
    <xf numFmtId="0" fontId="59" fillId="0" borderId="14" applyProtection="1" pivotButton="0" quotePrefix="0" xfId="0">
      <protection locked="0" hidden="0"/>
    </xf>
    <xf numFmtId="0" fontId="0" fillId="0" borderId="13" applyProtection="1" pivotButton="0" quotePrefix="0" xfId="0">
      <protection locked="0" hidden="0"/>
    </xf>
    <xf numFmtId="0" fontId="70" fillId="0" borderId="0" applyAlignment="1" pivotButton="0" quotePrefix="0" xfId="0">
      <alignment vertical="top" wrapText="1"/>
    </xf>
    <xf numFmtId="0" fontId="80" fillId="13" borderId="0" applyAlignment="1" pivotButton="0" quotePrefix="0" xfId="0">
      <alignment horizontal="center" vertical="center" wrapText="1"/>
    </xf>
    <xf numFmtId="172" fontId="71" fillId="13"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Arial"/>
        <color rgb="FFB0B0B0"/>
        <sz val="9"/>
      </font>
      <fill>
        <patternFill patternType="solid">
          <fgColor rgb="FFF2F2F2"/>
        </patternFill>
      </fill>
    </dxf>
  </dxf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3.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4.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5.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6.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3.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4.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000E7C82"/>
    <outlinePr summaryBelow="1" summaryRight="1"/>
    <pageSetUpPr fitToPage="1"/>
  </sheetPr>
  <dimension ref="A1:B19"/>
  <sheetViews>
    <sheetView tabSelected="1" zoomScale="100" workbookViewId="0">
      <pane ySplit="2" topLeftCell="A3" activePane="bottomLeft" state="frozen"/>
      <selection pane="bottomLeft" activeCell="A1" sqref="A1"/>
    </sheetView>
  </sheetViews>
  <sheetFormatPr baseColWidth="8" defaultRowHeight="15"/>
  <cols>
    <col width="6" customWidth="1" style="254" min="1" max="1"/>
    <col width="100" customWidth="1" style="254" min="2" max="2"/>
  </cols>
  <sheetData>
    <row r="1" ht="30" customHeight="1" s="254">
      <c r="A1" s="777" t="n"/>
      <c r="B1" s="778" t="inlineStr">
        <is>
          <t>START HERE — how to fill this intake</t>
        </is>
      </c>
    </row>
    <row r="2">
      <c r="B2" s="779" t="inlineStr">
        <is>
          <t>Two minutes to read. The tabs run left to right in the order you should fill them.</t>
        </is>
      </c>
    </row>
    <row r="3" s="254"/>
    <row r="4" ht="48.5" customHeight="1" s="254">
      <c r="A4" s="780" t="inlineStr">
        <is>
          <t>1</t>
        </is>
      </c>
      <c r="B4" s="781" t="inlineStr">
        <is>
          <t>Fill the tabs in order: Project → Equipment → Electrical → Construction → Commercial → Revenue → Carbon. Existing is for sites that already have chargers OR an existing service the new chargers will connect to; Deal_Structure and Overrides only if they apply; Pricing computes itself.</t>
        </is>
      </c>
    </row>
    <row r="5" ht="21.5" customHeight="1" s="254">
      <c r="A5" s="780" t="inlineStr">
        <is>
          <t>2</t>
        </is>
      </c>
      <c r="B5" s="781" t="inlineStr">
        <is>
          <t>Blue cells are yours. Type only in blue cells. Everything else is locked and works itself out.</t>
        </is>
      </c>
    </row>
    <row r="6" ht="35" customHeight="1" s="254">
      <c r="A6" s="780" t="inlineStr">
        <is>
          <t>3</t>
        </is>
      </c>
      <c r="B6" s="781" t="inlineStr">
        <is>
          <t>Pick from the dropdown where one is offered. The price book, the rate library and the utility list sit behind the dropdowns on hidden tabs — right-click any tab and choose Unhide if you need to see them.</t>
        </is>
      </c>
    </row>
    <row r="7" ht="48.5" customHeight="1" s="254">
      <c r="A7" s="780" t="inlineStr">
        <is>
          <t>4</t>
        </is>
      </c>
      <c r="B7" s="781" t="inlineStr">
        <is>
          <t>A [+] in the left margin means a block is folded away because most sites do not need it — entry checks, replacement-site sections, power-cabinet runs, derived working. The heading stays visible; click [+] to open it.</t>
        </is>
      </c>
    </row>
    <row r="8" ht="35" customHeight="1" s="254">
      <c r="A8" s="780" t="inlineStr">
        <is>
          <t>5</t>
        </is>
      </c>
      <c r="B8" s="781" t="inlineStr">
        <is>
          <t>Leave a blue cell blank if you do not know the answer. Never type N/A, ?, TBC or a note into a number cell — a blank is read correctly, a word breaks the calculation.</t>
        </is>
      </c>
    </row>
    <row r="9" ht="35" customHeight="1" s="254">
      <c r="A9" s="780" t="inlineStr">
        <is>
          <t>6</t>
        </is>
      </c>
      <c r="B9" s="781" t="inlineStr">
        <is>
          <t>Before you send it back, look at the verdict lines: ENTRY CHECKS ALL PASS at the foot of Equipment, the verdict column on the Electrical charger runs, and any line reading FIX or MISMATCH.</t>
        </is>
      </c>
    </row>
    <row r="10" ht="35" customHeight="1" s="254">
      <c r="A10" s="780" t="inlineStr">
        <is>
          <t>7</t>
        </is>
      </c>
      <c r="B10" s="781" t="inlineStr">
        <is>
          <t>Do not add rows, columns or tabs, and do not move anything. The model reads this file by its labels. Save it with the revision letter in the file name and record what you changed on the Revisions tab.</t>
        </is>
      </c>
    </row>
    <row r="11" s="254"/>
    <row r="12">
      <c r="B12" s="782" t="inlineStr">
        <is>
          <t>What the colours mean</t>
        </is>
      </c>
    </row>
    <row r="13" ht="18" customHeight="1" s="254">
      <c r="A13" s="783" t="inlineStr"/>
      <c r="B13" s="784" t="inlineStr">
        <is>
          <t>Blue — yours to fill. Unlocked. A dropdown may be attached.</t>
        </is>
      </c>
    </row>
    <row r="14" ht="18" customHeight="1" s="254">
      <c r="A14" s="785" t="inlineStr"/>
      <c r="B14" s="784" t="inlineStr">
        <is>
          <t>Grey — computed. Locked. Reads your blue cells and the reference tabs.</t>
        </is>
      </c>
    </row>
    <row r="15" ht="18" customHeight="1" s="254">
      <c r="A15" s="786" t="inlineStr"/>
      <c r="B15" s="784" t="inlineStr">
        <is>
          <t>Green — a check that passes, or a total.</t>
        </is>
      </c>
    </row>
    <row r="16" ht="18" customHeight="1" s="254">
      <c r="A16" s="787" t="inlineStr"/>
      <c r="B16" s="784" t="inlineStr">
        <is>
          <t>Amber — a caution note worth reading before you fill the block above it.</t>
        </is>
      </c>
    </row>
    <row r="17" ht="18" customHeight="1" s="254">
      <c r="A17" s="788" t="inlineStr"/>
      <c r="B17" s="789" t="inlineStr">
        <is>
          <t>Teal band — a table header. The table's rows are below it.</t>
        </is>
      </c>
    </row>
    <row r="18" s="254"/>
    <row r="19">
      <c r="B19" s="779" t="inlineStr">
        <is>
          <t>Questions go to the Zero Impact Energy EV Charging Infrastructure 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fitToHeight="0" fitToWidth="1"/>
</worksheet>
</file>

<file path=xl/worksheets/sheet2.xml><?xml version="1.0" encoding="utf-8"?>
<worksheet xmlns="http://schemas.openxmlformats.org/spreadsheetml/2006/main">
  <sheetPr filterMode="0">
    <tabColor rgb="000E7C82"/>
    <outlinePr summaryBelow="1" summaryRight="1"/>
    <pageSetUpPr fitToPage="1"/>
  </sheetPr>
  <dimension ref="A1:D56"/>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32" customWidth="1" style="253" min="1" max="1"/>
    <col width="24" customWidth="1" style="253" min="2" max="2"/>
    <col width="80" customWidth="1" style="253" min="3" max="3"/>
    <col width="10" customWidth="1" style="253" min="4" max="4"/>
  </cols>
  <sheetData>
    <row r="1" ht="26" customHeight="1" s="254">
      <c r="A1" s="790" t="inlineStr">
        <is>
          <t>DOCUMENT CONTROL</t>
        </is>
      </c>
      <c r="D1" s="791" t="n"/>
    </row>
    <row r="2" ht="56" customHeight="1" s="254">
      <c r="A2" s="792" t="inlineStr">
        <is>
          <t>Hardcoded. These values identify which generation of the template a returned file came from — never make them formulas.</t>
        </is>
      </c>
      <c r="B2" s="791" t="n"/>
      <c r="C2" s="791" t="n"/>
      <c r="D2" s="791" t="n"/>
    </row>
    <row r="3" s="254">
      <c r="A3" s="942" t="n"/>
      <c r="B3" s="942" t="n"/>
      <c r="C3" s="942" t="n"/>
      <c r="D3" s="942" t="n"/>
    </row>
    <row r="4" ht="19.75" customHeight="1" s="254">
      <c r="A4" s="794" t="inlineStr">
        <is>
          <t>Template version</t>
        </is>
      </c>
      <c r="B4" s="795" t="inlineStr">
        <is>
          <t>3.7.0</t>
        </is>
      </c>
      <c r="C4" s="791" t="n"/>
      <c r="D4" s="791" t="n"/>
    </row>
    <row r="5" ht="16" customHeight="1" s="254">
      <c r="A5" s="794" t="inlineStr">
        <is>
          <t>Released</t>
        </is>
      </c>
      <c r="B5" s="796" t="inlineStr">
        <is>
          <t>2026-09-15</t>
        </is>
      </c>
      <c r="C5" s="791" t="n"/>
      <c r="D5" s="791" t="n"/>
    </row>
    <row r="6" ht="16" customHeight="1" s="254">
      <c r="A6" s="794" t="inlineStr">
        <is>
          <t>Template name</t>
        </is>
      </c>
      <c r="B6" s="796" t="inlineStr">
        <is>
          <t>EVSE Project Intake</t>
        </is>
      </c>
      <c r="C6" s="791" t="n"/>
      <c r="D6" s="791" t="n"/>
    </row>
    <row r="7" ht="16" customHeight="1" s="254">
      <c r="A7" s="794" t="inlineStr">
        <is>
          <t>Issued by</t>
        </is>
      </c>
      <c r="B7" s="796" t="inlineStr">
        <is>
          <t>Zero Impact Energy</t>
        </is>
      </c>
      <c r="C7" s="791" t="n"/>
      <c r="D7" s="791" t="n"/>
    </row>
    <row r="8" ht="31" customHeight="1" s="254">
      <c r="A8" s="794" t="inlineStr">
        <is>
          <t>Template content hash</t>
        </is>
      </c>
      <c r="B8" s="795" t="inlineStr">
        <is>
          <t>a9ba811854921b2d</t>
        </is>
      </c>
      <c r="C8" s="797" t="inlineStr">
        <is>
          <t>The hash of the BLANK template this file was built from, frozen at its release. It does not change when you fill the sheet in.</t>
        </is>
      </c>
      <c r="D8" s="943" t="n"/>
    </row>
    <row r="9" ht="19.75" customHeight="1" s="254">
      <c r="A9" s="798" t="inlineStr">
        <is>
          <t>Completed by — fill these in</t>
        </is>
      </c>
      <c r="B9" s="791" t="n"/>
      <c r="C9" s="791" t="n"/>
      <c r="D9" s="791" t="n"/>
    </row>
    <row r="10" ht="16" customHeight="1" s="254">
      <c r="A10" s="781" t="inlineStr">
        <is>
          <t>This file version</t>
        </is>
      </c>
      <c r="B10" s="799" t="n"/>
      <c r="C10" s="800" t="inlineStr">
        <is>
          <t>e.g. Rev A, Rev B — increment each time you send it back</t>
        </is>
      </c>
      <c r="D10" s="943" t="n"/>
    </row>
    <row r="11" ht="16" customHeight="1" s="254">
      <c r="A11" s="781" t="inlineStr">
        <is>
          <t>Date completed</t>
        </is>
      </c>
      <c r="B11" s="799" t="n"/>
      <c r="C11" s="791" t="n"/>
      <c r="D11" s="791" t="n"/>
    </row>
    <row r="12" ht="16" customHeight="1" s="254">
      <c r="A12" s="781" t="inlineStr">
        <is>
          <t>Completed by</t>
        </is>
      </c>
      <c r="B12" s="799" t="n"/>
      <c r="C12" s="791" t="n"/>
      <c r="D12" s="791" t="n"/>
    </row>
    <row r="13" ht="16" customHeight="1" s="254">
      <c r="A13" s="781" t="inlineStr">
        <is>
          <t>Project reference</t>
        </is>
      </c>
      <c r="B13" s="799" t="n"/>
      <c r="C13" s="791" t="n"/>
      <c r="D13" s="791" t="n"/>
    </row>
    <row r="14" ht="16" customHeight="1" s="254">
      <c r="A14" s="781" t="inlineStr">
        <is>
          <t>Notes on this revision</t>
        </is>
      </c>
      <c r="B14" s="799" t="n"/>
      <c r="C14" s="800" t="inlineStr">
        <is>
          <t>What changed since the last version you sent</t>
        </is>
      </c>
      <c r="D14" s="791" t="n"/>
    </row>
    <row r="15" ht="31" customHeight="1" s="254">
      <c r="A15" s="781" t="inlineStr">
        <is>
          <t>File content hash</t>
        </is>
      </c>
      <c r="B15" s="791" t="inlineStr">
        <is>
          <t>a9ba811854921b2d</t>
        </is>
      </c>
      <c r="C15" s="797" t="inlineStr">
        <is>
          <t>A hash of THIS workbook. It changes every time someone edits it, and it is what a model records so you can tell whether the model was built from the file in front of you.</t>
        </is>
      </c>
      <c r="D15" s="943" t="n"/>
    </row>
    <row r="16" ht="19.75" customHeight="1" s="254">
      <c r="A16" s="798" t="inlineStr">
        <is>
          <t>Changelog</t>
        </is>
      </c>
      <c r="B16" s="791" t="n"/>
      <c r="C16" s="791" t="n"/>
      <c r="D16" s="791" t="n"/>
    </row>
    <row r="17" ht="16" customHeight="1" s="254">
      <c r="A17" s="801" t="inlineStr">
        <is>
          <t>Version</t>
        </is>
      </c>
      <c r="B17" s="801" t="inlineStr">
        <is>
          <t>Released</t>
        </is>
      </c>
      <c r="C17" s="801" t="inlineStr">
        <is>
          <t>What changed</t>
        </is>
      </c>
      <c r="D17" s="791" t="n"/>
    </row>
    <row r="18" ht="31" customHeight="1" s="254">
      <c r="A18" s="802" t="inlineStr">
        <is>
          <t>1.0.0</t>
        </is>
      </c>
      <c r="B18" s="803" t="inlineStr">
        <is>
          <t>2026-08-26</t>
        </is>
      </c>
      <c r="C18" s="803" t="inlineStr">
        <is>
          <t>Initial release — project, equipment, electrical, construction, commercial, revenue and carbon intake with live consistency checks.</t>
        </is>
      </c>
      <c r="D18" s="943" t="n"/>
    </row>
    <row r="19" ht="16" customHeight="1" s="254">
      <c r="A19" s="802" t="inlineStr">
        <is>
          <t>1.1.0</t>
        </is>
      </c>
      <c r="B19" s="803" t="inlineStr">
        <is>
          <t>2026-08-26</t>
        </is>
      </c>
      <c r="C19" s="803" t="inlineStr">
        <is>
          <t>Deal structure knobs and the override register. Base case unchanged at zero.</t>
        </is>
      </c>
      <c r="D19" s="943" t="n"/>
    </row>
    <row r="20" ht="31" customHeight="1" s="254">
      <c r="A20" s="802" t="inlineStr">
        <is>
          <t>1.2.0</t>
        </is>
      </c>
      <c r="B20" s="803" t="inlineStr">
        <is>
          <t>2026-08-26</t>
        </is>
      </c>
      <c r="C20" s="803" t="inlineStr">
        <is>
          <t>PG&amp;E Rule 29 interconnection capture. Electrical materials costed independently of the EVSE price book.</t>
        </is>
      </c>
      <c r="D20" s="943" t="n"/>
    </row>
    <row r="21" ht="31" customHeight="1" s="254">
      <c r="A21" s="802" t="inlineStr">
        <is>
          <t>1.3.0</t>
        </is>
      </c>
      <c r="B21" s="803" t="inlineStr">
        <is>
          <t>2026-08-26</t>
        </is>
      </c>
      <c r="C21" s="803" t="inlineStr">
        <is>
          <t>Utility rate engine across PG&amp;E, SCE and SDG&amp;E. Market benchmarks. Demand subscription ramps with concurrency.</t>
        </is>
      </c>
      <c r="D21" s="943" t="n"/>
    </row>
    <row r="22" ht="31" customHeight="1" s="254">
      <c r="A22" s="802" t="inlineStr">
        <is>
          <t>1.4.0</t>
        </is>
      </c>
      <c r="B22" s="803" t="inlineStr">
        <is>
          <t>2026-08-26</t>
        </is>
      </c>
      <c r="C22" s="803" t="inlineStr">
        <is>
          <t>Scope of supply controls — each service line can be provided by us, by others, or not required. Document control added.</t>
        </is>
      </c>
      <c r="D22" s="943" t="n"/>
    </row>
    <row r="23" ht="31" customHeight="1" s="254">
      <c r="A23" s="802" t="inlineStr">
        <is>
          <t>1.5.0</t>
        </is>
      </c>
      <c r="B23" s="803" t="inlineStr">
        <is>
          <t>2026-08-26</t>
        </is>
      </c>
      <c r="C23" s="803" t="inlineStr">
        <is>
          <t>Mixed-fleet fix — accessories no longer counted as charging units, and the placement check compares against DC cabinets only.</t>
        </is>
      </c>
      <c r="D23" s="943" t="n"/>
    </row>
    <row r="24" ht="31" customHeight="1" s="254">
      <c r="A24" s="802" t="inlineStr">
        <is>
          <t>1.6.0</t>
        </is>
      </c>
      <c r="B24" s="803" t="inlineStr">
        <is>
          <t>2026-08-26</t>
        </is>
      </c>
      <c r="C24" s="803" t="inlineStr">
        <is>
          <t>Description was not recorded at the time. The change sits between the mixed-fleet fix (1.5.0) and the rip-and-replace capability (1.7.0).</t>
        </is>
      </c>
      <c r="D24" s="943" t="n"/>
    </row>
    <row r="25" ht="56" customHeight="1" s="254">
      <c r="A25" s="802" t="inlineStr">
        <is>
          <t>1.7.0</t>
        </is>
      </c>
      <c r="B25" s="803" t="inlineStr">
        <is>
          <t>2026-08-26</t>
        </is>
      </c>
      <c r="C25" s="803"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943" t="n"/>
    </row>
    <row r="26" ht="81" customHeight="1" s="254">
      <c r="A26" s="802" t="inlineStr">
        <is>
          <t>1.8.0</t>
        </is>
      </c>
      <c r="B26" s="803" t="inlineStr">
        <is>
          <t>2026-08-26</t>
        </is>
      </c>
      <c r="C26" s="803"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943" t="n"/>
    </row>
    <row r="27" ht="56" customHeight="1" s="254">
      <c r="A27" s="802" t="inlineStr">
        <is>
          <t>1.9.0</t>
        </is>
      </c>
      <c r="B27" s="803" t="inlineStr">
        <is>
          <t>2026-08-27</t>
        </is>
      </c>
      <c r="C27" s="803"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943" t="n"/>
    </row>
    <row r="28" ht="81" customHeight="1" s="254">
      <c r="A28" s="802" t="inlineStr">
        <is>
          <t>1.10.0</t>
        </is>
      </c>
      <c r="B28" s="803" t="inlineStr">
        <is>
          <t>2026-08-27</t>
        </is>
      </c>
      <c r="C28" s="803"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943" t="n"/>
    </row>
    <row r="29" ht="106" customHeight="1" s="254">
      <c r="A29" s="802" t="inlineStr">
        <is>
          <t>1.11.0</t>
        </is>
      </c>
      <c r="B29" s="803" t="inlineStr">
        <is>
          <t>2026-08-27</t>
        </is>
      </c>
      <c r="C29" s="803"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943" t="n"/>
    </row>
    <row r="30" ht="106" customHeight="1" s="254">
      <c r="A30" s="802" t="inlineStr">
        <is>
          <t>1.12.0</t>
        </is>
      </c>
      <c r="B30" s="803" t="inlineStr">
        <is>
          <t>2026-08-27</t>
        </is>
      </c>
      <c r="C30" s="803"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943" t="n"/>
    </row>
    <row r="31" ht="56" customHeight="1" s="254">
      <c r="A31" s="802" t="inlineStr">
        <is>
          <t>1.12.1</t>
        </is>
      </c>
      <c r="B31" s="803" t="inlineStr">
        <is>
          <t>2026-08-27</t>
        </is>
      </c>
      <c r="C31" s="803"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943" t="n"/>
    </row>
    <row r="32" ht="56" customHeight="1" s="254">
      <c r="A32" s="802" t="inlineStr">
        <is>
          <t>1.13.0</t>
        </is>
      </c>
      <c r="B32" s="803" t="inlineStr">
        <is>
          <t>2026-08-27</t>
        </is>
      </c>
      <c r="C32" s="803"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943" t="n"/>
    </row>
    <row r="33" ht="93.5" customHeight="1" s="254">
      <c r="A33" s="802" t="inlineStr">
        <is>
          <t>1.14.0</t>
        </is>
      </c>
      <c r="B33" s="803" t="inlineStr">
        <is>
          <t>2026-08-27</t>
        </is>
      </c>
      <c r="C33" s="803"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943" t="n"/>
    </row>
    <row r="34" ht="68.5" customHeight="1" s="254">
      <c r="A34" s="802" t="inlineStr">
        <is>
          <t>2.0.0</t>
        </is>
      </c>
      <c r="B34" s="803" t="inlineStr">
        <is>
          <t>2026-08-28</t>
        </is>
      </c>
      <c r="C34" s="803"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943" t="n"/>
    </row>
    <row r="35" ht="131" customHeight="1" s="254">
      <c r="A35" s="802" t="inlineStr">
        <is>
          <t>2.1.0</t>
        </is>
      </c>
      <c r="B35" s="803" t="inlineStr">
        <is>
          <t>2026-08-28</t>
        </is>
      </c>
      <c r="C35" s="803"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943" t="n"/>
    </row>
    <row r="36" ht="81" customHeight="1" s="254">
      <c r="A36" s="802" t="inlineStr">
        <is>
          <t>2.1.1</t>
        </is>
      </c>
      <c r="B36" s="803" t="inlineStr">
        <is>
          <t>2026-08-28</t>
        </is>
      </c>
      <c r="C36" s="803"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943" t="n"/>
    </row>
    <row r="37" ht="43.5" customHeight="1" s="254">
      <c r="A37" s="802" t="inlineStr">
        <is>
          <t>2.1.2</t>
        </is>
      </c>
      <c r="B37" s="803" t="inlineStr">
        <is>
          <t>2026-08-28</t>
        </is>
      </c>
      <c r="C37" s="803" t="inlineStr">
        <is>
          <t>Removed a duplicate hash row this script had created by matching only the pre-rename label — two hashes for one workbook, inside the mechanism built to stop exactly that. Both scripts now accept either label.</t>
        </is>
      </c>
      <c r="D37" s="943" t="n"/>
    </row>
    <row r="38" ht="156" customHeight="1" s="254">
      <c r="A38" s="802" t="inlineStr">
        <is>
          <t>2.2.0</t>
        </is>
      </c>
      <c r="B38" s="803" t="inlineStr">
        <is>
          <t>2026-08-28</t>
        </is>
      </c>
      <c r="C38" s="803"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943" t="n"/>
    </row>
    <row r="39" ht="405" customHeight="1" s="254">
      <c r="A39" s="802" t="inlineStr">
        <is>
          <t>2.5.0</t>
        </is>
      </c>
      <c r="B39" s="803" t="inlineStr">
        <is>
          <t>2026-08-28</t>
        </is>
      </c>
      <c r="C39" s="803"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943" t="n"/>
    </row>
    <row r="40" ht="268.5" customHeight="1" s="254">
      <c r="A40" s="802" t="inlineStr">
        <is>
          <t>2.6.0</t>
        </is>
      </c>
      <c r="B40" s="803" t="inlineStr">
        <is>
          <t>2026-08-28</t>
        </is>
      </c>
      <c r="C40" s="803"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943" t="n"/>
    </row>
    <row r="41" ht="106" customHeight="1" s="254">
      <c r="A41" s="802" t="inlineStr">
        <is>
          <t>2.7.0</t>
        </is>
      </c>
      <c r="B41" s="803" t="inlineStr">
        <is>
          <t>2026-08-28</t>
        </is>
      </c>
      <c r="C41" s="803"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943" t="n"/>
    </row>
    <row r="42" ht="118.5" customHeight="1" s="254">
      <c r="A42" s="802" t="inlineStr">
        <is>
          <t>2.7.1</t>
        </is>
      </c>
      <c r="B42" s="803" t="inlineStr">
        <is>
          <t>2026-08-28</t>
        </is>
      </c>
      <c r="C42" s="803"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943" t="n"/>
    </row>
    <row r="43" ht="168.5" customHeight="1" s="254">
      <c r="A43" s="802" t="inlineStr">
        <is>
          <t>2.7.2</t>
        </is>
      </c>
      <c r="B43" s="803" t="inlineStr">
        <is>
          <t>2026-08-28</t>
        </is>
      </c>
      <c r="C43" s="803"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943" t="n"/>
    </row>
    <row r="44" ht="106" customHeight="1" s="254">
      <c r="A44" s="802" t="inlineStr">
        <is>
          <t>2.8.0</t>
        </is>
      </c>
      <c r="B44" s="803" t="inlineStr">
        <is>
          <t>2026-08-29</t>
        </is>
      </c>
      <c r="C44" s="803"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943" t="n"/>
    </row>
    <row r="45" ht="156" customHeight="1" s="254">
      <c r="A45" s="802" t="inlineStr">
        <is>
          <t>2.8.1</t>
        </is>
      </c>
      <c r="B45" s="803" t="inlineStr">
        <is>
          <t>2026-08-29</t>
        </is>
      </c>
      <c r="C45" s="803"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943" t="n"/>
    </row>
    <row r="46" ht="106" customHeight="1" s="254">
      <c r="A46" s="802" t="inlineStr">
        <is>
          <t>2.9.0</t>
        </is>
      </c>
      <c r="B46" s="803" t="inlineStr">
        <is>
          <t>2026-08-29</t>
        </is>
      </c>
      <c r="C46" s="803"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943" t="n"/>
    </row>
    <row r="47" ht="331" customHeight="1" s="254">
      <c r="A47" s="802" t="inlineStr">
        <is>
          <t>3.0.0</t>
        </is>
      </c>
      <c r="B47" s="803" t="inlineStr">
        <is>
          <t>2026-09-01</t>
        </is>
      </c>
      <c r="C47" s="803"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791" t="n"/>
    </row>
    <row r="48" ht="268.5" customHeight="1" s="254">
      <c r="A48" s="802" t="inlineStr">
        <is>
          <t>3.1.0</t>
        </is>
      </c>
      <c r="B48" s="803" t="inlineStr">
        <is>
          <t>2026-09-03</t>
        </is>
      </c>
      <c r="C48" s="803"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791" t="n"/>
    </row>
    <row r="49" ht="268.5" customHeight="1" s="254">
      <c r="A49" s="802" t="inlineStr">
        <is>
          <t>3.2.0</t>
        </is>
      </c>
      <c r="B49" s="802" t="inlineStr">
        <is>
          <t>2026-09-04</t>
        </is>
      </c>
      <c r="C49" s="802" t="inlineStr">
        <is>
          <t>Level 2 on its own physics. An all-Level-2 rip and replace filled on 3.1.0 projected ZERO kWh at steady state (the projection read DC output only), was tested against a DC fast-charging benchmark it could not meet, claimed an FCI capacity credit it cannot earn, and rated 240 V units at nameplate on a 208 V service — and every check passed. REVENUE gains a LEVEL 2 STREAM block: positions, power at the supply voltage, the state Level 2 benchmark (ENERGY STAR / Argonne: 4.63 sessions per port per week at 10.55 kWh, 6.98 kWh per port per day), an override, the figure in force and "Level 2 kWh per day"; the DC projection now runs over DC positions only and the site total is the sum; peak concurrency and subscribed kW see both streams. REFDATA gains a Level 2 market table with named ranges BM_L2_STATE, BM_L2_KWH, BM_L2_PRICE. EXISTING tests a Level 2 site against the Level 2 benchmark instead of reporting "no projection yet", and "Existing service voltage" is derived from the Project tab when the service is retained — it was a second home for one fact and the two disagreed. EQUIPMENT gains "Level 2 supply voltage (V)": 240 V-rated units are derated to it in the AC input column, and a check says ENTER IT when the service is below 240 V and it is blank. CARBON derives "Site-total L2 kWh per day" from the Revenue stream, moves the consumption-credit default to $0.040/kWh with its derivation in the note (confirm with the aggregator), adds gross and net Level 2 credit rows, and fails an FCI "Yes" on a site with no DC fast-charging capacity. ELECTRICAL sizes a Level 2 circuit's continuous current on every unit it carries, not on one — two 32 A units on one circuit used to get a 40 A breaker. No existing label changed.</t>
        </is>
      </c>
      <c r="D49" s="804" t="n"/>
    </row>
    <row r="50" ht="143.5" customHeight="1" s="254">
      <c r="A50" s="802" t="inlineStr">
        <is>
          <t>3.2.1</t>
        </is>
      </c>
      <c r="B50" s="802" t="inlineStr">
        <is>
          <t>2026-09-11</t>
        </is>
      </c>
      <c r="C50" s="802" t="inlineStr">
        <is>
          <t>Two fixes from the first greenfield DC + Level 2 site. (1) Level 2 branch circuits get a material take-off: the table sized and checked every circuit but priced none of them, so the engine refused the site; columns L-Q now carry conduit size (input), two ungrounded conductors, the NEC 250.122 ground, conduit feet and the cost at RefData rates, totalled at "Level 2 branch material cost ($)". (2) Switchgear frame ladder learns 2,500 A. A 1,621 kW site with a 2,500 A switchboard quoted read UNDERSIZED because the RefData ladder jumped from 2,000 A to 3,200 A; 2,500 A is a standard rating and the same tab prices a 2,500 A main. Ladder rows rewritten with a 2,000-2,500 step (Electrical "Standard frame required per board" now reads RefData A4:B16), and the 2,500 A price-table row retyped as text so the adequacy check can find it. No other cell changed.</t>
        </is>
      </c>
      <c r="D50" s="804" t="n"/>
    </row>
    <row r="51" ht="156" customHeight="1" s="254">
      <c r="A51" s="802" t="inlineStr">
        <is>
          <t>3.3.0</t>
        </is>
      </c>
      <c r="B51" s="802" t="inlineStr">
        <is>
          <t>2026-09-12</t>
        </is>
      </c>
      <c r="C51" s="802" t="inlineStr">
        <is>
          <t>The Electrical tab rebuilt around how sites are built. ONE charger-run table, generated from the Equipment tab: every standalone DC charger, power cabinet and Level 2 unit is listed automatically with what it is, its supply and its kW; the human types the distance and the tab sizes the conductor for ampacity and voltage drop, picks the breaker, ground and conduit, prices the run and gives a verdict per row (override columns for the drawings; Level 2 pedestals share a circuit by name). The dispenser table is used only when a power cabinet is scheduled and says NOT USED otherwise, its rows built from the cabinet lines. Three run tables, three placement checks and three sets of totals became one of each. Equipment gains auto columns Q-V numbering the units; RefData gains a conduit-by-conductor table and the site sizing table; the Version tab gains a Revisions tab for the filled file's own history. Cross-sheet reads of the Electrical tab rewired by label. Engine 3.4.0 reads the new tables.</t>
        </is>
      </c>
      <c r="D51" s="804" t="n"/>
    </row>
    <row r="52" ht="68.5" customHeight="1" s="254">
      <c r="A52" s="802" t="inlineStr">
        <is>
          <t>3.3.1</t>
        </is>
      </c>
      <c r="B52" s="802" t="inlineStr">
        <is>
          <t>2026-09-12</t>
        </is>
      </c>
      <c r="C52" s="802" t="inlineStr">
        <is>
          <t>Excel fix, same day. The run tables located a unit's equipment line with SUMPRODUCT(MAX(ISNUMBER(...)*...)); LibreOffice and the Excel-rules engine both computed it, Excel returned #VALUE! on every row of the charger-run table. Replaced with COUNTIF over a cumulative unit count on the Equipment tab (columns S and V are now cumulative and numeric on every line). No other change.</t>
        </is>
      </c>
      <c r="D52" s="804" t="n"/>
    </row>
    <row r="53" ht="118.5" customHeight="1" s="254">
      <c r="A53" s="802" t="inlineStr">
        <is>
          <t>3.4.0</t>
        </is>
      </c>
      <c r="B53" s="802" t="inlineStr">
        <is>
          <t>2026-09-12</t>
        </is>
      </c>
      <c r="C53" s="802" t="inlineStr">
        <is>
          <t>A PRICING tab beside the Commercial tab. Until now the intake showed the equipment MSRP before and after discount and nothing else priced: no service and warranty figure, EVOLV at list only, no sales tax, no site-works, rental, wire or switchgear line with the markup on it, no discount in dollars, no grand total — a discount typed on the Commercial tab could not be seen until a model was built. The tab computes every line of the customer price the way the model does (list, discount, customer price), with the service and warranty class matched from the price book as the engine matches it, an EVOLV block, what is already paid and the balance to finance. Engine 3.4.2 refuses to build if its price and this tab disagree. Nothing on the tab is typed.</t>
        </is>
      </c>
      <c r="D53" s="804" t="n"/>
    </row>
    <row r="54" ht="120" customHeight="1" s="254">
      <c r="A54" s="802" t="inlineStr">
        <is>
          <t>3.5.0</t>
        </is>
      </c>
      <c r="B54" s="802" t="inlineStr">
        <is>
          <t>2026-09-12</t>
        </is>
      </c>
      <c r="C54" s="944" t="inlineStr">
        <is>
          <t>Human-facing release. One input colour (blue, unlocked); everything else locked including notes, defaults and the reference tabs. Values centred, labels left, notes wrapped, row heights and column widths sized to content, Arial 10. Rarely-needed blocks (entry checks, derived blocks, replacement-only and power-cabinet-only sections) grouped and collapsed behind a [+]. Reference tabs hidden. START HERE tab added. No label, row, tab or formula moved — engine 3.4.5 reads it unchanged and a filled 3.4.0 transfers cell for cell.</t>
        </is>
      </c>
    </row>
    <row r="55" ht="156" customHeight="1" s="254">
      <c r="A55" s="802" t="inlineStr">
        <is>
          <t>3.6.0</t>
        </is>
      </c>
      <c r="B55" s="802" t="inlineStr">
        <is>
          <t>2026-09-14</t>
        </is>
      </c>
      <c r="C55" s="944" t="inlineStr">
        <is>
          <t>3.6.0 — Added the project type "Greenfield — add load to existing service" for a site with no chargers whose existing service and switchgear carry the new load. Existing tab section I (capacity of the existing service) tests the added load three ways — NEC 220.87 measured peak demand, stated spare capacity, or service size — and the service/switchgear verdicts on rows 60–61 read it. Section headers say whether they apply to the chosen project type. Electrical: service feeder can be "Existing — retained"; retained-infrastructure block and scope profile know the new type. Construction: site-works profile and removal-scope error know it. No rows inserted; every 3.5.0 presentation upgrade kept.</t>
        </is>
      </c>
    </row>
    <row r="56" ht="132" customHeight="1" s="254">
      <c r="A56" s="802" t="inlineStr">
        <is>
          <t>3.7.0</t>
        </is>
      </c>
      <c r="B56" s="802" t="inlineStr">
        <is>
          <t>2026-09-15</t>
        </is>
      </c>
      <c r="C56" s="944" t="inlineStr">
        <is>
          <t>3.7.0 — Distribution feeders priced. New Electrical block I: one row per feeder between the items on the distribution schedule (existing board to EV panel, breaker to transformer, transformer to Level 2 panel, panel to panel), auto-sized from the site conductor table at the floor set by the item fed, with ground, conduit, parallel sets, voltage drop, material at RefData rates and a verdict per row. "Distribution feeder material ($)" joins the wire line on the Pricing tab and in engine 3.4.7. Until now nothing in the workbook priced the wire between the boxes. No rows inserted.</t>
        </is>
      </c>
    </row>
  </sheetData>
  <sheetProtection selectLockedCells="0" selectUnlockedCells="0" sheet="1" objects="0" insertRows="1" insertHyperlinks="1" autoFilter="1" scenarios="0" formatColumns="0" deleteColumns="1" insertColumns="1" pivotTables="1" deleteRows="1" formatCells="0" formatRows="0" sort="1"/>
  <mergeCells count="33">
    <mergeCell ref="C34:D34"/>
    <mergeCell ref="C30:D30"/>
    <mergeCell ref="C24:D24"/>
    <mergeCell ref="C15:D15"/>
    <mergeCell ref="C33:D33"/>
    <mergeCell ref="C42:D42"/>
    <mergeCell ref="C45:D45"/>
    <mergeCell ref="C26:D26"/>
    <mergeCell ref="C35:D35"/>
    <mergeCell ref="C20:D20"/>
    <mergeCell ref="C29:D29"/>
    <mergeCell ref="C10:D10"/>
    <mergeCell ref="C25:D25"/>
    <mergeCell ref="C41:D41"/>
    <mergeCell ref="C44:D44"/>
    <mergeCell ref="C22:D22"/>
    <mergeCell ref="C40:D40"/>
    <mergeCell ref="C31:D31"/>
    <mergeCell ref="C43:D43"/>
    <mergeCell ref="C46:D46"/>
    <mergeCell ref="C21:D21"/>
    <mergeCell ref="C27:D27"/>
    <mergeCell ref="C36:D36"/>
    <mergeCell ref="C23:D23"/>
    <mergeCell ref="C39:D39"/>
    <mergeCell ref="C8:D8"/>
    <mergeCell ref="C32:D32"/>
    <mergeCell ref="C38:D38"/>
    <mergeCell ref="A1:C1"/>
    <mergeCell ref="C19:D19"/>
    <mergeCell ref="C37:D37"/>
    <mergeCell ref="C28:D28"/>
    <mergeCell ref="C18:D18"/>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tabColor rgb="000E7C82"/>
    <outlinePr summaryBelow="1" summaryRight="1"/>
    <pageSetUpPr fitToPage="1"/>
  </sheetPr>
  <dimension ref="A1:D20"/>
  <sheetViews>
    <sheetView showGridLines="0" tabSelected="0" zoomScale="100" workbookViewId="0">
      <pane ySplit="4" topLeftCell="A5" activePane="bottomLeft" state="frozen"/>
      <selection pane="bottomLeft" activeCell="A1" sqref="A1"/>
    </sheetView>
  </sheetViews>
  <sheetFormatPr baseColWidth="8" defaultRowHeight="15"/>
  <cols>
    <col width="14" customWidth="1" style="254" min="1" max="1"/>
    <col width="14" customWidth="1" style="254" min="2" max="2"/>
    <col width="22" customWidth="1" style="254" min="3" max="3"/>
    <col width="90" customWidth="1" style="254" min="4" max="4"/>
  </cols>
  <sheetData>
    <row r="1" ht="26" customHeight="1" s="254">
      <c r="A1" s="805" t="inlineStr">
        <is>
          <t>PROJECT REVISION HISTORY</t>
        </is>
      </c>
    </row>
    <row r="2" ht="43.5" customHeight="1" s="254">
      <c r="A2" s="792" t="inlineStr">
        <is>
          <t>This filled file's own history, one row per revision sent or received — Rev A is the first issue, Rev B the first return with corrections, and so on. The template's own changelog is on the Version tab. The engine copies this table onto the model's Version tab, so the model says which revision it was built from and what changed on the way there.</t>
        </is>
      </c>
    </row>
    <row r="3" ht="16" customHeight="1" s="254">
      <c r="A3" s="804" t="n"/>
      <c r="B3" s="804" t="n"/>
      <c r="C3" s="804" t="n"/>
      <c r="D3" s="804" t="n"/>
    </row>
    <row r="4" ht="16" customHeight="1" s="254">
      <c r="A4" s="806" t="inlineStr">
        <is>
          <t>Rev</t>
        </is>
      </c>
      <c r="B4" s="806" t="inlineStr">
        <is>
          <t>Date</t>
        </is>
      </c>
      <c r="C4" s="806" t="inlineStr">
        <is>
          <t>By</t>
        </is>
      </c>
      <c r="D4" s="806" t="inlineStr">
        <is>
          <t>What changed — the facts that moved, the decisions taken, what is still open</t>
        </is>
      </c>
    </row>
    <row r="5" ht="16" customHeight="1" s="254">
      <c r="A5" s="807" t="n"/>
      <c r="B5" s="808" t="n"/>
      <c r="C5" s="807" t="n"/>
      <c r="D5" s="807" t="n"/>
    </row>
    <row r="6" ht="16" customHeight="1" s="254">
      <c r="A6" s="807" t="n"/>
      <c r="B6" s="808" t="n"/>
      <c r="C6" s="807" t="n"/>
      <c r="D6" s="807" t="n"/>
    </row>
    <row r="7" ht="16" customHeight="1" s="254">
      <c r="A7" s="807" t="n"/>
      <c r="B7" s="808" t="n"/>
      <c r="C7" s="807" t="n"/>
      <c r="D7" s="807" t="n"/>
    </row>
    <row r="8" ht="16" customHeight="1" s="254">
      <c r="A8" s="807" t="n"/>
      <c r="B8" s="808" t="n"/>
      <c r="C8" s="807" t="n"/>
      <c r="D8" s="807" t="n"/>
    </row>
    <row r="9" ht="16" customHeight="1" s="254">
      <c r="A9" s="807" t="n"/>
      <c r="B9" s="808" t="n"/>
      <c r="C9" s="807" t="n"/>
      <c r="D9" s="807" t="n"/>
    </row>
    <row r="10" ht="16" customHeight="1" s="254">
      <c r="A10" s="807" t="n"/>
      <c r="B10" s="808" t="n"/>
      <c r="C10" s="807" t="n"/>
      <c r="D10" s="807" t="n"/>
    </row>
    <row r="11" ht="16" customHeight="1" s="254">
      <c r="A11" s="807" t="n"/>
      <c r="B11" s="808" t="n"/>
      <c r="C11" s="807" t="n"/>
      <c r="D11" s="807" t="n"/>
    </row>
    <row r="12" ht="16" customHeight="1" s="254">
      <c r="A12" s="807" t="n"/>
      <c r="B12" s="808" t="n"/>
      <c r="C12" s="807" t="n"/>
      <c r="D12" s="807" t="n"/>
    </row>
    <row r="13" ht="16" customHeight="1" s="254">
      <c r="A13" s="807" t="n"/>
      <c r="B13" s="808" t="n"/>
      <c r="C13" s="807" t="n"/>
      <c r="D13" s="807" t="n"/>
    </row>
    <row r="14" ht="16" customHeight="1" s="254">
      <c r="A14" s="807" t="n"/>
      <c r="B14" s="808" t="n"/>
      <c r="C14" s="807" t="n"/>
      <c r="D14" s="807" t="n"/>
    </row>
    <row r="15" ht="16" customHeight="1" s="254">
      <c r="A15" s="807" t="n"/>
      <c r="B15" s="808" t="n"/>
      <c r="C15" s="807" t="n"/>
      <c r="D15" s="807" t="n"/>
    </row>
    <row r="16" ht="16" customHeight="1" s="254">
      <c r="A16" s="807" t="n"/>
      <c r="B16" s="808" t="n"/>
      <c r="C16" s="807" t="n"/>
      <c r="D16" s="807" t="n"/>
    </row>
    <row r="17" ht="16" customHeight="1" s="254">
      <c r="A17" s="804" t="n"/>
      <c r="B17" s="804" t="n"/>
      <c r="C17" s="804" t="n"/>
      <c r="D17" s="804" t="n"/>
    </row>
    <row r="18" ht="31" customHeight="1" s="254">
      <c r="A18" s="781" t="inlineStr">
        <is>
          <t>Revisions recorded</t>
        </is>
      </c>
      <c r="B18" s="809">
        <f>COUNTA($A$5:$A$16)</f>
        <v/>
      </c>
      <c r="C18" s="804" t="n"/>
      <c r="D18" s="804" t="n"/>
    </row>
    <row r="19" ht="31" customHeight="1" s="254">
      <c r="A19" s="781" t="inlineStr">
        <is>
          <t>Latest revision on this table</t>
        </is>
      </c>
      <c r="B19" s="810">
        <f>IF(COUNTA($A$5:$A$16)=0,"none yet",INDEX($A$5:$A$16,COUNTA($A$5:$A$16)))</f>
        <v/>
      </c>
      <c r="C19" s="804" t="n"/>
      <c r="D19" s="804" t="n"/>
    </row>
    <row r="20" ht="56" customHeight="1" s="254">
      <c r="A20" s="781" t="inlineStr">
        <is>
          <t>Matches "This file version" on the Version tab?</t>
        </is>
      </c>
      <c r="B20" s="810">
        <f>IF(COUNTA($A$5:$A$16)=0,"nothing recorded — add a row for this revision",IF(TRIM($B$19)=TRIM(Version!$B$10),"OK — the Version tab and this table agree","MISMATCH — the Version tab says "&amp;Version!$B$10&amp;" and the latest row here is "&amp;$B$19))</f>
        <v/>
      </c>
      <c r="C20" s="804" t="n"/>
      <c r="D20" s="804" t="n"/>
    </row>
  </sheetData>
  <sheetProtection selectLockedCells="0" selectUnlockedCells="0" sheet="1" objects="0" insertRows="1" insertHyperlinks="1" autoFilter="1" scenarios="0" formatColumns="0" deleteColumns="1" insertColumns="1" pivotTables="1" deleteRows="1" formatCells="1" formatRows="0" sort="1"/>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2" customWidth="1" style="253" min="1" max="2"/>
    <col width="14" customWidth="1" style="254" min="2" max="2"/>
    <col width="46" customWidth="1" style="253" min="3" max="3"/>
    <col width="10" customWidth="1" style="253" min="4" max="6"/>
    <col width="12" customWidth="1" style="254" min="5" max="5"/>
    <col width="12" customWidth="1" style="254" min="6" max="6"/>
  </cols>
  <sheetData>
    <row r="1" ht="26" customHeight="1" s="254">
      <c r="A1" s="790" t="inlineStr">
        <is>
          <t>EVSE PROJECT INTAKE</t>
        </is>
      </c>
    </row>
    <row r="2" ht="43.5" customHeight="1" s="254">
      <c r="A2" s="792" t="inlineStr">
        <is>
          <t>Zero Impact Energy — one form, one project. Fill the blue cells; everything else is derived.</t>
        </is>
      </c>
      <c r="B2" s="804" t="n"/>
      <c r="C2" s="804" t="n"/>
      <c r="D2" s="804" t="n"/>
      <c r="E2" s="804" t="n"/>
      <c r="F2" s="804" t="n"/>
    </row>
    <row r="3" ht="16" customHeight="1" s="254">
      <c r="A3" s="811" t="n"/>
      <c r="B3" s="804" t="n"/>
      <c r="C3" s="804" t="n"/>
      <c r="D3" s="804" t="n"/>
      <c r="E3" s="804" t="n"/>
      <c r="F3" s="804" t="n"/>
    </row>
    <row r="4" ht="19.75" customHeight="1" s="254">
      <c r="A4" s="798" t="inlineStr">
        <is>
          <t>How to use this workbook</t>
        </is>
      </c>
      <c r="B4" s="804" t="n"/>
      <c r="C4" s="804" t="n"/>
      <c r="D4" s="804" t="n"/>
      <c r="E4" s="804" t="n"/>
      <c r="F4" s="804" t="n"/>
    </row>
    <row r="5" ht="31" customHeight="1" s="254">
      <c r="A5" s="781" t="inlineStr">
        <is>
          <t>•</t>
        </is>
      </c>
      <c r="B5" s="781" t="inlineStr">
        <is>
          <t>Fill in every BLUE cell you can. Leave a cell blank rather than guessing — a blank is a question we will ask; a guess becomes a number in a proposal.</t>
        </is>
      </c>
    </row>
    <row r="6" ht="31" customHeight="1" s="254">
      <c r="A6" s="781" t="inlineStr">
        <is>
          <t>•</t>
        </is>
      </c>
      <c r="B6" s="781" t="inlineStr">
        <is>
          <t>YELLOW cells are key commercial assumptions. They have sensible defaults, but they drive the return — change them deliberately, not by habit.</t>
        </is>
      </c>
    </row>
    <row r="7" ht="31" customHeight="1" s="254">
      <c r="A7" s="781" t="inlineStr">
        <is>
          <t>•</t>
        </is>
      </c>
      <c r="B7" s="781" t="inlineStr">
        <is>
          <t>GREEN cells are live checks. They recalculate as you type. If a green cell turns into a warning, the sheet is telling you two of your inputs disagree.</t>
        </is>
      </c>
    </row>
    <row r="8" ht="31" customHeight="1" s="254">
      <c r="A8" s="781" t="inlineStr">
        <is>
          <t>•</t>
        </is>
      </c>
      <c r="B8" s="781" t="inlineStr">
        <is>
          <t>GREY tabs (Lists, PriceBook, RefData) are reference data. Do not edit them unless prices have actually changed.</t>
        </is>
      </c>
      <c r="D8" s="804" t="n"/>
      <c r="E8" s="804" t="n"/>
      <c r="F8" s="804" t="n"/>
    </row>
    <row r="9" ht="31" customHeight="1" s="254">
      <c r="A9" s="781" t="inlineStr">
        <is>
          <t>•</t>
        </is>
      </c>
      <c r="B9" s="781" t="inlineStr">
        <is>
          <t>When the form is complete, send the file back. Everything downstream — electrical sizing, materials, labour, revenue, carbon, financing, the proposal — is computed from these inputs alone.</t>
        </is>
      </c>
    </row>
    <row r="10" ht="16" customHeight="1" s="254">
      <c r="A10" s="811" t="n"/>
      <c r="B10" s="804" t="n"/>
      <c r="C10" s="804" t="n"/>
      <c r="D10" s="804" t="n"/>
      <c r="E10" s="804" t="n"/>
      <c r="F10" s="804" t="n"/>
    </row>
    <row r="11" ht="19.75" customHeight="1" s="254">
      <c r="A11" s="798" t="inlineStr">
        <is>
          <t>Cell legend</t>
        </is>
      </c>
      <c r="B11" s="804" t="n"/>
      <c r="C11" s="804" t="n"/>
      <c r="D11" s="804" t="n"/>
      <c r="E11" s="804" t="n"/>
      <c r="F11" s="804" t="n"/>
    </row>
    <row r="12" ht="16" customHeight="1" s="254">
      <c r="A12" s="801" t="inlineStr">
        <is>
          <t>Appearance</t>
        </is>
      </c>
      <c r="B12" s="801" t="inlineStr">
        <is>
          <t>Meaning</t>
        </is>
      </c>
      <c r="C12" s="801" t="inlineStr">
        <is>
          <t>What to do</t>
        </is>
      </c>
      <c r="D12" s="804" t="n"/>
      <c r="E12" s="804" t="n"/>
      <c r="F12" s="804" t="n"/>
    </row>
    <row r="13" ht="16" customHeight="1" s="254">
      <c r="A13" s="812" t="inlineStr">
        <is>
          <t>Blue fill, blue text</t>
        </is>
      </c>
      <c r="B13" s="796" t="inlineStr">
        <is>
          <t>Human input</t>
        </is>
      </c>
      <c r="C13" s="796" t="inlineStr">
        <is>
          <t>Fill it in</t>
        </is>
      </c>
      <c r="D13" s="804" t="n"/>
      <c r="E13" s="804" t="n"/>
      <c r="F13" s="804" t="n"/>
    </row>
    <row r="14" ht="31" customHeight="1" s="254">
      <c r="A14" s="813" t="inlineStr">
        <is>
          <t>Yellow fill, blue bold</t>
        </is>
      </c>
      <c r="B14" s="796" t="inlineStr">
        <is>
          <t>Key commercial assumption</t>
        </is>
      </c>
      <c r="C14" s="796" t="inlineStr">
        <is>
          <t>Review the default, change deliberately</t>
        </is>
      </c>
      <c r="D14" s="804" t="n"/>
      <c r="E14" s="804" t="n"/>
      <c r="F14" s="804" t="n"/>
    </row>
    <row r="15" ht="31" customHeight="1" s="254">
      <c r="A15" s="812" t="inlineStr">
        <is>
          <t>Green fill, green text</t>
        </is>
      </c>
      <c r="B15" s="796" t="inlineStr">
        <is>
          <t>Live check / derived</t>
        </is>
      </c>
      <c r="C15" s="796" t="inlineStr">
        <is>
          <t>Read it — never type over it</t>
        </is>
      </c>
      <c r="D15" s="804" t="n"/>
      <c r="E15" s="804" t="n"/>
      <c r="F15" s="804" t="n"/>
    </row>
    <row r="16" ht="16" customHeight="1" s="254">
      <c r="A16" s="813" t="inlineStr">
        <is>
          <t>Grey</t>
        </is>
      </c>
      <c r="B16" s="796" t="inlineStr">
        <is>
          <t>Reference data</t>
        </is>
      </c>
      <c r="C16" s="796" t="inlineStr">
        <is>
          <t>Leave alone</t>
        </is>
      </c>
      <c r="D16" s="804" t="n"/>
      <c r="E16" s="804" t="n"/>
      <c r="F16" s="804" t="n"/>
    </row>
    <row r="17" ht="16" customHeight="1" s="254">
      <c r="A17" s="811" t="n"/>
      <c r="B17" s="804" t="n"/>
      <c r="C17" s="804" t="n"/>
      <c r="D17" s="804" t="n"/>
      <c r="E17" s="804" t="n"/>
      <c r="F17" s="804" t="n"/>
    </row>
    <row r="18" ht="19.75" customHeight="1" s="254">
      <c r="A18" s="798" t="inlineStr">
        <is>
          <t>Tabs, in the order you should fill them</t>
        </is>
      </c>
      <c r="B18" s="804" t="n"/>
      <c r="C18" s="804" t="n"/>
      <c r="D18" s="804" t="n"/>
      <c r="E18" s="804" t="n"/>
      <c r="F18" s="804" t="n"/>
    </row>
    <row r="19" ht="56" customHeight="1" s="254">
      <c r="A19" s="794" t="inlineStr">
        <is>
          <t>1_Project</t>
        </is>
      </c>
      <c r="B19" s="781" t="inlineStr">
        <is>
          <t>Who, where, which utility, and how the site is accessed</t>
        </is>
      </c>
      <c r="C19" s="804" t="n"/>
      <c r="D19" s="804" t="n"/>
      <c r="E19" s="804" t="n"/>
      <c r="F19" s="804" t="n"/>
    </row>
    <row r="20" ht="56" customHeight="1" s="254">
      <c r="A20" s="794" t="inlineStr">
        <is>
          <t>2_Equipment</t>
        </is>
      </c>
      <c r="B20" s="781" t="inlineStr">
        <is>
          <t>What is being sold — pick SKUs from the price book</t>
        </is>
      </c>
      <c r="C20" s="804" t="n"/>
      <c r="D20" s="804" t="n"/>
      <c r="E20" s="804" t="n"/>
      <c r="F20" s="804" t="n"/>
    </row>
    <row r="21" ht="31" customHeight="1" s="254">
      <c r="A21" s="794" t="inlineStr">
        <is>
          <t>3_Electrical</t>
        </is>
      </c>
      <c r="B21" s="781" t="inlineStr">
        <is>
          <t>Distances, wire, existing service. Drives every electrical cost.</t>
        </is>
      </c>
      <c r="D21" s="804" t="n"/>
      <c r="E21" s="804" t="n"/>
      <c r="F21" s="804" t="n"/>
    </row>
    <row r="22" ht="56" customHeight="1" s="254">
      <c r="A22" s="794" t="inlineStr">
        <is>
          <t>4_Construction</t>
        </is>
      </c>
      <c r="B22" s="781" t="inlineStr">
        <is>
          <t>Site works, labour days, ADA, permits, rentals</t>
        </is>
      </c>
      <c r="C22" s="804" t="n"/>
      <c r="D22" s="804" t="n"/>
      <c r="E22" s="804" t="n"/>
      <c r="F22" s="804" t="n"/>
    </row>
    <row r="23" ht="56" customHeight="1" s="254">
      <c r="A23" s="794" t="inlineStr">
        <is>
          <t>5_Commercial</t>
        </is>
      </c>
      <c r="B23" s="781" t="inlineStr">
        <is>
          <t>Discounts, financing terms, service and network term</t>
        </is>
      </c>
      <c r="C23" s="804" t="n"/>
      <c r="D23" s="804" t="n"/>
      <c r="E23" s="804" t="n"/>
      <c r="F23" s="804" t="n"/>
    </row>
    <row r="24" ht="43.5" customHeight="1" s="254">
      <c r="A24" s="794" t="inlineStr">
        <is>
          <t>6_Revenue</t>
        </is>
      </c>
      <c r="B24" s="781" t="inlineStr">
        <is>
          <t>Pricing, utilisation, ramp and growth</t>
        </is>
      </c>
      <c r="C24" s="804" t="n"/>
      <c r="D24" s="804" t="n"/>
      <c r="E24" s="804" t="n"/>
      <c r="F24" s="804" t="n"/>
    </row>
    <row r="25" ht="56" customHeight="1" s="254">
      <c r="A25" s="794" t="inlineStr">
        <is>
          <t>7_Carbon</t>
        </is>
      </c>
      <c r="B25" s="781" t="inlineStr">
        <is>
          <t>FCI credit rate, aggregator, eligibility, grants</t>
        </is>
      </c>
      <c r="C25" s="804" t="n"/>
      <c r="D25" s="804" t="n"/>
      <c r="E25" s="804" t="n"/>
      <c r="F25" s="804" t="n"/>
    </row>
    <row r="26" ht="16" customHeight="1" s="254">
      <c r="A26" s="811" t="n"/>
      <c r="B26" s="804" t="n"/>
      <c r="C26" s="804" t="n"/>
      <c r="D26" s="804" t="n"/>
      <c r="E26" s="804" t="n"/>
      <c r="F26" s="804" t="n"/>
    </row>
    <row r="27" ht="31" customHeight="1" s="254">
      <c r="A27" s="794" t="inlineStr">
        <is>
          <t>8_Deal_Structure</t>
        </is>
      </c>
      <c r="B27" s="781" t="inlineStr">
        <is>
          <t>Optional. Knobs for trading price against a share of credits or revenue.</t>
        </is>
      </c>
      <c r="D27" s="804" t="n"/>
      <c r="E27" s="804" t="n"/>
      <c r="F27" s="804" t="n"/>
    </row>
    <row r="28" ht="31" customHeight="1" s="254">
      <c r="A28" s="794" t="inlineStr">
        <is>
          <t>9_Overrides</t>
        </is>
      </c>
      <c r="B28" s="781" t="inlineStr">
        <is>
          <t>Optional. Force any derived value when you have a quote or a measurement.</t>
        </is>
      </c>
      <c r="D28" s="804" t="n"/>
      <c r="E28" s="804" t="n"/>
      <c r="F28" s="804" t="n"/>
    </row>
    <row r="29" ht="16" customHeight="1" s="254">
      <c r="A29" s="811" t="n"/>
      <c r="B29" s="804" t="n"/>
      <c r="C29" s="804" t="n"/>
      <c r="D29" s="804" t="n"/>
      <c r="E29" s="804" t="n"/>
      <c r="F29" s="804" t="n"/>
    </row>
    <row r="30" ht="16" customHeight="1" s="254">
      <c r="A30" s="794" t="inlineStr">
        <is>
          <t>Version</t>
        </is>
      </c>
      <c r="B30" s="781" t="inlineStr">
        <is>
          <t>Template 1.4.0, released 2026-08-26 — see the Version tab</t>
        </is>
      </c>
      <c r="D30" s="804" t="n"/>
      <c r="E30" s="804" t="n"/>
      <c r="F30" s="804" t="n"/>
    </row>
    <row r="31" ht="16" customHeight="1" s="254">
      <c r="A31" s="811" t="n"/>
      <c r="B31" s="804" t="n"/>
      <c r="C31" s="804" t="n"/>
      <c r="D31" s="804" t="n"/>
      <c r="E31" s="804" t="n"/>
      <c r="F31" s="804" t="n"/>
    </row>
    <row r="32" ht="19.75" customHeight="1" s="254">
      <c r="A32" s="798" t="inlineStr">
        <is>
          <t>Replacement projects</t>
        </is>
      </c>
      <c r="B32" s="804" t="n"/>
      <c r="C32" s="804" t="n"/>
      <c r="D32" s="804" t="n"/>
      <c r="E32" s="804" t="n"/>
      <c r="F32" s="804" t="n"/>
    </row>
    <row r="33" ht="56" customHeight="1" s="254">
      <c r="A33" s="781" t="inlineStr">
        <is>
          <t>•</t>
        </is>
      </c>
      <c r="B33" s="781" t="inlineStr">
        <is>
          <t>The Existing tab covers three situations: a site that adds EV load to a service and switchboard it already has, a charger swap, and a replace-and-expand. Complete it whenever the site already has a service you intend to use or charging equipment you intend to replace.</t>
        </is>
      </c>
      <c r="E33" s="804" t="n"/>
      <c r="F33" s="804" t="n"/>
    </row>
    <row r="34" ht="43.5" customHeight="1" s="254">
      <c r="A34" s="781" t="inlineStr">
        <is>
          <t>•</t>
        </is>
      </c>
      <c r="B34" s="781" t="inlineStr">
        <is>
          <t>Set the project type on the Existing tab section A first — every section header on that tab then says whether it applies, and every check keys off it.</t>
        </is>
      </c>
      <c r="E34" s="804" t="n"/>
      <c r="F34" s="804" t="n"/>
    </row>
    <row r="35" ht="56" customHeight="1" s="254">
      <c r="A35" s="781" t="inlineStr">
        <is>
          <t>•</t>
        </is>
      </c>
      <c r="B35" s="781" t="inlineStr">
        <is>
          <t>Section B is the register that decides the cost. Marking the service, feeder, switchgear and conduit as RETAIN removes most of the electrical and civil scope; the Electrical and Construction tabs then tell you exactly which lines to zero.</t>
        </is>
      </c>
      <c r="E35" s="804" t="n"/>
      <c r="F35" s="804" t="n"/>
    </row>
    <row r="36" ht="56" customHeight="1" s="254">
      <c r="A36" s="781" t="inlineStr">
        <is>
          <t>•</t>
        </is>
      </c>
      <c r="B36" s="781" t="inlineStr">
        <is>
          <t>Section E is the most valuable page in the whole intake. Twelve months of metered history beats every market assumption on the Revenue tab, and twenty-four months beats twelve. Enter outage months as they happened — do not smooth them.</t>
        </is>
      </c>
      <c r="E36" s="804" t="n"/>
      <c r="F36" s="804" t="n"/>
    </row>
    <row r="37" ht="43.5" customHeight="1" s="254">
      <c r="A37" s="781" t="inlineStr">
        <is>
          <t>•</t>
        </is>
      </c>
      <c r="B37" s="781" t="inlineStr">
        <is>
          <t>Sections F and G turn the old installation into a projection: availability recovered, ports added, connector coverage widened and power increased, each with its own capture factor you can argue with.</t>
        </is>
      </c>
      <c r="E37" s="804" t="n"/>
      <c r="F37" s="804" t="n"/>
    </row>
    <row r="38" ht="43.5" customHeight="1" s="254">
      <c r="A38" s="781" t="inlineStr">
        <is>
          <t>•</t>
        </is>
      </c>
      <c r="B38" s="781" t="inlineStr">
        <is>
          <t>Section H is the removal scope. It is zero on a greenfield or add-load project and real money on a replacement. Section I is the capacity test for any site that keeps its service.</t>
        </is>
      </c>
      <c r="E38" s="804" t="n"/>
      <c r="F38" s="804" t="n"/>
    </row>
    <row r="39" ht="31" customHeight="1" s="254">
      <c r="A39" s="781" t="inlineStr">
        <is>
          <t>•</t>
        </is>
      </c>
      <c r="B39" s="781" t="inlineStr">
        <is>
          <t>Set the revenue basis at the foot of the Revenue tab to "Historical actuals" on any replacement site with twelve or more months of data.</t>
        </is>
      </c>
      <c r="E39" s="804" t="n"/>
      <c r="F39" s="804" t="n"/>
    </row>
    <row r="40" ht="16" customHeight="1" s="254">
      <c r="A40" s="811" t="n"/>
      <c r="B40" s="804" t="n"/>
      <c r="C40" s="804" t="n"/>
      <c r="D40" s="804" t="n"/>
      <c r="E40" s="804" t="n"/>
      <c r="F40" s="804" t="n"/>
    </row>
    <row r="41" ht="19.75" customHeight="1" s="254">
      <c r="A41" s="798" t="inlineStr">
        <is>
          <t>Choosing the utility</t>
        </is>
      </c>
      <c r="B41" s="804" t="n"/>
      <c r="C41" s="804" t="n"/>
      <c r="D41" s="804" t="n"/>
      <c r="E41" s="804" t="n"/>
      <c r="F41" s="804" t="n"/>
    </row>
    <row r="42" ht="56" customHeight="1" s="254">
      <c r="A42" s="781" t="inlineStr">
        <is>
          <t>•</t>
        </is>
      </c>
      <c r="B42" s="781" t="inlineStr">
        <is>
          <t>Pick the DELIVERY utility on the Project tab — the one that owns the wires and sets the tariff. If the site buys generation from a community choice aggregator, still pick the delivery utility; the CCA is a separate field below it.</t>
        </is>
      </c>
      <c r="E42" s="804" t="n"/>
      <c r="F42" s="804" t="n"/>
    </row>
    <row r="43" ht="43.5" customHeight="1" s="254">
      <c r="A43" s="781" t="inlineStr">
        <is>
          <t>•</t>
        </is>
      </c>
      <c r="B43" s="781" t="inlineStr">
        <is>
          <t>A CCA changes only the generation cents per kWh. Eligibility, time-of-use periods, the demand subscription and every delivery charge stay with the utility. Build the bill from the delivery tariff and substitute one line.</t>
        </is>
      </c>
      <c r="E43" s="804" t="n"/>
      <c r="F43" s="804" t="n"/>
    </row>
    <row r="44" ht="56" customHeight="1" s="254">
      <c r="A44" s="781" t="inlineStr">
        <is>
          <t>•</t>
        </is>
      </c>
      <c r="B44" s="781" t="inlineStr">
        <is>
          <t>Rule 29 exists only at investor-owned utilities. A municipal utility, irrigation district or cooperative has its own line-extension policy and the cost split can be completely different — do not carry a Rule 29 allowance on a POU site.</t>
        </is>
      </c>
      <c r="E44" s="804" t="n"/>
      <c r="F44" s="804" t="n"/>
    </row>
    <row r="45" ht="56" customHeight="1" s="254">
      <c r="A45" s="781" t="inlineStr">
        <is>
          <t>•</t>
        </is>
      </c>
      <c r="B45" s="781"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E45" s="804" t="n"/>
      <c r="F45" s="804" t="n"/>
    </row>
    <row r="46" ht="56" customHeight="1" s="254">
      <c r="A46" s="781" t="inlineStr">
        <is>
          <t>•</t>
        </is>
      </c>
      <c r="B46" s="781" t="inlineStr">
        <is>
          <t>Whether a utility has an EV tariff at all is often worth more than the cents per kWh. A site on a utility with no EV rate pays full demand charges on a general commercial schedule, which at low utilisation dominates the bill.</t>
        </is>
      </c>
      <c r="E46" s="804" t="n"/>
      <c r="F46" s="804" t="n"/>
    </row>
    <row r="47" ht="16" customHeight="1" s="254">
      <c r="A47" s="811" t="n"/>
      <c r="B47" s="804" t="n"/>
      <c r="C47" s="804" t="n"/>
      <c r="D47" s="804" t="n"/>
      <c r="E47" s="804" t="n"/>
      <c r="F47" s="804" t="n"/>
    </row>
    <row r="48" ht="16" customHeight="1" s="254">
      <c r="A48" s="794" t="inlineStr">
        <is>
          <t>Returning this workbook</t>
        </is>
      </c>
      <c r="B48" s="804" t="n"/>
      <c r="C48" s="804" t="n"/>
      <c r="D48" s="804" t="n"/>
      <c r="E48" s="804" t="n"/>
      <c r="F48" s="804" t="n"/>
    </row>
    <row r="49" ht="31" customHeight="1" s="254">
      <c r="A49" s="781" t="inlineStr">
        <is>
          <t>•</t>
        </is>
      </c>
      <c r="B49" s="814" t="inlineStr">
        <is>
          <t>Send the whole workbook back, not extracts. The version tab is how we know which generation of questions you answered.</t>
        </is>
      </c>
      <c r="D49" s="804" t="n"/>
      <c r="E49" s="804" t="n"/>
      <c r="F49" s="804" t="n"/>
    </row>
    <row r="50" ht="31" customHeight="1" s="254">
      <c r="A50" s="781" t="inlineStr">
        <is>
          <t>•</t>
        </is>
      </c>
      <c r="B50" s="814" t="inlineStr">
        <is>
          <t>If you are returning a file built on an older template, say so in Notes — some fields will have moved.</t>
        </is>
      </c>
      <c r="D50" s="804" t="n"/>
      <c r="E50" s="804" t="n"/>
      <c r="F50" s="804"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4">
    <mergeCell ref="B42:D42"/>
    <mergeCell ref="B7:F7"/>
    <mergeCell ref="B44:D44"/>
    <mergeCell ref="B27:C27"/>
    <mergeCell ref="B38:D38"/>
    <mergeCell ref="B34:D34"/>
    <mergeCell ref="B21:C21"/>
    <mergeCell ref="B37:D37"/>
    <mergeCell ref="B8:C8"/>
    <mergeCell ref="B33:D33"/>
    <mergeCell ref="B36:D36"/>
    <mergeCell ref="B45:D45"/>
    <mergeCell ref="B35:D35"/>
    <mergeCell ref="B28:C28"/>
    <mergeCell ref="B49:C49"/>
    <mergeCell ref="B9:F9"/>
    <mergeCell ref="B30:C30"/>
    <mergeCell ref="B6:F6"/>
    <mergeCell ref="B46:D46"/>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0"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4" activeCellId="0" sqref="B34"/>
    </sheetView>
  </sheetViews>
  <sheetFormatPr baseColWidth="8" defaultColWidth="8.66796875" defaultRowHeight="14.25" zeroHeight="0" outlineLevelRow="1"/>
  <cols>
    <col width="36" customWidth="1" style="253" min="1" max="1"/>
    <col width="30" customWidth="1" style="253" min="2" max="2"/>
    <col width="56" customWidth="1" style="253" min="3" max="3"/>
    <col width="9" customWidth="1" style="253" min="4" max="6"/>
    <col width="9" customWidth="1" style="254" min="5" max="5"/>
    <col width="9" customWidth="1" style="254" min="6" max="6"/>
  </cols>
  <sheetData>
    <row r="1" ht="26" customHeight="1" s="254">
      <c r="A1" s="790" t="inlineStr">
        <is>
          <t>1 · PROJECT AND SITE</t>
        </is>
      </c>
    </row>
    <row r="2" ht="31" customHeight="1" s="254">
      <c r="A2" s="792" t="inlineStr">
        <is>
          <t>Identity, location, utility and access policy.</t>
        </is>
      </c>
      <c r="B2" s="804" t="n"/>
      <c r="C2" s="804" t="n"/>
      <c r="D2" s="804" t="n"/>
      <c r="E2" s="804" t="n"/>
      <c r="F2" s="804" t="n"/>
    </row>
    <row r="3" ht="16" customHeight="1" s="254">
      <c r="A3" s="811" t="n"/>
      <c r="B3" s="804" t="n"/>
      <c r="C3" s="804" t="n"/>
      <c r="D3" s="804" t="n"/>
      <c r="E3" s="804" t="n"/>
      <c r="F3" s="804" t="n"/>
    </row>
    <row r="4" ht="19.75" customHeight="1" s="254">
      <c r="A4" s="798" t="inlineStr">
        <is>
          <t>Client</t>
        </is>
      </c>
      <c r="B4" s="804" t="n"/>
      <c r="C4" s="804" t="n"/>
      <c r="D4" s="804" t="n"/>
      <c r="E4" s="804" t="n"/>
      <c r="F4" s="804" t="n"/>
    </row>
    <row r="5" ht="16" customHeight="1" s="254">
      <c r="A5" s="781" t="inlineStr">
        <is>
          <t>Client legal name</t>
        </is>
      </c>
      <c r="B5" s="799" t="n"/>
      <c r="C5" s="792" t="inlineStr">
        <is>
          <t>As it will appear on the proposal</t>
        </is>
      </c>
      <c r="D5" s="804" t="n"/>
      <c r="E5" s="804" t="n"/>
      <c r="F5" s="804" t="n"/>
    </row>
    <row r="6" ht="16" customHeight="1" s="254">
      <c r="A6" s="781" t="inlineStr">
        <is>
          <t>Client contact name</t>
        </is>
      </c>
      <c r="B6" s="799" t="n"/>
      <c r="C6" s="804" t="n"/>
      <c r="D6" s="804" t="n"/>
      <c r="E6" s="804" t="n"/>
      <c r="F6" s="804" t="n"/>
    </row>
    <row r="7" ht="16" customHeight="1" s="254">
      <c r="A7" s="781" t="inlineStr">
        <is>
          <t>Contact title</t>
        </is>
      </c>
      <c r="B7" s="799" t="n"/>
      <c r="C7" s="804" t="n"/>
      <c r="D7" s="804" t="n"/>
      <c r="E7" s="804" t="n"/>
      <c r="F7" s="804" t="n"/>
    </row>
    <row r="8" ht="16" customHeight="1" s="254">
      <c r="A8" s="781" t="inlineStr">
        <is>
          <t>Contact email</t>
        </is>
      </c>
      <c r="B8" s="799" t="n"/>
      <c r="C8" s="804" t="n"/>
      <c r="D8" s="804" t="n"/>
      <c r="E8" s="804" t="n"/>
      <c r="F8" s="804" t="n"/>
    </row>
    <row r="9" ht="16" customHeight="1" s="254">
      <c r="A9" s="781" t="inlineStr">
        <is>
          <t>Contact phone</t>
        </is>
      </c>
      <c r="B9" s="799" t="n"/>
      <c r="C9" s="804" t="n"/>
      <c r="D9" s="804" t="n"/>
      <c r="E9" s="804" t="n"/>
      <c r="F9" s="804" t="n"/>
    </row>
    <row r="10" ht="16" customHeight="1" s="254">
      <c r="A10" s="811" t="n"/>
      <c r="B10" s="804" t="n"/>
      <c r="C10" s="804" t="n"/>
      <c r="D10" s="804" t="n"/>
      <c r="E10" s="804" t="n"/>
      <c r="F10" s="804" t="n"/>
    </row>
    <row r="11" ht="19.75" customHeight="1" s="254">
      <c r="A11" s="798" t="inlineStr">
        <is>
          <t>Site</t>
        </is>
      </c>
      <c r="B11" s="804" t="n"/>
      <c r="C11" s="804" t="n"/>
      <c r="D11" s="804" t="n"/>
      <c r="E11" s="804" t="n"/>
      <c r="F11" s="804" t="n"/>
    </row>
    <row r="12" ht="16" customHeight="1" s="254">
      <c r="A12" s="781" t="inlineStr">
        <is>
          <t>Site name</t>
        </is>
      </c>
      <c r="B12" s="799" t="n"/>
      <c r="C12" s="804" t="n"/>
      <c r="D12" s="804" t="n"/>
      <c r="E12" s="804" t="n"/>
      <c r="F12" s="804" t="n"/>
    </row>
    <row r="13" ht="16" customHeight="1" s="254">
      <c r="A13" s="781" t="inlineStr">
        <is>
          <t>Street address</t>
        </is>
      </c>
      <c r="B13" s="799" t="n"/>
      <c r="C13" s="804" t="n"/>
      <c r="D13" s="804" t="n"/>
      <c r="E13" s="804" t="n"/>
      <c r="F13" s="804" t="n"/>
    </row>
    <row r="14" ht="16" customHeight="1" s="254">
      <c r="A14" s="781" t="inlineStr">
        <is>
          <t>City / State / ZIP</t>
        </is>
      </c>
      <c r="B14" s="799" t="n"/>
      <c r="C14" s="804" t="n"/>
      <c r="D14" s="804" t="n"/>
      <c r="E14" s="804" t="n"/>
      <c r="F14" s="804" t="n"/>
    </row>
    <row r="15" ht="16" customHeight="1" s="254">
      <c r="A15" s="781" t="inlineStr">
        <is>
          <t>County</t>
        </is>
      </c>
      <c r="B15" s="799" t="n"/>
      <c r="C15" s="804" t="n"/>
      <c r="D15" s="804" t="n"/>
      <c r="E15" s="804" t="n"/>
      <c r="F15" s="804" t="n"/>
    </row>
    <row r="16" ht="16" customHeight="1" s="254">
      <c r="A16" s="781" t="inlineStr">
        <is>
          <t>Property type</t>
        </is>
      </c>
      <c r="B16" s="799" t="n"/>
      <c r="C16" s="792" t="inlineStr">
        <is>
          <t>Retail, dealership, fleet depot, hotel, grocery…</t>
        </is>
      </c>
      <c r="D16" s="804" t="n"/>
      <c r="E16" s="804" t="n"/>
      <c r="F16" s="804" t="n"/>
    </row>
    <row r="17" ht="43.5" customHeight="1" s="254">
      <c r="A17" s="781" t="inlineStr">
        <is>
          <t>Project type</t>
        </is>
      </c>
      <c r="B17" s="815">
        <f>Existing!B5</f>
        <v/>
      </c>
      <c r="C17" s="816" t="inlineStr">
        <is>
          <t>Set this on the Existing tab. An add-load site completes the Existing tab sections B, D and I; a replacement site completes it in full; a greenfield site with a new service leaves it alone.</t>
        </is>
      </c>
    </row>
    <row r="18" ht="16" customHeight="1" s="254">
      <c r="A18" s="781" t="inlineStr">
        <is>
          <t>Existing chargers on site?</t>
        </is>
      </c>
      <c r="B18" s="815">
        <f>IF(Existing!B43=0,"None",TEXT(Existing!B43,"0")&amp;" ports across "&amp;TEXT(Existing!B42,"0")&amp;" units — see the Existing tab")</f>
        <v/>
      </c>
      <c r="C18" s="816" t="inlineStr">
        <is>
          <t>Derived from the equipment schedule on the Existing tab.</t>
        </is>
      </c>
      <c r="E18" s="804" t="n"/>
      <c r="F18" s="804" t="n"/>
    </row>
    <row r="19" ht="16" customHeight="1" s="254">
      <c r="A19" s="811" t="n"/>
      <c r="B19" s="804" t="n"/>
      <c r="C19" s="804" t="n"/>
      <c r="D19" s="804" t="n"/>
      <c r="E19" s="804" t="n"/>
      <c r="F19" s="804" t="n"/>
    </row>
    <row r="20" ht="19.75" customHeight="1" s="254">
      <c r="A20" s="798" t="inlineStr">
        <is>
          <t>Access and operating policy</t>
        </is>
      </c>
      <c r="B20" s="804" t="n"/>
      <c r="C20" s="804" t="n"/>
      <c r="D20" s="804" t="n"/>
      <c r="E20" s="804" t="n"/>
      <c r="F20" s="804" t="n"/>
    </row>
    <row r="21" ht="16" customHeight="1" s="254">
      <c r="A21" s="781" t="inlineStr">
        <is>
          <t>Public access</t>
        </is>
      </c>
      <c r="B21" s="799" t="n"/>
      <c r="C21" s="792" t="inlineStr">
        <is>
          <t>Public 24/7 / Public during business hours / Restricted</t>
        </is>
      </c>
      <c r="D21" s="804" t="n"/>
      <c r="E21" s="804" t="n"/>
      <c r="F21" s="804" t="n"/>
    </row>
    <row r="22" ht="16" customHeight="1" s="254">
      <c r="A22" s="781" t="inlineStr">
        <is>
          <t>Hours open per day</t>
        </is>
      </c>
      <c r="B22" s="817" t="n">
        <v>24</v>
      </c>
      <c r="C22" s="792" t="inlineStr">
        <is>
          <t>CRITICAL: 24 unless access is genuinely gated</t>
        </is>
      </c>
      <c r="D22" s="804" t="n"/>
      <c r="E22" s="804" t="n"/>
      <c r="F22" s="804" t="n"/>
    </row>
    <row r="23" ht="16" customHeight="1" s="254">
      <c r="A23" s="781" t="inlineStr">
        <is>
          <t>Days open per year</t>
        </is>
      </c>
      <c r="B23" s="817" t="n">
        <v>365</v>
      </c>
      <c r="C23" s="792" t="inlineStr">
        <is>
          <t>Use 365 unless the site closes seasonally</t>
        </is>
      </c>
      <c r="D23" s="804" t="n"/>
      <c r="E23" s="804" t="n"/>
      <c r="F23" s="804" t="n"/>
    </row>
    <row r="24" ht="16" customHeight="1" s="254">
      <c r="A24" s="811" t="n"/>
      <c r="B24" s="804" t="n"/>
      <c r="C24" s="804" t="n"/>
      <c r="D24" s="804" t="n"/>
      <c r="E24" s="804" t="n"/>
      <c r="F24" s="804" t="n"/>
    </row>
    <row r="25" ht="19.75" customHeight="1" s="254">
      <c r="A25" s="798" t="inlineStr">
        <is>
          <t>Utility</t>
        </is>
      </c>
      <c r="B25" s="804" t="n"/>
      <c r="C25" s="804" t="n"/>
      <c r="D25" s="804" t="n"/>
      <c r="E25" s="804" t="n"/>
      <c r="F25" s="804" t="n"/>
    </row>
    <row r="26" ht="43.5" customHeight="1" s="254">
      <c r="A26" s="781" t="inlineStr">
        <is>
          <t>Electric utility (delivery)</t>
        </is>
      </c>
      <c r="B26" s="807" t="n"/>
      <c r="C26" s="816" t="inlineStr">
        <is>
          <t>Pick from the list. This is the utility that DELIVERS power and therefore sets the EV tariff — see the Utilities tab. If the site is served by a community choice aggregator, still pick the delivery utility here.</t>
        </is>
      </c>
    </row>
    <row r="27" ht="16" customHeight="1" s="254">
      <c r="A27" s="781" t="inlineStr">
        <is>
          <t>Current rate schedule</t>
        </is>
      </c>
      <c r="B27" s="799" t="n"/>
      <c r="C27" s="792" t="inlineStr">
        <is>
          <t>From a recent bill</t>
        </is>
      </c>
      <c r="D27" s="804" t="n"/>
      <c r="E27" s="804" t="n"/>
      <c r="F27" s="804" t="n"/>
    </row>
    <row r="28" ht="16" customHeight="1" s="254">
      <c r="A28" s="781" t="inlineStr">
        <is>
          <t>Existing service size (A)</t>
        </is>
      </c>
      <c r="B28" s="818" t="n"/>
      <c r="C28" s="792" t="inlineStr">
        <is>
          <t>Main service amperage today</t>
        </is>
      </c>
      <c r="D28" s="804" t="n"/>
      <c r="E28" s="804" t="n"/>
      <c r="F28" s="804" t="n"/>
    </row>
    <row r="29" ht="16" customHeight="1" s="254">
      <c r="A29" s="781" t="inlineStr">
        <is>
          <t>Service voltage</t>
        </is>
      </c>
      <c r="B29" s="819" t="n">
        <v>480</v>
      </c>
      <c r="C29" s="792" t="inlineStr">
        <is>
          <t>Usually 480V 3-phase for DC fast charging</t>
        </is>
      </c>
      <c r="D29" s="804" t="n"/>
      <c r="E29" s="804" t="n"/>
      <c r="F29" s="804" t="n"/>
    </row>
    <row r="30" ht="16" customHeight="1" s="254">
      <c r="A30" s="781" t="inlineStr">
        <is>
          <t>12 months of bills obtained?</t>
        </is>
      </c>
      <c r="B30" s="799" t="n"/>
      <c r="C30" s="792" t="inlineStr">
        <is>
          <t>Yes / No — needed to validate the energy cost</t>
        </is>
      </c>
      <c r="D30" s="804" t="n"/>
      <c r="E30" s="804" t="n"/>
      <c r="F30" s="804" t="n"/>
    </row>
    <row r="31" ht="16" customHeight="1" s="254">
      <c r="A31" s="811" t="n"/>
      <c r="B31" s="804" t="n"/>
      <c r="C31" s="804" t="n"/>
      <c r="D31" s="804" t="n"/>
      <c r="E31" s="804" t="n"/>
      <c r="F31" s="804" t="n"/>
    </row>
    <row r="32" ht="19.75" customHeight="1" s="254">
      <c r="A32" s="798" t="inlineStr">
        <is>
          <t>Commercial</t>
        </is>
      </c>
      <c r="B32" s="804" t="n"/>
      <c r="C32" s="804" t="n"/>
      <c r="D32" s="804" t="n"/>
      <c r="E32" s="804" t="n"/>
      <c r="F32" s="804" t="n"/>
    </row>
    <row r="33" ht="16" customHeight="1" s="254">
      <c r="A33" s="781" t="inlineStr">
        <is>
          <t>Proposal date</t>
        </is>
      </c>
      <c r="B33" s="820" t="n"/>
      <c r="C33" s="804" t="n"/>
      <c r="D33" s="804" t="n"/>
      <c r="E33" s="804" t="n"/>
      <c r="F33" s="804" t="n"/>
    </row>
    <row r="34" ht="16" customHeight="1" s="254">
      <c r="A34" s="781" t="inlineStr">
        <is>
          <t>Proposal validity (days)</t>
        </is>
      </c>
      <c r="B34" s="819" t="n">
        <v>30</v>
      </c>
      <c r="C34" s="804" t="n"/>
      <c r="D34" s="804" t="n"/>
      <c r="E34" s="804" t="n"/>
      <c r="F34" s="804" t="n"/>
    </row>
    <row r="35" ht="16" customHeight="1" s="254">
      <c r="A35" s="781" t="inlineStr">
        <is>
          <t>Prepared by</t>
        </is>
      </c>
      <c r="B35" s="799" t="n"/>
      <c r="C35" s="804" t="n"/>
      <c r="D35" s="804" t="n"/>
      <c r="E35" s="804" t="n"/>
      <c r="F35" s="804" t="n"/>
    </row>
    <row r="36" ht="16" customHeight="1" s="254">
      <c r="A36" s="781" t="inlineStr">
        <is>
          <t>RSM / account owner</t>
        </is>
      </c>
      <c r="B36" s="799" t="n"/>
      <c r="C36" s="804" t="n"/>
      <c r="D36" s="804" t="n"/>
      <c r="E36" s="804" t="n"/>
      <c r="F36" s="804" t="n"/>
    </row>
    <row r="37" ht="16" customHeight="1" s="254">
      <c r="A37" s="811" t="n"/>
      <c r="B37" s="804" t="n"/>
      <c r="C37" s="804" t="n"/>
      <c r="D37" s="804" t="n"/>
      <c r="E37" s="804" t="n"/>
      <c r="F37" s="804" t="n"/>
    </row>
    <row r="38" ht="16" customHeight="1" s="254">
      <c r="A38" s="811" t="n"/>
      <c r="B38" s="804" t="n"/>
      <c r="C38" s="804" t="n"/>
      <c r="D38" s="804" t="n"/>
      <c r="E38" s="804" t="n"/>
      <c r="F38" s="804" t="n"/>
    </row>
    <row r="39" ht="33.5" customHeight="1" s="254">
      <c r="A39" s="798" t="inlineStr">
        <is>
          <t>Utility context — derived from the selection above</t>
        </is>
      </c>
      <c r="B39" s="804" t="n"/>
      <c r="C39" s="804" t="n"/>
      <c r="D39" s="804" t="n"/>
      <c r="E39" s="804" t="n"/>
      <c r="F39" s="804" t="n"/>
    </row>
    <row r="40" hidden="1" outlineLevel="1" ht="31" customHeight="1" s="254">
      <c r="A40" s="816" t="inlineStr">
        <is>
          <t>These read the Utilities and RateLibrary tabs. They tell you what tariff regime the site sits in before anyone opens a tariff book.</t>
        </is>
      </c>
      <c r="D40" s="804" t="n"/>
      <c r="E40" s="804" t="n"/>
      <c r="F40" s="804" t="n"/>
    </row>
    <row r="41" hidden="1" outlineLevel="1" ht="31" customHeight="1" s="254">
      <c r="A41" s="781" t="inlineStr">
        <is>
          <t>Utility type</t>
        </is>
      </c>
      <c r="B41" s="821">
        <f>IFERROR(INDEX(Utilities!$K$5:$K$78,MATCH($B$26,Utilities!$J$5:$J$78,0)),"")</f>
        <v/>
      </c>
      <c r="C41" s="816" t="inlineStr">
        <is>
          <t>IOU utilities are CPUC-regulated and follow Rule 29. POUs and co-ops set their own rules — no Rule 29, no PCIA, their own interconnection process.</t>
        </is>
      </c>
    </row>
    <row r="42" hidden="1" outlineLevel="1" ht="16" customHeight="1" s="254">
      <c r="A42" s="781" t="inlineStr">
        <is>
          <t>Service territory</t>
        </is>
      </c>
      <c r="B42" s="821">
        <f>IFERROR(INDEX(Utilities!$L$5:$L$78,MATCH($B$26,Utilities!$J$5:$J$78,0)),"")</f>
        <v/>
      </c>
      <c r="C42" s="804" t="n"/>
      <c r="D42" s="804" t="n"/>
      <c r="E42" s="804" t="n"/>
      <c r="F42" s="804" t="n"/>
    </row>
    <row r="43" hidden="1" outlineLevel="1" ht="43.5" customHeight="1" s="254">
      <c r="A43" s="781" t="inlineStr">
        <is>
          <t>EV rate status</t>
        </is>
      </c>
      <c r="B43" s="821">
        <f>IFERROR(INDEX(Utilities!$M$5:$M$78,MATCH($B$26,Utilities!$J$5:$J$78,0)),"")</f>
        <v/>
      </c>
      <c r="C43" s="816" t="inlineStr">
        <is>
          <t>Whether this utility publishes a commercial EV tariff at all. Where it does not, the site pays full demand charges on a general commercial schedule — usually the single largest difference between two otherwise identical sites.</t>
        </is>
      </c>
    </row>
    <row r="44" hidden="1" outlineLevel="1" ht="31" customHeight="1" s="254">
      <c r="A44" s="781" t="inlineStr">
        <is>
          <t>Rate rows in the library</t>
        </is>
      </c>
      <c r="B44" s="821">
        <f>COUNTIF(RATE_UTIL,$B$26)</f>
        <v/>
      </c>
      <c r="C44" s="816" t="inlineStr">
        <is>
          <t>How many schedules the library carries for this utility. Zero means it has not been researched — obtain the tariff.</t>
        </is>
      </c>
      <c r="E44" s="804" t="n"/>
      <c r="F44" s="804" t="n"/>
    </row>
    <row r="45" hidden="1" outlineLevel="1" ht="31" customHeight="1" s="254">
      <c r="A45" s="794" t="inlineStr">
        <is>
          <t>Best status in the library</t>
        </is>
      </c>
      <c r="B45" s="822">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816" t="inlineStr">
        <is>
          <t>Never price a project from a NOT PUBLISHED row. Get the tariff sheet or a written rate quotation.</t>
        </is>
      </c>
      <c r="E45" s="804" t="n"/>
      <c r="F45" s="804" t="n"/>
    </row>
    <row r="46" hidden="1" outlineLevel="1" ht="31" customHeight="1" s="254">
      <c r="A46" s="781" t="inlineStr">
        <is>
          <t>Community choice aggregator, if any</t>
        </is>
      </c>
      <c r="B46" s="799" t="n"/>
      <c r="C46" s="816" t="inlineStr">
        <is>
          <t>A CCA changes ONLY the generation $/kWh. Eligibility, time-of-use periods, the demand subscription and every delivery charge stay with the utility above.</t>
        </is>
      </c>
    </row>
    <row r="47" hidden="1" outlineLevel="1" ht="56" customHeight="1" s="254">
      <c r="A47" s="794" t="inlineStr">
        <is>
          <t>CCA delivery utility check</t>
        </is>
      </c>
      <c r="B47" s="822">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814"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row>
    <row r="48" hidden="1" outlineLevel="1" ht="31" customHeight="1" s="254">
      <c r="A48" s="794" t="inlineStr">
        <is>
          <t>Interconnection regime</t>
        </is>
      </c>
      <c r="B48" s="822">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814" t="inlineStr">
        <is>
          <t>Decides whether the Rule 29 questions on the Electrical tab are worth asking. Outside a California investor-owned utility they are not, and nothing reads them.</t>
        </is>
      </c>
    </row>
    <row r="49" hidden="1" outlineLevel="1" ht="56" customHeight="1" s="254">
      <c r="A49" s="823"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804" t="n"/>
      <c r="E49" s="804" t="n"/>
      <c r="F49" s="804" t="n"/>
    </row>
  </sheetData>
  <sheetProtection selectLockedCells="0" selectUnlockedCells="0" sheet="1" objects="0" insertRows="1" insertHyperlinks="1" autoFilter="1" scenarios="0" formatColumns="0" deleteColumns="1" insertColumns="1" pivotTables="1" deleteRows="1" formatCells="0" formatRows="0" sort="1"/>
  <mergeCells count="13">
    <mergeCell ref="C48:F48"/>
    <mergeCell ref="A49:C49"/>
    <mergeCell ref="C17:F17"/>
    <mergeCell ref="C41:F41"/>
    <mergeCell ref="C26:F26"/>
    <mergeCell ref="A1:F1"/>
    <mergeCell ref="C43:F43"/>
    <mergeCell ref="A40:C40"/>
    <mergeCell ref="C46:F46"/>
    <mergeCell ref="C45:D45"/>
    <mergeCell ref="C44:D44"/>
    <mergeCell ref="C18:D18"/>
    <mergeCell ref="C47:F47"/>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filterMode="0">
    <tabColor rgb="006B4C9A"/>
    <outlinePr summaryBelow="1" summaryRight="1"/>
    <pageSetUpPr fitToPage="1"/>
  </sheetPr>
  <dimension ref="A1:G20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C6" activeCellId="0" sqref="C6"/>
    </sheetView>
  </sheetViews>
  <sheetFormatPr baseColWidth="8" defaultColWidth="8.66796875" defaultRowHeight="14.25" zeroHeight="0" outlineLevelRow="0"/>
  <cols>
    <col width="34" customWidth="1" style="253" min="1" max="1"/>
    <col width="22" customWidth="1" style="253" min="2" max="2"/>
    <col width="36" customWidth="1" style="253" min="3" max="3"/>
    <col width="30" customWidth="1" style="253" min="4" max="7"/>
    <col width="9" customWidth="1" style="254" min="5" max="5"/>
    <col width="9" customWidth="1" style="254" min="6" max="6"/>
    <col width="9" customWidth="1" style="254" min="7" max="7"/>
  </cols>
  <sheetData>
    <row r="1" ht="26" customHeight="1" s="254">
      <c r="A1" s="790" t="inlineStr">
        <is>
          <t>1B · EXISTING SITE — existing service, rip and replace, or replace and expand</t>
        </is>
      </c>
    </row>
    <row r="2" ht="31" customHeight="1" s="254">
      <c r="A2" s="816" t="inlineStr">
        <is>
          <t>Complete this tab when the site already has an electrical service you intend to use, or charging equipment you intend to replace. Set the project type first: it decides which sections below apply, and every check on this tab and on the Electrical and Construction tabs keys off it.</t>
        </is>
      </c>
    </row>
    <row r="3" ht="16" customHeight="1" s="254">
      <c r="A3" s="811" t="n"/>
      <c r="B3" s="804" t="n"/>
      <c r="C3" s="804" t="n"/>
      <c r="D3" s="804" t="n"/>
      <c r="E3" s="804" t="n"/>
      <c r="F3" s="804" t="n"/>
      <c r="G3" s="804" t="n"/>
    </row>
    <row r="4" ht="19.75" customHeight="1" s="254">
      <c r="A4" s="798" t="inlineStr">
        <is>
          <t>A · Project type</t>
        </is>
      </c>
      <c r="B4" s="804" t="n"/>
      <c r="C4" s="804" t="n"/>
      <c r="D4" s="804" t="n"/>
      <c r="E4" s="804" t="n"/>
      <c r="F4" s="804" t="n"/>
      <c r="G4" s="804" t="n"/>
    </row>
    <row r="5" ht="68.5" customHeight="1" s="254">
      <c r="A5" s="781" t="inlineStr">
        <is>
          <t>Project type</t>
        </is>
      </c>
      <c r="B5" s="807" t="inlineStr">
        <is>
          <t>Greenfield — new service</t>
        </is>
      </c>
      <c r="C5" s="816" t="inlineStr">
        <is>
          <t>Four types. GREENFIELD — NEW SERVICE builds everything, including a new utility service; only section A applies here. GREENFIELD — ADD LOAD TO EXISTING SERVICE: no chargers today, but a service and switchboard that can take the new load — complete sections B (service, feeder and switchgear rows), D and I; the others stand down. RIP AND REPLACE and REPLACE AND EXPAND: chargers exist today — complete every section.</t>
        </is>
      </c>
    </row>
    <row r="6" ht="31" customHeight="1" s="254">
      <c r="A6" s="781" t="inlineStr">
        <is>
          <t>Age of the existing installation (years)</t>
        </is>
      </c>
      <c r="B6" s="818" t="n"/>
      <c r="C6" s="816" t="inlineStr">
        <is>
          <t>Drives whether the existing conductors and gear are worth reusing.</t>
        </is>
      </c>
      <c r="E6" s="804" t="n"/>
      <c r="F6" s="804" t="n"/>
      <c r="G6" s="804" t="n"/>
    </row>
    <row r="7" ht="31" customHeight="1" s="254">
      <c r="A7" s="781" t="inlineStr">
        <is>
          <t>Reason for replacement</t>
        </is>
      </c>
      <c r="B7" s="799" t="n"/>
      <c r="C7" s="816" t="inlineStr">
        <is>
          <t>End of life, unreliability, obsolete connectors, insufficient power, or a commercial decision.</t>
        </is>
      </c>
      <c r="E7" s="804" t="n"/>
      <c r="F7" s="804" t="n"/>
      <c r="G7" s="804" t="n"/>
    </row>
    <row r="8" ht="16" customHeight="1" s="254">
      <c r="A8" s="781" t="inlineStr">
        <is>
          <t>Who owns the existing equipment?</t>
        </is>
      </c>
      <c r="B8" s="799" t="n"/>
      <c r="C8" s="816" t="inlineStr">
        <is>
          <t>If a third party owns it, removal and disposal need their agreement.</t>
        </is>
      </c>
      <c r="E8" s="804" t="n"/>
      <c r="F8" s="804" t="n"/>
      <c r="G8" s="804" t="n"/>
    </row>
    <row r="9" ht="16" customHeight="1" s="254">
      <c r="A9" s="811" t="n"/>
      <c r="B9" s="804" t="n"/>
      <c r="C9" s="804" t="n"/>
      <c r="D9" s="804" t="n"/>
      <c r="E9" s="804" t="n"/>
      <c r="F9" s="804" t="n"/>
      <c r="G9" s="804" t="n"/>
    </row>
    <row r="10" ht="33.5" customHeight="1" s="254">
      <c r="A10" s="798" t="inlineStr">
        <is>
          <t>B · What is retained and what is replaced</t>
        </is>
      </c>
      <c r="B10" s="804" t="n"/>
      <c r="C10" s="804" t="n"/>
      <c r="D10" s="804" t="n"/>
      <c r="E10" s="804" t="n"/>
      <c r="F10" s="804" t="n"/>
      <c r="G10" s="804" t="n"/>
    </row>
    <row r="11" ht="31" customHeight="1" s="254">
      <c r="A11" s="816" t="inlineStr">
        <is>
          <t>This register is the whole commercial difference between a greenfield build, an added load on an existing service and a charger swap. On an add-load site the first three rows are RETAIN and the rest are NOT PRESENT — there are no chargers to keep or replace.</t>
        </is>
      </c>
    </row>
    <row r="12" ht="16" customHeight="1" s="254">
      <c r="A12" s="824" t="inlineStr">
        <is>
          <t>Element</t>
        </is>
      </c>
      <c r="B12" s="824" t="inlineStr">
        <is>
          <t>Decision</t>
        </is>
      </c>
      <c r="C12" s="824" t="inlineStr">
        <is>
          <t>Basis for the decision</t>
        </is>
      </c>
      <c r="D12" s="824" t="n"/>
      <c r="E12" s="824" t="n"/>
      <c r="F12" s="824" t="n"/>
      <c r="G12" s="824" t="n"/>
    </row>
    <row r="13" ht="16" customHeight="1" s="254">
      <c r="A13" s="825" t="inlineStr">
        <is>
          <t>Utility service and meter</t>
        </is>
      </c>
      <c r="B13" s="799" t="n"/>
      <c r="C13" s="825" t="inlineStr">
        <is>
          <t>Existing service stays. No Rule 29 application, no new meter.</t>
        </is>
      </c>
      <c r="D13" s="299" t="n"/>
      <c r="E13" s="804" t="n"/>
      <c r="F13" s="804" t="n"/>
      <c r="G13" s="804" t="n"/>
    </row>
    <row r="14" ht="16" customHeight="1" s="254">
      <c r="A14" s="825" t="inlineStr">
        <is>
          <t>Service feeder to switchgear</t>
        </is>
      </c>
      <c r="B14" s="799" t="n"/>
      <c r="C14" s="825" t="inlineStr">
        <is>
          <t>Conductor from the point of delivery to the switchboard.</t>
        </is>
      </c>
      <c r="D14" s="299" t="n"/>
      <c r="E14" s="804" t="n"/>
      <c r="F14" s="804" t="n"/>
      <c r="G14" s="804" t="n"/>
    </row>
    <row r="15" ht="31" customHeight="1" s="254">
      <c r="A15" s="825" t="inlineStr">
        <is>
          <t>Main distribution switchgear</t>
        </is>
      </c>
      <c r="B15" s="799" t="n"/>
      <c r="C15" s="825" t="inlineStr">
        <is>
          <t>Switchboard, main breaker and metering section.</t>
        </is>
      </c>
      <c r="D15" s="804" t="n"/>
      <c r="E15" s="804" t="n"/>
      <c r="F15" s="804" t="n"/>
      <c r="G15" s="804" t="n"/>
    </row>
    <row r="16" ht="31" customHeight="1" s="254">
      <c r="A16" s="825" t="inlineStr">
        <is>
          <t>Branch conductors to each charger</t>
        </is>
      </c>
      <c r="B16" s="799" t="n"/>
      <c r="C16" s="825" t="inlineStr">
        <is>
          <t>The feeders from switchgear to cabinet. The single largest reuse saving.</t>
        </is>
      </c>
      <c r="D16" s="299" t="n"/>
      <c r="E16" s="804" t="n"/>
      <c r="F16" s="804" t="n"/>
      <c r="G16" s="804" t="n"/>
    </row>
    <row r="17" ht="31" customHeight="1" s="254">
      <c r="A17" s="825" t="inlineStr">
        <is>
          <t>Conduit and trench</t>
        </is>
      </c>
      <c r="B17" s="799" t="n"/>
      <c r="C17" s="825" t="inlineStr">
        <is>
          <t>Existing conduit reused; no re-trenching if the new cabinets land on the same pads.</t>
        </is>
      </c>
      <c r="D17" s="299" t="n"/>
      <c r="E17" s="804" t="n"/>
      <c r="F17" s="804" t="n"/>
      <c r="G17" s="804" t="n"/>
    </row>
    <row r="18" ht="31" customHeight="1" s="254">
      <c r="A18" s="825" t="inlineStr">
        <is>
          <t>Branch breakers</t>
        </is>
      </c>
      <c r="B18" s="799" t="n"/>
      <c r="C18" s="825" t="inlineStr">
        <is>
          <t>Sized to the new cabinet, not the old one. Usually cheap and always worth replacing.</t>
        </is>
      </c>
      <c r="D18" s="299" t="n"/>
      <c r="E18" s="804" t="n"/>
      <c r="F18" s="804" t="n"/>
      <c r="G18" s="804" t="n"/>
    </row>
    <row r="19" ht="16" customHeight="1" s="254">
      <c r="A19" s="825" t="inlineStr">
        <is>
          <t>Concrete pads</t>
        </is>
      </c>
      <c r="B19" s="799" t="n"/>
      <c r="C19" s="825" t="inlineStr">
        <is>
          <t>New cabinets rarely match the old footprint or anchor pattern.</t>
        </is>
      </c>
      <c r="D19" s="299" t="n"/>
      <c r="E19" s="804" t="n"/>
      <c r="F19" s="804" t="n"/>
      <c r="G19" s="804" t="n"/>
    </row>
    <row r="20" ht="16" customHeight="1" s="254">
      <c r="A20" s="825" t="inlineStr">
        <is>
          <t>Bollards and equipment protection</t>
        </is>
      </c>
      <c r="B20" s="799" t="n"/>
      <c r="C20" s="825" t="inlineStr">
        <is>
          <t>Usually disturbed by pad removal.</t>
        </is>
      </c>
      <c r="D20" s="804" t="n"/>
      <c r="E20" s="804" t="n"/>
      <c r="F20" s="804" t="n"/>
      <c r="G20" s="804" t="n"/>
    </row>
    <row r="21" ht="31" customHeight="1" s="254">
      <c r="A21" s="825" t="inlineStr">
        <is>
          <t>Paving and striping</t>
        </is>
      </c>
      <c r="B21" s="799" t="n"/>
      <c r="C21" s="825" t="inlineStr">
        <is>
          <t>Reinstatement around the new pads only.</t>
        </is>
      </c>
      <c r="D21" s="804" t="n"/>
      <c r="E21" s="804" t="n"/>
      <c r="F21" s="804" t="n"/>
      <c r="G21" s="804" t="n"/>
    </row>
    <row r="22" ht="31" customHeight="1" s="254">
      <c r="A22" s="825" t="inlineStr">
        <is>
          <t>ADA stalls and route</t>
        </is>
      </c>
      <c r="B22" s="799" t="n"/>
      <c r="C22" s="825" t="inlineStr">
        <is>
          <t>Reused if the layout is unchanged and still compliant.</t>
        </is>
      </c>
      <c r="D22" s="804" t="n"/>
      <c r="E22" s="804" t="n"/>
      <c r="F22" s="804" t="n"/>
      <c r="G22" s="804" t="n"/>
    </row>
    <row r="23" ht="16" customHeight="1" s="254">
      <c r="A23" s="825" t="inlineStr">
        <is>
          <t>Signage</t>
        </is>
      </c>
      <c r="B23" s="799" t="n"/>
      <c r="C23" s="825" t="inlineStr">
        <is>
          <t>Network branding, pricing and connector types all change.</t>
        </is>
      </c>
      <c r="D23" s="299" t="n"/>
      <c r="E23" s="804" t="n"/>
      <c r="F23" s="804" t="n"/>
      <c r="G23" s="804" t="n"/>
    </row>
    <row r="24" ht="16" customHeight="1" s="254">
      <c r="A24" s="825" t="inlineStr">
        <is>
          <t>Network and payment hardware</t>
        </is>
      </c>
      <c r="B24" s="799" t="n"/>
      <c r="C24" s="825" t="inlineStr">
        <is>
          <t>Integrated in the new cabinets.</t>
        </is>
      </c>
      <c r="D24" s="804" t="n"/>
      <c r="E24" s="804" t="n"/>
      <c r="F24" s="804" t="n"/>
      <c r="G24" s="804" t="n"/>
    </row>
    <row r="25" ht="16" customHeight="1" s="254">
      <c r="A25" s="811" t="n"/>
      <c r="B25" s="804" t="n"/>
      <c r="C25" s="804" t="n"/>
      <c r="D25" s="804" t="n"/>
      <c r="E25" s="804" t="n"/>
      <c r="F25" s="804" t="n"/>
      <c r="G25" s="804" t="n"/>
    </row>
    <row r="26" ht="16" customHeight="1" s="254">
      <c r="A26" s="781" t="inlineStr">
        <is>
          <t>Elements retained</t>
        </is>
      </c>
      <c r="B26" s="826">
        <f>COUNTIF($B$13:$B$24,"RETAIN")</f>
        <v/>
      </c>
      <c r="C26" s="816" t="inlineStr">
        <is>
          <t>Of 12 in the register.</t>
        </is>
      </c>
      <c r="D26" s="804" t="n"/>
      <c r="E26" s="804" t="n"/>
      <c r="F26" s="804" t="n"/>
      <c r="G26" s="804" t="n"/>
    </row>
    <row r="27" ht="16" customHeight="1" s="254">
      <c r="A27" s="781" t="inlineStr">
        <is>
          <t>Elements replaced</t>
        </is>
      </c>
      <c r="B27" s="826">
        <f>COUNTIF($B$13:$B$24,"REPLACE")+COUNTIF($B$13:$B$24,"PARTIAL")</f>
        <v/>
      </c>
      <c r="C27" s="804" t="n"/>
      <c r="D27" s="804" t="n"/>
      <c r="E27" s="804" t="n"/>
      <c r="F27" s="804" t="n"/>
      <c r="G27" s="804" t="n"/>
    </row>
    <row r="28" ht="43.5" customHeight="1" s="254">
      <c r="A28" s="794" t="inlineStr">
        <is>
          <t>Scope profile</t>
        </is>
      </c>
      <c r="B28" s="822">
        <f>IF($B$5="Greenfield — add load to existing service","Add load to existing service — no new service, no new feeder; connect at the existing switchgear and price the distribution from there inward",IF($B$13="RETAIN",IF($B$14="RETAIN","Infrastructure reuse — no new service, no new feeder","Service retained, feeder replaced"),"New or upgraded service — price this as greenfield electrical"))</f>
        <v/>
      </c>
      <c r="C28" s="299" t="n"/>
      <c r="D28" s="816" t="inlineStr">
        <is>
          <t>What the retained register implies for the electrical scope on the Electrical tab.</t>
        </is>
      </c>
      <c r="F28" s="804" t="n"/>
      <c r="G28" s="804" t="n"/>
    </row>
    <row r="29" ht="16" customHeight="1" s="254">
      <c r="A29" s="811" t="n"/>
      <c r="B29" s="804" t="n"/>
      <c r="C29" s="804" t="n"/>
      <c r="D29" s="804" t="n"/>
      <c r="E29" s="804" t="n"/>
      <c r="F29" s="804" t="n"/>
      <c r="G29" s="804" t="n"/>
    </row>
    <row r="30" ht="33.5" customHeight="1" s="254">
      <c r="A30" s="798" t="inlineStr">
        <is>
          <t>C · Existing equipment being removed</t>
        </is>
      </c>
      <c r="B30" s="945">
        <f>IF(OR($B$5="Greenfield — new service",$B$5="Greenfield — add load to existing service"),"— skip: no existing chargers","— complete this section")</f>
        <v/>
      </c>
      <c r="C30" s="804" t="n"/>
      <c r="D30" s="804" t="n"/>
      <c r="E30" s="804" t="n"/>
      <c r="F30" s="804" t="n"/>
      <c r="G30" s="804" t="n"/>
    </row>
    <row r="31" ht="31" customHeight="1" s="254">
      <c r="A31" s="816" t="inlineStr">
        <is>
          <t>One row per existing cabinet or unit. This drives the demolition, disconnection and disposal scope on the Construction tab, and the port comparison in section F.</t>
        </is>
      </c>
    </row>
    <row r="32" ht="31" customHeight="1" s="254">
      <c r="A32" s="824" t="inlineStr">
        <is>
          <t>Make and model</t>
        </is>
      </c>
      <c r="B32" s="824" t="inlineStr">
        <is>
          <t>Rating kW</t>
        </is>
      </c>
      <c r="C32" s="824" t="inlineStr">
        <is>
          <t>Ports</t>
        </is>
      </c>
      <c r="D32" s="824" t="inlineStr">
        <is>
          <t>Connectors</t>
        </is>
      </c>
      <c r="E32" s="824" t="inlineStr">
        <is>
          <t>Qty</t>
        </is>
      </c>
      <c r="F32" s="824" t="inlineStr">
        <is>
          <t>Year installed</t>
        </is>
      </c>
      <c r="G32" s="824" t="inlineStr">
        <is>
          <t>Working?</t>
        </is>
      </c>
    </row>
    <row r="33" ht="16" customHeight="1" s="254">
      <c r="A33" s="827" t="n"/>
      <c r="B33" s="818" t="n"/>
      <c r="C33" s="818" t="n"/>
      <c r="D33" s="799" t="n"/>
      <c r="E33" s="818" t="n"/>
      <c r="F33" s="819" t="n"/>
      <c r="G33" s="799" t="n"/>
    </row>
    <row r="34" ht="16" customHeight="1" s="254">
      <c r="A34" s="827" t="n"/>
      <c r="B34" s="818" t="n"/>
      <c r="C34" s="818" t="n"/>
      <c r="D34" s="799" t="n"/>
      <c r="E34" s="818" t="n"/>
      <c r="F34" s="819" t="n"/>
      <c r="G34" s="799" t="n"/>
    </row>
    <row r="35" ht="16" customHeight="1" s="254">
      <c r="A35" s="827" t="n"/>
      <c r="B35" s="818" t="n"/>
      <c r="C35" s="818" t="n"/>
      <c r="D35" s="799" t="n"/>
      <c r="E35" s="818" t="n"/>
      <c r="F35" s="819" t="n"/>
      <c r="G35" s="799" t="n"/>
    </row>
    <row r="36" ht="16" customHeight="1" s="254">
      <c r="A36" s="827" t="n"/>
      <c r="B36" s="818" t="n"/>
      <c r="C36" s="818" t="n"/>
      <c r="D36" s="799" t="n"/>
      <c r="E36" s="818" t="n"/>
      <c r="F36" s="819" t="n"/>
      <c r="G36" s="799" t="n"/>
    </row>
    <row r="37" ht="16" customHeight="1" s="254">
      <c r="A37" s="827" t="n"/>
      <c r="B37" s="818" t="n"/>
      <c r="C37" s="818" t="n"/>
      <c r="D37" s="799" t="n"/>
      <c r="E37" s="818" t="n"/>
      <c r="F37" s="819" t="n"/>
      <c r="G37" s="799" t="n"/>
    </row>
    <row r="38" ht="16" customHeight="1" s="254">
      <c r="A38" s="827" t="n"/>
      <c r="B38" s="818" t="n"/>
      <c r="C38" s="818" t="n"/>
      <c r="D38" s="799" t="n"/>
      <c r="E38" s="818" t="n"/>
      <c r="F38" s="819" t="n"/>
      <c r="G38" s="799" t="n"/>
    </row>
    <row r="39" ht="16" customHeight="1" s="254">
      <c r="A39" s="827" t="n"/>
      <c r="B39" s="818" t="n"/>
      <c r="C39" s="818" t="n"/>
      <c r="D39" s="799" t="n"/>
      <c r="E39" s="818" t="n"/>
      <c r="F39" s="819" t="n"/>
      <c r="G39" s="799" t="n"/>
    </row>
    <row r="40" ht="16" customHeight="1" s="254">
      <c r="A40" s="827" t="n"/>
      <c r="B40" s="818" t="n"/>
      <c r="C40" s="818" t="n"/>
      <c r="D40" s="799" t="n"/>
      <c r="E40" s="818" t="n"/>
      <c r="F40" s="819" t="n"/>
      <c r="G40" s="799" t="n"/>
    </row>
    <row r="41" ht="16" customHeight="1" s="254">
      <c r="A41" s="811" t="n"/>
      <c r="B41" s="804" t="n"/>
      <c r="C41" s="804" t="n"/>
      <c r="D41" s="804" t="n"/>
      <c r="E41" s="804" t="n"/>
      <c r="F41" s="804" t="n"/>
      <c r="G41" s="804" t="n"/>
    </row>
    <row r="42" ht="31" customHeight="1" s="254">
      <c r="A42" s="794" t="inlineStr">
        <is>
          <t>Existing units on site</t>
        </is>
      </c>
      <c r="B42" s="828">
        <f>SUM($E$33:$E$40)</f>
        <v/>
      </c>
      <c r="C42" s="816" t="inlineStr">
        <is>
          <t>Cabinets or standalone units to be removed.</t>
        </is>
      </c>
      <c r="D42" s="804" t="n"/>
      <c r="E42" s="804" t="n"/>
      <c r="F42" s="804" t="n"/>
      <c r="G42" s="804" t="n"/>
    </row>
    <row r="43" ht="16" customHeight="1" s="254">
      <c r="A43" s="794" t="inlineStr">
        <is>
          <t>Existing ports on site</t>
        </is>
      </c>
      <c r="B43" s="828">
        <f>SUMPRODUCT($C$33:$C$40,$E$33:$E$40)</f>
        <v/>
      </c>
      <c r="C43" s="816" t="inlineStr">
        <is>
          <t>Ports the site presents today.</t>
        </is>
      </c>
      <c r="D43" s="804" t="n"/>
      <c r="E43" s="804" t="n"/>
      <c r="F43" s="804" t="n"/>
      <c r="G43" s="804" t="n"/>
    </row>
    <row r="44" ht="31" customHeight="1" s="254">
      <c r="A44" s="794" t="inlineStr">
        <is>
          <t>Existing connected load (kW)</t>
        </is>
      </c>
      <c r="B44" s="829">
        <f>SUMPRODUCT($B$33:$B$40,$E$33:$E$40)</f>
        <v/>
      </c>
      <c r="C44" s="816" t="inlineStr">
        <is>
          <t>The load the existing service was sized for. Compare against the new load on the Electrical tab.</t>
        </is>
      </c>
      <c r="E44" s="804" t="n"/>
      <c r="F44" s="804" t="n"/>
      <c r="G44" s="804" t="n"/>
    </row>
    <row r="45" ht="31" customHeight="1" s="254">
      <c r="A45" s="794" t="inlineStr">
        <is>
          <t>Units fully working</t>
        </is>
      </c>
      <c r="B45" s="828">
        <f>SUMIF($G$33:$G$40,"Working",$E$33:$E$40)</f>
        <v/>
      </c>
      <c r="C45" s="816" t="inlineStr">
        <is>
          <t>Quantity, not row count. The gap against units on site is the availability the new equipment recovers.</t>
        </is>
      </c>
      <c r="E45" s="804" t="n"/>
      <c r="F45" s="804" t="n"/>
      <c r="G45" s="804" t="n"/>
    </row>
    <row r="46" ht="31" customHeight="1" s="254">
      <c r="A46" s="781" t="inlineStr">
        <is>
          <t>Units failed or intermittent</t>
        </is>
      </c>
      <c r="B46" s="826">
        <f>SUMIF($G$33:$G$40,"Failed",$E$33:$E$40)+SUMIF($G$33:$G$40,"Intermittent",$E$33:$E$40)</f>
        <v/>
      </c>
      <c r="C46" s="816" t="inlineStr">
        <is>
          <t>What the replacement is actually fixing.</t>
        </is>
      </c>
      <c r="D46" s="804" t="n"/>
      <c r="E46" s="804" t="n"/>
      <c r="F46" s="804" t="n"/>
      <c r="G46" s="804" t="n"/>
    </row>
    <row r="47" ht="31" customHeight="1" s="254">
      <c r="A47" s="781" t="inlineStr">
        <is>
          <t>Units of unknown condition</t>
        </is>
      </c>
      <c r="B47" s="830">
        <f>SUMIF($G$33:$G$40,"Unknown",$E$33:$E$40)</f>
        <v/>
      </c>
      <c r="C47" s="814" t="inlineStr">
        <is>
          <t>The availability uplift on the revenue projection is built from what was working and what was not. Anything in this row is a projection input nobody has established yet.</t>
        </is>
      </c>
    </row>
    <row r="48" ht="33.5" customHeight="1" s="254">
      <c r="A48" s="798" t="inlineStr">
        <is>
          <t>D · Existing electrical infrastructure</t>
        </is>
      </c>
      <c r="B48" s="945">
        <f>IF($B$5&lt;&gt;"Greenfield — new service","— complete this section","— skip: new service")</f>
        <v/>
      </c>
      <c r="C48" s="804" t="n"/>
      <c r="D48" s="804" t="n"/>
      <c r="E48" s="804" t="n"/>
      <c r="F48" s="804" t="n"/>
      <c r="G48" s="804" t="n"/>
    </row>
    <row r="49" ht="31" customHeight="1" s="254">
      <c r="A49" s="816" t="inlineStr">
        <is>
          <t>What is already in the ground. Where a line is being retained — including on an add-load site — this is what the new design has to work with; where it is being replaced, this is what has to come out. The capacity verdicts on rows 60 and 61 are computed in section I at the foot of this tab.</t>
        </is>
      </c>
    </row>
    <row r="50" ht="31" customHeight="1" s="254">
      <c r="A50" s="781" t="inlineStr">
        <is>
          <t>Existing service size (A)</t>
        </is>
      </c>
      <c r="B50" s="831" t="n"/>
      <c r="C50" s="816" t="inlineStr">
        <is>
          <t>From the meter panel or the utility bill.</t>
        </is>
      </c>
      <c r="D50" s="804" t="n"/>
      <c r="E50" s="804" t="n"/>
      <c r="F50" s="804" t="n"/>
      <c r="G50" s="804" t="n"/>
    </row>
    <row r="51" ht="93.5" customHeight="1" s="254">
      <c r="A51" s="781" t="inlineStr">
        <is>
          <t>Existing service voltage</t>
        </is>
      </c>
      <c r="B51" s="832">
        <f>IF($B$5="Greenfield — new service","n/a",IF($B$13="RETAIN",Project!$B$29,"replaced — the new service voltage is on the Project tab"))</f>
        <v/>
      </c>
      <c r="C51" s="816" t="inlineStr">
        <is>
          <t>Derived. When the service is retained this IS the service voltage on the Project tab, and the electrical checks read that cell — it was a second home for one fact, and on a Level 2 replacement the two disagreed by 272 V. Set the voltage on the Project tab.</t>
        </is>
      </c>
      <c r="D51" s="804" t="n"/>
      <c r="E51" s="804" t="n"/>
      <c r="F51" s="804" t="n"/>
      <c r="G51" s="804" t="n"/>
    </row>
    <row r="52" ht="31" customHeight="1" s="254">
      <c r="A52" s="781" t="inlineStr">
        <is>
          <t>Spare capacity in the existing gear (A)</t>
        </is>
      </c>
      <c r="B52" s="818" t="n"/>
      <c r="C52" s="816" t="inlineStr">
        <is>
          <t>What is available for the new equipment without an upgrade.</t>
        </is>
      </c>
      <c r="E52" s="804" t="n"/>
      <c r="F52" s="804" t="n"/>
      <c r="G52" s="804" t="n"/>
    </row>
    <row r="53" ht="16" customHeight="1" s="254">
      <c r="A53" s="781" t="inlineStr">
        <is>
          <t>Existing switchgear frame (A)</t>
        </is>
      </c>
      <c r="B53" s="818" t="n"/>
      <c r="C53" s="816" t="inlineStr">
        <is>
          <t>The main breaker frame size.</t>
        </is>
      </c>
      <c r="D53" s="804" t="n"/>
      <c r="E53" s="804" t="n"/>
      <c r="F53" s="804" t="n"/>
      <c r="G53" s="804" t="n"/>
    </row>
    <row r="54" ht="16" customHeight="1" s="254">
      <c r="A54" s="781" t="inlineStr">
        <is>
          <t>Existing branch conductor size</t>
        </is>
      </c>
      <c r="B54" s="799" t="n"/>
      <c r="C54" s="816" t="inlineStr">
        <is>
          <t>e.g. 250 KCMIL Cu. Determines whether it can carry the new cabinet.</t>
        </is>
      </c>
      <c r="E54" s="804" t="n"/>
      <c r="F54" s="804" t="n"/>
      <c r="G54" s="804" t="n"/>
    </row>
    <row r="55" ht="16" customHeight="1" s="254">
      <c r="A55" s="781" t="inlineStr">
        <is>
          <t>Average branch run length (ft)</t>
        </is>
      </c>
      <c r="B55" s="818" t="n"/>
      <c r="C55" s="816" t="inlineStr">
        <is>
          <t>Switchgear to cabinet, per position.</t>
        </is>
      </c>
      <c r="D55" s="804" t="n"/>
      <c r="E55" s="804" t="n"/>
      <c r="F55" s="804" t="n"/>
      <c r="G55" s="804" t="n"/>
    </row>
    <row r="56" ht="31" customHeight="1" s="254">
      <c r="A56" s="781" t="inlineStr">
        <is>
          <t>Existing conduit size and type</t>
        </is>
      </c>
      <c r="B56" s="799" t="n"/>
      <c r="C56" s="816" t="inlineStr">
        <is>
          <t>e.g. 2-1/2 in PVC. Determines whether a larger conductor could be pulled if needed.</t>
        </is>
      </c>
      <c r="E56" s="804" t="n"/>
      <c r="F56" s="804" t="n"/>
      <c r="G56" s="804" t="n"/>
    </row>
    <row r="57" ht="31" customHeight="1" s="254">
      <c r="A57" s="781" t="inlineStr">
        <is>
          <t>Existing rate schedule</t>
        </is>
      </c>
      <c r="B57" s="799" t="n"/>
      <c r="C57" s="816" t="inlineStr">
        <is>
          <t>The tariff the site is billed on today.</t>
        </is>
      </c>
      <c r="D57" s="804" t="n"/>
      <c r="E57" s="804" t="n"/>
      <c r="F57" s="804" t="n"/>
      <c r="G57" s="804" t="n"/>
    </row>
    <row r="58" ht="16" customHeight="1" s="254">
      <c r="A58" s="781" t="inlineStr">
        <is>
          <t>Separately metered for EV today?</t>
        </is>
      </c>
      <c r="B58" s="799" t="n"/>
      <c r="C58" s="816" t="inlineStr">
        <is>
          <t>If not, a separate EV meter may be needed to reach the EV tariff.</t>
        </is>
      </c>
      <c r="E58" s="804" t="n"/>
      <c r="F58" s="804" t="n"/>
      <c r="G58" s="804" t="n"/>
    </row>
    <row r="59" ht="16" customHeight="1" s="254">
      <c r="A59" s="811" t="n"/>
      <c r="B59" s="804" t="n"/>
      <c r="C59" s="804" t="n"/>
      <c r="D59" s="804" t="n"/>
      <c r="E59" s="804" t="n"/>
      <c r="F59" s="804" t="n"/>
      <c r="G59" s="804" t="n"/>
    </row>
    <row r="60" ht="31" customHeight="1" s="254">
      <c r="A60" s="794" t="inlineStr">
        <is>
          <t>Does the existing service carry the new load?</t>
        </is>
      </c>
      <c r="B60" s="822">
        <f>$B$198</f>
        <v/>
      </c>
      <c r="C60" s="299" t="n"/>
      <c r="D60" s="814" t="inlineStr">
        <is>
          <t>Read from section I. Names the basis it used — measured peak demand, stated spare capacity, or service size.</t>
        </is>
      </c>
    </row>
    <row r="61" ht="43.5" customHeight="1" s="254">
      <c r="A61" s="794" t="inlineStr">
        <is>
          <t>Does the existing switchgear carry the new load?</t>
        </is>
      </c>
      <c r="B61" s="822">
        <f>$B$199</f>
        <v/>
      </c>
      <c r="C61" s="299" t="n"/>
      <c r="D61" s="814" t="inlineStr">
        <is>
          <t>Read from section I. The engine reads this row: a site that keeps its switchgear must read OK here before a model is built.</t>
        </is>
      </c>
    </row>
    <row r="62" ht="43.5" customHeight="1" s="254">
      <c r="A62" s="794" t="inlineStr">
        <is>
          <t>Load change from the existing installation</t>
        </is>
      </c>
      <c r="B62" s="822">
        <f>IF($B$5="Greenfield — add load to existing service","n/a — no existing chargers; the added load is "&amp;TEXT(N(Equipment!B23),"#,##0")&amp;" kW on top of the building load",IF(OR($B$44=0,N(Equipment!B23)=0),"enter the existing equipment and the new equipment",TEXT(Equipment!B23-$B$44,"+#,##0;-#,##0")&amp;" kW ("&amp;TEXT(Equipment!B23/$B$44-1,"+0%;-0%")&amp;") against the existing "&amp;TEXT($B$44,"#,##0")&amp;" kW"))</f>
        <v/>
      </c>
      <c r="C62" s="299" t="n"/>
      <c r="D62" s="816" t="inlineStr">
        <is>
          <t>A replacement that raises connected load is the case where reuse assumptions break.</t>
        </is>
      </c>
      <c r="F62" s="804" t="n"/>
      <c r="G62" s="804" t="n"/>
    </row>
    <row r="63" ht="16" customHeight="1" s="254">
      <c r="A63" s="811" t="n"/>
      <c r="B63" s="804" t="n"/>
      <c r="C63" s="804" t="n"/>
      <c r="D63" s="804" t="n"/>
      <c r="E63" s="804" t="n"/>
      <c r="F63" s="804" t="n"/>
      <c r="G63" s="804" t="n"/>
    </row>
    <row r="64" ht="19.75" customHeight="1" s="254">
      <c r="A64" s="798" t="inlineStr">
        <is>
          <t>E · Historical usage and billing</t>
        </is>
      </c>
      <c r="B64" s="945">
        <f>IF(OR($B$5="Greenfield — new service",$B$5="Greenfield — add load to existing service"),"— skip: no charging history","— complete this section")</f>
        <v/>
      </c>
      <c r="C64" s="804" t="n"/>
      <c r="D64" s="804" t="n"/>
      <c r="E64" s="804" t="n"/>
      <c r="F64" s="804" t="n"/>
      <c r="G64" s="804" t="n"/>
    </row>
    <row r="65" ht="43.5" customHeight="1" s="254">
      <c r="A65" s="816"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31" customHeight="1" s="254">
      <c r="A66" s="824" t="inlineStr">
        <is>
          <t>Month (YYYY-MM)</t>
        </is>
      </c>
      <c r="B66" s="824" t="inlineStr">
        <is>
          <t>kWh dispensed</t>
        </is>
      </c>
      <c r="C66" s="824" t="inlineStr">
        <is>
          <t>Gross revenue</t>
        </is>
      </c>
      <c r="D66" s="824" t="inlineStr">
        <is>
          <t>Sessions</t>
        </is>
      </c>
      <c r="E66" s="824" t="inlineStr">
        <is>
          <t>Utility cost</t>
        </is>
      </c>
      <c r="F66" s="824" t="inlineStr">
        <is>
          <t>Ports working</t>
        </is>
      </c>
      <c r="G66" s="824" t="inlineStr">
        <is>
          <t>Note / outage</t>
        </is>
      </c>
    </row>
    <row r="67" ht="16" customHeight="1" s="254">
      <c r="A67" s="827" t="n"/>
      <c r="B67" s="818" t="n"/>
      <c r="C67" s="833" t="n"/>
      <c r="D67" s="818" t="n"/>
      <c r="E67" s="833" t="n"/>
      <c r="F67" s="834" t="n"/>
      <c r="G67" s="799" t="n"/>
    </row>
    <row r="68" ht="16" customHeight="1" s="254">
      <c r="A68" s="827" t="n"/>
      <c r="B68" s="818" t="n"/>
      <c r="C68" s="833" t="n"/>
      <c r="D68" s="818" t="n"/>
      <c r="E68" s="833" t="n"/>
      <c r="F68" s="834" t="n"/>
      <c r="G68" s="799" t="n"/>
    </row>
    <row r="69" ht="16" customHeight="1" s="254">
      <c r="A69" s="827" t="n"/>
      <c r="B69" s="818" t="n"/>
      <c r="C69" s="833" t="n"/>
      <c r="D69" s="818" t="n"/>
      <c r="E69" s="833" t="n"/>
      <c r="F69" s="834" t="n"/>
      <c r="G69" s="799" t="n"/>
    </row>
    <row r="70" ht="16" customHeight="1" s="254">
      <c r="A70" s="827" t="n"/>
      <c r="B70" s="818" t="n"/>
      <c r="C70" s="833" t="n"/>
      <c r="D70" s="818" t="n"/>
      <c r="E70" s="833" t="n"/>
      <c r="F70" s="834" t="n"/>
      <c r="G70" s="799" t="n"/>
    </row>
    <row r="71" ht="16" customHeight="1" s="254">
      <c r="A71" s="827" t="n"/>
      <c r="B71" s="818" t="n"/>
      <c r="C71" s="833" t="n"/>
      <c r="D71" s="818" t="n"/>
      <c r="E71" s="833" t="n"/>
      <c r="F71" s="834" t="n"/>
      <c r="G71" s="799" t="n"/>
    </row>
    <row r="72" ht="16" customHeight="1" s="254">
      <c r="A72" s="827" t="n"/>
      <c r="B72" s="818" t="n"/>
      <c r="C72" s="833" t="n"/>
      <c r="D72" s="818" t="n"/>
      <c r="E72" s="833" t="n"/>
      <c r="F72" s="834" t="n"/>
      <c r="G72" s="799" t="n"/>
    </row>
    <row r="73" ht="16" customHeight="1" s="254">
      <c r="A73" s="827" t="n"/>
      <c r="B73" s="818" t="n"/>
      <c r="C73" s="833" t="n"/>
      <c r="D73" s="818" t="n"/>
      <c r="E73" s="833" t="n"/>
      <c r="F73" s="834" t="n"/>
      <c r="G73" s="799" t="n"/>
    </row>
    <row r="74" ht="16" customHeight="1" s="254">
      <c r="A74" s="827" t="n"/>
      <c r="B74" s="818" t="n"/>
      <c r="C74" s="833" t="n"/>
      <c r="D74" s="818" t="n"/>
      <c r="E74" s="833" t="n"/>
      <c r="F74" s="834" t="n"/>
      <c r="G74" s="799" t="n"/>
    </row>
    <row r="75" ht="16" customHeight="1" s="254">
      <c r="A75" s="827" t="n"/>
      <c r="B75" s="818" t="n"/>
      <c r="C75" s="833" t="n"/>
      <c r="D75" s="818" t="n"/>
      <c r="E75" s="833" t="n"/>
      <c r="F75" s="834" t="n"/>
      <c r="G75" s="799" t="n"/>
    </row>
    <row r="76" ht="16" customHeight="1" s="254">
      <c r="A76" s="827" t="n"/>
      <c r="B76" s="818" t="n"/>
      <c r="C76" s="833" t="n"/>
      <c r="D76" s="818" t="n"/>
      <c r="E76" s="833" t="n"/>
      <c r="F76" s="834" t="n"/>
      <c r="G76" s="799" t="n"/>
    </row>
    <row r="77" ht="16" customHeight="1" s="254">
      <c r="A77" s="827" t="n"/>
      <c r="B77" s="818" t="n"/>
      <c r="C77" s="833" t="n"/>
      <c r="D77" s="818" t="n"/>
      <c r="E77" s="833" t="n"/>
      <c r="F77" s="834" t="n"/>
      <c r="G77" s="799" t="n"/>
    </row>
    <row r="78" ht="16" customHeight="1" s="254">
      <c r="A78" s="827" t="n"/>
      <c r="B78" s="818" t="n"/>
      <c r="C78" s="833" t="n"/>
      <c r="D78" s="818" t="n"/>
      <c r="E78" s="833" t="n"/>
      <c r="F78" s="834" t="n"/>
      <c r="G78" s="799" t="n"/>
    </row>
    <row r="79" ht="16" customHeight="1" s="254">
      <c r="A79" s="827" t="n"/>
      <c r="B79" s="818" t="n"/>
      <c r="C79" s="833" t="n"/>
      <c r="D79" s="818" t="n"/>
      <c r="E79" s="833" t="n"/>
      <c r="F79" s="834" t="n"/>
      <c r="G79" s="799" t="n"/>
    </row>
    <row r="80" ht="16" customHeight="1" s="254">
      <c r="A80" s="827" t="n"/>
      <c r="B80" s="818" t="n"/>
      <c r="C80" s="833" t="n"/>
      <c r="D80" s="818" t="n"/>
      <c r="E80" s="833" t="n"/>
      <c r="F80" s="834" t="n"/>
      <c r="G80" s="799" t="n"/>
    </row>
    <row r="81" ht="16" customHeight="1" s="254">
      <c r="A81" s="827" t="n"/>
      <c r="B81" s="818" t="n"/>
      <c r="C81" s="833" t="n"/>
      <c r="D81" s="818" t="n"/>
      <c r="E81" s="833" t="n"/>
      <c r="F81" s="834" t="n"/>
      <c r="G81" s="799" t="n"/>
    </row>
    <row r="82" ht="16" customHeight="1" s="254">
      <c r="A82" s="827" t="n"/>
      <c r="B82" s="818" t="n"/>
      <c r="C82" s="833" t="n"/>
      <c r="D82" s="818" t="n"/>
      <c r="E82" s="833" t="n"/>
      <c r="F82" s="834" t="n"/>
      <c r="G82" s="799" t="n"/>
    </row>
    <row r="83" ht="16" customHeight="1" s="254">
      <c r="A83" s="827" t="n"/>
      <c r="B83" s="818" t="n"/>
      <c r="C83" s="833" t="n"/>
      <c r="D83" s="818" t="n"/>
      <c r="E83" s="833" t="n"/>
      <c r="F83" s="834" t="n"/>
      <c r="G83" s="799" t="n"/>
    </row>
    <row r="84" ht="16" customHeight="1" s="254">
      <c r="A84" s="827" t="n"/>
      <c r="B84" s="818" t="n"/>
      <c r="C84" s="833" t="n"/>
      <c r="D84" s="818" t="n"/>
      <c r="E84" s="833" t="n"/>
      <c r="F84" s="834" t="n"/>
      <c r="G84" s="799" t="n"/>
    </row>
    <row r="85" ht="16" customHeight="1" s="254">
      <c r="A85" s="827" t="n"/>
      <c r="B85" s="818" t="n"/>
      <c r="C85" s="833" t="n"/>
      <c r="D85" s="818" t="n"/>
      <c r="E85" s="833" t="n"/>
      <c r="F85" s="834" t="n"/>
      <c r="G85" s="799" t="n"/>
    </row>
    <row r="86" ht="16" customHeight="1" s="254">
      <c r="A86" s="827" t="n"/>
      <c r="B86" s="818" t="n"/>
      <c r="C86" s="833" t="n"/>
      <c r="D86" s="818" t="n"/>
      <c r="E86" s="833" t="n"/>
      <c r="F86" s="834" t="n"/>
      <c r="G86" s="799" t="n"/>
    </row>
    <row r="87" ht="16" customHeight="1" s="254">
      <c r="A87" s="827" t="n"/>
      <c r="B87" s="818" t="n"/>
      <c r="C87" s="833" t="n"/>
      <c r="D87" s="818" t="n"/>
      <c r="E87" s="833" t="n"/>
      <c r="F87" s="834" t="n"/>
      <c r="G87" s="799" t="n"/>
    </row>
    <row r="88" ht="16" customHeight="1" s="254">
      <c r="A88" s="827" t="n"/>
      <c r="B88" s="818" t="n"/>
      <c r="C88" s="833" t="n"/>
      <c r="D88" s="818" t="n"/>
      <c r="E88" s="833" t="n"/>
      <c r="F88" s="834" t="n"/>
      <c r="G88" s="799" t="n"/>
    </row>
    <row r="89" ht="16" customHeight="1" s="254">
      <c r="A89" s="827" t="n"/>
      <c r="B89" s="818" t="n"/>
      <c r="C89" s="833" t="n"/>
      <c r="D89" s="818" t="n"/>
      <c r="E89" s="833" t="n"/>
      <c r="F89" s="834" t="n"/>
      <c r="G89" s="799" t="n"/>
    </row>
    <row r="90" ht="16" customHeight="1" s="254">
      <c r="A90" s="827" t="n"/>
      <c r="B90" s="818" t="n"/>
      <c r="C90" s="833" t="n"/>
      <c r="D90" s="818" t="n"/>
      <c r="E90" s="833" t="n"/>
      <c r="F90" s="834" t="n"/>
      <c r="G90" s="799" t="n"/>
    </row>
    <row r="91" ht="16" customHeight="1" s="254">
      <c r="A91" s="827" t="n"/>
      <c r="B91" s="818" t="n"/>
      <c r="C91" s="833" t="n"/>
      <c r="D91" s="818" t="n"/>
      <c r="E91" s="833" t="n"/>
      <c r="F91" s="834" t="n"/>
      <c r="G91" s="799" t="n"/>
    </row>
    <row r="92" ht="16" customHeight="1" s="254">
      <c r="A92" s="827" t="n"/>
      <c r="B92" s="818" t="n"/>
      <c r="C92" s="833" t="n"/>
      <c r="D92" s="818" t="n"/>
      <c r="E92" s="833" t="n"/>
      <c r="F92" s="834" t="n"/>
      <c r="G92" s="799" t="n"/>
    </row>
    <row r="93" ht="16" customHeight="1" s="254">
      <c r="A93" s="827" t="n"/>
      <c r="B93" s="818" t="n"/>
      <c r="C93" s="833" t="n"/>
      <c r="D93" s="818" t="n"/>
      <c r="E93" s="833" t="n"/>
      <c r="F93" s="834" t="n"/>
      <c r="G93" s="799" t="n"/>
    </row>
    <row r="94" ht="16" customHeight="1" s="254">
      <c r="A94" s="827" t="n"/>
      <c r="B94" s="818" t="n"/>
      <c r="C94" s="833" t="n"/>
      <c r="D94" s="818" t="n"/>
      <c r="E94" s="833" t="n"/>
      <c r="F94" s="834" t="n"/>
      <c r="G94" s="799" t="n"/>
    </row>
    <row r="95" ht="16" customHeight="1" s="254">
      <c r="A95" s="827" t="n"/>
      <c r="B95" s="818" t="n"/>
      <c r="C95" s="833" t="n"/>
      <c r="D95" s="818" t="n"/>
      <c r="E95" s="833" t="n"/>
      <c r="F95" s="834" t="n"/>
      <c r="G95" s="799" t="n"/>
    </row>
    <row r="96" ht="16" customHeight="1" s="254">
      <c r="A96" s="827" t="n"/>
      <c r="B96" s="818" t="n"/>
      <c r="C96" s="833" t="n"/>
      <c r="D96" s="818" t="n"/>
      <c r="E96" s="833" t="n"/>
      <c r="F96" s="834" t="n"/>
      <c r="G96" s="799" t="n"/>
    </row>
    <row r="97" ht="16" customHeight="1" s="254">
      <c r="A97" s="827" t="n"/>
      <c r="B97" s="818" t="n"/>
      <c r="C97" s="833" t="n"/>
      <c r="D97" s="818" t="n"/>
      <c r="E97" s="833" t="n"/>
      <c r="F97" s="834" t="n"/>
      <c r="G97" s="799" t="n"/>
    </row>
    <row r="98" ht="16" customHeight="1" s="254">
      <c r="A98" s="827" t="n"/>
      <c r="B98" s="818" t="n"/>
      <c r="C98" s="833" t="n"/>
      <c r="D98" s="818" t="n"/>
      <c r="E98" s="833" t="n"/>
      <c r="F98" s="834" t="n"/>
      <c r="G98" s="799" t="n"/>
    </row>
    <row r="99" ht="16" customHeight="1" s="254">
      <c r="A99" s="827" t="n"/>
      <c r="B99" s="818" t="n"/>
      <c r="C99" s="833" t="n"/>
      <c r="D99" s="818" t="n"/>
      <c r="E99" s="833" t="n"/>
      <c r="F99" s="834" t="n"/>
      <c r="G99" s="799" t="n"/>
    </row>
    <row r="100" ht="16" customHeight="1" s="254">
      <c r="A100" s="827" t="n"/>
      <c r="B100" s="818" t="n"/>
      <c r="C100" s="833" t="n"/>
      <c r="D100" s="818" t="n"/>
      <c r="E100" s="833" t="n"/>
      <c r="F100" s="834" t="n"/>
      <c r="G100" s="799" t="n"/>
    </row>
    <row r="101" ht="16" customHeight="1" s="254">
      <c r="A101" s="827" t="n"/>
      <c r="B101" s="818" t="n"/>
      <c r="C101" s="833" t="n"/>
      <c r="D101" s="818" t="n"/>
      <c r="E101" s="833" t="n"/>
      <c r="F101" s="834" t="n"/>
      <c r="G101" s="799" t="n"/>
    </row>
    <row r="102" ht="16" customHeight="1" s="254">
      <c r="A102" s="827" t="n"/>
      <c r="B102" s="818" t="n"/>
      <c r="C102" s="833" t="n"/>
      <c r="D102" s="818" t="n"/>
      <c r="E102" s="833" t="n"/>
      <c r="F102" s="834" t="n"/>
      <c r="G102" s="799" t="n"/>
    </row>
    <row r="103" ht="16" customHeight="1" s="254">
      <c r="A103" s="811" t="n"/>
      <c r="B103" s="804" t="n"/>
      <c r="C103" s="804" t="n"/>
      <c r="D103" s="804" t="n"/>
      <c r="E103" s="804" t="n"/>
      <c r="F103" s="804" t="n"/>
      <c r="G103" s="804" t="n"/>
    </row>
    <row r="104" ht="16" customHeight="1" s="254">
      <c r="A104" s="794" t="inlineStr">
        <is>
          <t>Months with data</t>
        </is>
      </c>
      <c r="B104" s="828">
        <f>COUNT($B$67:$B$102)</f>
        <v/>
      </c>
      <c r="C104" s="816" t="inlineStr">
        <is>
          <t>Twelve is the minimum for a credible run rate; twenty-four is better.</t>
        </is>
      </c>
      <c r="E104" s="804" t="n"/>
      <c r="F104" s="804" t="n"/>
      <c r="G104" s="804" t="n"/>
    </row>
    <row r="105" ht="16" customHeight="1" s="254">
      <c r="A105" s="794" t="inlineStr">
        <is>
          <t>Total kWh dispensed</t>
        </is>
      </c>
      <c r="B105" s="828">
        <f>SUM($B$67:$B$102)</f>
        <v/>
      </c>
      <c r="C105" s="804" t="n"/>
      <c r="D105" s="804" t="n"/>
      <c r="E105" s="804" t="n"/>
      <c r="F105" s="804" t="n"/>
      <c r="G105" s="804" t="n"/>
    </row>
    <row r="106" ht="16" customHeight="1" s="254">
      <c r="A106" s="794" t="inlineStr">
        <is>
          <t>Total gross revenue</t>
        </is>
      </c>
      <c r="B106" s="835">
        <f>SUM($C$67:$C$102)</f>
        <v/>
      </c>
      <c r="C106" s="804" t="n"/>
      <c r="D106" s="804" t="n"/>
      <c r="E106" s="804" t="n"/>
      <c r="F106" s="804" t="n"/>
      <c r="G106" s="804" t="n"/>
    </row>
    <row r="107" ht="16" customHeight="1" s="254">
      <c r="A107" s="794" t="inlineStr">
        <is>
          <t>Total sessions</t>
        </is>
      </c>
      <c r="B107" s="828">
        <f>SUM($D$67:$D$102)</f>
        <v/>
      </c>
      <c r="C107" s="804" t="n"/>
      <c r="D107" s="804" t="n"/>
      <c r="E107" s="804" t="n"/>
      <c r="F107" s="804" t="n"/>
      <c r="G107" s="804" t="n"/>
    </row>
    <row r="108" ht="16" customHeight="1" s="254">
      <c r="A108" s="794" t="inlineStr">
        <is>
          <t>Total utility cost</t>
        </is>
      </c>
      <c r="B108" s="835">
        <f>SUM($E$67:$E$102)</f>
        <v/>
      </c>
      <c r="C108" s="804" t="n"/>
      <c r="D108" s="804" t="n"/>
      <c r="E108" s="804" t="n"/>
      <c r="F108" s="804" t="n"/>
      <c r="G108" s="804" t="n"/>
    </row>
    <row r="109" ht="16" customHeight="1" s="254">
      <c r="A109" s="811" t="n"/>
      <c r="B109" s="804" t="n"/>
      <c r="C109" s="804" t="n"/>
      <c r="D109" s="804" t="n"/>
      <c r="E109" s="804" t="n"/>
      <c r="F109" s="804" t="n"/>
      <c r="G109" s="804" t="n"/>
    </row>
    <row r="110" ht="16" customHeight="1" s="254">
      <c r="A110" s="794" t="inlineStr">
        <is>
          <t>Average kWh per month</t>
        </is>
      </c>
      <c r="B110" s="828">
        <f>IFERROR(SUM($B$67:$B$102)/COUNT($B$67:$B$102),0)</f>
        <v/>
      </c>
      <c r="C110" s="804" t="n"/>
      <c r="D110" s="804" t="n"/>
      <c r="E110" s="804" t="n"/>
      <c r="F110" s="804" t="n"/>
      <c r="G110" s="804" t="n"/>
    </row>
    <row r="111" ht="31" customHeight="1" s="254">
      <c r="A111" s="794" t="inlineStr">
        <is>
          <t>Average kWh per day</t>
        </is>
      </c>
      <c r="B111" s="829">
        <f>IFERROR(SUM($B$67:$B$102)/COUNT($B$67:$B$102)*12/365,0)</f>
        <v/>
      </c>
      <c r="C111" s="816" t="inlineStr">
        <is>
          <t>The historical daily run rate. This is the number the new projection is built from.</t>
        </is>
      </c>
      <c r="E111" s="804" t="n"/>
      <c r="F111" s="804" t="n"/>
      <c r="G111" s="804" t="n"/>
    </row>
    <row r="112" ht="16" customHeight="1" s="254">
      <c r="A112" s="794" t="inlineStr">
        <is>
          <t>Historical kWh per year</t>
        </is>
      </c>
      <c r="B112" s="828">
        <f>IFERROR(SUM($B$67:$B$102)/COUNT($B$67:$B$102)*12,0)</f>
        <v/>
      </c>
      <c r="C112" s="804" t="n"/>
      <c r="D112" s="804" t="n"/>
      <c r="E112" s="804" t="n"/>
      <c r="F112" s="804" t="n"/>
      <c r="G112" s="804" t="n"/>
    </row>
    <row r="113" ht="16" customHeight="1" s="254">
      <c r="A113" s="794" t="inlineStr">
        <is>
          <t>Historical gross revenue per year</t>
        </is>
      </c>
      <c r="B113" s="835">
        <f>IFERROR(SUM($C$67:$C$102)/COUNT($C$67:$C$102)*12,0)</f>
        <v/>
      </c>
      <c r="C113" s="804" t="n"/>
      <c r="D113" s="804" t="n"/>
      <c r="E113" s="804" t="n"/>
      <c r="F113" s="804" t="n"/>
      <c r="G113" s="804" t="n"/>
    </row>
    <row r="114" ht="16" customHeight="1" s="254">
      <c r="A114" s="794" t="inlineStr">
        <is>
          <t>Historical utility cost per year</t>
        </is>
      </c>
      <c r="B114" s="835">
        <f>IFERROR(SUM($E$67:$E$102)/COUNT($E$67:$E$102)*12,0)</f>
        <v/>
      </c>
      <c r="C114" s="804" t="n"/>
      <c r="D114" s="804" t="n"/>
      <c r="E114" s="804" t="n"/>
      <c r="F114" s="804" t="n"/>
      <c r="G114" s="804" t="n"/>
    </row>
    <row r="115" ht="16" customHeight="1" s="254">
      <c r="A115" s="794" t="inlineStr">
        <is>
          <t>Historical net before card fees</t>
        </is>
      </c>
      <c r="B115" s="835">
        <f>$B$113-$B$114</f>
        <v/>
      </c>
      <c r="C115" s="804" t="n"/>
      <c r="D115" s="804" t="n"/>
      <c r="E115" s="804" t="n"/>
      <c r="F115" s="804" t="n"/>
      <c r="G115" s="804" t="n"/>
    </row>
    <row r="116" ht="31" customHeight="1" s="254">
      <c r="A116" s="794" t="inlineStr">
        <is>
          <t>Implied retail price $/kWh</t>
        </is>
      </c>
      <c r="B116" s="836">
        <f>IFERROR(SUM($C$67:$C$102)/SUM($B$67:$B$102),0)</f>
        <v/>
      </c>
      <c r="C116" s="816" t="inlineStr">
        <is>
          <t>What drivers actually paid. Compare against the price proposed on the Revenue tab.</t>
        </is>
      </c>
      <c r="E116" s="804" t="n"/>
      <c r="F116" s="804" t="n"/>
      <c r="G116" s="804" t="n"/>
    </row>
    <row r="117" ht="31" customHeight="1" s="254">
      <c r="A117" s="794" t="inlineStr">
        <is>
          <t>Implied delivered cost $/kWh</t>
        </is>
      </c>
      <c r="B117" s="836">
        <f>IFERROR(SUM($E$67:$E$102)/SUM($B$67:$B$102),0)</f>
        <v/>
      </c>
      <c r="C117" s="816" t="inlineStr">
        <is>
          <t>What the utility actually charged, all-in. Far better than any tariff estimate.</t>
        </is>
      </c>
      <c r="E117" s="804" t="n"/>
      <c r="F117" s="804" t="n"/>
      <c r="G117" s="804" t="n"/>
    </row>
    <row r="118" ht="31" customHeight="1" s="254">
      <c r="A118" s="794" t="inlineStr">
        <is>
          <t>Average kWh per session</t>
        </is>
      </c>
      <c r="B118" s="829">
        <f>IFERROR(SUM($B$67:$B$102)/SUM($D$67:$D$102),0)</f>
        <v/>
      </c>
      <c r="C118" s="816" t="inlineStr">
        <is>
          <t>Typically 25 to 55 kWh on DC. A low figure suggests failed or abandoned sessions.</t>
        </is>
      </c>
      <c r="E118" s="804" t="n"/>
      <c r="F118" s="804" t="n"/>
      <c r="G118" s="804" t="n"/>
    </row>
    <row r="119" ht="31" customHeight="1" s="254">
      <c r="A119" s="794" t="inlineStr">
        <is>
          <t>Average ports working</t>
        </is>
      </c>
      <c r="B119" s="829">
        <f>IFERROR(AVERAGE($F$67:$F$102),0)</f>
        <v/>
      </c>
      <c r="C119" s="816" t="inlineStr">
        <is>
          <t>Against the ports installed. The gap between them is the availability the new equipment recovers.</t>
        </is>
      </c>
      <c r="E119" s="804" t="n"/>
      <c r="F119" s="804" t="n"/>
      <c r="G119" s="804" t="n"/>
    </row>
    <row r="120" ht="31" customHeight="1" s="254">
      <c r="A120" s="794" t="inlineStr">
        <is>
          <t>Historical availability</t>
        </is>
      </c>
      <c r="B120" s="837">
        <f>IFERROR(AVERAGE($F$67:$F$102)/$B$43,0)</f>
        <v/>
      </c>
      <c r="C120" s="816" t="inlineStr">
        <is>
          <t>Ports working as a share of ports installed. This is the recovery opportunity, quantified.</t>
        </is>
      </c>
      <c r="E120" s="804" t="n"/>
      <c r="F120" s="804" t="n"/>
      <c r="G120" s="804" t="n"/>
    </row>
    <row r="121" ht="16" customHeight="1" s="254">
      <c r="A121" s="811" t="n"/>
      <c r="B121" s="804" t="n"/>
      <c r="C121" s="804" t="n"/>
      <c r="D121" s="804" t="n"/>
      <c r="E121" s="804" t="n"/>
      <c r="F121" s="804" t="n"/>
      <c r="G121" s="804" t="n"/>
    </row>
    <row r="122" ht="43.5" customHeight="1" s="254">
      <c r="A122" s="823"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ht="16" customHeight="1" s="254">
      <c r="A123" s="811" t="n"/>
      <c r="B123" s="804" t="n"/>
      <c r="C123" s="804" t="n"/>
      <c r="D123" s="804" t="n"/>
      <c r="E123" s="804" t="n"/>
      <c r="F123" s="804" t="n"/>
      <c r="G123" s="804" t="n"/>
    </row>
    <row r="124" ht="33.5" customHeight="1" s="254">
      <c r="A124" s="798" t="inlineStr">
        <is>
          <t>F · Port expansion and connector coverage</t>
        </is>
      </c>
      <c r="B124" s="945">
        <f>IF(OR($B$5="Greenfield — new service",$B$5="Greenfield — add load to existing service"),"— skip: nothing to expand from","— complete this section")</f>
        <v/>
      </c>
      <c r="C124" s="804" t="n"/>
      <c r="D124" s="804" t="n"/>
      <c r="E124" s="804" t="n"/>
      <c r="F124" s="804" t="n"/>
      <c r="G124" s="804" t="n"/>
    </row>
    <row r="125" ht="31" customHeight="1" s="254">
      <c r="A125" s="816" t="inlineStr">
        <is>
          <t>What the new equipment adds over the old. Each uplift below is stated separately so it can be challenged individually rather than hidden inside one optimistic growth rate.</t>
        </is>
      </c>
    </row>
    <row r="126" ht="16" customHeight="1" s="254">
      <c r="A126" s="781" t="inlineStr">
        <is>
          <t>Existing ports</t>
        </is>
      </c>
      <c r="B126" s="826">
        <f>$B$43</f>
        <v/>
      </c>
      <c r="C126" s="804" t="n"/>
      <c r="D126" s="804" t="n"/>
      <c r="E126" s="804" t="n"/>
      <c r="F126" s="804" t="n"/>
      <c r="G126" s="804" t="n"/>
    </row>
    <row r="127" ht="31" customHeight="1" s="254">
      <c r="A127" s="781" t="inlineStr">
        <is>
          <t>New ports</t>
        </is>
      </c>
      <c r="B127" s="826">
        <f>N(Equipment!B22)</f>
        <v/>
      </c>
      <c r="C127" s="816" t="inlineStr">
        <is>
          <t>From the Equipment tab. Dual-port cabinets present two positions each.</t>
        </is>
      </c>
      <c r="E127" s="804" t="n"/>
      <c r="F127" s="804" t="n"/>
      <c r="G127" s="804" t="n"/>
    </row>
    <row r="128" ht="31" customHeight="1" s="254">
      <c r="A128" s="794" t="inlineStr">
        <is>
          <t>Port count multiple</t>
        </is>
      </c>
      <c r="B128" s="838">
        <f>IF(OR($B$43=0,N(Equipment!B22)=0),1,Equipment!B22/$B$43)</f>
        <v/>
      </c>
      <c r="C128" s="816" t="inlineStr">
        <is>
          <t>More positions means more simultaneous vehicles, not proportionally more energy — see the capture factor below.</t>
        </is>
      </c>
      <c r="E128" s="804" t="n"/>
      <c r="F128" s="804" t="n"/>
      <c r="G128" s="804" t="n"/>
    </row>
    <row r="129" ht="16" customHeight="1" s="254">
      <c r="A129" s="811" t="n"/>
      <c r="B129" s="804" t="n"/>
      <c r="C129" s="804" t="n"/>
      <c r="D129" s="804" t="n"/>
      <c r="E129" s="804" t="n"/>
      <c r="F129" s="804" t="n"/>
      <c r="G129" s="804" t="n"/>
    </row>
    <row r="130" ht="31" customHeight="1" s="254">
      <c r="A130" s="824" t="inlineStr">
        <is>
          <t>Connector</t>
        </is>
      </c>
      <c r="B130" s="824" t="inlineStr">
        <is>
          <t>On the existing equipment</t>
        </is>
      </c>
      <c r="C130" s="824" t="inlineStr">
        <is>
          <t>On the new equipment</t>
        </is>
      </c>
      <c r="D130" s="824" t="inlineStr">
        <is>
          <t>Share of the California fleet</t>
        </is>
      </c>
      <c r="E130" s="824" t="n"/>
      <c r="F130" s="824" t="n"/>
      <c r="G130" s="824" t="n"/>
    </row>
    <row r="131" ht="16" customHeight="1" s="254">
      <c r="A131" s="825" t="inlineStr">
        <is>
          <t>NACS / Tesla</t>
        </is>
      </c>
      <c r="B131" s="799" t="n"/>
      <c r="C131" s="799" t="n"/>
      <c r="D131" s="839" t="n"/>
      <c r="E131" s="804" t="n"/>
      <c r="F131" s="804" t="n"/>
      <c r="G131" s="804" t="n"/>
    </row>
    <row r="132" ht="16" customHeight="1" s="254">
      <c r="A132" s="825" t="inlineStr">
        <is>
          <t>CCS1</t>
        </is>
      </c>
      <c r="B132" s="799" t="n"/>
      <c r="C132" s="799" t="n"/>
      <c r="D132" s="839" t="n"/>
      <c r="E132" s="804" t="n"/>
      <c r="F132" s="804" t="n"/>
      <c r="G132" s="804" t="n"/>
    </row>
    <row r="133" ht="16" customHeight="1" s="254">
      <c r="A133" s="825" t="inlineStr">
        <is>
          <t>CHAdeMO</t>
        </is>
      </c>
      <c r="B133" s="799" t="n"/>
      <c r="C133" s="799" t="n"/>
      <c r="D133" s="839" t="n"/>
      <c r="E133" s="804" t="n"/>
      <c r="F133" s="804" t="n"/>
      <c r="G133" s="804" t="n"/>
    </row>
    <row r="134" ht="16" customHeight="1" s="254">
      <c r="A134" s="825" t="inlineStr">
        <is>
          <t>J1772 (Level 2)</t>
        </is>
      </c>
      <c r="B134" s="799" t="n"/>
      <c r="C134" s="799" t="n"/>
      <c r="D134" s="839" t="n"/>
      <c r="E134" s="804" t="n"/>
      <c r="F134" s="804" t="n"/>
      <c r="G134" s="804" t="n"/>
    </row>
    <row r="135" ht="16" customHeight="1" s="254">
      <c r="A135" s="811" t="n"/>
      <c r="B135" s="804" t="n"/>
      <c r="C135" s="804" t="n"/>
      <c r="D135" s="804" t="n"/>
      <c r="E135" s="804" t="n"/>
      <c r="F135" s="804" t="n"/>
      <c r="G135" s="804" t="n"/>
    </row>
    <row r="136" ht="31" customHeight="1" s="254">
      <c r="A136" s="816" t="inlineStr">
        <is>
          <t>Enter the share of the local fleet each connector reaches. Tesla vehicles are the largest single population in California, so a site that could not serve them natively was turning away a large share of passing demand.</t>
        </is>
      </c>
    </row>
    <row r="137" ht="16" customHeight="1" s="254">
      <c r="A137" s="781" t="inlineStr">
        <is>
          <t>Fleet coverage today</t>
        </is>
      </c>
      <c r="B137" s="840">
        <f>SUMIF($B$131:$B$134,"Yes",$D$131:$D$134)</f>
        <v/>
      </c>
      <c r="C137" s="816" t="inlineStr">
        <is>
          <t>Share of the fleet the existing connectors serve natively.</t>
        </is>
      </c>
      <c r="E137" s="804" t="n"/>
      <c r="F137" s="804" t="n"/>
      <c r="G137" s="804" t="n"/>
    </row>
    <row r="138" ht="16" customHeight="1" s="254">
      <c r="A138" s="781" t="inlineStr">
        <is>
          <t>Fleet coverage after replacement</t>
        </is>
      </c>
      <c r="B138" s="840">
        <f>SUMIF($C$131:$C$134,"Yes",$D$131:$D$134)</f>
        <v/>
      </c>
      <c r="C138" s="804" t="n"/>
      <c r="D138" s="804" t="n"/>
      <c r="E138" s="804" t="n"/>
      <c r="F138" s="804" t="n"/>
      <c r="G138" s="804" t="n"/>
    </row>
    <row r="139" ht="31" customHeight="1" s="254">
      <c r="A139" s="794" t="inlineStr">
        <is>
          <t>Coverage multiple</t>
        </is>
      </c>
      <c r="B139" s="838">
        <f>IFERROR($B$138/$B$137,1)</f>
        <v/>
      </c>
      <c r="C139" s="816" t="inlineStr">
        <is>
          <t>Adding NACS to a CCS-only site is the single largest addressable-market change available on a replacement project.</t>
        </is>
      </c>
      <c r="E139" s="804" t="n"/>
      <c r="F139" s="804" t="n"/>
      <c r="G139" s="804" t="n"/>
    </row>
    <row r="140" ht="16" customHeight="1" s="254">
      <c r="A140" s="811" t="n"/>
      <c r="B140" s="804" t="n"/>
      <c r="C140" s="804" t="n"/>
      <c r="D140" s="804" t="n"/>
      <c r="E140" s="804" t="n"/>
      <c r="F140" s="804" t="n"/>
      <c r="G140" s="804" t="n"/>
    </row>
    <row r="141" ht="31" customHeight="1" s="254">
      <c r="A141" s="781" t="inlineStr">
        <is>
          <t>Existing power per position (kW)</t>
        </is>
      </c>
      <c r="B141" s="841">
        <f>IFERROR(SUMPRODUCT(--($B$33:$B$40&gt;=30),$B$33:$B$40,$E$33:$E$40)/SUMPRODUCT(--($B$33:$B$40&gt;=30),$C$33:$C$40,$E$33:$E$40),0)</f>
        <v/>
      </c>
      <c r="C141" s="816" t="inlineStr">
        <is>
          <t>DC positions only. Blending Level 2 into this average understates the old power and inflates the uplift.</t>
        </is>
      </c>
      <c r="E141" s="804" t="n"/>
      <c r="F141" s="804" t="n"/>
      <c r="G141" s="804" t="n"/>
    </row>
    <row r="142" ht="16" customHeight="1" s="254">
      <c r="A142" s="781" t="inlineStr">
        <is>
          <t>New power per position (kW)</t>
        </is>
      </c>
      <c r="B142" s="841">
        <f>IF(N(Equipment!B22)=0,0,Equipment!B23/Equipment!B22)</f>
        <v/>
      </c>
      <c r="C142" s="804" t="n"/>
      <c r="D142" s="804" t="n"/>
      <c r="E142" s="804" t="n"/>
      <c r="F142" s="804" t="n"/>
      <c r="G142" s="804" t="n"/>
    </row>
    <row r="143" ht="43.5" customHeight="1" s="254">
      <c r="A143" s="794" t="inlineStr">
        <is>
          <t>Power multiple</t>
        </is>
      </c>
      <c r="B143" s="838">
        <f>IF(OR($B$141=0,$B$142=0),1,MIN(2,$B$142/$B$141))</f>
        <v/>
      </c>
      <c r="C143" s="816" t="inlineStr">
        <is>
          <t>Capped at 2.00x. Faster charging frees the stall sooner, but beyond roughly double the constraint stops being how fast the hardware charges and becomes how many vehicles arrive. Raising the cap does not make demand appear.</t>
        </is>
      </c>
    </row>
    <row r="144" ht="16" customHeight="1" s="254">
      <c r="A144" s="811" t="n"/>
      <c r="B144" s="804" t="n"/>
      <c r="C144" s="804" t="n"/>
      <c r="D144" s="804" t="n"/>
      <c r="E144" s="804" t="n"/>
      <c r="F144" s="804" t="n"/>
      <c r="G144" s="804" t="n"/>
    </row>
    <row r="145" ht="33.5" customHeight="1" s="254">
      <c r="A145" s="798" t="inlineStr">
        <is>
          <t>G · Projected baseline — history plus stated uplifts</t>
        </is>
      </c>
      <c r="B145" s="945">
        <f>IF(OR($B$5="Greenfield — new service",$B$5="Greenfield — add load to existing service"),"— skip: projection is on the Revenue tab","— derived from E and F")</f>
        <v/>
      </c>
      <c r="C145" s="804" t="n"/>
      <c r="D145" s="804" t="n"/>
      <c r="E145" s="804" t="n"/>
      <c r="F145" s="804" t="n"/>
      <c r="G145" s="804" t="n"/>
    </row>
    <row r="146" ht="43.5" customHeight="1" s="254">
      <c r="A146" s="816"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6" customHeight="1" s="254">
      <c r="A147" s="781" t="inlineStr">
        <is>
          <t>Historical kWh per year</t>
        </is>
      </c>
      <c r="B147" s="826">
        <f>$B$112</f>
        <v/>
      </c>
      <c r="C147" s="816" t="inlineStr">
        <is>
          <t>From section E. The starting point.</t>
        </is>
      </c>
      <c r="D147" s="804" t="n"/>
      <c r="E147" s="804" t="n"/>
      <c r="F147" s="804" t="n"/>
      <c r="G147" s="804" t="n"/>
    </row>
    <row r="148" ht="16" customHeight="1" s="254">
      <c r="A148" s="811" t="n"/>
      <c r="B148" s="804" t="n"/>
      <c r="C148" s="804" t="n"/>
      <c r="D148" s="804" t="n"/>
      <c r="E148" s="804" t="n"/>
      <c r="F148" s="804" t="n"/>
      <c r="G148" s="804" t="n"/>
    </row>
    <row r="149" ht="16" customHeight="1" s="254">
      <c r="A149" s="824" t="inlineStr">
        <is>
          <t>Uplift</t>
        </is>
      </c>
      <c r="B149" s="824" t="inlineStr">
        <is>
          <t>Theoretical multiple</t>
        </is>
      </c>
      <c r="C149" s="824" t="inlineStr">
        <is>
          <t>Capture factor</t>
        </is>
      </c>
      <c r="D149" s="824" t="inlineStr">
        <is>
          <t>Applied multiple</t>
        </is>
      </c>
      <c r="E149" s="824" t="inlineStr">
        <is>
          <t>Basis</t>
        </is>
      </c>
      <c r="F149" s="824" t="n"/>
      <c r="G149" s="824" t="n"/>
    </row>
    <row r="150" ht="68.5" customHeight="1" s="254">
      <c r="A150" s="825" t="inlineStr">
        <is>
          <t>Availability recovered</t>
        </is>
      </c>
      <c r="B150" s="842">
        <f>IFERROR(1/$B$120,1)</f>
        <v/>
      </c>
      <c r="C150" s="839" t="n">
        <v>0.85</v>
      </c>
      <c r="D150" s="842">
        <f>1+($B$150-1)*$C$150</f>
        <v/>
      </c>
      <c r="E150" s="825" t="inlineStr">
        <is>
          <t>Ports that were dark now work. The most defensible uplift on the list — the demand was already there and was turned away.</t>
        </is>
      </c>
      <c r="F150" s="299" t="n"/>
      <c r="G150" s="299" t="n"/>
    </row>
    <row r="151" ht="68.5" customHeight="1" s="254">
      <c r="A151" s="825" t="inlineStr">
        <is>
          <t>Ports added</t>
        </is>
      </c>
      <c r="B151" s="842">
        <f>$B$128</f>
        <v/>
      </c>
      <c r="C151" s="839" t="n">
        <v>0.4</v>
      </c>
      <c r="D151" s="842">
        <f>1+($B$151-1)*$C$151</f>
        <v/>
      </c>
      <c r="E151" s="825" t="inlineStr">
        <is>
          <t>More positions capture more simultaneous arrivals, but a second position does not double demand — it shortens the queue.</t>
        </is>
      </c>
      <c r="F151" s="299" t="n"/>
      <c r="G151" s="299" t="n"/>
    </row>
    <row r="152" ht="68.5" customHeight="1" s="254">
      <c r="A152" s="825" t="inlineStr">
        <is>
          <t>Connector coverage widened</t>
        </is>
      </c>
      <c r="B152" s="842">
        <f>$B$139</f>
        <v/>
      </c>
      <c r="C152" s="839" t="n">
        <v>0.5</v>
      </c>
      <c r="D152" s="842">
        <f>1+($B$152-1)*$C$152</f>
        <v/>
      </c>
      <c r="E152" s="825" t="inlineStr">
        <is>
          <t>Vehicles that could not charge here now can. Capture is below one because some of those drivers were already served nearby.</t>
        </is>
      </c>
      <c r="F152" s="299" t="n"/>
      <c r="G152" s="299" t="n"/>
    </row>
    <row r="153" ht="56" customHeight="1" s="254">
      <c r="A153" s="825" t="inlineStr">
        <is>
          <t>Higher delivered power</t>
        </is>
      </c>
      <c r="B153" s="842">
        <f>$B$143</f>
        <v/>
      </c>
      <c r="C153" s="839" t="n">
        <v>0.25</v>
      </c>
      <c r="D153" s="842">
        <f>1+($B$153-1)*$C$153</f>
        <v/>
      </c>
      <c r="E153" s="825" t="inlineStr">
        <is>
          <t>Faster sessions free the stall sooner. Only converts to energy where demand is waiting for a stall.</t>
        </is>
      </c>
      <c r="F153" s="299" t="n"/>
      <c r="G153" s="299" t="n"/>
    </row>
    <row r="154" ht="16" customHeight="1" s="254">
      <c r="A154" s="811" t="n"/>
      <c r="B154" s="804" t="n"/>
      <c r="C154" s="804" t="n"/>
      <c r="D154" s="804" t="n"/>
      <c r="E154" s="804" t="n"/>
      <c r="F154" s="804" t="n"/>
      <c r="G154" s="804" t="n"/>
    </row>
    <row r="155" ht="31" customHeight="1" s="254">
      <c r="A155" s="794" t="inlineStr">
        <is>
          <t>Combined uplift multiple</t>
        </is>
      </c>
      <c r="B155" s="838">
        <f>$D$150*$D$151*$D$152*$D$153</f>
        <v/>
      </c>
      <c r="C155" s="816" t="inlineStr">
        <is>
          <t>The four applied multiples compounded. Sense-check it against the site factor on the Revenue tab.</t>
        </is>
      </c>
      <c r="E155" s="804" t="n"/>
      <c r="F155" s="804" t="n"/>
      <c r="G155" s="804" t="n"/>
    </row>
    <row r="156" ht="31" customHeight="1" s="254">
      <c r="A156" s="794" t="inlineStr">
        <is>
          <t>Projected kWh per year at steady state</t>
        </is>
      </c>
      <c r="B156" s="828">
        <f>$B$147*$B$155</f>
        <v/>
      </c>
      <c r="C156" s="816" t="inlineStr">
        <is>
          <t>History times the combined uplift. This is what the Revenue tab should use instead of the market benchmark.</t>
        </is>
      </c>
      <c r="E156" s="804" t="n"/>
      <c r="F156" s="804" t="n"/>
      <c r="G156" s="804" t="n"/>
    </row>
    <row r="157" ht="16" customHeight="1" s="254">
      <c r="A157" s="794" t="inlineStr">
        <is>
          <t>Projected kWh per day</t>
        </is>
      </c>
      <c r="B157" s="829">
        <f>$B$156/365</f>
        <v/>
      </c>
      <c r="C157" s="804" t="n"/>
      <c r="D157" s="804" t="n"/>
      <c r="E157" s="804" t="n"/>
      <c r="F157" s="804" t="n"/>
      <c r="G157" s="804" t="n"/>
    </row>
    <row r="158" ht="16" customHeight="1" s="254">
      <c r="A158" s="811" t="n"/>
      <c r="B158" s="804" t="n"/>
      <c r="C158" s="804" t="n"/>
      <c r="D158" s="804" t="n"/>
      <c r="E158" s="804" t="n"/>
      <c r="F158" s="804" t="n"/>
      <c r="G158" s="804" t="n"/>
    </row>
    <row r="159" ht="43.5" customHeight="1" s="254">
      <c r="A159" s="794" t="inlineStr">
        <is>
          <t>Sanity check against capacity</t>
        </is>
      </c>
      <c r="B159" s="822">
        <f>IF(OR($B$156=0,N(Equipment!B23)=0),"enter history and the new equipment",IF($B$156/365/(24*Equipment!B23*0.7)&gt;0.35,"TOO HIGH — the projection implies more than 35% port-time utilisation. Reduce a capture factor.","OK — implies "&amp;TEXT($B$156/365/(24*Equipment!B23*0.7),"0.0%")&amp;" port-time utilisation"))</f>
        <v/>
      </c>
      <c r="C159" s="299" t="n"/>
      <c r="D159" s="816" t="inlineStr">
        <is>
          <t>Stops an optimistic stack of uplifts producing a number the hardware cannot physically deliver.</t>
        </is>
      </c>
      <c r="F159" s="804" t="n"/>
      <c r="G159" s="804" t="n"/>
    </row>
    <row r="160" ht="16" customHeight="1" s="254">
      <c r="A160" s="794" t="inlineStr">
        <is>
          <t>Projection against history</t>
        </is>
      </c>
      <c r="B160" s="822">
        <f>IF($B$147=0,"enter history",TEXT($B$155,"0.00")&amp;"x the historical run rate — "&amp;TEXT($B$156-$B$147,"+#,##0;-#,##0")&amp;" kWh a year")</f>
        <v/>
      </c>
      <c r="C160" s="299" t="n"/>
      <c r="D160" s="804" t="n"/>
      <c r="E160" s="804" t="n"/>
      <c r="F160" s="804" t="n"/>
      <c r="G160" s="804" t="n"/>
    </row>
    <row r="161" ht="16" customHeight="1" s="254">
      <c r="A161" s="811" t="n"/>
      <c r="B161" s="804" t="n"/>
      <c r="C161" s="804" t="n"/>
      <c r="D161" s="804" t="n"/>
      <c r="E161" s="804" t="n"/>
      <c r="F161" s="804" t="n"/>
      <c r="G161" s="804" t="n"/>
    </row>
    <row r="162" ht="19.75" customHeight="1" s="254">
      <c r="A162" s="798" t="inlineStr">
        <is>
          <t>Cross-check against the market</t>
        </is>
      </c>
      <c r="B162" s="804" t="n"/>
      <c r="C162" s="804" t="n"/>
      <c r="D162" s="804" t="n"/>
      <c r="E162" s="804" t="n"/>
      <c r="F162" s="804" t="n"/>
      <c r="G162" s="804" t="n"/>
    </row>
    <row r="163" ht="31" customHeight="1" s="254">
      <c r="A163" s="816" t="inlineStr">
        <is>
          <t>The capacity check above asks whether the hardware could physically deliver the projection. This asks whether the market would. Both have to pass, and the market one is usually the binding constraint.</t>
        </is>
      </c>
    </row>
    <row r="164" ht="43.5" customHeight="1" s="254">
      <c r="A164" s="781" t="inlineStr">
        <is>
          <t>Implied port-time utilisation</t>
        </is>
      </c>
      <c r="B164" s="840">
        <f>IF(N(Equipment!$B$26)&gt;0,IF(LEFT(Revenue!$B$59,10)="Historical",N($B$156),N(Revenue!$B$78))/365/(24*Equipment!$B$26*0.7),IF(OR(N(Revenue!$B$107)=0,N(Revenue!$B$108)=0),0,IF(LEFT(Revenue!$B$59,10)="Historical",N($B$156)/365/Revenue!$B$107,Revenue!$B$111)/(24*Revenue!$B$108*Revenue!$B$15)))</f>
        <v/>
      </c>
      <c r="C164" s="816" t="inlineStr">
        <is>
          <t>Share of the day each position delivers energy, at whichever projection is in force — history where history exists, the greenfield basis otherwise. On a site with DC capacity this is the DC stream; on an all-Level-2 site it is the Level 2 stream, in the same unit.</t>
        </is>
      </c>
    </row>
    <row r="165" ht="56" customHeight="1" s="254">
      <c r="A165" s="781" t="inlineStr">
        <is>
          <t>Benchmark port utilisation</t>
        </is>
      </c>
      <c r="B165" s="840">
        <f>IF(Revenue!$B$45="",0,IF(N(Equipment!$B$26)&gt;0,IFERROR(INDEX(BM_UTIL,MATCH(Revenue!$B$45,BM_STATE,0)),0),IF(N(Revenue!$B$108)*N(Revenue!$B$15)=0,0,IFERROR(INDEX(BM_L2_KWH,MATCH(Revenue!$B$45,BM_L2_STATE,0)),0)/(24*Revenue!$B$108*Revenue!$B$15))))</f>
        <v/>
      </c>
      <c r="C165" s="814" t="inlineStr">
        <is>
          <t>Looked up from the market chosen on the Revenue tab — the DC table when the site has DC capacity, the Level 2 table (kWh per port per day, converted to time utilisation at this site's Level 2 power) when it has none. Zero means no market was chosen, or the one chosen is not in the table, and the verdict below says so.</t>
        </is>
      </c>
    </row>
    <row r="166" ht="31" customHeight="1" s="254">
      <c r="A166" s="781" t="inlineStr">
        <is>
          <t>Projection as a share of the state average</t>
        </is>
      </c>
      <c r="B166" s="840">
        <f>IF(N($B$165)=0,0,N($B$164)/N($B$165))</f>
        <v/>
      </c>
      <c r="C166" s="816" t="inlineStr">
        <is>
          <t>Above 100% means the projection assumes this site beats the average Californian port.</t>
        </is>
      </c>
      <c r="E166" s="804" t="n"/>
      <c r="F166" s="804" t="n"/>
      <c r="G166" s="804" t="n"/>
    </row>
    <row r="167" ht="68.5" customHeight="1" s="254">
      <c r="A167" s="794" t="inlineStr">
        <is>
          <t>Market plausibility</t>
        </is>
      </c>
      <c r="B167" s="822">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816" t="inlineStr">
        <is>
          <t>A replacement can transform a site, but it cannot make it beat the market by a wide margin without a reason a reader can check. Tested against the DC benchmark on a DC site and the Level 2 benchmark on an all-Level-2 site.</t>
        </is>
      </c>
      <c r="G167" s="804" t="n"/>
    </row>
    <row r="168" ht="16" customHeight="1" s="254">
      <c r="A168" s="811" t="inlineStr">
        <is>
          <t>Market the benchmark is for</t>
        </is>
      </c>
      <c r="B168" s="821">
        <f>IF(Revenue!$B$45="","NO MARKET CHOSEN — set it on the Revenue tab",Revenue!$B$45)</f>
        <v/>
      </c>
      <c r="C168" s="814" t="inlineStr">
        <is>
          <t>Reads the Revenue tab. It is not a second place to type a market.</t>
        </is>
      </c>
      <c r="E168" s="804" t="n"/>
      <c r="F168" s="804" t="n"/>
      <c r="G168" s="804" t="n"/>
    </row>
    <row r="169" ht="43.5" customHeight="1" s="254">
      <c r="A169" s="823"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ht="16" customHeight="1" s="254">
      <c r="A170" s="811" t="n"/>
      <c r="B170" s="804" t="n"/>
      <c r="C170" s="804" t="n"/>
      <c r="D170" s="804" t="n"/>
      <c r="E170" s="804" t="n"/>
      <c r="F170" s="804" t="n"/>
      <c r="G170" s="804" t="n"/>
    </row>
    <row r="171" ht="33.5" customHeight="1" s="254">
      <c r="A171" s="798" t="inlineStr">
        <is>
          <t>H · Removal, disposal and site protection</t>
        </is>
      </c>
      <c r="B171" s="945">
        <f>IF(OR($B$5="Greenfield — new service",$B$5="Greenfield — add load to existing service"),"— skip: nothing to remove","— complete this section")</f>
        <v/>
      </c>
      <c r="C171" s="804" t="n"/>
      <c r="D171" s="804" t="n"/>
      <c r="E171" s="804" t="n"/>
      <c r="F171" s="804" t="n"/>
      <c r="G171" s="804" t="n"/>
    </row>
    <row r="172" ht="16" customHeight="1" s="254">
      <c r="A172" s="816" t="inlineStr">
        <is>
          <t>What it costs to take the old installation out. This is real scope on a replacement project and zero on a greenfield one.</t>
        </is>
      </c>
    </row>
    <row r="173" ht="16" customHeight="1" s="254">
      <c r="A173" s="824" t="inlineStr">
        <is>
          <t>Item</t>
        </is>
      </c>
      <c r="B173" s="824" t="inlineStr">
        <is>
          <t>Quantity</t>
        </is>
      </c>
      <c r="C173" s="824" t="inlineStr">
        <is>
          <t>Note</t>
        </is>
      </c>
      <c r="D173" s="824" t="n"/>
      <c r="E173" s="824" t="n"/>
      <c r="F173" s="824" t="n"/>
      <c r="G173" s="824" t="n"/>
    </row>
    <row r="174" ht="31" customHeight="1" s="254">
      <c r="A174" s="825" t="inlineStr">
        <is>
          <t>Cabinets to disconnect and remove (ea)</t>
        </is>
      </c>
      <c r="B174" s="818" t="n"/>
      <c r="C174" s="825" t="inlineStr">
        <is>
          <t>Includes de-energising, lockout and terminations</t>
        </is>
      </c>
      <c r="D174" s="804" t="n"/>
      <c r="E174" s="804" t="n"/>
      <c r="F174" s="804" t="n"/>
      <c r="G174" s="804" t="n"/>
    </row>
    <row r="175" ht="16" customHeight="1" s="254">
      <c r="A175" s="825" t="inlineStr">
        <is>
          <t>Concrete pads to break out (ea)</t>
        </is>
      </c>
      <c r="B175" s="818" t="n"/>
      <c r="C175" s="825" t="inlineStr">
        <is>
          <t>Saw-cut, break, remove and dispose</t>
        </is>
      </c>
      <c r="D175" s="804" t="n"/>
      <c r="E175" s="804" t="n"/>
      <c r="F175" s="804" t="n"/>
      <c r="G175" s="804" t="n"/>
    </row>
    <row r="176" ht="16" customHeight="1" s="254">
      <c r="A176" s="825" t="inlineStr">
        <is>
          <t>Bollards to remove (ea)</t>
        </is>
      </c>
      <c r="B176" s="818" t="n"/>
      <c r="C176" s="843" t="n"/>
      <c r="D176" s="804" t="n"/>
      <c r="E176" s="804" t="n"/>
      <c r="F176" s="804" t="n"/>
      <c r="G176" s="804" t="n"/>
    </row>
    <row r="177" ht="16" customHeight="1" s="254">
      <c r="A177" s="825" t="inlineStr">
        <is>
          <t>Signage to remove (ea)</t>
        </is>
      </c>
      <c r="B177" s="818" t="n"/>
      <c r="C177" s="843" t="n"/>
      <c r="D177" s="804" t="n"/>
      <c r="E177" s="804" t="n"/>
      <c r="F177" s="804" t="n"/>
      <c r="G177" s="804" t="n"/>
    </row>
    <row r="178" ht="31" customHeight="1" s="254">
      <c r="A178" s="825" t="inlineStr">
        <is>
          <t>Disposal loads (ea)</t>
        </is>
      </c>
      <c r="B178" s="818" t="n"/>
      <c r="C178" s="825" t="inlineStr">
        <is>
          <t>Concrete and steel to a licensed facility</t>
        </is>
      </c>
      <c r="D178" s="804" t="n"/>
      <c r="E178" s="804" t="n"/>
      <c r="F178" s="804" t="n"/>
      <c r="G178" s="804" t="n"/>
    </row>
    <row r="179" ht="16" customHeight="1" s="254">
      <c r="A179" s="825" t="inlineStr">
        <is>
          <t>Equipment recycling or resale?</t>
        </is>
      </c>
      <c r="B179" s="799" t="n"/>
      <c r="C179" s="825" t="inlineStr">
        <is>
          <t>Working units may carry salvage value</t>
        </is>
      </c>
      <c r="D179" s="804" t="n"/>
      <c r="E179" s="804" t="n"/>
      <c r="F179" s="804" t="n"/>
      <c r="G179" s="804" t="n"/>
    </row>
    <row r="180" ht="16" customHeight="1" s="254">
      <c r="A180" s="825" t="inlineStr">
        <is>
          <t>Hazardous material identified?</t>
        </is>
      </c>
      <c r="B180" s="799" t="n"/>
      <c r="C180" s="825" t="inlineStr">
        <is>
          <t>Older units may contain fluids requiring special handling</t>
        </is>
      </c>
      <c r="D180" s="299" t="n"/>
      <c r="E180" s="804" t="n"/>
      <c r="F180" s="804" t="n"/>
      <c r="G180" s="804" t="n"/>
    </row>
    <row r="181" ht="31" customHeight="1" s="254">
      <c r="A181" s="825" t="inlineStr">
        <is>
          <t>Temporary charging required during works?</t>
        </is>
      </c>
      <c r="B181" s="799" t="n"/>
      <c r="C181" s="825" t="inlineStr">
        <is>
          <t>If the site cannot go dark, this is a separate cost</t>
        </is>
      </c>
      <c r="D181" s="804" t="n"/>
      <c r="E181" s="804" t="n"/>
      <c r="F181" s="804" t="n"/>
      <c r="G181" s="804" t="n"/>
    </row>
    <row r="182" ht="31" customHeight="1" s="254">
      <c r="A182" s="825" t="inlineStr">
        <is>
          <t>Site protection and traffic control (days)</t>
        </is>
      </c>
      <c r="B182" s="818" t="n"/>
      <c r="C182" s="825" t="inlineStr">
        <is>
          <t>Barriers, cones and signage around a live customer lot</t>
        </is>
      </c>
      <c r="D182" s="804" t="n"/>
      <c r="E182" s="804" t="n"/>
      <c r="F182" s="804" t="n"/>
      <c r="G182" s="804" t="n"/>
    </row>
    <row r="183" ht="16" customHeight="1" s="254">
      <c r="A183" s="811" t="n"/>
      <c r="B183" s="804" t="n"/>
      <c r="C183" s="804" t="n"/>
      <c r="D183" s="804" t="n"/>
      <c r="E183" s="804" t="n"/>
      <c r="F183" s="804" t="n"/>
      <c r="G183" s="804" t="n"/>
    </row>
    <row r="184" ht="31" customHeight="1" s="254">
      <c r="A184" s="781" t="inlineStr">
        <is>
          <t>•</t>
        </is>
      </c>
      <c r="B184" s="781" t="inlineStr">
        <is>
          <t>Removal, disposal and pad replacement are entered on the Construction tab as quantities like any other construction line. This section is where the quantities come from.</t>
        </is>
      </c>
    </row>
    <row r="185" ht="31" customHeight="1" s="254">
      <c r="A185" s="781" t="inlineStr">
        <is>
          <t>•</t>
        </is>
      </c>
      <c r="B185" s="781" t="inlineStr">
        <is>
          <t>A site that must keep charging during the works needs a phased programme and possibly temporary units. That is not in the standard scope and should be priced separately.</t>
        </is>
      </c>
    </row>
    <row r="186" ht="31" customHeight="1" s="254">
      <c r="A186" s="781" t="inlineStr">
        <is>
          <t>•</t>
        </is>
      </c>
      <c r="B186" s="781" t="inlineStr">
        <is>
          <t>Working units removed from service can carry salvage value. Where the client wants that credited, it belongs on the Overrides tab as an override, not buried in the construction estimate.</t>
        </is>
      </c>
    </row>
    <row r="187" ht="16" customHeight="1" s="254">
      <c r="A187" s="811" t="n"/>
      <c r="B187" s="804" t="n"/>
      <c r="C187" s="804" t="n"/>
      <c r="D187" s="804" t="n"/>
      <c r="E187" s="804" t="n"/>
      <c r="F187" s="804" t="n"/>
      <c r="G187" s="804" t="n"/>
    </row>
    <row r="188" ht="47.25" customHeight="1" s="254">
      <c r="A188" s="798" t="inlineStr">
        <is>
          <t>I · Capacity of the existing service — add-load and replacement projects</t>
        </is>
      </c>
      <c r="B188" s="945">
        <f>IF($B$5&lt;&gt;"Greenfield — new service","— complete this section","— skip: new service")</f>
        <v/>
      </c>
      <c r="C188" s="804" t="n"/>
      <c r="D188" s="804" t="n"/>
      <c r="E188" s="804" t="n"/>
      <c r="F188" s="804" t="n"/>
      <c r="G188" s="804" t="n"/>
    </row>
    <row r="189" ht="56" customHeight="1" s="254">
      <c r="A189" s="816" t="inlineStr">
        <is>
          <t>The one question this tab has to answer for a site that keeps its service: does the existing service and switchgear carry the new load? Three ways to answer it, in order of strength. (1) The highest fifteen-minute demand on the last twelve months of utility interval data or bills — NEC 220.87 lets the existing load be taken at 125% of that figure. (2) The spare capacity the engineer or the utility states for the gear. (3) The service size alone, which only works when the service serves nothing else. The verdict names the basis it used, so a reader knows how much to trust it.</t>
        </is>
      </c>
    </row>
    <row r="190" ht="31" customHeight="1" s="254">
      <c r="A190" s="781" t="inlineStr">
        <is>
          <t>New load to be added (kW)</t>
        </is>
      </c>
      <c r="B190" s="946">
        <f>N(Electrical!$B$137)</f>
        <v/>
      </c>
      <c r="C190" s="816" t="inlineStr">
        <is>
          <t>From the Electrical tab: full nameplate from the equipment schedule, or the managed cap when load management is proposed.</t>
        </is>
      </c>
    </row>
    <row r="191" ht="31" customHeight="1" s="254">
      <c r="A191" s="781" t="inlineStr">
        <is>
          <t>New load at 125% (A)</t>
        </is>
      </c>
      <c r="B191" s="826">
        <f>IF(OR(N($B$190)=0,NOT(ISNUMBER($B$51))),0,$B$190*1000/($B$51*SQRT(3))*1.25)</f>
        <v/>
      </c>
      <c r="C191" s="816" t="inlineStr">
        <is>
          <t>kW × 1000 ÷ (V × √3) × 1.25 — the continuous-load rule. This is what the existing service has to have free.</t>
        </is>
      </c>
    </row>
    <row r="192" ht="43.5" customHeight="1" s="254">
      <c r="A192" s="781" t="inlineStr">
        <is>
          <t>Existing peak demand, last 12 months (kW)</t>
        </is>
      </c>
      <c r="B192" s="818" t="n"/>
      <c r="C192" s="816" t="inlineStr">
        <is>
          <t>Highest fifteen-minute demand on the utility interval data or bills for the last twelve months (NEC 220.87). The strongest basis there is. Leave blank if you do not have it — the row below then falls back to the spare capacity on row 52.</t>
        </is>
      </c>
    </row>
    <row r="193" ht="31" customHeight="1" s="254">
      <c r="A193" s="781" t="inlineStr">
        <is>
          <t>Existing peak demand at 125% (A)</t>
        </is>
      </c>
      <c r="B193" s="826">
        <f>IF(OR(NOT(ISNUMBER($B$192)),NOT(ISNUMBER($B$51))),0,$B$192*1000/($B$51*SQRT(3))*1.25)</f>
        <v/>
      </c>
      <c r="C193" s="816" t="inlineStr">
        <is>
          <t>What the code takes the existing load to be. Service headroom is the service size less this figure.</t>
        </is>
      </c>
    </row>
    <row r="194" ht="31" customHeight="1" s="254">
      <c r="A194" s="781" t="inlineStr">
        <is>
          <t>Load basis in force</t>
        </is>
      </c>
      <c r="B194" s="821">
        <f>IF(ISNUMBER($B$192),"NEC 220.87 — measured peak demand",IF(ISNUMBER($B$52),"Spare capacity stated on row 52",IF(ISNUMBER($B$50),"Service size only — no existing-load data","no basis yet")))</f>
        <v/>
      </c>
      <c r="C194" s="816" t="inlineStr">
        <is>
          <t>Which of the three answers the verdict rests on. Measured demand beats a stated figure; a stated figure beats the service size.</t>
        </is>
      </c>
    </row>
    <row r="195" ht="31" customHeight="1" s="254">
      <c r="A195" s="781" t="inlineStr">
        <is>
          <t>Capacity available for the new load (A)</t>
        </is>
      </c>
      <c r="B195" s="826">
        <f>IF(NOT(ISNUMBER($B$51)),0,IF(ISNUMBER($B$192),MAX(0,N($B$50)-$B$193),IF(ISNUMBER($B$52),$B$52+IF(AND(NOT(OR($B$5="Greenfield — new service",$B$5="Greenfield — add load to existing service")),$B$44&gt;0),$B$44*1000/($B$51*SQRT(3)),0),N($B$50))))</f>
        <v/>
      </c>
      <c r="C195" s="816" t="inlineStr">
        <is>
          <t>Service size less the existing demand at 125%; or the stated spare capacity plus, on a replacement, the current the removed chargers give back; or the bare service size.</t>
        </is>
      </c>
    </row>
    <row r="196" ht="31" customHeight="1" s="254">
      <c r="A196" s="781" t="inlineStr">
        <is>
          <t>Space on the existing gear for the new feeder?</t>
        </is>
      </c>
      <c r="B196" s="799" t="n"/>
      <c r="C196" s="816" t="inlineStr">
        <is>
          <t>A spare main-section breaker, a spare section or a tap position to land the new feeder. If there is none, a section extension or a tap box goes on the Electrical distribution schedule.</t>
        </is>
      </c>
    </row>
    <row r="197" ht="43.5" customHeight="1" s="254">
      <c r="A197" s="781" t="inlineStr">
        <is>
          <t>Utility notified of the added load?</t>
        </is>
      </c>
      <c r="B197" s="799" t="n"/>
      <c r="C197" s="816" t="inlineStr">
        <is>
          <t>Adding load to an existing service is still an application with most utilities (an added-load or increase-in-load request above a threshold), even when no new service is built. Record the application in Electrical section F.</t>
        </is>
      </c>
    </row>
    <row r="198" ht="43.5" customHeight="1" s="254">
      <c r="A198" s="794" t="inlineStr">
        <is>
          <t>Service verdict</t>
        </is>
      </c>
      <c r="B198" s="822">
        <f>IF($B$5="Greenfield — new service","n/a — greenfield, there is no existing service",IF(N($B$191)=0,"enter the new equipment and the existing service voltage",IF($B$194="no basis yet","enter the existing service size, its spare capacity or its peak demand",IF($B$191&lt;=$B$195,"OK — "&amp;TEXT($B$195,"#,##0")&amp;" A available against "&amp;TEXT($B$191,"#,##0")&amp;" A the new load needs at 125% ("&amp;$B$194&amp;")","UPGRADE NEEDED — "&amp;TEXT($B$191,"#,##0")&amp;" A required against "&amp;TEXT($B$195,"#,##0")&amp;" A available ("&amp;$B$194&amp;")"))))</f>
        <v/>
      </c>
      <c r="C198" s="299" t="n"/>
      <c r="D198" s="814" t="inlineStr">
        <is>
          <t>Row 60 reads this. UPGRADE NEEDED means a new or enlarged service: change the project type or the register, and price the service as greenfield electrical.</t>
        </is>
      </c>
    </row>
    <row r="199" ht="56" customHeight="1" s="254">
      <c r="A199" s="794" t="inlineStr">
        <is>
          <t>Switchgear frame verdict</t>
        </is>
      </c>
      <c r="B199" s="822">
        <f>IF($B$5="Greenfield — new service","n/a — greenfield, there is no existing gear",IF(NOT(ISNUMBER($B$53)),"enter the existing frame as a NUMBER",IF(N($B$191)=0,"enter the new equipment",IF(ISNUMBER($B$192),IF($B$53&gt;=$B$193+$B$191,"OK — the "&amp;TEXT($B$53,"#,##0")&amp;" A frame carries the existing demand plus the new load at 125%","UNDERSIZED — "&amp;TEXT($B$193+$B$191,"#,##0")&amp;" A on a "&amp;TEXT($B$53,"#,##0")&amp;" A frame"),IF($B$53&gt;=$B$191+IF(ISNUMBER($B$52),MAX(0,N($B$50)-$B$52),0),"OK — existing frame is adequate for the new load"&amp;IF(ISNUMBER($B$52)," on top of the load already on it",""),"UNDERSIZED — the existing frame does not cover the new load at 125%")))))</f>
        <v/>
      </c>
      <c r="C199" s="299" t="n"/>
      <c r="D199" s="814" t="inlineStr">
        <is>
          <t>Row 61 reads this, and so does the engine. With measured demand the frame must carry existing demand plus the new load; with spare capacity it must carry the load already on it plus the new load.</t>
        </is>
      </c>
    </row>
    <row r="200" ht="31" customHeight="1" s="254">
      <c r="A200" s="794" t="inlineStr">
        <is>
          <t>Consistent with the Electrical and Project tabs?</t>
        </is>
      </c>
      <c r="B200" s="822">
        <f>IF($B$5="Greenfield — new service","n/a — greenfield",IF(AND(ISNUMBER(SEARCH("Existing",Electrical!$B$148)),N(Electrical!$B$149)=N($B$52),Electrical!$B$185="Added load to existing service",OR($B$14&lt;&gt;"RETAIN",LEFT(Electrical!$B$155,8)="Existing"),N(Project!$B$28)=N($B$50)),"OK — point of connection, spare capacity, service type, feeder and service size agree across the tabs","CHECK — the Electrical tab should read: point of connection Existing MSB, spare capacity "&amp;TEXT(N($B$52),"#,##0")&amp;" A, service type Added load to existing service"&amp;IF($B$14="RETAIN",", feeder Existing — retained","")&amp;"; the Project tab service size should be "&amp;TEXT(N($B$50),"#,##0")&amp;" A"))</f>
        <v/>
      </c>
      <c r="C200" s="299" t="n"/>
      <c r="D200" s="814" t="inlineStr">
        <is>
          <t>The same facts are entered on three tabs. This row says whether they agree; it does not fix them.</t>
        </is>
      </c>
    </row>
    <row r="201" ht="31" customHeight="1" s="254">
      <c r="A201" s="794" t="inlineStr">
        <is>
          <t>Ready for the engine?</t>
        </is>
      </c>
      <c r="B201" s="822">
        <f>IF($B$5="Greenfield — new service","n/a — greenfield, the service is priced new",IF(AND(LEFT($B$198,2)="OK",LEFT($B$199,2)="OK",LEFT($B$200,2)="OK"),"OK — the existing service and switchgear carry the added load and the tabs agree","NOT YET — "&amp;IF(LEFT($B$198,2)&lt;&gt;"OK","service: "&amp;$B$198&amp;"; ","")&amp;IF(LEFT($B$199,2)&lt;&gt;"OK","frame: "&amp;$B$199&amp;"; ","")&amp;IF(LEFT($B$200,2)&lt;&gt;"OK","tabs: "&amp;$B$200,"")))</f>
        <v/>
      </c>
      <c r="C201" s="299" t="n"/>
      <c r="D201" s="814" t="inlineStr">
        <is>
          <t>One line for the reviewer. OK here means the electrical scope can be priced from the existing switchgear inward.</t>
        </is>
      </c>
    </row>
  </sheetData>
  <sheetProtection selectLockedCells="0" selectUnlockedCells="0" sheet="1" objects="0" insertRows="1" insertHyperlinks="1" autoFilter="1" scenarios="0" formatColumns="0" deleteColumns="1" insertColumns="1" pivotTables="1" deleteRows="1" formatCells="0" formatRows="0" sort="1"/>
  <mergeCells count="88">
    <mergeCell ref="C6:D6"/>
    <mergeCell ref="D201:G201"/>
    <mergeCell ref="C5:G5"/>
    <mergeCell ref="C116:D116"/>
    <mergeCell ref="C54:D54"/>
    <mergeCell ref="C47:G47"/>
    <mergeCell ref="D60:G60"/>
    <mergeCell ref="B61:C61"/>
    <mergeCell ref="C193:G193"/>
    <mergeCell ref="A11:G11"/>
    <mergeCell ref="C56:D56"/>
    <mergeCell ref="A169:G169"/>
    <mergeCell ref="C192:G192"/>
    <mergeCell ref="C120:D120"/>
    <mergeCell ref="D62:E62"/>
    <mergeCell ref="C119:D119"/>
    <mergeCell ref="C194:G194"/>
    <mergeCell ref="C17:D17"/>
    <mergeCell ref="E151:G151"/>
    <mergeCell ref="A136:G136"/>
    <mergeCell ref="C165:G165"/>
    <mergeCell ref="C19:D19"/>
    <mergeCell ref="C111:D111"/>
    <mergeCell ref="B200:C200"/>
    <mergeCell ref="C45:D45"/>
    <mergeCell ref="C14:D14"/>
    <mergeCell ref="C196:G196"/>
    <mergeCell ref="C143:G143"/>
    <mergeCell ref="C137:D137"/>
    <mergeCell ref="A49:G49"/>
    <mergeCell ref="A1:G1"/>
    <mergeCell ref="C139:D139"/>
    <mergeCell ref="A65:G65"/>
    <mergeCell ref="D198:G198"/>
    <mergeCell ref="C8:D8"/>
    <mergeCell ref="D61:G61"/>
    <mergeCell ref="B160:C160"/>
    <mergeCell ref="C155:D155"/>
    <mergeCell ref="C18:D18"/>
    <mergeCell ref="E153:G153"/>
    <mergeCell ref="C166:D166"/>
    <mergeCell ref="C195:G195"/>
    <mergeCell ref="B199:C199"/>
    <mergeCell ref="C58:D58"/>
    <mergeCell ref="C141:D141"/>
    <mergeCell ref="C128:D128"/>
    <mergeCell ref="C197:G197"/>
    <mergeCell ref="C44:D44"/>
    <mergeCell ref="B60:C60"/>
    <mergeCell ref="C127:D127"/>
    <mergeCell ref="A146:G146"/>
    <mergeCell ref="B28:C28"/>
    <mergeCell ref="D28:E28"/>
    <mergeCell ref="A172:G172"/>
    <mergeCell ref="C23:D23"/>
    <mergeCell ref="B185:G185"/>
    <mergeCell ref="C7:D7"/>
    <mergeCell ref="A189:G189"/>
    <mergeCell ref="B184:G184"/>
    <mergeCell ref="B198:C198"/>
    <mergeCell ref="A2:G2"/>
    <mergeCell ref="B62:C62"/>
    <mergeCell ref="A122:G122"/>
    <mergeCell ref="C104:D104"/>
    <mergeCell ref="C156:D156"/>
    <mergeCell ref="B159:C159"/>
    <mergeCell ref="C191:G191"/>
    <mergeCell ref="A125:G125"/>
    <mergeCell ref="D159:E159"/>
    <mergeCell ref="B167:C167"/>
    <mergeCell ref="C16:D16"/>
    <mergeCell ref="A31:G31"/>
    <mergeCell ref="B186:G186"/>
    <mergeCell ref="C117:D117"/>
    <mergeCell ref="C168:D168"/>
    <mergeCell ref="D167:F167"/>
    <mergeCell ref="C164:G164"/>
    <mergeCell ref="C180:D180"/>
    <mergeCell ref="C118:D118"/>
    <mergeCell ref="D199:G199"/>
    <mergeCell ref="C52:D52"/>
    <mergeCell ref="B201:C201"/>
    <mergeCell ref="E150:G150"/>
    <mergeCell ref="D200:G200"/>
    <mergeCell ref="A163:G163"/>
    <mergeCell ref="C190:G190"/>
    <mergeCell ref="C13:D13"/>
    <mergeCell ref="E152:G152"/>
  </mergeCells>
  <dataValidations count="11">
    <dataValidation sqref="B5" showDropDown="0" showInputMessage="0" showErrorMessage="0" allowBlank="1" promptTitle="Choose one" prompt="Pick from the list" type="list" errorStyle="stop" operator="between">
      <formula1>"Greenfield — new service,Greenfield — add load to existing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 sqref="B196" showDropDown="0" showInputMessage="0" showErrorMessage="0" allowBlank="1" type="list">
      <formula1>"Yes,No,Unknown"</formula1>
    </dataValidation>
    <dataValidation sqref="B197" showDropDown="0" showInputMessage="0" showErrorMessage="0" allowBlank="1" type="list">
      <formula1>"Yes,No,Not required,Unknown"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7.xml><?xml version="1.0" encoding="utf-8"?>
<worksheet xmlns="http://schemas.openxmlformats.org/spreadsheetml/2006/main">
  <sheetPr filterMode="0">
    <tabColor rgb="006B4C9A"/>
    <outlinePr summaryBelow="0" summaryRight="1"/>
    <pageSetUpPr fitToPage="1"/>
  </sheetPr>
  <dimension ref="A1:V55"/>
  <sheetViews>
    <sheetView showFormulas="0" showGridLines="0" showRowColHeaders="1" showZeros="1" rightToLeft="0" tabSelected="0" showOutlineSymbols="1" defaultGridColor="1" view="normal" topLeftCell="D1" colorId="64" zoomScale="100" zoomScaleNormal="100" zoomScalePageLayoutView="100" workbookViewId="0">
      <pane xSplit="0" ySplit="6" topLeftCell="A7" activePane="bottomLeft" state="frozen"/>
      <selection pane="topLeft" activeCell="D1" activeCellId="0" sqref="D1"/>
      <selection pane="bottomLeft" activeCell="K7" activeCellId="0" sqref="K7"/>
    </sheetView>
  </sheetViews>
  <sheetFormatPr baseColWidth="8" defaultColWidth="8.66796875" defaultRowHeight="14.25" zeroHeight="0" outlineLevelRow="1"/>
  <cols>
    <col width="36" customWidth="1" style="253" min="1" max="1"/>
    <col width="16" customWidth="1" style="253" min="2" max="3"/>
    <col width="24" customWidth="1" style="254" min="3" max="3"/>
    <col width="44" customWidth="1" style="253" min="4" max="5"/>
    <col width="14" customWidth="1" style="254" min="5" max="5"/>
    <col width="14" customWidth="1" style="253" min="6" max="7"/>
    <col width="16" customWidth="1" style="254" min="7" max="7"/>
    <col width="16" customWidth="1" style="253" min="8" max="8"/>
    <col width="12" customWidth="1" style="253" min="9" max="9"/>
    <col width="16" customWidth="1" style="253" min="10" max="10"/>
    <col width="16" customWidth="1" style="253" min="11" max="11"/>
    <col width="24" customWidth="1" style="253" min="12" max="12"/>
    <col width="14" customWidth="1" style="253" min="13" max="14"/>
    <col width="14" customWidth="1" style="254" min="14" max="14"/>
    <col width="14" customWidth="1" style="253" min="15" max="15"/>
    <col width="16" customWidth="1" style="253" min="16" max="16"/>
    <col width="13" customWidth="1" style="254" min="17" max="17"/>
    <col width="13" customWidth="1" style="254" min="18" max="18"/>
    <col width="13" customWidth="1" style="254" min="19" max="19"/>
    <col width="13" customWidth="1" style="254" min="20" max="20"/>
    <col width="13" customWidth="1" style="254" min="21" max="21"/>
    <col width="13" customWidth="1" style="254" min="22" max="22"/>
  </cols>
  <sheetData>
    <row r="1" ht="26" customHeight="1" s="254">
      <c r="A1" s="790" t="inlineStr">
        <is>
          <t>2 · EQUIPMENT SCHEDULE</t>
        </is>
      </c>
      <c r="I1" s="804" t="n"/>
      <c r="J1" s="804" t="n"/>
      <c r="K1" s="804" t="n"/>
      <c r="L1" s="804" t="n"/>
      <c r="M1" s="804" t="n"/>
      <c r="N1" s="804" t="n"/>
      <c r="O1" s="804" t="n"/>
      <c r="P1" s="804" t="n"/>
      <c r="Q1" s="804" t="n"/>
      <c r="R1" s="804" t="n"/>
      <c r="S1" s="804" t="n"/>
      <c r="T1" s="804" t="n"/>
      <c r="U1" s="804" t="n"/>
      <c r="V1" s="804" t="n"/>
    </row>
    <row r="2" ht="16" customHeight="1" s="254">
      <c r="A2" s="792" t="inlineStr">
        <is>
          <t>Pick the CAPACITY first, then the SKU. A distributed system is TWO kinds of line: the power cabinet, and each dispenser it feeds.</t>
        </is>
      </c>
      <c r="I2" s="804" t="n"/>
      <c r="J2" s="804" t="n"/>
      <c r="K2" s="804" t="n"/>
      <c r="L2" s="804" t="n"/>
      <c r="M2" s="804" t="n"/>
      <c r="N2" s="804" t="n"/>
      <c r="O2" s="804" t="n"/>
      <c r="P2" s="804" t="n"/>
      <c r="Q2" s="804" t="n"/>
      <c r="R2" s="804" t="n"/>
      <c r="S2" s="804" t="n"/>
      <c r="T2" s="804" t="n"/>
      <c r="U2" s="804" t="n"/>
      <c r="V2" s="804" t="n"/>
    </row>
    <row r="3" ht="16" customHeight="1" s="254">
      <c r="A3" s="811" t="n"/>
      <c r="B3" s="804" t="n"/>
      <c r="C3" s="804" t="n"/>
      <c r="D3" s="804" t="n"/>
      <c r="E3" s="804" t="n"/>
      <c r="F3" s="804" t="n"/>
      <c r="G3" s="804" t="n"/>
      <c r="H3" s="804" t="n"/>
      <c r="I3" s="804" t="n"/>
      <c r="J3" s="804" t="n"/>
      <c r="K3" s="804" t="n"/>
      <c r="L3" s="804" t="n"/>
      <c r="M3" s="804" t="n"/>
      <c r="N3" s="804" t="n"/>
      <c r="O3" s="804" t="n"/>
      <c r="P3" s="804" t="n"/>
      <c r="Q3" s="804" t="n"/>
      <c r="R3" s="804" t="n"/>
      <c r="S3" s="804" t="n"/>
      <c r="T3" s="804" t="n"/>
      <c r="U3" s="804" t="n"/>
      <c r="V3" s="804" t="n"/>
    </row>
    <row r="4" ht="68.5" customHeight="1" s="254">
      <c r="A4" s="792" t="inlineStr">
        <is>
          <t>Enter one row per SKU. Qty is the number of CABINETS, not ports. Columns Q-V are auto: they number the units and dispensers so the Electrical tab can list every run for you.</t>
        </is>
      </c>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row>
    <row r="5" ht="16" customHeight="1" s="254">
      <c r="A5" s="811" t="n"/>
      <c r="B5" s="804" t="n"/>
      <c r="C5" s="804" t="n"/>
      <c r="D5" s="804" t="n"/>
      <c r="E5" s="804" t="n"/>
      <c r="F5" s="804" t="n"/>
      <c r="G5" s="804" t="n"/>
      <c r="H5" s="804" t="n"/>
      <c r="I5" s="804" t="n"/>
      <c r="J5" s="804" t="n"/>
      <c r="K5" s="804" t="n"/>
      <c r="L5" s="804" t="n"/>
      <c r="M5" s="804" t="n"/>
      <c r="N5" s="804" t="n"/>
      <c r="O5" s="804" t="n"/>
      <c r="P5" s="804" t="n"/>
      <c r="Q5" s="804" t="n"/>
      <c r="R5" s="804" t="n"/>
      <c r="S5" s="804" t="n"/>
      <c r="T5" s="804" t="n"/>
      <c r="U5" s="804" t="n"/>
      <c r="V5" s="804" t="n"/>
    </row>
    <row r="6" ht="43.5" customHeight="1" s="254">
      <c r="A6" s="824" t="inlineStr">
        <is>
          <t>Line</t>
        </is>
      </c>
      <c r="B6" s="824" t="inlineStr">
        <is>
          <t>Capacity</t>
        </is>
      </c>
      <c r="C6" s="824" t="inlineStr">
        <is>
          <t>SKU</t>
        </is>
      </c>
      <c r="D6" s="824" t="inlineStr">
        <is>
          <t>Description (auto)</t>
        </is>
      </c>
      <c r="E6" s="824" t="inlineStr">
        <is>
          <t>Role (auto)</t>
        </is>
      </c>
      <c r="F6" s="824" t="inlineStr">
        <is>
          <t>DC output kW (auto)</t>
        </is>
      </c>
      <c r="G6" s="824" t="inlineStr">
        <is>
          <t>AC input kW (auto, at the Level 2 supply voltage)</t>
        </is>
      </c>
      <c r="H6" s="824" t="inlineStr">
        <is>
          <t>Connectors (auto)</t>
        </is>
      </c>
      <c r="I6" s="824" t="inlineStr">
        <is>
          <t>Qty (units)</t>
        </is>
      </c>
      <c r="J6" s="824" t="inlineStr">
        <is>
          <t>Discount — set on the Commercial tab</t>
        </is>
      </c>
      <c r="K6" s="824" t="inlineStr">
        <is>
          <t>MSRP each (auto)</t>
        </is>
      </c>
      <c r="L6" s="824" t="inlineStr">
        <is>
          <t>Dispenser SKU (distributed only)</t>
        </is>
      </c>
      <c r="M6" s="824" t="inlineStr">
        <is>
          <t>Max dispensers (auto)</t>
        </is>
      </c>
      <c r="N6" s="824" t="inlineStr">
        <is>
          <t>Dispensers per cabinet</t>
        </is>
      </c>
      <c r="O6" s="824" t="inlineStr">
        <is>
          <t>Connectors per dispenser (1 or 2)</t>
        </is>
      </c>
      <c r="P6" s="824" t="inlineStr">
        <is>
          <t>Dispenser MSRP each (auto)</t>
        </is>
      </c>
      <c r="Q6" s="824" t="inlineStr">
        <is>
          <t>Feeder or branch units (auto)</t>
        </is>
      </c>
      <c r="R6" s="824" t="inlineStr">
        <is>
          <t>First unit # (auto)</t>
        </is>
      </c>
      <c r="S6" s="824" t="inlineStr">
        <is>
          <t>Units through this line (auto)</t>
        </is>
      </c>
      <c r="T6" s="824" t="inlineStr">
        <is>
          <t>Dispensers on this line (auto)</t>
        </is>
      </c>
      <c r="U6" s="824" t="inlineStr">
        <is>
          <t>First dispenser # (auto)</t>
        </is>
      </c>
      <c r="V6" s="824" t="inlineStr">
        <is>
          <t>Dispensers through this line (auto)</t>
        </is>
      </c>
    </row>
    <row r="7" ht="16" customHeight="1" s="254">
      <c r="A7" s="825" t="n">
        <v>1</v>
      </c>
      <c r="B7" s="807" t="n"/>
      <c r="C7" s="807" t="n"/>
      <c r="D7" s="844">
        <f>IFERROR(INDEX(PriceBook!$C$2:$C$203,MATCH($C7,PriceBook!$B$2:$B$203,0)),"")</f>
        <v/>
      </c>
      <c r="E7" s="844">
        <f>IF($C7="","",IFERROR(INDEX(ROLE_VAL,MATCH($C7,ROLE_SKU,0)),"all_in_one"))</f>
        <v/>
      </c>
      <c r="F7" s="845">
        <f>IF($C7="",0,IFERROR(INDEX(SPEC_DCKW,MATCH($C7,SPEC_SKU,0)),IF($E7="dispenser",0,IF($E7="accessory",0,IFERROR(IF(N(INDEX(PriceBook!$E$2:$E$203,MATCH($C7,PriceBook!$B$2:$B$203,0)))&gt;0,INDEX(PriceBook!$E$2:$E$203,MATCH($C7,PriceBook!$B$2:$B$203,0)),INDEX(RATED_KW,MATCH($B7,CAPACITY_LIST,0))*IF(INDEX(PER_PORT,MATCH($B7,CAPACITY_LIST,0))=1,MAX(1,N($H7)),1)),0)))))</f>
        <v/>
      </c>
      <c r="G7" s="846">
        <f>IF($C7="",0,IFERROR(INDEX(SPEC_ACKW,MATCH($C7,SPEC_SKU,0)),$F7)*IF(AND($E7="level_2",N($B$30)&gt;0,$B$30&lt;240),$B$30/240,1))</f>
        <v/>
      </c>
      <c r="H7" s="845">
        <f>IF($C7="",0,IF($E7="power_cabinet",N($N7)*N($O7),IFERROR(INDEX(SPEC_OUTS,MATCH($C7,SPEC_SKU,0)),IFERROR(INDEX(SKU_CONN,MATCH($C7,SKU_ALL,0)),0))))</f>
        <v/>
      </c>
      <c r="I7" s="831" t="n"/>
      <c r="J7" s="847" t="n"/>
      <c r="K7" s="848">
        <f>IFERROR(INDEX(PriceBook!$D$2:$D$203,MATCH($C7,PriceBook!$B$2:$B$203,0)),0)</f>
        <v/>
      </c>
      <c r="L7" s="807" t="n"/>
      <c r="M7" s="845">
        <f>IF($E7&lt;&gt;"power_cabinet",0,IFERROR(INDEX(SPEC_MAXDISP,MATCH($C7,SPEC_SKU,0)),0))</f>
        <v/>
      </c>
      <c r="N7" s="831" t="n"/>
      <c r="O7" s="831" t="n"/>
      <c r="P7" s="848">
        <f>IF($L7="",0,IFERROR(INDEX(PriceBook!$D$2:$D$203,MATCH($L7,PriceBook!$B$2:$B$203,0)),0))</f>
        <v/>
      </c>
      <c r="Q7" s="849">
        <f>IF(OR($E7="all_in_one",$E7="power_cabinet",$E7="level_2"),N($I7),0)</f>
        <v/>
      </c>
      <c r="R7" s="849">
        <f>IF(N($Q7)=0,"",SUM($Q$7:$Q7)-N($Q7)+1)</f>
        <v/>
      </c>
      <c r="S7" s="849">
        <f>SUM($Q$7:$Q7)</f>
        <v/>
      </c>
      <c r="T7" s="849">
        <f>IF($E7="power_cabinet",N($I7)*N($N7),0)</f>
        <v/>
      </c>
      <c r="U7" s="849">
        <f>IF(N($T7)=0,"",SUM($T$7:$T7)-N($T7)+1)</f>
        <v/>
      </c>
      <c r="V7" s="849">
        <f>SUM($T$7:$T7)</f>
        <v/>
      </c>
    </row>
    <row r="8" ht="16" customHeight="1" s="254">
      <c r="A8" s="825" t="n">
        <v>2</v>
      </c>
      <c r="B8" s="807" t="n"/>
      <c r="C8" s="807" t="n"/>
      <c r="D8" s="844">
        <f>IFERROR(INDEX(PriceBook!$C$2:$C$203,MATCH($C8,PriceBook!$B$2:$B$203,0)),"")</f>
        <v/>
      </c>
      <c r="E8" s="844">
        <f>IF($C8="","",IFERROR(INDEX(ROLE_VAL,MATCH($C8,ROLE_SKU,0)),"all_in_one"))</f>
        <v/>
      </c>
      <c r="F8" s="845">
        <f>IF($C8="",0,IFERROR(INDEX(SPEC_DCKW,MATCH($C8,SPEC_SKU,0)),IF($E8="dispenser",0,IF($E8="accessory",0,IFERROR(IF(N(INDEX(PriceBook!$E$2:$E$203,MATCH($C8,PriceBook!$B$2:$B$203,0)))&gt;0,INDEX(PriceBook!$E$2:$E$203,MATCH($C8,PriceBook!$B$2:$B$203,0)),INDEX(RATED_KW,MATCH($B8,CAPACITY_LIST,0))*IF(INDEX(PER_PORT,MATCH($B8,CAPACITY_LIST,0))=1,MAX(1,N($H8)),1)),0)))))</f>
        <v/>
      </c>
      <c r="G8" s="846">
        <f>IF($C8="",0,IFERROR(INDEX(SPEC_ACKW,MATCH($C8,SPEC_SKU,0)),$F8)*IF(AND($E8="level_2",N($B$30)&gt;0,$B$30&lt;240),$B$30/240,1))</f>
        <v/>
      </c>
      <c r="H8" s="845">
        <f>IF($C8="",0,IF($E8="power_cabinet",N($N8)*N($O8),IFERROR(INDEX(SPEC_OUTS,MATCH($C8,SPEC_SKU,0)),IFERROR(INDEX(SKU_CONN,MATCH($C8,SKU_ALL,0)),0))))</f>
        <v/>
      </c>
      <c r="I8" s="831" t="n"/>
      <c r="J8" s="847" t="n"/>
      <c r="K8" s="848">
        <f>IFERROR(INDEX(PriceBook!$D$2:$D$203,MATCH($C8,PriceBook!$B$2:$B$203,0)),0)</f>
        <v/>
      </c>
      <c r="L8" s="807" t="n"/>
      <c r="M8" s="845">
        <f>IF($E8&lt;&gt;"power_cabinet",0,IFERROR(INDEX(SPEC_MAXDISP,MATCH($C8,SPEC_SKU,0)),0))</f>
        <v/>
      </c>
      <c r="N8" s="831" t="n"/>
      <c r="O8" s="831" t="n"/>
      <c r="P8" s="848">
        <f>IF($L8="",0,IFERROR(INDEX(PriceBook!$D$2:$D$203,MATCH($L8,PriceBook!$B$2:$B$203,0)),0))</f>
        <v/>
      </c>
      <c r="Q8" s="849">
        <f>IF(OR($E8="all_in_one",$E8="power_cabinet",$E8="level_2"),N($I8),0)</f>
        <v/>
      </c>
      <c r="R8" s="849">
        <f>IF(N($Q8)=0,"",SUM($Q$7:$Q8)-N($Q8)+1)</f>
        <v/>
      </c>
      <c r="S8" s="849">
        <f>SUM($Q$7:$Q8)</f>
        <v/>
      </c>
      <c r="T8" s="849">
        <f>IF($E8="power_cabinet",N($I8)*N($N8),0)</f>
        <v/>
      </c>
      <c r="U8" s="849">
        <f>IF(N($T8)=0,"",SUM($T$7:$T8)-N($T8)+1)</f>
        <v/>
      </c>
      <c r="V8" s="849">
        <f>SUM($T$7:$T8)</f>
        <v/>
      </c>
    </row>
    <row r="9" ht="16" customHeight="1" s="254">
      <c r="A9" s="825" t="n">
        <v>3</v>
      </c>
      <c r="B9" s="807" t="n"/>
      <c r="C9" s="807" t="n"/>
      <c r="D9" s="844">
        <f>IFERROR(INDEX(PriceBook!$C$2:$C$203,MATCH($C9,PriceBook!$B$2:$B$203,0)),"")</f>
        <v/>
      </c>
      <c r="E9" s="844">
        <f>IF($C9="","",IFERROR(INDEX(ROLE_VAL,MATCH($C9,ROLE_SKU,0)),"all_in_one"))</f>
        <v/>
      </c>
      <c r="F9" s="845">
        <f>IF($C9="",0,IFERROR(INDEX(SPEC_DCKW,MATCH($C9,SPEC_SKU,0)),IF($E9="dispenser",0,IF($E9="accessory",0,IFERROR(IF(N(INDEX(PriceBook!$E$2:$E$203,MATCH($C9,PriceBook!$B$2:$B$203,0)))&gt;0,INDEX(PriceBook!$E$2:$E$203,MATCH($C9,PriceBook!$B$2:$B$203,0)),INDEX(RATED_KW,MATCH($B9,CAPACITY_LIST,0))*IF(INDEX(PER_PORT,MATCH($B9,CAPACITY_LIST,0))=1,MAX(1,N($H9)),1)),0)))))</f>
        <v/>
      </c>
      <c r="G9" s="846">
        <f>IF($C9="",0,IFERROR(INDEX(SPEC_ACKW,MATCH($C9,SPEC_SKU,0)),$F9)*IF(AND($E9="level_2",N($B$30)&gt;0,$B$30&lt;240),$B$30/240,1))</f>
        <v/>
      </c>
      <c r="H9" s="845">
        <f>IF($C9="",0,IF($E9="power_cabinet",N($N9)*N($O9),IFERROR(INDEX(SPEC_OUTS,MATCH($C9,SPEC_SKU,0)),IFERROR(INDEX(SKU_CONN,MATCH($C9,SKU_ALL,0)),0))))</f>
        <v/>
      </c>
      <c r="I9" s="831" t="n"/>
      <c r="J9" s="847" t="n"/>
      <c r="K9" s="848">
        <f>IFERROR(INDEX(PriceBook!$D$2:$D$203,MATCH($C9,PriceBook!$B$2:$B$203,0)),0)</f>
        <v/>
      </c>
      <c r="L9" s="807" t="n"/>
      <c r="M9" s="845">
        <f>IF($E9&lt;&gt;"power_cabinet",0,IFERROR(INDEX(SPEC_MAXDISP,MATCH($C9,SPEC_SKU,0)),0))</f>
        <v/>
      </c>
      <c r="N9" s="831" t="n"/>
      <c r="O9" s="831" t="n"/>
      <c r="P9" s="848">
        <f>IF($L9="",0,IFERROR(INDEX(PriceBook!$D$2:$D$203,MATCH($L9,PriceBook!$B$2:$B$203,0)),0))</f>
        <v/>
      </c>
      <c r="Q9" s="849">
        <f>IF(OR($E9="all_in_one",$E9="power_cabinet",$E9="level_2"),N($I9),0)</f>
        <v/>
      </c>
      <c r="R9" s="849">
        <f>IF(N($Q9)=0,"",SUM($Q$7:$Q9)-N($Q9)+1)</f>
        <v/>
      </c>
      <c r="S9" s="849">
        <f>SUM($Q$7:$Q9)</f>
        <v/>
      </c>
      <c r="T9" s="849">
        <f>IF($E9="power_cabinet",N($I9)*N($N9),0)</f>
        <v/>
      </c>
      <c r="U9" s="849">
        <f>IF(N($T9)=0,"",SUM($T$7:$T9)-N($T9)+1)</f>
        <v/>
      </c>
      <c r="V9" s="849">
        <f>SUM($T$7:$T9)</f>
        <v/>
      </c>
    </row>
    <row r="10" ht="16" customHeight="1" s="254">
      <c r="A10" s="825" t="n">
        <v>4</v>
      </c>
      <c r="B10" s="807" t="n"/>
      <c r="C10" s="807" t="n"/>
      <c r="D10" s="844">
        <f>IFERROR(INDEX(PriceBook!$C$2:$C$203,MATCH($C10,PriceBook!$B$2:$B$203,0)),"")</f>
        <v/>
      </c>
      <c r="E10" s="844">
        <f>IF($C10="","",IFERROR(INDEX(ROLE_VAL,MATCH($C10,ROLE_SKU,0)),"all_in_one"))</f>
        <v/>
      </c>
      <c r="F10" s="845">
        <f>IF($C10="",0,IFERROR(INDEX(SPEC_DCKW,MATCH($C10,SPEC_SKU,0)),IF($E10="dispenser",0,IF($E10="accessory",0,IFERROR(IF(N(INDEX(PriceBook!$E$2:$E$203,MATCH($C10,PriceBook!$B$2:$B$203,0)))&gt;0,INDEX(PriceBook!$E$2:$E$203,MATCH($C10,PriceBook!$B$2:$B$203,0)),INDEX(RATED_KW,MATCH($B10,CAPACITY_LIST,0))*IF(INDEX(PER_PORT,MATCH($B10,CAPACITY_LIST,0))=1,MAX(1,N($H10)),1)),0)))))</f>
        <v/>
      </c>
      <c r="G10" s="846">
        <f>IF($C10="",0,IFERROR(INDEX(SPEC_ACKW,MATCH($C10,SPEC_SKU,0)),$F10)*IF(AND($E10="level_2",N($B$30)&gt;0,$B$30&lt;240),$B$30/240,1))</f>
        <v/>
      </c>
      <c r="H10" s="845">
        <f>IF($C10="",0,IF($E10="power_cabinet",N($N10)*N($O10),IFERROR(INDEX(SPEC_OUTS,MATCH($C10,SPEC_SKU,0)),IFERROR(INDEX(SKU_CONN,MATCH($C10,SKU_ALL,0)),0))))</f>
        <v/>
      </c>
      <c r="I10" s="831" t="n"/>
      <c r="J10" s="847" t="n"/>
      <c r="K10" s="848">
        <f>IFERROR(INDEX(PriceBook!$D$2:$D$203,MATCH($C10,PriceBook!$B$2:$B$203,0)),0)</f>
        <v/>
      </c>
      <c r="L10" s="807" t="n"/>
      <c r="M10" s="845">
        <f>IF($E10&lt;&gt;"power_cabinet",0,IFERROR(INDEX(SPEC_MAXDISP,MATCH($C10,SPEC_SKU,0)),0))</f>
        <v/>
      </c>
      <c r="N10" s="831" t="n"/>
      <c r="O10" s="831" t="n"/>
      <c r="P10" s="848">
        <f>IF($L10="",0,IFERROR(INDEX(PriceBook!$D$2:$D$203,MATCH($L10,PriceBook!$B$2:$B$203,0)),0))</f>
        <v/>
      </c>
      <c r="Q10" s="849">
        <f>IF(OR($E10="all_in_one",$E10="power_cabinet",$E10="level_2"),N($I10),0)</f>
        <v/>
      </c>
      <c r="R10" s="849">
        <f>IF(N($Q10)=0,"",SUM($Q$7:$Q10)-N($Q10)+1)</f>
        <v/>
      </c>
      <c r="S10" s="849">
        <f>SUM($Q$7:$Q10)</f>
        <v/>
      </c>
      <c r="T10" s="849">
        <f>IF($E10="power_cabinet",N($I10)*N($N10),0)</f>
        <v/>
      </c>
      <c r="U10" s="849">
        <f>IF(N($T10)=0,"",SUM($T$7:$T10)-N($T10)+1)</f>
        <v/>
      </c>
      <c r="V10" s="849">
        <f>SUM($T$7:$T10)</f>
        <v/>
      </c>
    </row>
    <row r="11" ht="16" customHeight="1" s="254">
      <c r="A11" s="825" t="n">
        <v>5</v>
      </c>
      <c r="B11" s="807" t="n"/>
      <c r="C11" s="807" t="n"/>
      <c r="D11" s="844">
        <f>IFERROR(INDEX(PriceBook!$C$2:$C$203,MATCH($C11,PriceBook!$B$2:$B$203,0)),"")</f>
        <v/>
      </c>
      <c r="E11" s="844">
        <f>IF($C11="","",IFERROR(INDEX(ROLE_VAL,MATCH($C11,ROLE_SKU,0)),"all_in_one"))</f>
        <v/>
      </c>
      <c r="F11" s="845">
        <f>IF($C11="",0,IFERROR(INDEX(SPEC_DCKW,MATCH($C11,SPEC_SKU,0)),IF($E11="dispenser",0,IF($E11="accessory",0,IFERROR(IF(N(INDEX(PriceBook!$E$2:$E$203,MATCH($C11,PriceBook!$B$2:$B$203,0)))&gt;0,INDEX(PriceBook!$E$2:$E$203,MATCH($C11,PriceBook!$B$2:$B$203,0)),INDEX(RATED_KW,MATCH($B11,CAPACITY_LIST,0))*IF(INDEX(PER_PORT,MATCH($B11,CAPACITY_LIST,0))=1,MAX(1,N($H11)),1)),0)))))</f>
        <v/>
      </c>
      <c r="G11" s="846">
        <f>IF($C11="",0,IFERROR(INDEX(SPEC_ACKW,MATCH($C11,SPEC_SKU,0)),$F11)*IF(AND($E11="level_2",N($B$30)&gt;0,$B$30&lt;240),$B$30/240,1))</f>
        <v/>
      </c>
      <c r="H11" s="845">
        <f>IF($C11="",0,IF($E11="power_cabinet",N($N11)*N($O11),IFERROR(INDEX(SPEC_OUTS,MATCH($C11,SPEC_SKU,0)),IFERROR(INDEX(SKU_CONN,MATCH($C11,SKU_ALL,0)),0))))</f>
        <v/>
      </c>
      <c r="I11" s="831" t="n"/>
      <c r="J11" s="847" t="n"/>
      <c r="K11" s="848">
        <f>IFERROR(INDEX(PriceBook!$D$2:$D$203,MATCH($C11,PriceBook!$B$2:$B$203,0)),0)</f>
        <v/>
      </c>
      <c r="L11" s="807" t="n"/>
      <c r="M11" s="845">
        <f>IF($E11&lt;&gt;"power_cabinet",0,IFERROR(INDEX(SPEC_MAXDISP,MATCH($C11,SPEC_SKU,0)),0))</f>
        <v/>
      </c>
      <c r="N11" s="831" t="n"/>
      <c r="O11" s="831" t="n"/>
      <c r="P11" s="848">
        <f>IF($L11="",0,IFERROR(INDEX(PriceBook!$D$2:$D$203,MATCH($L11,PriceBook!$B$2:$B$203,0)),0))</f>
        <v/>
      </c>
      <c r="Q11" s="849">
        <f>IF(OR($E11="all_in_one",$E11="power_cabinet",$E11="level_2"),N($I11),0)</f>
        <v/>
      </c>
      <c r="R11" s="849">
        <f>IF(N($Q11)=0,"",SUM($Q$7:$Q11)-N($Q11)+1)</f>
        <v/>
      </c>
      <c r="S11" s="849">
        <f>SUM($Q$7:$Q11)</f>
        <v/>
      </c>
      <c r="T11" s="849">
        <f>IF($E11="power_cabinet",N($I11)*N($N11),0)</f>
        <v/>
      </c>
      <c r="U11" s="849">
        <f>IF(N($T11)=0,"",SUM($T$7:$T11)-N($T11)+1)</f>
        <v/>
      </c>
      <c r="V11" s="849">
        <f>SUM($T$7:$T11)</f>
        <v/>
      </c>
    </row>
    <row r="12" ht="16" customHeight="1" s="254">
      <c r="A12" s="825" t="n">
        <v>6</v>
      </c>
      <c r="B12" s="807" t="n"/>
      <c r="C12" s="807" t="n"/>
      <c r="D12" s="844">
        <f>IFERROR(INDEX(PriceBook!$C$2:$C$203,MATCH($C12,PriceBook!$B$2:$B$203,0)),"")</f>
        <v/>
      </c>
      <c r="E12" s="844">
        <f>IF($C12="","",IFERROR(INDEX(ROLE_VAL,MATCH($C12,ROLE_SKU,0)),"all_in_one"))</f>
        <v/>
      </c>
      <c r="F12" s="845">
        <f>IF($C12="",0,IFERROR(INDEX(SPEC_DCKW,MATCH($C12,SPEC_SKU,0)),IF($E12="dispenser",0,IF($E12="accessory",0,IFERROR(IF(N(INDEX(PriceBook!$E$2:$E$203,MATCH($C12,PriceBook!$B$2:$B$203,0)))&gt;0,INDEX(PriceBook!$E$2:$E$203,MATCH($C12,PriceBook!$B$2:$B$203,0)),INDEX(RATED_KW,MATCH($B12,CAPACITY_LIST,0))*IF(INDEX(PER_PORT,MATCH($B12,CAPACITY_LIST,0))=1,MAX(1,N($H12)),1)),0)))))</f>
        <v/>
      </c>
      <c r="G12" s="846">
        <f>IF($C12="",0,IFERROR(INDEX(SPEC_ACKW,MATCH($C12,SPEC_SKU,0)),$F12)*IF(AND($E12="level_2",N($B$30)&gt;0,$B$30&lt;240),$B$30/240,1))</f>
        <v/>
      </c>
      <c r="H12" s="845">
        <f>IF($C12="",0,IF($E12="power_cabinet",N($N12)*N($O12),IFERROR(INDEX(SPEC_OUTS,MATCH($C12,SPEC_SKU,0)),IFERROR(INDEX(SKU_CONN,MATCH($C12,SKU_ALL,0)),0))))</f>
        <v/>
      </c>
      <c r="I12" s="831" t="n"/>
      <c r="J12" s="847" t="n"/>
      <c r="K12" s="848">
        <f>IFERROR(INDEX(PriceBook!$D$2:$D$203,MATCH($C12,PriceBook!$B$2:$B$203,0)),0)</f>
        <v/>
      </c>
      <c r="L12" s="807" t="n"/>
      <c r="M12" s="845">
        <f>IF($E12&lt;&gt;"power_cabinet",0,IFERROR(INDEX(SPEC_MAXDISP,MATCH($C12,SPEC_SKU,0)),0))</f>
        <v/>
      </c>
      <c r="N12" s="831" t="n"/>
      <c r="O12" s="831" t="n"/>
      <c r="P12" s="848">
        <f>IF($L12="",0,IFERROR(INDEX(PriceBook!$D$2:$D$203,MATCH($L12,PriceBook!$B$2:$B$203,0)),0))</f>
        <v/>
      </c>
      <c r="Q12" s="849">
        <f>IF(OR($E12="all_in_one",$E12="power_cabinet",$E12="level_2"),N($I12),0)</f>
        <v/>
      </c>
      <c r="R12" s="849">
        <f>IF(N($Q12)=0,"",SUM($Q$7:$Q12)-N($Q12)+1)</f>
        <v/>
      </c>
      <c r="S12" s="849">
        <f>SUM($Q$7:$Q12)</f>
        <v/>
      </c>
      <c r="T12" s="849">
        <f>IF($E12="power_cabinet",N($I12)*N($N12),0)</f>
        <v/>
      </c>
      <c r="U12" s="849">
        <f>IF(N($T12)=0,"",SUM($T$7:$T12)-N($T12)+1)</f>
        <v/>
      </c>
      <c r="V12" s="849">
        <f>SUM($T$7:$T12)</f>
        <v/>
      </c>
    </row>
    <row r="13" ht="16" customHeight="1" s="254">
      <c r="A13" s="825" t="n">
        <v>7</v>
      </c>
      <c r="B13" s="807" t="n"/>
      <c r="C13" s="807" t="n"/>
      <c r="D13" s="844">
        <f>IFERROR(INDEX(PriceBook!$C$2:$C$203,MATCH($C13,PriceBook!$B$2:$B$203,0)),"")</f>
        <v/>
      </c>
      <c r="E13" s="844">
        <f>IF($C13="","",IFERROR(INDEX(ROLE_VAL,MATCH($C13,ROLE_SKU,0)),"all_in_one"))</f>
        <v/>
      </c>
      <c r="F13" s="845">
        <f>IF($C13="",0,IFERROR(INDEX(SPEC_DCKW,MATCH($C13,SPEC_SKU,0)),IF($E13="dispenser",0,IF($E13="accessory",0,IFERROR(IF(N(INDEX(PriceBook!$E$2:$E$203,MATCH($C13,PriceBook!$B$2:$B$203,0)))&gt;0,INDEX(PriceBook!$E$2:$E$203,MATCH($C13,PriceBook!$B$2:$B$203,0)),INDEX(RATED_KW,MATCH($B13,CAPACITY_LIST,0))*IF(INDEX(PER_PORT,MATCH($B13,CAPACITY_LIST,0))=1,MAX(1,N($H13)),1)),0)))))</f>
        <v/>
      </c>
      <c r="G13" s="846">
        <f>IF($C13="",0,IFERROR(INDEX(SPEC_ACKW,MATCH($C13,SPEC_SKU,0)),$F13)*IF(AND($E13="level_2",N($B$30)&gt;0,$B$30&lt;240),$B$30/240,1))</f>
        <v/>
      </c>
      <c r="H13" s="845">
        <f>IF($C13="",0,IF($E13="power_cabinet",N($N13)*N($O13),IFERROR(INDEX(SPEC_OUTS,MATCH($C13,SPEC_SKU,0)),IFERROR(INDEX(SKU_CONN,MATCH($C13,SKU_ALL,0)),0))))</f>
        <v/>
      </c>
      <c r="I13" s="831" t="n"/>
      <c r="J13" s="847" t="n"/>
      <c r="K13" s="848">
        <f>IFERROR(INDEX(PriceBook!$D$2:$D$203,MATCH($C13,PriceBook!$B$2:$B$203,0)),0)</f>
        <v/>
      </c>
      <c r="L13" s="807" t="n"/>
      <c r="M13" s="845">
        <f>IF($E13&lt;&gt;"power_cabinet",0,IFERROR(INDEX(SPEC_MAXDISP,MATCH($C13,SPEC_SKU,0)),0))</f>
        <v/>
      </c>
      <c r="N13" s="831" t="n"/>
      <c r="O13" s="831" t="n"/>
      <c r="P13" s="848">
        <f>IF($L13="",0,IFERROR(INDEX(PriceBook!$D$2:$D$203,MATCH($L13,PriceBook!$B$2:$B$203,0)),0))</f>
        <v/>
      </c>
      <c r="Q13" s="849">
        <f>IF(OR($E13="all_in_one",$E13="power_cabinet",$E13="level_2"),N($I13),0)</f>
        <v/>
      </c>
      <c r="R13" s="849">
        <f>IF(N($Q13)=0,"",SUM($Q$7:$Q13)-N($Q13)+1)</f>
        <v/>
      </c>
      <c r="S13" s="849">
        <f>SUM($Q$7:$Q13)</f>
        <v/>
      </c>
      <c r="T13" s="849">
        <f>IF($E13="power_cabinet",N($I13)*N($N13),0)</f>
        <v/>
      </c>
      <c r="U13" s="849">
        <f>IF(N($T13)=0,"",SUM($T$7:$T13)-N($T13)+1)</f>
        <v/>
      </c>
      <c r="V13" s="849">
        <f>SUM($T$7:$T13)</f>
        <v/>
      </c>
    </row>
    <row r="14" ht="16" customHeight="1" s="254">
      <c r="A14" s="825" t="n">
        <v>8</v>
      </c>
      <c r="B14" s="807" t="n"/>
      <c r="C14" s="807" t="n"/>
      <c r="D14" s="844">
        <f>IFERROR(INDEX(PriceBook!$C$2:$C$203,MATCH($C14,PriceBook!$B$2:$B$203,0)),"")</f>
        <v/>
      </c>
      <c r="E14" s="844">
        <f>IF($C14="","",IFERROR(INDEX(ROLE_VAL,MATCH($C14,ROLE_SKU,0)),"all_in_one"))</f>
        <v/>
      </c>
      <c r="F14" s="845">
        <f>IF($C14="",0,IFERROR(INDEX(SPEC_DCKW,MATCH($C14,SPEC_SKU,0)),IF($E14="dispenser",0,IF($E14="accessory",0,IFERROR(IF(N(INDEX(PriceBook!$E$2:$E$203,MATCH($C14,PriceBook!$B$2:$B$203,0)))&gt;0,INDEX(PriceBook!$E$2:$E$203,MATCH($C14,PriceBook!$B$2:$B$203,0)),INDEX(RATED_KW,MATCH($B14,CAPACITY_LIST,0))*IF(INDEX(PER_PORT,MATCH($B14,CAPACITY_LIST,0))=1,MAX(1,N($H14)),1)),0)))))</f>
        <v/>
      </c>
      <c r="G14" s="846">
        <f>IF($C14="",0,IFERROR(INDEX(SPEC_ACKW,MATCH($C14,SPEC_SKU,0)),$F14)*IF(AND($E14="level_2",N($B$30)&gt;0,$B$30&lt;240),$B$30/240,1))</f>
        <v/>
      </c>
      <c r="H14" s="845">
        <f>IF($C14="",0,IF($E14="power_cabinet",N($N14)*N($O14),IFERROR(INDEX(SPEC_OUTS,MATCH($C14,SPEC_SKU,0)),IFERROR(INDEX(SKU_CONN,MATCH($C14,SKU_ALL,0)),0))))</f>
        <v/>
      </c>
      <c r="I14" s="831" t="n"/>
      <c r="J14" s="847" t="n"/>
      <c r="K14" s="848">
        <f>IFERROR(INDEX(PriceBook!$D$2:$D$203,MATCH($C14,PriceBook!$B$2:$B$203,0)),0)</f>
        <v/>
      </c>
      <c r="L14" s="807" t="n"/>
      <c r="M14" s="845">
        <f>IF($E14&lt;&gt;"power_cabinet",0,IFERROR(INDEX(SPEC_MAXDISP,MATCH($C14,SPEC_SKU,0)),0))</f>
        <v/>
      </c>
      <c r="N14" s="831" t="n"/>
      <c r="O14" s="831" t="n"/>
      <c r="P14" s="848">
        <f>IF($L14="",0,IFERROR(INDEX(PriceBook!$D$2:$D$203,MATCH($L14,PriceBook!$B$2:$B$203,0)),0))</f>
        <v/>
      </c>
      <c r="Q14" s="849">
        <f>IF(OR($E14="all_in_one",$E14="power_cabinet",$E14="level_2"),N($I14),0)</f>
        <v/>
      </c>
      <c r="R14" s="849">
        <f>IF(N($Q14)=0,"",SUM($Q$7:$Q14)-N($Q14)+1)</f>
        <v/>
      </c>
      <c r="S14" s="849">
        <f>SUM($Q$7:$Q14)</f>
        <v/>
      </c>
      <c r="T14" s="849">
        <f>IF($E14="power_cabinet",N($I14)*N($N14),0)</f>
        <v/>
      </c>
      <c r="U14" s="849">
        <f>IF(N($T14)=0,"",SUM($T$7:$T14)-N($T14)+1)</f>
        <v/>
      </c>
      <c r="V14" s="849">
        <f>SUM($T$7:$T14)</f>
        <v/>
      </c>
    </row>
    <row r="15" ht="16" customHeight="1" s="254">
      <c r="A15" s="825" t="n">
        <v>9</v>
      </c>
      <c r="B15" s="807" t="n"/>
      <c r="C15" s="807" t="n"/>
      <c r="D15" s="844">
        <f>IFERROR(INDEX(PriceBook!$C$2:$C$203,MATCH($C15,PriceBook!$B$2:$B$203,0)),"")</f>
        <v/>
      </c>
      <c r="E15" s="844">
        <f>IF($C15="","",IFERROR(INDEX(ROLE_VAL,MATCH($C15,ROLE_SKU,0)),"all_in_one"))</f>
        <v/>
      </c>
      <c r="F15" s="845">
        <f>IF($C15="",0,IFERROR(INDEX(SPEC_DCKW,MATCH($C15,SPEC_SKU,0)),IF($E15="dispenser",0,IF($E15="accessory",0,IFERROR(IF(N(INDEX(PriceBook!$E$2:$E$203,MATCH($C15,PriceBook!$B$2:$B$203,0)))&gt;0,INDEX(PriceBook!$E$2:$E$203,MATCH($C15,PriceBook!$B$2:$B$203,0)),INDEX(RATED_KW,MATCH($B15,CAPACITY_LIST,0))*IF(INDEX(PER_PORT,MATCH($B15,CAPACITY_LIST,0))=1,MAX(1,N($H15)),1)),0)))))</f>
        <v/>
      </c>
      <c r="G15" s="846">
        <f>IF($C15="",0,IFERROR(INDEX(SPEC_ACKW,MATCH($C15,SPEC_SKU,0)),$F15)*IF(AND($E15="level_2",N($B$30)&gt;0,$B$30&lt;240),$B$30/240,1))</f>
        <v/>
      </c>
      <c r="H15" s="845">
        <f>IF($C15="",0,IF($E15="power_cabinet",N($N15)*N($O15),IFERROR(INDEX(SPEC_OUTS,MATCH($C15,SPEC_SKU,0)),IFERROR(INDEX(SKU_CONN,MATCH($C15,SKU_ALL,0)),0))))</f>
        <v/>
      </c>
      <c r="I15" s="831" t="n"/>
      <c r="J15" s="847" t="n"/>
      <c r="K15" s="848">
        <f>IFERROR(INDEX(PriceBook!$D$2:$D$203,MATCH($C15,PriceBook!$B$2:$B$203,0)),0)</f>
        <v/>
      </c>
      <c r="L15" s="807" t="n"/>
      <c r="M15" s="845">
        <f>IF($E15&lt;&gt;"power_cabinet",0,IFERROR(INDEX(SPEC_MAXDISP,MATCH($C15,SPEC_SKU,0)),0))</f>
        <v/>
      </c>
      <c r="N15" s="831" t="n"/>
      <c r="O15" s="831" t="n"/>
      <c r="P15" s="848">
        <f>IF($L15="",0,IFERROR(INDEX(PriceBook!$D$2:$D$203,MATCH($L15,PriceBook!$B$2:$B$203,0)),0))</f>
        <v/>
      </c>
      <c r="Q15" s="849">
        <f>IF(OR($E15="all_in_one",$E15="power_cabinet",$E15="level_2"),N($I15),0)</f>
        <v/>
      </c>
      <c r="R15" s="849">
        <f>IF(N($Q15)=0,"",SUM($Q$7:$Q15)-N($Q15)+1)</f>
        <v/>
      </c>
      <c r="S15" s="849">
        <f>SUM($Q$7:$Q15)</f>
        <v/>
      </c>
      <c r="T15" s="849">
        <f>IF($E15="power_cabinet",N($I15)*N($N15),0)</f>
        <v/>
      </c>
      <c r="U15" s="849">
        <f>IF(N($T15)=0,"",SUM($T$7:$T15)-N($T15)+1)</f>
        <v/>
      </c>
      <c r="V15" s="849">
        <f>SUM($T$7:$T15)</f>
        <v/>
      </c>
    </row>
    <row r="16" ht="16" customHeight="1" s="254">
      <c r="A16" s="825" t="n">
        <v>10</v>
      </c>
      <c r="B16" s="807" t="n"/>
      <c r="C16" s="807" t="n"/>
      <c r="D16" s="844">
        <f>IFERROR(INDEX(PriceBook!$C$2:$C$203,MATCH($C16,PriceBook!$B$2:$B$203,0)),"")</f>
        <v/>
      </c>
      <c r="E16" s="844">
        <f>IF($C16="","",IFERROR(INDEX(ROLE_VAL,MATCH($C16,ROLE_SKU,0)),"all_in_one"))</f>
        <v/>
      </c>
      <c r="F16" s="845">
        <f>IF($C16="",0,IFERROR(INDEX(SPEC_DCKW,MATCH($C16,SPEC_SKU,0)),IF($E16="dispenser",0,IF($E16="accessory",0,IFERROR(IF(N(INDEX(PriceBook!$E$2:$E$203,MATCH($C16,PriceBook!$B$2:$B$203,0)))&gt;0,INDEX(PriceBook!$E$2:$E$203,MATCH($C16,PriceBook!$B$2:$B$203,0)),INDEX(RATED_KW,MATCH($B16,CAPACITY_LIST,0))*IF(INDEX(PER_PORT,MATCH($B16,CAPACITY_LIST,0))=1,MAX(1,N($H16)),1)),0)))))</f>
        <v/>
      </c>
      <c r="G16" s="846">
        <f>IF($C16="",0,IFERROR(INDEX(SPEC_ACKW,MATCH($C16,SPEC_SKU,0)),$F16)*IF(AND($E16="level_2",N($B$30)&gt;0,$B$30&lt;240),$B$30/240,1))</f>
        <v/>
      </c>
      <c r="H16" s="845">
        <f>IF($C16="",0,IF($E16="power_cabinet",N($N16)*N($O16),IFERROR(INDEX(SPEC_OUTS,MATCH($C16,SPEC_SKU,0)),IFERROR(INDEX(SKU_CONN,MATCH($C16,SKU_ALL,0)),0))))</f>
        <v/>
      </c>
      <c r="I16" s="831" t="n"/>
      <c r="J16" s="847" t="n"/>
      <c r="K16" s="848">
        <f>IFERROR(INDEX(PriceBook!$D$2:$D$203,MATCH($C16,PriceBook!$B$2:$B$203,0)),0)</f>
        <v/>
      </c>
      <c r="L16" s="807" t="n"/>
      <c r="M16" s="845">
        <f>IF($E16&lt;&gt;"power_cabinet",0,IFERROR(INDEX(SPEC_MAXDISP,MATCH($C16,SPEC_SKU,0)),0))</f>
        <v/>
      </c>
      <c r="N16" s="831" t="n"/>
      <c r="O16" s="831" t="n"/>
      <c r="P16" s="848">
        <f>IF($L16="",0,IFERROR(INDEX(PriceBook!$D$2:$D$203,MATCH($L16,PriceBook!$B$2:$B$203,0)),0))</f>
        <v/>
      </c>
      <c r="Q16" s="849">
        <f>IF(OR($E16="all_in_one",$E16="power_cabinet",$E16="level_2"),N($I16),0)</f>
        <v/>
      </c>
      <c r="R16" s="849">
        <f>IF(N($Q16)=0,"",SUM($Q$7:$Q16)-N($Q16)+1)</f>
        <v/>
      </c>
      <c r="S16" s="849">
        <f>SUM($Q$7:$Q16)</f>
        <v/>
      </c>
      <c r="T16" s="849">
        <f>IF($E16="power_cabinet",N($I16)*N($N16),0)</f>
        <v/>
      </c>
      <c r="U16" s="849">
        <f>IF(N($T16)=0,"",SUM($T$7:$T16)-N($T16)+1)</f>
        <v/>
      </c>
      <c r="V16" s="849">
        <f>SUM($T$7:$T16)</f>
        <v/>
      </c>
    </row>
    <row r="17" ht="16" customHeight="1" s="254">
      <c r="A17" s="825" t="n">
        <v>11</v>
      </c>
      <c r="B17" s="807" t="n"/>
      <c r="C17" s="807" t="n"/>
      <c r="D17" s="844">
        <f>IFERROR(INDEX(PriceBook!$C$2:$C$203,MATCH($C17,PriceBook!$B$2:$B$203,0)),"")</f>
        <v/>
      </c>
      <c r="E17" s="844">
        <f>IF($C17="","",IFERROR(INDEX(ROLE_VAL,MATCH($C17,ROLE_SKU,0)),"all_in_one"))</f>
        <v/>
      </c>
      <c r="F17" s="845">
        <f>IF($C17="",0,IFERROR(INDEX(SPEC_DCKW,MATCH($C17,SPEC_SKU,0)),IF($E17="dispenser",0,IF($E17="accessory",0,IFERROR(IF(N(INDEX(PriceBook!$E$2:$E$203,MATCH($C17,PriceBook!$B$2:$B$203,0)))&gt;0,INDEX(PriceBook!$E$2:$E$203,MATCH($C17,PriceBook!$B$2:$B$203,0)),INDEX(RATED_KW,MATCH($B17,CAPACITY_LIST,0))*IF(INDEX(PER_PORT,MATCH($B17,CAPACITY_LIST,0))=1,MAX(1,N($H17)),1)),0)))))</f>
        <v/>
      </c>
      <c r="G17" s="846">
        <f>IF($C17="",0,IFERROR(INDEX(SPEC_ACKW,MATCH($C17,SPEC_SKU,0)),$F17)*IF(AND($E17="level_2",N($B$30)&gt;0,$B$30&lt;240),$B$30/240,1))</f>
        <v/>
      </c>
      <c r="H17" s="845">
        <f>IF($C17="",0,IF($E17="power_cabinet",N($N17)*N($O17),IFERROR(INDEX(SPEC_OUTS,MATCH($C17,SPEC_SKU,0)),IFERROR(INDEX(SKU_CONN,MATCH($C17,SKU_ALL,0)),0))))</f>
        <v/>
      </c>
      <c r="I17" s="831" t="n"/>
      <c r="J17" s="847" t="n"/>
      <c r="K17" s="848">
        <f>IFERROR(INDEX(PriceBook!$D$2:$D$203,MATCH($C17,PriceBook!$B$2:$B$203,0)),0)</f>
        <v/>
      </c>
      <c r="L17" s="807" t="n"/>
      <c r="M17" s="845">
        <f>IF($E17&lt;&gt;"power_cabinet",0,IFERROR(INDEX(SPEC_MAXDISP,MATCH($C17,SPEC_SKU,0)),0))</f>
        <v/>
      </c>
      <c r="N17" s="831" t="n"/>
      <c r="O17" s="831" t="n"/>
      <c r="P17" s="848">
        <f>IF($L17="",0,IFERROR(INDEX(PriceBook!$D$2:$D$203,MATCH($L17,PriceBook!$B$2:$B$203,0)),0))</f>
        <v/>
      </c>
      <c r="Q17" s="849">
        <f>IF(OR($E17="all_in_one",$E17="power_cabinet",$E17="level_2"),N($I17),0)</f>
        <v/>
      </c>
      <c r="R17" s="849">
        <f>IF(N($Q17)=0,"",SUM($Q$7:$Q17)-N($Q17)+1)</f>
        <v/>
      </c>
      <c r="S17" s="849">
        <f>SUM($Q$7:$Q17)</f>
        <v/>
      </c>
      <c r="T17" s="849">
        <f>IF($E17="power_cabinet",N($I17)*N($N17),0)</f>
        <v/>
      </c>
      <c r="U17" s="849">
        <f>IF(N($T17)=0,"",SUM($T$7:$T17)-N($T17)+1)</f>
        <v/>
      </c>
      <c r="V17" s="849">
        <f>SUM($T$7:$T17)</f>
        <v/>
      </c>
    </row>
    <row r="18" ht="16" customHeight="1" s="254">
      <c r="A18" s="825" t="n">
        <v>12</v>
      </c>
      <c r="B18" s="807" t="n"/>
      <c r="C18" s="807" t="n"/>
      <c r="D18" s="844">
        <f>IFERROR(INDEX(PriceBook!$C$2:$C$203,MATCH($C18,PriceBook!$B$2:$B$203,0)),"")</f>
        <v/>
      </c>
      <c r="E18" s="844">
        <f>IF($C18="","",IFERROR(INDEX(ROLE_VAL,MATCH($C18,ROLE_SKU,0)),"all_in_one"))</f>
        <v/>
      </c>
      <c r="F18" s="845">
        <f>IF($C18="",0,IFERROR(INDEX(SPEC_DCKW,MATCH($C18,SPEC_SKU,0)),IF($E18="dispenser",0,IF($E18="accessory",0,IFERROR(IF(N(INDEX(PriceBook!$E$2:$E$203,MATCH($C18,PriceBook!$B$2:$B$203,0)))&gt;0,INDEX(PriceBook!$E$2:$E$203,MATCH($C18,PriceBook!$B$2:$B$203,0)),INDEX(RATED_KW,MATCH($B18,CAPACITY_LIST,0))*IF(INDEX(PER_PORT,MATCH($B18,CAPACITY_LIST,0))=1,MAX(1,N($H18)),1)),0)))))</f>
        <v/>
      </c>
      <c r="G18" s="846">
        <f>IF($C18="",0,IFERROR(INDEX(SPEC_ACKW,MATCH($C18,SPEC_SKU,0)),$F18)*IF(AND($E18="level_2",N($B$30)&gt;0,$B$30&lt;240),$B$30/240,1))</f>
        <v/>
      </c>
      <c r="H18" s="845">
        <f>IF($C18="",0,IF($E18="power_cabinet",N($N18)*N($O18),IFERROR(INDEX(SPEC_OUTS,MATCH($C18,SPEC_SKU,0)),IFERROR(INDEX(SKU_CONN,MATCH($C18,SKU_ALL,0)),0))))</f>
        <v/>
      </c>
      <c r="I18" s="831" t="n"/>
      <c r="J18" s="847" t="n"/>
      <c r="K18" s="848">
        <f>IFERROR(INDEX(PriceBook!$D$2:$D$203,MATCH($C18,PriceBook!$B$2:$B$203,0)),0)</f>
        <v/>
      </c>
      <c r="L18" s="807" t="n"/>
      <c r="M18" s="845">
        <f>IF($E18&lt;&gt;"power_cabinet",0,IFERROR(INDEX(SPEC_MAXDISP,MATCH($C18,SPEC_SKU,0)),0))</f>
        <v/>
      </c>
      <c r="N18" s="831" t="n"/>
      <c r="O18" s="831" t="n"/>
      <c r="P18" s="848">
        <f>IF($L18="",0,IFERROR(INDEX(PriceBook!$D$2:$D$203,MATCH($L18,PriceBook!$B$2:$B$203,0)),0))</f>
        <v/>
      </c>
      <c r="Q18" s="849">
        <f>IF(OR($E18="all_in_one",$E18="power_cabinet",$E18="level_2"),N($I18),0)</f>
        <v/>
      </c>
      <c r="R18" s="849">
        <f>IF(N($Q18)=0,"",SUM($Q$7:$Q18)-N($Q18)+1)</f>
        <v/>
      </c>
      <c r="S18" s="849">
        <f>SUM($Q$7:$Q18)</f>
        <v/>
      </c>
      <c r="T18" s="849">
        <f>IF($E18="power_cabinet",N($I18)*N($N18),0)</f>
        <v/>
      </c>
      <c r="U18" s="849">
        <f>IF(N($T18)=0,"",SUM($T$7:$T18)-N($T18)+1)</f>
        <v/>
      </c>
      <c r="V18" s="849">
        <f>SUM($T$7:$T18)</f>
        <v/>
      </c>
    </row>
    <row r="19" ht="16" customHeight="1" s="254">
      <c r="A19" s="811" t="n"/>
      <c r="B19" s="804" t="n"/>
      <c r="C19" s="804" t="n"/>
      <c r="D19" s="804" t="n"/>
      <c r="E19" s="804" t="n"/>
      <c r="F19" s="804" t="n"/>
      <c r="G19" s="804" t="n"/>
      <c r="H19" s="804" t="n"/>
      <c r="I19" s="804" t="n"/>
      <c r="J19" s="804" t="n"/>
      <c r="K19" s="804" t="n"/>
      <c r="L19" s="804" t="n"/>
      <c r="M19" s="804" t="n"/>
      <c r="N19" s="804" t="n"/>
      <c r="O19" s="804" t="n"/>
      <c r="P19" s="804" t="n"/>
      <c r="Q19" s="804" t="n"/>
      <c r="R19" s="804" t="n"/>
      <c r="S19" s="804" t="n"/>
      <c r="T19" s="804" t="n"/>
      <c r="U19" s="804" t="n"/>
      <c r="V19" s="804" t="n"/>
    </row>
    <row r="20" ht="16" customHeight="1" s="254">
      <c r="A20" s="781" t="inlineStr">
        <is>
          <t>Charging units (excludes accessories)</t>
        </is>
      </c>
      <c r="B20" s="850">
        <f>SUMPRODUCT(--($H$7:$H$18&gt;0),$I$7:$I$18)</f>
        <v/>
      </c>
      <c r="C20" s="792" t="inlineStr">
        <is>
          <t>Units a driver plugs into — dispensers, all-in-one chargers and Level 2. A power cabinet has no connectors and is not one.</t>
        </is>
      </c>
      <c r="L20" s="804" t="n"/>
      <c r="M20" s="804" t="n"/>
      <c r="N20" s="804" t="n"/>
      <c r="O20" s="804" t="n"/>
      <c r="P20" s="804" t="n"/>
      <c r="Q20" s="804" t="n"/>
      <c r="R20" s="804" t="n"/>
      <c r="S20" s="804" t="n"/>
      <c r="T20" s="804" t="n"/>
      <c r="U20" s="804" t="n"/>
      <c r="V20" s="804" t="n"/>
    </row>
    <row r="21" ht="31" customHeight="1" s="254">
      <c r="A21" s="781" t="inlineStr">
        <is>
          <t>AC-connected units — cabinets and all-in-ones</t>
        </is>
      </c>
      <c r="B21" s="850">
        <f>SUMPRODUCT(($E$7:$E$18="power_cabinet")+($E$7:$E$18="all_in_one"),$I$7:$I$18)</f>
        <v/>
      </c>
      <c r="C21" s="792" t="inlineStr">
        <is>
          <t>Each of these needs its own AC run from the switchgear, and a placement distance on the Electrical tab.</t>
        </is>
      </c>
      <c r="G21" s="804" t="n"/>
      <c r="H21" s="804" t="n"/>
      <c r="I21" s="804" t="n"/>
      <c r="J21" s="804" t="n"/>
      <c r="K21" s="804" t="n"/>
      <c r="L21" s="804" t="n"/>
      <c r="M21" s="804" t="n"/>
      <c r="N21" s="804" t="n"/>
      <c r="O21" s="804" t="n"/>
      <c r="P21" s="804" t="n"/>
      <c r="Q21" s="804" t="n"/>
      <c r="R21" s="804" t="n"/>
      <c r="S21" s="804" t="n"/>
      <c r="T21" s="804" t="n"/>
      <c r="U21" s="804" t="n"/>
      <c r="V21" s="804" t="n"/>
    </row>
    <row r="22" ht="16" customHeight="1" s="254">
      <c r="A22" s="781" t="inlineStr">
        <is>
          <t>Total ports</t>
        </is>
      </c>
      <c r="B22" s="850">
        <f>SUMPRODUCT($H$7:$H$18,$I$7:$I$18)</f>
        <v/>
      </c>
      <c r="C22" s="792" t="inlineStr">
        <is>
          <t>Connectors x units. The EVOLV billing basis. Dispensers carry the ports on a distributed system; the cabinet carries none.</t>
        </is>
      </c>
      <c r="L22" s="804" t="n"/>
      <c r="M22" s="804" t="n"/>
      <c r="N22" s="804" t="n"/>
      <c r="O22" s="804" t="n"/>
      <c r="P22" s="804" t="n"/>
      <c r="Q22" s="804" t="n"/>
      <c r="R22" s="804" t="n"/>
      <c r="S22" s="804" t="n"/>
      <c r="T22" s="804" t="n"/>
      <c r="U22" s="804" t="n"/>
      <c r="V22" s="804" t="n"/>
    </row>
    <row r="23" ht="16" customHeight="1" s="254">
      <c r="A23" s="781" t="inlineStr">
        <is>
          <t>Total connected load (kW)</t>
        </is>
      </c>
      <c r="B23" s="850">
        <f>SUMPRODUCT(($E$7:$E$18="power_cabinet")+($E$7:$E$18="all_in_one")+($E$7:$E$18="level_2"),$G$7:$G$18,$I$7:$I$18)</f>
        <v/>
      </c>
      <c r="C23" s="792" t="inlineStr">
        <is>
          <t>AC input, which is what the switchgear sees — a 480 kW cabinet draws 524 kW. Dispensers add nothing: their power comes from the cabinet, not the switchgear.</t>
        </is>
      </c>
      <c r="L23" s="804" t="n"/>
      <c r="M23" s="804" t="n"/>
      <c r="N23" s="804" t="n"/>
      <c r="O23" s="804" t="n"/>
      <c r="P23" s="804" t="n"/>
      <c r="Q23" s="804" t="n"/>
      <c r="R23" s="804" t="n"/>
      <c r="S23" s="804" t="n"/>
      <c r="T23" s="804" t="n"/>
      <c r="U23" s="804" t="n"/>
      <c r="V23" s="804" t="n"/>
    </row>
    <row r="24" ht="16" customHeight="1" s="254">
      <c r="A24" s="781" t="inlineStr">
        <is>
          <t>Equipment MSRP total</t>
        </is>
      </c>
      <c r="B24" s="851">
        <f>SUMPRODUCT($I$7:$I$18,$K$7:$K$18)+SUMPRODUCT($I$7:$I$18,$N$7:$N$18,$P$7:$P$18)</f>
        <v/>
      </c>
      <c r="C24" s="811" t="inlineStr">
        <is>
          <t>Catalogue SKUs at their price-book price, plus any dispensers priced by hand on the cabinet row.</t>
        </is>
      </c>
      <c r="G24" s="804" t="n"/>
      <c r="H24" s="804" t="n"/>
      <c r="I24" s="804" t="n"/>
      <c r="J24" s="804" t="n"/>
      <c r="K24" s="804" t="n"/>
      <c r="L24" s="804" t="n"/>
      <c r="M24" s="804" t="n"/>
      <c r="N24" s="804" t="n"/>
      <c r="O24" s="804" t="n"/>
      <c r="P24" s="804" t="n"/>
      <c r="Q24" s="804" t="n"/>
      <c r="R24" s="804" t="n"/>
      <c r="S24" s="804" t="n"/>
      <c r="T24" s="804" t="n"/>
      <c r="U24" s="804" t="n"/>
      <c r="V24" s="804" t="n"/>
    </row>
    <row r="25" ht="16" customHeight="1" s="254">
      <c r="A25" s="781" t="inlineStr">
        <is>
          <t>Equipment after discount</t>
        </is>
      </c>
      <c r="B25" s="851">
        <f>$B$24*(1-Commercial!$B$5)</f>
        <v/>
      </c>
      <c r="C25" s="792" t="inlineStr">
        <is>
          <t>Sales tax is computed on THIS, not on MSRP. The discount is the one on the Commercial tab — there is no per-line discount any more.</t>
        </is>
      </c>
      <c r="L25" s="804" t="n"/>
      <c r="M25" s="804" t="n"/>
      <c r="N25" s="804" t="n"/>
      <c r="O25" s="804" t="n"/>
      <c r="P25" s="804" t="n"/>
      <c r="Q25" s="804" t="n"/>
      <c r="R25" s="804" t="n"/>
      <c r="S25" s="804" t="n"/>
      <c r="T25" s="804" t="n"/>
      <c r="U25" s="804" t="n"/>
      <c r="V25" s="804" t="n"/>
    </row>
    <row r="26" ht="31" customHeight="1" s="254">
      <c r="A26" s="794" t="inlineStr">
        <is>
          <t>of which DC fast-charging capacity (kW)</t>
        </is>
      </c>
      <c r="B26" s="852">
        <f>SUMPRODUCT(($E$7:$E$18="power_cabinet")+($E$7:$E$18="all_in_one"),$F$7:$F$18,$I$7:$I$18)</f>
        <v/>
      </c>
      <c r="C26" s="816" t="inlineStr">
        <is>
          <t>DC output. The LCFS credit basis. Counted once, at the cabinet — never again at the dispenser.</t>
        </is>
      </c>
      <c r="G26" s="804" t="n"/>
      <c r="H26" s="804" t="n"/>
      <c r="I26" s="804" t="n"/>
      <c r="J26" s="804" t="n"/>
      <c r="K26" s="804" t="n"/>
      <c r="L26" s="804" t="n"/>
      <c r="M26" s="804" t="n"/>
      <c r="N26" s="804" t="n"/>
      <c r="O26" s="804" t="n"/>
      <c r="P26" s="804" t="n"/>
      <c r="Q26" s="804" t="n"/>
      <c r="R26" s="804" t="n"/>
      <c r="S26" s="804" t="n"/>
      <c r="T26" s="804" t="n"/>
      <c r="U26" s="804" t="n"/>
      <c r="V26" s="804" t="n"/>
    </row>
    <row r="27" ht="33.5" customHeight="1" s="254">
      <c r="A27" s="798" t="inlineStr">
        <is>
          <t>Scope of work sentence (one line, must match the rows above)</t>
        </is>
      </c>
      <c r="B27" s="853" t="n"/>
      <c r="I27" s="804" t="n"/>
      <c r="J27" s="804" t="n"/>
      <c r="K27" s="804" t="n"/>
      <c r="L27" s="804" t="n"/>
      <c r="M27" s="804" t="n"/>
      <c r="N27" s="804" t="n"/>
      <c r="O27" s="804" t="n"/>
      <c r="P27" s="804" t="n"/>
      <c r="Q27" s="804" t="n"/>
      <c r="R27" s="804" t="n"/>
      <c r="S27" s="804" t="n"/>
      <c r="T27" s="804" t="n"/>
      <c r="U27" s="804" t="n"/>
      <c r="V27" s="804" t="n"/>
    </row>
    <row r="28" ht="16" customHeight="1" s="254">
      <c r="A28" s="781" t="n"/>
      <c r="B28" s="854" t="n"/>
      <c r="C28" s="854" t="n"/>
      <c r="D28" s="854" t="n"/>
      <c r="E28" s="854" t="n"/>
      <c r="F28" s="854" t="n"/>
      <c r="G28" s="854" t="n"/>
      <c r="H28" s="854" t="n"/>
      <c r="I28" s="854" t="n"/>
      <c r="J28" s="854" t="n"/>
      <c r="K28" s="854" t="n"/>
      <c r="L28" s="854" t="n"/>
      <c r="M28" s="854" t="n"/>
      <c r="N28" s="854" t="n"/>
      <c r="O28" s="854" t="n"/>
      <c r="P28" s="854" t="n"/>
      <c r="Q28" s="804" t="n"/>
      <c r="R28" s="804" t="n"/>
      <c r="S28" s="804" t="n"/>
      <c r="T28" s="804" t="n"/>
      <c r="U28" s="804" t="n"/>
      <c r="V28" s="804" t="n"/>
    </row>
    <row r="29" ht="31" customHeight="1" s="254">
      <c r="A29" s="811" t="n"/>
      <c r="B29" s="792" t="inlineStr">
        <is>
          <t>Write it from the table, e.g. "Installation of (4) 360 kW dual-port DC fast chargers — 8 charging positions".</t>
        </is>
      </c>
      <c r="E29" s="804" t="n"/>
      <c r="F29" s="804" t="n"/>
      <c r="G29" s="804" t="n"/>
      <c r="H29" s="804" t="n"/>
      <c r="I29" s="804" t="n"/>
      <c r="J29" s="804" t="n"/>
      <c r="K29" s="804" t="n"/>
      <c r="L29" s="804" t="n"/>
      <c r="M29" s="804" t="n"/>
      <c r="N29" s="804" t="n"/>
      <c r="O29" s="804" t="n"/>
      <c r="P29" s="804" t="n"/>
      <c r="Q29" s="804" t="n"/>
      <c r="R29" s="804" t="n"/>
      <c r="S29" s="804" t="n"/>
      <c r="T29" s="804" t="n"/>
      <c r="U29" s="804" t="n"/>
      <c r="V29" s="804" t="n"/>
    </row>
    <row r="30" ht="206" customHeight="1" s="254">
      <c r="A30" s="794" t="inlineStr">
        <is>
          <t>Level 2 supply voltage (V)</t>
        </is>
      </c>
      <c r="B30" s="831" t="n"/>
      <c r="C30" s="792" t="inlineStr">
        <is>
          <t>The voltage the Level 2 units are actually fed at — 208 on a 208Y/120 service, 240 on a split-phase or 240 V panel, and usually 208 from a step-down panel on a 480 V site. A 32 A unit rated 7.2 kW at 240 V delivers 6.66 kW at 208 V, and the AC input column above derates to this figure. Leave blank and the schedule shows nameplate; the check below says so when that is not safe.</t>
        </is>
      </c>
      <c r="D30" s="804" t="n"/>
      <c r="E30" s="804" t="n"/>
      <c r="F30" s="804" t="n"/>
      <c r="G30" s="804" t="n"/>
      <c r="H30" s="804" t="n"/>
      <c r="I30" s="804" t="n"/>
      <c r="J30" s="804" t="n"/>
      <c r="K30" s="804" t="n"/>
      <c r="L30" s="804" t="n"/>
      <c r="M30" s="804" t="n"/>
      <c r="N30" s="804" t="n"/>
      <c r="O30" s="804" t="n"/>
      <c r="P30" s="804" t="n"/>
      <c r="Q30" s="804" t="n"/>
      <c r="R30" s="804" t="n"/>
      <c r="S30" s="804" t="n"/>
      <c r="T30" s="804" t="n"/>
      <c r="U30" s="804" t="n"/>
      <c r="V30" s="804" t="n"/>
    </row>
    <row r="31" ht="16" customHeight="1" s="254">
      <c r="A31" s="811" t="n"/>
      <c r="B31" s="804" t="n"/>
      <c r="C31" s="804" t="n"/>
      <c r="D31" s="804" t="n"/>
      <c r="E31" s="804" t="n"/>
      <c r="F31" s="804" t="n"/>
      <c r="G31" s="804" t="n"/>
      <c r="H31" s="804" t="n"/>
      <c r="I31" s="804" t="n"/>
      <c r="J31" s="804" t="n"/>
      <c r="K31" s="804" t="n"/>
      <c r="L31" s="804" t="n"/>
      <c r="M31" s="804" t="n"/>
      <c r="N31" s="804" t="n"/>
      <c r="O31" s="804" t="n"/>
      <c r="P31" s="804" t="n"/>
      <c r="Q31" s="804" t="n"/>
      <c r="R31" s="804" t="n"/>
      <c r="S31" s="804" t="n"/>
      <c r="T31" s="804" t="n"/>
      <c r="U31" s="804" t="n"/>
      <c r="V31" s="804" t="n"/>
    </row>
    <row r="32" ht="33.5" customHeight="1" s="254">
      <c r="A32" s="798" t="inlineStr">
        <is>
          <t>Distributed system — do the dispensers fit the cabinets?</t>
        </is>
      </c>
      <c r="B32" s="804" t="n"/>
      <c r="C32" s="804" t="n"/>
      <c r="D32" s="804" t="n"/>
      <c r="E32" s="804" t="n"/>
      <c r="F32" s="804" t="n"/>
      <c r="G32" s="804" t="n"/>
      <c r="H32" s="804" t="n"/>
      <c r="I32" s="804" t="n"/>
      <c r="J32" s="804" t="n"/>
      <c r="K32" s="804" t="n"/>
      <c r="L32" s="804" t="n"/>
      <c r="M32" s="804" t="n"/>
      <c r="N32" s="804" t="n"/>
      <c r="O32" s="804" t="n"/>
      <c r="P32" s="804" t="n"/>
      <c r="Q32" s="804" t="n"/>
      <c r="R32" s="804" t="n"/>
      <c r="S32" s="804" t="n"/>
      <c r="T32" s="804" t="n"/>
      <c r="U32" s="804" t="n"/>
      <c r="V32" s="804" t="n"/>
    </row>
    <row r="33" hidden="1" outlineLevel="1" ht="31" customHeight="1" s="254">
      <c r="A33" s="816" t="inlineStr">
        <is>
          <t>Only relevant when a power cabinet is on the schedule. A cabinet feeds a limited number of DC outputs; each dual dispenser consumes two of them. Every dispenser also needs a DC run back to its cabinet — schedule those on the Electrical tab.</t>
        </is>
      </c>
      <c r="I33" s="804" t="n"/>
      <c r="J33" s="804" t="n"/>
      <c r="K33" s="804" t="n"/>
      <c r="L33" s="804" t="n"/>
      <c r="M33" s="804" t="n"/>
      <c r="N33" s="804" t="n"/>
      <c r="O33" s="804" t="n"/>
      <c r="P33" s="804" t="n"/>
      <c r="Q33" s="804" t="n"/>
      <c r="R33" s="804" t="n"/>
      <c r="S33" s="804" t="n"/>
      <c r="T33" s="804" t="n"/>
      <c r="U33" s="804" t="n"/>
      <c r="V33" s="804" t="n"/>
    </row>
    <row r="34" hidden="1" outlineLevel="1" ht="16" customHeight="1" s="254">
      <c r="A34" s="781" t="inlineStr">
        <is>
          <t>Power cabinets on site</t>
        </is>
      </c>
      <c r="B34" s="855">
        <f>SUMPRODUCT(--($E$7:$E$18="power_cabinet"),$I$7:$I$18)</f>
        <v/>
      </c>
      <c r="C34" s="804" t="n"/>
      <c r="D34" s="804" t="n"/>
      <c r="E34" s="804" t="n"/>
      <c r="F34" s="804" t="n"/>
      <c r="G34" s="804" t="n"/>
      <c r="H34" s="804" t="n"/>
      <c r="I34" s="804" t="n"/>
      <c r="J34" s="804" t="n"/>
      <c r="K34" s="804" t="n"/>
      <c r="L34" s="804" t="n"/>
      <c r="M34" s="804" t="n"/>
      <c r="N34" s="804" t="n"/>
      <c r="O34" s="804" t="n"/>
      <c r="P34" s="804" t="n"/>
      <c r="Q34" s="804" t="n"/>
      <c r="R34" s="804" t="n"/>
      <c r="S34" s="804" t="n"/>
      <c r="T34" s="804" t="n"/>
      <c r="U34" s="804" t="n"/>
      <c r="V34" s="804" t="n"/>
    </row>
    <row r="35" hidden="1" outlineLevel="1" ht="16" customHeight="1" s="254">
      <c r="A35" s="781" t="inlineStr">
        <is>
          <t>Dispensers those cabinets can take</t>
        </is>
      </c>
      <c r="B35" s="855">
        <f>SUMPRODUCT($M$7:$M$18,$I$7:$I$18)</f>
        <v/>
      </c>
      <c r="C35" s="816" t="inlineStr">
        <is>
          <t>From the architecture table: a 480 kW cabinet takes up to 3 dual dispensers, a 1.28 MW up to 8.</t>
        </is>
      </c>
      <c r="I35" s="804" t="n"/>
      <c r="J35" s="804" t="n"/>
      <c r="K35" s="804" t="n"/>
      <c r="L35" s="804" t="n"/>
      <c r="M35" s="804" t="n"/>
      <c r="N35" s="804" t="n"/>
      <c r="O35" s="804" t="n"/>
      <c r="P35" s="804" t="n"/>
      <c r="Q35" s="804" t="n"/>
      <c r="R35" s="804" t="n"/>
      <c r="S35" s="804" t="n"/>
      <c r="T35" s="804" t="n"/>
      <c r="U35" s="804" t="n"/>
      <c r="V35" s="804" t="n"/>
    </row>
    <row r="36" hidden="1" outlineLevel="1" ht="16" customHeight="1" s="254">
      <c r="A36" s="781" t="inlineStr">
        <is>
          <t>Dispensers on the cabinet rows</t>
        </is>
      </c>
      <c r="B36" s="855">
        <f>SUMPRODUCT(--($E$7:$E$18="power_cabinet"),$N$7:$N$18,$I$7:$I$18)</f>
        <v/>
      </c>
      <c r="C36" s="816" t="inlineStr">
        <is>
          <t>Dispensers per cabinet x the number of cabinets. This is now the only way a dispenser is entered.</t>
        </is>
      </c>
      <c r="I36" s="804" t="n"/>
      <c r="J36" s="804" t="n"/>
      <c r="K36" s="804" t="n"/>
      <c r="L36" s="804" t="n"/>
      <c r="M36" s="804" t="n"/>
      <c r="N36" s="804" t="n"/>
      <c r="O36" s="804" t="n"/>
      <c r="P36" s="804" t="n"/>
      <c r="Q36" s="804" t="n"/>
      <c r="R36" s="804" t="n"/>
      <c r="S36" s="804" t="n"/>
      <c r="T36" s="804" t="n"/>
      <c r="U36" s="804" t="n"/>
      <c r="V36" s="804" t="n"/>
    </row>
    <row r="37" hidden="1" outlineLevel="1" ht="31" customHeight="1" s="254">
      <c r="A37" s="781" t="inlineStr">
        <is>
          <t>Dispensers entered on a line of their own</t>
        </is>
      </c>
      <c r="B37" s="855">
        <f>SUMPRODUCT(--($E$7:$E$18="dispenser"),$I$7:$I$18)</f>
        <v/>
      </c>
      <c r="C37" s="816" t="inlineStr">
        <is>
          <t>Should always be zero. A dispenser belongs on its cabinet row, not on a line of its own.</t>
        </is>
      </c>
      <c r="I37" s="804" t="n"/>
      <c r="J37" s="804" t="n"/>
      <c r="K37" s="804" t="n"/>
      <c r="L37" s="804" t="n"/>
      <c r="M37" s="804" t="n"/>
      <c r="N37" s="804" t="n"/>
      <c r="O37" s="804" t="n"/>
      <c r="P37" s="804" t="n"/>
      <c r="Q37" s="804" t="n"/>
      <c r="R37" s="804" t="n"/>
      <c r="S37" s="804" t="n"/>
      <c r="T37" s="804" t="n"/>
      <c r="U37" s="804" t="n"/>
      <c r="V37" s="804" t="n"/>
    </row>
    <row r="38" hidden="1" outlineLevel="1" ht="16" customHeight="1" s="254">
      <c r="A38" s="794" t="inlineStr">
        <is>
          <t>Dispensers in total</t>
        </is>
      </c>
      <c r="B38" s="856">
        <f>$B$36+$B$37</f>
        <v/>
      </c>
      <c r="C38" s="804" t="n"/>
      <c r="D38" s="804" t="n"/>
      <c r="E38" s="804" t="n"/>
      <c r="F38" s="804" t="n"/>
      <c r="G38" s="804" t="n"/>
      <c r="H38" s="804" t="n"/>
      <c r="I38" s="804" t="n"/>
      <c r="J38" s="804" t="n"/>
      <c r="K38" s="804" t="n"/>
      <c r="L38" s="804" t="n"/>
      <c r="M38" s="804" t="n"/>
      <c r="N38" s="804" t="n"/>
      <c r="O38" s="804" t="n"/>
      <c r="P38" s="804" t="n"/>
      <c r="Q38" s="804" t="n"/>
      <c r="R38" s="804" t="n"/>
      <c r="S38" s="804" t="n"/>
      <c r="T38" s="804" t="n"/>
      <c r="U38" s="804" t="n"/>
      <c r="V38" s="804" t="n"/>
    </row>
    <row r="39" hidden="1" outlineLevel="1" ht="16" customHeight="1" s="254">
      <c r="A39" s="781" t="inlineStr">
        <is>
          <t>Connectors those dispensers carry</t>
        </is>
      </c>
      <c r="B39" s="855">
        <f>SUMPRODUCT(--($E$7:$E$18="power_cabinet"),$H$7:$H$18,$I$7:$I$18)</f>
        <v/>
      </c>
      <c r="C39" s="804" t="n"/>
      <c r="D39" s="804" t="n"/>
      <c r="E39" s="804" t="n"/>
      <c r="F39" s="804" t="n"/>
      <c r="G39" s="804" t="n"/>
      <c r="H39" s="804" t="n"/>
      <c r="I39" s="804" t="n"/>
      <c r="J39" s="804" t="n"/>
      <c r="K39" s="804" t="n"/>
      <c r="L39" s="804" t="n"/>
      <c r="M39" s="804" t="n"/>
      <c r="N39" s="804" t="n"/>
      <c r="O39" s="804" t="n"/>
      <c r="P39" s="804" t="n"/>
      <c r="Q39" s="804" t="n"/>
      <c r="R39" s="804" t="n"/>
      <c r="S39" s="804" t="n"/>
      <c r="T39" s="804" t="n"/>
      <c r="U39" s="804" t="n"/>
      <c r="V39" s="804" t="n"/>
    </row>
    <row r="40" ht="16" customHeight="1" s="254">
      <c r="A40" s="794" t="inlineStr">
        <is>
          <t>DISTRIBUTED SYSTEM CHECK</t>
        </is>
      </c>
      <c r="B40" s="856">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804" t="n"/>
      <c r="J40" s="804" t="n"/>
      <c r="K40" s="804" t="n"/>
      <c r="L40" s="804" t="n"/>
      <c r="M40" s="804" t="n"/>
      <c r="N40" s="804" t="n"/>
      <c r="O40" s="804" t="n"/>
      <c r="P40" s="804" t="n"/>
      <c r="Q40" s="804" t="n"/>
      <c r="R40" s="804" t="n"/>
      <c r="S40" s="804" t="n"/>
      <c r="T40" s="804" t="n"/>
      <c r="U40" s="804" t="n"/>
      <c r="V40" s="804" t="n"/>
    </row>
    <row r="41" hidden="1" outlineLevel="1" ht="16" customHeight="1" s="254">
      <c r="A41" s="781" t="inlineStr">
        <is>
          <t>Dispenser value at list</t>
        </is>
      </c>
      <c r="B41" s="857">
        <f>SUMPRODUCT($I$7:$I$18,$N$7:$N$18,$P$7:$P$18)</f>
        <v/>
      </c>
      <c r="C41" s="816" t="inlineStr">
        <is>
          <t>Dispensers x their price-book price. Included in the two equipment totals above.</t>
        </is>
      </c>
      <c r="I41" s="804" t="n"/>
      <c r="J41" s="804" t="n"/>
      <c r="K41" s="804" t="n"/>
      <c r="L41" s="804" t="n"/>
      <c r="M41" s="804" t="n"/>
      <c r="N41" s="804" t="n"/>
      <c r="O41" s="804" t="n"/>
      <c r="P41" s="804" t="n"/>
      <c r="Q41" s="804" t="n"/>
      <c r="R41" s="804" t="n"/>
      <c r="S41" s="804" t="n"/>
      <c r="T41" s="804" t="n"/>
      <c r="U41" s="804" t="n"/>
      <c r="V41" s="804" t="n"/>
    </row>
    <row r="42" hidden="1" outlineLevel="1" ht="31" customHeight="1" s="254">
      <c r="A42" s="794" t="inlineStr">
        <is>
          <t>Is a dispenser SKU picked where dispensers are scheduled?</t>
        </is>
      </c>
      <c r="B42" s="858">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I42" s="804" t="n"/>
      <c r="J42" s="804" t="n"/>
      <c r="K42" s="804" t="n"/>
      <c r="L42" s="804" t="n"/>
      <c r="M42" s="804" t="n"/>
      <c r="N42" s="804" t="n"/>
      <c r="O42" s="804" t="n"/>
      <c r="P42" s="804" t="n"/>
      <c r="Q42" s="804" t="n"/>
      <c r="R42" s="804" t="n"/>
      <c r="S42" s="804" t="n"/>
      <c r="T42" s="804" t="n"/>
      <c r="U42" s="804" t="n"/>
      <c r="V42" s="804" t="n"/>
    </row>
    <row r="43" hidden="1" outlineLevel="1" ht="31" customHeight="1" s="254">
      <c r="A43" s="781" t="inlineStr">
        <is>
          <t>Any dispenser on a line of its own?</t>
        </is>
      </c>
      <c r="B43" s="855">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814" t="inlineStr">
        <is>
          <t>It used to fire whenever a dispenser was on its own line at all, which is a legitimate entry now the dispenser SKU is in the price book. The thing that is actually wrong is using both routes, because the totals sum them.</t>
        </is>
      </c>
      <c r="L43" s="804" t="n"/>
      <c r="M43" s="804" t="n"/>
      <c r="N43" s="804" t="n"/>
      <c r="O43" s="804" t="n"/>
      <c r="P43" s="804" t="n"/>
      <c r="Q43" s="804" t="n"/>
      <c r="R43" s="804" t="n"/>
      <c r="S43" s="804" t="n"/>
      <c r="T43" s="804" t="n"/>
      <c r="U43" s="804" t="n"/>
      <c r="V43" s="804" t="n"/>
    </row>
    <row r="44" hidden="1" outlineLevel="1" ht="31" customHeight="1" s="254">
      <c r="A44" s="781" t="inlineStr">
        <is>
          <t>Level 2 units rated at their supply voltage?</t>
        </is>
      </c>
      <c r="B44" s="856">
        <f>IF(SUMPRODUCT(($E$7:$E$18="level_2")*$I$7:$I$18)=0,"n/a — no Level 2 on the schedule",IF(N($B$30)&gt;0,"OK — Level 2 AC input derated to "&amp;TEXT($B$30,"0")&amp;" V ("&amp;TEXT(MIN(1,$B$30/240),"0%")&amp;" of the 240 V nameplate)",IF(N(Project!$B$29)&lt;240,"ENTER IT — the service is "&amp;TEXT(Project!$B$29,"0")&amp;" V and a 240 V-rated unit delivers "&amp;TEXT(Project!$B$29/240,"0%")&amp;" of nameplate at that voltage; the schedule above is at nameplate until the Level 2 supply voltage is stated","OK — service at or above 240 V; state the Level 2 supply voltage if it is fed from a step-down panel")))</f>
        <v/>
      </c>
      <c r="C44" s="859" t="n"/>
      <c r="D44" s="804" t="n"/>
      <c r="E44" s="804" t="n"/>
      <c r="F44" s="804" t="n"/>
      <c r="G44" s="804" t="n"/>
      <c r="H44" s="804" t="n"/>
      <c r="I44" s="804" t="n"/>
      <c r="J44" s="804" t="n"/>
      <c r="K44" s="804" t="n"/>
      <c r="L44" s="804" t="n"/>
      <c r="M44" s="804" t="n"/>
      <c r="N44" s="804" t="n"/>
      <c r="O44" s="804" t="n"/>
      <c r="P44" s="804" t="n"/>
      <c r="Q44" s="804" t="n"/>
      <c r="R44" s="804" t="n"/>
      <c r="S44" s="804" t="n"/>
      <c r="T44" s="804" t="n"/>
      <c r="U44" s="804" t="n"/>
      <c r="V44" s="804" t="n"/>
    </row>
    <row r="45" hidden="1" outlineLevel="1" ht="16" customHeight="1" s="254">
      <c r="A45" s="811" t="n"/>
      <c r="B45" s="804" t="n"/>
      <c r="C45" s="804" t="n"/>
      <c r="D45" s="804" t="n"/>
      <c r="E45" s="804" t="n"/>
      <c r="F45" s="804" t="n"/>
      <c r="G45" s="804" t="n"/>
      <c r="H45" s="804" t="n"/>
      <c r="I45" s="804" t="n"/>
      <c r="J45" s="804" t="n"/>
      <c r="K45" s="804" t="n"/>
      <c r="L45" s="804" t="n"/>
      <c r="M45" s="804" t="n"/>
      <c r="N45" s="804" t="n"/>
      <c r="O45" s="804" t="n"/>
      <c r="P45" s="804" t="n"/>
      <c r="Q45" s="804" t="n"/>
      <c r="R45" s="804" t="n"/>
      <c r="S45" s="804" t="n"/>
      <c r="T45" s="804" t="n"/>
      <c r="U45" s="804" t="n"/>
      <c r="V45" s="804" t="n"/>
    </row>
    <row r="46" ht="19.75" customHeight="1" s="254">
      <c r="A46" s="798" t="inlineStr">
        <is>
          <t>ENTRY CHECKS — what a wrong entry looks like</t>
        </is>
      </c>
      <c r="Q46" s="804" t="n"/>
      <c r="R46" s="804" t="n"/>
      <c r="S46" s="804" t="n"/>
      <c r="T46" s="804" t="n"/>
      <c r="U46" s="804" t="n"/>
      <c r="V46" s="804" t="n"/>
    </row>
    <row r="47" hidden="1" outlineLevel="1" ht="16" customHeight="1" s="254">
      <c r="A47" s="816" t="inlineStr">
        <is>
          <t>Each of these is a real way to get a wrong answer out of this tab. None of them used to say anything.</t>
        </is>
      </c>
      <c r="Q47" s="804" t="n"/>
      <c r="R47" s="804" t="n"/>
      <c r="S47" s="804" t="n"/>
      <c r="T47" s="804" t="n"/>
      <c r="U47" s="804" t="n"/>
      <c r="V47" s="804" t="n"/>
    </row>
    <row r="48" hidden="1" outlineLevel="1" ht="31" customHeight="1" s="254">
      <c r="A48" s="781" t="inlineStr">
        <is>
          <t>Any discount typed on an equipment line?</t>
        </is>
      </c>
      <c r="B48" s="856">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c r="Q48" s="804" t="n"/>
      <c r="R48" s="804" t="n"/>
      <c r="S48" s="804" t="n"/>
      <c r="T48" s="804" t="n"/>
      <c r="U48" s="804" t="n"/>
      <c r="V48" s="804" t="n"/>
    </row>
    <row r="49" hidden="1" outlineLevel="1" ht="16" customHeight="1" s="254">
      <c r="A49" s="781" t="inlineStr">
        <is>
          <t>Dispensers counted twice?</t>
        </is>
      </c>
      <c r="B49" s="856">
        <f>IF(AND(SUMPRODUCT(--($E$7:$E$18="power_cabinet"),$N$7:$N$18)&gt;0,SUMPRODUCT(--($E$7:$E$18="dispenser"))&gt;0),"ERROR — DOUBLE COUNTED. Dispensers appear both on a cabinet row and on a line of their own. Delete the separate line; the cabinet row is the only place they belong.","OK — dispensers are entered one way only")</f>
        <v/>
      </c>
      <c r="Q49" s="804" t="n"/>
      <c r="R49" s="804" t="n"/>
      <c r="S49" s="804" t="n"/>
      <c r="T49" s="804" t="n"/>
      <c r="U49" s="804" t="n"/>
      <c r="V49" s="804" t="n"/>
    </row>
    <row r="50" hidden="1" outlineLevel="1" ht="16" customHeight="1" s="254">
      <c r="A50" s="781" t="inlineStr">
        <is>
          <t>Anything entered below the table?</t>
        </is>
      </c>
      <c r="B50" s="856">
        <f>IF(COUNTA($B$19:$C$19)&gt;0,"ERROR — SOMETHING IS ENTERED BELOW LINE 12. Every total on this tab covers rows 7 to 18 only, so a line entered underneath is not counted and not priced. Move it into the table.","OK — nothing entered below the table")</f>
        <v/>
      </c>
      <c r="Q50" s="804" t="n"/>
      <c r="R50" s="804" t="n"/>
      <c r="S50" s="804" t="n"/>
      <c r="T50" s="804" t="n"/>
      <c r="U50" s="804" t="n"/>
      <c r="V50" s="804" t="n"/>
    </row>
    <row r="51" hidden="1" outlineLevel="1" ht="16" customHeight="1" s="254">
      <c r="A51" s="781" t="inlineStr">
        <is>
          <t>Every SKU found in the price book?</t>
        </is>
      </c>
      <c r="B51" s="856">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c r="Q51" s="804" t="n"/>
      <c r="R51" s="804" t="n"/>
      <c r="S51" s="804" t="n"/>
      <c r="T51" s="804" t="n"/>
      <c r="U51" s="804" t="n"/>
      <c r="V51" s="804" t="n"/>
    </row>
    <row r="52" hidden="1" outlineLevel="1" ht="16" customHeight="1" s="254">
      <c r="A52" s="781" t="inlineStr">
        <is>
          <t>Every line with a SKU has a quantity?</t>
        </is>
      </c>
      <c r="B52" s="856">
        <f>IF(SUMPRODUCT(($C$7:$C$18&lt;&gt;"")*($I$7:$I$18=0))&gt;0,"ERROR — A LINE HAS A SKU BUT NO QUANTITY. Description, role, connectors and MSRP all populate from the SKU, so the line looks finished; quantity is what every total multiplies by, so it contributes nothing.","OK — every line with a SKU has a quantity")</f>
        <v/>
      </c>
      <c r="Q52" s="804" t="n"/>
      <c r="R52" s="804" t="n"/>
      <c r="S52" s="804" t="n"/>
      <c r="T52" s="804" t="n"/>
      <c r="U52" s="804" t="n"/>
      <c r="V52" s="804" t="n"/>
    </row>
    <row r="53" hidden="1" outlineLevel="1" ht="16" customHeight="1" s="254">
      <c r="A53" s="781" t="inlineStr">
        <is>
          <t>Every line with a capacity has a SKU?</t>
        </is>
      </c>
      <c r="B53" s="856">
        <f>IF(SUMPRODUCT(($B$7:$B$18&lt;&gt;"")*($C$7:$C$18=""))&gt;0,"INCOMPLETE — a capacity is picked on a line with no SKU. The line is inert until the SKU is chosen.","OK — every line with a capacity has a SKU")</f>
        <v/>
      </c>
      <c r="Q53" s="804" t="n"/>
      <c r="R53" s="804" t="n"/>
      <c r="S53" s="804" t="n"/>
      <c r="T53" s="804" t="n"/>
      <c r="U53" s="804" t="n"/>
      <c r="V53" s="804" t="n"/>
    </row>
    <row r="54" hidden="1" outlineLevel="1" ht="16" customHeight="1" s="254">
      <c r="A54" s="781" t="inlineStr">
        <is>
          <t>Every SKU has a connector count?</t>
        </is>
      </c>
      <c r="B54" s="830">
        <f>IF(COUNTA($C$7:$C$18)=0,"OK — nothing scheduled yet",IF(SUMPRODUCT(--($C$7:$C$18&lt;&gt;""),--($E$7:$E$18&lt;&gt;"accessory"),--($E$7:$E$18&lt;&gt;"power_cabinet"),--(H$7:H$18=0))&gt;0,"A SCHEDULED SKU HAS NO CONNECTOR COUNT — add it to the price book column I; the sheet will not guess","OK — every scheduled SKU carries a connector count"))</f>
        <v/>
      </c>
      <c r="C54" s="814" t="inlineStr">
        <is>
          <t>Power cabinets are exempt: their connectors are on their dispensers, which are scheduled separately. Accessories are exempt for the same reason — they are not charging positions.</t>
        </is>
      </c>
      <c r="L54" s="804" t="n"/>
      <c r="M54" s="804" t="n"/>
      <c r="N54" s="804" t="n"/>
      <c r="O54" s="804" t="n"/>
      <c r="P54" s="804" t="n"/>
      <c r="Q54" s="804" t="n"/>
      <c r="R54" s="804" t="n"/>
      <c r="S54" s="804" t="n"/>
      <c r="T54" s="804" t="n"/>
      <c r="U54" s="804" t="n"/>
      <c r="V54" s="804" t="n"/>
    </row>
    <row r="55" ht="16" customHeight="1" s="254">
      <c r="A55" s="860">
        <f>IF(SUMPRODUCT(--($B$43:$B$54&lt;&gt;""),--(LEFT($B$43:$B$54,2)&lt;&gt;"OK"))&gt;0,"FIX "&amp;TEXT(SUMPRODUCT(--($B$43:$B$54&lt;&gt;""),--(LEFT($B$43:$B$54,2)&lt;&gt;"OK")),"0")&amp;" ITEM(S) ABOVE — the equipment totals on this tab are wrong until you do","ENTRY CHECKS ALL PASS")</f>
        <v/>
      </c>
      <c r="Q55" s="804" t="n"/>
      <c r="R55" s="804" t="n"/>
      <c r="S55" s="804" t="n"/>
      <c r="T55" s="804" t="n"/>
      <c r="U55" s="804" t="n"/>
      <c r="V55" s="804" t="n"/>
    </row>
  </sheetData>
  <sheetProtection selectLockedCells="0" selectUnlockedCells="0" sheet="1" objects="0" insertRows="1" insertHyperlinks="1" autoFilter="1" scenarios="0" formatColumns="0" deleteColumns="1" insertColumns="1" pivotTables="1" deleteRows="1" formatCells="0" formatRows="0" sort="1"/>
  <mergeCells count="29">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8.xml><?xml version="1.0" encoding="utf-8"?>
<worksheet xmlns="http://schemas.openxmlformats.org/spreadsheetml/2006/main">
  <sheetPr>
    <tabColor rgb="006B4C9A"/>
    <outlinePr summaryBelow="0" summaryRight="1"/>
    <pageSetUpPr fitToPage="1"/>
  </sheetPr>
  <dimension ref="A1:X259"/>
  <sheetViews>
    <sheetView showGridLines="0" tabSelected="0" zoomScale="100" workbookViewId="0">
      <pane ySplit="2" topLeftCell="A3" activePane="bottomLeft" state="frozen"/>
      <selection pane="bottomLeft" activeCell="A1" sqref="A1"/>
    </sheetView>
  </sheetViews>
  <sheetFormatPr baseColWidth="8" defaultRowHeight="15" outlineLevelRow="1"/>
  <cols>
    <col width="32" customWidth="1" style="254" min="1" max="1"/>
    <col width="30" customWidth="1" style="254" min="2" max="2"/>
    <col width="24" customWidth="1" style="254" min="3" max="3"/>
    <col width="11" customWidth="1" style="254" min="4" max="4"/>
    <col width="12" customWidth="1" style="254" min="5" max="5"/>
    <col width="11" customWidth="1" style="254" min="6" max="6"/>
    <col width="11" customWidth="1" style="254" min="7" max="7"/>
    <col width="11" customWidth="1" style="254" min="8" max="8"/>
    <col width="11" customWidth="1" style="254" min="9" max="9"/>
    <col width="11" customWidth="1" style="254" min="10" max="10"/>
    <col width="11" customWidth="1" style="254" min="11" max="11"/>
    <col width="11" customWidth="1" style="254" min="12" max="12"/>
    <col width="11" customWidth="1" style="254" min="13" max="13"/>
    <col width="11" customWidth="1" style="254" min="14" max="14"/>
    <col width="11" customWidth="1" style="254" min="15" max="15"/>
    <col width="11" customWidth="1" style="254" min="16" max="16"/>
    <col width="11" customWidth="1" style="254" min="17" max="17"/>
    <col width="11" customWidth="1" style="254" min="18" max="18"/>
    <col width="12" customWidth="1" style="254" min="19" max="19"/>
    <col width="46" customWidth="1" style="254" min="20" max="20"/>
    <col width="11" customWidth="1" style="254" min="21" max="21"/>
    <col width="11" customWidth="1" style="254" min="22" max="22"/>
    <col width="11" customWidth="1" style="254" min="23" max="23"/>
    <col width="11" customWidth="1" style="254" min="24" max="24"/>
  </cols>
  <sheetData>
    <row r="1" ht="26" customHeight="1" s="254">
      <c r="A1" s="805" t="inlineStr">
        <is>
          <t>3 · SITE AND ELECTRICAL</t>
        </is>
      </c>
      <c r="I1" s="861" t="n"/>
      <c r="J1" s="861" t="n"/>
      <c r="K1" s="861" t="n"/>
      <c r="L1" s="861" t="n"/>
      <c r="M1" s="861" t="n"/>
      <c r="N1" s="861" t="n"/>
      <c r="O1" s="861" t="n"/>
      <c r="P1" s="861" t="n"/>
      <c r="Q1" s="861" t="n"/>
      <c r="R1" s="861" t="n"/>
      <c r="S1" s="861" t="n"/>
      <c r="T1" s="861" t="n"/>
      <c r="U1" s="861" t="n"/>
      <c r="V1" s="861" t="n"/>
      <c r="W1" s="861" t="n"/>
      <c r="X1" s="861" t="n"/>
    </row>
    <row r="2" ht="31" customHeight="1" s="254">
      <c r="A2" s="792" t="inlineStr">
        <is>
          <t>Distances and materials. This tab drives the largest single cost in the project — and it is built for you: the chargers are listed from the Equipment tab, you type the distances.</t>
        </is>
      </c>
      <c r="I2" s="804" t="n"/>
      <c r="J2" s="804" t="n"/>
      <c r="K2" s="804" t="n"/>
      <c r="L2" s="804" t="n"/>
      <c r="M2" s="804" t="n"/>
      <c r="N2" s="804" t="n"/>
      <c r="O2" s="804" t="n"/>
      <c r="P2" s="804" t="n"/>
      <c r="Q2" s="804" t="n"/>
      <c r="R2" s="804" t="n"/>
      <c r="S2" s="804" t="n"/>
      <c r="T2" s="804" t="n"/>
      <c r="U2" s="804" t="n"/>
      <c r="V2" s="804" t="n"/>
      <c r="W2" s="804" t="n"/>
      <c r="X2" s="804" t="n"/>
    </row>
    <row r="3" ht="43.5" customHeight="1" s="254">
      <c r="A3" s="814" t="inlineStr">
        <is>
          <t>HOW TO FILL THIS TAB. Three entries and the tab does the rest. (1) Block B lists every charger from the Equipment tab — type the DISTANCE from the switchgear or panel to each one; the conductor, breaker, ground, conduit and cost are sized and priced for you, with a verdict on every row. A Level 2 dual pedestal is two units on one circuit: give both the same circuit name in column E and the distance on the first. (2) Block C is for DISPENSERS, which exist only on a power-cabinet system; on any other site it reads NOT USED and is left alone. (3) Block D wants the switchgear frame you are quoting and block E the boards, panels and transformers between the service and the chargers. Override a conductor or a conduit only when the drawings say so. (4) If the schedule in block E has panels, transformers or remote disconnects, block I at the foot of the tab prices the feeders between them — one row each, FROM and TO picked from the schedule, distance typed.</t>
        </is>
      </c>
      <c r="U3" s="804" t="n"/>
      <c r="V3" s="804" t="n"/>
      <c r="W3" s="804" t="n"/>
      <c r="X3" s="804" t="n"/>
    </row>
    <row r="4" ht="16" customHeight="1" s="254">
      <c r="A4" s="811" t="n"/>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c r="W4" s="804" t="n"/>
      <c r="X4" s="804" t="n"/>
    </row>
    <row r="5" ht="19.75" customHeight="1" s="254">
      <c r="A5" s="798" t="inlineStr">
        <is>
          <t>A · SIZING BASIS — materials and the conductor design</t>
        </is>
      </c>
      <c r="I5" s="804" t="n"/>
      <c r="J5" s="804" t="n"/>
      <c r="K5" s="804" t="n"/>
      <c r="L5" s="804" t="n"/>
      <c r="M5" s="804" t="n"/>
      <c r="N5" s="804" t="n"/>
      <c r="O5" s="804" t="n"/>
      <c r="P5" s="804" t="n"/>
      <c r="Q5" s="804" t="n"/>
      <c r="R5" s="804" t="n"/>
      <c r="S5" s="804" t="n"/>
      <c r="T5" s="804" t="n"/>
      <c r="U5" s="804" t="n"/>
      <c r="V5" s="804" t="n"/>
      <c r="W5" s="804" t="n"/>
      <c r="X5" s="804" t="n"/>
    </row>
    <row r="6" ht="16" customHeight="1" s="254">
      <c r="A6" s="781" t="inlineStr">
        <is>
          <t>Feeder conductor material</t>
        </is>
      </c>
      <c r="B6" s="799" t="inlineStr">
        <is>
          <t>Cu</t>
        </is>
      </c>
      <c r="C6" s="814" t="inlineStr">
        <is>
          <t>Cu or Al</t>
        </is>
      </c>
      <c r="I6" s="804" t="n"/>
      <c r="J6" s="804" t="n"/>
      <c r="K6" s="804" t="n"/>
      <c r="L6" s="804" t="n"/>
      <c r="M6" s="804" t="n"/>
      <c r="N6" s="804" t="n"/>
      <c r="O6" s="804" t="n"/>
      <c r="P6" s="804" t="n"/>
      <c r="Q6" s="804" t="n"/>
      <c r="R6" s="804" t="n"/>
      <c r="S6" s="804" t="n"/>
      <c r="T6" s="804" t="n"/>
      <c r="U6" s="804" t="n"/>
      <c r="V6" s="804" t="n"/>
      <c r="W6" s="804" t="n"/>
      <c r="X6" s="804" t="n"/>
    </row>
    <row r="7" ht="16" customHeight="1" s="254">
      <c r="A7" s="781" t="inlineStr">
        <is>
          <t>Conduit type</t>
        </is>
      </c>
      <c r="B7" s="799" t="inlineStr">
        <is>
          <t>PVC</t>
        </is>
      </c>
      <c r="C7" s="814" t="inlineStr">
        <is>
          <t>PVC or EMT</t>
        </is>
      </c>
      <c r="I7" s="804" t="n"/>
      <c r="J7" s="804" t="n"/>
      <c r="K7" s="804" t="n"/>
      <c r="L7" s="804" t="n"/>
      <c r="M7" s="804" t="n"/>
      <c r="N7" s="804" t="n"/>
      <c r="O7" s="804" t="n"/>
      <c r="P7" s="804" t="n"/>
      <c r="Q7" s="804" t="n"/>
      <c r="R7" s="804" t="n"/>
      <c r="S7" s="804" t="n"/>
      <c r="T7" s="804" t="n"/>
      <c r="U7" s="804" t="n"/>
      <c r="V7" s="804" t="n"/>
      <c r="W7" s="804" t="n"/>
      <c r="X7" s="804" t="n"/>
    </row>
    <row r="8" ht="16" customHeight="1" s="254">
      <c r="A8" s="781" t="inlineStr">
        <is>
          <t>Trench surface</t>
        </is>
      </c>
      <c r="B8" s="799" t="inlineStr">
        <is>
          <t>Mixed</t>
        </is>
      </c>
      <c r="C8" s="814" t="inlineStr">
        <is>
          <t>Asphalt / concrete / landscape / mixed</t>
        </is>
      </c>
      <c r="I8" s="804" t="n"/>
      <c r="J8" s="804" t="n"/>
      <c r="K8" s="804" t="n"/>
      <c r="L8" s="804" t="n"/>
      <c r="M8" s="804" t="n"/>
      <c r="N8" s="804" t="n"/>
      <c r="O8" s="804" t="n"/>
      <c r="P8" s="804" t="n"/>
      <c r="Q8" s="804" t="n"/>
      <c r="R8" s="804" t="n"/>
      <c r="S8" s="804" t="n"/>
      <c r="T8" s="804" t="n"/>
      <c r="U8" s="804" t="n"/>
      <c r="V8" s="804" t="n"/>
      <c r="W8" s="804" t="n"/>
      <c r="X8" s="804" t="n"/>
    </row>
    <row r="9" ht="16" customHeight="1" s="254">
      <c r="A9" s="781" t="inlineStr">
        <is>
          <t>Trench depth (in)</t>
        </is>
      </c>
      <c r="B9" s="818" t="n">
        <v>24</v>
      </c>
      <c r="C9" s="814" t="inlineStr">
        <is>
          <t>Sets the trench width used for the restoration figure (width = depth / 12 in feet).</t>
        </is>
      </c>
      <c r="I9" s="804" t="n"/>
      <c r="J9" s="804" t="n"/>
      <c r="K9" s="804" t="n"/>
      <c r="L9" s="804" t="n"/>
      <c r="M9" s="804" t="n"/>
      <c r="N9" s="804" t="n"/>
      <c r="O9" s="804" t="n"/>
      <c r="P9" s="804" t="n"/>
      <c r="Q9" s="804" t="n"/>
      <c r="R9" s="804" t="n"/>
      <c r="S9" s="804" t="n"/>
      <c r="T9" s="804" t="n"/>
      <c r="U9" s="804" t="n"/>
      <c r="V9" s="804" t="n"/>
      <c r="W9" s="804" t="n"/>
      <c r="X9" s="804" t="n"/>
    </row>
    <row r="10" ht="43.5" customHeight="1" s="254">
      <c r="A10" s="781" t="inlineStr">
        <is>
          <t>Design ambient (C)</t>
        </is>
      </c>
      <c r="B10" s="818" t="n"/>
      <c r="C10" s="814" t="inlineStr">
        <is>
          <t>SITE DATA, no house default: the ASHRAE 2% design dry-bulb for the location, or the duct-bank temperature if the runs are buried. NEC 310.15(B)(1) corrects every ampacity on this tab from it — leave it blank and every verdict says so.</t>
        </is>
      </c>
      <c r="I10" s="804" t="n"/>
      <c r="J10" s="804" t="n"/>
      <c r="K10" s="804" t="n"/>
      <c r="L10" s="804" t="n"/>
      <c r="M10" s="804" t="n"/>
      <c r="N10" s="804" t="n"/>
      <c r="O10" s="804" t="n"/>
      <c r="P10" s="804" t="n"/>
      <c r="Q10" s="804" t="n"/>
      <c r="R10" s="804" t="n"/>
      <c r="S10" s="804" t="n"/>
      <c r="T10" s="804" t="n"/>
      <c r="U10" s="804" t="n"/>
      <c r="V10" s="804" t="n"/>
      <c r="W10" s="804" t="n"/>
      <c r="X10" s="804" t="n"/>
    </row>
    <row r="11" ht="31" customHeight="1" s="254">
      <c r="A11" s="781" t="inlineStr">
        <is>
          <t>Conductor insulation rating (C)</t>
        </is>
      </c>
      <c r="B11" s="818" t="n">
        <v>90</v>
      </c>
      <c r="C11" s="814" t="inlineStr">
        <is>
          <t>What the wire is rated for. THHN/XHHW-2 is 90 C. The ambient correction is applied to this column.</t>
        </is>
      </c>
      <c r="I11" s="804" t="n"/>
      <c r="J11" s="804" t="n"/>
      <c r="K11" s="804" t="n"/>
      <c r="L11" s="804" t="n"/>
      <c r="M11" s="804" t="n"/>
      <c r="N11" s="804" t="n"/>
      <c r="O11" s="804" t="n"/>
      <c r="P11" s="804" t="n"/>
      <c r="Q11" s="804" t="n"/>
      <c r="R11" s="804" t="n"/>
      <c r="S11" s="804" t="n"/>
      <c r="T11" s="804" t="n"/>
      <c r="U11" s="804" t="n"/>
      <c r="V11" s="804" t="n"/>
      <c r="W11" s="804" t="n"/>
      <c r="X11" s="804" t="n"/>
    </row>
    <row r="12" ht="31" customHeight="1" s="254">
      <c r="A12" s="781" t="inlineStr">
        <is>
          <t>Termination rating (C)</t>
        </is>
      </c>
      <c r="B12" s="818" t="n">
        <v>75</v>
      </c>
      <c r="C12" s="814" t="inlineStr">
        <is>
          <t>NEC 110.14(C). The corrected ampacity is capped here. 60 C lugs on the gear or the charger change every size on this tab.</t>
        </is>
      </c>
      <c r="I12" s="804" t="n"/>
      <c r="J12" s="804" t="n"/>
      <c r="K12" s="804" t="n"/>
      <c r="L12" s="804" t="n"/>
      <c r="M12" s="804" t="n"/>
      <c r="N12" s="804" t="n"/>
      <c r="O12" s="804" t="n"/>
      <c r="P12" s="804" t="n"/>
      <c r="Q12" s="804" t="n"/>
      <c r="R12" s="804" t="n"/>
      <c r="S12" s="804" t="n"/>
      <c r="T12" s="804" t="n"/>
      <c r="U12" s="804" t="n"/>
      <c r="V12" s="804" t="n"/>
      <c r="W12" s="804" t="n"/>
      <c r="X12" s="804" t="n"/>
    </row>
    <row r="13" ht="31" customHeight="1" s="254">
      <c r="A13" s="781" t="inlineStr">
        <is>
          <t>Allowable voltage drop (%)</t>
        </is>
      </c>
      <c r="B13" s="839" t="n">
        <v>0.03</v>
      </c>
      <c r="C13" s="814" t="inlineStr">
        <is>
          <t>NEC treats voltage drop as an informational note, not a requirement. On a long run it is usually what decides the size, and the auto-sizing honours it.</t>
        </is>
      </c>
      <c r="I13" s="804" t="n"/>
      <c r="J13" s="804" t="n"/>
      <c r="K13" s="804" t="n"/>
      <c r="L13" s="804" t="n"/>
      <c r="M13" s="804" t="n"/>
      <c r="N13" s="804" t="n"/>
      <c r="O13" s="804" t="n"/>
      <c r="P13" s="804" t="n"/>
      <c r="Q13" s="804" t="n"/>
      <c r="R13" s="804" t="n"/>
      <c r="S13" s="804" t="n"/>
      <c r="T13" s="804" t="n"/>
      <c r="U13" s="804" t="n"/>
      <c r="V13" s="804" t="n"/>
      <c r="W13" s="804" t="n"/>
      <c r="X13" s="804" t="n"/>
    </row>
    <row r="14" ht="16" customHeight="1" s="254">
      <c r="A14" s="811" t="n"/>
      <c r="B14" s="804" t="n"/>
      <c r="C14" s="804" t="n"/>
      <c r="D14" s="804" t="n"/>
      <c r="E14" s="804" t="n"/>
      <c r="F14" s="804" t="n"/>
      <c r="G14" s="804" t="n"/>
      <c r="H14" s="804" t="n"/>
      <c r="I14" s="804" t="n"/>
      <c r="J14" s="804" t="n"/>
      <c r="K14" s="804" t="n"/>
      <c r="L14" s="804" t="n"/>
      <c r="M14" s="804" t="n"/>
      <c r="N14" s="804" t="n"/>
      <c r="O14" s="804" t="n"/>
      <c r="P14" s="804" t="n"/>
      <c r="Q14" s="804" t="n"/>
      <c r="R14" s="804" t="n"/>
      <c r="S14" s="804" t="n"/>
      <c r="T14" s="804" t="n"/>
      <c r="U14" s="804" t="n"/>
      <c r="V14" s="804" t="n"/>
      <c r="W14" s="804" t="n"/>
      <c r="X14" s="804" t="n"/>
    </row>
    <row r="15" ht="19.75" customHeight="1" s="254">
      <c r="A15" s="798" t="inlineStr">
        <is>
          <t>B · CHARGER RUNS — switchgear or panel to every charger, built from the Equipment tab</t>
        </is>
      </c>
      <c r="I15" s="804" t="n"/>
      <c r="J15" s="804" t="n"/>
      <c r="K15" s="804" t="n"/>
      <c r="L15" s="804" t="n"/>
      <c r="M15" s="804" t="n"/>
      <c r="N15" s="804" t="n"/>
      <c r="O15" s="804" t="n"/>
      <c r="P15" s="804" t="n"/>
      <c r="Q15" s="804" t="n"/>
      <c r="R15" s="804" t="n"/>
      <c r="S15" s="804" t="n"/>
      <c r="T15" s="804" t="n"/>
      <c r="U15" s="804" t="n"/>
      <c r="V15" s="804" t="n"/>
      <c r="W15" s="804" t="n"/>
      <c r="X15" s="804" t="n"/>
    </row>
    <row r="16" ht="43.5" customHeight="1" s="254">
      <c r="A16" s="814" t="inlineStr">
        <is>
          <t>One row per charger unit — a standalone DC charger, a power cabinet or a Level 2 unit — listed in the order of the Equipment tab. Rows beyond the schedule stay blank. Type the DISTANCE (column F). Everything else is derived: the supply from the Project and Equipment tabs, the breaker from NEC 210/215 at 125%, the conductor from the corrected ampacity AND the voltage-drop allowance (block H shows the table), the ground from NEC 250.122, the conduit from RefData, the cost at RefData rates. A DC run carries a comms conduit; a Level 2 unit does not (it has its own modem). Overrides (L, M, R) are for the drawings; the verdict says when one is needed.</t>
        </is>
      </c>
      <c r="U16" s="804" t="n"/>
      <c r="V16" s="804" t="n"/>
      <c r="W16" s="804" t="n"/>
      <c r="X16" s="804" t="n"/>
    </row>
    <row r="17" ht="56" customHeight="1" s="254">
      <c r="A17" s="806" t="inlineStr">
        <is>
          <t>Charger (auto)</t>
        </is>
      </c>
      <c r="B17" s="806" t="inlineStr">
        <is>
          <t>Equipment (auto)</t>
        </is>
      </c>
      <c r="C17" s="806" t="inlineStr">
        <is>
          <t>Supply (auto)</t>
        </is>
      </c>
      <c r="D17" s="806" t="inlineStr">
        <is>
          <t>kW (auto)</t>
        </is>
      </c>
      <c r="E17" s="806" t="inlineStr">
        <is>
          <t>Circuit (blank = own; same name = shared)</t>
        </is>
      </c>
      <c r="F17" s="806" t="inlineStr">
        <is>
          <t>Distance (ft)</t>
        </is>
      </c>
      <c r="G17" s="806" t="inlineStr">
        <is>
          <t>Shares a trench? (Yes)</t>
        </is>
      </c>
      <c r="H17" s="806" t="inlineStr">
        <is>
          <t>Design A (auto)</t>
        </is>
      </c>
      <c r="I17" s="806" t="inlineStr">
        <is>
          <t>125% A (auto)</t>
        </is>
      </c>
      <c r="J17" s="806" t="inlineStr">
        <is>
          <t>Breaker A (auto)</t>
        </is>
      </c>
      <c r="K17" s="806" t="inlineStr">
        <is>
          <t>Conductor (auto)</t>
        </is>
      </c>
      <c r="L17" s="806" t="inlineStr">
        <is>
          <t>Conductor override</t>
        </is>
      </c>
      <c r="M17" s="806" t="inlineStr">
        <is>
          <t>Sets (blank = auto)</t>
        </is>
      </c>
      <c r="N17" s="806" t="inlineStr">
        <is>
          <t>Ampacity A (auto)</t>
        </is>
      </c>
      <c r="O17" s="806" t="inlineStr">
        <is>
          <t>Volt drop (auto)</t>
        </is>
      </c>
      <c r="P17" s="806" t="inlineStr">
        <is>
          <t>Ground (auto)</t>
        </is>
      </c>
      <c r="Q17" s="806" t="inlineStr">
        <is>
          <t>Conduit (auto)</t>
        </is>
      </c>
      <c r="R17" s="806" t="inlineStr">
        <is>
          <t>Conduit override</t>
        </is>
      </c>
      <c r="S17" s="806" t="inlineStr">
        <is>
          <t>Material $ (auto)</t>
        </is>
      </c>
      <c r="T17" s="806" t="inlineStr">
        <is>
          <t>Verdict (auto)</t>
        </is>
      </c>
      <c r="U17" s="806" t="inlineStr">
        <is>
          <t>Needs dist. (auto)</t>
        </is>
      </c>
      <c r="V17" s="806" t="inlineStr">
        <is>
          <t>Stream (auto)</t>
        </is>
      </c>
      <c r="W17" s="806" t="inlineStr">
        <is>
          <t>Line (auto)</t>
        </is>
      </c>
      <c r="X17" s="806" t="inlineStr">
        <is>
          <t>Sets in force (auto)</t>
        </is>
      </c>
    </row>
    <row r="18" ht="16" customHeight="1" s="254">
      <c r="A18" s="862">
        <f>IF($W18="","","Charger 1")</f>
        <v/>
      </c>
      <c r="B18" s="863">
        <f>IF($W18="","","Line "&amp;$W18&amp;" · "&amp;INDEX(Equipment!$C$7:$C$18,$W18)&amp;" · "&amp;INDEX(Equipment!$B$7:$B$18,$W18)&amp;" · #"&amp;(1-INDEX(Equipment!$R$7:$R$18,$W18)+1)&amp;" of "&amp;INDEX(Equipment!$I$7:$I$18,$W18))</f>
        <v/>
      </c>
      <c r="C18" s="863">
        <f>IF($W18="","",IF($V18="L2",TEXT(N(Equipment!$B$30),"0")&amp;" V 1-ph",TEXT(Project!$B$29,"0")&amp;" V 3-ph"))</f>
        <v/>
      </c>
      <c r="D18" s="864">
        <f>IF($W18="","",INDEX(Equipment!$G$7:$G$18,$W18))</f>
        <v/>
      </c>
      <c r="E18" s="807" t="n"/>
      <c r="F18" s="831" t="n"/>
      <c r="G18" s="807" t="n"/>
      <c r="H18" s="865">
        <f>IF($U18&lt;&gt;1,"",IF($E18="",N($D18),SUMIF($E$18:$E$77,$E18,$D$18:$D$77))*1000/(IF($V18="L2",N(Equipment!$B$30),Project!$B$29)*IF($V18="L2",1,SQRT(3))))</f>
        <v/>
      </c>
      <c r="I18" s="865">
        <f>IF(N($H18)=0,"",N($H18)*1.25)</f>
        <v/>
      </c>
      <c r="J18" s="865">
        <f>IF(N($I18)=0,"",IF(ISNUMBER(MATCH($I18,OCPD_LIST,0)),$I18,IF($I18&gt;MAX(OCPD_LIST),"ABOVE LIST",INDEX(OCPD_LIST,MATCH($I18,OCPD_LIST,1)+1))))</f>
        <v/>
      </c>
      <c r="K18" s="863">
        <f>IF(OR(N($I18)=0,$B$10=""),"",IF(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gt;ROWS(SZ_SIZE),"PARALLEL SETS",INDEX(SZ_SIZE,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f>
        <v/>
      </c>
      <c r="L18" s="807" t="n"/>
      <c r="M18" s="831" t="n"/>
      <c r="N18" s="865">
        <f>IF(OR(IF($L18&lt;&gt;"",$L18,$K18)="",IF($L18&lt;&gt;"",$L18,$K18)="PARALLEL SETS"),"",IFERROR(INDEX(SZ_AMP,MATCH(IF($L18&lt;&gt;"",$L18,$K18),SZ_SIZE,0))*IF(N($M18)&gt;0,N($M18),MAX(1,N(IFERROR(INDEX(SPEC_CIRC,MATCH(INDEX(Equipment!$C$7:$C$18,MAX(1,N($W18))),SPEC_SKU,0)),1)))),""))</f>
        <v/>
      </c>
      <c r="O18" s="866">
        <f>IF(OR(N($N18)=0,N($F18)=0),"",IFERROR(IF($V18="L2",2,SQRT(3))*N($H18)/IF(N($M18)&gt;0,N($M18),MAX(1,N(IFERROR(INDEX(SPEC_CIRC,MATCH(INDEX(Equipment!$C$7:$C$18,MAX(1,N($W18))),SPEC_SKU,0)),1))))*N($F18)*INDEX(SZ_Z,MATCH(IF($L18&lt;&gt;"",$L18,$K18),SZ_SIZE,0))/1000/IF($V18="L2",N(Equipment!$B$30),Project!$B$29),""))</f>
        <v/>
      </c>
      <c r="P18" s="863">
        <f>IF(N($J18)=0,"",IFERROR(INDEX(IF($B$6="Cu",EGC_CU,EGC_AL),MATCH($J18,EGC_OCPD,1)+IF(ISNUMBER(MATCH($J18,EGC_OCPD,0)),0,1)),""))</f>
        <v/>
      </c>
      <c r="Q18" s="863">
        <f>IF(N($N18)=0,"",IFERROR(INDEX(IF($V18="L2",CND_2G,CND_3G),MATCH(IF($L18&lt;&gt;"",$L18,$K18),CND_SIZE,0)),""))</f>
        <v/>
      </c>
      <c r="R18" s="807" t="n"/>
      <c r="S18" s="867">
        <f>IF(OR(N($F18)=0,N($N18)=0),0,IFERROR(N($F18)*IF(N($M18)&gt;0,N($M18),MAX(1,N(IFERROR(INDEX(SPEC_CIRC,MATCH(INDEX(Equipment!$C$7:$C$18,MAX(1,N($W18))),SPEC_SKU,0)),1))))*IF($V18="L2",2,3)*INDEX(IF($B$6="Cu",WIRE_CU,WIRE_AL),MATCH(IF($L18&lt;&gt;"",$L18,$K18),WIRE_SIZE,0)),0)+IFERROR(N($F18)*IF(N($M18)&gt;0,N($M18),MAX(1,N(IFERROR(INDEX(SPEC_CIRC,MATCH(INDEX(Equipment!$C$7:$C$18,MAX(1,N($W18))),SPEC_SKU,0)),1))))*INDEX(IF($B$6="Cu",WIRE_CU,WIRE_AL),MATCH($P18,WIRE_SIZE,0)),0)+IFERROR(N($F18)*IF(N($M18)&gt;0,N($M18),MAX(1,N(IFERROR(INDEX(SPEC_CIRC,MATCH(INDEX(Equipment!$C$7:$C$18,MAX(1,N($W18))),SPEC_SKU,0)),1))))*INDEX(PVC_RATE,MATCH(IF($R18&lt;&gt;"",$R18,$Q18),PVC_SIZE,0)),0)+IF($V18="L2",0,IFERROR(N($F18)*INDEX(PVC_RATE,MATCH("(3/4"")",PVC_SIZE,0)),0)))</f>
        <v/>
      </c>
      <c r="T18" s="863">
        <f>IF($W18="","",IF($U18=0,"shared — on circuit "&amp;$E18&amp;", sized and priced on its first unit",IF(N($F18)=0,"ENTER THE DISTANCE",IF($B$10="","SET THE DESIGN AMBIENT in block A — nothing on this row can be trusted until it is",IF(IF($L18&lt;&gt;"",$L18,$K18)="PARALLEL SETS","PARALLEL SETS NEEDED — no single conductor carries "&amp;TEXT(N($I18),"#,##0")&amp;" A within the drop allowance; enter sets in column M",IF(N($N18)=0,"no ampacity on file for the override size — NEC Table 310.16 does not list it",IF(N($N18)&lt;IF(N($J18)&gt;800,N($J18),N($I18)),"UNDERSIZED — "&amp;TEXT(N($N18),"#,##0")&amp;" A provided against a floor of "&amp;TEXT(IF(N($J18)&gt;800,N($J18),N($I18)),"#,##0")&amp;" A",IF(N($O18)&gt;$B$13,"ampacity OK but voltage drop "&amp;TEXT(N($O18),"0.0%")&amp;" exceeds the allowance — ADVISORY, upsize the override","OK — "&amp;IF(IF(N($M18)&gt;0,N($M18),MAX(1,N(IFERROR(INDEX(SPEC_CIRC,MATCH(INDEX(Equipment!$C$7:$C$18,MAX(1,N($W18))),SPEC_SKU,0)),1))))&gt;1,TEXT(IF(N($M18)&gt;0,N($M18),MAX(1,N(IFERROR(INDEX(SPEC_CIRC,MATCH(INDEX(Equipment!$C$7:$C$18,MAX(1,N($W18))),SPEC_SKU,0)),1)))),"0")&amp;" sets of ","")&amp;IF($L18&lt;&gt;"",$L18,$K18)&amp;IF($L18&lt;&gt;""," (override)","")&amp;", "&amp;TEXT(N($N18),"#,##0")&amp;" A against a "&amp;TEXT(IF(N($J18)&gt;800,N($J18),N($I18)),"#,##0")&amp;" A floor; drop "&amp;TEXT(N($O18),"0.0%")&amp;" (ADVISORY)"))))))))</f>
        <v/>
      </c>
      <c r="U18" s="868">
        <f>IF($W18="",0,IF($E18="",1,IF(MATCH($E18,$E$18:$E$77,0)=1,1,0)))</f>
        <v/>
      </c>
      <c r="V18" s="869">
        <f>IF($W18="","",IF(INDEX(Equipment!$E$7:$E$18,$W18)="level_2","L2",IF(INDEX(Equipment!$E$7:$E$18,$W18)="power_cabinet","CAB","DC")))</f>
        <v/>
      </c>
      <c r="W18" s="868">
        <f>IF(N($B$80)&gt;=1,COUNTIF(Equipment!$S$7:$S$18,"&lt;1")+1,"")</f>
        <v/>
      </c>
      <c r="X18" s="868">
        <f>IF($U18&lt;&gt;1,"",IF(N($M18)&gt;0,N($M18),MAX(1,N(IFERROR(INDEX(SPEC_CIRC,MATCH(INDEX(Equipment!$C$7:$C$18,MAX(1,N($W18))),SPEC_SKU,0)),1)))))</f>
        <v/>
      </c>
    </row>
    <row r="19" ht="16" customHeight="1" s="254">
      <c r="A19" s="862">
        <f>IF($W19="","","Charger 2")</f>
        <v/>
      </c>
      <c r="B19" s="863">
        <f>IF($W19="","","Line "&amp;$W19&amp;" · "&amp;INDEX(Equipment!$C$7:$C$18,$W19)&amp;" · "&amp;INDEX(Equipment!$B$7:$B$18,$W19)&amp;" · #"&amp;(2-INDEX(Equipment!$R$7:$R$18,$W19)+1)&amp;" of "&amp;INDEX(Equipment!$I$7:$I$18,$W19))</f>
        <v/>
      </c>
      <c r="C19" s="863">
        <f>IF($W19="","",IF($V19="L2",TEXT(N(Equipment!$B$30),"0")&amp;" V 1-ph",TEXT(Project!$B$29,"0")&amp;" V 3-ph"))</f>
        <v/>
      </c>
      <c r="D19" s="864">
        <f>IF($W19="","",INDEX(Equipment!$G$7:$G$18,$W19))</f>
        <v/>
      </c>
      <c r="E19" s="807" t="n"/>
      <c r="F19" s="831" t="n"/>
      <c r="G19" s="807" t="n"/>
      <c r="H19" s="865">
        <f>IF($U19&lt;&gt;1,"",IF($E19="",N($D19),SUMIF($E$18:$E$77,$E19,$D$18:$D$77))*1000/(IF($V19="L2",N(Equipment!$B$30),Project!$B$29)*IF($V19="L2",1,SQRT(3))))</f>
        <v/>
      </c>
      <c r="I19" s="865">
        <f>IF(N($H19)=0,"",N($H19)*1.25)</f>
        <v/>
      </c>
      <c r="J19" s="865">
        <f>IF(N($I19)=0,"",IF(ISNUMBER(MATCH($I19,OCPD_LIST,0)),$I19,IF($I19&gt;MAX(OCPD_LIST),"ABOVE LIST",INDEX(OCPD_LIST,MATCH($I19,OCPD_LIST,1)+1))))</f>
        <v/>
      </c>
      <c r="K19" s="863">
        <f>IF(OR(N($I19)=0,$B$10=""),"",IF(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gt;ROWS(SZ_SIZE),"PARALLEL SETS",INDEX(SZ_SIZE,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f>
        <v/>
      </c>
      <c r="L19" s="807" t="n"/>
      <c r="M19" s="831" t="n"/>
      <c r="N19" s="865">
        <f>IF(OR(IF($L19&lt;&gt;"",$L19,$K19)="",IF($L19&lt;&gt;"",$L19,$K19)="PARALLEL SETS"),"",IFERROR(INDEX(SZ_AMP,MATCH(IF($L19&lt;&gt;"",$L19,$K19),SZ_SIZE,0))*IF(N($M19)&gt;0,N($M19),MAX(1,N(IFERROR(INDEX(SPEC_CIRC,MATCH(INDEX(Equipment!$C$7:$C$18,MAX(1,N($W19))),SPEC_SKU,0)),1)))),""))</f>
        <v/>
      </c>
      <c r="O19" s="866">
        <f>IF(OR(N($N19)=0,N($F19)=0),"",IFERROR(IF($V19="L2",2,SQRT(3))*N($H19)/IF(N($M19)&gt;0,N($M19),MAX(1,N(IFERROR(INDEX(SPEC_CIRC,MATCH(INDEX(Equipment!$C$7:$C$18,MAX(1,N($W19))),SPEC_SKU,0)),1))))*N($F19)*INDEX(SZ_Z,MATCH(IF($L19&lt;&gt;"",$L19,$K19),SZ_SIZE,0))/1000/IF($V19="L2",N(Equipment!$B$30),Project!$B$29),""))</f>
        <v/>
      </c>
      <c r="P19" s="863">
        <f>IF(N($J19)=0,"",IFERROR(INDEX(IF($B$6="Cu",EGC_CU,EGC_AL),MATCH($J19,EGC_OCPD,1)+IF(ISNUMBER(MATCH($J19,EGC_OCPD,0)),0,1)),""))</f>
        <v/>
      </c>
      <c r="Q19" s="863">
        <f>IF(N($N19)=0,"",IFERROR(INDEX(IF($V19="L2",CND_2G,CND_3G),MATCH(IF($L19&lt;&gt;"",$L19,$K19),CND_SIZE,0)),""))</f>
        <v/>
      </c>
      <c r="R19" s="807" t="n"/>
      <c r="S19" s="867">
        <f>IF(OR(N($F19)=0,N($N19)=0),0,IFERROR(N($F19)*IF(N($M19)&gt;0,N($M19),MAX(1,N(IFERROR(INDEX(SPEC_CIRC,MATCH(INDEX(Equipment!$C$7:$C$18,MAX(1,N($W19))),SPEC_SKU,0)),1))))*IF($V19="L2",2,3)*INDEX(IF($B$6="Cu",WIRE_CU,WIRE_AL),MATCH(IF($L19&lt;&gt;"",$L19,$K19),WIRE_SIZE,0)),0)+IFERROR(N($F19)*IF(N($M19)&gt;0,N($M19),MAX(1,N(IFERROR(INDEX(SPEC_CIRC,MATCH(INDEX(Equipment!$C$7:$C$18,MAX(1,N($W19))),SPEC_SKU,0)),1))))*INDEX(IF($B$6="Cu",WIRE_CU,WIRE_AL),MATCH($P19,WIRE_SIZE,0)),0)+IFERROR(N($F19)*IF(N($M19)&gt;0,N($M19),MAX(1,N(IFERROR(INDEX(SPEC_CIRC,MATCH(INDEX(Equipment!$C$7:$C$18,MAX(1,N($W19))),SPEC_SKU,0)),1))))*INDEX(PVC_RATE,MATCH(IF($R19&lt;&gt;"",$R19,$Q19),PVC_SIZE,0)),0)+IF($V19="L2",0,IFERROR(N($F19)*INDEX(PVC_RATE,MATCH("(3/4"")",PVC_SIZE,0)),0)))</f>
        <v/>
      </c>
      <c r="T19" s="863">
        <f>IF($W19="","",IF($U19=0,"shared — on circuit "&amp;$E19&amp;", sized and priced on its first unit",IF(N($F19)=0,"ENTER THE DISTANCE",IF($B$10="","SET THE DESIGN AMBIENT in block A — nothing on this row can be trusted until it is",IF(IF($L19&lt;&gt;"",$L19,$K19)="PARALLEL SETS","PARALLEL SETS NEEDED — no single conductor carries "&amp;TEXT(N($I19),"#,##0")&amp;" A within the drop allowance; enter sets in column M",IF(N($N19)=0,"no ampacity on file for the override size — NEC Table 310.16 does not list it",IF(N($N19)&lt;IF(N($J19)&gt;800,N($J19),N($I19)),"UNDERSIZED — "&amp;TEXT(N($N19),"#,##0")&amp;" A provided against a floor of "&amp;TEXT(IF(N($J19)&gt;800,N($J19),N($I19)),"#,##0")&amp;" A",IF(N($O19)&gt;$B$13,"ampacity OK but voltage drop "&amp;TEXT(N($O19),"0.0%")&amp;" exceeds the allowance — ADVISORY, upsize the override","OK — "&amp;IF(IF(N($M19)&gt;0,N($M19),MAX(1,N(IFERROR(INDEX(SPEC_CIRC,MATCH(INDEX(Equipment!$C$7:$C$18,MAX(1,N($W19))),SPEC_SKU,0)),1))))&gt;1,TEXT(IF(N($M19)&gt;0,N($M19),MAX(1,N(IFERROR(INDEX(SPEC_CIRC,MATCH(INDEX(Equipment!$C$7:$C$18,MAX(1,N($W19))),SPEC_SKU,0)),1)))),"0")&amp;" sets of ","")&amp;IF($L19&lt;&gt;"",$L19,$K19)&amp;IF($L19&lt;&gt;""," (override)","")&amp;", "&amp;TEXT(N($N19),"#,##0")&amp;" A against a "&amp;TEXT(IF(N($J19)&gt;800,N($J19),N($I19)),"#,##0")&amp;" A floor; drop "&amp;TEXT(N($O19),"0.0%")&amp;" (ADVISORY)"))))))))</f>
        <v/>
      </c>
      <c r="U19" s="868">
        <f>IF($W19="",0,IF($E19="",1,IF(MATCH($E19,$E$18:$E$77,0)=2,1,0)))</f>
        <v/>
      </c>
      <c r="V19" s="869">
        <f>IF($W19="","",IF(INDEX(Equipment!$E$7:$E$18,$W19)="level_2","L2",IF(INDEX(Equipment!$E$7:$E$18,$W19)="power_cabinet","CAB","DC")))</f>
        <v/>
      </c>
      <c r="W19" s="868">
        <f>IF(N($B$80)&gt;=2,COUNTIF(Equipment!$S$7:$S$18,"&lt;2")+1,"")</f>
        <v/>
      </c>
      <c r="X19" s="868">
        <f>IF($U19&lt;&gt;1,"",IF(N($M19)&gt;0,N($M19),MAX(1,N(IFERROR(INDEX(SPEC_CIRC,MATCH(INDEX(Equipment!$C$7:$C$18,MAX(1,N($W19))),SPEC_SKU,0)),1)))))</f>
        <v/>
      </c>
    </row>
    <row r="20" ht="16" customHeight="1" s="254">
      <c r="A20" s="862">
        <f>IF($W20="","","Charger 3")</f>
        <v/>
      </c>
      <c r="B20" s="863">
        <f>IF($W20="","","Line "&amp;$W20&amp;" · "&amp;INDEX(Equipment!$C$7:$C$18,$W20)&amp;" · "&amp;INDEX(Equipment!$B$7:$B$18,$W20)&amp;" · #"&amp;(3-INDEX(Equipment!$R$7:$R$18,$W20)+1)&amp;" of "&amp;INDEX(Equipment!$I$7:$I$18,$W20))</f>
        <v/>
      </c>
      <c r="C20" s="863">
        <f>IF($W20="","",IF($V20="L2",TEXT(N(Equipment!$B$30),"0")&amp;" V 1-ph",TEXT(Project!$B$29,"0")&amp;" V 3-ph"))</f>
        <v/>
      </c>
      <c r="D20" s="864">
        <f>IF($W20="","",INDEX(Equipment!$G$7:$G$18,$W20))</f>
        <v/>
      </c>
      <c r="E20" s="807" t="n"/>
      <c r="F20" s="831" t="n"/>
      <c r="G20" s="807" t="n"/>
      <c r="H20" s="865">
        <f>IF($U20&lt;&gt;1,"",IF($E20="",N($D20),SUMIF($E$18:$E$77,$E20,$D$18:$D$77))*1000/(IF($V20="L2",N(Equipment!$B$30),Project!$B$29)*IF($V20="L2",1,SQRT(3))))</f>
        <v/>
      </c>
      <c r="I20" s="865">
        <f>IF(N($H20)=0,"",N($H20)*1.25)</f>
        <v/>
      </c>
      <c r="J20" s="865">
        <f>IF(N($I20)=0,"",IF(ISNUMBER(MATCH($I20,OCPD_LIST,0)),$I20,IF($I20&gt;MAX(OCPD_LIST),"ABOVE LIST",INDEX(OCPD_LIST,MATCH($I20,OCPD_LIST,1)+1))))</f>
        <v/>
      </c>
      <c r="K20" s="863">
        <f>IF(OR(N($I20)=0,$B$10=""),"",IF(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gt;ROWS(SZ_SIZE),"PARALLEL SETS",INDEX(SZ_SIZE,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f>
        <v/>
      </c>
      <c r="L20" s="807" t="n"/>
      <c r="M20" s="831" t="n"/>
      <c r="N20" s="865">
        <f>IF(OR(IF($L20&lt;&gt;"",$L20,$K20)="",IF($L20&lt;&gt;"",$L20,$K20)="PARALLEL SETS"),"",IFERROR(INDEX(SZ_AMP,MATCH(IF($L20&lt;&gt;"",$L20,$K20),SZ_SIZE,0))*IF(N($M20)&gt;0,N($M20),MAX(1,N(IFERROR(INDEX(SPEC_CIRC,MATCH(INDEX(Equipment!$C$7:$C$18,MAX(1,N($W20))),SPEC_SKU,0)),1)))),""))</f>
        <v/>
      </c>
      <c r="O20" s="866">
        <f>IF(OR(N($N20)=0,N($F20)=0),"",IFERROR(IF($V20="L2",2,SQRT(3))*N($H20)/IF(N($M20)&gt;0,N($M20),MAX(1,N(IFERROR(INDEX(SPEC_CIRC,MATCH(INDEX(Equipment!$C$7:$C$18,MAX(1,N($W20))),SPEC_SKU,0)),1))))*N($F20)*INDEX(SZ_Z,MATCH(IF($L20&lt;&gt;"",$L20,$K20),SZ_SIZE,0))/1000/IF($V20="L2",N(Equipment!$B$30),Project!$B$29),""))</f>
        <v/>
      </c>
      <c r="P20" s="863">
        <f>IF(N($J20)=0,"",IFERROR(INDEX(IF($B$6="Cu",EGC_CU,EGC_AL),MATCH($J20,EGC_OCPD,1)+IF(ISNUMBER(MATCH($J20,EGC_OCPD,0)),0,1)),""))</f>
        <v/>
      </c>
      <c r="Q20" s="863">
        <f>IF(N($N20)=0,"",IFERROR(INDEX(IF($V20="L2",CND_2G,CND_3G),MATCH(IF($L20&lt;&gt;"",$L20,$K20),CND_SIZE,0)),""))</f>
        <v/>
      </c>
      <c r="R20" s="807" t="n"/>
      <c r="S20" s="867">
        <f>IF(OR(N($F20)=0,N($N20)=0),0,IFERROR(N($F20)*IF(N($M20)&gt;0,N($M20),MAX(1,N(IFERROR(INDEX(SPEC_CIRC,MATCH(INDEX(Equipment!$C$7:$C$18,MAX(1,N($W20))),SPEC_SKU,0)),1))))*IF($V20="L2",2,3)*INDEX(IF($B$6="Cu",WIRE_CU,WIRE_AL),MATCH(IF($L20&lt;&gt;"",$L20,$K20),WIRE_SIZE,0)),0)+IFERROR(N($F20)*IF(N($M20)&gt;0,N($M20),MAX(1,N(IFERROR(INDEX(SPEC_CIRC,MATCH(INDEX(Equipment!$C$7:$C$18,MAX(1,N($W20))),SPEC_SKU,0)),1))))*INDEX(IF($B$6="Cu",WIRE_CU,WIRE_AL),MATCH($P20,WIRE_SIZE,0)),0)+IFERROR(N($F20)*IF(N($M20)&gt;0,N($M20),MAX(1,N(IFERROR(INDEX(SPEC_CIRC,MATCH(INDEX(Equipment!$C$7:$C$18,MAX(1,N($W20))),SPEC_SKU,0)),1))))*INDEX(PVC_RATE,MATCH(IF($R20&lt;&gt;"",$R20,$Q20),PVC_SIZE,0)),0)+IF($V20="L2",0,IFERROR(N($F20)*INDEX(PVC_RATE,MATCH("(3/4"")",PVC_SIZE,0)),0)))</f>
        <v/>
      </c>
      <c r="T20" s="863">
        <f>IF($W20="","",IF($U20=0,"shared — on circuit "&amp;$E20&amp;", sized and priced on its first unit",IF(N($F20)=0,"ENTER THE DISTANCE",IF($B$10="","SET THE DESIGN AMBIENT in block A — nothing on this row can be trusted until it is",IF(IF($L20&lt;&gt;"",$L20,$K20)="PARALLEL SETS","PARALLEL SETS NEEDED — no single conductor carries "&amp;TEXT(N($I20),"#,##0")&amp;" A within the drop allowance; enter sets in column M",IF(N($N20)=0,"no ampacity on file for the override size — NEC Table 310.16 does not list it",IF(N($N20)&lt;IF(N($J20)&gt;800,N($J20),N($I20)),"UNDERSIZED — "&amp;TEXT(N($N20),"#,##0")&amp;" A provided against a floor of "&amp;TEXT(IF(N($J20)&gt;800,N($J20),N($I20)),"#,##0")&amp;" A",IF(N($O20)&gt;$B$13,"ampacity OK but voltage drop "&amp;TEXT(N($O20),"0.0%")&amp;" exceeds the allowance — ADVISORY, upsize the override","OK — "&amp;IF(IF(N($M20)&gt;0,N($M20),MAX(1,N(IFERROR(INDEX(SPEC_CIRC,MATCH(INDEX(Equipment!$C$7:$C$18,MAX(1,N($W20))),SPEC_SKU,0)),1))))&gt;1,TEXT(IF(N($M20)&gt;0,N($M20),MAX(1,N(IFERROR(INDEX(SPEC_CIRC,MATCH(INDEX(Equipment!$C$7:$C$18,MAX(1,N($W20))),SPEC_SKU,0)),1)))),"0")&amp;" sets of ","")&amp;IF($L20&lt;&gt;"",$L20,$K20)&amp;IF($L20&lt;&gt;""," (override)","")&amp;", "&amp;TEXT(N($N20),"#,##0")&amp;" A against a "&amp;TEXT(IF(N($J20)&gt;800,N($J20),N($I20)),"#,##0")&amp;" A floor; drop "&amp;TEXT(N($O20),"0.0%")&amp;" (ADVISORY)"))))))))</f>
        <v/>
      </c>
      <c r="U20" s="868">
        <f>IF($W20="",0,IF($E20="",1,IF(MATCH($E20,$E$18:$E$77,0)=3,1,0)))</f>
        <v/>
      </c>
      <c r="V20" s="869">
        <f>IF($W20="","",IF(INDEX(Equipment!$E$7:$E$18,$W20)="level_2","L2",IF(INDEX(Equipment!$E$7:$E$18,$W20)="power_cabinet","CAB","DC")))</f>
        <v/>
      </c>
      <c r="W20" s="868">
        <f>IF(N($B$80)&gt;=3,COUNTIF(Equipment!$S$7:$S$18,"&lt;3")+1,"")</f>
        <v/>
      </c>
      <c r="X20" s="868">
        <f>IF($U20&lt;&gt;1,"",IF(N($M20)&gt;0,N($M20),MAX(1,N(IFERROR(INDEX(SPEC_CIRC,MATCH(INDEX(Equipment!$C$7:$C$18,MAX(1,N($W20))),SPEC_SKU,0)),1)))))</f>
        <v/>
      </c>
    </row>
    <row r="21" ht="16" customHeight="1" s="254">
      <c r="A21" s="862">
        <f>IF($W21="","","Charger 4")</f>
        <v/>
      </c>
      <c r="B21" s="863">
        <f>IF($W21="","","Line "&amp;$W21&amp;" · "&amp;INDEX(Equipment!$C$7:$C$18,$W21)&amp;" · "&amp;INDEX(Equipment!$B$7:$B$18,$W21)&amp;" · #"&amp;(4-INDEX(Equipment!$R$7:$R$18,$W21)+1)&amp;" of "&amp;INDEX(Equipment!$I$7:$I$18,$W21))</f>
        <v/>
      </c>
      <c r="C21" s="863">
        <f>IF($W21="","",IF($V21="L2",TEXT(N(Equipment!$B$30),"0")&amp;" V 1-ph",TEXT(Project!$B$29,"0")&amp;" V 3-ph"))</f>
        <v/>
      </c>
      <c r="D21" s="864">
        <f>IF($W21="","",INDEX(Equipment!$G$7:$G$18,$W21))</f>
        <v/>
      </c>
      <c r="E21" s="807" t="n"/>
      <c r="F21" s="831" t="n"/>
      <c r="G21" s="807" t="n"/>
      <c r="H21" s="865">
        <f>IF($U21&lt;&gt;1,"",IF($E21="",N($D21),SUMIF($E$18:$E$77,$E21,$D$18:$D$77))*1000/(IF($V21="L2",N(Equipment!$B$30),Project!$B$29)*IF($V21="L2",1,SQRT(3))))</f>
        <v/>
      </c>
      <c r="I21" s="865">
        <f>IF(N($H21)=0,"",N($H21)*1.25)</f>
        <v/>
      </c>
      <c r="J21" s="865">
        <f>IF(N($I21)=0,"",IF(ISNUMBER(MATCH($I21,OCPD_LIST,0)),$I21,IF($I21&gt;MAX(OCPD_LIST),"ABOVE LIST",INDEX(OCPD_LIST,MATCH($I21,OCPD_LIST,1)+1))))</f>
        <v/>
      </c>
      <c r="K21" s="863">
        <f>IF(OR(N($I21)=0,$B$10=""),"",IF(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gt;ROWS(SZ_SIZE),"PARALLEL SETS",INDEX(SZ_SIZE,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f>
        <v/>
      </c>
      <c r="L21" s="807" t="n"/>
      <c r="M21" s="831" t="n"/>
      <c r="N21" s="865">
        <f>IF(OR(IF($L21&lt;&gt;"",$L21,$K21)="",IF($L21&lt;&gt;"",$L21,$K21)="PARALLEL SETS"),"",IFERROR(INDEX(SZ_AMP,MATCH(IF($L21&lt;&gt;"",$L21,$K21),SZ_SIZE,0))*IF(N($M21)&gt;0,N($M21),MAX(1,N(IFERROR(INDEX(SPEC_CIRC,MATCH(INDEX(Equipment!$C$7:$C$18,MAX(1,N($W21))),SPEC_SKU,0)),1)))),""))</f>
        <v/>
      </c>
      <c r="O21" s="866">
        <f>IF(OR(N($N21)=0,N($F21)=0),"",IFERROR(IF($V21="L2",2,SQRT(3))*N($H21)/IF(N($M21)&gt;0,N($M21),MAX(1,N(IFERROR(INDEX(SPEC_CIRC,MATCH(INDEX(Equipment!$C$7:$C$18,MAX(1,N($W21))),SPEC_SKU,0)),1))))*N($F21)*INDEX(SZ_Z,MATCH(IF($L21&lt;&gt;"",$L21,$K21),SZ_SIZE,0))/1000/IF($V21="L2",N(Equipment!$B$30),Project!$B$29),""))</f>
        <v/>
      </c>
      <c r="P21" s="863">
        <f>IF(N($J21)=0,"",IFERROR(INDEX(IF($B$6="Cu",EGC_CU,EGC_AL),MATCH($J21,EGC_OCPD,1)+IF(ISNUMBER(MATCH($J21,EGC_OCPD,0)),0,1)),""))</f>
        <v/>
      </c>
      <c r="Q21" s="863">
        <f>IF(N($N21)=0,"",IFERROR(INDEX(IF($V21="L2",CND_2G,CND_3G),MATCH(IF($L21&lt;&gt;"",$L21,$K21),CND_SIZE,0)),""))</f>
        <v/>
      </c>
      <c r="R21" s="807" t="n"/>
      <c r="S21" s="867">
        <f>IF(OR(N($F21)=0,N($N21)=0),0,IFERROR(N($F21)*IF(N($M21)&gt;0,N($M21),MAX(1,N(IFERROR(INDEX(SPEC_CIRC,MATCH(INDEX(Equipment!$C$7:$C$18,MAX(1,N($W21))),SPEC_SKU,0)),1))))*IF($V21="L2",2,3)*INDEX(IF($B$6="Cu",WIRE_CU,WIRE_AL),MATCH(IF($L21&lt;&gt;"",$L21,$K21),WIRE_SIZE,0)),0)+IFERROR(N($F21)*IF(N($M21)&gt;0,N($M21),MAX(1,N(IFERROR(INDEX(SPEC_CIRC,MATCH(INDEX(Equipment!$C$7:$C$18,MAX(1,N($W21))),SPEC_SKU,0)),1))))*INDEX(IF($B$6="Cu",WIRE_CU,WIRE_AL),MATCH($P21,WIRE_SIZE,0)),0)+IFERROR(N($F21)*IF(N($M21)&gt;0,N($M21),MAX(1,N(IFERROR(INDEX(SPEC_CIRC,MATCH(INDEX(Equipment!$C$7:$C$18,MAX(1,N($W21))),SPEC_SKU,0)),1))))*INDEX(PVC_RATE,MATCH(IF($R21&lt;&gt;"",$R21,$Q21),PVC_SIZE,0)),0)+IF($V21="L2",0,IFERROR(N($F21)*INDEX(PVC_RATE,MATCH("(3/4"")",PVC_SIZE,0)),0)))</f>
        <v/>
      </c>
      <c r="T21" s="863">
        <f>IF($W21="","",IF($U21=0,"shared — on circuit "&amp;$E21&amp;", sized and priced on its first unit",IF(N($F21)=0,"ENTER THE DISTANCE",IF($B$10="","SET THE DESIGN AMBIENT in block A — nothing on this row can be trusted until it is",IF(IF($L21&lt;&gt;"",$L21,$K21)="PARALLEL SETS","PARALLEL SETS NEEDED — no single conductor carries "&amp;TEXT(N($I21),"#,##0")&amp;" A within the drop allowance; enter sets in column M",IF(N($N21)=0,"no ampacity on file for the override size — NEC Table 310.16 does not list it",IF(N($N21)&lt;IF(N($J21)&gt;800,N($J21),N($I21)),"UNDERSIZED — "&amp;TEXT(N($N21),"#,##0")&amp;" A provided against a floor of "&amp;TEXT(IF(N($J21)&gt;800,N($J21),N($I21)),"#,##0")&amp;" A",IF(N($O21)&gt;$B$13,"ampacity OK but voltage drop "&amp;TEXT(N($O21),"0.0%")&amp;" exceeds the allowance — ADVISORY, upsize the override","OK — "&amp;IF(IF(N($M21)&gt;0,N($M21),MAX(1,N(IFERROR(INDEX(SPEC_CIRC,MATCH(INDEX(Equipment!$C$7:$C$18,MAX(1,N($W21))),SPEC_SKU,0)),1))))&gt;1,TEXT(IF(N($M21)&gt;0,N($M21),MAX(1,N(IFERROR(INDEX(SPEC_CIRC,MATCH(INDEX(Equipment!$C$7:$C$18,MAX(1,N($W21))),SPEC_SKU,0)),1)))),"0")&amp;" sets of ","")&amp;IF($L21&lt;&gt;"",$L21,$K21)&amp;IF($L21&lt;&gt;""," (override)","")&amp;", "&amp;TEXT(N($N21),"#,##0")&amp;" A against a "&amp;TEXT(IF(N($J21)&gt;800,N($J21),N($I21)),"#,##0")&amp;" A floor; drop "&amp;TEXT(N($O21),"0.0%")&amp;" (ADVISORY)"))))))))</f>
        <v/>
      </c>
      <c r="U21" s="868">
        <f>IF($W21="",0,IF($E21="",1,IF(MATCH($E21,$E$18:$E$77,0)=4,1,0)))</f>
        <v/>
      </c>
      <c r="V21" s="869">
        <f>IF($W21="","",IF(INDEX(Equipment!$E$7:$E$18,$W21)="level_2","L2",IF(INDEX(Equipment!$E$7:$E$18,$W21)="power_cabinet","CAB","DC")))</f>
        <v/>
      </c>
      <c r="W21" s="868">
        <f>IF(N($B$80)&gt;=4,COUNTIF(Equipment!$S$7:$S$18,"&lt;4")+1,"")</f>
        <v/>
      </c>
      <c r="X21" s="868">
        <f>IF($U21&lt;&gt;1,"",IF(N($M21)&gt;0,N($M21),MAX(1,N(IFERROR(INDEX(SPEC_CIRC,MATCH(INDEX(Equipment!$C$7:$C$18,MAX(1,N($W21))),SPEC_SKU,0)),1)))))</f>
        <v/>
      </c>
    </row>
    <row r="22" ht="16" customHeight="1" s="254">
      <c r="A22" s="862">
        <f>IF($W22="","","Charger 5")</f>
        <v/>
      </c>
      <c r="B22" s="863">
        <f>IF($W22="","","Line "&amp;$W22&amp;" · "&amp;INDEX(Equipment!$C$7:$C$18,$W22)&amp;" · "&amp;INDEX(Equipment!$B$7:$B$18,$W22)&amp;" · #"&amp;(5-INDEX(Equipment!$R$7:$R$18,$W22)+1)&amp;" of "&amp;INDEX(Equipment!$I$7:$I$18,$W22))</f>
        <v/>
      </c>
      <c r="C22" s="863">
        <f>IF($W22="","",IF($V22="L2",TEXT(N(Equipment!$B$30),"0")&amp;" V 1-ph",TEXT(Project!$B$29,"0")&amp;" V 3-ph"))</f>
        <v/>
      </c>
      <c r="D22" s="864">
        <f>IF($W22="","",INDEX(Equipment!$G$7:$G$18,$W22))</f>
        <v/>
      </c>
      <c r="E22" s="807" t="n"/>
      <c r="F22" s="831" t="n"/>
      <c r="G22" s="807" t="n"/>
      <c r="H22" s="865">
        <f>IF($U22&lt;&gt;1,"",IF($E22="",N($D22),SUMIF($E$18:$E$77,$E22,$D$18:$D$77))*1000/(IF($V22="L2",N(Equipment!$B$30),Project!$B$29)*IF($V22="L2",1,SQRT(3))))</f>
        <v/>
      </c>
      <c r="I22" s="865">
        <f>IF(N($H22)=0,"",N($H22)*1.25)</f>
        <v/>
      </c>
      <c r="J22" s="865">
        <f>IF(N($I22)=0,"",IF(ISNUMBER(MATCH($I22,OCPD_LIST,0)),$I22,IF($I22&gt;MAX(OCPD_LIST),"ABOVE LIST",INDEX(OCPD_LIST,MATCH($I22,OCPD_LIST,1)+1))))</f>
        <v/>
      </c>
      <c r="K22" s="863">
        <f>IF(OR(N($I22)=0,$B$10=""),"",IF(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gt;ROWS(SZ_SIZE),"PARALLEL SETS",INDEX(SZ_SIZE,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f>
        <v/>
      </c>
      <c r="L22" s="807" t="n"/>
      <c r="M22" s="831" t="n"/>
      <c r="N22" s="865">
        <f>IF(OR(IF($L22&lt;&gt;"",$L22,$K22)="",IF($L22&lt;&gt;"",$L22,$K22)="PARALLEL SETS"),"",IFERROR(INDEX(SZ_AMP,MATCH(IF($L22&lt;&gt;"",$L22,$K22),SZ_SIZE,0))*IF(N($M22)&gt;0,N($M22),MAX(1,N(IFERROR(INDEX(SPEC_CIRC,MATCH(INDEX(Equipment!$C$7:$C$18,MAX(1,N($W22))),SPEC_SKU,0)),1)))),""))</f>
        <v/>
      </c>
      <c r="O22" s="866">
        <f>IF(OR(N($N22)=0,N($F22)=0),"",IFERROR(IF($V22="L2",2,SQRT(3))*N($H22)/IF(N($M22)&gt;0,N($M22),MAX(1,N(IFERROR(INDEX(SPEC_CIRC,MATCH(INDEX(Equipment!$C$7:$C$18,MAX(1,N($W22))),SPEC_SKU,0)),1))))*N($F22)*INDEX(SZ_Z,MATCH(IF($L22&lt;&gt;"",$L22,$K22),SZ_SIZE,0))/1000/IF($V22="L2",N(Equipment!$B$30),Project!$B$29),""))</f>
        <v/>
      </c>
      <c r="P22" s="863">
        <f>IF(N($J22)=0,"",IFERROR(INDEX(IF($B$6="Cu",EGC_CU,EGC_AL),MATCH($J22,EGC_OCPD,1)+IF(ISNUMBER(MATCH($J22,EGC_OCPD,0)),0,1)),""))</f>
        <v/>
      </c>
      <c r="Q22" s="863">
        <f>IF(N($N22)=0,"",IFERROR(INDEX(IF($V22="L2",CND_2G,CND_3G),MATCH(IF($L22&lt;&gt;"",$L22,$K22),CND_SIZE,0)),""))</f>
        <v/>
      </c>
      <c r="R22" s="807" t="n"/>
      <c r="S22" s="867">
        <f>IF(OR(N($F22)=0,N($N22)=0),0,IFERROR(N($F22)*IF(N($M22)&gt;0,N($M22),MAX(1,N(IFERROR(INDEX(SPEC_CIRC,MATCH(INDEX(Equipment!$C$7:$C$18,MAX(1,N($W22))),SPEC_SKU,0)),1))))*IF($V22="L2",2,3)*INDEX(IF($B$6="Cu",WIRE_CU,WIRE_AL),MATCH(IF($L22&lt;&gt;"",$L22,$K22),WIRE_SIZE,0)),0)+IFERROR(N($F22)*IF(N($M22)&gt;0,N($M22),MAX(1,N(IFERROR(INDEX(SPEC_CIRC,MATCH(INDEX(Equipment!$C$7:$C$18,MAX(1,N($W22))),SPEC_SKU,0)),1))))*INDEX(IF($B$6="Cu",WIRE_CU,WIRE_AL),MATCH($P22,WIRE_SIZE,0)),0)+IFERROR(N($F22)*IF(N($M22)&gt;0,N($M22),MAX(1,N(IFERROR(INDEX(SPEC_CIRC,MATCH(INDEX(Equipment!$C$7:$C$18,MAX(1,N($W22))),SPEC_SKU,0)),1))))*INDEX(PVC_RATE,MATCH(IF($R22&lt;&gt;"",$R22,$Q22),PVC_SIZE,0)),0)+IF($V22="L2",0,IFERROR(N($F22)*INDEX(PVC_RATE,MATCH("(3/4"")",PVC_SIZE,0)),0)))</f>
        <v/>
      </c>
      <c r="T22" s="863">
        <f>IF($W22="","",IF($U22=0,"shared — on circuit "&amp;$E22&amp;", sized and priced on its first unit",IF(N($F22)=0,"ENTER THE DISTANCE",IF($B$10="","SET THE DESIGN AMBIENT in block A — nothing on this row can be trusted until it is",IF(IF($L22&lt;&gt;"",$L22,$K22)="PARALLEL SETS","PARALLEL SETS NEEDED — no single conductor carries "&amp;TEXT(N($I22),"#,##0")&amp;" A within the drop allowance; enter sets in column M",IF(N($N22)=0,"no ampacity on file for the override size — NEC Table 310.16 does not list it",IF(N($N22)&lt;IF(N($J22)&gt;800,N($J22),N($I22)),"UNDERSIZED — "&amp;TEXT(N($N22),"#,##0")&amp;" A provided against a floor of "&amp;TEXT(IF(N($J22)&gt;800,N($J22),N($I22)),"#,##0")&amp;" A",IF(N($O22)&gt;$B$13,"ampacity OK but voltage drop "&amp;TEXT(N($O22),"0.0%")&amp;" exceeds the allowance — ADVISORY, upsize the override","OK — "&amp;IF(IF(N($M22)&gt;0,N($M22),MAX(1,N(IFERROR(INDEX(SPEC_CIRC,MATCH(INDEX(Equipment!$C$7:$C$18,MAX(1,N($W22))),SPEC_SKU,0)),1))))&gt;1,TEXT(IF(N($M22)&gt;0,N($M22),MAX(1,N(IFERROR(INDEX(SPEC_CIRC,MATCH(INDEX(Equipment!$C$7:$C$18,MAX(1,N($W22))),SPEC_SKU,0)),1)))),"0")&amp;" sets of ","")&amp;IF($L22&lt;&gt;"",$L22,$K22)&amp;IF($L22&lt;&gt;""," (override)","")&amp;", "&amp;TEXT(N($N22),"#,##0")&amp;" A against a "&amp;TEXT(IF(N($J22)&gt;800,N($J22),N($I22)),"#,##0")&amp;" A floor; drop "&amp;TEXT(N($O22),"0.0%")&amp;" (ADVISORY)"))))))))</f>
        <v/>
      </c>
      <c r="U22" s="868">
        <f>IF($W22="",0,IF($E22="",1,IF(MATCH($E22,$E$18:$E$77,0)=5,1,0)))</f>
        <v/>
      </c>
      <c r="V22" s="869">
        <f>IF($W22="","",IF(INDEX(Equipment!$E$7:$E$18,$W22)="level_2","L2",IF(INDEX(Equipment!$E$7:$E$18,$W22)="power_cabinet","CAB","DC")))</f>
        <v/>
      </c>
      <c r="W22" s="868">
        <f>IF(N($B$80)&gt;=5,COUNTIF(Equipment!$S$7:$S$18,"&lt;5")+1,"")</f>
        <v/>
      </c>
      <c r="X22" s="868">
        <f>IF($U22&lt;&gt;1,"",IF(N($M22)&gt;0,N($M22),MAX(1,N(IFERROR(INDEX(SPEC_CIRC,MATCH(INDEX(Equipment!$C$7:$C$18,MAX(1,N($W22))),SPEC_SKU,0)),1)))))</f>
        <v/>
      </c>
    </row>
    <row r="23" ht="16" customHeight="1" s="254">
      <c r="A23" s="862">
        <f>IF($W23="","","Charger 6")</f>
        <v/>
      </c>
      <c r="B23" s="863">
        <f>IF($W23="","","Line "&amp;$W23&amp;" · "&amp;INDEX(Equipment!$C$7:$C$18,$W23)&amp;" · "&amp;INDEX(Equipment!$B$7:$B$18,$W23)&amp;" · #"&amp;(6-INDEX(Equipment!$R$7:$R$18,$W23)+1)&amp;" of "&amp;INDEX(Equipment!$I$7:$I$18,$W23))</f>
        <v/>
      </c>
      <c r="C23" s="863">
        <f>IF($W23="","",IF($V23="L2",TEXT(N(Equipment!$B$30),"0")&amp;" V 1-ph",TEXT(Project!$B$29,"0")&amp;" V 3-ph"))</f>
        <v/>
      </c>
      <c r="D23" s="864">
        <f>IF($W23="","",INDEX(Equipment!$G$7:$G$18,$W23))</f>
        <v/>
      </c>
      <c r="E23" s="807" t="n"/>
      <c r="F23" s="831" t="n"/>
      <c r="G23" s="807" t="n"/>
      <c r="H23" s="865">
        <f>IF($U23&lt;&gt;1,"",IF($E23="",N($D23),SUMIF($E$18:$E$77,$E23,$D$18:$D$77))*1000/(IF($V23="L2",N(Equipment!$B$30),Project!$B$29)*IF($V23="L2",1,SQRT(3))))</f>
        <v/>
      </c>
      <c r="I23" s="865">
        <f>IF(N($H23)=0,"",N($H23)*1.25)</f>
        <v/>
      </c>
      <c r="J23" s="865">
        <f>IF(N($I23)=0,"",IF(ISNUMBER(MATCH($I23,OCPD_LIST,0)),$I23,IF($I23&gt;MAX(OCPD_LIST),"ABOVE LIST",INDEX(OCPD_LIST,MATCH($I23,OCPD_LIST,1)+1))))</f>
        <v/>
      </c>
      <c r="K23" s="863">
        <f>IF(OR(N($I23)=0,$B$10=""),"",IF(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gt;ROWS(SZ_SIZE),"PARALLEL SETS",INDEX(SZ_SIZE,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f>
        <v/>
      </c>
      <c r="L23" s="807" t="n"/>
      <c r="M23" s="831" t="n"/>
      <c r="N23" s="865">
        <f>IF(OR(IF($L23&lt;&gt;"",$L23,$K23)="",IF($L23&lt;&gt;"",$L23,$K23)="PARALLEL SETS"),"",IFERROR(INDEX(SZ_AMP,MATCH(IF($L23&lt;&gt;"",$L23,$K23),SZ_SIZE,0))*IF(N($M23)&gt;0,N($M23),MAX(1,N(IFERROR(INDEX(SPEC_CIRC,MATCH(INDEX(Equipment!$C$7:$C$18,MAX(1,N($W23))),SPEC_SKU,0)),1)))),""))</f>
        <v/>
      </c>
      <c r="O23" s="866">
        <f>IF(OR(N($N23)=0,N($F23)=0),"",IFERROR(IF($V23="L2",2,SQRT(3))*N($H23)/IF(N($M23)&gt;0,N($M23),MAX(1,N(IFERROR(INDEX(SPEC_CIRC,MATCH(INDEX(Equipment!$C$7:$C$18,MAX(1,N($W23))),SPEC_SKU,0)),1))))*N($F23)*INDEX(SZ_Z,MATCH(IF($L23&lt;&gt;"",$L23,$K23),SZ_SIZE,0))/1000/IF($V23="L2",N(Equipment!$B$30),Project!$B$29),""))</f>
        <v/>
      </c>
      <c r="P23" s="863">
        <f>IF(N($J23)=0,"",IFERROR(INDEX(IF($B$6="Cu",EGC_CU,EGC_AL),MATCH($J23,EGC_OCPD,1)+IF(ISNUMBER(MATCH($J23,EGC_OCPD,0)),0,1)),""))</f>
        <v/>
      </c>
      <c r="Q23" s="863">
        <f>IF(N($N23)=0,"",IFERROR(INDEX(IF($V23="L2",CND_2G,CND_3G),MATCH(IF($L23&lt;&gt;"",$L23,$K23),CND_SIZE,0)),""))</f>
        <v/>
      </c>
      <c r="R23" s="807" t="n"/>
      <c r="S23" s="867">
        <f>IF(OR(N($F23)=0,N($N23)=0),0,IFERROR(N($F23)*IF(N($M23)&gt;0,N($M23),MAX(1,N(IFERROR(INDEX(SPEC_CIRC,MATCH(INDEX(Equipment!$C$7:$C$18,MAX(1,N($W23))),SPEC_SKU,0)),1))))*IF($V23="L2",2,3)*INDEX(IF($B$6="Cu",WIRE_CU,WIRE_AL),MATCH(IF($L23&lt;&gt;"",$L23,$K23),WIRE_SIZE,0)),0)+IFERROR(N($F23)*IF(N($M23)&gt;0,N($M23),MAX(1,N(IFERROR(INDEX(SPEC_CIRC,MATCH(INDEX(Equipment!$C$7:$C$18,MAX(1,N($W23))),SPEC_SKU,0)),1))))*INDEX(IF($B$6="Cu",WIRE_CU,WIRE_AL),MATCH($P23,WIRE_SIZE,0)),0)+IFERROR(N($F23)*IF(N($M23)&gt;0,N($M23),MAX(1,N(IFERROR(INDEX(SPEC_CIRC,MATCH(INDEX(Equipment!$C$7:$C$18,MAX(1,N($W23))),SPEC_SKU,0)),1))))*INDEX(PVC_RATE,MATCH(IF($R23&lt;&gt;"",$R23,$Q23),PVC_SIZE,0)),0)+IF($V23="L2",0,IFERROR(N($F23)*INDEX(PVC_RATE,MATCH("(3/4"")",PVC_SIZE,0)),0)))</f>
        <v/>
      </c>
      <c r="T23" s="863">
        <f>IF($W23="","",IF($U23=0,"shared — on circuit "&amp;$E23&amp;", sized and priced on its first unit",IF(N($F23)=0,"ENTER THE DISTANCE",IF($B$10="","SET THE DESIGN AMBIENT in block A — nothing on this row can be trusted until it is",IF(IF($L23&lt;&gt;"",$L23,$K23)="PARALLEL SETS","PARALLEL SETS NEEDED — no single conductor carries "&amp;TEXT(N($I23),"#,##0")&amp;" A within the drop allowance; enter sets in column M",IF(N($N23)=0,"no ampacity on file for the override size — NEC Table 310.16 does not list it",IF(N($N23)&lt;IF(N($J23)&gt;800,N($J23),N($I23)),"UNDERSIZED — "&amp;TEXT(N($N23),"#,##0")&amp;" A provided against a floor of "&amp;TEXT(IF(N($J23)&gt;800,N($J23),N($I23)),"#,##0")&amp;" A",IF(N($O23)&gt;$B$13,"ampacity OK but voltage drop "&amp;TEXT(N($O23),"0.0%")&amp;" exceeds the allowance — ADVISORY, upsize the override","OK — "&amp;IF(IF(N($M23)&gt;0,N($M23),MAX(1,N(IFERROR(INDEX(SPEC_CIRC,MATCH(INDEX(Equipment!$C$7:$C$18,MAX(1,N($W23))),SPEC_SKU,0)),1))))&gt;1,TEXT(IF(N($M23)&gt;0,N($M23),MAX(1,N(IFERROR(INDEX(SPEC_CIRC,MATCH(INDEX(Equipment!$C$7:$C$18,MAX(1,N($W23))),SPEC_SKU,0)),1)))),"0")&amp;" sets of ","")&amp;IF($L23&lt;&gt;"",$L23,$K23)&amp;IF($L23&lt;&gt;""," (override)","")&amp;", "&amp;TEXT(N($N23),"#,##0")&amp;" A against a "&amp;TEXT(IF(N($J23)&gt;800,N($J23),N($I23)),"#,##0")&amp;" A floor; drop "&amp;TEXT(N($O23),"0.0%")&amp;" (ADVISORY)"))))))))</f>
        <v/>
      </c>
      <c r="U23" s="868">
        <f>IF($W23="",0,IF($E23="",1,IF(MATCH($E23,$E$18:$E$77,0)=6,1,0)))</f>
        <v/>
      </c>
      <c r="V23" s="869">
        <f>IF($W23="","",IF(INDEX(Equipment!$E$7:$E$18,$W23)="level_2","L2",IF(INDEX(Equipment!$E$7:$E$18,$W23)="power_cabinet","CAB","DC")))</f>
        <v/>
      </c>
      <c r="W23" s="868">
        <f>IF(N($B$80)&gt;=6,COUNTIF(Equipment!$S$7:$S$18,"&lt;6")+1,"")</f>
        <v/>
      </c>
      <c r="X23" s="868">
        <f>IF($U23&lt;&gt;1,"",IF(N($M23)&gt;0,N($M23),MAX(1,N(IFERROR(INDEX(SPEC_CIRC,MATCH(INDEX(Equipment!$C$7:$C$18,MAX(1,N($W23))),SPEC_SKU,0)),1)))))</f>
        <v/>
      </c>
    </row>
    <row r="24" ht="16" customHeight="1" s="254">
      <c r="A24" s="862">
        <f>IF($W24="","","Charger 7")</f>
        <v/>
      </c>
      <c r="B24" s="863">
        <f>IF($W24="","","Line "&amp;$W24&amp;" · "&amp;INDEX(Equipment!$C$7:$C$18,$W24)&amp;" · "&amp;INDEX(Equipment!$B$7:$B$18,$W24)&amp;" · #"&amp;(7-INDEX(Equipment!$R$7:$R$18,$W24)+1)&amp;" of "&amp;INDEX(Equipment!$I$7:$I$18,$W24))</f>
        <v/>
      </c>
      <c r="C24" s="863">
        <f>IF($W24="","",IF($V24="L2",TEXT(N(Equipment!$B$30),"0")&amp;" V 1-ph",TEXT(Project!$B$29,"0")&amp;" V 3-ph"))</f>
        <v/>
      </c>
      <c r="D24" s="864">
        <f>IF($W24="","",INDEX(Equipment!$G$7:$G$18,$W24))</f>
        <v/>
      </c>
      <c r="E24" s="807" t="n"/>
      <c r="F24" s="831" t="n"/>
      <c r="G24" s="807" t="n"/>
      <c r="H24" s="865">
        <f>IF($U24&lt;&gt;1,"",IF($E24="",N($D24),SUMIF($E$18:$E$77,$E24,$D$18:$D$77))*1000/(IF($V24="L2",N(Equipment!$B$30),Project!$B$29)*IF($V24="L2",1,SQRT(3))))</f>
        <v/>
      </c>
      <c r="I24" s="865">
        <f>IF(N($H24)=0,"",N($H24)*1.25)</f>
        <v/>
      </c>
      <c r="J24" s="865">
        <f>IF(N($I24)=0,"",IF(ISNUMBER(MATCH($I24,OCPD_LIST,0)),$I24,IF($I24&gt;MAX(OCPD_LIST),"ABOVE LIST",INDEX(OCPD_LIST,MATCH($I24,OCPD_LIST,1)+1))))</f>
        <v/>
      </c>
      <c r="K24" s="863">
        <f>IF(OR(N($I24)=0,$B$10=""),"",IF(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gt;ROWS(SZ_SIZE),"PARALLEL SETS",INDEX(SZ_SIZE,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f>
        <v/>
      </c>
      <c r="L24" s="807" t="n"/>
      <c r="M24" s="831" t="n"/>
      <c r="N24" s="865">
        <f>IF(OR(IF($L24&lt;&gt;"",$L24,$K24)="",IF($L24&lt;&gt;"",$L24,$K24)="PARALLEL SETS"),"",IFERROR(INDEX(SZ_AMP,MATCH(IF($L24&lt;&gt;"",$L24,$K24),SZ_SIZE,0))*IF(N($M24)&gt;0,N($M24),MAX(1,N(IFERROR(INDEX(SPEC_CIRC,MATCH(INDEX(Equipment!$C$7:$C$18,MAX(1,N($W24))),SPEC_SKU,0)),1)))),""))</f>
        <v/>
      </c>
      <c r="O24" s="866">
        <f>IF(OR(N($N24)=0,N($F24)=0),"",IFERROR(IF($V24="L2",2,SQRT(3))*N($H24)/IF(N($M24)&gt;0,N($M24),MAX(1,N(IFERROR(INDEX(SPEC_CIRC,MATCH(INDEX(Equipment!$C$7:$C$18,MAX(1,N($W24))),SPEC_SKU,0)),1))))*N($F24)*INDEX(SZ_Z,MATCH(IF($L24&lt;&gt;"",$L24,$K24),SZ_SIZE,0))/1000/IF($V24="L2",N(Equipment!$B$30),Project!$B$29),""))</f>
        <v/>
      </c>
      <c r="P24" s="863">
        <f>IF(N($J24)=0,"",IFERROR(INDEX(IF($B$6="Cu",EGC_CU,EGC_AL),MATCH($J24,EGC_OCPD,1)+IF(ISNUMBER(MATCH($J24,EGC_OCPD,0)),0,1)),""))</f>
        <v/>
      </c>
      <c r="Q24" s="863">
        <f>IF(N($N24)=0,"",IFERROR(INDEX(IF($V24="L2",CND_2G,CND_3G),MATCH(IF($L24&lt;&gt;"",$L24,$K24),CND_SIZE,0)),""))</f>
        <v/>
      </c>
      <c r="R24" s="807" t="n"/>
      <c r="S24" s="867">
        <f>IF(OR(N($F24)=0,N($N24)=0),0,IFERROR(N($F24)*IF(N($M24)&gt;0,N($M24),MAX(1,N(IFERROR(INDEX(SPEC_CIRC,MATCH(INDEX(Equipment!$C$7:$C$18,MAX(1,N($W24))),SPEC_SKU,0)),1))))*IF($V24="L2",2,3)*INDEX(IF($B$6="Cu",WIRE_CU,WIRE_AL),MATCH(IF($L24&lt;&gt;"",$L24,$K24),WIRE_SIZE,0)),0)+IFERROR(N($F24)*IF(N($M24)&gt;0,N($M24),MAX(1,N(IFERROR(INDEX(SPEC_CIRC,MATCH(INDEX(Equipment!$C$7:$C$18,MAX(1,N($W24))),SPEC_SKU,0)),1))))*INDEX(IF($B$6="Cu",WIRE_CU,WIRE_AL),MATCH($P24,WIRE_SIZE,0)),0)+IFERROR(N($F24)*IF(N($M24)&gt;0,N($M24),MAX(1,N(IFERROR(INDEX(SPEC_CIRC,MATCH(INDEX(Equipment!$C$7:$C$18,MAX(1,N($W24))),SPEC_SKU,0)),1))))*INDEX(PVC_RATE,MATCH(IF($R24&lt;&gt;"",$R24,$Q24),PVC_SIZE,0)),0)+IF($V24="L2",0,IFERROR(N($F24)*INDEX(PVC_RATE,MATCH("(3/4"")",PVC_SIZE,0)),0)))</f>
        <v/>
      </c>
      <c r="T24" s="863">
        <f>IF($W24="","",IF($U24=0,"shared — on circuit "&amp;$E24&amp;", sized and priced on its first unit",IF(N($F24)=0,"ENTER THE DISTANCE",IF($B$10="","SET THE DESIGN AMBIENT in block A — nothing on this row can be trusted until it is",IF(IF($L24&lt;&gt;"",$L24,$K24)="PARALLEL SETS","PARALLEL SETS NEEDED — no single conductor carries "&amp;TEXT(N($I24),"#,##0")&amp;" A within the drop allowance; enter sets in column M",IF(N($N24)=0,"no ampacity on file for the override size — NEC Table 310.16 does not list it",IF(N($N24)&lt;IF(N($J24)&gt;800,N($J24),N($I24)),"UNDERSIZED — "&amp;TEXT(N($N24),"#,##0")&amp;" A provided against a floor of "&amp;TEXT(IF(N($J24)&gt;800,N($J24),N($I24)),"#,##0")&amp;" A",IF(N($O24)&gt;$B$13,"ampacity OK but voltage drop "&amp;TEXT(N($O24),"0.0%")&amp;" exceeds the allowance — ADVISORY, upsize the override","OK — "&amp;IF(IF(N($M24)&gt;0,N($M24),MAX(1,N(IFERROR(INDEX(SPEC_CIRC,MATCH(INDEX(Equipment!$C$7:$C$18,MAX(1,N($W24))),SPEC_SKU,0)),1))))&gt;1,TEXT(IF(N($M24)&gt;0,N($M24),MAX(1,N(IFERROR(INDEX(SPEC_CIRC,MATCH(INDEX(Equipment!$C$7:$C$18,MAX(1,N($W24))),SPEC_SKU,0)),1)))),"0")&amp;" sets of ","")&amp;IF($L24&lt;&gt;"",$L24,$K24)&amp;IF($L24&lt;&gt;""," (override)","")&amp;", "&amp;TEXT(N($N24),"#,##0")&amp;" A against a "&amp;TEXT(IF(N($J24)&gt;800,N($J24),N($I24)),"#,##0")&amp;" A floor; drop "&amp;TEXT(N($O24),"0.0%")&amp;" (ADVISORY)"))))))))</f>
        <v/>
      </c>
      <c r="U24" s="868">
        <f>IF($W24="",0,IF($E24="",1,IF(MATCH($E24,$E$18:$E$77,0)=7,1,0)))</f>
        <v/>
      </c>
      <c r="V24" s="869">
        <f>IF($W24="","",IF(INDEX(Equipment!$E$7:$E$18,$W24)="level_2","L2",IF(INDEX(Equipment!$E$7:$E$18,$W24)="power_cabinet","CAB","DC")))</f>
        <v/>
      </c>
      <c r="W24" s="868">
        <f>IF(N($B$80)&gt;=7,COUNTIF(Equipment!$S$7:$S$18,"&lt;7")+1,"")</f>
        <v/>
      </c>
      <c r="X24" s="868">
        <f>IF($U24&lt;&gt;1,"",IF(N($M24)&gt;0,N($M24),MAX(1,N(IFERROR(INDEX(SPEC_CIRC,MATCH(INDEX(Equipment!$C$7:$C$18,MAX(1,N($W24))),SPEC_SKU,0)),1)))))</f>
        <v/>
      </c>
    </row>
    <row r="25" ht="16" customHeight="1" s="254">
      <c r="A25" s="862">
        <f>IF($W25="","","Charger 8")</f>
        <v/>
      </c>
      <c r="B25" s="863">
        <f>IF($W25="","","Line "&amp;$W25&amp;" · "&amp;INDEX(Equipment!$C$7:$C$18,$W25)&amp;" · "&amp;INDEX(Equipment!$B$7:$B$18,$W25)&amp;" · #"&amp;(8-INDEX(Equipment!$R$7:$R$18,$W25)+1)&amp;" of "&amp;INDEX(Equipment!$I$7:$I$18,$W25))</f>
        <v/>
      </c>
      <c r="C25" s="863">
        <f>IF($W25="","",IF($V25="L2",TEXT(N(Equipment!$B$30),"0")&amp;" V 1-ph",TEXT(Project!$B$29,"0")&amp;" V 3-ph"))</f>
        <v/>
      </c>
      <c r="D25" s="864">
        <f>IF($W25="","",INDEX(Equipment!$G$7:$G$18,$W25))</f>
        <v/>
      </c>
      <c r="E25" s="807" t="n"/>
      <c r="F25" s="831" t="n"/>
      <c r="G25" s="807" t="n"/>
      <c r="H25" s="865">
        <f>IF($U25&lt;&gt;1,"",IF($E25="",N($D25),SUMIF($E$18:$E$77,$E25,$D$18:$D$77))*1000/(IF($V25="L2",N(Equipment!$B$30),Project!$B$29)*IF($V25="L2",1,SQRT(3))))</f>
        <v/>
      </c>
      <c r="I25" s="865">
        <f>IF(N($H25)=0,"",N($H25)*1.25)</f>
        <v/>
      </c>
      <c r="J25" s="865">
        <f>IF(N($I25)=0,"",IF(ISNUMBER(MATCH($I25,OCPD_LIST,0)),$I25,IF($I25&gt;MAX(OCPD_LIST),"ABOVE LIST",INDEX(OCPD_LIST,MATCH($I25,OCPD_LIST,1)+1))))</f>
        <v/>
      </c>
      <c r="K25" s="863">
        <f>IF(OR(N($I25)=0,$B$10=""),"",IF(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gt;ROWS(SZ_SIZE),"PARALLEL SETS",INDEX(SZ_SIZE,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f>
        <v/>
      </c>
      <c r="L25" s="807" t="n"/>
      <c r="M25" s="831" t="n"/>
      <c r="N25" s="865">
        <f>IF(OR(IF($L25&lt;&gt;"",$L25,$K25)="",IF($L25&lt;&gt;"",$L25,$K25)="PARALLEL SETS"),"",IFERROR(INDEX(SZ_AMP,MATCH(IF($L25&lt;&gt;"",$L25,$K25),SZ_SIZE,0))*IF(N($M25)&gt;0,N($M25),MAX(1,N(IFERROR(INDEX(SPEC_CIRC,MATCH(INDEX(Equipment!$C$7:$C$18,MAX(1,N($W25))),SPEC_SKU,0)),1)))),""))</f>
        <v/>
      </c>
      <c r="O25" s="866">
        <f>IF(OR(N($N25)=0,N($F25)=0),"",IFERROR(IF($V25="L2",2,SQRT(3))*N($H25)/IF(N($M25)&gt;0,N($M25),MAX(1,N(IFERROR(INDEX(SPEC_CIRC,MATCH(INDEX(Equipment!$C$7:$C$18,MAX(1,N($W25))),SPEC_SKU,0)),1))))*N($F25)*INDEX(SZ_Z,MATCH(IF($L25&lt;&gt;"",$L25,$K25),SZ_SIZE,0))/1000/IF($V25="L2",N(Equipment!$B$30),Project!$B$29),""))</f>
        <v/>
      </c>
      <c r="P25" s="863">
        <f>IF(N($J25)=0,"",IFERROR(INDEX(IF($B$6="Cu",EGC_CU,EGC_AL),MATCH($J25,EGC_OCPD,1)+IF(ISNUMBER(MATCH($J25,EGC_OCPD,0)),0,1)),""))</f>
        <v/>
      </c>
      <c r="Q25" s="863">
        <f>IF(N($N25)=0,"",IFERROR(INDEX(IF($V25="L2",CND_2G,CND_3G),MATCH(IF($L25&lt;&gt;"",$L25,$K25),CND_SIZE,0)),""))</f>
        <v/>
      </c>
      <c r="R25" s="807" t="n"/>
      <c r="S25" s="867">
        <f>IF(OR(N($F25)=0,N($N25)=0),0,IFERROR(N($F25)*IF(N($M25)&gt;0,N($M25),MAX(1,N(IFERROR(INDEX(SPEC_CIRC,MATCH(INDEX(Equipment!$C$7:$C$18,MAX(1,N($W25))),SPEC_SKU,0)),1))))*IF($V25="L2",2,3)*INDEX(IF($B$6="Cu",WIRE_CU,WIRE_AL),MATCH(IF($L25&lt;&gt;"",$L25,$K25),WIRE_SIZE,0)),0)+IFERROR(N($F25)*IF(N($M25)&gt;0,N($M25),MAX(1,N(IFERROR(INDEX(SPEC_CIRC,MATCH(INDEX(Equipment!$C$7:$C$18,MAX(1,N($W25))),SPEC_SKU,0)),1))))*INDEX(IF($B$6="Cu",WIRE_CU,WIRE_AL),MATCH($P25,WIRE_SIZE,0)),0)+IFERROR(N($F25)*IF(N($M25)&gt;0,N($M25),MAX(1,N(IFERROR(INDEX(SPEC_CIRC,MATCH(INDEX(Equipment!$C$7:$C$18,MAX(1,N($W25))),SPEC_SKU,0)),1))))*INDEX(PVC_RATE,MATCH(IF($R25&lt;&gt;"",$R25,$Q25),PVC_SIZE,0)),0)+IF($V25="L2",0,IFERROR(N($F25)*INDEX(PVC_RATE,MATCH("(3/4"")",PVC_SIZE,0)),0)))</f>
        <v/>
      </c>
      <c r="T25" s="863">
        <f>IF($W25="","",IF($U25=0,"shared — on circuit "&amp;$E25&amp;", sized and priced on its first unit",IF(N($F25)=0,"ENTER THE DISTANCE",IF($B$10="","SET THE DESIGN AMBIENT in block A — nothing on this row can be trusted until it is",IF(IF($L25&lt;&gt;"",$L25,$K25)="PARALLEL SETS","PARALLEL SETS NEEDED — no single conductor carries "&amp;TEXT(N($I25),"#,##0")&amp;" A within the drop allowance; enter sets in column M",IF(N($N25)=0,"no ampacity on file for the override size — NEC Table 310.16 does not list it",IF(N($N25)&lt;IF(N($J25)&gt;800,N($J25),N($I25)),"UNDERSIZED — "&amp;TEXT(N($N25),"#,##0")&amp;" A provided against a floor of "&amp;TEXT(IF(N($J25)&gt;800,N($J25),N($I25)),"#,##0")&amp;" A",IF(N($O25)&gt;$B$13,"ampacity OK but voltage drop "&amp;TEXT(N($O25),"0.0%")&amp;" exceeds the allowance — ADVISORY, upsize the override","OK — "&amp;IF(IF(N($M25)&gt;0,N($M25),MAX(1,N(IFERROR(INDEX(SPEC_CIRC,MATCH(INDEX(Equipment!$C$7:$C$18,MAX(1,N($W25))),SPEC_SKU,0)),1))))&gt;1,TEXT(IF(N($M25)&gt;0,N($M25),MAX(1,N(IFERROR(INDEX(SPEC_CIRC,MATCH(INDEX(Equipment!$C$7:$C$18,MAX(1,N($W25))),SPEC_SKU,0)),1)))),"0")&amp;" sets of ","")&amp;IF($L25&lt;&gt;"",$L25,$K25)&amp;IF($L25&lt;&gt;""," (override)","")&amp;", "&amp;TEXT(N($N25),"#,##0")&amp;" A against a "&amp;TEXT(IF(N($J25)&gt;800,N($J25),N($I25)),"#,##0")&amp;" A floor; drop "&amp;TEXT(N($O25),"0.0%")&amp;" (ADVISORY)"))))))))</f>
        <v/>
      </c>
      <c r="U25" s="868">
        <f>IF($W25="",0,IF($E25="",1,IF(MATCH($E25,$E$18:$E$77,0)=8,1,0)))</f>
        <v/>
      </c>
      <c r="V25" s="869">
        <f>IF($W25="","",IF(INDEX(Equipment!$E$7:$E$18,$W25)="level_2","L2",IF(INDEX(Equipment!$E$7:$E$18,$W25)="power_cabinet","CAB","DC")))</f>
        <v/>
      </c>
      <c r="W25" s="868">
        <f>IF(N($B$80)&gt;=8,COUNTIF(Equipment!$S$7:$S$18,"&lt;8")+1,"")</f>
        <v/>
      </c>
      <c r="X25" s="868">
        <f>IF($U25&lt;&gt;1,"",IF(N($M25)&gt;0,N($M25),MAX(1,N(IFERROR(INDEX(SPEC_CIRC,MATCH(INDEX(Equipment!$C$7:$C$18,MAX(1,N($W25))),SPEC_SKU,0)),1)))))</f>
        <v/>
      </c>
    </row>
    <row r="26" ht="16" customHeight="1" s="254">
      <c r="A26" s="862">
        <f>IF($W26="","","Charger 9")</f>
        <v/>
      </c>
      <c r="B26" s="863">
        <f>IF($W26="","","Line "&amp;$W26&amp;" · "&amp;INDEX(Equipment!$C$7:$C$18,$W26)&amp;" · "&amp;INDEX(Equipment!$B$7:$B$18,$W26)&amp;" · #"&amp;(9-INDEX(Equipment!$R$7:$R$18,$W26)+1)&amp;" of "&amp;INDEX(Equipment!$I$7:$I$18,$W26))</f>
        <v/>
      </c>
      <c r="C26" s="863">
        <f>IF($W26="","",IF($V26="L2",TEXT(N(Equipment!$B$30),"0")&amp;" V 1-ph",TEXT(Project!$B$29,"0")&amp;" V 3-ph"))</f>
        <v/>
      </c>
      <c r="D26" s="864">
        <f>IF($W26="","",INDEX(Equipment!$G$7:$G$18,$W26))</f>
        <v/>
      </c>
      <c r="E26" s="807" t="n"/>
      <c r="F26" s="831" t="n"/>
      <c r="G26" s="807" t="n"/>
      <c r="H26" s="865">
        <f>IF($U26&lt;&gt;1,"",IF($E26="",N($D26),SUMIF($E$18:$E$77,$E26,$D$18:$D$77))*1000/(IF($V26="L2",N(Equipment!$B$30),Project!$B$29)*IF($V26="L2",1,SQRT(3))))</f>
        <v/>
      </c>
      <c r="I26" s="865">
        <f>IF(N($H26)=0,"",N($H26)*1.25)</f>
        <v/>
      </c>
      <c r="J26" s="865">
        <f>IF(N($I26)=0,"",IF(ISNUMBER(MATCH($I26,OCPD_LIST,0)),$I26,IF($I26&gt;MAX(OCPD_LIST),"ABOVE LIST",INDEX(OCPD_LIST,MATCH($I26,OCPD_LIST,1)+1))))</f>
        <v/>
      </c>
      <c r="K26" s="863">
        <f>IF(OR(N($I26)=0,$B$10=""),"",IF(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gt;ROWS(SZ_SIZE),"PARALLEL SETS",INDEX(SZ_SIZE,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f>
        <v/>
      </c>
      <c r="L26" s="807" t="n"/>
      <c r="M26" s="831" t="n"/>
      <c r="N26" s="865">
        <f>IF(OR(IF($L26&lt;&gt;"",$L26,$K26)="",IF($L26&lt;&gt;"",$L26,$K26)="PARALLEL SETS"),"",IFERROR(INDEX(SZ_AMP,MATCH(IF($L26&lt;&gt;"",$L26,$K26),SZ_SIZE,0))*IF(N($M26)&gt;0,N($M26),MAX(1,N(IFERROR(INDEX(SPEC_CIRC,MATCH(INDEX(Equipment!$C$7:$C$18,MAX(1,N($W26))),SPEC_SKU,0)),1)))),""))</f>
        <v/>
      </c>
      <c r="O26" s="866">
        <f>IF(OR(N($N26)=0,N($F26)=0),"",IFERROR(IF($V26="L2",2,SQRT(3))*N($H26)/IF(N($M26)&gt;0,N($M26),MAX(1,N(IFERROR(INDEX(SPEC_CIRC,MATCH(INDEX(Equipment!$C$7:$C$18,MAX(1,N($W26))),SPEC_SKU,0)),1))))*N($F26)*INDEX(SZ_Z,MATCH(IF($L26&lt;&gt;"",$L26,$K26),SZ_SIZE,0))/1000/IF($V26="L2",N(Equipment!$B$30),Project!$B$29),""))</f>
        <v/>
      </c>
      <c r="P26" s="863">
        <f>IF(N($J26)=0,"",IFERROR(INDEX(IF($B$6="Cu",EGC_CU,EGC_AL),MATCH($J26,EGC_OCPD,1)+IF(ISNUMBER(MATCH($J26,EGC_OCPD,0)),0,1)),""))</f>
        <v/>
      </c>
      <c r="Q26" s="863">
        <f>IF(N($N26)=0,"",IFERROR(INDEX(IF($V26="L2",CND_2G,CND_3G),MATCH(IF($L26&lt;&gt;"",$L26,$K26),CND_SIZE,0)),""))</f>
        <v/>
      </c>
      <c r="R26" s="807" t="n"/>
      <c r="S26" s="867">
        <f>IF(OR(N($F26)=0,N($N26)=0),0,IFERROR(N($F26)*IF(N($M26)&gt;0,N($M26),MAX(1,N(IFERROR(INDEX(SPEC_CIRC,MATCH(INDEX(Equipment!$C$7:$C$18,MAX(1,N($W26))),SPEC_SKU,0)),1))))*IF($V26="L2",2,3)*INDEX(IF($B$6="Cu",WIRE_CU,WIRE_AL),MATCH(IF($L26&lt;&gt;"",$L26,$K26),WIRE_SIZE,0)),0)+IFERROR(N($F26)*IF(N($M26)&gt;0,N($M26),MAX(1,N(IFERROR(INDEX(SPEC_CIRC,MATCH(INDEX(Equipment!$C$7:$C$18,MAX(1,N($W26))),SPEC_SKU,0)),1))))*INDEX(IF($B$6="Cu",WIRE_CU,WIRE_AL),MATCH($P26,WIRE_SIZE,0)),0)+IFERROR(N($F26)*IF(N($M26)&gt;0,N($M26),MAX(1,N(IFERROR(INDEX(SPEC_CIRC,MATCH(INDEX(Equipment!$C$7:$C$18,MAX(1,N($W26))),SPEC_SKU,0)),1))))*INDEX(PVC_RATE,MATCH(IF($R26&lt;&gt;"",$R26,$Q26),PVC_SIZE,0)),0)+IF($V26="L2",0,IFERROR(N($F26)*INDEX(PVC_RATE,MATCH("(3/4"")",PVC_SIZE,0)),0)))</f>
        <v/>
      </c>
      <c r="T26" s="863">
        <f>IF($W26="","",IF($U26=0,"shared — on circuit "&amp;$E26&amp;", sized and priced on its first unit",IF(N($F26)=0,"ENTER THE DISTANCE",IF($B$10="","SET THE DESIGN AMBIENT in block A — nothing on this row can be trusted until it is",IF(IF($L26&lt;&gt;"",$L26,$K26)="PARALLEL SETS","PARALLEL SETS NEEDED — no single conductor carries "&amp;TEXT(N($I26),"#,##0")&amp;" A within the drop allowance; enter sets in column M",IF(N($N26)=0,"no ampacity on file for the override size — NEC Table 310.16 does not list it",IF(N($N26)&lt;IF(N($J26)&gt;800,N($J26),N($I26)),"UNDERSIZED — "&amp;TEXT(N($N26),"#,##0")&amp;" A provided against a floor of "&amp;TEXT(IF(N($J26)&gt;800,N($J26),N($I26)),"#,##0")&amp;" A",IF(N($O26)&gt;$B$13,"ampacity OK but voltage drop "&amp;TEXT(N($O26),"0.0%")&amp;" exceeds the allowance — ADVISORY, upsize the override","OK — "&amp;IF(IF(N($M26)&gt;0,N($M26),MAX(1,N(IFERROR(INDEX(SPEC_CIRC,MATCH(INDEX(Equipment!$C$7:$C$18,MAX(1,N($W26))),SPEC_SKU,0)),1))))&gt;1,TEXT(IF(N($M26)&gt;0,N($M26),MAX(1,N(IFERROR(INDEX(SPEC_CIRC,MATCH(INDEX(Equipment!$C$7:$C$18,MAX(1,N($W26))),SPEC_SKU,0)),1)))),"0")&amp;" sets of ","")&amp;IF($L26&lt;&gt;"",$L26,$K26)&amp;IF($L26&lt;&gt;""," (override)","")&amp;", "&amp;TEXT(N($N26),"#,##0")&amp;" A against a "&amp;TEXT(IF(N($J26)&gt;800,N($J26),N($I26)),"#,##0")&amp;" A floor; drop "&amp;TEXT(N($O26),"0.0%")&amp;" (ADVISORY)"))))))))</f>
        <v/>
      </c>
      <c r="U26" s="868">
        <f>IF($W26="",0,IF($E26="",1,IF(MATCH($E26,$E$18:$E$77,0)=9,1,0)))</f>
        <v/>
      </c>
      <c r="V26" s="869">
        <f>IF($W26="","",IF(INDEX(Equipment!$E$7:$E$18,$W26)="level_2","L2",IF(INDEX(Equipment!$E$7:$E$18,$W26)="power_cabinet","CAB","DC")))</f>
        <v/>
      </c>
      <c r="W26" s="868">
        <f>IF(N($B$80)&gt;=9,COUNTIF(Equipment!$S$7:$S$18,"&lt;9")+1,"")</f>
        <v/>
      </c>
      <c r="X26" s="868">
        <f>IF($U26&lt;&gt;1,"",IF(N($M26)&gt;0,N($M26),MAX(1,N(IFERROR(INDEX(SPEC_CIRC,MATCH(INDEX(Equipment!$C$7:$C$18,MAX(1,N($W26))),SPEC_SKU,0)),1)))))</f>
        <v/>
      </c>
    </row>
    <row r="27" ht="16" customHeight="1" s="254">
      <c r="A27" s="862">
        <f>IF($W27="","","Charger 10")</f>
        <v/>
      </c>
      <c r="B27" s="863">
        <f>IF($W27="","","Line "&amp;$W27&amp;" · "&amp;INDEX(Equipment!$C$7:$C$18,$W27)&amp;" · "&amp;INDEX(Equipment!$B$7:$B$18,$W27)&amp;" · #"&amp;(10-INDEX(Equipment!$R$7:$R$18,$W27)+1)&amp;" of "&amp;INDEX(Equipment!$I$7:$I$18,$W27))</f>
        <v/>
      </c>
      <c r="C27" s="863">
        <f>IF($W27="","",IF($V27="L2",TEXT(N(Equipment!$B$30),"0")&amp;" V 1-ph",TEXT(Project!$B$29,"0")&amp;" V 3-ph"))</f>
        <v/>
      </c>
      <c r="D27" s="864">
        <f>IF($W27="","",INDEX(Equipment!$G$7:$G$18,$W27))</f>
        <v/>
      </c>
      <c r="E27" s="807" t="n"/>
      <c r="F27" s="831" t="n"/>
      <c r="G27" s="807" t="n"/>
      <c r="H27" s="865">
        <f>IF($U27&lt;&gt;1,"",IF($E27="",N($D27),SUMIF($E$18:$E$77,$E27,$D$18:$D$77))*1000/(IF($V27="L2",N(Equipment!$B$30),Project!$B$29)*IF($V27="L2",1,SQRT(3))))</f>
        <v/>
      </c>
      <c r="I27" s="865">
        <f>IF(N($H27)=0,"",N($H27)*1.25)</f>
        <v/>
      </c>
      <c r="J27" s="865">
        <f>IF(N($I27)=0,"",IF(ISNUMBER(MATCH($I27,OCPD_LIST,0)),$I27,IF($I27&gt;MAX(OCPD_LIST),"ABOVE LIST",INDEX(OCPD_LIST,MATCH($I27,OCPD_LIST,1)+1))))</f>
        <v/>
      </c>
      <c r="K27" s="863">
        <f>IF(OR(N($I27)=0,$B$10=""),"",IF(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gt;ROWS(SZ_SIZE),"PARALLEL SETS",INDEX(SZ_SIZE,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f>
        <v/>
      </c>
      <c r="L27" s="807" t="n"/>
      <c r="M27" s="831" t="n"/>
      <c r="N27" s="865">
        <f>IF(OR(IF($L27&lt;&gt;"",$L27,$K27)="",IF($L27&lt;&gt;"",$L27,$K27)="PARALLEL SETS"),"",IFERROR(INDEX(SZ_AMP,MATCH(IF($L27&lt;&gt;"",$L27,$K27),SZ_SIZE,0))*IF(N($M27)&gt;0,N($M27),MAX(1,N(IFERROR(INDEX(SPEC_CIRC,MATCH(INDEX(Equipment!$C$7:$C$18,MAX(1,N($W27))),SPEC_SKU,0)),1)))),""))</f>
        <v/>
      </c>
      <c r="O27" s="866">
        <f>IF(OR(N($N27)=0,N($F27)=0),"",IFERROR(IF($V27="L2",2,SQRT(3))*N($H27)/IF(N($M27)&gt;0,N($M27),MAX(1,N(IFERROR(INDEX(SPEC_CIRC,MATCH(INDEX(Equipment!$C$7:$C$18,MAX(1,N($W27))),SPEC_SKU,0)),1))))*N($F27)*INDEX(SZ_Z,MATCH(IF($L27&lt;&gt;"",$L27,$K27),SZ_SIZE,0))/1000/IF($V27="L2",N(Equipment!$B$30),Project!$B$29),""))</f>
        <v/>
      </c>
      <c r="P27" s="863">
        <f>IF(N($J27)=0,"",IFERROR(INDEX(IF($B$6="Cu",EGC_CU,EGC_AL),MATCH($J27,EGC_OCPD,1)+IF(ISNUMBER(MATCH($J27,EGC_OCPD,0)),0,1)),""))</f>
        <v/>
      </c>
      <c r="Q27" s="863">
        <f>IF(N($N27)=0,"",IFERROR(INDEX(IF($V27="L2",CND_2G,CND_3G),MATCH(IF($L27&lt;&gt;"",$L27,$K27),CND_SIZE,0)),""))</f>
        <v/>
      </c>
      <c r="R27" s="807" t="n"/>
      <c r="S27" s="867">
        <f>IF(OR(N($F27)=0,N($N27)=0),0,IFERROR(N($F27)*IF(N($M27)&gt;0,N($M27),MAX(1,N(IFERROR(INDEX(SPEC_CIRC,MATCH(INDEX(Equipment!$C$7:$C$18,MAX(1,N($W27))),SPEC_SKU,0)),1))))*IF($V27="L2",2,3)*INDEX(IF($B$6="Cu",WIRE_CU,WIRE_AL),MATCH(IF($L27&lt;&gt;"",$L27,$K27),WIRE_SIZE,0)),0)+IFERROR(N($F27)*IF(N($M27)&gt;0,N($M27),MAX(1,N(IFERROR(INDEX(SPEC_CIRC,MATCH(INDEX(Equipment!$C$7:$C$18,MAX(1,N($W27))),SPEC_SKU,0)),1))))*INDEX(IF($B$6="Cu",WIRE_CU,WIRE_AL),MATCH($P27,WIRE_SIZE,0)),0)+IFERROR(N($F27)*IF(N($M27)&gt;0,N($M27),MAX(1,N(IFERROR(INDEX(SPEC_CIRC,MATCH(INDEX(Equipment!$C$7:$C$18,MAX(1,N($W27))),SPEC_SKU,0)),1))))*INDEX(PVC_RATE,MATCH(IF($R27&lt;&gt;"",$R27,$Q27),PVC_SIZE,0)),0)+IF($V27="L2",0,IFERROR(N($F27)*INDEX(PVC_RATE,MATCH("(3/4"")",PVC_SIZE,0)),0)))</f>
        <v/>
      </c>
      <c r="T27" s="863">
        <f>IF($W27="","",IF($U27=0,"shared — on circuit "&amp;$E27&amp;", sized and priced on its first unit",IF(N($F27)=0,"ENTER THE DISTANCE",IF($B$10="","SET THE DESIGN AMBIENT in block A — nothing on this row can be trusted until it is",IF(IF($L27&lt;&gt;"",$L27,$K27)="PARALLEL SETS","PARALLEL SETS NEEDED — no single conductor carries "&amp;TEXT(N($I27),"#,##0")&amp;" A within the drop allowance; enter sets in column M",IF(N($N27)=0,"no ampacity on file for the override size — NEC Table 310.16 does not list it",IF(N($N27)&lt;IF(N($J27)&gt;800,N($J27),N($I27)),"UNDERSIZED — "&amp;TEXT(N($N27),"#,##0")&amp;" A provided against a floor of "&amp;TEXT(IF(N($J27)&gt;800,N($J27),N($I27)),"#,##0")&amp;" A",IF(N($O27)&gt;$B$13,"ampacity OK but voltage drop "&amp;TEXT(N($O27),"0.0%")&amp;" exceeds the allowance — ADVISORY, upsize the override","OK — "&amp;IF(IF(N($M27)&gt;0,N($M27),MAX(1,N(IFERROR(INDEX(SPEC_CIRC,MATCH(INDEX(Equipment!$C$7:$C$18,MAX(1,N($W27))),SPEC_SKU,0)),1))))&gt;1,TEXT(IF(N($M27)&gt;0,N($M27),MAX(1,N(IFERROR(INDEX(SPEC_CIRC,MATCH(INDEX(Equipment!$C$7:$C$18,MAX(1,N($W27))),SPEC_SKU,0)),1)))),"0")&amp;" sets of ","")&amp;IF($L27&lt;&gt;"",$L27,$K27)&amp;IF($L27&lt;&gt;""," (override)","")&amp;", "&amp;TEXT(N($N27),"#,##0")&amp;" A against a "&amp;TEXT(IF(N($J27)&gt;800,N($J27),N($I27)),"#,##0")&amp;" A floor; drop "&amp;TEXT(N($O27),"0.0%")&amp;" (ADVISORY)"))))))))</f>
        <v/>
      </c>
      <c r="U27" s="868">
        <f>IF($W27="",0,IF($E27="",1,IF(MATCH($E27,$E$18:$E$77,0)=10,1,0)))</f>
        <v/>
      </c>
      <c r="V27" s="869">
        <f>IF($W27="","",IF(INDEX(Equipment!$E$7:$E$18,$W27)="level_2","L2",IF(INDEX(Equipment!$E$7:$E$18,$W27)="power_cabinet","CAB","DC")))</f>
        <v/>
      </c>
      <c r="W27" s="868">
        <f>IF(N($B$80)&gt;=10,COUNTIF(Equipment!$S$7:$S$18,"&lt;10")+1,"")</f>
        <v/>
      </c>
      <c r="X27" s="868">
        <f>IF($U27&lt;&gt;1,"",IF(N($M27)&gt;0,N($M27),MAX(1,N(IFERROR(INDEX(SPEC_CIRC,MATCH(INDEX(Equipment!$C$7:$C$18,MAX(1,N($W27))),SPEC_SKU,0)),1)))))</f>
        <v/>
      </c>
    </row>
    <row r="28" ht="16" customHeight="1" s="254">
      <c r="A28" s="862">
        <f>IF($W28="","","Charger 11")</f>
        <v/>
      </c>
      <c r="B28" s="863">
        <f>IF($W28="","","Line "&amp;$W28&amp;" · "&amp;INDEX(Equipment!$C$7:$C$18,$W28)&amp;" · "&amp;INDEX(Equipment!$B$7:$B$18,$W28)&amp;" · #"&amp;(11-INDEX(Equipment!$R$7:$R$18,$W28)+1)&amp;" of "&amp;INDEX(Equipment!$I$7:$I$18,$W28))</f>
        <v/>
      </c>
      <c r="C28" s="863">
        <f>IF($W28="","",IF($V28="L2",TEXT(N(Equipment!$B$30),"0")&amp;" V 1-ph",TEXT(Project!$B$29,"0")&amp;" V 3-ph"))</f>
        <v/>
      </c>
      <c r="D28" s="864">
        <f>IF($W28="","",INDEX(Equipment!$G$7:$G$18,$W28))</f>
        <v/>
      </c>
      <c r="E28" s="807" t="n"/>
      <c r="F28" s="831" t="n"/>
      <c r="G28" s="807" t="n"/>
      <c r="H28" s="865">
        <f>IF($U28&lt;&gt;1,"",IF($E28="",N($D28),SUMIF($E$18:$E$77,$E28,$D$18:$D$77))*1000/(IF($V28="L2",N(Equipment!$B$30),Project!$B$29)*IF($V28="L2",1,SQRT(3))))</f>
        <v/>
      </c>
      <c r="I28" s="865">
        <f>IF(N($H28)=0,"",N($H28)*1.25)</f>
        <v/>
      </c>
      <c r="J28" s="865">
        <f>IF(N($I28)=0,"",IF(ISNUMBER(MATCH($I28,OCPD_LIST,0)),$I28,IF($I28&gt;MAX(OCPD_LIST),"ABOVE LIST",INDEX(OCPD_LIST,MATCH($I28,OCPD_LIST,1)+1))))</f>
        <v/>
      </c>
      <c r="K28" s="863">
        <f>IF(OR(N($I28)=0,$B$10=""),"",IF(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gt;ROWS(SZ_SIZE),"PARALLEL SETS",INDEX(SZ_SIZE,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f>
        <v/>
      </c>
      <c r="L28" s="807" t="n"/>
      <c r="M28" s="831" t="n"/>
      <c r="N28" s="865">
        <f>IF(OR(IF($L28&lt;&gt;"",$L28,$K28)="",IF($L28&lt;&gt;"",$L28,$K28)="PARALLEL SETS"),"",IFERROR(INDEX(SZ_AMP,MATCH(IF($L28&lt;&gt;"",$L28,$K28),SZ_SIZE,0))*IF(N($M28)&gt;0,N($M28),MAX(1,N(IFERROR(INDEX(SPEC_CIRC,MATCH(INDEX(Equipment!$C$7:$C$18,MAX(1,N($W28))),SPEC_SKU,0)),1)))),""))</f>
        <v/>
      </c>
      <c r="O28" s="866">
        <f>IF(OR(N($N28)=0,N($F28)=0),"",IFERROR(IF($V28="L2",2,SQRT(3))*N($H28)/IF(N($M28)&gt;0,N($M28),MAX(1,N(IFERROR(INDEX(SPEC_CIRC,MATCH(INDEX(Equipment!$C$7:$C$18,MAX(1,N($W28))),SPEC_SKU,0)),1))))*N($F28)*INDEX(SZ_Z,MATCH(IF($L28&lt;&gt;"",$L28,$K28),SZ_SIZE,0))/1000/IF($V28="L2",N(Equipment!$B$30),Project!$B$29),""))</f>
        <v/>
      </c>
      <c r="P28" s="863">
        <f>IF(N($J28)=0,"",IFERROR(INDEX(IF($B$6="Cu",EGC_CU,EGC_AL),MATCH($J28,EGC_OCPD,1)+IF(ISNUMBER(MATCH($J28,EGC_OCPD,0)),0,1)),""))</f>
        <v/>
      </c>
      <c r="Q28" s="863">
        <f>IF(N($N28)=0,"",IFERROR(INDEX(IF($V28="L2",CND_2G,CND_3G),MATCH(IF($L28&lt;&gt;"",$L28,$K28),CND_SIZE,0)),""))</f>
        <v/>
      </c>
      <c r="R28" s="807" t="n"/>
      <c r="S28" s="867">
        <f>IF(OR(N($F28)=0,N($N28)=0),0,IFERROR(N($F28)*IF(N($M28)&gt;0,N($M28),MAX(1,N(IFERROR(INDEX(SPEC_CIRC,MATCH(INDEX(Equipment!$C$7:$C$18,MAX(1,N($W28))),SPEC_SKU,0)),1))))*IF($V28="L2",2,3)*INDEX(IF($B$6="Cu",WIRE_CU,WIRE_AL),MATCH(IF($L28&lt;&gt;"",$L28,$K28),WIRE_SIZE,0)),0)+IFERROR(N($F28)*IF(N($M28)&gt;0,N($M28),MAX(1,N(IFERROR(INDEX(SPEC_CIRC,MATCH(INDEX(Equipment!$C$7:$C$18,MAX(1,N($W28))),SPEC_SKU,0)),1))))*INDEX(IF($B$6="Cu",WIRE_CU,WIRE_AL),MATCH($P28,WIRE_SIZE,0)),0)+IFERROR(N($F28)*IF(N($M28)&gt;0,N($M28),MAX(1,N(IFERROR(INDEX(SPEC_CIRC,MATCH(INDEX(Equipment!$C$7:$C$18,MAX(1,N($W28))),SPEC_SKU,0)),1))))*INDEX(PVC_RATE,MATCH(IF($R28&lt;&gt;"",$R28,$Q28),PVC_SIZE,0)),0)+IF($V28="L2",0,IFERROR(N($F28)*INDEX(PVC_RATE,MATCH("(3/4"")",PVC_SIZE,0)),0)))</f>
        <v/>
      </c>
      <c r="T28" s="863">
        <f>IF($W28="","",IF($U28=0,"shared — on circuit "&amp;$E28&amp;", sized and priced on its first unit",IF(N($F28)=0,"ENTER THE DISTANCE",IF($B$10="","SET THE DESIGN AMBIENT in block A — nothing on this row can be trusted until it is",IF(IF($L28&lt;&gt;"",$L28,$K28)="PARALLEL SETS","PARALLEL SETS NEEDED — no single conductor carries "&amp;TEXT(N($I28),"#,##0")&amp;" A within the drop allowance; enter sets in column M",IF(N($N28)=0,"no ampacity on file for the override size — NEC Table 310.16 does not list it",IF(N($N28)&lt;IF(N($J28)&gt;800,N($J28),N($I28)),"UNDERSIZED — "&amp;TEXT(N($N28),"#,##0")&amp;" A provided against a floor of "&amp;TEXT(IF(N($J28)&gt;800,N($J28),N($I28)),"#,##0")&amp;" A",IF(N($O28)&gt;$B$13,"ampacity OK but voltage drop "&amp;TEXT(N($O28),"0.0%")&amp;" exceeds the allowance — ADVISORY, upsize the override","OK — "&amp;IF(IF(N($M28)&gt;0,N($M28),MAX(1,N(IFERROR(INDEX(SPEC_CIRC,MATCH(INDEX(Equipment!$C$7:$C$18,MAX(1,N($W28))),SPEC_SKU,0)),1))))&gt;1,TEXT(IF(N($M28)&gt;0,N($M28),MAX(1,N(IFERROR(INDEX(SPEC_CIRC,MATCH(INDEX(Equipment!$C$7:$C$18,MAX(1,N($W28))),SPEC_SKU,0)),1)))),"0")&amp;" sets of ","")&amp;IF($L28&lt;&gt;"",$L28,$K28)&amp;IF($L28&lt;&gt;""," (override)","")&amp;", "&amp;TEXT(N($N28),"#,##0")&amp;" A against a "&amp;TEXT(IF(N($J28)&gt;800,N($J28),N($I28)),"#,##0")&amp;" A floor; drop "&amp;TEXT(N($O28),"0.0%")&amp;" (ADVISORY)"))))))))</f>
        <v/>
      </c>
      <c r="U28" s="868">
        <f>IF($W28="",0,IF($E28="",1,IF(MATCH($E28,$E$18:$E$77,0)=11,1,0)))</f>
        <v/>
      </c>
      <c r="V28" s="869">
        <f>IF($W28="","",IF(INDEX(Equipment!$E$7:$E$18,$W28)="level_2","L2",IF(INDEX(Equipment!$E$7:$E$18,$W28)="power_cabinet","CAB","DC")))</f>
        <v/>
      </c>
      <c r="W28" s="868">
        <f>IF(N($B$80)&gt;=11,COUNTIF(Equipment!$S$7:$S$18,"&lt;11")+1,"")</f>
        <v/>
      </c>
      <c r="X28" s="868">
        <f>IF($U28&lt;&gt;1,"",IF(N($M28)&gt;0,N($M28),MAX(1,N(IFERROR(INDEX(SPEC_CIRC,MATCH(INDEX(Equipment!$C$7:$C$18,MAX(1,N($W28))),SPEC_SKU,0)),1)))))</f>
        <v/>
      </c>
    </row>
    <row r="29" ht="16" customHeight="1" s="254">
      <c r="A29" s="862">
        <f>IF($W29="","","Charger 12")</f>
        <v/>
      </c>
      <c r="B29" s="863">
        <f>IF($W29="","","Line "&amp;$W29&amp;" · "&amp;INDEX(Equipment!$C$7:$C$18,$W29)&amp;" · "&amp;INDEX(Equipment!$B$7:$B$18,$W29)&amp;" · #"&amp;(12-INDEX(Equipment!$R$7:$R$18,$W29)+1)&amp;" of "&amp;INDEX(Equipment!$I$7:$I$18,$W29))</f>
        <v/>
      </c>
      <c r="C29" s="863">
        <f>IF($W29="","",IF($V29="L2",TEXT(N(Equipment!$B$30),"0")&amp;" V 1-ph",TEXT(Project!$B$29,"0")&amp;" V 3-ph"))</f>
        <v/>
      </c>
      <c r="D29" s="864">
        <f>IF($W29="","",INDEX(Equipment!$G$7:$G$18,$W29))</f>
        <v/>
      </c>
      <c r="E29" s="807" t="n"/>
      <c r="F29" s="831" t="n"/>
      <c r="G29" s="807" t="n"/>
      <c r="H29" s="865">
        <f>IF($U29&lt;&gt;1,"",IF($E29="",N($D29),SUMIF($E$18:$E$77,$E29,$D$18:$D$77))*1000/(IF($V29="L2",N(Equipment!$B$30),Project!$B$29)*IF($V29="L2",1,SQRT(3))))</f>
        <v/>
      </c>
      <c r="I29" s="865">
        <f>IF(N($H29)=0,"",N($H29)*1.25)</f>
        <v/>
      </c>
      <c r="J29" s="865">
        <f>IF(N($I29)=0,"",IF(ISNUMBER(MATCH($I29,OCPD_LIST,0)),$I29,IF($I29&gt;MAX(OCPD_LIST),"ABOVE LIST",INDEX(OCPD_LIST,MATCH($I29,OCPD_LIST,1)+1))))</f>
        <v/>
      </c>
      <c r="K29" s="863">
        <f>IF(OR(N($I29)=0,$B$10=""),"",IF(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gt;ROWS(SZ_SIZE),"PARALLEL SETS",INDEX(SZ_SIZE,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f>
        <v/>
      </c>
      <c r="L29" s="807" t="n"/>
      <c r="M29" s="831" t="n"/>
      <c r="N29" s="865">
        <f>IF(OR(IF($L29&lt;&gt;"",$L29,$K29)="",IF($L29&lt;&gt;"",$L29,$K29)="PARALLEL SETS"),"",IFERROR(INDEX(SZ_AMP,MATCH(IF($L29&lt;&gt;"",$L29,$K29),SZ_SIZE,0))*IF(N($M29)&gt;0,N($M29),MAX(1,N(IFERROR(INDEX(SPEC_CIRC,MATCH(INDEX(Equipment!$C$7:$C$18,MAX(1,N($W29))),SPEC_SKU,0)),1)))),""))</f>
        <v/>
      </c>
      <c r="O29" s="866">
        <f>IF(OR(N($N29)=0,N($F29)=0),"",IFERROR(IF($V29="L2",2,SQRT(3))*N($H29)/IF(N($M29)&gt;0,N($M29),MAX(1,N(IFERROR(INDEX(SPEC_CIRC,MATCH(INDEX(Equipment!$C$7:$C$18,MAX(1,N($W29))),SPEC_SKU,0)),1))))*N($F29)*INDEX(SZ_Z,MATCH(IF($L29&lt;&gt;"",$L29,$K29),SZ_SIZE,0))/1000/IF($V29="L2",N(Equipment!$B$30),Project!$B$29),""))</f>
        <v/>
      </c>
      <c r="P29" s="863">
        <f>IF(N($J29)=0,"",IFERROR(INDEX(IF($B$6="Cu",EGC_CU,EGC_AL),MATCH($J29,EGC_OCPD,1)+IF(ISNUMBER(MATCH($J29,EGC_OCPD,0)),0,1)),""))</f>
        <v/>
      </c>
      <c r="Q29" s="863">
        <f>IF(N($N29)=0,"",IFERROR(INDEX(IF($V29="L2",CND_2G,CND_3G),MATCH(IF($L29&lt;&gt;"",$L29,$K29),CND_SIZE,0)),""))</f>
        <v/>
      </c>
      <c r="R29" s="807" t="n"/>
      <c r="S29" s="867">
        <f>IF(OR(N($F29)=0,N($N29)=0),0,IFERROR(N($F29)*IF(N($M29)&gt;0,N($M29),MAX(1,N(IFERROR(INDEX(SPEC_CIRC,MATCH(INDEX(Equipment!$C$7:$C$18,MAX(1,N($W29))),SPEC_SKU,0)),1))))*IF($V29="L2",2,3)*INDEX(IF($B$6="Cu",WIRE_CU,WIRE_AL),MATCH(IF($L29&lt;&gt;"",$L29,$K29),WIRE_SIZE,0)),0)+IFERROR(N($F29)*IF(N($M29)&gt;0,N($M29),MAX(1,N(IFERROR(INDEX(SPEC_CIRC,MATCH(INDEX(Equipment!$C$7:$C$18,MAX(1,N($W29))),SPEC_SKU,0)),1))))*INDEX(IF($B$6="Cu",WIRE_CU,WIRE_AL),MATCH($P29,WIRE_SIZE,0)),0)+IFERROR(N($F29)*IF(N($M29)&gt;0,N($M29),MAX(1,N(IFERROR(INDEX(SPEC_CIRC,MATCH(INDEX(Equipment!$C$7:$C$18,MAX(1,N($W29))),SPEC_SKU,0)),1))))*INDEX(PVC_RATE,MATCH(IF($R29&lt;&gt;"",$R29,$Q29),PVC_SIZE,0)),0)+IF($V29="L2",0,IFERROR(N($F29)*INDEX(PVC_RATE,MATCH("(3/4"")",PVC_SIZE,0)),0)))</f>
        <v/>
      </c>
      <c r="T29" s="863">
        <f>IF($W29="","",IF($U29=0,"shared — on circuit "&amp;$E29&amp;", sized and priced on its first unit",IF(N($F29)=0,"ENTER THE DISTANCE",IF($B$10="","SET THE DESIGN AMBIENT in block A — nothing on this row can be trusted until it is",IF(IF($L29&lt;&gt;"",$L29,$K29)="PARALLEL SETS","PARALLEL SETS NEEDED — no single conductor carries "&amp;TEXT(N($I29),"#,##0")&amp;" A within the drop allowance; enter sets in column M",IF(N($N29)=0,"no ampacity on file for the override size — NEC Table 310.16 does not list it",IF(N($N29)&lt;IF(N($J29)&gt;800,N($J29),N($I29)),"UNDERSIZED — "&amp;TEXT(N($N29),"#,##0")&amp;" A provided against a floor of "&amp;TEXT(IF(N($J29)&gt;800,N($J29),N($I29)),"#,##0")&amp;" A",IF(N($O29)&gt;$B$13,"ampacity OK but voltage drop "&amp;TEXT(N($O29),"0.0%")&amp;" exceeds the allowance — ADVISORY, upsize the override","OK — "&amp;IF(IF(N($M29)&gt;0,N($M29),MAX(1,N(IFERROR(INDEX(SPEC_CIRC,MATCH(INDEX(Equipment!$C$7:$C$18,MAX(1,N($W29))),SPEC_SKU,0)),1))))&gt;1,TEXT(IF(N($M29)&gt;0,N($M29),MAX(1,N(IFERROR(INDEX(SPEC_CIRC,MATCH(INDEX(Equipment!$C$7:$C$18,MAX(1,N($W29))),SPEC_SKU,0)),1)))),"0")&amp;" sets of ","")&amp;IF($L29&lt;&gt;"",$L29,$K29)&amp;IF($L29&lt;&gt;""," (override)","")&amp;", "&amp;TEXT(N($N29),"#,##0")&amp;" A against a "&amp;TEXT(IF(N($J29)&gt;800,N($J29),N($I29)),"#,##0")&amp;" A floor; drop "&amp;TEXT(N($O29),"0.0%")&amp;" (ADVISORY)"))))))))</f>
        <v/>
      </c>
      <c r="U29" s="868">
        <f>IF($W29="",0,IF($E29="",1,IF(MATCH($E29,$E$18:$E$77,0)=12,1,0)))</f>
        <v/>
      </c>
      <c r="V29" s="869">
        <f>IF($W29="","",IF(INDEX(Equipment!$E$7:$E$18,$W29)="level_2","L2",IF(INDEX(Equipment!$E$7:$E$18,$W29)="power_cabinet","CAB","DC")))</f>
        <v/>
      </c>
      <c r="W29" s="868">
        <f>IF(N($B$80)&gt;=12,COUNTIF(Equipment!$S$7:$S$18,"&lt;12")+1,"")</f>
        <v/>
      </c>
      <c r="X29" s="868">
        <f>IF($U29&lt;&gt;1,"",IF(N($M29)&gt;0,N($M29),MAX(1,N(IFERROR(INDEX(SPEC_CIRC,MATCH(INDEX(Equipment!$C$7:$C$18,MAX(1,N($W29))),SPEC_SKU,0)),1)))))</f>
        <v/>
      </c>
    </row>
    <row r="30" ht="16" customHeight="1" s="254">
      <c r="A30" s="862">
        <f>IF($W30="","","Charger 13")</f>
        <v/>
      </c>
      <c r="B30" s="863">
        <f>IF($W30="","","Line "&amp;$W30&amp;" · "&amp;INDEX(Equipment!$C$7:$C$18,$W30)&amp;" · "&amp;INDEX(Equipment!$B$7:$B$18,$W30)&amp;" · #"&amp;(13-INDEX(Equipment!$R$7:$R$18,$W30)+1)&amp;" of "&amp;INDEX(Equipment!$I$7:$I$18,$W30))</f>
        <v/>
      </c>
      <c r="C30" s="863">
        <f>IF($W30="","",IF($V30="L2",TEXT(N(Equipment!$B$30),"0")&amp;" V 1-ph",TEXT(Project!$B$29,"0")&amp;" V 3-ph"))</f>
        <v/>
      </c>
      <c r="D30" s="864">
        <f>IF($W30="","",INDEX(Equipment!$G$7:$G$18,$W30))</f>
        <v/>
      </c>
      <c r="E30" s="807" t="n"/>
      <c r="F30" s="831" t="n"/>
      <c r="G30" s="807" t="n"/>
      <c r="H30" s="865">
        <f>IF($U30&lt;&gt;1,"",IF($E30="",N($D30),SUMIF($E$18:$E$77,$E30,$D$18:$D$77))*1000/(IF($V30="L2",N(Equipment!$B$30),Project!$B$29)*IF($V30="L2",1,SQRT(3))))</f>
        <v/>
      </c>
      <c r="I30" s="865">
        <f>IF(N($H30)=0,"",N($H30)*1.25)</f>
        <v/>
      </c>
      <c r="J30" s="865">
        <f>IF(N($I30)=0,"",IF(ISNUMBER(MATCH($I30,OCPD_LIST,0)),$I30,IF($I30&gt;MAX(OCPD_LIST),"ABOVE LIST",INDEX(OCPD_LIST,MATCH($I30,OCPD_LIST,1)+1))))</f>
        <v/>
      </c>
      <c r="K30" s="863">
        <f>IF(OR(N($I30)=0,$B$10=""),"",IF(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gt;ROWS(SZ_SIZE),"PARALLEL SETS",INDEX(SZ_SIZE,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f>
        <v/>
      </c>
      <c r="L30" s="807" t="n"/>
      <c r="M30" s="831" t="n"/>
      <c r="N30" s="865">
        <f>IF(OR(IF($L30&lt;&gt;"",$L30,$K30)="",IF($L30&lt;&gt;"",$L30,$K30)="PARALLEL SETS"),"",IFERROR(INDEX(SZ_AMP,MATCH(IF($L30&lt;&gt;"",$L30,$K30),SZ_SIZE,0))*IF(N($M30)&gt;0,N($M30),MAX(1,N(IFERROR(INDEX(SPEC_CIRC,MATCH(INDEX(Equipment!$C$7:$C$18,MAX(1,N($W30))),SPEC_SKU,0)),1)))),""))</f>
        <v/>
      </c>
      <c r="O30" s="866">
        <f>IF(OR(N($N30)=0,N($F30)=0),"",IFERROR(IF($V30="L2",2,SQRT(3))*N($H30)/IF(N($M30)&gt;0,N($M30),MAX(1,N(IFERROR(INDEX(SPEC_CIRC,MATCH(INDEX(Equipment!$C$7:$C$18,MAX(1,N($W30))),SPEC_SKU,0)),1))))*N($F30)*INDEX(SZ_Z,MATCH(IF($L30&lt;&gt;"",$L30,$K30),SZ_SIZE,0))/1000/IF($V30="L2",N(Equipment!$B$30),Project!$B$29),""))</f>
        <v/>
      </c>
      <c r="P30" s="863">
        <f>IF(N($J30)=0,"",IFERROR(INDEX(IF($B$6="Cu",EGC_CU,EGC_AL),MATCH($J30,EGC_OCPD,1)+IF(ISNUMBER(MATCH($J30,EGC_OCPD,0)),0,1)),""))</f>
        <v/>
      </c>
      <c r="Q30" s="863">
        <f>IF(N($N30)=0,"",IFERROR(INDEX(IF($V30="L2",CND_2G,CND_3G),MATCH(IF($L30&lt;&gt;"",$L30,$K30),CND_SIZE,0)),""))</f>
        <v/>
      </c>
      <c r="R30" s="807" t="n"/>
      <c r="S30" s="867">
        <f>IF(OR(N($F30)=0,N($N30)=0),0,IFERROR(N($F30)*IF(N($M30)&gt;0,N($M30),MAX(1,N(IFERROR(INDEX(SPEC_CIRC,MATCH(INDEX(Equipment!$C$7:$C$18,MAX(1,N($W30))),SPEC_SKU,0)),1))))*IF($V30="L2",2,3)*INDEX(IF($B$6="Cu",WIRE_CU,WIRE_AL),MATCH(IF($L30&lt;&gt;"",$L30,$K30),WIRE_SIZE,0)),0)+IFERROR(N($F30)*IF(N($M30)&gt;0,N($M30),MAX(1,N(IFERROR(INDEX(SPEC_CIRC,MATCH(INDEX(Equipment!$C$7:$C$18,MAX(1,N($W30))),SPEC_SKU,0)),1))))*INDEX(IF($B$6="Cu",WIRE_CU,WIRE_AL),MATCH($P30,WIRE_SIZE,0)),0)+IFERROR(N($F30)*IF(N($M30)&gt;0,N($M30),MAX(1,N(IFERROR(INDEX(SPEC_CIRC,MATCH(INDEX(Equipment!$C$7:$C$18,MAX(1,N($W30))),SPEC_SKU,0)),1))))*INDEX(PVC_RATE,MATCH(IF($R30&lt;&gt;"",$R30,$Q30),PVC_SIZE,0)),0)+IF($V30="L2",0,IFERROR(N($F30)*INDEX(PVC_RATE,MATCH("(3/4"")",PVC_SIZE,0)),0)))</f>
        <v/>
      </c>
      <c r="T30" s="863">
        <f>IF($W30="","",IF($U30=0,"shared — on circuit "&amp;$E30&amp;", sized and priced on its first unit",IF(N($F30)=0,"ENTER THE DISTANCE",IF($B$10="","SET THE DESIGN AMBIENT in block A — nothing on this row can be trusted until it is",IF(IF($L30&lt;&gt;"",$L30,$K30)="PARALLEL SETS","PARALLEL SETS NEEDED — no single conductor carries "&amp;TEXT(N($I30),"#,##0")&amp;" A within the drop allowance; enter sets in column M",IF(N($N30)=0,"no ampacity on file for the override size — NEC Table 310.16 does not list it",IF(N($N30)&lt;IF(N($J30)&gt;800,N($J30),N($I30)),"UNDERSIZED — "&amp;TEXT(N($N30),"#,##0")&amp;" A provided against a floor of "&amp;TEXT(IF(N($J30)&gt;800,N($J30),N($I30)),"#,##0")&amp;" A",IF(N($O30)&gt;$B$13,"ampacity OK but voltage drop "&amp;TEXT(N($O30),"0.0%")&amp;" exceeds the allowance — ADVISORY, upsize the override","OK — "&amp;IF(IF(N($M30)&gt;0,N($M30),MAX(1,N(IFERROR(INDEX(SPEC_CIRC,MATCH(INDEX(Equipment!$C$7:$C$18,MAX(1,N($W30))),SPEC_SKU,0)),1))))&gt;1,TEXT(IF(N($M30)&gt;0,N($M30),MAX(1,N(IFERROR(INDEX(SPEC_CIRC,MATCH(INDEX(Equipment!$C$7:$C$18,MAX(1,N($W30))),SPEC_SKU,0)),1)))),"0")&amp;" sets of ","")&amp;IF($L30&lt;&gt;"",$L30,$K30)&amp;IF($L30&lt;&gt;""," (override)","")&amp;", "&amp;TEXT(N($N30),"#,##0")&amp;" A against a "&amp;TEXT(IF(N($J30)&gt;800,N($J30),N($I30)),"#,##0")&amp;" A floor; drop "&amp;TEXT(N($O30),"0.0%")&amp;" (ADVISORY)"))))))))</f>
        <v/>
      </c>
      <c r="U30" s="868">
        <f>IF($W30="",0,IF($E30="",1,IF(MATCH($E30,$E$18:$E$77,0)=13,1,0)))</f>
        <v/>
      </c>
      <c r="V30" s="869">
        <f>IF($W30="","",IF(INDEX(Equipment!$E$7:$E$18,$W30)="level_2","L2",IF(INDEX(Equipment!$E$7:$E$18,$W30)="power_cabinet","CAB","DC")))</f>
        <v/>
      </c>
      <c r="W30" s="868">
        <f>IF(N($B$80)&gt;=13,COUNTIF(Equipment!$S$7:$S$18,"&lt;13")+1,"")</f>
        <v/>
      </c>
      <c r="X30" s="868">
        <f>IF($U30&lt;&gt;1,"",IF(N($M30)&gt;0,N($M30),MAX(1,N(IFERROR(INDEX(SPEC_CIRC,MATCH(INDEX(Equipment!$C$7:$C$18,MAX(1,N($W30))),SPEC_SKU,0)),1)))))</f>
        <v/>
      </c>
    </row>
    <row r="31" ht="16" customHeight="1" s="254">
      <c r="A31" s="862">
        <f>IF($W31="","","Charger 14")</f>
        <v/>
      </c>
      <c r="B31" s="863">
        <f>IF($W31="","","Line "&amp;$W31&amp;" · "&amp;INDEX(Equipment!$C$7:$C$18,$W31)&amp;" · "&amp;INDEX(Equipment!$B$7:$B$18,$W31)&amp;" · #"&amp;(14-INDEX(Equipment!$R$7:$R$18,$W31)+1)&amp;" of "&amp;INDEX(Equipment!$I$7:$I$18,$W31))</f>
        <v/>
      </c>
      <c r="C31" s="863">
        <f>IF($W31="","",IF($V31="L2",TEXT(N(Equipment!$B$30),"0")&amp;" V 1-ph",TEXT(Project!$B$29,"0")&amp;" V 3-ph"))</f>
        <v/>
      </c>
      <c r="D31" s="864">
        <f>IF($W31="","",INDEX(Equipment!$G$7:$G$18,$W31))</f>
        <v/>
      </c>
      <c r="E31" s="807" t="n"/>
      <c r="F31" s="831" t="n"/>
      <c r="G31" s="807" t="n"/>
      <c r="H31" s="865">
        <f>IF($U31&lt;&gt;1,"",IF($E31="",N($D31),SUMIF($E$18:$E$77,$E31,$D$18:$D$77))*1000/(IF($V31="L2",N(Equipment!$B$30),Project!$B$29)*IF($V31="L2",1,SQRT(3))))</f>
        <v/>
      </c>
      <c r="I31" s="865">
        <f>IF(N($H31)=0,"",N($H31)*1.25)</f>
        <v/>
      </c>
      <c r="J31" s="865">
        <f>IF(N($I31)=0,"",IF(ISNUMBER(MATCH($I31,OCPD_LIST,0)),$I31,IF($I31&gt;MAX(OCPD_LIST),"ABOVE LIST",INDEX(OCPD_LIST,MATCH($I31,OCPD_LIST,1)+1))))</f>
        <v/>
      </c>
      <c r="K31" s="863">
        <f>IF(OR(N($I31)=0,$B$10=""),"",IF(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gt;ROWS(SZ_SIZE),"PARALLEL SETS",INDEX(SZ_SIZE,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f>
        <v/>
      </c>
      <c r="L31" s="807" t="n"/>
      <c r="M31" s="831" t="n"/>
      <c r="N31" s="865">
        <f>IF(OR(IF($L31&lt;&gt;"",$L31,$K31)="",IF($L31&lt;&gt;"",$L31,$K31)="PARALLEL SETS"),"",IFERROR(INDEX(SZ_AMP,MATCH(IF($L31&lt;&gt;"",$L31,$K31),SZ_SIZE,0))*IF(N($M31)&gt;0,N($M31),MAX(1,N(IFERROR(INDEX(SPEC_CIRC,MATCH(INDEX(Equipment!$C$7:$C$18,MAX(1,N($W31))),SPEC_SKU,0)),1)))),""))</f>
        <v/>
      </c>
      <c r="O31" s="866">
        <f>IF(OR(N($N31)=0,N($F31)=0),"",IFERROR(IF($V31="L2",2,SQRT(3))*N($H31)/IF(N($M31)&gt;0,N($M31),MAX(1,N(IFERROR(INDEX(SPEC_CIRC,MATCH(INDEX(Equipment!$C$7:$C$18,MAX(1,N($W31))),SPEC_SKU,0)),1))))*N($F31)*INDEX(SZ_Z,MATCH(IF($L31&lt;&gt;"",$L31,$K31),SZ_SIZE,0))/1000/IF($V31="L2",N(Equipment!$B$30),Project!$B$29),""))</f>
        <v/>
      </c>
      <c r="P31" s="863">
        <f>IF(N($J31)=0,"",IFERROR(INDEX(IF($B$6="Cu",EGC_CU,EGC_AL),MATCH($J31,EGC_OCPD,1)+IF(ISNUMBER(MATCH($J31,EGC_OCPD,0)),0,1)),""))</f>
        <v/>
      </c>
      <c r="Q31" s="863">
        <f>IF(N($N31)=0,"",IFERROR(INDEX(IF($V31="L2",CND_2G,CND_3G),MATCH(IF($L31&lt;&gt;"",$L31,$K31),CND_SIZE,0)),""))</f>
        <v/>
      </c>
      <c r="R31" s="807" t="n"/>
      <c r="S31" s="867">
        <f>IF(OR(N($F31)=0,N($N31)=0),0,IFERROR(N($F31)*IF(N($M31)&gt;0,N($M31),MAX(1,N(IFERROR(INDEX(SPEC_CIRC,MATCH(INDEX(Equipment!$C$7:$C$18,MAX(1,N($W31))),SPEC_SKU,0)),1))))*IF($V31="L2",2,3)*INDEX(IF($B$6="Cu",WIRE_CU,WIRE_AL),MATCH(IF($L31&lt;&gt;"",$L31,$K31),WIRE_SIZE,0)),0)+IFERROR(N($F31)*IF(N($M31)&gt;0,N($M31),MAX(1,N(IFERROR(INDEX(SPEC_CIRC,MATCH(INDEX(Equipment!$C$7:$C$18,MAX(1,N($W31))),SPEC_SKU,0)),1))))*INDEX(IF($B$6="Cu",WIRE_CU,WIRE_AL),MATCH($P31,WIRE_SIZE,0)),0)+IFERROR(N($F31)*IF(N($M31)&gt;0,N($M31),MAX(1,N(IFERROR(INDEX(SPEC_CIRC,MATCH(INDEX(Equipment!$C$7:$C$18,MAX(1,N($W31))),SPEC_SKU,0)),1))))*INDEX(PVC_RATE,MATCH(IF($R31&lt;&gt;"",$R31,$Q31),PVC_SIZE,0)),0)+IF($V31="L2",0,IFERROR(N($F31)*INDEX(PVC_RATE,MATCH("(3/4"")",PVC_SIZE,0)),0)))</f>
        <v/>
      </c>
      <c r="T31" s="863">
        <f>IF($W31="","",IF($U31=0,"shared — on circuit "&amp;$E31&amp;", sized and priced on its first unit",IF(N($F31)=0,"ENTER THE DISTANCE",IF($B$10="","SET THE DESIGN AMBIENT in block A — nothing on this row can be trusted until it is",IF(IF($L31&lt;&gt;"",$L31,$K31)="PARALLEL SETS","PARALLEL SETS NEEDED — no single conductor carries "&amp;TEXT(N($I31),"#,##0")&amp;" A within the drop allowance; enter sets in column M",IF(N($N31)=0,"no ampacity on file for the override size — NEC Table 310.16 does not list it",IF(N($N31)&lt;IF(N($J31)&gt;800,N($J31),N($I31)),"UNDERSIZED — "&amp;TEXT(N($N31),"#,##0")&amp;" A provided against a floor of "&amp;TEXT(IF(N($J31)&gt;800,N($J31),N($I31)),"#,##0")&amp;" A",IF(N($O31)&gt;$B$13,"ampacity OK but voltage drop "&amp;TEXT(N($O31),"0.0%")&amp;" exceeds the allowance — ADVISORY, upsize the override","OK — "&amp;IF(IF(N($M31)&gt;0,N($M31),MAX(1,N(IFERROR(INDEX(SPEC_CIRC,MATCH(INDEX(Equipment!$C$7:$C$18,MAX(1,N($W31))),SPEC_SKU,0)),1))))&gt;1,TEXT(IF(N($M31)&gt;0,N($M31),MAX(1,N(IFERROR(INDEX(SPEC_CIRC,MATCH(INDEX(Equipment!$C$7:$C$18,MAX(1,N($W31))),SPEC_SKU,0)),1)))),"0")&amp;" sets of ","")&amp;IF($L31&lt;&gt;"",$L31,$K31)&amp;IF($L31&lt;&gt;""," (override)","")&amp;", "&amp;TEXT(N($N31),"#,##0")&amp;" A against a "&amp;TEXT(IF(N($J31)&gt;800,N($J31),N($I31)),"#,##0")&amp;" A floor; drop "&amp;TEXT(N($O31),"0.0%")&amp;" (ADVISORY)"))))))))</f>
        <v/>
      </c>
      <c r="U31" s="868">
        <f>IF($W31="",0,IF($E31="",1,IF(MATCH($E31,$E$18:$E$77,0)=14,1,0)))</f>
        <v/>
      </c>
      <c r="V31" s="869">
        <f>IF($W31="","",IF(INDEX(Equipment!$E$7:$E$18,$W31)="level_2","L2",IF(INDEX(Equipment!$E$7:$E$18,$W31)="power_cabinet","CAB","DC")))</f>
        <v/>
      </c>
      <c r="W31" s="868">
        <f>IF(N($B$80)&gt;=14,COUNTIF(Equipment!$S$7:$S$18,"&lt;14")+1,"")</f>
        <v/>
      </c>
      <c r="X31" s="868">
        <f>IF($U31&lt;&gt;1,"",IF(N($M31)&gt;0,N($M31),MAX(1,N(IFERROR(INDEX(SPEC_CIRC,MATCH(INDEX(Equipment!$C$7:$C$18,MAX(1,N($W31))),SPEC_SKU,0)),1)))))</f>
        <v/>
      </c>
    </row>
    <row r="32" ht="16" customHeight="1" s="254">
      <c r="A32" s="862">
        <f>IF($W32="","","Charger 15")</f>
        <v/>
      </c>
      <c r="B32" s="863">
        <f>IF($W32="","","Line "&amp;$W32&amp;" · "&amp;INDEX(Equipment!$C$7:$C$18,$W32)&amp;" · "&amp;INDEX(Equipment!$B$7:$B$18,$W32)&amp;" · #"&amp;(15-INDEX(Equipment!$R$7:$R$18,$W32)+1)&amp;" of "&amp;INDEX(Equipment!$I$7:$I$18,$W32))</f>
        <v/>
      </c>
      <c r="C32" s="863">
        <f>IF($W32="","",IF($V32="L2",TEXT(N(Equipment!$B$30),"0")&amp;" V 1-ph",TEXT(Project!$B$29,"0")&amp;" V 3-ph"))</f>
        <v/>
      </c>
      <c r="D32" s="864">
        <f>IF($W32="","",INDEX(Equipment!$G$7:$G$18,$W32))</f>
        <v/>
      </c>
      <c r="E32" s="807" t="n"/>
      <c r="F32" s="831" t="n"/>
      <c r="G32" s="807" t="n"/>
      <c r="H32" s="865">
        <f>IF($U32&lt;&gt;1,"",IF($E32="",N($D32),SUMIF($E$18:$E$77,$E32,$D$18:$D$77))*1000/(IF($V32="L2",N(Equipment!$B$30),Project!$B$29)*IF($V32="L2",1,SQRT(3))))</f>
        <v/>
      </c>
      <c r="I32" s="865">
        <f>IF(N($H32)=0,"",N($H32)*1.25)</f>
        <v/>
      </c>
      <c r="J32" s="865">
        <f>IF(N($I32)=0,"",IF(ISNUMBER(MATCH($I32,OCPD_LIST,0)),$I32,IF($I32&gt;MAX(OCPD_LIST),"ABOVE LIST",INDEX(OCPD_LIST,MATCH($I32,OCPD_LIST,1)+1))))</f>
        <v/>
      </c>
      <c r="K32" s="863">
        <f>IF(OR(N($I32)=0,$B$10=""),"",IF(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gt;ROWS(SZ_SIZE),"PARALLEL SETS",INDEX(SZ_SIZE,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f>
        <v/>
      </c>
      <c r="L32" s="807" t="n"/>
      <c r="M32" s="831" t="n"/>
      <c r="N32" s="865">
        <f>IF(OR(IF($L32&lt;&gt;"",$L32,$K32)="",IF($L32&lt;&gt;"",$L32,$K32)="PARALLEL SETS"),"",IFERROR(INDEX(SZ_AMP,MATCH(IF($L32&lt;&gt;"",$L32,$K32),SZ_SIZE,0))*IF(N($M32)&gt;0,N($M32),MAX(1,N(IFERROR(INDEX(SPEC_CIRC,MATCH(INDEX(Equipment!$C$7:$C$18,MAX(1,N($W32))),SPEC_SKU,0)),1)))),""))</f>
        <v/>
      </c>
      <c r="O32" s="866">
        <f>IF(OR(N($N32)=0,N($F32)=0),"",IFERROR(IF($V32="L2",2,SQRT(3))*N($H32)/IF(N($M32)&gt;0,N($M32),MAX(1,N(IFERROR(INDEX(SPEC_CIRC,MATCH(INDEX(Equipment!$C$7:$C$18,MAX(1,N($W32))),SPEC_SKU,0)),1))))*N($F32)*INDEX(SZ_Z,MATCH(IF($L32&lt;&gt;"",$L32,$K32),SZ_SIZE,0))/1000/IF($V32="L2",N(Equipment!$B$30),Project!$B$29),""))</f>
        <v/>
      </c>
      <c r="P32" s="863">
        <f>IF(N($J32)=0,"",IFERROR(INDEX(IF($B$6="Cu",EGC_CU,EGC_AL),MATCH($J32,EGC_OCPD,1)+IF(ISNUMBER(MATCH($J32,EGC_OCPD,0)),0,1)),""))</f>
        <v/>
      </c>
      <c r="Q32" s="863">
        <f>IF(N($N32)=0,"",IFERROR(INDEX(IF($V32="L2",CND_2G,CND_3G),MATCH(IF($L32&lt;&gt;"",$L32,$K32),CND_SIZE,0)),""))</f>
        <v/>
      </c>
      <c r="R32" s="807" t="n"/>
      <c r="S32" s="867">
        <f>IF(OR(N($F32)=0,N($N32)=0),0,IFERROR(N($F32)*IF(N($M32)&gt;0,N($M32),MAX(1,N(IFERROR(INDEX(SPEC_CIRC,MATCH(INDEX(Equipment!$C$7:$C$18,MAX(1,N($W32))),SPEC_SKU,0)),1))))*IF($V32="L2",2,3)*INDEX(IF($B$6="Cu",WIRE_CU,WIRE_AL),MATCH(IF($L32&lt;&gt;"",$L32,$K32),WIRE_SIZE,0)),0)+IFERROR(N($F32)*IF(N($M32)&gt;0,N($M32),MAX(1,N(IFERROR(INDEX(SPEC_CIRC,MATCH(INDEX(Equipment!$C$7:$C$18,MAX(1,N($W32))),SPEC_SKU,0)),1))))*INDEX(IF($B$6="Cu",WIRE_CU,WIRE_AL),MATCH($P32,WIRE_SIZE,0)),0)+IFERROR(N($F32)*IF(N($M32)&gt;0,N($M32),MAX(1,N(IFERROR(INDEX(SPEC_CIRC,MATCH(INDEX(Equipment!$C$7:$C$18,MAX(1,N($W32))),SPEC_SKU,0)),1))))*INDEX(PVC_RATE,MATCH(IF($R32&lt;&gt;"",$R32,$Q32),PVC_SIZE,0)),0)+IF($V32="L2",0,IFERROR(N($F32)*INDEX(PVC_RATE,MATCH("(3/4"")",PVC_SIZE,0)),0)))</f>
        <v/>
      </c>
      <c r="T32" s="863">
        <f>IF($W32="","",IF($U32=0,"shared — on circuit "&amp;$E32&amp;", sized and priced on its first unit",IF(N($F32)=0,"ENTER THE DISTANCE",IF($B$10="","SET THE DESIGN AMBIENT in block A — nothing on this row can be trusted until it is",IF(IF($L32&lt;&gt;"",$L32,$K32)="PARALLEL SETS","PARALLEL SETS NEEDED — no single conductor carries "&amp;TEXT(N($I32),"#,##0")&amp;" A within the drop allowance; enter sets in column M",IF(N($N32)=0,"no ampacity on file for the override size — NEC Table 310.16 does not list it",IF(N($N32)&lt;IF(N($J32)&gt;800,N($J32),N($I32)),"UNDERSIZED — "&amp;TEXT(N($N32),"#,##0")&amp;" A provided against a floor of "&amp;TEXT(IF(N($J32)&gt;800,N($J32),N($I32)),"#,##0")&amp;" A",IF(N($O32)&gt;$B$13,"ampacity OK but voltage drop "&amp;TEXT(N($O32),"0.0%")&amp;" exceeds the allowance — ADVISORY, upsize the override","OK — "&amp;IF(IF(N($M32)&gt;0,N($M32),MAX(1,N(IFERROR(INDEX(SPEC_CIRC,MATCH(INDEX(Equipment!$C$7:$C$18,MAX(1,N($W32))),SPEC_SKU,0)),1))))&gt;1,TEXT(IF(N($M32)&gt;0,N($M32),MAX(1,N(IFERROR(INDEX(SPEC_CIRC,MATCH(INDEX(Equipment!$C$7:$C$18,MAX(1,N($W32))),SPEC_SKU,0)),1)))),"0")&amp;" sets of ","")&amp;IF($L32&lt;&gt;"",$L32,$K32)&amp;IF($L32&lt;&gt;""," (override)","")&amp;", "&amp;TEXT(N($N32),"#,##0")&amp;" A against a "&amp;TEXT(IF(N($J32)&gt;800,N($J32),N($I32)),"#,##0")&amp;" A floor; drop "&amp;TEXT(N($O32),"0.0%")&amp;" (ADVISORY)"))))))))</f>
        <v/>
      </c>
      <c r="U32" s="868">
        <f>IF($W32="",0,IF($E32="",1,IF(MATCH($E32,$E$18:$E$77,0)=15,1,0)))</f>
        <v/>
      </c>
      <c r="V32" s="869">
        <f>IF($W32="","",IF(INDEX(Equipment!$E$7:$E$18,$W32)="level_2","L2",IF(INDEX(Equipment!$E$7:$E$18,$W32)="power_cabinet","CAB","DC")))</f>
        <v/>
      </c>
      <c r="W32" s="868">
        <f>IF(N($B$80)&gt;=15,COUNTIF(Equipment!$S$7:$S$18,"&lt;15")+1,"")</f>
        <v/>
      </c>
      <c r="X32" s="868">
        <f>IF($U32&lt;&gt;1,"",IF(N($M32)&gt;0,N($M32),MAX(1,N(IFERROR(INDEX(SPEC_CIRC,MATCH(INDEX(Equipment!$C$7:$C$18,MAX(1,N($W32))),SPEC_SKU,0)),1)))))</f>
        <v/>
      </c>
    </row>
    <row r="33" ht="16" customHeight="1" s="254">
      <c r="A33" s="862">
        <f>IF($W33="","","Charger 16")</f>
        <v/>
      </c>
      <c r="B33" s="863">
        <f>IF($W33="","","Line "&amp;$W33&amp;" · "&amp;INDEX(Equipment!$C$7:$C$18,$W33)&amp;" · "&amp;INDEX(Equipment!$B$7:$B$18,$W33)&amp;" · #"&amp;(16-INDEX(Equipment!$R$7:$R$18,$W33)+1)&amp;" of "&amp;INDEX(Equipment!$I$7:$I$18,$W33))</f>
        <v/>
      </c>
      <c r="C33" s="863">
        <f>IF($W33="","",IF($V33="L2",TEXT(N(Equipment!$B$30),"0")&amp;" V 1-ph",TEXT(Project!$B$29,"0")&amp;" V 3-ph"))</f>
        <v/>
      </c>
      <c r="D33" s="864">
        <f>IF($W33="","",INDEX(Equipment!$G$7:$G$18,$W33))</f>
        <v/>
      </c>
      <c r="E33" s="807" t="n"/>
      <c r="F33" s="831" t="n"/>
      <c r="G33" s="807" t="n"/>
      <c r="H33" s="865">
        <f>IF($U33&lt;&gt;1,"",IF($E33="",N($D33),SUMIF($E$18:$E$77,$E33,$D$18:$D$77))*1000/(IF($V33="L2",N(Equipment!$B$30),Project!$B$29)*IF($V33="L2",1,SQRT(3))))</f>
        <v/>
      </c>
      <c r="I33" s="865">
        <f>IF(N($H33)=0,"",N($H33)*1.25)</f>
        <v/>
      </c>
      <c r="J33" s="865">
        <f>IF(N($I33)=0,"",IF(ISNUMBER(MATCH($I33,OCPD_LIST,0)),$I33,IF($I33&gt;MAX(OCPD_LIST),"ABOVE LIST",INDEX(OCPD_LIST,MATCH($I33,OCPD_LIST,1)+1))))</f>
        <v/>
      </c>
      <c r="K33" s="863">
        <f>IF(OR(N($I33)=0,$B$10=""),"",IF(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gt;ROWS(SZ_SIZE),"PARALLEL SETS",INDEX(SZ_SIZE,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f>
        <v/>
      </c>
      <c r="L33" s="807" t="n"/>
      <c r="M33" s="831" t="n"/>
      <c r="N33" s="865">
        <f>IF(OR(IF($L33&lt;&gt;"",$L33,$K33)="",IF($L33&lt;&gt;"",$L33,$K33)="PARALLEL SETS"),"",IFERROR(INDEX(SZ_AMP,MATCH(IF($L33&lt;&gt;"",$L33,$K33),SZ_SIZE,0))*IF(N($M33)&gt;0,N($M33),MAX(1,N(IFERROR(INDEX(SPEC_CIRC,MATCH(INDEX(Equipment!$C$7:$C$18,MAX(1,N($W33))),SPEC_SKU,0)),1)))),""))</f>
        <v/>
      </c>
      <c r="O33" s="866">
        <f>IF(OR(N($N33)=0,N($F33)=0),"",IFERROR(IF($V33="L2",2,SQRT(3))*N($H33)/IF(N($M33)&gt;0,N($M33),MAX(1,N(IFERROR(INDEX(SPEC_CIRC,MATCH(INDEX(Equipment!$C$7:$C$18,MAX(1,N($W33))),SPEC_SKU,0)),1))))*N($F33)*INDEX(SZ_Z,MATCH(IF($L33&lt;&gt;"",$L33,$K33),SZ_SIZE,0))/1000/IF($V33="L2",N(Equipment!$B$30),Project!$B$29),""))</f>
        <v/>
      </c>
      <c r="P33" s="863">
        <f>IF(N($J33)=0,"",IFERROR(INDEX(IF($B$6="Cu",EGC_CU,EGC_AL),MATCH($J33,EGC_OCPD,1)+IF(ISNUMBER(MATCH($J33,EGC_OCPD,0)),0,1)),""))</f>
        <v/>
      </c>
      <c r="Q33" s="863">
        <f>IF(N($N33)=0,"",IFERROR(INDEX(IF($V33="L2",CND_2G,CND_3G),MATCH(IF($L33&lt;&gt;"",$L33,$K33),CND_SIZE,0)),""))</f>
        <v/>
      </c>
      <c r="R33" s="807" t="n"/>
      <c r="S33" s="867">
        <f>IF(OR(N($F33)=0,N($N33)=0),0,IFERROR(N($F33)*IF(N($M33)&gt;0,N($M33),MAX(1,N(IFERROR(INDEX(SPEC_CIRC,MATCH(INDEX(Equipment!$C$7:$C$18,MAX(1,N($W33))),SPEC_SKU,0)),1))))*IF($V33="L2",2,3)*INDEX(IF($B$6="Cu",WIRE_CU,WIRE_AL),MATCH(IF($L33&lt;&gt;"",$L33,$K33),WIRE_SIZE,0)),0)+IFERROR(N($F33)*IF(N($M33)&gt;0,N($M33),MAX(1,N(IFERROR(INDEX(SPEC_CIRC,MATCH(INDEX(Equipment!$C$7:$C$18,MAX(1,N($W33))),SPEC_SKU,0)),1))))*INDEX(IF($B$6="Cu",WIRE_CU,WIRE_AL),MATCH($P33,WIRE_SIZE,0)),0)+IFERROR(N($F33)*IF(N($M33)&gt;0,N($M33),MAX(1,N(IFERROR(INDEX(SPEC_CIRC,MATCH(INDEX(Equipment!$C$7:$C$18,MAX(1,N($W33))),SPEC_SKU,0)),1))))*INDEX(PVC_RATE,MATCH(IF($R33&lt;&gt;"",$R33,$Q33),PVC_SIZE,0)),0)+IF($V33="L2",0,IFERROR(N($F33)*INDEX(PVC_RATE,MATCH("(3/4"")",PVC_SIZE,0)),0)))</f>
        <v/>
      </c>
      <c r="T33" s="863">
        <f>IF($W33="","",IF($U33=0,"shared — on circuit "&amp;$E33&amp;", sized and priced on its first unit",IF(N($F33)=0,"ENTER THE DISTANCE",IF($B$10="","SET THE DESIGN AMBIENT in block A — nothing on this row can be trusted until it is",IF(IF($L33&lt;&gt;"",$L33,$K33)="PARALLEL SETS","PARALLEL SETS NEEDED — no single conductor carries "&amp;TEXT(N($I33),"#,##0")&amp;" A within the drop allowance; enter sets in column M",IF(N($N33)=0,"no ampacity on file for the override size — NEC Table 310.16 does not list it",IF(N($N33)&lt;IF(N($J33)&gt;800,N($J33),N($I33)),"UNDERSIZED — "&amp;TEXT(N($N33),"#,##0")&amp;" A provided against a floor of "&amp;TEXT(IF(N($J33)&gt;800,N($J33),N($I33)),"#,##0")&amp;" A",IF(N($O33)&gt;$B$13,"ampacity OK but voltage drop "&amp;TEXT(N($O33),"0.0%")&amp;" exceeds the allowance — ADVISORY, upsize the override","OK — "&amp;IF(IF(N($M33)&gt;0,N($M33),MAX(1,N(IFERROR(INDEX(SPEC_CIRC,MATCH(INDEX(Equipment!$C$7:$C$18,MAX(1,N($W33))),SPEC_SKU,0)),1))))&gt;1,TEXT(IF(N($M33)&gt;0,N($M33),MAX(1,N(IFERROR(INDEX(SPEC_CIRC,MATCH(INDEX(Equipment!$C$7:$C$18,MAX(1,N($W33))),SPEC_SKU,0)),1)))),"0")&amp;" sets of ","")&amp;IF($L33&lt;&gt;"",$L33,$K33)&amp;IF($L33&lt;&gt;""," (override)","")&amp;", "&amp;TEXT(N($N33),"#,##0")&amp;" A against a "&amp;TEXT(IF(N($J33)&gt;800,N($J33),N($I33)),"#,##0")&amp;" A floor; drop "&amp;TEXT(N($O33),"0.0%")&amp;" (ADVISORY)"))))))))</f>
        <v/>
      </c>
      <c r="U33" s="868">
        <f>IF($W33="",0,IF($E33="",1,IF(MATCH($E33,$E$18:$E$77,0)=16,1,0)))</f>
        <v/>
      </c>
      <c r="V33" s="869">
        <f>IF($W33="","",IF(INDEX(Equipment!$E$7:$E$18,$W33)="level_2","L2",IF(INDEX(Equipment!$E$7:$E$18,$W33)="power_cabinet","CAB","DC")))</f>
        <v/>
      </c>
      <c r="W33" s="868">
        <f>IF(N($B$80)&gt;=16,COUNTIF(Equipment!$S$7:$S$18,"&lt;16")+1,"")</f>
        <v/>
      </c>
      <c r="X33" s="868">
        <f>IF($U33&lt;&gt;1,"",IF(N($M33)&gt;0,N($M33),MAX(1,N(IFERROR(INDEX(SPEC_CIRC,MATCH(INDEX(Equipment!$C$7:$C$18,MAX(1,N($W33))),SPEC_SKU,0)),1)))))</f>
        <v/>
      </c>
    </row>
    <row r="34" ht="16" customHeight="1" s="254">
      <c r="A34" s="862">
        <f>IF($W34="","","Charger 17")</f>
        <v/>
      </c>
      <c r="B34" s="863">
        <f>IF($W34="","","Line "&amp;$W34&amp;" · "&amp;INDEX(Equipment!$C$7:$C$18,$W34)&amp;" · "&amp;INDEX(Equipment!$B$7:$B$18,$W34)&amp;" · #"&amp;(17-INDEX(Equipment!$R$7:$R$18,$W34)+1)&amp;" of "&amp;INDEX(Equipment!$I$7:$I$18,$W34))</f>
        <v/>
      </c>
      <c r="C34" s="863">
        <f>IF($W34="","",IF($V34="L2",TEXT(N(Equipment!$B$30),"0")&amp;" V 1-ph",TEXT(Project!$B$29,"0")&amp;" V 3-ph"))</f>
        <v/>
      </c>
      <c r="D34" s="864">
        <f>IF($W34="","",INDEX(Equipment!$G$7:$G$18,$W34))</f>
        <v/>
      </c>
      <c r="E34" s="807" t="n"/>
      <c r="F34" s="831" t="n"/>
      <c r="G34" s="807" t="n"/>
      <c r="H34" s="865">
        <f>IF($U34&lt;&gt;1,"",IF($E34="",N($D34),SUMIF($E$18:$E$77,$E34,$D$18:$D$77))*1000/(IF($V34="L2",N(Equipment!$B$30),Project!$B$29)*IF($V34="L2",1,SQRT(3))))</f>
        <v/>
      </c>
      <c r="I34" s="865">
        <f>IF(N($H34)=0,"",N($H34)*1.25)</f>
        <v/>
      </c>
      <c r="J34" s="865">
        <f>IF(N($I34)=0,"",IF(ISNUMBER(MATCH($I34,OCPD_LIST,0)),$I34,IF($I34&gt;MAX(OCPD_LIST),"ABOVE LIST",INDEX(OCPD_LIST,MATCH($I34,OCPD_LIST,1)+1))))</f>
        <v/>
      </c>
      <c r="K34" s="863">
        <f>IF(OR(N($I34)=0,$B$10=""),"",IF(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gt;ROWS(SZ_SIZE),"PARALLEL SETS",INDEX(SZ_SIZE,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f>
        <v/>
      </c>
      <c r="L34" s="807" t="n"/>
      <c r="M34" s="831" t="n"/>
      <c r="N34" s="865">
        <f>IF(OR(IF($L34&lt;&gt;"",$L34,$K34)="",IF($L34&lt;&gt;"",$L34,$K34)="PARALLEL SETS"),"",IFERROR(INDEX(SZ_AMP,MATCH(IF($L34&lt;&gt;"",$L34,$K34),SZ_SIZE,0))*IF(N($M34)&gt;0,N($M34),MAX(1,N(IFERROR(INDEX(SPEC_CIRC,MATCH(INDEX(Equipment!$C$7:$C$18,MAX(1,N($W34))),SPEC_SKU,0)),1)))),""))</f>
        <v/>
      </c>
      <c r="O34" s="866">
        <f>IF(OR(N($N34)=0,N($F34)=0),"",IFERROR(IF($V34="L2",2,SQRT(3))*N($H34)/IF(N($M34)&gt;0,N($M34),MAX(1,N(IFERROR(INDEX(SPEC_CIRC,MATCH(INDEX(Equipment!$C$7:$C$18,MAX(1,N($W34))),SPEC_SKU,0)),1))))*N($F34)*INDEX(SZ_Z,MATCH(IF($L34&lt;&gt;"",$L34,$K34),SZ_SIZE,0))/1000/IF($V34="L2",N(Equipment!$B$30),Project!$B$29),""))</f>
        <v/>
      </c>
      <c r="P34" s="863">
        <f>IF(N($J34)=0,"",IFERROR(INDEX(IF($B$6="Cu",EGC_CU,EGC_AL),MATCH($J34,EGC_OCPD,1)+IF(ISNUMBER(MATCH($J34,EGC_OCPD,0)),0,1)),""))</f>
        <v/>
      </c>
      <c r="Q34" s="863">
        <f>IF(N($N34)=0,"",IFERROR(INDEX(IF($V34="L2",CND_2G,CND_3G),MATCH(IF($L34&lt;&gt;"",$L34,$K34),CND_SIZE,0)),""))</f>
        <v/>
      </c>
      <c r="R34" s="807" t="n"/>
      <c r="S34" s="867">
        <f>IF(OR(N($F34)=0,N($N34)=0),0,IFERROR(N($F34)*IF(N($M34)&gt;0,N($M34),MAX(1,N(IFERROR(INDEX(SPEC_CIRC,MATCH(INDEX(Equipment!$C$7:$C$18,MAX(1,N($W34))),SPEC_SKU,0)),1))))*IF($V34="L2",2,3)*INDEX(IF($B$6="Cu",WIRE_CU,WIRE_AL),MATCH(IF($L34&lt;&gt;"",$L34,$K34),WIRE_SIZE,0)),0)+IFERROR(N($F34)*IF(N($M34)&gt;0,N($M34),MAX(1,N(IFERROR(INDEX(SPEC_CIRC,MATCH(INDEX(Equipment!$C$7:$C$18,MAX(1,N($W34))),SPEC_SKU,0)),1))))*INDEX(IF($B$6="Cu",WIRE_CU,WIRE_AL),MATCH($P34,WIRE_SIZE,0)),0)+IFERROR(N($F34)*IF(N($M34)&gt;0,N($M34),MAX(1,N(IFERROR(INDEX(SPEC_CIRC,MATCH(INDEX(Equipment!$C$7:$C$18,MAX(1,N($W34))),SPEC_SKU,0)),1))))*INDEX(PVC_RATE,MATCH(IF($R34&lt;&gt;"",$R34,$Q34),PVC_SIZE,0)),0)+IF($V34="L2",0,IFERROR(N($F34)*INDEX(PVC_RATE,MATCH("(3/4"")",PVC_SIZE,0)),0)))</f>
        <v/>
      </c>
      <c r="T34" s="863">
        <f>IF($W34="","",IF($U34=0,"shared — on circuit "&amp;$E34&amp;", sized and priced on its first unit",IF(N($F34)=0,"ENTER THE DISTANCE",IF($B$10="","SET THE DESIGN AMBIENT in block A — nothing on this row can be trusted until it is",IF(IF($L34&lt;&gt;"",$L34,$K34)="PARALLEL SETS","PARALLEL SETS NEEDED — no single conductor carries "&amp;TEXT(N($I34),"#,##0")&amp;" A within the drop allowance; enter sets in column M",IF(N($N34)=0,"no ampacity on file for the override size — NEC Table 310.16 does not list it",IF(N($N34)&lt;IF(N($J34)&gt;800,N($J34),N($I34)),"UNDERSIZED — "&amp;TEXT(N($N34),"#,##0")&amp;" A provided against a floor of "&amp;TEXT(IF(N($J34)&gt;800,N($J34),N($I34)),"#,##0")&amp;" A",IF(N($O34)&gt;$B$13,"ampacity OK but voltage drop "&amp;TEXT(N($O34),"0.0%")&amp;" exceeds the allowance — ADVISORY, upsize the override","OK — "&amp;IF(IF(N($M34)&gt;0,N($M34),MAX(1,N(IFERROR(INDEX(SPEC_CIRC,MATCH(INDEX(Equipment!$C$7:$C$18,MAX(1,N($W34))),SPEC_SKU,0)),1))))&gt;1,TEXT(IF(N($M34)&gt;0,N($M34),MAX(1,N(IFERROR(INDEX(SPEC_CIRC,MATCH(INDEX(Equipment!$C$7:$C$18,MAX(1,N($W34))),SPEC_SKU,0)),1)))),"0")&amp;" sets of ","")&amp;IF($L34&lt;&gt;"",$L34,$K34)&amp;IF($L34&lt;&gt;""," (override)","")&amp;", "&amp;TEXT(N($N34),"#,##0")&amp;" A against a "&amp;TEXT(IF(N($J34)&gt;800,N($J34),N($I34)),"#,##0")&amp;" A floor; drop "&amp;TEXT(N($O34),"0.0%")&amp;" (ADVISORY)"))))))))</f>
        <v/>
      </c>
      <c r="U34" s="868">
        <f>IF($W34="",0,IF($E34="",1,IF(MATCH($E34,$E$18:$E$77,0)=17,1,0)))</f>
        <v/>
      </c>
      <c r="V34" s="869">
        <f>IF($W34="","",IF(INDEX(Equipment!$E$7:$E$18,$W34)="level_2","L2",IF(INDEX(Equipment!$E$7:$E$18,$W34)="power_cabinet","CAB","DC")))</f>
        <v/>
      </c>
      <c r="W34" s="868">
        <f>IF(N($B$80)&gt;=17,COUNTIF(Equipment!$S$7:$S$18,"&lt;17")+1,"")</f>
        <v/>
      </c>
      <c r="X34" s="868">
        <f>IF($U34&lt;&gt;1,"",IF(N($M34)&gt;0,N($M34),MAX(1,N(IFERROR(INDEX(SPEC_CIRC,MATCH(INDEX(Equipment!$C$7:$C$18,MAX(1,N($W34))),SPEC_SKU,0)),1)))))</f>
        <v/>
      </c>
    </row>
    <row r="35" ht="16" customHeight="1" s="254">
      <c r="A35" s="862">
        <f>IF($W35="","","Charger 18")</f>
        <v/>
      </c>
      <c r="B35" s="863">
        <f>IF($W35="","","Line "&amp;$W35&amp;" · "&amp;INDEX(Equipment!$C$7:$C$18,$W35)&amp;" · "&amp;INDEX(Equipment!$B$7:$B$18,$W35)&amp;" · #"&amp;(18-INDEX(Equipment!$R$7:$R$18,$W35)+1)&amp;" of "&amp;INDEX(Equipment!$I$7:$I$18,$W35))</f>
        <v/>
      </c>
      <c r="C35" s="863">
        <f>IF($W35="","",IF($V35="L2",TEXT(N(Equipment!$B$30),"0")&amp;" V 1-ph",TEXT(Project!$B$29,"0")&amp;" V 3-ph"))</f>
        <v/>
      </c>
      <c r="D35" s="864">
        <f>IF($W35="","",INDEX(Equipment!$G$7:$G$18,$W35))</f>
        <v/>
      </c>
      <c r="E35" s="807" t="n"/>
      <c r="F35" s="831" t="n"/>
      <c r="G35" s="807" t="n"/>
      <c r="H35" s="865">
        <f>IF($U35&lt;&gt;1,"",IF($E35="",N($D35),SUMIF($E$18:$E$77,$E35,$D$18:$D$77))*1000/(IF($V35="L2",N(Equipment!$B$30),Project!$B$29)*IF($V35="L2",1,SQRT(3))))</f>
        <v/>
      </c>
      <c r="I35" s="865">
        <f>IF(N($H35)=0,"",N($H35)*1.25)</f>
        <v/>
      </c>
      <c r="J35" s="865">
        <f>IF(N($I35)=0,"",IF(ISNUMBER(MATCH($I35,OCPD_LIST,0)),$I35,IF($I35&gt;MAX(OCPD_LIST),"ABOVE LIST",INDEX(OCPD_LIST,MATCH($I35,OCPD_LIST,1)+1))))</f>
        <v/>
      </c>
      <c r="K35" s="863">
        <f>IF(OR(N($I35)=0,$B$10=""),"",IF(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gt;ROWS(SZ_SIZE),"PARALLEL SETS",INDEX(SZ_SIZE,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f>
        <v/>
      </c>
      <c r="L35" s="807" t="n"/>
      <c r="M35" s="831" t="n"/>
      <c r="N35" s="865">
        <f>IF(OR(IF($L35&lt;&gt;"",$L35,$K35)="",IF($L35&lt;&gt;"",$L35,$K35)="PARALLEL SETS"),"",IFERROR(INDEX(SZ_AMP,MATCH(IF($L35&lt;&gt;"",$L35,$K35),SZ_SIZE,0))*IF(N($M35)&gt;0,N($M35),MAX(1,N(IFERROR(INDEX(SPEC_CIRC,MATCH(INDEX(Equipment!$C$7:$C$18,MAX(1,N($W35))),SPEC_SKU,0)),1)))),""))</f>
        <v/>
      </c>
      <c r="O35" s="866">
        <f>IF(OR(N($N35)=0,N($F35)=0),"",IFERROR(IF($V35="L2",2,SQRT(3))*N($H35)/IF(N($M35)&gt;0,N($M35),MAX(1,N(IFERROR(INDEX(SPEC_CIRC,MATCH(INDEX(Equipment!$C$7:$C$18,MAX(1,N($W35))),SPEC_SKU,0)),1))))*N($F35)*INDEX(SZ_Z,MATCH(IF($L35&lt;&gt;"",$L35,$K35),SZ_SIZE,0))/1000/IF($V35="L2",N(Equipment!$B$30),Project!$B$29),""))</f>
        <v/>
      </c>
      <c r="P35" s="863">
        <f>IF(N($J35)=0,"",IFERROR(INDEX(IF($B$6="Cu",EGC_CU,EGC_AL),MATCH($J35,EGC_OCPD,1)+IF(ISNUMBER(MATCH($J35,EGC_OCPD,0)),0,1)),""))</f>
        <v/>
      </c>
      <c r="Q35" s="863">
        <f>IF(N($N35)=0,"",IFERROR(INDEX(IF($V35="L2",CND_2G,CND_3G),MATCH(IF($L35&lt;&gt;"",$L35,$K35),CND_SIZE,0)),""))</f>
        <v/>
      </c>
      <c r="R35" s="807" t="n"/>
      <c r="S35" s="867">
        <f>IF(OR(N($F35)=0,N($N35)=0),0,IFERROR(N($F35)*IF(N($M35)&gt;0,N($M35),MAX(1,N(IFERROR(INDEX(SPEC_CIRC,MATCH(INDEX(Equipment!$C$7:$C$18,MAX(1,N($W35))),SPEC_SKU,0)),1))))*IF($V35="L2",2,3)*INDEX(IF($B$6="Cu",WIRE_CU,WIRE_AL),MATCH(IF($L35&lt;&gt;"",$L35,$K35),WIRE_SIZE,0)),0)+IFERROR(N($F35)*IF(N($M35)&gt;0,N($M35),MAX(1,N(IFERROR(INDEX(SPEC_CIRC,MATCH(INDEX(Equipment!$C$7:$C$18,MAX(1,N($W35))),SPEC_SKU,0)),1))))*INDEX(IF($B$6="Cu",WIRE_CU,WIRE_AL),MATCH($P35,WIRE_SIZE,0)),0)+IFERROR(N($F35)*IF(N($M35)&gt;0,N($M35),MAX(1,N(IFERROR(INDEX(SPEC_CIRC,MATCH(INDEX(Equipment!$C$7:$C$18,MAX(1,N($W35))),SPEC_SKU,0)),1))))*INDEX(PVC_RATE,MATCH(IF($R35&lt;&gt;"",$R35,$Q35),PVC_SIZE,0)),0)+IF($V35="L2",0,IFERROR(N($F35)*INDEX(PVC_RATE,MATCH("(3/4"")",PVC_SIZE,0)),0)))</f>
        <v/>
      </c>
      <c r="T35" s="863">
        <f>IF($W35="","",IF($U35=0,"shared — on circuit "&amp;$E35&amp;", sized and priced on its first unit",IF(N($F35)=0,"ENTER THE DISTANCE",IF($B$10="","SET THE DESIGN AMBIENT in block A — nothing on this row can be trusted until it is",IF(IF($L35&lt;&gt;"",$L35,$K35)="PARALLEL SETS","PARALLEL SETS NEEDED — no single conductor carries "&amp;TEXT(N($I35),"#,##0")&amp;" A within the drop allowance; enter sets in column M",IF(N($N35)=0,"no ampacity on file for the override size — NEC Table 310.16 does not list it",IF(N($N35)&lt;IF(N($J35)&gt;800,N($J35),N($I35)),"UNDERSIZED — "&amp;TEXT(N($N35),"#,##0")&amp;" A provided against a floor of "&amp;TEXT(IF(N($J35)&gt;800,N($J35),N($I35)),"#,##0")&amp;" A",IF(N($O35)&gt;$B$13,"ampacity OK but voltage drop "&amp;TEXT(N($O35),"0.0%")&amp;" exceeds the allowance — ADVISORY, upsize the override","OK — "&amp;IF(IF(N($M35)&gt;0,N($M35),MAX(1,N(IFERROR(INDEX(SPEC_CIRC,MATCH(INDEX(Equipment!$C$7:$C$18,MAX(1,N($W35))),SPEC_SKU,0)),1))))&gt;1,TEXT(IF(N($M35)&gt;0,N($M35),MAX(1,N(IFERROR(INDEX(SPEC_CIRC,MATCH(INDEX(Equipment!$C$7:$C$18,MAX(1,N($W35))),SPEC_SKU,0)),1)))),"0")&amp;" sets of ","")&amp;IF($L35&lt;&gt;"",$L35,$K35)&amp;IF($L35&lt;&gt;""," (override)","")&amp;", "&amp;TEXT(N($N35),"#,##0")&amp;" A against a "&amp;TEXT(IF(N($J35)&gt;800,N($J35),N($I35)),"#,##0")&amp;" A floor; drop "&amp;TEXT(N($O35),"0.0%")&amp;" (ADVISORY)"))))))))</f>
        <v/>
      </c>
      <c r="U35" s="868">
        <f>IF($W35="",0,IF($E35="",1,IF(MATCH($E35,$E$18:$E$77,0)=18,1,0)))</f>
        <v/>
      </c>
      <c r="V35" s="869">
        <f>IF($W35="","",IF(INDEX(Equipment!$E$7:$E$18,$W35)="level_2","L2",IF(INDEX(Equipment!$E$7:$E$18,$W35)="power_cabinet","CAB","DC")))</f>
        <v/>
      </c>
      <c r="W35" s="868">
        <f>IF(N($B$80)&gt;=18,COUNTIF(Equipment!$S$7:$S$18,"&lt;18")+1,"")</f>
        <v/>
      </c>
      <c r="X35" s="868">
        <f>IF($U35&lt;&gt;1,"",IF(N($M35)&gt;0,N($M35),MAX(1,N(IFERROR(INDEX(SPEC_CIRC,MATCH(INDEX(Equipment!$C$7:$C$18,MAX(1,N($W35))),SPEC_SKU,0)),1)))))</f>
        <v/>
      </c>
    </row>
    <row r="36" ht="16" customHeight="1" s="254">
      <c r="A36" s="862">
        <f>IF($W36="","","Charger 19")</f>
        <v/>
      </c>
      <c r="B36" s="863">
        <f>IF($W36="","","Line "&amp;$W36&amp;" · "&amp;INDEX(Equipment!$C$7:$C$18,$W36)&amp;" · "&amp;INDEX(Equipment!$B$7:$B$18,$W36)&amp;" · #"&amp;(19-INDEX(Equipment!$R$7:$R$18,$W36)+1)&amp;" of "&amp;INDEX(Equipment!$I$7:$I$18,$W36))</f>
        <v/>
      </c>
      <c r="C36" s="863">
        <f>IF($W36="","",IF($V36="L2",TEXT(N(Equipment!$B$30),"0")&amp;" V 1-ph",TEXT(Project!$B$29,"0")&amp;" V 3-ph"))</f>
        <v/>
      </c>
      <c r="D36" s="864">
        <f>IF($W36="","",INDEX(Equipment!$G$7:$G$18,$W36))</f>
        <v/>
      </c>
      <c r="E36" s="807" t="n"/>
      <c r="F36" s="831" t="n"/>
      <c r="G36" s="807" t="n"/>
      <c r="H36" s="865">
        <f>IF($U36&lt;&gt;1,"",IF($E36="",N($D36),SUMIF($E$18:$E$77,$E36,$D$18:$D$77))*1000/(IF($V36="L2",N(Equipment!$B$30),Project!$B$29)*IF($V36="L2",1,SQRT(3))))</f>
        <v/>
      </c>
      <c r="I36" s="865">
        <f>IF(N($H36)=0,"",N($H36)*1.25)</f>
        <v/>
      </c>
      <c r="J36" s="865">
        <f>IF(N($I36)=0,"",IF(ISNUMBER(MATCH($I36,OCPD_LIST,0)),$I36,IF($I36&gt;MAX(OCPD_LIST),"ABOVE LIST",INDEX(OCPD_LIST,MATCH($I36,OCPD_LIST,1)+1))))</f>
        <v/>
      </c>
      <c r="K36" s="863">
        <f>IF(OR(N($I36)=0,$B$10=""),"",IF(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gt;ROWS(SZ_SIZE),"PARALLEL SETS",INDEX(SZ_SIZE,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f>
        <v/>
      </c>
      <c r="L36" s="807" t="n"/>
      <c r="M36" s="831" t="n"/>
      <c r="N36" s="865">
        <f>IF(OR(IF($L36&lt;&gt;"",$L36,$K36)="",IF($L36&lt;&gt;"",$L36,$K36)="PARALLEL SETS"),"",IFERROR(INDEX(SZ_AMP,MATCH(IF($L36&lt;&gt;"",$L36,$K36),SZ_SIZE,0))*IF(N($M36)&gt;0,N($M36),MAX(1,N(IFERROR(INDEX(SPEC_CIRC,MATCH(INDEX(Equipment!$C$7:$C$18,MAX(1,N($W36))),SPEC_SKU,0)),1)))),""))</f>
        <v/>
      </c>
      <c r="O36" s="866">
        <f>IF(OR(N($N36)=0,N($F36)=0),"",IFERROR(IF($V36="L2",2,SQRT(3))*N($H36)/IF(N($M36)&gt;0,N($M36),MAX(1,N(IFERROR(INDEX(SPEC_CIRC,MATCH(INDEX(Equipment!$C$7:$C$18,MAX(1,N($W36))),SPEC_SKU,0)),1))))*N($F36)*INDEX(SZ_Z,MATCH(IF($L36&lt;&gt;"",$L36,$K36),SZ_SIZE,0))/1000/IF($V36="L2",N(Equipment!$B$30),Project!$B$29),""))</f>
        <v/>
      </c>
      <c r="P36" s="863">
        <f>IF(N($J36)=0,"",IFERROR(INDEX(IF($B$6="Cu",EGC_CU,EGC_AL),MATCH($J36,EGC_OCPD,1)+IF(ISNUMBER(MATCH($J36,EGC_OCPD,0)),0,1)),""))</f>
        <v/>
      </c>
      <c r="Q36" s="863">
        <f>IF(N($N36)=0,"",IFERROR(INDEX(IF($V36="L2",CND_2G,CND_3G),MATCH(IF($L36&lt;&gt;"",$L36,$K36),CND_SIZE,0)),""))</f>
        <v/>
      </c>
      <c r="R36" s="807" t="n"/>
      <c r="S36" s="867">
        <f>IF(OR(N($F36)=0,N($N36)=0),0,IFERROR(N($F36)*IF(N($M36)&gt;0,N($M36),MAX(1,N(IFERROR(INDEX(SPEC_CIRC,MATCH(INDEX(Equipment!$C$7:$C$18,MAX(1,N($W36))),SPEC_SKU,0)),1))))*IF($V36="L2",2,3)*INDEX(IF($B$6="Cu",WIRE_CU,WIRE_AL),MATCH(IF($L36&lt;&gt;"",$L36,$K36),WIRE_SIZE,0)),0)+IFERROR(N($F36)*IF(N($M36)&gt;0,N($M36),MAX(1,N(IFERROR(INDEX(SPEC_CIRC,MATCH(INDEX(Equipment!$C$7:$C$18,MAX(1,N($W36))),SPEC_SKU,0)),1))))*INDEX(IF($B$6="Cu",WIRE_CU,WIRE_AL),MATCH($P36,WIRE_SIZE,0)),0)+IFERROR(N($F36)*IF(N($M36)&gt;0,N($M36),MAX(1,N(IFERROR(INDEX(SPEC_CIRC,MATCH(INDEX(Equipment!$C$7:$C$18,MAX(1,N($W36))),SPEC_SKU,0)),1))))*INDEX(PVC_RATE,MATCH(IF($R36&lt;&gt;"",$R36,$Q36),PVC_SIZE,0)),0)+IF($V36="L2",0,IFERROR(N($F36)*INDEX(PVC_RATE,MATCH("(3/4"")",PVC_SIZE,0)),0)))</f>
        <v/>
      </c>
      <c r="T36" s="863">
        <f>IF($W36="","",IF($U36=0,"shared — on circuit "&amp;$E36&amp;", sized and priced on its first unit",IF(N($F36)=0,"ENTER THE DISTANCE",IF($B$10="","SET THE DESIGN AMBIENT in block A — nothing on this row can be trusted until it is",IF(IF($L36&lt;&gt;"",$L36,$K36)="PARALLEL SETS","PARALLEL SETS NEEDED — no single conductor carries "&amp;TEXT(N($I36),"#,##0")&amp;" A within the drop allowance; enter sets in column M",IF(N($N36)=0,"no ampacity on file for the override size — NEC Table 310.16 does not list it",IF(N($N36)&lt;IF(N($J36)&gt;800,N($J36),N($I36)),"UNDERSIZED — "&amp;TEXT(N($N36),"#,##0")&amp;" A provided against a floor of "&amp;TEXT(IF(N($J36)&gt;800,N($J36),N($I36)),"#,##0")&amp;" A",IF(N($O36)&gt;$B$13,"ampacity OK but voltage drop "&amp;TEXT(N($O36),"0.0%")&amp;" exceeds the allowance — ADVISORY, upsize the override","OK — "&amp;IF(IF(N($M36)&gt;0,N($M36),MAX(1,N(IFERROR(INDEX(SPEC_CIRC,MATCH(INDEX(Equipment!$C$7:$C$18,MAX(1,N($W36))),SPEC_SKU,0)),1))))&gt;1,TEXT(IF(N($M36)&gt;0,N($M36),MAX(1,N(IFERROR(INDEX(SPEC_CIRC,MATCH(INDEX(Equipment!$C$7:$C$18,MAX(1,N($W36))),SPEC_SKU,0)),1)))),"0")&amp;" sets of ","")&amp;IF($L36&lt;&gt;"",$L36,$K36)&amp;IF($L36&lt;&gt;""," (override)","")&amp;", "&amp;TEXT(N($N36),"#,##0")&amp;" A against a "&amp;TEXT(IF(N($J36)&gt;800,N($J36),N($I36)),"#,##0")&amp;" A floor; drop "&amp;TEXT(N($O36),"0.0%")&amp;" (ADVISORY)"))))))))</f>
        <v/>
      </c>
      <c r="U36" s="868">
        <f>IF($W36="",0,IF($E36="",1,IF(MATCH($E36,$E$18:$E$77,0)=19,1,0)))</f>
        <v/>
      </c>
      <c r="V36" s="869">
        <f>IF($W36="","",IF(INDEX(Equipment!$E$7:$E$18,$W36)="level_2","L2",IF(INDEX(Equipment!$E$7:$E$18,$W36)="power_cabinet","CAB","DC")))</f>
        <v/>
      </c>
      <c r="W36" s="868">
        <f>IF(N($B$80)&gt;=19,COUNTIF(Equipment!$S$7:$S$18,"&lt;19")+1,"")</f>
        <v/>
      </c>
      <c r="X36" s="868">
        <f>IF($U36&lt;&gt;1,"",IF(N($M36)&gt;0,N($M36),MAX(1,N(IFERROR(INDEX(SPEC_CIRC,MATCH(INDEX(Equipment!$C$7:$C$18,MAX(1,N($W36))),SPEC_SKU,0)),1)))))</f>
        <v/>
      </c>
    </row>
    <row r="37" ht="16" customHeight="1" s="254">
      <c r="A37" s="862">
        <f>IF($W37="","","Charger 20")</f>
        <v/>
      </c>
      <c r="B37" s="863">
        <f>IF($W37="","","Line "&amp;$W37&amp;" · "&amp;INDEX(Equipment!$C$7:$C$18,$W37)&amp;" · "&amp;INDEX(Equipment!$B$7:$B$18,$W37)&amp;" · #"&amp;(20-INDEX(Equipment!$R$7:$R$18,$W37)+1)&amp;" of "&amp;INDEX(Equipment!$I$7:$I$18,$W37))</f>
        <v/>
      </c>
      <c r="C37" s="863">
        <f>IF($W37="","",IF($V37="L2",TEXT(N(Equipment!$B$30),"0")&amp;" V 1-ph",TEXT(Project!$B$29,"0")&amp;" V 3-ph"))</f>
        <v/>
      </c>
      <c r="D37" s="864">
        <f>IF($W37="","",INDEX(Equipment!$G$7:$G$18,$W37))</f>
        <v/>
      </c>
      <c r="E37" s="807" t="n"/>
      <c r="F37" s="831" t="n"/>
      <c r="G37" s="807" t="n"/>
      <c r="H37" s="865">
        <f>IF($U37&lt;&gt;1,"",IF($E37="",N($D37),SUMIF($E$18:$E$77,$E37,$D$18:$D$77))*1000/(IF($V37="L2",N(Equipment!$B$30),Project!$B$29)*IF($V37="L2",1,SQRT(3))))</f>
        <v/>
      </c>
      <c r="I37" s="865">
        <f>IF(N($H37)=0,"",N($H37)*1.25)</f>
        <v/>
      </c>
      <c r="J37" s="865">
        <f>IF(N($I37)=0,"",IF(ISNUMBER(MATCH($I37,OCPD_LIST,0)),$I37,IF($I37&gt;MAX(OCPD_LIST),"ABOVE LIST",INDEX(OCPD_LIST,MATCH($I37,OCPD_LIST,1)+1))))</f>
        <v/>
      </c>
      <c r="K37" s="863">
        <f>IF(OR(N($I37)=0,$B$10=""),"",IF(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gt;ROWS(SZ_SIZE),"PARALLEL SETS",INDEX(SZ_SIZE,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f>
        <v/>
      </c>
      <c r="L37" s="807" t="n"/>
      <c r="M37" s="831" t="n"/>
      <c r="N37" s="865">
        <f>IF(OR(IF($L37&lt;&gt;"",$L37,$K37)="",IF($L37&lt;&gt;"",$L37,$K37)="PARALLEL SETS"),"",IFERROR(INDEX(SZ_AMP,MATCH(IF($L37&lt;&gt;"",$L37,$K37),SZ_SIZE,0))*IF(N($M37)&gt;0,N($M37),MAX(1,N(IFERROR(INDEX(SPEC_CIRC,MATCH(INDEX(Equipment!$C$7:$C$18,MAX(1,N($W37))),SPEC_SKU,0)),1)))),""))</f>
        <v/>
      </c>
      <c r="O37" s="866">
        <f>IF(OR(N($N37)=0,N($F37)=0),"",IFERROR(IF($V37="L2",2,SQRT(3))*N($H37)/IF(N($M37)&gt;0,N($M37),MAX(1,N(IFERROR(INDEX(SPEC_CIRC,MATCH(INDEX(Equipment!$C$7:$C$18,MAX(1,N($W37))),SPEC_SKU,0)),1))))*N($F37)*INDEX(SZ_Z,MATCH(IF($L37&lt;&gt;"",$L37,$K37),SZ_SIZE,0))/1000/IF($V37="L2",N(Equipment!$B$30),Project!$B$29),""))</f>
        <v/>
      </c>
      <c r="P37" s="863">
        <f>IF(N($J37)=0,"",IFERROR(INDEX(IF($B$6="Cu",EGC_CU,EGC_AL),MATCH($J37,EGC_OCPD,1)+IF(ISNUMBER(MATCH($J37,EGC_OCPD,0)),0,1)),""))</f>
        <v/>
      </c>
      <c r="Q37" s="863">
        <f>IF(N($N37)=0,"",IFERROR(INDEX(IF($V37="L2",CND_2G,CND_3G),MATCH(IF($L37&lt;&gt;"",$L37,$K37),CND_SIZE,0)),""))</f>
        <v/>
      </c>
      <c r="R37" s="807" t="n"/>
      <c r="S37" s="867">
        <f>IF(OR(N($F37)=0,N($N37)=0),0,IFERROR(N($F37)*IF(N($M37)&gt;0,N($M37),MAX(1,N(IFERROR(INDEX(SPEC_CIRC,MATCH(INDEX(Equipment!$C$7:$C$18,MAX(1,N($W37))),SPEC_SKU,0)),1))))*IF($V37="L2",2,3)*INDEX(IF($B$6="Cu",WIRE_CU,WIRE_AL),MATCH(IF($L37&lt;&gt;"",$L37,$K37),WIRE_SIZE,0)),0)+IFERROR(N($F37)*IF(N($M37)&gt;0,N($M37),MAX(1,N(IFERROR(INDEX(SPEC_CIRC,MATCH(INDEX(Equipment!$C$7:$C$18,MAX(1,N($W37))),SPEC_SKU,0)),1))))*INDEX(IF($B$6="Cu",WIRE_CU,WIRE_AL),MATCH($P37,WIRE_SIZE,0)),0)+IFERROR(N($F37)*IF(N($M37)&gt;0,N($M37),MAX(1,N(IFERROR(INDEX(SPEC_CIRC,MATCH(INDEX(Equipment!$C$7:$C$18,MAX(1,N($W37))),SPEC_SKU,0)),1))))*INDEX(PVC_RATE,MATCH(IF($R37&lt;&gt;"",$R37,$Q37),PVC_SIZE,0)),0)+IF($V37="L2",0,IFERROR(N($F37)*INDEX(PVC_RATE,MATCH("(3/4"")",PVC_SIZE,0)),0)))</f>
        <v/>
      </c>
      <c r="T37" s="863">
        <f>IF($W37="","",IF($U37=0,"shared — on circuit "&amp;$E37&amp;", sized and priced on its first unit",IF(N($F37)=0,"ENTER THE DISTANCE",IF($B$10="","SET THE DESIGN AMBIENT in block A — nothing on this row can be trusted until it is",IF(IF($L37&lt;&gt;"",$L37,$K37)="PARALLEL SETS","PARALLEL SETS NEEDED — no single conductor carries "&amp;TEXT(N($I37),"#,##0")&amp;" A within the drop allowance; enter sets in column M",IF(N($N37)=0,"no ampacity on file for the override size — NEC Table 310.16 does not list it",IF(N($N37)&lt;IF(N($J37)&gt;800,N($J37),N($I37)),"UNDERSIZED — "&amp;TEXT(N($N37),"#,##0")&amp;" A provided against a floor of "&amp;TEXT(IF(N($J37)&gt;800,N($J37),N($I37)),"#,##0")&amp;" A",IF(N($O37)&gt;$B$13,"ampacity OK but voltage drop "&amp;TEXT(N($O37),"0.0%")&amp;" exceeds the allowance — ADVISORY, upsize the override","OK — "&amp;IF(IF(N($M37)&gt;0,N($M37),MAX(1,N(IFERROR(INDEX(SPEC_CIRC,MATCH(INDEX(Equipment!$C$7:$C$18,MAX(1,N($W37))),SPEC_SKU,0)),1))))&gt;1,TEXT(IF(N($M37)&gt;0,N($M37),MAX(1,N(IFERROR(INDEX(SPEC_CIRC,MATCH(INDEX(Equipment!$C$7:$C$18,MAX(1,N($W37))),SPEC_SKU,0)),1)))),"0")&amp;" sets of ","")&amp;IF($L37&lt;&gt;"",$L37,$K37)&amp;IF($L37&lt;&gt;""," (override)","")&amp;", "&amp;TEXT(N($N37),"#,##0")&amp;" A against a "&amp;TEXT(IF(N($J37)&gt;800,N($J37),N($I37)),"#,##0")&amp;" A floor; drop "&amp;TEXT(N($O37),"0.0%")&amp;" (ADVISORY)"))))))))</f>
        <v/>
      </c>
      <c r="U37" s="868">
        <f>IF($W37="",0,IF($E37="",1,IF(MATCH($E37,$E$18:$E$77,0)=20,1,0)))</f>
        <v/>
      </c>
      <c r="V37" s="869">
        <f>IF($W37="","",IF(INDEX(Equipment!$E$7:$E$18,$W37)="level_2","L2",IF(INDEX(Equipment!$E$7:$E$18,$W37)="power_cabinet","CAB","DC")))</f>
        <v/>
      </c>
      <c r="W37" s="868">
        <f>IF(N($B$80)&gt;=20,COUNTIF(Equipment!$S$7:$S$18,"&lt;20")+1,"")</f>
        <v/>
      </c>
      <c r="X37" s="868">
        <f>IF($U37&lt;&gt;1,"",IF(N($M37)&gt;0,N($M37),MAX(1,N(IFERROR(INDEX(SPEC_CIRC,MATCH(INDEX(Equipment!$C$7:$C$18,MAX(1,N($W37))),SPEC_SKU,0)),1)))))</f>
        <v/>
      </c>
    </row>
    <row r="38" ht="16" customHeight="1" s="254">
      <c r="A38" s="862">
        <f>IF($W38="","","Charger 21")</f>
        <v/>
      </c>
      <c r="B38" s="863">
        <f>IF($W38="","","Line "&amp;$W38&amp;" · "&amp;INDEX(Equipment!$C$7:$C$18,$W38)&amp;" · "&amp;INDEX(Equipment!$B$7:$B$18,$W38)&amp;" · #"&amp;(21-INDEX(Equipment!$R$7:$R$18,$W38)+1)&amp;" of "&amp;INDEX(Equipment!$I$7:$I$18,$W38))</f>
        <v/>
      </c>
      <c r="C38" s="863">
        <f>IF($W38="","",IF($V38="L2",TEXT(N(Equipment!$B$30),"0")&amp;" V 1-ph",TEXT(Project!$B$29,"0")&amp;" V 3-ph"))</f>
        <v/>
      </c>
      <c r="D38" s="864">
        <f>IF($W38="","",INDEX(Equipment!$G$7:$G$18,$W38))</f>
        <v/>
      </c>
      <c r="E38" s="807" t="n"/>
      <c r="F38" s="831" t="n"/>
      <c r="G38" s="807" t="n"/>
      <c r="H38" s="865">
        <f>IF($U38&lt;&gt;1,"",IF($E38="",N($D38),SUMIF($E$18:$E$77,$E38,$D$18:$D$77))*1000/(IF($V38="L2",N(Equipment!$B$30),Project!$B$29)*IF($V38="L2",1,SQRT(3))))</f>
        <v/>
      </c>
      <c r="I38" s="865">
        <f>IF(N($H38)=0,"",N($H38)*1.25)</f>
        <v/>
      </c>
      <c r="J38" s="865">
        <f>IF(N($I38)=0,"",IF(ISNUMBER(MATCH($I38,OCPD_LIST,0)),$I38,IF($I38&gt;MAX(OCPD_LIST),"ABOVE LIST",INDEX(OCPD_LIST,MATCH($I38,OCPD_LIST,1)+1))))</f>
        <v/>
      </c>
      <c r="K38" s="863">
        <f>IF(OR(N($I38)=0,$B$10=""),"",IF(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gt;ROWS(SZ_SIZE),"PARALLEL SETS",INDEX(SZ_SIZE,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f>
        <v/>
      </c>
      <c r="L38" s="807" t="n"/>
      <c r="M38" s="831" t="n"/>
      <c r="N38" s="865">
        <f>IF(OR(IF($L38&lt;&gt;"",$L38,$K38)="",IF($L38&lt;&gt;"",$L38,$K38)="PARALLEL SETS"),"",IFERROR(INDEX(SZ_AMP,MATCH(IF($L38&lt;&gt;"",$L38,$K38),SZ_SIZE,0))*IF(N($M38)&gt;0,N($M38),MAX(1,N(IFERROR(INDEX(SPEC_CIRC,MATCH(INDEX(Equipment!$C$7:$C$18,MAX(1,N($W38))),SPEC_SKU,0)),1)))),""))</f>
        <v/>
      </c>
      <c r="O38" s="866">
        <f>IF(OR(N($N38)=0,N($F38)=0),"",IFERROR(IF($V38="L2",2,SQRT(3))*N($H38)/IF(N($M38)&gt;0,N($M38),MAX(1,N(IFERROR(INDEX(SPEC_CIRC,MATCH(INDEX(Equipment!$C$7:$C$18,MAX(1,N($W38))),SPEC_SKU,0)),1))))*N($F38)*INDEX(SZ_Z,MATCH(IF($L38&lt;&gt;"",$L38,$K38),SZ_SIZE,0))/1000/IF($V38="L2",N(Equipment!$B$30),Project!$B$29),""))</f>
        <v/>
      </c>
      <c r="P38" s="863">
        <f>IF(N($J38)=0,"",IFERROR(INDEX(IF($B$6="Cu",EGC_CU,EGC_AL),MATCH($J38,EGC_OCPD,1)+IF(ISNUMBER(MATCH($J38,EGC_OCPD,0)),0,1)),""))</f>
        <v/>
      </c>
      <c r="Q38" s="863">
        <f>IF(N($N38)=0,"",IFERROR(INDEX(IF($V38="L2",CND_2G,CND_3G),MATCH(IF($L38&lt;&gt;"",$L38,$K38),CND_SIZE,0)),""))</f>
        <v/>
      </c>
      <c r="R38" s="807" t="n"/>
      <c r="S38" s="867">
        <f>IF(OR(N($F38)=0,N($N38)=0),0,IFERROR(N($F38)*IF(N($M38)&gt;0,N($M38),MAX(1,N(IFERROR(INDEX(SPEC_CIRC,MATCH(INDEX(Equipment!$C$7:$C$18,MAX(1,N($W38))),SPEC_SKU,0)),1))))*IF($V38="L2",2,3)*INDEX(IF($B$6="Cu",WIRE_CU,WIRE_AL),MATCH(IF($L38&lt;&gt;"",$L38,$K38),WIRE_SIZE,0)),0)+IFERROR(N($F38)*IF(N($M38)&gt;0,N($M38),MAX(1,N(IFERROR(INDEX(SPEC_CIRC,MATCH(INDEX(Equipment!$C$7:$C$18,MAX(1,N($W38))),SPEC_SKU,0)),1))))*INDEX(IF($B$6="Cu",WIRE_CU,WIRE_AL),MATCH($P38,WIRE_SIZE,0)),0)+IFERROR(N($F38)*IF(N($M38)&gt;0,N($M38),MAX(1,N(IFERROR(INDEX(SPEC_CIRC,MATCH(INDEX(Equipment!$C$7:$C$18,MAX(1,N($W38))),SPEC_SKU,0)),1))))*INDEX(PVC_RATE,MATCH(IF($R38&lt;&gt;"",$R38,$Q38),PVC_SIZE,0)),0)+IF($V38="L2",0,IFERROR(N($F38)*INDEX(PVC_RATE,MATCH("(3/4"")",PVC_SIZE,0)),0)))</f>
        <v/>
      </c>
      <c r="T38" s="863">
        <f>IF($W38="","",IF($U38=0,"shared — on circuit "&amp;$E38&amp;", sized and priced on its first unit",IF(N($F38)=0,"ENTER THE DISTANCE",IF($B$10="","SET THE DESIGN AMBIENT in block A — nothing on this row can be trusted until it is",IF(IF($L38&lt;&gt;"",$L38,$K38)="PARALLEL SETS","PARALLEL SETS NEEDED — no single conductor carries "&amp;TEXT(N($I38),"#,##0")&amp;" A within the drop allowance; enter sets in column M",IF(N($N38)=0,"no ampacity on file for the override size — NEC Table 310.16 does not list it",IF(N($N38)&lt;IF(N($J38)&gt;800,N($J38),N($I38)),"UNDERSIZED — "&amp;TEXT(N($N38),"#,##0")&amp;" A provided against a floor of "&amp;TEXT(IF(N($J38)&gt;800,N($J38),N($I38)),"#,##0")&amp;" A",IF(N($O38)&gt;$B$13,"ampacity OK but voltage drop "&amp;TEXT(N($O38),"0.0%")&amp;" exceeds the allowance — ADVISORY, upsize the override","OK — "&amp;IF(IF(N($M38)&gt;0,N($M38),MAX(1,N(IFERROR(INDEX(SPEC_CIRC,MATCH(INDEX(Equipment!$C$7:$C$18,MAX(1,N($W38))),SPEC_SKU,0)),1))))&gt;1,TEXT(IF(N($M38)&gt;0,N($M38),MAX(1,N(IFERROR(INDEX(SPEC_CIRC,MATCH(INDEX(Equipment!$C$7:$C$18,MAX(1,N($W38))),SPEC_SKU,0)),1)))),"0")&amp;" sets of ","")&amp;IF($L38&lt;&gt;"",$L38,$K38)&amp;IF($L38&lt;&gt;""," (override)","")&amp;", "&amp;TEXT(N($N38),"#,##0")&amp;" A against a "&amp;TEXT(IF(N($J38)&gt;800,N($J38),N($I38)),"#,##0")&amp;" A floor; drop "&amp;TEXT(N($O38),"0.0%")&amp;" (ADVISORY)"))))))))</f>
        <v/>
      </c>
      <c r="U38" s="868">
        <f>IF($W38="",0,IF($E38="",1,IF(MATCH($E38,$E$18:$E$77,0)=21,1,0)))</f>
        <v/>
      </c>
      <c r="V38" s="869">
        <f>IF($W38="","",IF(INDEX(Equipment!$E$7:$E$18,$W38)="level_2","L2",IF(INDEX(Equipment!$E$7:$E$18,$W38)="power_cabinet","CAB","DC")))</f>
        <v/>
      </c>
      <c r="W38" s="868">
        <f>IF(N($B$80)&gt;=21,COUNTIF(Equipment!$S$7:$S$18,"&lt;21")+1,"")</f>
        <v/>
      </c>
      <c r="X38" s="868">
        <f>IF($U38&lt;&gt;1,"",IF(N($M38)&gt;0,N($M38),MAX(1,N(IFERROR(INDEX(SPEC_CIRC,MATCH(INDEX(Equipment!$C$7:$C$18,MAX(1,N($W38))),SPEC_SKU,0)),1)))))</f>
        <v/>
      </c>
    </row>
    <row r="39" ht="16" customHeight="1" s="254">
      <c r="A39" s="862">
        <f>IF($W39="","","Charger 22")</f>
        <v/>
      </c>
      <c r="B39" s="863">
        <f>IF($W39="","","Line "&amp;$W39&amp;" · "&amp;INDEX(Equipment!$C$7:$C$18,$W39)&amp;" · "&amp;INDEX(Equipment!$B$7:$B$18,$W39)&amp;" · #"&amp;(22-INDEX(Equipment!$R$7:$R$18,$W39)+1)&amp;" of "&amp;INDEX(Equipment!$I$7:$I$18,$W39))</f>
        <v/>
      </c>
      <c r="C39" s="863">
        <f>IF($W39="","",IF($V39="L2",TEXT(N(Equipment!$B$30),"0")&amp;" V 1-ph",TEXT(Project!$B$29,"0")&amp;" V 3-ph"))</f>
        <v/>
      </c>
      <c r="D39" s="864">
        <f>IF($W39="","",INDEX(Equipment!$G$7:$G$18,$W39))</f>
        <v/>
      </c>
      <c r="E39" s="807" t="n"/>
      <c r="F39" s="831" t="n"/>
      <c r="G39" s="807" t="n"/>
      <c r="H39" s="865">
        <f>IF($U39&lt;&gt;1,"",IF($E39="",N($D39),SUMIF($E$18:$E$77,$E39,$D$18:$D$77))*1000/(IF($V39="L2",N(Equipment!$B$30),Project!$B$29)*IF($V39="L2",1,SQRT(3))))</f>
        <v/>
      </c>
      <c r="I39" s="865">
        <f>IF(N($H39)=0,"",N($H39)*1.25)</f>
        <v/>
      </c>
      <c r="J39" s="865">
        <f>IF(N($I39)=0,"",IF(ISNUMBER(MATCH($I39,OCPD_LIST,0)),$I39,IF($I39&gt;MAX(OCPD_LIST),"ABOVE LIST",INDEX(OCPD_LIST,MATCH($I39,OCPD_LIST,1)+1))))</f>
        <v/>
      </c>
      <c r="K39" s="863">
        <f>IF(OR(N($I39)=0,$B$10=""),"",IF(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gt;ROWS(SZ_SIZE),"PARALLEL SETS",INDEX(SZ_SIZE,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f>
        <v/>
      </c>
      <c r="L39" s="807" t="n"/>
      <c r="M39" s="831" t="n"/>
      <c r="N39" s="865">
        <f>IF(OR(IF($L39&lt;&gt;"",$L39,$K39)="",IF($L39&lt;&gt;"",$L39,$K39)="PARALLEL SETS"),"",IFERROR(INDEX(SZ_AMP,MATCH(IF($L39&lt;&gt;"",$L39,$K39),SZ_SIZE,0))*IF(N($M39)&gt;0,N($M39),MAX(1,N(IFERROR(INDEX(SPEC_CIRC,MATCH(INDEX(Equipment!$C$7:$C$18,MAX(1,N($W39))),SPEC_SKU,0)),1)))),""))</f>
        <v/>
      </c>
      <c r="O39" s="866">
        <f>IF(OR(N($N39)=0,N($F39)=0),"",IFERROR(IF($V39="L2",2,SQRT(3))*N($H39)/IF(N($M39)&gt;0,N($M39),MAX(1,N(IFERROR(INDEX(SPEC_CIRC,MATCH(INDEX(Equipment!$C$7:$C$18,MAX(1,N($W39))),SPEC_SKU,0)),1))))*N($F39)*INDEX(SZ_Z,MATCH(IF($L39&lt;&gt;"",$L39,$K39),SZ_SIZE,0))/1000/IF($V39="L2",N(Equipment!$B$30),Project!$B$29),""))</f>
        <v/>
      </c>
      <c r="P39" s="863">
        <f>IF(N($J39)=0,"",IFERROR(INDEX(IF($B$6="Cu",EGC_CU,EGC_AL),MATCH($J39,EGC_OCPD,1)+IF(ISNUMBER(MATCH($J39,EGC_OCPD,0)),0,1)),""))</f>
        <v/>
      </c>
      <c r="Q39" s="863">
        <f>IF(N($N39)=0,"",IFERROR(INDEX(IF($V39="L2",CND_2G,CND_3G),MATCH(IF($L39&lt;&gt;"",$L39,$K39),CND_SIZE,0)),""))</f>
        <v/>
      </c>
      <c r="R39" s="807" t="n"/>
      <c r="S39" s="867">
        <f>IF(OR(N($F39)=0,N($N39)=0),0,IFERROR(N($F39)*IF(N($M39)&gt;0,N($M39),MAX(1,N(IFERROR(INDEX(SPEC_CIRC,MATCH(INDEX(Equipment!$C$7:$C$18,MAX(1,N($W39))),SPEC_SKU,0)),1))))*IF($V39="L2",2,3)*INDEX(IF($B$6="Cu",WIRE_CU,WIRE_AL),MATCH(IF($L39&lt;&gt;"",$L39,$K39),WIRE_SIZE,0)),0)+IFERROR(N($F39)*IF(N($M39)&gt;0,N($M39),MAX(1,N(IFERROR(INDEX(SPEC_CIRC,MATCH(INDEX(Equipment!$C$7:$C$18,MAX(1,N($W39))),SPEC_SKU,0)),1))))*INDEX(IF($B$6="Cu",WIRE_CU,WIRE_AL),MATCH($P39,WIRE_SIZE,0)),0)+IFERROR(N($F39)*IF(N($M39)&gt;0,N($M39),MAX(1,N(IFERROR(INDEX(SPEC_CIRC,MATCH(INDEX(Equipment!$C$7:$C$18,MAX(1,N($W39))),SPEC_SKU,0)),1))))*INDEX(PVC_RATE,MATCH(IF($R39&lt;&gt;"",$R39,$Q39),PVC_SIZE,0)),0)+IF($V39="L2",0,IFERROR(N($F39)*INDEX(PVC_RATE,MATCH("(3/4"")",PVC_SIZE,0)),0)))</f>
        <v/>
      </c>
      <c r="T39" s="863">
        <f>IF($W39="","",IF($U39=0,"shared — on circuit "&amp;$E39&amp;", sized and priced on its first unit",IF(N($F39)=0,"ENTER THE DISTANCE",IF($B$10="","SET THE DESIGN AMBIENT in block A — nothing on this row can be trusted until it is",IF(IF($L39&lt;&gt;"",$L39,$K39)="PARALLEL SETS","PARALLEL SETS NEEDED — no single conductor carries "&amp;TEXT(N($I39),"#,##0")&amp;" A within the drop allowance; enter sets in column M",IF(N($N39)=0,"no ampacity on file for the override size — NEC Table 310.16 does not list it",IF(N($N39)&lt;IF(N($J39)&gt;800,N($J39),N($I39)),"UNDERSIZED — "&amp;TEXT(N($N39),"#,##0")&amp;" A provided against a floor of "&amp;TEXT(IF(N($J39)&gt;800,N($J39),N($I39)),"#,##0")&amp;" A",IF(N($O39)&gt;$B$13,"ampacity OK but voltage drop "&amp;TEXT(N($O39),"0.0%")&amp;" exceeds the allowance — ADVISORY, upsize the override","OK — "&amp;IF(IF(N($M39)&gt;0,N($M39),MAX(1,N(IFERROR(INDEX(SPEC_CIRC,MATCH(INDEX(Equipment!$C$7:$C$18,MAX(1,N($W39))),SPEC_SKU,0)),1))))&gt;1,TEXT(IF(N($M39)&gt;0,N($M39),MAX(1,N(IFERROR(INDEX(SPEC_CIRC,MATCH(INDEX(Equipment!$C$7:$C$18,MAX(1,N($W39))),SPEC_SKU,0)),1)))),"0")&amp;" sets of ","")&amp;IF($L39&lt;&gt;"",$L39,$K39)&amp;IF($L39&lt;&gt;""," (override)","")&amp;", "&amp;TEXT(N($N39),"#,##0")&amp;" A against a "&amp;TEXT(IF(N($J39)&gt;800,N($J39),N($I39)),"#,##0")&amp;" A floor; drop "&amp;TEXT(N($O39),"0.0%")&amp;" (ADVISORY)"))))))))</f>
        <v/>
      </c>
      <c r="U39" s="868">
        <f>IF($W39="",0,IF($E39="",1,IF(MATCH($E39,$E$18:$E$77,0)=22,1,0)))</f>
        <v/>
      </c>
      <c r="V39" s="869">
        <f>IF($W39="","",IF(INDEX(Equipment!$E$7:$E$18,$W39)="level_2","L2",IF(INDEX(Equipment!$E$7:$E$18,$W39)="power_cabinet","CAB","DC")))</f>
        <v/>
      </c>
      <c r="W39" s="868">
        <f>IF(N($B$80)&gt;=22,COUNTIF(Equipment!$S$7:$S$18,"&lt;22")+1,"")</f>
        <v/>
      </c>
      <c r="X39" s="868">
        <f>IF($U39&lt;&gt;1,"",IF(N($M39)&gt;0,N($M39),MAX(1,N(IFERROR(INDEX(SPEC_CIRC,MATCH(INDEX(Equipment!$C$7:$C$18,MAX(1,N($W39))),SPEC_SKU,0)),1)))))</f>
        <v/>
      </c>
    </row>
    <row r="40" ht="16" customHeight="1" s="254">
      <c r="A40" s="862">
        <f>IF($W40="","","Charger 23")</f>
        <v/>
      </c>
      <c r="B40" s="863">
        <f>IF($W40="","","Line "&amp;$W40&amp;" · "&amp;INDEX(Equipment!$C$7:$C$18,$W40)&amp;" · "&amp;INDEX(Equipment!$B$7:$B$18,$W40)&amp;" · #"&amp;(23-INDEX(Equipment!$R$7:$R$18,$W40)+1)&amp;" of "&amp;INDEX(Equipment!$I$7:$I$18,$W40))</f>
        <v/>
      </c>
      <c r="C40" s="863">
        <f>IF($W40="","",IF($V40="L2",TEXT(N(Equipment!$B$30),"0")&amp;" V 1-ph",TEXT(Project!$B$29,"0")&amp;" V 3-ph"))</f>
        <v/>
      </c>
      <c r="D40" s="864">
        <f>IF($W40="","",INDEX(Equipment!$G$7:$G$18,$W40))</f>
        <v/>
      </c>
      <c r="E40" s="807" t="n"/>
      <c r="F40" s="831" t="n"/>
      <c r="G40" s="807" t="n"/>
      <c r="H40" s="865">
        <f>IF($U40&lt;&gt;1,"",IF($E40="",N($D40),SUMIF($E$18:$E$77,$E40,$D$18:$D$77))*1000/(IF($V40="L2",N(Equipment!$B$30),Project!$B$29)*IF($V40="L2",1,SQRT(3))))</f>
        <v/>
      </c>
      <c r="I40" s="865">
        <f>IF(N($H40)=0,"",N($H40)*1.25)</f>
        <v/>
      </c>
      <c r="J40" s="865">
        <f>IF(N($I40)=0,"",IF(ISNUMBER(MATCH($I40,OCPD_LIST,0)),$I40,IF($I40&gt;MAX(OCPD_LIST),"ABOVE LIST",INDEX(OCPD_LIST,MATCH($I40,OCPD_LIST,1)+1))))</f>
        <v/>
      </c>
      <c r="K40" s="863">
        <f>IF(OR(N($I40)=0,$B$10=""),"",IF(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gt;ROWS(SZ_SIZE),"PARALLEL SETS",INDEX(SZ_SIZE,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f>
        <v/>
      </c>
      <c r="L40" s="807" t="n"/>
      <c r="M40" s="831" t="n"/>
      <c r="N40" s="865">
        <f>IF(OR(IF($L40&lt;&gt;"",$L40,$K40)="",IF($L40&lt;&gt;"",$L40,$K40)="PARALLEL SETS"),"",IFERROR(INDEX(SZ_AMP,MATCH(IF($L40&lt;&gt;"",$L40,$K40),SZ_SIZE,0))*IF(N($M40)&gt;0,N($M40),MAX(1,N(IFERROR(INDEX(SPEC_CIRC,MATCH(INDEX(Equipment!$C$7:$C$18,MAX(1,N($W40))),SPEC_SKU,0)),1)))),""))</f>
        <v/>
      </c>
      <c r="O40" s="866">
        <f>IF(OR(N($N40)=0,N($F40)=0),"",IFERROR(IF($V40="L2",2,SQRT(3))*N($H40)/IF(N($M40)&gt;0,N($M40),MAX(1,N(IFERROR(INDEX(SPEC_CIRC,MATCH(INDEX(Equipment!$C$7:$C$18,MAX(1,N($W40))),SPEC_SKU,0)),1))))*N($F40)*INDEX(SZ_Z,MATCH(IF($L40&lt;&gt;"",$L40,$K40),SZ_SIZE,0))/1000/IF($V40="L2",N(Equipment!$B$30),Project!$B$29),""))</f>
        <v/>
      </c>
      <c r="P40" s="863">
        <f>IF(N($J40)=0,"",IFERROR(INDEX(IF($B$6="Cu",EGC_CU,EGC_AL),MATCH($J40,EGC_OCPD,1)+IF(ISNUMBER(MATCH($J40,EGC_OCPD,0)),0,1)),""))</f>
        <v/>
      </c>
      <c r="Q40" s="863">
        <f>IF(N($N40)=0,"",IFERROR(INDEX(IF($V40="L2",CND_2G,CND_3G),MATCH(IF($L40&lt;&gt;"",$L40,$K40),CND_SIZE,0)),""))</f>
        <v/>
      </c>
      <c r="R40" s="807" t="n"/>
      <c r="S40" s="867">
        <f>IF(OR(N($F40)=0,N($N40)=0),0,IFERROR(N($F40)*IF(N($M40)&gt;0,N($M40),MAX(1,N(IFERROR(INDEX(SPEC_CIRC,MATCH(INDEX(Equipment!$C$7:$C$18,MAX(1,N($W40))),SPEC_SKU,0)),1))))*IF($V40="L2",2,3)*INDEX(IF($B$6="Cu",WIRE_CU,WIRE_AL),MATCH(IF($L40&lt;&gt;"",$L40,$K40),WIRE_SIZE,0)),0)+IFERROR(N($F40)*IF(N($M40)&gt;0,N($M40),MAX(1,N(IFERROR(INDEX(SPEC_CIRC,MATCH(INDEX(Equipment!$C$7:$C$18,MAX(1,N($W40))),SPEC_SKU,0)),1))))*INDEX(IF($B$6="Cu",WIRE_CU,WIRE_AL),MATCH($P40,WIRE_SIZE,0)),0)+IFERROR(N($F40)*IF(N($M40)&gt;0,N($M40),MAX(1,N(IFERROR(INDEX(SPEC_CIRC,MATCH(INDEX(Equipment!$C$7:$C$18,MAX(1,N($W40))),SPEC_SKU,0)),1))))*INDEX(PVC_RATE,MATCH(IF($R40&lt;&gt;"",$R40,$Q40),PVC_SIZE,0)),0)+IF($V40="L2",0,IFERROR(N($F40)*INDEX(PVC_RATE,MATCH("(3/4"")",PVC_SIZE,0)),0)))</f>
        <v/>
      </c>
      <c r="T40" s="863">
        <f>IF($W40="","",IF($U40=0,"shared — on circuit "&amp;$E40&amp;", sized and priced on its first unit",IF(N($F40)=0,"ENTER THE DISTANCE",IF($B$10="","SET THE DESIGN AMBIENT in block A — nothing on this row can be trusted until it is",IF(IF($L40&lt;&gt;"",$L40,$K40)="PARALLEL SETS","PARALLEL SETS NEEDED — no single conductor carries "&amp;TEXT(N($I40),"#,##0")&amp;" A within the drop allowance; enter sets in column M",IF(N($N40)=0,"no ampacity on file for the override size — NEC Table 310.16 does not list it",IF(N($N40)&lt;IF(N($J40)&gt;800,N($J40),N($I40)),"UNDERSIZED — "&amp;TEXT(N($N40),"#,##0")&amp;" A provided against a floor of "&amp;TEXT(IF(N($J40)&gt;800,N($J40),N($I40)),"#,##0")&amp;" A",IF(N($O40)&gt;$B$13,"ampacity OK but voltage drop "&amp;TEXT(N($O40),"0.0%")&amp;" exceeds the allowance — ADVISORY, upsize the override","OK — "&amp;IF(IF(N($M40)&gt;0,N($M40),MAX(1,N(IFERROR(INDEX(SPEC_CIRC,MATCH(INDEX(Equipment!$C$7:$C$18,MAX(1,N($W40))),SPEC_SKU,0)),1))))&gt;1,TEXT(IF(N($M40)&gt;0,N($M40),MAX(1,N(IFERROR(INDEX(SPEC_CIRC,MATCH(INDEX(Equipment!$C$7:$C$18,MAX(1,N($W40))),SPEC_SKU,0)),1)))),"0")&amp;" sets of ","")&amp;IF($L40&lt;&gt;"",$L40,$K40)&amp;IF($L40&lt;&gt;""," (override)","")&amp;", "&amp;TEXT(N($N40),"#,##0")&amp;" A against a "&amp;TEXT(IF(N($J40)&gt;800,N($J40),N($I40)),"#,##0")&amp;" A floor; drop "&amp;TEXT(N($O40),"0.0%")&amp;" (ADVISORY)"))))))))</f>
        <v/>
      </c>
      <c r="U40" s="868">
        <f>IF($W40="",0,IF($E40="",1,IF(MATCH($E40,$E$18:$E$77,0)=23,1,0)))</f>
        <v/>
      </c>
      <c r="V40" s="869">
        <f>IF($W40="","",IF(INDEX(Equipment!$E$7:$E$18,$W40)="level_2","L2",IF(INDEX(Equipment!$E$7:$E$18,$W40)="power_cabinet","CAB","DC")))</f>
        <v/>
      </c>
      <c r="W40" s="868">
        <f>IF(N($B$80)&gt;=23,COUNTIF(Equipment!$S$7:$S$18,"&lt;23")+1,"")</f>
        <v/>
      </c>
      <c r="X40" s="868">
        <f>IF($U40&lt;&gt;1,"",IF(N($M40)&gt;0,N($M40),MAX(1,N(IFERROR(INDEX(SPEC_CIRC,MATCH(INDEX(Equipment!$C$7:$C$18,MAX(1,N($W40))),SPEC_SKU,0)),1)))))</f>
        <v/>
      </c>
    </row>
    <row r="41" ht="16" customHeight="1" s="254">
      <c r="A41" s="862">
        <f>IF($W41="","","Charger 24")</f>
        <v/>
      </c>
      <c r="B41" s="863">
        <f>IF($W41="","","Line "&amp;$W41&amp;" · "&amp;INDEX(Equipment!$C$7:$C$18,$W41)&amp;" · "&amp;INDEX(Equipment!$B$7:$B$18,$W41)&amp;" · #"&amp;(24-INDEX(Equipment!$R$7:$R$18,$W41)+1)&amp;" of "&amp;INDEX(Equipment!$I$7:$I$18,$W41))</f>
        <v/>
      </c>
      <c r="C41" s="863">
        <f>IF($W41="","",IF($V41="L2",TEXT(N(Equipment!$B$30),"0")&amp;" V 1-ph",TEXT(Project!$B$29,"0")&amp;" V 3-ph"))</f>
        <v/>
      </c>
      <c r="D41" s="864">
        <f>IF($W41="","",INDEX(Equipment!$G$7:$G$18,$W41))</f>
        <v/>
      </c>
      <c r="E41" s="807" t="n"/>
      <c r="F41" s="831" t="n"/>
      <c r="G41" s="807" t="n"/>
      <c r="H41" s="865">
        <f>IF($U41&lt;&gt;1,"",IF($E41="",N($D41),SUMIF($E$18:$E$77,$E41,$D$18:$D$77))*1000/(IF($V41="L2",N(Equipment!$B$30),Project!$B$29)*IF($V41="L2",1,SQRT(3))))</f>
        <v/>
      </c>
      <c r="I41" s="865">
        <f>IF(N($H41)=0,"",N($H41)*1.25)</f>
        <v/>
      </c>
      <c r="J41" s="865">
        <f>IF(N($I41)=0,"",IF(ISNUMBER(MATCH($I41,OCPD_LIST,0)),$I41,IF($I41&gt;MAX(OCPD_LIST),"ABOVE LIST",INDEX(OCPD_LIST,MATCH($I41,OCPD_LIST,1)+1))))</f>
        <v/>
      </c>
      <c r="K41" s="863">
        <f>IF(OR(N($I41)=0,$B$10=""),"",IF(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gt;ROWS(SZ_SIZE),"PARALLEL SETS",INDEX(SZ_SIZE,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f>
        <v/>
      </c>
      <c r="L41" s="807" t="n"/>
      <c r="M41" s="831" t="n"/>
      <c r="N41" s="865">
        <f>IF(OR(IF($L41&lt;&gt;"",$L41,$K41)="",IF($L41&lt;&gt;"",$L41,$K41)="PARALLEL SETS"),"",IFERROR(INDEX(SZ_AMP,MATCH(IF($L41&lt;&gt;"",$L41,$K41),SZ_SIZE,0))*IF(N($M41)&gt;0,N($M41),MAX(1,N(IFERROR(INDEX(SPEC_CIRC,MATCH(INDEX(Equipment!$C$7:$C$18,MAX(1,N($W41))),SPEC_SKU,0)),1)))),""))</f>
        <v/>
      </c>
      <c r="O41" s="866">
        <f>IF(OR(N($N41)=0,N($F41)=0),"",IFERROR(IF($V41="L2",2,SQRT(3))*N($H41)/IF(N($M41)&gt;0,N($M41),MAX(1,N(IFERROR(INDEX(SPEC_CIRC,MATCH(INDEX(Equipment!$C$7:$C$18,MAX(1,N($W41))),SPEC_SKU,0)),1))))*N($F41)*INDEX(SZ_Z,MATCH(IF($L41&lt;&gt;"",$L41,$K41),SZ_SIZE,0))/1000/IF($V41="L2",N(Equipment!$B$30),Project!$B$29),""))</f>
        <v/>
      </c>
      <c r="P41" s="863">
        <f>IF(N($J41)=0,"",IFERROR(INDEX(IF($B$6="Cu",EGC_CU,EGC_AL),MATCH($J41,EGC_OCPD,1)+IF(ISNUMBER(MATCH($J41,EGC_OCPD,0)),0,1)),""))</f>
        <v/>
      </c>
      <c r="Q41" s="863">
        <f>IF(N($N41)=0,"",IFERROR(INDEX(IF($V41="L2",CND_2G,CND_3G),MATCH(IF($L41&lt;&gt;"",$L41,$K41),CND_SIZE,0)),""))</f>
        <v/>
      </c>
      <c r="R41" s="807" t="n"/>
      <c r="S41" s="867">
        <f>IF(OR(N($F41)=0,N($N41)=0),0,IFERROR(N($F41)*IF(N($M41)&gt;0,N($M41),MAX(1,N(IFERROR(INDEX(SPEC_CIRC,MATCH(INDEX(Equipment!$C$7:$C$18,MAX(1,N($W41))),SPEC_SKU,0)),1))))*IF($V41="L2",2,3)*INDEX(IF($B$6="Cu",WIRE_CU,WIRE_AL),MATCH(IF($L41&lt;&gt;"",$L41,$K41),WIRE_SIZE,0)),0)+IFERROR(N($F41)*IF(N($M41)&gt;0,N($M41),MAX(1,N(IFERROR(INDEX(SPEC_CIRC,MATCH(INDEX(Equipment!$C$7:$C$18,MAX(1,N($W41))),SPEC_SKU,0)),1))))*INDEX(IF($B$6="Cu",WIRE_CU,WIRE_AL),MATCH($P41,WIRE_SIZE,0)),0)+IFERROR(N($F41)*IF(N($M41)&gt;0,N($M41),MAX(1,N(IFERROR(INDEX(SPEC_CIRC,MATCH(INDEX(Equipment!$C$7:$C$18,MAX(1,N($W41))),SPEC_SKU,0)),1))))*INDEX(PVC_RATE,MATCH(IF($R41&lt;&gt;"",$R41,$Q41),PVC_SIZE,0)),0)+IF($V41="L2",0,IFERROR(N($F41)*INDEX(PVC_RATE,MATCH("(3/4"")",PVC_SIZE,0)),0)))</f>
        <v/>
      </c>
      <c r="T41" s="863">
        <f>IF($W41="","",IF($U41=0,"shared — on circuit "&amp;$E41&amp;", sized and priced on its first unit",IF(N($F41)=0,"ENTER THE DISTANCE",IF($B$10="","SET THE DESIGN AMBIENT in block A — nothing on this row can be trusted until it is",IF(IF($L41&lt;&gt;"",$L41,$K41)="PARALLEL SETS","PARALLEL SETS NEEDED — no single conductor carries "&amp;TEXT(N($I41),"#,##0")&amp;" A within the drop allowance; enter sets in column M",IF(N($N41)=0,"no ampacity on file for the override size — NEC Table 310.16 does not list it",IF(N($N41)&lt;IF(N($J41)&gt;800,N($J41),N($I41)),"UNDERSIZED — "&amp;TEXT(N($N41),"#,##0")&amp;" A provided against a floor of "&amp;TEXT(IF(N($J41)&gt;800,N($J41),N($I41)),"#,##0")&amp;" A",IF(N($O41)&gt;$B$13,"ampacity OK but voltage drop "&amp;TEXT(N($O41),"0.0%")&amp;" exceeds the allowance — ADVISORY, upsize the override","OK — "&amp;IF(IF(N($M41)&gt;0,N($M41),MAX(1,N(IFERROR(INDEX(SPEC_CIRC,MATCH(INDEX(Equipment!$C$7:$C$18,MAX(1,N($W41))),SPEC_SKU,0)),1))))&gt;1,TEXT(IF(N($M41)&gt;0,N($M41),MAX(1,N(IFERROR(INDEX(SPEC_CIRC,MATCH(INDEX(Equipment!$C$7:$C$18,MAX(1,N($W41))),SPEC_SKU,0)),1)))),"0")&amp;" sets of ","")&amp;IF($L41&lt;&gt;"",$L41,$K41)&amp;IF($L41&lt;&gt;""," (override)","")&amp;", "&amp;TEXT(N($N41),"#,##0")&amp;" A against a "&amp;TEXT(IF(N($J41)&gt;800,N($J41),N($I41)),"#,##0")&amp;" A floor; drop "&amp;TEXT(N($O41),"0.0%")&amp;" (ADVISORY)"))))))))</f>
        <v/>
      </c>
      <c r="U41" s="868">
        <f>IF($W41="",0,IF($E41="",1,IF(MATCH($E41,$E$18:$E$77,0)=24,1,0)))</f>
        <v/>
      </c>
      <c r="V41" s="869">
        <f>IF($W41="","",IF(INDEX(Equipment!$E$7:$E$18,$W41)="level_2","L2",IF(INDEX(Equipment!$E$7:$E$18,$W41)="power_cabinet","CAB","DC")))</f>
        <v/>
      </c>
      <c r="W41" s="868">
        <f>IF(N($B$80)&gt;=24,COUNTIF(Equipment!$S$7:$S$18,"&lt;24")+1,"")</f>
        <v/>
      </c>
      <c r="X41" s="868">
        <f>IF($U41&lt;&gt;1,"",IF(N($M41)&gt;0,N($M41),MAX(1,N(IFERROR(INDEX(SPEC_CIRC,MATCH(INDEX(Equipment!$C$7:$C$18,MAX(1,N($W41))),SPEC_SKU,0)),1)))))</f>
        <v/>
      </c>
    </row>
    <row r="42" ht="16" customHeight="1" s="254">
      <c r="A42" s="862">
        <f>IF($W42="","","Charger 25")</f>
        <v/>
      </c>
      <c r="B42" s="863">
        <f>IF($W42="","","Line "&amp;$W42&amp;" · "&amp;INDEX(Equipment!$C$7:$C$18,$W42)&amp;" · "&amp;INDEX(Equipment!$B$7:$B$18,$W42)&amp;" · #"&amp;(25-INDEX(Equipment!$R$7:$R$18,$W42)+1)&amp;" of "&amp;INDEX(Equipment!$I$7:$I$18,$W42))</f>
        <v/>
      </c>
      <c r="C42" s="863">
        <f>IF($W42="","",IF($V42="L2",TEXT(N(Equipment!$B$30),"0")&amp;" V 1-ph",TEXT(Project!$B$29,"0")&amp;" V 3-ph"))</f>
        <v/>
      </c>
      <c r="D42" s="864">
        <f>IF($W42="","",INDEX(Equipment!$G$7:$G$18,$W42))</f>
        <v/>
      </c>
      <c r="E42" s="807" t="n"/>
      <c r="F42" s="831" t="n"/>
      <c r="G42" s="807" t="n"/>
      <c r="H42" s="865">
        <f>IF($U42&lt;&gt;1,"",IF($E42="",N($D42),SUMIF($E$18:$E$77,$E42,$D$18:$D$77))*1000/(IF($V42="L2",N(Equipment!$B$30),Project!$B$29)*IF($V42="L2",1,SQRT(3))))</f>
        <v/>
      </c>
      <c r="I42" s="865">
        <f>IF(N($H42)=0,"",N($H42)*1.25)</f>
        <v/>
      </c>
      <c r="J42" s="865">
        <f>IF(N($I42)=0,"",IF(ISNUMBER(MATCH($I42,OCPD_LIST,0)),$I42,IF($I42&gt;MAX(OCPD_LIST),"ABOVE LIST",INDEX(OCPD_LIST,MATCH($I42,OCPD_LIST,1)+1))))</f>
        <v/>
      </c>
      <c r="K42" s="863">
        <f>IF(OR(N($I42)=0,$B$10=""),"",IF(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gt;ROWS(SZ_SIZE),"PARALLEL SETS",INDEX(SZ_SIZE,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f>
        <v/>
      </c>
      <c r="L42" s="807" t="n"/>
      <c r="M42" s="831" t="n"/>
      <c r="N42" s="865">
        <f>IF(OR(IF($L42&lt;&gt;"",$L42,$K42)="",IF($L42&lt;&gt;"",$L42,$K42)="PARALLEL SETS"),"",IFERROR(INDEX(SZ_AMP,MATCH(IF($L42&lt;&gt;"",$L42,$K42),SZ_SIZE,0))*IF(N($M42)&gt;0,N($M42),MAX(1,N(IFERROR(INDEX(SPEC_CIRC,MATCH(INDEX(Equipment!$C$7:$C$18,MAX(1,N($W42))),SPEC_SKU,0)),1)))),""))</f>
        <v/>
      </c>
      <c r="O42" s="866">
        <f>IF(OR(N($N42)=0,N($F42)=0),"",IFERROR(IF($V42="L2",2,SQRT(3))*N($H42)/IF(N($M42)&gt;0,N($M42),MAX(1,N(IFERROR(INDEX(SPEC_CIRC,MATCH(INDEX(Equipment!$C$7:$C$18,MAX(1,N($W42))),SPEC_SKU,0)),1))))*N($F42)*INDEX(SZ_Z,MATCH(IF($L42&lt;&gt;"",$L42,$K42),SZ_SIZE,0))/1000/IF($V42="L2",N(Equipment!$B$30),Project!$B$29),""))</f>
        <v/>
      </c>
      <c r="P42" s="863">
        <f>IF(N($J42)=0,"",IFERROR(INDEX(IF($B$6="Cu",EGC_CU,EGC_AL),MATCH($J42,EGC_OCPD,1)+IF(ISNUMBER(MATCH($J42,EGC_OCPD,0)),0,1)),""))</f>
        <v/>
      </c>
      <c r="Q42" s="863">
        <f>IF(N($N42)=0,"",IFERROR(INDEX(IF($V42="L2",CND_2G,CND_3G),MATCH(IF($L42&lt;&gt;"",$L42,$K42),CND_SIZE,0)),""))</f>
        <v/>
      </c>
      <c r="R42" s="807" t="n"/>
      <c r="S42" s="867">
        <f>IF(OR(N($F42)=0,N($N42)=0),0,IFERROR(N($F42)*IF(N($M42)&gt;0,N($M42),MAX(1,N(IFERROR(INDEX(SPEC_CIRC,MATCH(INDEX(Equipment!$C$7:$C$18,MAX(1,N($W42))),SPEC_SKU,0)),1))))*IF($V42="L2",2,3)*INDEX(IF($B$6="Cu",WIRE_CU,WIRE_AL),MATCH(IF($L42&lt;&gt;"",$L42,$K42),WIRE_SIZE,0)),0)+IFERROR(N($F42)*IF(N($M42)&gt;0,N($M42),MAX(1,N(IFERROR(INDEX(SPEC_CIRC,MATCH(INDEX(Equipment!$C$7:$C$18,MAX(1,N($W42))),SPEC_SKU,0)),1))))*INDEX(IF($B$6="Cu",WIRE_CU,WIRE_AL),MATCH($P42,WIRE_SIZE,0)),0)+IFERROR(N($F42)*IF(N($M42)&gt;0,N($M42),MAX(1,N(IFERROR(INDEX(SPEC_CIRC,MATCH(INDEX(Equipment!$C$7:$C$18,MAX(1,N($W42))),SPEC_SKU,0)),1))))*INDEX(PVC_RATE,MATCH(IF($R42&lt;&gt;"",$R42,$Q42),PVC_SIZE,0)),0)+IF($V42="L2",0,IFERROR(N($F42)*INDEX(PVC_RATE,MATCH("(3/4"")",PVC_SIZE,0)),0)))</f>
        <v/>
      </c>
      <c r="T42" s="863">
        <f>IF($W42="","",IF($U42=0,"shared — on circuit "&amp;$E42&amp;", sized and priced on its first unit",IF(N($F42)=0,"ENTER THE DISTANCE",IF($B$10="","SET THE DESIGN AMBIENT in block A — nothing on this row can be trusted until it is",IF(IF($L42&lt;&gt;"",$L42,$K42)="PARALLEL SETS","PARALLEL SETS NEEDED — no single conductor carries "&amp;TEXT(N($I42),"#,##0")&amp;" A within the drop allowance; enter sets in column M",IF(N($N42)=0,"no ampacity on file for the override size — NEC Table 310.16 does not list it",IF(N($N42)&lt;IF(N($J42)&gt;800,N($J42),N($I42)),"UNDERSIZED — "&amp;TEXT(N($N42),"#,##0")&amp;" A provided against a floor of "&amp;TEXT(IF(N($J42)&gt;800,N($J42),N($I42)),"#,##0")&amp;" A",IF(N($O42)&gt;$B$13,"ampacity OK but voltage drop "&amp;TEXT(N($O42),"0.0%")&amp;" exceeds the allowance — ADVISORY, upsize the override","OK — "&amp;IF(IF(N($M42)&gt;0,N($M42),MAX(1,N(IFERROR(INDEX(SPEC_CIRC,MATCH(INDEX(Equipment!$C$7:$C$18,MAX(1,N($W42))),SPEC_SKU,0)),1))))&gt;1,TEXT(IF(N($M42)&gt;0,N($M42),MAX(1,N(IFERROR(INDEX(SPEC_CIRC,MATCH(INDEX(Equipment!$C$7:$C$18,MAX(1,N($W42))),SPEC_SKU,0)),1)))),"0")&amp;" sets of ","")&amp;IF($L42&lt;&gt;"",$L42,$K42)&amp;IF($L42&lt;&gt;""," (override)","")&amp;", "&amp;TEXT(N($N42),"#,##0")&amp;" A against a "&amp;TEXT(IF(N($J42)&gt;800,N($J42),N($I42)),"#,##0")&amp;" A floor; drop "&amp;TEXT(N($O42),"0.0%")&amp;" (ADVISORY)"))))))))</f>
        <v/>
      </c>
      <c r="U42" s="868">
        <f>IF($W42="",0,IF($E42="",1,IF(MATCH($E42,$E$18:$E$77,0)=25,1,0)))</f>
        <v/>
      </c>
      <c r="V42" s="869">
        <f>IF($W42="","",IF(INDEX(Equipment!$E$7:$E$18,$W42)="level_2","L2",IF(INDEX(Equipment!$E$7:$E$18,$W42)="power_cabinet","CAB","DC")))</f>
        <v/>
      </c>
      <c r="W42" s="868">
        <f>IF(N($B$80)&gt;=25,COUNTIF(Equipment!$S$7:$S$18,"&lt;25")+1,"")</f>
        <v/>
      </c>
      <c r="X42" s="868">
        <f>IF($U42&lt;&gt;1,"",IF(N($M42)&gt;0,N($M42),MAX(1,N(IFERROR(INDEX(SPEC_CIRC,MATCH(INDEX(Equipment!$C$7:$C$18,MAX(1,N($W42))),SPEC_SKU,0)),1)))))</f>
        <v/>
      </c>
    </row>
    <row r="43" ht="16" customHeight="1" s="254">
      <c r="A43" s="862">
        <f>IF($W43="","","Charger 26")</f>
        <v/>
      </c>
      <c r="B43" s="863">
        <f>IF($W43="","","Line "&amp;$W43&amp;" · "&amp;INDEX(Equipment!$C$7:$C$18,$W43)&amp;" · "&amp;INDEX(Equipment!$B$7:$B$18,$W43)&amp;" · #"&amp;(26-INDEX(Equipment!$R$7:$R$18,$W43)+1)&amp;" of "&amp;INDEX(Equipment!$I$7:$I$18,$W43))</f>
        <v/>
      </c>
      <c r="C43" s="863">
        <f>IF($W43="","",IF($V43="L2",TEXT(N(Equipment!$B$30),"0")&amp;" V 1-ph",TEXT(Project!$B$29,"0")&amp;" V 3-ph"))</f>
        <v/>
      </c>
      <c r="D43" s="864">
        <f>IF($W43="","",INDEX(Equipment!$G$7:$G$18,$W43))</f>
        <v/>
      </c>
      <c r="E43" s="807" t="n"/>
      <c r="F43" s="831" t="n"/>
      <c r="G43" s="807" t="n"/>
      <c r="H43" s="865">
        <f>IF($U43&lt;&gt;1,"",IF($E43="",N($D43),SUMIF($E$18:$E$77,$E43,$D$18:$D$77))*1000/(IF($V43="L2",N(Equipment!$B$30),Project!$B$29)*IF($V43="L2",1,SQRT(3))))</f>
        <v/>
      </c>
      <c r="I43" s="865">
        <f>IF(N($H43)=0,"",N($H43)*1.25)</f>
        <v/>
      </c>
      <c r="J43" s="865">
        <f>IF(N($I43)=0,"",IF(ISNUMBER(MATCH($I43,OCPD_LIST,0)),$I43,IF($I43&gt;MAX(OCPD_LIST),"ABOVE LIST",INDEX(OCPD_LIST,MATCH($I43,OCPD_LIST,1)+1))))</f>
        <v/>
      </c>
      <c r="K43" s="863">
        <f>IF(OR(N($I43)=0,$B$10=""),"",IF(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gt;ROWS(SZ_SIZE),"PARALLEL SETS",INDEX(SZ_SIZE,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f>
        <v/>
      </c>
      <c r="L43" s="807" t="n"/>
      <c r="M43" s="831" t="n"/>
      <c r="N43" s="865">
        <f>IF(OR(IF($L43&lt;&gt;"",$L43,$K43)="",IF($L43&lt;&gt;"",$L43,$K43)="PARALLEL SETS"),"",IFERROR(INDEX(SZ_AMP,MATCH(IF($L43&lt;&gt;"",$L43,$K43),SZ_SIZE,0))*IF(N($M43)&gt;0,N($M43),MAX(1,N(IFERROR(INDEX(SPEC_CIRC,MATCH(INDEX(Equipment!$C$7:$C$18,MAX(1,N($W43))),SPEC_SKU,0)),1)))),""))</f>
        <v/>
      </c>
      <c r="O43" s="866">
        <f>IF(OR(N($N43)=0,N($F43)=0),"",IFERROR(IF($V43="L2",2,SQRT(3))*N($H43)/IF(N($M43)&gt;0,N($M43),MAX(1,N(IFERROR(INDEX(SPEC_CIRC,MATCH(INDEX(Equipment!$C$7:$C$18,MAX(1,N($W43))),SPEC_SKU,0)),1))))*N($F43)*INDEX(SZ_Z,MATCH(IF($L43&lt;&gt;"",$L43,$K43),SZ_SIZE,0))/1000/IF($V43="L2",N(Equipment!$B$30),Project!$B$29),""))</f>
        <v/>
      </c>
      <c r="P43" s="863">
        <f>IF(N($J43)=0,"",IFERROR(INDEX(IF($B$6="Cu",EGC_CU,EGC_AL),MATCH($J43,EGC_OCPD,1)+IF(ISNUMBER(MATCH($J43,EGC_OCPD,0)),0,1)),""))</f>
        <v/>
      </c>
      <c r="Q43" s="863">
        <f>IF(N($N43)=0,"",IFERROR(INDEX(IF($V43="L2",CND_2G,CND_3G),MATCH(IF($L43&lt;&gt;"",$L43,$K43),CND_SIZE,0)),""))</f>
        <v/>
      </c>
      <c r="R43" s="807" t="n"/>
      <c r="S43" s="867">
        <f>IF(OR(N($F43)=0,N($N43)=0),0,IFERROR(N($F43)*IF(N($M43)&gt;0,N($M43),MAX(1,N(IFERROR(INDEX(SPEC_CIRC,MATCH(INDEX(Equipment!$C$7:$C$18,MAX(1,N($W43))),SPEC_SKU,0)),1))))*IF($V43="L2",2,3)*INDEX(IF($B$6="Cu",WIRE_CU,WIRE_AL),MATCH(IF($L43&lt;&gt;"",$L43,$K43),WIRE_SIZE,0)),0)+IFERROR(N($F43)*IF(N($M43)&gt;0,N($M43),MAX(1,N(IFERROR(INDEX(SPEC_CIRC,MATCH(INDEX(Equipment!$C$7:$C$18,MAX(1,N($W43))),SPEC_SKU,0)),1))))*INDEX(IF($B$6="Cu",WIRE_CU,WIRE_AL),MATCH($P43,WIRE_SIZE,0)),0)+IFERROR(N($F43)*IF(N($M43)&gt;0,N($M43),MAX(1,N(IFERROR(INDEX(SPEC_CIRC,MATCH(INDEX(Equipment!$C$7:$C$18,MAX(1,N($W43))),SPEC_SKU,0)),1))))*INDEX(PVC_RATE,MATCH(IF($R43&lt;&gt;"",$R43,$Q43),PVC_SIZE,0)),0)+IF($V43="L2",0,IFERROR(N($F43)*INDEX(PVC_RATE,MATCH("(3/4"")",PVC_SIZE,0)),0)))</f>
        <v/>
      </c>
      <c r="T43" s="863">
        <f>IF($W43="","",IF($U43=0,"shared — on circuit "&amp;$E43&amp;", sized and priced on its first unit",IF(N($F43)=0,"ENTER THE DISTANCE",IF($B$10="","SET THE DESIGN AMBIENT in block A — nothing on this row can be trusted until it is",IF(IF($L43&lt;&gt;"",$L43,$K43)="PARALLEL SETS","PARALLEL SETS NEEDED — no single conductor carries "&amp;TEXT(N($I43),"#,##0")&amp;" A within the drop allowance; enter sets in column M",IF(N($N43)=0,"no ampacity on file for the override size — NEC Table 310.16 does not list it",IF(N($N43)&lt;IF(N($J43)&gt;800,N($J43),N($I43)),"UNDERSIZED — "&amp;TEXT(N($N43),"#,##0")&amp;" A provided against a floor of "&amp;TEXT(IF(N($J43)&gt;800,N($J43),N($I43)),"#,##0")&amp;" A",IF(N($O43)&gt;$B$13,"ampacity OK but voltage drop "&amp;TEXT(N($O43),"0.0%")&amp;" exceeds the allowance — ADVISORY, upsize the override","OK — "&amp;IF(IF(N($M43)&gt;0,N($M43),MAX(1,N(IFERROR(INDEX(SPEC_CIRC,MATCH(INDEX(Equipment!$C$7:$C$18,MAX(1,N($W43))),SPEC_SKU,0)),1))))&gt;1,TEXT(IF(N($M43)&gt;0,N($M43),MAX(1,N(IFERROR(INDEX(SPEC_CIRC,MATCH(INDEX(Equipment!$C$7:$C$18,MAX(1,N($W43))),SPEC_SKU,0)),1)))),"0")&amp;" sets of ","")&amp;IF($L43&lt;&gt;"",$L43,$K43)&amp;IF($L43&lt;&gt;""," (override)","")&amp;", "&amp;TEXT(N($N43),"#,##0")&amp;" A against a "&amp;TEXT(IF(N($J43)&gt;800,N($J43),N($I43)),"#,##0")&amp;" A floor; drop "&amp;TEXT(N($O43),"0.0%")&amp;" (ADVISORY)"))))))))</f>
        <v/>
      </c>
      <c r="U43" s="868">
        <f>IF($W43="",0,IF($E43="",1,IF(MATCH($E43,$E$18:$E$77,0)=26,1,0)))</f>
        <v/>
      </c>
      <c r="V43" s="869">
        <f>IF($W43="","",IF(INDEX(Equipment!$E$7:$E$18,$W43)="level_2","L2",IF(INDEX(Equipment!$E$7:$E$18,$W43)="power_cabinet","CAB","DC")))</f>
        <v/>
      </c>
      <c r="W43" s="868">
        <f>IF(N($B$80)&gt;=26,COUNTIF(Equipment!$S$7:$S$18,"&lt;26")+1,"")</f>
        <v/>
      </c>
      <c r="X43" s="868">
        <f>IF($U43&lt;&gt;1,"",IF(N($M43)&gt;0,N($M43),MAX(1,N(IFERROR(INDEX(SPEC_CIRC,MATCH(INDEX(Equipment!$C$7:$C$18,MAX(1,N($W43))),SPEC_SKU,0)),1)))))</f>
        <v/>
      </c>
    </row>
    <row r="44" ht="16" customHeight="1" s="254">
      <c r="A44" s="862">
        <f>IF($W44="","","Charger 27")</f>
        <v/>
      </c>
      <c r="B44" s="863">
        <f>IF($W44="","","Line "&amp;$W44&amp;" · "&amp;INDEX(Equipment!$C$7:$C$18,$W44)&amp;" · "&amp;INDEX(Equipment!$B$7:$B$18,$W44)&amp;" · #"&amp;(27-INDEX(Equipment!$R$7:$R$18,$W44)+1)&amp;" of "&amp;INDEX(Equipment!$I$7:$I$18,$W44))</f>
        <v/>
      </c>
      <c r="C44" s="863">
        <f>IF($W44="","",IF($V44="L2",TEXT(N(Equipment!$B$30),"0")&amp;" V 1-ph",TEXT(Project!$B$29,"0")&amp;" V 3-ph"))</f>
        <v/>
      </c>
      <c r="D44" s="864">
        <f>IF($W44="","",INDEX(Equipment!$G$7:$G$18,$W44))</f>
        <v/>
      </c>
      <c r="E44" s="807" t="n"/>
      <c r="F44" s="831" t="n"/>
      <c r="G44" s="807" t="n"/>
      <c r="H44" s="865">
        <f>IF($U44&lt;&gt;1,"",IF($E44="",N($D44),SUMIF($E$18:$E$77,$E44,$D$18:$D$77))*1000/(IF($V44="L2",N(Equipment!$B$30),Project!$B$29)*IF($V44="L2",1,SQRT(3))))</f>
        <v/>
      </c>
      <c r="I44" s="865">
        <f>IF(N($H44)=0,"",N($H44)*1.25)</f>
        <v/>
      </c>
      <c r="J44" s="865">
        <f>IF(N($I44)=0,"",IF(ISNUMBER(MATCH($I44,OCPD_LIST,0)),$I44,IF($I44&gt;MAX(OCPD_LIST),"ABOVE LIST",INDEX(OCPD_LIST,MATCH($I44,OCPD_LIST,1)+1))))</f>
        <v/>
      </c>
      <c r="K44" s="863">
        <f>IF(OR(N($I44)=0,$B$10=""),"",IF(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gt;ROWS(SZ_SIZE),"PARALLEL SETS",INDEX(SZ_SIZE,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f>
        <v/>
      </c>
      <c r="L44" s="807" t="n"/>
      <c r="M44" s="831" t="n"/>
      <c r="N44" s="865">
        <f>IF(OR(IF($L44&lt;&gt;"",$L44,$K44)="",IF($L44&lt;&gt;"",$L44,$K44)="PARALLEL SETS"),"",IFERROR(INDEX(SZ_AMP,MATCH(IF($L44&lt;&gt;"",$L44,$K44),SZ_SIZE,0))*IF(N($M44)&gt;0,N($M44),MAX(1,N(IFERROR(INDEX(SPEC_CIRC,MATCH(INDEX(Equipment!$C$7:$C$18,MAX(1,N($W44))),SPEC_SKU,0)),1)))),""))</f>
        <v/>
      </c>
      <c r="O44" s="866">
        <f>IF(OR(N($N44)=0,N($F44)=0),"",IFERROR(IF($V44="L2",2,SQRT(3))*N($H44)/IF(N($M44)&gt;0,N($M44),MAX(1,N(IFERROR(INDEX(SPEC_CIRC,MATCH(INDEX(Equipment!$C$7:$C$18,MAX(1,N($W44))),SPEC_SKU,0)),1))))*N($F44)*INDEX(SZ_Z,MATCH(IF($L44&lt;&gt;"",$L44,$K44),SZ_SIZE,0))/1000/IF($V44="L2",N(Equipment!$B$30),Project!$B$29),""))</f>
        <v/>
      </c>
      <c r="P44" s="863">
        <f>IF(N($J44)=0,"",IFERROR(INDEX(IF($B$6="Cu",EGC_CU,EGC_AL),MATCH($J44,EGC_OCPD,1)+IF(ISNUMBER(MATCH($J44,EGC_OCPD,0)),0,1)),""))</f>
        <v/>
      </c>
      <c r="Q44" s="863">
        <f>IF(N($N44)=0,"",IFERROR(INDEX(IF($V44="L2",CND_2G,CND_3G),MATCH(IF($L44&lt;&gt;"",$L44,$K44),CND_SIZE,0)),""))</f>
        <v/>
      </c>
      <c r="R44" s="807" t="n"/>
      <c r="S44" s="867">
        <f>IF(OR(N($F44)=0,N($N44)=0),0,IFERROR(N($F44)*IF(N($M44)&gt;0,N($M44),MAX(1,N(IFERROR(INDEX(SPEC_CIRC,MATCH(INDEX(Equipment!$C$7:$C$18,MAX(1,N($W44))),SPEC_SKU,0)),1))))*IF($V44="L2",2,3)*INDEX(IF($B$6="Cu",WIRE_CU,WIRE_AL),MATCH(IF($L44&lt;&gt;"",$L44,$K44),WIRE_SIZE,0)),0)+IFERROR(N($F44)*IF(N($M44)&gt;0,N($M44),MAX(1,N(IFERROR(INDEX(SPEC_CIRC,MATCH(INDEX(Equipment!$C$7:$C$18,MAX(1,N($W44))),SPEC_SKU,0)),1))))*INDEX(IF($B$6="Cu",WIRE_CU,WIRE_AL),MATCH($P44,WIRE_SIZE,0)),0)+IFERROR(N($F44)*IF(N($M44)&gt;0,N($M44),MAX(1,N(IFERROR(INDEX(SPEC_CIRC,MATCH(INDEX(Equipment!$C$7:$C$18,MAX(1,N($W44))),SPEC_SKU,0)),1))))*INDEX(PVC_RATE,MATCH(IF($R44&lt;&gt;"",$R44,$Q44),PVC_SIZE,0)),0)+IF($V44="L2",0,IFERROR(N($F44)*INDEX(PVC_RATE,MATCH("(3/4"")",PVC_SIZE,0)),0)))</f>
        <v/>
      </c>
      <c r="T44" s="863">
        <f>IF($W44="","",IF($U44=0,"shared — on circuit "&amp;$E44&amp;", sized and priced on its first unit",IF(N($F44)=0,"ENTER THE DISTANCE",IF($B$10="","SET THE DESIGN AMBIENT in block A — nothing on this row can be trusted until it is",IF(IF($L44&lt;&gt;"",$L44,$K44)="PARALLEL SETS","PARALLEL SETS NEEDED — no single conductor carries "&amp;TEXT(N($I44),"#,##0")&amp;" A within the drop allowance; enter sets in column M",IF(N($N44)=0,"no ampacity on file for the override size — NEC Table 310.16 does not list it",IF(N($N44)&lt;IF(N($J44)&gt;800,N($J44),N($I44)),"UNDERSIZED — "&amp;TEXT(N($N44),"#,##0")&amp;" A provided against a floor of "&amp;TEXT(IF(N($J44)&gt;800,N($J44),N($I44)),"#,##0")&amp;" A",IF(N($O44)&gt;$B$13,"ampacity OK but voltage drop "&amp;TEXT(N($O44),"0.0%")&amp;" exceeds the allowance — ADVISORY, upsize the override","OK — "&amp;IF(IF(N($M44)&gt;0,N($M44),MAX(1,N(IFERROR(INDEX(SPEC_CIRC,MATCH(INDEX(Equipment!$C$7:$C$18,MAX(1,N($W44))),SPEC_SKU,0)),1))))&gt;1,TEXT(IF(N($M44)&gt;0,N($M44),MAX(1,N(IFERROR(INDEX(SPEC_CIRC,MATCH(INDEX(Equipment!$C$7:$C$18,MAX(1,N($W44))),SPEC_SKU,0)),1)))),"0")&amp;" sets of ","")&amp;IF($L44&lt;&gt;"",$L44,$K44)&amp;IF($L44&lt;&gt;""," (override)","")&amp;", "&amp;TEXT(N($N44),"#,##0")&amp;" A against a "&amp;TEXT(IF(N($J44)&gt;800,N($J44),N($I44)),"#,##0")&amp;" A floor; drop "&amp;TEXT(N($O44),"0.0%")&amp;" (ADVISORY)"))))))))</f>
        <v/>
      </c>
      <c r="U44" s="868">
        <f>IF($W44="",0,IF($E44="",1,IF(MATCH($E44,$E$18:$E$77,0)=27,1,0)))</f>
        <v/>
      </c>
      <c r="V44" s="869">
        <f>IF($W44="","",IF(INDEX(Equipment!$E$7:$E$18,$W44)="level_2","L2",IF(INDEX(Equipment!$E$7:$E$18,$W44)="power_cabinet","CAB","DC")))</f>
        <v/>
      </c>
      <c r="W44" s="868">
        <f>IF(N($B$80)&gt;=27,COUNTIF(Equipment!$S$7:$S$18,"&lt;27")+1,"")</f>
        <v/>
      </c>
      <c r="X44" s="868">
        <f>IF($U44&lt;&gt;1,"",IF(N($M44)&gt;0,N($M44),MAX(1,N(IFERROR(INDEX(SPEC_CIRC,MATCH(INDEX(Equipment!$C$7:$C$18,MAX(1,N($W44))),SPEC_SKU,0)),1)))))</f>
        <v/>
      </c>
    </row>
    <row r="45" ht="16" customHeight="1" s="254">
      <c r="A45" s="862">
        <f>IF($W45="","","Charger 28")</f>
        <v/>
      </c>
      <c r="B45" s="863">
        <f>IF($W45="","","Line "&amp;$W45&amp;" · "&amp;INDEX(Equipment!$C$7:$C$18,$W45)&amp;" · "&amp;INDEX(Equipment!$B$7:$B$18,$W45)&amp;" · #"&amp;(28-INDEX(Equipment!$R$7:$R$18,$W45)+1)&amp;" of "&amp;INDEX(Equipment!$I$7:$I$18,$W45))</f>
        <v/>
      </c>
      <c r="C45" s="863">
        <f>IF($W45="","",IF($V45="L2",TEXT(N(Equipment!$B$30),"0")&amp;" V 1-ph",TEXT(Project!$B$29,"0")&amp;" V 3-ph"))</f>
        <v/>
      </c>
      <c r="D45" s="864">
        <f>IF($W45="","",INDEX(Equipment!$G$7:$G$18,$W45))</f>
        <v/>
      </c>
      <c r="E45" s="807" t="n"/>
      <c r="F45" s="831" t="n"/>
      <c r="G45" s="807" t="n"/>
      <c r="H45" s="865">
        <f>IF($U45&lt;&gt;1,"",IF($E45="",N($D45),SUMIF($E$18:$E$77,$E45,$D$18:$D$77))*1000/(IF($V45="L2",N(Equipment!$B$30),Project!$B$29)*IF($V45="L2",1,SQRT(3))))</f>
        <v/>
      </c>
      <c r="I45" s="865">
        <f>IF(N($H45)=0,"",N($H45)*1.25)</f>
        <v/>
      </c>
      <c r="J45" s="865">
        <f>IF(N($I45)=0,"",IF(ISNUMBER(MATCH($I45,OCPD_LIST,0)),$I45,IF($I45&gt;MAX(OCPD_LIST),"ABOVE LIST",INDEX(OCPD_LIST,MATCH($I45,OCPD_LIST,1)+1))))</f>
        <v/>
      </c>
      <c r="K45" s="863">
        <f>IF(OR(N($I45)=0,$B$10=""),"",IF(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gt;ROWS(SZ_SIZE),"PARALLEL SETS",INDEX(SZ_SIZE,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f>
        <v/>
      </c>
      <c r="L45" s="807" t="n"/>
      <c r="M45" s="831" t="n"/>
      <c r="N45" s="865">
        <f>IF(OR(IF($L45&lt;&gt;"",$L45,$K45)="",IF($L45&lt;&gt;"",$L45,$K45)="PARALLEL SETS"),"",IFERROR(INDEX(SZ_AMP,MATCH(IF($L45&lt;&gt;"",$L45,$K45),SZ_SIZE,0))*IF(N($M45)&gt;0,N($M45),MAX(1,N(IFERROR(INDEX(SPEC_CIRC,MATCH(INDEX(Equipment!$C$7:$C$18,MAX(1,N($W45))),SPEC_SKU,0)),1)))),""))</f>
        <v/>
      </c>
      <c r="O45" s="866">
        <f>IF(OR(N($N45)=0,N($F45)=0),"",IFERROR(IF($V45="L2",2,SQRT(3))*N($H45)/IF(N($M45)&gt;0,N($M45),MAX(1,N(IFERROR(INDEX(SPEC_CIRC,MATCH(INDEX(Equipment!$C$7:$C$18,MAX(1,N($W45))),SPEC_SKU,0)),1))))*N($F45)*INDEX(SZ_Z,MATCH(IF($L45&lt;&gt;"",$L45,$K45),SZ_SIZE,0))/1000/IF($V45="L2",N(Equipment!$B$30),Project!$B$29),""))</f>
        <v/>
      </c>
      <c r="P45" s="863">
        <f>IF(N($J45)=0,"",IFERROR(INDEX(IF($B$6="Cu",EGC_CU,EGC_AL),MATCH($J45,EGC_OCPD,1)+IF(ISNUMBER(MATCH($J45,EGC_OCPD,0)),0,1)),""))</f>
        <v/>
      </c>
      <c r="Q45" s="863">
        <f>IF(N($N45)=0,"",IFERROR(INDEX(IF($V45="L2",CND_2G,CND_3G),MATCH(IF($L45&lt;&gt;"",$L45,$K45),CND_SIZE,0)),""))</f>
        <v/>
      </c>
      <c r="R45" s="807" t="n"/>
      <c r="S45" s="867">
        <f>IF(OR(N($F45)=0,N($N45)=0),0,IFERROR(N($F45)*IF(N($M45)&gt;0,N($M45),MAX(1,N(IFERROR(INDEX(SPEC_CIRC,MATCH(INDEX(Equipment!$C$7:$C$18,MAX(1,N($W45))),SPEC_SKU,0)),1))))*IF($V45="L2",2,3)*INDEX(IF($B$6="Cu",WIRE_CU,WIRE_AL),MATCH(IF($L45&lt;&gt;"",$L45,$K45),WIRE_SIZE,0)),0)+IFERROR(N($F45)*IF(N($M45)&gt;0,N($M45),MAX(1,N(IFERROR(INDEX(SPEC_CIRC,MATCH(INDEX(Equipment!$C$7:$C$18,MAX(1,N($W45))),SPEC_SKU,0)),1))))*INDEX(IF($B$6="Cu",WIRE_CU,WIRE_AL),MATCH($P45,WIRE_SIZE,0)),0)+IFERROR(N($F45)*IF(N($M45)&gt;0,N($M45),MAX(1,N(IFERROR(INDEX(SPEC_CIRC,MATCH(INDEX(Equipment!$C$7:$C$18,MAX(1,N($W45))),SPEC_SKU,0)),1))))*INDEX(PVC_RATE,MATCH(IF($R45&lt;&gt;"",$R45,$Q45),PVC_SIZE,0)),0)+IF($V45="L2",0,IFERROR(N($F45)*INDEX(PVC_RATE,MATCH("(3/4"")",PVC_SIZE,0)),0)))</f>
        <v/>
      </c>
      <c r="T45" s="863">
        <f>IF($W45="","",IF($U45=0,"shared — on circuit "&amp;$E45&amp;", sized and priced on its first unit",IF(N($F45)=0,"ENTER THE DISTANCE",IF($B$10="","SET THE DESIGN AMBIENT in block A — nothing on this row can be trusted until it is",IF(IF($L45&lt;&gt;"",$L45,$K45)="PARALLEL SETS","PARALLEL SETS NEEDED — no single conductor carries "&amp;TEXT(N($I45),"#,##0")&amp;" A within the drop allowance; enter sets in column M",IF(N($N45)=0,"no ampacity on file for the override size — NEC Table 310.16 does not list it",IF(N($N45)&lt;IF(N($J45)&gt;800,N($J45),N($I45)),"UNDERSIZED — "&amp;TEXT(N($N45),"#,##0")&amp;" A provided against a floor of "&amp;TEXT(IF(N($J45)&gt;800,N($J45),N($I45)),"#,##0")&amp;" A",IF(N($O45)&gt;$B$13,"ampacity OK but voltage drop "&amp;TEXT(N($O45),"0.0%")&amp;" exceeds the allowance — ADVISORY, upsize the override","OK — "&amp;IF(IF(N($M45)&gt;0,N($M45),MAX(1,N(IFERROR(INDEX(SPEC_CIRC,MATCH(INDEX(Equipment!$C$7:$C$18,MAX(1,N($W45))),SPEC_SKU,0)),1))))&gt;1,TEXT(IF(N($M45)&gt;0,N($M45),MAX(1,N(IFERROR(INDEX(SPEC_CIRC,MATCH(INDEX(Equipment!$C$7:$C$18,MAX(1,N($W45))),SPEC_SKU,0)),1)))),"0")&amp;" sets of ","")&amp;IF($L45&lt;&gt;"",$L45,$K45)&amp;IF($L45&lt;&gt;""," (override)","")&amp;", "&amp;TEXT(N($N45),"#,##0")&amp;" A against a "&amp;TEXT(IF(N($J45)&gt;800,N($J45),N($I45)),"#,##0")&amp;" A floor; drop "&amp;TEXT(N($O45),"0.0%")&amp;" (ADVISORY)"))))))))</f>
        <v/>
      </c>
      <c r="U45" s="868">
        <f>IF($W45="",0,IF($E45="",1,IF(MATCH($E45,$E$18:$E$77,0)=28,1,0)))</f>
        <v/>
      </c>
      <c r="V45" s="869">
        <f>IF($W45="","",IF(INDEX(Equipment!$E$7:$E$18,$W45)="level_2","L2",IF(INDEX(Equipment!$E$7:$E$18,$W45)="power_cabinet","CAB","DC")))</f>
        <v/>
      </c>
      <c r="W45" s="868">
        <f>IF(N($B$80)&gt;=28,COUNTIF(Equipment!$S$7:$S$18,"&lt;28")+1,"")</f>
        <v/>
      </c>
      <c r="X45" s="868">
        <f>IF($U45&lt;&gt;1,"",IF(N($M45)&gt;0,N($M45),MAX(1,N(IFERROR(INDEX(SPEC_CIRC,MATCH(INDEX(Equipment!$C$7:$C$18,MAX(1,N($W45))),SPEC_SKU,0)),1)))))</f>
        <v/>
      </c>
    </row>
    <row r="46" ht="16" customHeight="1" s="254">
      <c r="A46" s="862">
        <f>IF($W46="","","Charger 29")</f>
        <v/>
      </c>
      <c r="B46" s="863">
        <f>IF($W46="","","Line "&amp;$W46&amp;" · "&amp;INDEX(Equipment!$C$7:$C$18,$W46)&amp;" · "&amp;INDEX(Equipment!$B$7:$B$18,$W46)&amp;" · #"&amp;(29-INDEX(Equipment!$R$7:$R$18,$W46)+1)&amp;" of "&amp;INDEX(Equipment!$I$7:$I$18,$W46))</f>
        <v/>
      </c>
      <c r="C46" s="863">
        <f>IF($W46="","",IF($V46="L2",TEXT(N(Equipment!$B$30),"0")&amp;" V 1-ph",TEXT(Project!$B$29,"0")&amp;" V 3-ph"))</f>
        <v/>
      </c>
      <c r="D46" s="864">
        <f>IF($W46="","",INDEX(Equipment!$G$7:$G$18,$W46))</f>
        <v/>
      </c>
      <c r="E46" s="807" t="n"/>
      <c r="F46" s="831" t="n"/>
      <c r="G46" s="807" t="n"/>
      <c r="H46" s="865">
        <f>IF($U46&lt;&gt;1,"",IF($E46="",N($D46),SUMIF($E$18:$E$77,$E46,$D$18:$D$77))*1000/(IF($V46="L2",N(Equipment!$B$30),Project!$B$29)*IF($V46="L2",1,SQRT(3))))</f>
        <v/>
      </c>
      <c r="I46" s="865">
        <f>IF(N($H46)=0,"",N($H46)*1.25)</f>
        <v/>
      </c>
      <c r="J46" s="865">
        <f>IF(N($I46)=0,"",IF(ISNUMBER(MATCH($I46,OCPD_LIST,0)),$I46,IF($I46&gt;MAX(OCPD_LIST),"ABOVE LIST",INDEX(OCPD_LIST,MATCH($I46,OCPD_LIST,1)+1))))</f>
        <v/>
      </c>
      <c r="K46" s="863">
        <f>IF(OR(N($I46)=0,$B$10=""),"",IF(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gt;ROWS(SZ_SIZE),"PARALLEL SETS",INDEX(SZ_SIZE,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f>
        <v/>
      </c>
      <c r="L46" s="807" t="n"/>
      <c r="M46" s="831" t="n"/>
      <c r="N46" s="865">
        <f>IF(OR(IF($L46&lt;&gt;"",$L46,$K46)="",IF($L46&lt;&gt;"",$L46,$K46)="PARALLEL SETS"),"",IFERROR(INDEX(SZ_AMP,MATCH(IF($L46&lt;&gt;"",$L46,$K46),SZ_SIZE,0))*IF(N($M46)&gt;0,N($M46),MAX(1,N(IFERROR(INDEX(SPEC_CIRC,MATCH(INDEX(Equipment!$C$7:$C$18,MAX(1,N($W46))),SPEC_SKU,0)),1)))),""))</f>
        <v/>
      </c>
      <c r="O46" s="866">
        <f>IF(OR(N($N46)=0,N($F46)=0),"",IFERROR(IF($V46="L2",2,SQRT(3))*N($H46)/IF(N($M46)&gt;0,N($M46),MAX(1,N(IFERROR(INDEX(SPEC_CIRC,MATCH(INDEX(Equipment!$C$7:$C$18,MAX(1,N($W46))),SPEC_SKU,0)),1))))*N($F46)*INDEX(SZ_Z,MATCH(IF($L46&lt;&gt;"",$L46,$K46),SZ_SIZE,0))/1000/IF($V46="L2",N(Equipment!$B$30),Project!$B$29),""))</f>
        <v/>
      </c>
      <c r="P46" s="863">
        <f>IF(N($J46)=0,"",IFERROR(INDEX(IF($B$6="Cu",EGC_CU,EGC_AL),MATCH($J46,EGC_OCPD,1)+IF(ISNUMBER(MATCH($J46,EGC_OCPD,0)),0,1)),""))</f>
        <v/>
      </c>
      <c r="Q46" s="863">
        <f>IF(N($N46)=0,"",IFERROR(INDEX(IF($V46="L2",CND_2G,CND_3G),MATCH(IF($L46&lt;&gt;"",$L46,$K46),CND_SIZE,0)),""))</f>
        <v/>
      </c>
      <c r="R46" s="807" t="n"/>
      <c r="S46" s="867">
        <f>IF(OR(N($F46)=0,N($N46)=0),0,IFERROR(N($F46)*IF(N($M46)&gt;0,N($M46),MAX(1,N(IFERROR(INDEX(SPEC_CIRC,MATCH(INDEX(Equipment!$C$7:$C$18,MAX(1,N($W46))),SPEC_SKU,0)),1))))*IF($V46="L2",2,3)*INDEX(IF($B$6="Cu",WIRE_CU,WIRE_AL),MATCH(IF($L46&lt;&gt;"",$L46,$K46),WIRE_SIZE,0)),0)+IFERROR(N($F46)*IF(N($M46)&gt;0,N($M46),MAX(1,N(IFERROR(INDEX(SPEC_CIRC,MATCH(INDEX(Equipment!$C$7:$C$18,MAX(1,N($W46))),SPEC_SKU,0)),1))))*INDEX(IF($B$6="Cu",WIRE_CU,WIRE_AL),MATCH($P46,WIRE_SIZE,0)),0)+IFERROR(N($F46)*IF(N($M46)&gt;0,N($M46),MAX(1,N(IFERROR(INDEX(SPEC_CIRC,MATCH(INDEX(Equipment!$C$7:$C$18,MAX(1,N($W46))),SPEC_SKU,0)),1))))*INDEX(PVC_RATE,MATCH(IF($R46&lt;&gt;"",$R46,$Q46),PVC_SIZE,0)),0)+IF($V46="L2",0,IFERROR(N($F46)*INDEX(PVC_RATE,MATCH("(3/4"")",PVC_SIZE,0)),0)))</f>
        <v/>
      </c>
      <c r="T46" s="863">
        <f>IF($W46="","",IF($U46=0,"shared — on circuit "&amp;$E46&amp;", sized and priced on its first unit",IF(N($F46)=0,"ENTER THE DISTANCE",IF($B$10="","SET THE DESIGN AMBIENT in block A — nothing on this row can be trusted until it is",IF(IF($L46&lt;&gt;"",$L46,$K46)="PARALLEL SETS","PARALLEL SETS NEEDED — no single conductor carries "&amp;TEXT(N($I46),"#,##0")&amp;" A within the drop allowance; enter sets in column M",IF(N($N46)=0,"no ampacity on file for the override size — NEC Table 310.16 does not list it",IF(N($N46)&lt;IF(N($J46)&gt;800,N($J46),N($I46)),"UNDERSIZED — "&amp;TEXT(N($N46),"#,##0")&amp;" A provided against a floor of "&amp;TEXT(IF(N($J46)&gt;800,N($J46),N($I46)),"#,##0")&amp;" A",IF(N($O46)&gt;$B$13,"ampacity OK but voltage drop "&amp;TEXT(N($O46),"0.0%")&amp;" exceeds the allowance — ADVISORY, upsize the override","OK — "&amp;IF(IF(N($M46)&gt;0,N($M46),MAX(1,N(IFERROR(INDEX(SPEC_CIRC,MATCH(INDEX(Equipment!$C$7:$C$18,MAX(1,N($W46))),SPEC_SKU,0)),1))))&gt;1,TEXT(IF(N($M46)&gt;0,N($M46),MAX(1,N(IFERROR(INDEX(SPEC_CIRC,MATCH(INDEX(Equipment!$C$7:$C$18,MAX(1,N($W46))),SPEC_SKU,0)),1)))),"0")&amp;" sets of ","")&amp;IF($L46&lt;&gt;"",$L46,$K46)&amp;IF($L46&lt;&gt;""," (override)","")&amp;", "&amp;TEXT(N($N46),"#,##0")&amp;" A against a "&amp;TEXT(IF(N($J46)&gt;800,N($J46),N($I46)),"#,##0")&amp;" A floor; drop "&amp;TEXT(N($O46),"0.0%")&amp;" (ADVISORY)"))))))))</f>
        <v/>
      </c>
      <c r="U46" s="868">
        <f>IF($W46="",0,IF($E46="",1,IF(MATCH($E46,$E$18:$E$77,0)=29,1,0)))</f>
        <v/>
      </c>
      <c r="V46" s="869">
        <f>IF($W46="","",IF(INDEX(Equipment!$E$7:$E$18,$W46)="level_2","L2",IF(INDEX(Equipment!$E$7:$E$18,$W46)="power_cabinet","CAB","DC")))</f>
        <v/>
      </c>
      <c r="W46" s="868">
        <f>IF(N($B$80)&gt;=29,COUNTIF(Equipment!$S$7:$S$18,"&lt;29")+1,"")</f>
        <v/>
      </c>
      <c r="X46" s="868">
        <f>IF($U46&lt;&gt;1,"",IF(N($M46)&gt;0,N($M46),MAX(1,N(IFERROR(INDEX(SPEC_CIRC,MATCH(INDEX(Equipment!$C$7:$C$18,MAX(1,N($W46))),SPEC_SKU,0)),1)))))</f>
        <v/>
      </c>
    </row>
    <row r="47" ht="16" customHeight="1" s="254">
      <c r="A47" s="862">
        <f>IF($W47="","","Charger 30")</f>
        <v/>
      </c>
      <c r="B47" s="863">
        <f>IF($W47="","","Line "&amp;$W47&amp;" · "&amp;INDEX(Equipment!$C$7:$C$18,$W47)&amp;" · "&amp;INDEX(Equipment!$B$7:$B$18,$W47)&amp;" · #"&amp;(30-INDEX(Equipment!$R$7:$R$18,$W47)+1)&amp;" of "&amp;INDEX(Equipment!$I$7:$I$18,$W47))</f>
        <v/>
      </c>
      <c r="C47" s="863">
        <f>IF($W47="","",IF($V47="L2",TEXT(N(Equipment!$B$30),"0")&amp;" V 1-ph",TEXT(Project!$B$29,"0")&amp;" V 3-ph"))</f>
        <v/>
      </c>
      <c r="D47" s="864">
        <f>IF($W47="","",INDEX(Equipment!$G$7:$G$18,$W47))</f>
        <v/>
      </c>
      <c r="E47" s="807" t="n"/>
      <c r="F47" s="831" t="n"/>
      <c r="G47" s="807" t="n"/>
      <c r="H47" s="865">
        <f>IF($U47&lt;&gt;1,"",IF($E47="",N($D47),SUMIF($E$18:$E$77,$E47,$D$18:$D$77))*1000/(IF($V47="L2",N(Equipment!$B$30),Project!$B$29)*IF($V47="L2",1,SQRT(3))))</f>
        <v/>
      </c>
      <c r="I47" s="865">
        <f>IF(N($H47)=0,"",N($H47)*1.25)</f>
        <v/>
      </c>
      <c r="J47" s="865">
        <f>IF(N($I47)=0,"",IF(ISNUMBER(MATCH($I47,OCPD_LIST,0)),$I47,IF($I47&gt;MAX(OCPD_LIST),"ABOVE LIST",INDEX(OCPD_LIST,MATCH($I47,OCPD_LIST,1)+1))))</f>
        <v/>
      </c>
      <c r="K47" s="863">
        <f>IF(OR(N($I47)=0,$B$10=""),"",IF(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gt;ROWS(SZ_SIZE),"PARALLEL SETS",INDEX(SZ_SIZE,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f>
        <v/>
      </c>
      <c r="L47" s="807" t="n"/>
      <c r="M47" s="831" t="n"/>
      <c r="N47" s="865">
        <f>IF(OR(IF($L47&lt;&gt;"",$L47,$K47)="",IF($L47&lt;&gt;"",$L47,$K47)="PARALLEL SETS"),"",IFERROR(INDEX(SZ_AMP,MATCH(IF($L47&lt;&gt;"",$L47,$K47),SZ_SIZE,0))*IF(N($M47)&gt;0,N($M47),MAX(1,N(IFERROR(INDEX(SPEC_CIRC,MATCH(INDEX(Equipment!$C$7:$C$18,MAX(1,N($W47))),SPEC_SKU,0)),1)))),""))</f>
        <v/>
      </c>
      <c r="O47" s="866">
        <f>IF(OR(N($N47)=0,N($F47)=0),"",IFERROR(IF($V47="L2",2,SQRT(3))*N($H47)/IF(N($M47)&gt;0,N($M47),MAX(1,N(IFERROR(INDEX(SPEC_CIRC,MATCH(INDEX(Equipment!$C$7:$C$18,MAX(1,N($W47))),SPEC_SKU,0)),1))))*N($F47)*INDEX(SZ_Z,MATCH(IF($L47&lt;&gt;"",$L47,$K47),SZ_SIZE,0))/1000/IF($V47="L2",N(Equipment!$B$30),Project!$B$29),""))</f>
        <v/>
      </c>
      <c r="P47" s="863">
        <f>IF(N($J47)=0,"",IFERROR(INDEX(IF($B$6="Cu",EGC_CU,EGC_AL),MATCH($J47,EGC_OCPD,1)+IF(ISNUMBER(MATCH($J47,EGC_OCPD,0)),0,1)),""))</f>
        <v/>
      </c>
      <c r="Q47" s="863">
        <f>IF(N($N47)=0,"",IFERROR(INDEX(IF($V47="L2",CND_2G,CND_3G),MATCH(IF($L47&lt;&gt;"",$L47,$K47),CND_SIZE,0)),""))</f>
        <v/>
      </c>
      <c r="R47" s="807" t="n"/>
      <c r="S47" s="867">
        <f>IF(OR(N($F47)=0,N($N47)=0),0,IFERROR(N($F47)*IF(N($M47)&gt;0,N($M47),MAX(1,N(IFERROR(INDEX(SPEC_CIRC,MATCH(INDEX(Equipment!$C$7:$C$18,MAX(1,N($W47))),SPEC_SKU,0)),1))))*IF($V47="L2",2,3)*INDEX(IF($B$6="Cu",WIRE_CU,WIRE_AL),MATCH(IF($L47&lt;&gt;"",$L47,$K47),WIRE_SIZE,0)),0)+IFERROR(N($F47)*IF(N($M47)&gt;0,N($M47),MAX(1,N(IFERROR(INDEX(SPEC_CIRC,MATCH(INDEX(Equipment!$C$7:$C$18,MAX(1,N($W47))),SPEC_SKU,0)),1))))*INDEX(IF($B$6="Cu",WIRE_CU,WIRE_AL),MATCH($P47,WIRE_SIZE,0)),0)+IFERROR(N($F47)*IF(N($M47)&gt;0,N($M47),MAX(1,N(IFERROR(INDEX(SPEC_CIRC,MATCH(INDEX(Equipment!$C$7:$C$18,MAX(1,N($W47))),SPEC_SKU,0)),1))))*INDEX(PVC_RATE,MATCH(IF($R47&lt;&gt;"",$R47,$Q47),PVC_SIZE,0)),0)+IF($V47="L2",0,IFERROR(N($F47)*INDEX(PVC_RATE,MATCH("(3/4"")",PVC_SIZE,0)),0)))</f>
        <v/>
      </c>
      <c r="T47" s="863">
        <f>IF($W47="","",IF($U47=0,"shared — on circuit "&amp;$E47&amp;", sized and priced on its first unit",IF(N($F47)=0,"ENTER THE DISTANCE",IF($B$10="","SET THE DESIGN AMBIENT in block A — nothing on this row can be trusted until it is",IF(IF($L47&lt;&gt;"",$L47,$K47)="PARALLEL SETS","PARALLEL SETS NEEDED — no single conductor carries "&amp;TEXT(N($I47),"#,##0")&amp;" A within the drop allowance; enter sets in column M",IF(N($N47)=0,"no ampacity on file for the override size — NEC Table 310.16 does not list it",IF(N($N47)&lt;IF(N($J47)&gt;800,N($J47),N($I47)),"UNDERSIZED — "&amp;TEXT(N($N47),"#,##0")&amp;" A provided against a floor of "&amp;TEXT(IF(N($J47)&gt;800,N($J47),N($I47)),"#,##0")&amp;" A",IF(N($O47)&gt;$B$13,"ampacity OK but voltage drop "&amp;TEXT(N($O47),"0.0%")&amp;" exceeds the allowance — ADVISORY, upsize the override","OK — "&amp;IF(IF(N($M47)&gt;0,N($M47),MAX(1,N(IFERROR(INDEX(SPEC_CIRC,MATCH(INDEX(Equipment!$C$7:$C$18,MAX(1,N($W47))),SPEC_SKU,0)),1))))&gt;1,TEXT(IF(N($M47)&gt;0,N($M47),MAX(1,N(IFERROR(INDEX(SPEC_CIRC,MATCH(INDEX(Equipment!$C$7:$C$18,MAX(1,N($W47))),SPEC_SKU,0)),1)))),"0")&amp;" sets of ","")&amp;IF($L47&lt;&gt;"",$L47,$K47)&amp;IF($L47&lt;&gt;""," (override)","")&amp;", "&amp;TEXT(N($N47),"#,##0")&amp;" A against a "&amp;TEXT(IF(N($J47)&gt;800,N($J47),N($I47)),"#,##0")&amp;" A floor; drop "&amp;TEXT(N($O47),"0.0%")&amp;" (ADVISORY)"))))))))</f>
        <v/>
      </c>
      <c r="U47" s="868">
        <f>IF($W47="",0,IF($E47="",1,IF(MATCH($E47,$E$18:$E$77,0)=30,1,0)))</f>
        <v/>
      </c>
      <c r="V47" s="869">
        <f>IF($W47="","",IF(INDEX(Equipment!$E$7:$E$18,$W47)="level_2","L2",IF(INDEX(Equipment!$E$7:$E$18,$W47)="power_cabinet","CAB","DC")))</f>
        <v/>
      </c>
      <c r="W47" s="868">
        <f>IF(N($B$80)&gt;=30,COUNTIF(Equipment!$S$7:$S$18,"&lt;30")+1,"")</f>
        <v/>
      </c>
      <c r="X47" s="868">
        <f>IF($U47&lt;&gt;1,"",IF(N($M47)&gt;0,N($M47),MAX(1,N(IFERROR(INDEX(SPEC_CIRC,MATCH(INDEX(Equipment!$C$7:$C$18,MAX(1,N($W47))),SPEC_SKU,0)),1)))))</f>
        <v/>
      </c>
    </row>
    <row r="48" ht="16" customHeight="1" s="254">
      <c r="A48" s="862">
        <f>IF($W48="","","Charger 31")</f>
        <v/>
      </c>
      <c r="B48" s="863">
        <f>IF($W48="","","Line "&amp;$W48&amp;" · "&amp;INDEX(Equipment!$C$7:$C$18,$W48)&amp;" · "&amp;INDEX(Equipment!$B$7:$B$18,$W48)&amp;" · #"&amp;(31-INDEX(Equipment!$R$7:$R$18,$W48)+1)&amp;" of "&amp;INDEX(Equipment!$I$7:$I$18,$W48))</f>
        <v/>
      </c>
      <c r="C48" s="863">
        <f>IF($W48="","",IF($V48="L2",TEXT(N(Equipment!$B$30),"0")&amp;" V 1-ph",TEXT(Project!$B$29,"0")&amp;" V 3-ph"))</f>
        <v/>
      </c>
      <c r="D48" s="864">
        <f>IF($W48="","",INDEX(Equipment!$G$7:$G$18,$W48))</f>
        <v/>
      </c>
      <c r="E48" s="807" t="n"/>
      <c r="F48" s="831" t="n"/>
      <c r="G48" s="807" t="n"/>
      <c r="H48" s="865">
        <f>IF($U48&lt;&gt;1,"",IF($E48="",N($D48),SUMIF($E$18:$E$77,$E48,$D$18:$D$77))*1000/(IF($V48="L2",N(Equipment!$B$30),Project!$B$29)*IF($V48="L2",1,SQRT(3))))</f>
        <v/>
      </c>
      <c r="I48" s="865">
        <f>IF(N($H48)=0,"",N($H48)*1.25)</f>
        <v/>
      </c>
      <c r="J48" s="865">
        <f>IF(N($I48)=0,"",IF(ISNUMBER(MATCH($I48,OCPD_LIST,0)),$I48,IF($I48&gt;MAX(OCPD_LIST),"ABOVE LIST",INDEX(OCPD_LIST,MATCH($I48,OCPD_LIST,1)+1))))</f>
        <v/>
      </c>
      <c r="K48" s="863">
        <f>IF(OR(N($I48)=0,$B$10=""),"",IF(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gt;ROWS(SZ_SIZE),"PARALLEL SETS",INDEX(SZ_SIZE,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f>
        <v/>
      </c>
      <c r="L48" s="807" t="n"/>
      <c r="M48" s="831" t="n"/>
      <c r="N48" s="865">
        <f>IF(OR(IF($L48&lt;&gt;"",$L48,$K48)="",IF($L48&lt;&gt;"",$L48,$K48)="PARALLEL SETS"),"",IFERROR(INDEX(SZ_AMP,MATCH(IF($L48&lt;&gt;"",$L48,$K48),SZ_SIZE,0))*IF(N($M48)&gt;0,N($M48),MAX(1,N(IFERROR(INDEX(SPEC_CIRC,MATCH(INDEX(Equipment!$C$7:$C$18,MAX(1,N($W48))),SPEC_SKU,0)),1)))),""))</f>
        <v/>
      </c>
      <c r="O48" s="866">
        <f>IF(OR(N($N48)=0,N($F48)=0),"",IFERROR(IF($V48="L2",2,SQRT(3))*N($H48)/IF(N($M48)&gt;0,N($M48),MAX(1,N(IFERROR(INDEX(SPEC_CIRC,MATCH(INDEX(Equipment!$C$7:$C$18,MAX(1,N($W48))),SPEC_SKU,0)),1))))*N($F48)*INDEX(SZ_Z,MATCH(IF($L48&lt;&gt;"",$L48,$K48),SZ_SIZE,0))/1000/IF($V48="L2",N(Equipment!$B$30),Project!$B$29),""))</f>
        <v/>
      </c>
      <c r="P48" s="863">
        <f>IF(N($J48)=0,"",IFERROR(INDEX(IF($B$6="Cu",EGC_CU,EGC_AL),MATCH($J48,EGC_OCPD,1)+IF(ISNUMBER(MATCH($J48,EGC_OCPD,0)),0,1)),""))</f>
        <v/>
      </c>
      <c r="Q48" s="863">
        <f>IF(N($N48)=0,"",IFERROR(INDEX(IF($V48="L2",CND_2G,CND_3G),MATCH(IF($L48&lt;&gt;"",$L48,$K48),CND_SIZE,0)),""))</f>
        <v/>
      </c>
      <c r="R48" s="807" t="n"/>
      <c r="S48" s="867">
        <f>IF(OR(N($F48)=0,N($N48)=0),0,IFERROR(N($F48)*IF(N($M48)&gt;0,N($M48),MAX(1,N(IFERROR(INDEX(SPEC_CIRC,MATCH(INDEX(Equipment!$C$7:$C$18,MAX(1,N($W48))),SPEC_SKU,0)),1))))*IF($V48="L2",2,3)*INDEX(IF($B$6="Cu",WIRE_CU,WIRE_AL),MATCH(IF($L48&lt;&gt;"",$L48,$K48),WIRE_SIZE,0)),0)+IFERROR(N($F48)*IF(N($M48)&gt;0,N($M48),MAX(1,N(IFERROR(INDEX(SPEC_CIRC,MATCH(INDEX(Equipment!$C$7:$C$18,MAX(1,N($W48))),SPEC_SKU,0)),1))))*INDEX(IF($B$6="Cu",WIRE_CU,WIRE_AL),MATCH($P48,WIRE_SIZE,0)),0)+IFERROR(N($F48)*IF(N($M48)&gt;0,N($M48),MAX(1,N(IFERROR(INDEX(SPEC_CIRC,MATCH(INDEX(Equipment!$C$7:$C$18,MAX(1,N($W48))),SPEC_SKU,0)),1))))*INDEX(PVC_RATE,MATCH(IF($R48&lt;&gt;"",$R48,$Q48),PVC_SIZE,0)),0)+IF($V48="L2",0,IFERROR(N($F48)*INDEX(PVC_RATE,MATCH("(3/4"")",PVC_SIZE,0)),0)))</f>
        <v/>
      </c>
      <c r="T48" s="863">
        <f>IF($W48="","",IF($U48=0,"shared — on circuit "&amp;$E48&amp;", sized and priced on its first unit",IF(N($F48)=0,"ENTER THE DISTANCE",IF($B$10="","SET THE DESIGN AMBIENT in block A — nothing on this row can be trusted until it is",IF(IF($L48&lt;&gt;"",$L48,$K48)="PARALLEL SETS","PARALLEL SETS NEEDED — no single conductor carries "&amp;TEXT(N($I48),"#,##0")&amp;" A within the drop allowance; enter sets in column M",IF(N($N48)=0,"no ampacity on file for the override size — NEC Table 310.16 does not list it",IF(N($N48)&lt;IF(N($J48)&gt;800,N($J48),N($I48)),"UNDERSIZED — "&amp;TEXT(N($N48),"#,##0")&amp;" A provided against a floor of "&amp;TEXT(IF(N($J48)&gt;800,N($J48),N($I48)),"#,##0")&amp;" A",IF(N($O48)&gt;$B$13,"ampacity OK but voltage drop "&amp;TEXT(N($O48),"0.0%")&amp;" exceeds the allowance — ADVISORY, upsize the override","OK — "&amp;IF(IF(N($M48)&gt;0,N($M48),MAX(1,N(IFERROR(INDEX(SPEC_CIRC,MATCH(INDEX(Equipment!$C$7:$C$18,MAX(1,N($W48))),SPEC_SKU,0)),1))))&gt;1,TEXT(IF(N($M48)&gt;0,N($M48),MAX(1,N(IFERROR(INDEX(SPEC_CIRC,MATCH(INDEX(Equipment!$C$7:$C$18,MAX(1,N($W48))),SPEC_SKU,0)),1)))),"0")&amp;" sets of ","")&amp;IF($L48&lt;&gt;"",$L48,$K48)&amp;IF($L48&lt;&gt;""," (override)","")&amp;", "&amp;TEXT(N($N48),"#,##0")&amp;" A against a "&amp;TEXT(IF(N($J48)&gt;800,N($J48),N($I48)),"#,##0")&amp;" A floor; drop "&amp;TEXT(N($O48),"0.0%")&amp;" (ADVISORY)"))))))))</f>
        <v/>
      </c>
      <c r="U48" s="868">
        <f>IF($W48="",0,IF($E48="",1,IF(MATCH($E48,$E$18:$E$77,0)=31,1,0)))</f>
        <v/>
      </c>
      <c r="V48" s="869">
        <f>IF($W48="","",IF(INDEX(Equipment!$E$7:$E$18,$W48)="level_2","L2",IF(INDEX(Equipment!$E$7:$E$18,$W48)="power_cabinet","CAB","DC")))</f>
        <v/>
      </c>
      <c r="W48" s="868">
        <f>IF(N($B$80)&gt;=31,COUNTIF(Equipment!$S$7:$S$18,"&lt;31")+1,"")</f>
        <v/>
      </c>
      <c r="X48" s="868">
        <f>IF($U48&lt;&gt;1,"",IF(N($M48)&gt;0,N($M48),MAX(1,N(IFERROR(INDEX(SPEC_CIRC,MATCH(INDEX(Equipment!$C$7:$C$18,MAX(1,N($W48))),SPEC_SKU,0)),1)))))</f>
        <v/>
      </c>
    </row>
    <row r="49" ht="16" customHeight="1" s="254">
      <c r="A49" s="862">
        <f>IF($W49="","","Charger 32")</f>
        <v/>
      </c>
      <c r="B49" s="863">
        <f>IF($W49="","","Line "&amp;$W49&amp;" · "&amp;INDEX(Equipment!$C$7:$C$18,$W49)&amp;" · "&amp;INDEX(Equipment!$B$7:$B$18,$W49)&amp;" · #"&amp;(32-INDEX(Equipment!$R$7:$R$18,$W49)+1)&amp;" of "&amp;INDEX(Equipment!$I$7:$I$18,$W49))</f>
        <v/>
      </c>
      <c r="C49" s="863">
        <f>IF($W49="","",IF($V49="L2",TEXT(N(Equipment!$B$30),"0")&amp;" V 1-ph",TEXT(Project!$B$29,"0")&amp;" V 3-ph"))</f>
        <v/>
      </c>
      <c r="D49" s="864">
        <f>IF($W49="","",INDEX(Equipment!$G$7:$G$18,$W49))</f>
        <v/>
      </c>
      <c r="E49" s="807" t="n"/>
      <c r="F49" s="831" t="n"/>
      <c r="G49" s="807" t="n"/>
      <c r="H49" s="865">
        <f>IF($U49&lt;&gt;1,"",IF($E49="",N($D49),SUMIF($E$18:$E$77,$E49,$D$18:$D$77))*1000/(IF($V49="L2",N(Equipment!$B$30),Project!$B$29)*IF($V49="L2",1,SQRT(3))))</f>
        <v/>
      </c>
      <c r="I49" s="865">
        <f>IF(N($H49)=0,"",N($H49)*1.25)</f>
        <v/>
      </c>
      <c r="J49" s="865">
        <f>IF(N($I49)=0,"",IF(ISNUMBER(MATCH($I49,OCPD_LIST,0)),$I49,IF($I49&gt;MAX(OCPD_LIST),"ABOVE LIST",INDEX(OCPD_LIST,MATCH($I49,OCPD_LIST,1)+1))))</f>
        <v/>
      </c>
      <c r="K49" s="863">
        <f>IF(OR(N($I49)=0,$B$10=""),"",IF(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gt;ROWS(SZ_SIZE),"PARALLEL SETS",INDEX(SZ_SIZE,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f>
        <v/>
      </c>
      <c r="L49" s="807" t="n"/>
      <c r="M49" s="831" t="n"/>
      <c r="N49" s="865">
        <f>IF(OR(IF($L49&lt;&gt;"",$L49,$K49)="",IF($L49&lt;&gt;"",$L49,$K49)="PARALLEL SETS"),"",IFERROR(INDEX(SZ_AMP,MATCH(IF($L49&lt;&gt;"",$L49,$K49),SZ_SIZE,0))*IF(N($M49)&gt;0,N($M49),MAX(1,N(IFERROR(INDEX(SPEC_CIRC,MATCH(INDEX(Equipment!$C$7:$C$18,MAX(1,N($W49))),SPEC_SKU,0)),1)))),""))</f>
        <v/>
      </c>
      <c r="O49" s="866">
        <f>IF(OR(N($N49)=0,N($F49)=0),"",IFERROR(IF($V49="L2",2,SQRT(3))*N($H49)/IF(N($M49)&gt;0,N($M49),MAX(1,N(IFERROR(INDEX(SPEC_CIRC,MATCH(INDEX(Equipment!$C$7:$C$18,MAX(1,N($W49))),SPEC_SKU,0)),1))))*N($F49)*INDEX(SZ_Z,MATCH(IF($L49&lt;&gt;"",$L49,$K49),SZ_SIZE,0))/1000/IF($V49="L2",N(Equipment!$B$30),Project!$B$29),""))</f>
        <v/>
      </c>
      <c r="P49" s="863">
        <f>IF(N($J49)=0,"",IFERROR(INDEX(IF($B$6="Cu",EGC_CU,EGC_AL),MATCH($J49,EGC_OCPD,1)+IF(ISNUMBER(MATCH($J49,EGC_OCPD,0)),0,1)),""))</f>
        <v/>
      </c>
      <c r="Q49" s="863">
        <f>IF(N($N49)=0,"",IFERROR(INDEX(IF($V49="L2",CND_2G,CND_3G),MATCH(IF($L49&lt;&gt;"",$L49,$K49),CND_SIZE,0)),""))</f>
        <v/>
      </c>
      <c r="R49" s="807" t="n"/>
      <c r="S49" s="867">
        <f>IF(OR(N($F49)=0,N($N49)=0),0,IFERROR(N($F49)*IF(N($M49)&gt;0,N($M49),MAX(1,N(IFERROR(INDEX(SPEC_CIRC,MATCH(INDEX(Equipment!$C$7:$C$18,MAX(1,N($W49))),SPEC_SKU,0)),1))))*IF($V49="L2",2,3)*INDEX(IF($B$6="Cu",WIRE_CU,WIRE_AL),MATCH(IF($L49&lt;&gt;"",$L49,$K49),WIRE_SIZE,0)),0)+IFERROR(N($F49)*IF(N($M49)&gt;0,N($M49),MAX(1,N(IFERROR(INDEX(SPEC_CIRC,MATCH(INDEX(Equipment!$C$7:$C$18,MAX(1,N($W49))),SPEC_SKU,0)),1))))*INDEX(IF($B$6="Cu",WIRE_CU,WIRE_AL),MATCH($P49,WIRE_SIZE,0)),0)+IFERROR(N($F49)*IF(N($M49)&gt;0,N($M49),MAX(1,N(IFERROR(INDEX(SPEC_CIRC,MATCH(INDEX(Equipment!$C$7:$C$18,MAX(1,N($W49))),SPEC_SKU,0)),1))))*INDEX(PVC_RATE,MATCH(IF($R49&lt;&gt;"",$R49,$Q49),PVC_SIZE,0)),0)+IF($V49="L2",0,IFERROR(N($F49)*INDEX(PVC_RATE,MATCH("(3/4"")",PVC_SIZE,0)),0)))</f>
        <v/>
      </c>
      <c r="T49" s="863">
        <f>IF($W49="","",IF($U49=0,"shared — on circuit "&amp;$E49&amp;", sized and priced on its first unit",IF(N($F49)=0,"ENTER THE DISTANCE",IF($B$10="","SET THE DESIGN AMBIENT in block A — nothing on this row can be trusted until it is",IF(IF($L49&lt;&gt;"",$L49,$K49)="PARALLEL SETS","PARALLEL SETS NEEDED — no single conductor carries "&amp;TEXT(N($I49),"#,##0")&amp;" A within the drop allowance; enter sets in column M",IF(N($N49)=0,"no ampacity on file for the override size — NEC Table 310.16 does not list it",IF(N($N49)&lt;IF(N($J49)&gt;800,N($J49),N($I49)),"UNDERSIZED — "&amp;TEXT(N($N49),"#,##0")&amp;" A provided against a floor of "&amp;TEXT(IF(N($J49)&gt;800,N($J49),N($I49)),"#,##0")&amp;" A",IF(N($O49)&gt;$B$13,"ampacity OK but voltage drop "&amp;TEXT(N($O49),"0.0%")&amp;" exceeds the allowance — ADVISORY, upsize the override","OK — "&amp;IF(IF(N($M49)&gt;0,N($M49),MAX(1,N(IFERROR(INDEX(SPEC_CIRC,MATCH(INDEX(Equipment!$C$7:$C$18,MAX(1,N($W49))),SPEC_SKU,0)),1))))&gt;1,TEXT(IF(N($M49)&gt;0,N($M49),MAX(1,N(IFERROR(INDEX(SPEC_CIRC,MATCH(INDEX(Equipment!$C$7:$C$18,MAX(1,N($W49))),SPEC_SKU,0)),1)))),"0")&amp;" sets of ","")&amp;IF($L49&lt;&gt;"",$L49,$K49)&amp;IF($L49&lt;&gt;""," (override)","")&amp;", "&amp;TEXT(N($N49),"#,##0")&amp;" A against a "&amp;TEXT(IF(N($J49)&gt;800,N($J49),N($I49)),"#,##0")&amp;" A floor; drop "&amp;TEXT(N($O49),"0.0%")&amp;" (ADVISORY)"))))))))</f>
        <v/>
      </c>
      <c r="U49" s="868">
        <f>IF($W49="",0,IF($E49="",1,IF(MATCH($E49,$E$18:$E$77,0)=32,1,0)))</f>
        <v/>
      </c>
      <c r="V49" s="869">
        <f>IF($W49="","",IF(INDEX(Equipment!$E$7:$E$18,$W49)="level_2","L2",IF(INDEX(Equipment!$E$7:$E$18,$W49)="power_cabinet","CAB","DC")))</f>
        <v/>
      </c>
      <c r="W49" s="868">
        <f>IF(N($B$80)&gt;=32,COUNTIF(Equipment!$S$7:$S$18,"&lt;32")+1,"")</f>
        <v/>
      </c>
      <c r="X49" s="868">
        <f>IF($U49&lt;&gt;1,"",IF(N($M49)&gt;0,N($M49),MAX(1,N(IFERROR(INDEX(SPEC_CIRC,MATCH(INDEX(Equipment!$C$7:$C$18,MAX(1,N($W49))),SPEC_SKU,0)),1)))))</f>
        <v/>
      </c>
    </row>
    <row r="50" ht="16" customHeight="1" s="254">
      <c r="A50" s="862">
        <f>IF($W50="","","Charger 33")</f>
        <v/>
      </c>
      <c r="B50" s="863">
        <f>IF($W50="","","Line "&amp;$W50&amp;" · "&amp;INDEX(Equipment!$C$7:$C$18,$W50)&amp;" · "&amp;INDEX(Equipment!$B$7:$B$18,$W50)&amp;" · #"&amp;(33-INDEX(Equipment!$R$7:$R$18,$W50)+1)&amp;" of "&amp;INDEX(Equipment!$I$7:$I$18,$W50))</f>
        <v/>
      </c>
      <c r="C50" s="863">
        <f>IF($W50="","",IF($V50="L2",TEXT(N(Equipment!$B$30),"0")&amp;" V 1-ph",TEXT(Project!$B$29,"0")&amp;" V 3-ph"))</f>
        <v/>
      </c>
      <c r="D50" s="864">
        <f>IF($W50="","",INDEX(Equipment!$G$7:$G$18,$W50))</f>
        <v/>
      </c>
      <c r="E50" s="807" t="n"/>
      <c r="F50" s="831" t="n"/>
      <c r="G50" s="807" t="n"/>
      <c r="H50" s="865">
        <f>IF($U50&lt;&gt;1,"",IF($E50="",N($D50),SUMIF($E$18:$E$77,$E50,$D$18:$D$77))*1000/(IF($V50="L2",N(Equipment!$B$30),Project!$B$29)*IF($V50="L2",1,SQRT(3))))</f>
        <v/>
      </c>
      <c r="I50" s="865">
        <f>IF(N($H50)=0,"",N($H50)*1.25)</f>
        <v/>
      </c>
      <c r="J50" s="865">
        <f>IF(N($I50)=0,"",IF(ISNUMBER(MATCH($I50,OCPD_LIST,0)),$I50,IF($I50&gt;MAX(OCPD_LIST),"ABOVE LIST",INDEX(OCPD_LIST,MATCH($I50,OCPD_LIST,1)+1))))</f>
        <v/>
      </c>
      <c r="K50" s="863">
        <f>IF(OR(N($I50)=0,$B$10=""),"",IF(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gt;ROWS(SZ_SIZE),"PARALLEL SETS",INDEX(SZ_SIZE,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f>
        <v/>
      </c>
      <c r="L50" s="807" t="n"/>
      <c r="M50" s="831" t="n"/>
      <c r="N50" s="865">
        <f>IF(OR(IF($L50&lt;&gt;"",$L50,$K50)="",IF($L50&lt;&gt;"",$L50,$K50)="PARALLEL SETS"),"",IFERROR(INDEX(SZ_AMP,MATCH(IF($L50&lt;&gt;"",$L50,$K50),SZ_SIZE,0))*IF(N($M50)&gt;0,N($M50),MAX(1,N(IFERROR(INDEX(SPEC_CIRC,MATCH(INDEX(Equipment!$C$7:$C$18,MAX(1,N($W50))),SPEC_SKU,0)),1)))),""))</f>
        <v/>
      </c>
      <c r="O50" s="866">
        <f>IF(OR(N($N50)=0,N($F50)=0),"",IFERROR(IF($V50="L2",2,SQRT(3))*N($H50)/IF(N($M50)&gt;0,N($M50),MAX(1,N(IFERROR(INDEX(SPEC_CIRC,MATCH(INDEX(Equipment!$C$7:$C$18,MAX(1,N($W50))),SPEC_SKU,0)),1))))*N($F50)*INDEX(SZ_Z,MATCH(IF($L50&lt;&gt;"",$L50,$K50),SZ_SIZE,0))/1000/IF($V50="L2",N(Equipment!$B$30),Project!$B$29),""))</f>
        <v/>
      </c>
      <c r="P50" s="863">
        <f>IF(N($J50)=0,"",IFERROR(INDEX(IF($B$6="Cu",EGC_CU,EGC_AL),MATCH($J50,EGC_OCPD,1)+IF(ISNUMBER(MATCH($J50,EGC_OCPD,0)),0,1)),""))</f>
        <v/>
      </c>
      <c r="Q50" s="863">
        <f>IF(N($N50)=0,"",IFERROR(INDEX(IF($V50="L2",CND_2G,CND_3G),MATCH(IF($L50&lt;&gt;"",$L50,$K50),CND_SIZE,0)),""))</f>
        <v/>
      </c>
      <c r="R50" s="807" t="n"/>
      <c r="S50" s="867">
        <f>IF(OR(N($F50)=0,N($N50)=0),0,IFERROR(N($F50)*IF(N($M50)&gt;0,N($M50),MAX(1,N(IFERROR(INDEX(SPEC_CIRC,MATCH(INDEX(Equipment!$C$7:$C$18,MAX(1,N($W50))),SPEC_SKU,0)),1))))*IF($V50="L2",2,3)*INDEX(IF($B$6="Cu",WIRE_CU,WIRE_AL),MATCH(IF($L50&lt;&gt;"",$L50,$K50),WIRE_SIZE,0)),0)+IFERROR(N($F50)*IF(N($M50)&gt;0,N($M50),MAX(1,N(IFERROR(INDEX(SPEC_CIRC,MATCH(INDEX(Equipment!$C$7:$C$18,MAX(1,N($W50))),SPEC_SKU,0)),1))))*INDEX(IF($B$6="Cu",WIRE_CU,WIRE_AL),MATCH($P50,WIRE_SIZE,0)),0)+IFERROR(N($F50)*IF(N($M50)&gt;0,N($M50),MAX(1,N(IFERROR(INDEX(SPEC_CIRC,MATCH(INDEX(Equipment!$C$7:$C$18,MAX(1,N($W50))),SPEC_SKU,0)),1))))*INDEX(PVC_RATE,MATCH(IF($R50&lt;&gt;"",$R50,$Q50),PVC_SIZE,0)),0)+IF($V50="L2",0,IFERROR(N($F50)*INDEX(PVC_RATE,MATCH("(3/4"")",PVC_SIZE,0)),0)))</f>
        <v/>
      </c>
      <c r="T50" s="863">
        <f>IF($W50="","",IF($U50=0,"shared — on circuit "&amp;$E50&amp;", sized and priced on its first unit",IF(N($F50)=0,"ENTER THE DISTANCE",IF($B$10="","SET THE DESIGN AMBIENT in block A — nothing on this row can be trusted until it is",IF(IF($L50&lt;&gt;"",$L50,$K50)="PARALLEL SETS","PARALLEL SETS NEEDED — no single conductor carries "&amp;TEXT(N($I50),"#,##0")&amp;" A within the drop allowance; enter sets in column M",IF(N($N50)=0,"no ampacity on file for the override size — NEC Table 310.16 does not list it",IF(N($N50)&lt;IF(N($J50)&gt;800,N($J50),N($I50)),"UNDERSIZED — "&amp;TEXT(N($N50),"#,##0")&amp;" A provided against a floor of "&amp;TEXT(IF(N($J50)&gt;800,N($J50),N($I50)),"#,##0")&amp;" A",IF(N($O50)&gt;$B$13,"ampacity OK but voltage drop "&amp;TEXT(N($O50),"0.0%")&amp;" exceeds the allowance — ADVISORY, upsize the override","OK — "&amp;IF(IF(N($M50)&gt;0,N($M50),MAX(1,N(IFERROR(INDEX(SPEC_CIRC,MATCH(INDEX(Equipment!$C$7:$C$18,MAX(1,N($W50))),SPEC_SKU,0)),1))))&gt;1,TEXT(IF(N($M50)&gt;0,N($M50),MAX(1,N(IFERROR(INDEX(SPEC_CIRC,MATCH(INDEX(Equipment!$C$7:$C$18,MAX(1,N($W50))),SPEC_SKU,0)),1)))),"0")&amp;" sets of ","")&amp;IF($L50&lt;&gt;"",$L50,$K50)&amp;IF($L50&lt;&gt;""," (override)","")&amp;", "&amp;TEXT(N($N50),"#,##0")&amp;" A against a "&amp;TEXT(IF(N($J50)&gt;800,N($J50),N($I50)),"#,##0")&amp;" A floor; drop "&amp;TEXT(N($O50),"0.0%")&amp;" (ADVISORY)"))))))))</f>
        <v/>
      </c>
      <c r="U50" s="868">
        <f>IF($W50="",0,IF($E50="",1,IF(MATCH($E50,$E$18:$E$77,0)=33,1,0)))</f>
        <v/>
      </c>
      <c r="V50" s="869">
        <f>IF($W50="","",IF(INDEX(Equipment!$E$7:$E$18,$W50)="level_2","L2",IF(INDEX(Equipment!$E$7:$E$18,$W50)="power_cabinet","CAB","DC")))</f>
        <v/>
      </c>
      <c r="W50" s="868">
        <f>IF(N($B$80)&gt;=33,COUNTIF(Equipment!$S$7:$S$18,"&lt;33")+1,"")</f>
        <v/>
      </c>
      <c r="X50" s="868">
        <f>IF($U50&lt;&gt;1,"",IF(N($M50)&gt;0,N($M50),MAX(1,N(IFERROR(INDEX(SPEC_CIRC,MATCH(INDEX(Equipment!$C$7:$C$18,MAX(1,N($W50))),SPEC_SKU,0)),1)))))</f>
        <v/>
      </c>
    </row>
    <row r="51" ht="16" customHeight="1" s="254">
      <c r="A51" s="862">
        <f>IF($W51="","","Charger 34")</f>
        <v/>
      </c>
      <c r="B51" s="863">
        <f>IF($W51="","","Line "&amp;$W51&amp;" · "&amp;INDEX(Equipment!$C$7:$C$18,$W51)&amp;" · "&amp;INDEX(Equipment!$B$7:$B$18,$W51)&amp;" · #"&amp;(34-INDEX(Equipment!$R$7:$R$18,$W51)+1)&amp;" of "&amp;INDEX(Equipment!$I$7:$I$18,$W51))</f>
        <v/>
      </c>
      <c r="C51" s="863">
        <f>IF($W51="","",IF($V51="L2",TEXT(N(Equipment!$B$30),"0")&amp;" V 1-ph",TEXT(Project!$B$29,"0")&amp;" V 3-ph"))</f>
        <v/>
      </c>
      <c r="D51" s="864">
        <f>IF($W51="","",INDEX(Equipment!$G$7:$G$18,$W51))</f>
        <v/>
      </c>
      <c r="E51" s="807" t="n"/>
      <c r="F51" s="831" t="n"/>
      <c r="G51" s="807" t="n"/>
      <c r="H51" s="865">
        <f>IF($U51&lt;&gt;1,"",IF($E51="",N($D51),SUMIF($E$18:$E$77,$E51,$D$18:$D$77))*1000/(IF($V51="L2",N(Equipment!$B$30),Project!$B$29)*IF($V51="L2",1,SQRT(3))))</f>
        <v/>
      </c>
      <c r="I51" s="865">
        <f>IF(N($H51)=0,"",N($H51)*1.25)</f>
        <v/>
      </c>
      <c r="J51" s="865">
        <f>IF(N($I51)=0,"",IF(ISNUMBER(MATCH($I51,OCPD_LIST,0)),$I51,IF($I51&gt;MAX(OCPD_LIST),"ABOVE LIST",INDEX(OCPD_LIST,MATCH($I51,OCPD_LIST,1)+1))))</f>
        <v/>
      </c>
      <c r="K51" s="863">
        <f>IF(OR(N($I51)=0,$B$10=""),"",IF(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gt;ROWS(SZ_SIZE),"PARALLEL SETS",INDEX(SZ_SIZE,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f>
        <v/>
      </c>
      <c r="L51" s="807" t="n"/>
      <c r="M51" s="831" t="n"/>
      <c r="N51" s="865">
        <f>IF(OR(IF($L51&lt;&gt;"",$L51,$K51)="",IF($L51&lt;&gt;"",$L51,$K51)="PARALLEL SETS"),"",IFERROR(INDEX(SZ_AMP,MATCH(IF($L51&lt;&gt;"",$L51,$K51),SZ_SIZE,0))*IF(N($M51)&gt;0,N($M51),MAX(1,N(IFERROR(INDEX(SPEC_CIRC,MATCH(INDEX(Equipment!$C$7:$C$18,MAX(1,N($W51))),SPEC_SKU,0)),1)))),""))</f>
        <v/>
      </c>
      <c r="O51" s="866">
        <f>IF(OR(N($N51)=0,N($F51)=0),"",IFERROR(IF($V51="L2",2,SQRT(3))*N($H51)/IF(N($M51)&gt;0,N($M51),MAX(1,N(IFERROR(INDEX(SPEC_CIRC,MATCH(INDEX(Equipment!$C$7:$C$18,MAX(1,N($W51))),SPEC_SKU,0)),1))))*N($F51)*INDEX(SZ_Z,MATCH(IF($L51&lt;&gt;"",$L51,$K51),SZ_SIZE,0))/1000/IF($V51="L2",N(Equipment!$B$30),Project!$B$29),""))</f>
        <v/>
      </c>
      <c r="P51" s="863">
        <f>IF(N($J51)=0,"",IFERROR(INDEX(IF($B$6="Cu",EGC_CU,EGC_AL),MATCH($J51,EGC_OCPD,1)+IF(ISNUMBER(MATCH($J51,EGC_OCPD,0)),0,1)),""))</f>
        <v/>
      </c>
      <c r="Q51" s="863">
        <f>IF(N($N51)=0,"",IFERROR(INDEX(IF($V51="L2",CND_2G,CND_3G),MATCH(IF($L51&lt;&gt;"",$L51,$K51),CND_SIZE,0)),""))</f>
        <v/>
      </c>
      <c r="R51" s="807" t="n"/>
      <c r="S51" s="867">
        <f>IF(OR(N($F51)=0,N($N51)=0),0,IFERROR(N($F51)*IF(N($M51)&gt;0,N($M51),MAX(1,N(IFERROR(INDEX(SPEC_CIRC,MATCH(INDEX(Equipment!$C$7:$C$18,MAX(1,N($W51))),SPEC_SKU,0)),1))))*IF($V51="L2",2,3)*INDEX(IF($B$6="Cu",WIRE_CU,WIRE_AL),MATCH(IF($L51&lt;&gt;"",$L51,$K51),WIRE_SIZE,0)),0)+IFERROR(N($F51)*IF(N($M51)&gt;0,N($M51),MAX(1,N(IFERROR(INDEX(SPEC_CIRC,MATCH(INDEX(Equipment!$C$7:$C$18,MAX(1,N($W51))),SPEC_SKU,0)),1))))*INDEX(IF($B$6="Cu",WIRE_CU,WIRE_AL),MATCH($P51,WIRE_SIZE,0)),0)+IFERROR(N($F51)*IF(N($M51)&gt;0,N($M51),MAX(1,N(IFERROR(INDEX(SPEC_CIRC,MATCH(INDEX(Equipment!$C$7:$C$18,MAX(1,N($W51))),SPEC_SKU,0)),1))))*INDEX(PVC_RATE,MATCH(IF($R51&lt;&gt;"",$R51,$Q51),PVC_SIZE,0)),0)+IF($V51="L2",0,IFERROR(N($F51)*INDEX(PVC_RATE,MATCH("(3/4"")",PVC_SIZE,0)),0)))</f>
        <v/>
      </c>
      <c r="T51" s="863">
        <f>IF($W51="","",IF($U51=0,"shared — on circuit "&amp;$E51&amp;", sized and priced on its first unit",IF(N($F51)=0,"ENTER THE DISTANCE",IF($B$10="","SET THE DESIGN AMBIENT in block A — nothing on this row can be trusted until it is",IF(IF($L51&lt;&gt;"",$L51,$K51)="PARALLEL SETS","PARALLEL SETS NEEDED — no single conductor carries "&amp;TEXT(N($I51),"#,##0")&amp;" A within the drop allowance; enter sets in column M",IF(N($N51)=0,"no ampacity on file for the override size — NEC Table 310.16 does not list it",IF(N($N51)&lt;IF(N($J51)&gt;800,N($J51),N($I51)),"UNDERSIZED — "&amp;TEXT(N($N51),"#,##0")&amp;" A provided against a floor of "&amp;TEXT(IF(N($J51)&gt;800,N($J51),N($I51)),"#,##0")&amp;" A",IF(N($O51)&gt;$B$13,"ampacity OK but voltage drop "&amp;TEXT(N($O51),"0.0%")&amp;" exceeds the allowance — ADVISORY, upsize the override","OK — "&amp;IF(IF(N($M51)&gt;0,N($M51),MAX(1,N(IFERROR(INDEX(SPEC_CIRC,MATCH(INDEX(Equipment!$C$7:$C$18,MAX(1,N($W51))),SPEC_SKU,0)),1))))&gt;1,TEXT(IF(N($M51)&gt;0,N($M51),MAX(1,N(IFERROR(INDEX(SPEC_CIRC,MATCH(INDEX(Equipment!$C$7:$C$18,MAX(1,N($W51))),SPEC_SKU,0)),1)))),"0")&amp;" sets of ","")&amp;IF($L51&lt;&gt;"",$L51,$K51)&amp;IF($L51&lt;&gt;""," (override)","")&amp;", "&amp;TEXT(N($N51),"#,##0")&amp;" A against a "&amp;TEXT(IF(N($J51)&gt;800,N($J51),N($I51)),"#,##0")&amp;" A floor; drop "&amp;TEXT(N($O51),"0.0%")&amp;" (ADVISORY)"))))))))</f>
        <v/>
      </c>
      <c r="U51" s="868">
        <f>IF($W51="",0,IF($E51="",1,IF(MATCH($E51,$E$18:$E$77,0)=34,1,0)))</f>
        <v/>
      </c>
      <c r="V51" s="869">
        <f>IF($W51="","",IF(INDEX(Equipment!$E$7:$E$18,$W51)="level_2","L2",IF(INDEX(Equipment!$E$7:$E$18,$W51)="power_cabinet","CAB","DC")))</f>
        <v/>
      </c>
      <c r="W51" s="868">
        <f>IF(N($B$80)&gt;=34,COUNTIF(Equipment!$S$7:$S$18,"&lt;34")+1,"")</f>
        <v/>
      </c>
      <c r="X51" s="868">
        <f>IF($U51&lt;&gt;1,"",IF(N($M51)&gt;0,N($M51),MAX(1,N(IFERROR(INDEX(SPEC_CIRC,MATCH(INDEX(Equipment!$C$7:$C$18,MAX(1,N($W51))),SPEC_SKU,0)),1)))))</f>
        <v/>
      </c>
    </row>
    <row r="52" ht="16" customHeight="1" s="254">
      <c r="A52" s="862">
        <f>IF($W52="","","Charger 35")</f>
        <v/>
      </c>
      <c r="B52" s="863">
        <f>IF($W52="","","Line "&amp;$W52&amp;" · "&amp;INDEX(Equipment!$C$7:$C$18,$W52)&amp;" · "&amp;INDEX(Equipment!$B$7:$B$18,$W52)&amp;" · #"&amp;(35-INDEX(Equipment!$R$7:$R$18,$W52)+1)&amp;" of "&amp;INDEX(Equipment!$I$7:$I$18,$W52))</f>
        <v/>
      </c>
      <c r="C52" s="863">
        <f>IF($W52="","",IF($V52="L2",TEXT(N(Equipment!$B$30),"0")&amp;" V 1-ph",TEXT(Project!$B$29,"0")&amp;" V 3-ph"))</f>
        <v/>
      </c>
      <c r="D52" s="864">
        <f>IF($W52="","",INDEX(Equipment!$G$7:$G$18,$W52))</f>
        <v/>
      </c>
      <c r="E52" s="807" t="n"/>
      <c r="F52" s="831" t="n"/>
      <c r="G52" s="807" t="n"/>
      <c r="H52" s="865">
        <f>IF($U52&lt;&gt;1,"",IF($E52="",N($D52),SUMIF($E$18:$E$77,$E52,$D$18:$D$77))*1000/(IF($V52="L2",N(Equipment!$B$30),Project!$B$29)*IF($V52="L2",1,SQRT(3))))</f>
        <v/>
      </c>
      <c r="I52" s="865">
        <f>IF(N($H52)=0,"",N($H52)*1.25)</f>
        <v/>
      </c>
      <c r="J52" s="865">
        <f>IF(N($I52)=0,"",IF(ISNUMBER(MATCH($I52,OCPD_LIST,0)),$I52,IF($I52&gt;MAX(OCPD_LIST),"ABOVE LIST",INDEX(OCPD_LIST,MATCH($I52,OCPD_LIST,1)+1))))</f>
        <v/>
      </c>
      <c r="K52" s="863">
        <f>IF(OR(N($I52)=0,$B$10=""),"",IF(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gt;ROWS(SZ_SIZE),"PARALLEL SETS",INDEX(SZ_SIZE,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f>
        <v/>
      </c>
      <c r="L52" s="807" t="n"/>
      <c r="M52" s="831" t="n"/>
      <c r="N52" s="865">
        <f>IF(OR(IF($L52&lt;&gt;"",$L52,$K52)="",IF($L52&lt;&gt;"",$L52,$K52)="PARALLEL SETS"),"",IFERROR(INDEX(SZ_AMP,MATCH(IF($L52&lt;&gt;"",$L52,$K52),SZ_SIZE,0))*IF(N($M52)&gt;0,N($M52),MAX(1,N(IFERROR(INDEX(SPEC_CIRC,MATCH(INDEX(Equipment!$C$7:$C$18,MAX(1,N($W52))),SPEC_SKU,0)),1)))),""))</f>
        <v/>
      </c>
      <c r="O52" s="866">
        <f>IF(OR(N($N52)=0,N($F52)=0),"",IFERROR(IF($V52="L2",2,SQRT(3))*N($H52)/IF(N($M52)&gt;0,N($M52),MAX(1,N(IFERROR(INDEX(SPEC_CIRC,MATCH(INDEX(Equipment!$C$7:$C$18,MAX(1,N($W52))),SPEC_SKU,0)),1))))*N($F52)*INDEX(SZ_Z,MATCH(IF($L52&lt;&gt;"",$L52,$K52),SZ_SIZE,0))/1000/IF($V52="L2",N(Equipment!$B$30),Project!$B$29),""))</f>
        <v/>
      </c>
      <c r="P52" s="863">
        <f>IF(N($J52)=0,"",IFERROR(INDEX(IF($B$6="Cu",EGC_CU,EGC_AL),MATCH($J52,EGC_OCPD,1)+IF(ISNUMBER(MATCH($J52,EGC_OCPD,0)),0,1)),""))</f>
        <v/>
      </c>
      <c r="Q52" s="863">
        <f>IF(N($N52)=0,"",IFERROR(INDEX(IF($V52="L2",CND_2G,CND_3G),MATCH(IF($L52&lt;&gt;"",$L52,$K52),CND_SIZE,0)),""))</f>
        <v/>
      </c>
      <c r="R52" s="807" t="n"/>
      <c r="S52" s="867">
        <f>IF(OR(N($F52)=0,N($N52)=0),0,IFERROR(N($F52)*IF(N($M52)&gt;0,N($M52),MAX(1,N(IFERROR(INDEX(SPEC_CIRC,MATCH(INDEX(Equipment!$C$7:$C$18,MAX(1,N($W52))),SPEC_SKU,0)),1))))*IF($V52="L2",2,3)*INDEX(IF($B$6="Cu",WIRE_CU,WIRE_AL),MATCH(IF($L52&lt;&gt;"",$L52,$K52),WIRE_SIZE,0)),0)+IFERROR(N($F52)*IF(N($M52)&gt;0,N($M52),MAX(1,N(IFERROR(INDEX(SPEC_CIRC,MATCH(INDEX(Equipment!$C$7:$C$18,MAX(1,N($W52))),SPEC_SKU,0)),1))))*INDEX(IF($B$6="Cu",WIRE_CU,WIRE_AL),MATCH($P52,WIRE_SIZE,0)),0)+IFERROR(N($F52)*IF(N($M52)&gt;0,N($M52),MAX(1,N(IFERROR(INDEX(SPEC_CIRC,MATCH(INDEX(Equipment!$C$7:$C$18,MAX(1,N($W52))),SPEC_SKU,0)),1))))*INDEX(PVC_RATE,MATCH(IF($R52&lt;&gt;"",$R52,$Q52),PVC_SIZE,0)),0)+IF($V52="L2",0,IFERROR(N($F52)*INDEX(PVC_RATE,MATCH("(3/4"")",PVC_SIZE,0)),0)))</f>
        <v/>
      </c>
      <c r="T52" s="863">
        <f>IF($W52="","",IF($U52=0,"shared — on circuit "&amp;$E52&amp;", sized and priced on its first unit",IF(N($F52)=0,"ENTER THE DISTANCE",IF($B$10="","SET THE DESIGN AMBIENT in block A — nothing on this row can be trusted until it is",IF(IF($L52&lt;&gt;"",$L52,$K52)="PARALLEL SETS","PARALLEL SETS NEEDED — no single conductor carries "&amp;TEXT(N($I52),"#,##0")&amp;" A within the drop allowance; enter sets in column M",IF(N($N52)=0,"no ampacity on file for the override size — NEC Table 310.16 does not list it",IF(N($N52)&lt;IF(N($J52)&gt;800,N($J52),N($I52)),"UNDERSIZED — "&amp;TEXT(N($N52),"#,##0")&amp;" A provided against a floor of "&amp;TEXT(IF(N($J52)&gt;800,N($J52),N($I52)),"#,##0")&amp;" A",IF(N($O52)&gt;$B$13,"ampacity OK but voltage drop "&amp;TEXT(N($O52),"0.0%")&amp;" exceeds the allowance — ADVISORY, upsize the override","OK — "&amp;IF(IF(N($M52)&gt;0,N($M52),MAX(1,N(IFERROR(INDEX(SPEC_CIRC,MATCH(INDEX(Equipment!$C$7:$C$18,MAX(1,N($W52))),SPEC_SKU,0)),1))))&gt;1,TEXT(IF(N($M52)&gt;0,N($M52),MAX(1,N(IFERROR(INDEX(SPEC_CIRC,MATCH(INDEX(Equipment!$C$7:$C$18,MAX(1,N($W52))),SPEC_SKU,0)),1)))),"0")&amp;" sets of ","")&amp;IF($L52&lt;&gt;"",$L52,$K52)&amp;IF($L52&lt;&gt;""," (override)","")&amp;", "&amp;TEXT(N($N52),"#,##0")&amp;" A against a "&amp;TEXT(IF(N($J52)&gt;800,N($J52),N($I52)),"#,##0")&amp;" A floor; drop "&amp;TEXT(N($O52),"0.0%")&amp;" (ADVISORY)"))))))))</f>
        <v/>
      </c>
      <c r="U52" s="868">
        <f>IF($W52="",0,IF($E52="",1,IF(MATCH($E52,$E$18:$E$77,0)=35,1,0)))</f>
        <v/>
      </c>
      <c r="V52" s="869">
        <f>IF($W52="","",IF(INDEX(Equipment!$E$7:$E$18,$W52)="level_2","L2",IF(INDEX(Equipment!$E$7:$E$18,$W52)="power_cabinet","CAB","DC")))</f>
        <v/>
      </c>
      <c r="W52" s="868">
        <f>IF(N($B$80)&gt;=35,COUNTIF(Equipment!$S$7:$S$18,"&lt;35")+1,"")</f>
        <v/>
      </c>
      <c r="X52" s="868">
        <f>IF($U52&lt;&gt;1,"",IF(N($M52)&gt;0,N($M52),MAX(1,N(IFERROR(INDEX(SPEC_CIRC,MATCH(INDEX(Equipment!$C$7:$C$18,MAX(1,N($W52))),SPEC_SKU,0)),1)))))</f>
        <v/>
      </c>
    </row>
    <row r="53" ht="16" customHeight="1" s="254">
      <c r="A53" s="862">
        <f>IF($W53="","","Charger 36")</f>
        <v/>
      </c>
      <c r="B53" s="863">
        <f>IF($W53="","","Line "&amp;$W53&amp;" · "&amp;INDEX(Equipment!$C$7:$C$18,$W53)&amp;" · "&amp;INDEX(Equipment!$B$7:$B$18,$W53)&amp;" · #"&amp;(36-INDEX(Equipment!$R$7:$R$18,$W53)+1)&amp;" of "&amp;INDEX(Equipment!$I$7:$I$18,$W53))</f>
        <v/>
      </c>
      <c r="C53" s="863">
        <f>IF($W53="","",IF($V53="L2",TEXT(N(Equipment!$B$30),"0")&amp;" V 1-ph",TEXT(Project!$B$29,"0")&amp;" V 3-ph"))</f>
        <v/>
      </c>
      <c r="D53" s="864">
        <f>IF($W53="","",INDEX(Equipment!$G$7:$G$18,$W53))</f>
        <v/>
      </c>
      <c r="E53" s="807" t="n"/>
      <c r="F53" s="831" t="n"/>
      <c r="G53" s="807" t="n"/>
      <c r="H53" s="865">
        <f>IF($U53&lt;&gt;1,"",IF($E53="",N($D53),SUMIF($E$18:$E$77,$E53,$D$18:$D$77))*1000/(IF($V53="L2",N(Equipment!$B$30),Project!$B$29)*IF($V53="L2",1,SQRT(3))))</f>
        <v/>
      </c>
      <c r="I53" s="865">
        <f>IF(N($H53)=0,"",N($H53)*1.25)</f>
        <v/>
      </c>
      <c r="J53" s="865">
        <f>IF(N($I53)=0,"",IF(ISNUMBER(MATCH($I53,OCPD_LIST,0)),$I53,IF($I53&gt;MAX(OCPD_LIST),"ABOVE LIST",INDEX(OCPD_LIST,MATCH($I53,OCPD_LIST,1)+1))))</f>
        <v/>
      </c>
      <c r="K53" s="863">
        <f>IF(OR(N($I53)=0,$B$10=""),"",IF(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gt;ROWS(SZ_SIZE),"PARALLEL SETS",INDEX(SZ_SIZE,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f>
        <v/>
      </c>
      <c r="L53" s="807" t="n"/>
      <c r="M53" s="831" t="n"/>
      <c r="N53" s="865">
        <f>IF(OR(IF($L53&lt;&gt;"",$L53,$K53)="",IF($L53&lt;&gt;"",$L53,$K53)="PARALLEL SETS"),"",IFERROR(INDEX(SZ_AMP,MATCH(IF($L53&lt;&gt;"",$L53,$K53),SZ_SIZE,0))*IF(N($M53)&gt;0,N($M53),MAX(1,N(IFERROR(INDEX(SPEC_CIRC,MATCH(INDEX(Equipment!$C$7:$C$18,MAX(1,N($W53))),SPEC_SKU,0)),1)))),""))</f>
        <v/>
      </c>
      <c r="O53" s="866">
        <f>IF(OR(N($N53)=0,N($F53)=0),"",IFERROR(IF($V53="L2",2,SQRT(3))*N($H53)/IF(N($M53)&gt;0,N($M53),MAX(1,N(IFERROR(INDEX(SPEC_CIRC,MATCH(INDEX(Equipment!$C$7:$C$18,MAX(1,N($W53))),SPEC_SKU,0)),1))))*N($F53)*INDEX(SZ_Z,MATCH(IF($L53&lt;&gt;"",$L53,$K53),SZ_SIZE,0))/1000/IF($V53="L2",N(Equipment!$B$30),Project!$B$29),""))</f>
        <v/>
      </c>
      <c r="P53" s="863">
        <f>IF(N($J53)=0,"",IFERROR(INDEX(IF($B$6="Cu",EGC_CU,EGC_AL),MATCH($J53,EGC_OCPD,1)+IF(ISNUMBER(MATCH($J53,EGC_OCPD,0)),0,1)),""))</f>
        <v/>
      </c>
      <c r="Q53" s="863">
        <f>IF(N($N53)=0,"",IFERROR(INDEX(IF($V53="L2",CND_2G,CND_3G),MATCH(IF($L53&lt;&gt;"",$L53,$K53),CND_SIZE,0)),""))</f>
        <v/>
      </c>
      <c r="R53" s="807" t="n"/>
      <c r="S53" s="867">
        <f>IF(OR(N($F53)=0,N($N53)=0),0,IFERROR(N($F53)*IF(N($M53)&gt;0,N($M53),MAX(1,N(IFERROR(INDEX(SPEC_CIRC,MATCH(INDEX(Equipment!$C$7:$C$18,MAX(1,N($W53))),SPEC_SKU,0)),1))))*IF($V53="L2",2,3)*INDEX(IF($B$6="Cu",WIRE_CU,WIRE_AL),MATCH(IF($L53&lt;&gt;"",$L53,$K53),WIRE_SIZE,0)),0)+IFERROR(N($F53)*IF(N($M53)&gt;0,N($M53),MAX(1,N(IFERROR(INDEX(SPEC_CIRC,MATCH(INDEX(Equipment!$C$7:$C$18,MAX(1,N($W53))),SPEC_SKU,0)),1))))*INDEX(IF($B$6="Cu",WIRE_CU,WIRE_AL),MATCH($P53,WIRE_SIZE,0)),0)+IFERROR(N($F53)*IF(N($M53)&gt;0,N($M53),MAX(1,N(IFERROR(INDEX(SPEC_CIRC,MATCH(INDEX(Equipment!$C$7:$C$18,MAX(1,N($W53))),SPEC_SKU,0)),1))))*INDEX(PVC_RATE,MATCH(IF($R53&lt;&gt;"",$R53,$Q53),PVC_SIZE,0)),0)+IF($V53="L2",0,IFERROR(N($F53)*INDEX(PVC_RATE,MATCH("(3/4"")",PVC_SIZE,0)),0)))</f>
        <v/>
      </c>
      <c r="T53" s="863">
        <f>IF($W53="","",IF($U53=0,"shared — on circuit "&amp;$E53&amp;", sized and priced on its first unit",IF(N($F53)=0,"ENTER THE DISTANCE",IF($B$10="","SET THE DESIGN AMBIENT in block A — nothing on this row can be trusted until it is",IF(IF($L53&lt;&gt;"",$L53,$K53)="PARALLEL SETS","PARALLEL SETS NEEDED — no single conductor carries "&amp;TEXT(N($I53),"#,##0")&amp;" A within the drop allowance; enter sets in column M",IF(N($N53)=0,"no ampacity on file for the override size — NEC Table 310.16 does not list it",IF(N($N53)&lt;IF(N($J53)&gt;800,N($J53),N($I53)),"UNDERSIZED — "&amp;TEXT(N($N53),"#,##0")&amp;" A provided against a floor of "&amp;TEXT(IF(N($J53)&gt;800,N($J53),N($I53)),"#,##0")&amp;" A",IF(N($O53)&gt;$B$13,"ampacity OK but voltage drop "&amp;TEXT(N($O53),"0.0%")&amp;" exceeds the allowance — ADVISORY, upsize the override","OK — "&amp;IF(IF(N($M53)&gt;0,N($M53),MAX(1,N(IFERROR(INDEX(SPEC_CIRC,MATCH(INDEX(Equipment!$C$7:$C$18,MAX(1,N($W53))),SPEC_SKU,0)),1))))&gt;1,TEXT(IF(N($M53)&gt;0,N($M53),MAX(1,N(IFERROR(INDEX(SPEC_CIRC,MATCH(INDEX(Equipment!$C$7:$C$18,MAX(1,N($W53))),SPEC_SKU,0)),1)))),"0")&amp;" sets of ","")&amp;IF($L53&lt;&gt;"",$L53,$K53)&amp;IF($L53&lt;&gt;""," (override)","")&amp;", "&amp;TEXT(N($N53),"#,##0")&amp;" A against a "&amp;TEXT(IF(N($J53)&gt;800,N($J53),N($I53)),"#,##0")&amp;" A floor; drop "&amp;TEXT(N($O53),"0.0%")&amp;" (ADVISORY)"))))))))</f>
        <v/>
      </c>
      <c r="U53" s="868">
        <f>IF($W53="",0,IF($E53="",1,IF(MATCH($E53,$E$18:$E$77,0)=36,1,0)))</f>
        <v/>
      </c>
      <c r="V53" s="869">
        <f>IF($W53="","",IF(INDEX(Equipment!$E$7:$E$18,$W53)="level_2","L2",IF(INDEX(Equipment!$E$7:$E$18,$W53)="power_cabinet","CAB","DC")))</f>
        <v/>
      </c>
      <c r="W53" s="868">
        <f>IF(N($B$80)&gt;=36,COUNTIF(Equipment!$S$7:$S$18,"&lt;36")+1,"")</f>
        <v/>
      </c>
      <c r="X53" s="868">
        <f>IF($U53&lt;&gt;1,"",IF(N($M53)&gt;0,N($M53),MAX(1,N(IFERROR(INDEX(SPEC_CIRC,MATCH(INDEX(Equipment!$C$7:$C$18,MAX(1,N($W53))),SPEC_SKU,0)),1)))))</f>
        <v/>
      </c>
    </row>
    <row r="54" ht="16" customHeight="1" s="254">
      <c r="A54" s="862">
        <f>IF($W54="","","Charger 37")</f>
        <v/>
      </c>
      <c r="B54" s="863">
        <f>IF($W54="","","Line "&amp;$W54&amp;" · "&amp;INDEX(Equipment!$C$7:$C$18,$W54)&amp;" · "&amp;INDEX(Equipment!$B$7:$B$18,$W54)&amp;" · #"&amp;(37-INDEX(Equipment!$R$7:$R$18,$W54)+1)&amp;" of "&amp;INDEX(Equipment!$I$7:$I$18,$W54))</f>
        <v/>
      </c>
      <c r="C54" s="863">
        <f>IF($W54="","",IF($V54="L2",TEXT(N(Equipment!$B$30),"0")&amp;" V 1-ph",TEXT(Project!$B$29,"0")&amp;" V 3-ph"))</f>
        <v/>
      </c>
      <c r="D54" s="864">
        <f>IF($W54="","",INDEX(Equipment!$G$7:$G$18,$W54))</f>
        <v/>
      </c>
      <c r="E54" s="807" t="n"/>
      <c r="F54" s="831" t="n"/>
      <c r="G54" s="807" t="n"/>
      <c r="H54" s="865">
        <f>IF($U54&lt;&gt;1,"",IF($E54="",N($D54),SUMIF($E$18:$E$77,$E54,$D$18:$D$77))*1000/(IF($V54="L2",N(Equipment!$B$30),Project!$B$29)*IF($V54="L2",1,SQRT(3))))</f>
        <v/>
      </c>
      <c r="I54" s="865">
        <f>IF(N($H54)=0,"",N($H54)*1.25)</f>
        <v/>
      </c>
      <c r="J54" s="865">
        <f>IF(N($I54)=0,"",IF(ISNUMBER(MATCH($I54,OCPD_LIST,0)),$I54,IF($I54&gt;MAX(OCPD_LIST),"ABOVE LIST",INDEX(OCPD_LIST,MATCH($I54,OCPD_LIST,1)+1))))</f>
        <v/>
      </c>
      <c r="K54" s="863">
        <f>IF(OR(N($I54)=0,$B$10=""),"",IF(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gt;ROWS(SZ_SIZE),"PARALLEL SETS",INDEX(SZ_SIZE,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f>
        <v/>
      </c>
      <c r="L54" s="807" t="n"/>
      <c r="M54" s="831" t="n"/>
      <c r="N54" s="865">
        <f>IF(OR(IF($L54&lt;&gt;"",$L54,$K54)="",IF($L54&lt;&gt;"",$L54,$K54)="PARALLEL SETS"),"",IFERROR(INDEX(SZ_AMP,MATCH(IF($L54&lt;&gt;"",$L54,$K54),SZ_SIZE,0))*IF(N($M54)&gt;0,N($M54),MAX(1,N(IFERROR(INDEX(SPEC_CIRC,MATCH(INDEX(Equipment!$C$7:$C$18,MAX(1,N($W54))),SPEC_SKU,0)),1)))),""))</f>
        <v/>
      </c>
      <c r="O54" s="866">
        <f>IF(OR(N($N54)=0,N($F54)=0),"",IFERROR(IF($V54="L2",2,SQRT(3))*N($H54)/IF(N($M54)&gt;0,N($M54),MAX(1,N(IFERROR(INDEX(SPEC_CIRC,MATCH(INDEX(Equipment!$C$7:$C$18,MAX(1,N($W54))),SPEC_SKU,0)),1))))*N($F54)*INDEX(SZ_Z,MATCH(IF($L54&lt;&gt;"",$L54,$K54),SZ_SIZE,0))/1000/IF($V54="L2",N(Equipment!$B$30),Project!$B$29),""))</f>
        <v/>
      </c>
      <c r="P54" s="863">
        <f>IF(N($J54)=0,"",IFERROR(INDEX(IF($B$6="Cu",EGC_CU,EGC_AL),MATCH($J54,EGC_OCPD,1)+IF(ISNUMBER(MATCH($J54,EGC_OCPD,0)),0,1)),""))</f>
        <v/>
      </c>
      <c r="Q54" s="863">
        <f>IF(N($N54)=0,"",IFERROR(INDEX(IF($V54="L2",CND_2G,CND_3G),MATCH(IF($L54&lt;&gt;"",$L54,$K54),CND_SIZE,0)),""))</f>
        <v/>
      </c>
      <c r="R54" s="807" t="n"/>
      <c r="S54" s="867">
        <f>IF(OR(N($F54)=0,N($N54)=0),0,IFERROR(N($F54)*IF(N($M54)&gt;0,N($M54),MAX(1,N(IFERROR(INDEX(SPEC_CIRC,MATCH(INDEX(Equipment!$C$7:$C$18,MAX(1,N($W54))),SPEC_SKU,0)),1))))*IF($V54="L2",2,3)*INDEX(IF($B$6="Cu",WIRE_CU,WIRE_AL),MATCH(IF($L54&lt;&gt;"",$L54,$K54),WIRE_SIZE,0)),0)+IFERROR(N($F54)*IF(N($M54)&gt;0,N($M54),MAX(1,N(IFERROR(INDEX(SPEC_CIRC,MATCH(INDEX(Equipment!$C$7:$C$18,MAX(1,N($W54))),SPEC_SKU,0)),1))))*INDEX(IF($B$6="Cu",WIRE_CU,WIRE_AL),MATCH($P54,WIRE_SIZE,0)),0)+IFERROR(N($F54)*IF(N($M54)&gt;0,N($M54),MAX(1,N(IFERROR(INDEX(SPEC_CIRC,MATCH(INDEX(Equipment!$C$7:$C$18,MAX(1,N($W54))),SPEC_SKU,0)),1))))*INDEX(PVC_RATE,MATCH(IF($R54&lt;&gt;"",$R54,$Q54),PVC_SIZE,0)),0)+IF($V54="L2",0,IFERROR(N($F54)*INDEX(PVC_RATE,MATCH("(3/4"")",PVC_SIZE,0)),0)))</f>
        <v/>
      </c>
      <c r="T54" s="863">
        <f>IF($W54="","",IF($U54=0,"shared — on circuit "&amp;$E54&amp;", sized and priced on its first unit",IF(N($F54)=0,"ENTER THE DISTANCE",IF($B$10="","SET THE DESIGN AMBIENT in block A — nothing on this row can be trusted until it is",IF(IF($L54&lt;&gt;"",$L54,$K54)="PARALLEL SETS","PARALLEL SETS NEEDED — no single conductor carries "&amp;TEXT(N($I54),"#,##0")&amp;" A within the drop allowance; enter sets in column M",IF(N($N54)=0,"no ampacity on file for the override size — NEC Table 310.16 does not list it",IF(N($N54)&lt;IF(N($J54)&gt;800,N($J54),N($I54)),"UNDERSIZED — "&amp;TEXT(N($N54),"#,##0")&amp;" A provided against a floor of "&amp;TEXT(IF(N($J54)&gt;800,N($J54),N($I54)),"#,##0")&amp;" A",IF(N($O54)&gt;$B$13,"ampacity OK but voltage drop "&amp;TEXT(N($O54),"0.0%")&amp;" exceeds the allowance — ADVISORY, upsize the override","OK — "&amp;IF(IF(N($M54)&gt;0,N($M54),MAX(1,N(IFERROR(INDEX(SPEC_CIRC,MATCH(INDEX(Equipment!$C$7:$C$18,MAX(1,N($W54))),SPEC_SKU,0)),1))))&gt;1,TEXT(IF(N($M54)&gt;0,N($M54),MAX(1,N(IFERROR(INDEX(SPEC_CIRC,MATCH(INDEX(Equipment!$C$7:$C$18,MAX(1,N($W54))),SPEC_SKU,0)),1)))),"0")&amp;" sets of ","")&amp;IF($L54&lt;&gt;"",$L54,$K54)&amp;IF($L54&lt;&gt;""," (override)","")&amp;", "&amp;TEXT(N($N54),"#,##0")&amp;" A against a "&amp;TEXT(IF(N($J54)&gt;800,N($J54),N($I54)),"#,##0")&amp;" A floor; drop "&amp;TEXT(N($O54),"0.0%")&amp;" (ADVISORY)"))))))))</f>
        <v/>
      </c>
      <c r="U54" s="868">
        <f>IF($W54="",0,IF($E54="",1,IF(MATCH($E54,$E$18:$E$77,0)=37,1,0)))</f>
        <v/>
      </c>
      <c r="V54" s="869">
        <f>IF($W54="","",IF(INDEX(Equipment!$E$7:$E$18,$W54)="level_2","L2",IF(INDEX(Equipment!$E$7:$E$18,$W54)="power_cabinet","CAB","DC")))</f>
        <v/>
      </c>
      <c r="W54" s="868">
        <f>IF(N($B$80)&gt;=37,COUNTIF(Equipment!$S$7:$S$18,"&lt;37")+1,"")</f>
        <v/>
      </c>
      <c r="X54" s="868">
        <f>IF($U54&lt;&gt;1,"",IF(N($M54)&gt;0,N($M54),MAX(1,N(IFERROR(INDEX(SPEC_CIRC,MATCH(INDEX(Equipment!$C$7:$C$18,MAX(1,N($W54))),SPEC_SKU,0)),1)))))</f>
        <v/>
      </c>
    </row>
    <row r="55" ht="16" customHeight="1" s="254">
      <c r="A55" s="862">
        <f>IF($W55="","","Charger 38")</f>
        <v/>
      </c>
      <c r="B55" s="863">
        <f>IF($W55="","","Line "&amp;$W55&amp;" · "&amp;INDEX(Equipment!$C$7:$C$18,$W55)&amp;" · "&amp;INDEX(Equipment!$B$7:$B$18,$W55)&amp;" · #"&amp;(38-INDEX(Equipment!$R$7:$R$18,$W55)+1)&amp;" of "&amp;INDEX(Equipment!$I$7:$I$18,$W55))</f>
        <v/>
      </c>
      <c r="C55" s="863">
        <f>IF($W55="","",IF($V55="L2",TEXT(N(Equipment!$B$30),"0")&amp;" V 1-ph",TEXT(Project!$B$29,"0")&amp;" V 3-ph"))</f>
        <v/>
      </c>
      <c r="D55" s="864">
        <f>IF($W55="","",INDEX(Equipment!$G$7:$G$18,$W55))</f>
        <v/>
      </c>
      <c r="E55" s="807" t="n"/>
      <c r="F55" s="831" t="n"/>
      <c r="G55" s="807" t="n"/>
      <c r="H55" s="865">
        <f>IF($U55&lt;&gt;1,"",IF($E55="",N($D55),SUMIF($E$18:$E$77,$E55,$D$18:$D$77))*1000/(IF($V55="L2",N(Equipment!$B$30),Project!$B$29)*IF($V55="L2",1,SQRT(3))))</f>
        <v/>
      </c>
      <c r="I55" s="865">
        <f>IF(N($H55)=0,"",N($H55)*1.25)</f>
        <v/>
      </c>
      <c r="J55" s="865">
        <f>IF(N($I55)=0,"",IF(ISNUMBER(MATCH($I55,OCPD_LIST,0)),$I55,IF($I55&gt;MAX(OCPD_LIST),"ABOVE LIST",INDEX(OCPD_LIST,MATCH($I55,OCPD_LIST,1)+1))))</f>
        <v/>
      </c>
      <c r="K55" s="863">
        <f>IF(OR(N($I55)=0,$B$10=""),"",IF(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gt;ROWS(SZ_SIZE),"PARALLEL SETS",INDEX(SZ_SIZE,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f>
        <v/>
      </c>
      <c r="L55" s="807" t="n"/>
      <c r="M55" s="831" t="n"/>
      <c r="N55" s="865">
        <f>IF(OR(IF($L55&lt;&gt;"",$L55,$K55)="",IF($L55&lt;&gt;"",$L55,$K55)="PARALLEL SETS"),"",IFERROR(INDEX(SZ_AMP,MATCH(IF($L55&lt;&gt;"",$L55,$K55),SZ_SIZE,0))*IF(N($M55)&gt;0,N($M55),MAX(1,N(IFERROR(INDEX(SPEC_CIRC,MATCH(INDEX(Equipment!$C$7:$C$18,MAX(1,N($W55))),SPEC_SKU,0)),1)))),""))</f>
        <v/>
      </c>
      <c r="O55" s="866">
        <f>IF(OR(N($N55)=0,N($F55)=0),"",IFERROR(IF($V55="L2",2,SQRT(3))*N($H55)/IF(N($M55)&gt;0,N($M55),MAX(1,N(IFERROR(INDEX(SPEC_CIRC,MATCH(INDEX(Equipment!$C$7:$C$18,MAX(1,N($W55))),SPEC_SKU,0)),1))))*N($F55)*INDEX(SZ_Z,MATCH(IF($L55&lt;&gt;"",$L55,$K55),SZ_SIZE,0))/1000/IF($V55="L2",N(Equipment!$B$30),Project!$B$29),""))</f>
        <v/>
      </c>
      <c r="P55" s="863">
        <f>IF(N($J55)=0,"",IFERROR(INDEX(IF($B$6="Cu",EGC_CU,EGC_AL),MATCH($J55,EGC_OCPD,1)+IF(ISNUMBER(MATCH($J55,EGC_OCPD,0)),0,1)),""))</f>
        <v/>
      </c>
      <c r="Q55" s="863">
        <f>IF(N($N55)=0,"",IFERROR(INDEX(IF($V55="L2",CND_2G,CND_3G),MATCH(IF($L55&lt;&gt;"",$L55,$K55),CND_SIZE,0)),""))</f>
        <v/>
      </c>
      <c r="R55" s="807" t="n"/>
      <c r="S55" s="867">
        <f>IF(OR(N($F55)=0,N($N55)=0),0,IFERROR(N($F55)*IF(N($M55)&gt;0,N($M55),MAX(1,N(IFERROR(INDEX(SPEC_CIRC,MATCH(INDEX(Equipment!$C$7:$C$18,MAX(1,N($W55))),SPEC_SKU,0)),1))))*IF($V55="L2",2,3)*INDEX(IF($B$6="Cu",WIRE_CU,WIRE_AL),MATCH(IF($L55&lt;&gt;"",$L55,$K55),WIRE_SIZE,0)),0)+IFERROR(N($F55)*IF(N($M55)&gt;0,N($M55),MAX(1,N(IFERROR(INDEX(SPEC_CIRC,MATCH(INDEX(Equipment!$C$7:$C$18,MAX(1,N($W55))),SPEC_SKU,0)),1))))*INDEX(IF($B$6="Cu",WIRE_CU,WIRE_AL),MATCH($P55,WIRE_SIZE,0)),0)+IFERROR(N($F55)*IF(N($M55)&gt;0,N($M55),MAX(1,N(IFERROR(INDEX(SPEC_CIRC,MATCH(INDEX(Equipment!$C$7:$C$18,MAX(1,N($W55))),SPEC_SKU,0)),1))))*INDEX(PVC_RATE,MATCH(IF($R55&lt;&gt;"",$R55,$Q55),PVC_SIZE,0)),0)+IF($V55="L2",0,IFERROR(N($F55)*INDEX(PVC_RATE,MATCH("(3/4"")",PVC_SIZE,0)),0)))</f>
        <v/>
      </c>
      <c r="T55" s="863">
        <f>IF($W55="","",IF($U55=0,"shared — on circuit "&amp;$E55&amp;", sized and priced on its first unit",IF(N($F55)=0,"ENTER THE DISTANCE",IF($B$10="","SET THE DESIGN AMBIENT in block A — nothing on this row can be trusted until it is",IF(IF($L55&lt;&gt;"",$L55,$K55)="PARALLEL SETS","PARALLEL SETS NEEDED — no single conductor carries "&amp;TEXT(N($I55),"#,##0")&amp;" A within the drop allowance; enter sets in column M",IF(N($N55)=0,"no ampacity on file for the override size — NEC Table 310.16 does not list it",IF(N($N55)&lt;IF(N($J55)&gt;800,N($J55),N($I55)),"UNDERSIZED — "&amp;TEXT(N($N55),"#,##0")&amp;" A provided against a floor of "&amp;TEXT(IF(N($J55)&gt;800,N($J55),N($I55)),"#,##0")&amp;" A",IF(N($O55)&gt;$B$13,"ampacity OK but voltage drop "&amp;TEXT(N($O55),"0.0%")&amp;" exceeds the allowance — ADVISORY, upsize the override","OK — "&amp;IF(IF(N($M55)&gt;0,N($M55),MAX(1,N(IFERROR(INDEX(SPEC_CIRC,MATCH(INDEX(Equipment!$C$7:$C$18,MAX(1,N($W55))),SPEC_SKU,0)),1))))&gt;1,TEXT(IF(N($M55)&gt;0,N($M55),MAX(1,N(IFERROR(INDEX(SPEC_CIRC,MATCH(INDEX(Equipment!$C$7:$C$18,MAX(1,N($W55))),SPEC_SKU,0)),1)))),"0")&amp;" sets of ","")&amp;IF($L55&lt;&gt;"",$L55,$K55)&amp;IF($L55&lt;&gt;""," (override)","")&amp;", "&amp;TEXT(N($N55),"#,##0")&amp;" A against a "&amp;TEXT(IF(N($J55)&gt;800,N($J55),N($I55)),"#,##0")&amp;" A floor; drop "&amp;TEXT(N($O55),"0.0%")&amp;" (ADVISORY)"))))))))</f>
        <v/>
      </c>
      <c r="U55" s="868">
        <f>IF($W55="",0,IF($E55="",1,IF(MATCH($E55,$E$18:$E$77,0)=38,1,0)))</f>
        <v/>
      </c>
      <c r="V55" s="869">
        <f>IF($W55="","",IF(INDEX(Equipment!$E$7:$E$18,$W55)="level_2","L2",IF(INDEX(Equipment!$E$7:$E$18,$W55)="power_cabinet","CAB","DC")))</f>
        <v/>
      </c>
      <c r="W55" s="868">
        <f>IF(N($B$80)&gt;=38,COUNTIF(Equipment!$S$7:$S$18,"&lt;38")+1,"")</f>
        <v/>
      </c>
      <c r="X55" s="868">
        <f>IF($U55&lt;&gt;1,"",IF(N($M55)&gt;0,N($M55),MAX(1,N(IFERROR(INDEX(SPEC_CIRC,MATCH(INDEX(Equipment!$C$7:$C$18,MAX(1,N($W55))),SPEC_SKU,0)),1)))))</f>
        <v/>
      </c>
    </row>
    <row r="56" ht="16" customHeight="1" s="254">
      <c r="A56" s="862">
        <f>IF($W56="","","Charger 39")</f>
        <v/>
      </c>
      <c r="B56" s="863">
        <f>IF($W56="","","Line "&amp;$W56&amp;" · "&amp;INDEX(Equipment!$C$7:$C$18,$W56)&amp;" · "&amp;INDEX(Equipment!$B$7:$B$18,$W56)&amp;" · #"&amp;(39-INDEX(Equipment!$R$7:$R$18,$W56)+1)&amp;" of "&amp;INDEX(Equipment!$I$7:$I$18,$W56))</f>
        <v/>
      </c>
      <c r="C56" s="863">
        <f>IF($W56="","",IF($V56="L2",TEXT(N(Equipment!$B$30),"0")&amp;" V 1-ph",TEXT(Project!$B$29,"0")&amp;" V 3-ph"))</f>
        <v/>
      </c>
      <c r="D56" s="864">
        <f>IF($W56="","",INDEX(Equipment!$G$7:$G$18,$W56))</f>
        <v/>
      </c>
      <c r="E56" s="807" t="n"/>
      <c r="F56" s="831" t="n"/>
      <c r="G56" s="807" t="n"/>
      <c r="H56" s="865">
        <f>IF($U56&lt;&gt;1,"",IF($E56="",N($D56),SUMIF($E$18:$E$77,$E56,$D$18:$D$77))*1000/(IF($V56="L2",N(Equipment!$B$30),Project!$B$29)*IF($V56="L2",1,SQRT(3))))</f>
        <v/>
      </c>
      <c r="I56" s="865">
        <f>IF(N($H56)=0,"",N($H56)*1.25)</f>
        <v/>
      </c>
      <c r="J56" s="865">
        <f>IF(N($I56)=0,"",IF(ISNUMBER(MATCH($I56,OCPD_LIST,0)),$I56,IF($I56&gt;MAX(OCPD_LIST),"ABOVE LIST",INDEX(OCPD_LIST,MATCH($I56,OCPD_LIST,1)+1))))</f>
        <v/>
      </c>
      <c r="K56" s="863">
        <f>IF(OR(N($I56)=0,$B$10=""),"",IF(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gt;ROWS(SZ_SIZE),"PARALLEL SETS",INDEX(SZ_SIZE,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f>
        <v/>
      </c>
      <c r="L56" s="807" t="n"/>
      <c r="M56" s="831" t="n"/>
      <c r="N56" s="865">
        <f>IF(OR(IF($L56&lt;&gt;"",$L56,$K56)="",IF($L56&lt;&gt;"",$L56,$K56)="PARALLEL SETS"),"",IFERROR(INDEX(SZ_AMP,MATCH(IF($L56&lt;&gt;"",$L56,$K56),SZ_SIZE,0))*IF(N($M56)&gt;0,N($M56),MAX(1,N(IFERROR(INDEX(SPEC_CIRC,MATCH(INDEX(Equipment!$C$7:$C$18,MAX(1,N($W56))),SPEC_SKU,0)),1)))),""))</f>
        <v/>
      </c>
      <c r="O56" s="866">
        <f>IF(OR(N($N56)=0,N($F56)=0),"",IFERROR(IF($V56="L2",2,SQRT(3))*N($H56)/IF(N($M56)&gt;0,N($M56),MAX(1,N(IFERROR(INDEX(SPEC_CIRC,MATCH(INDEX(Equipment!$C$7:$C$18,MAX(1,N($W56))),SPEC_SKU,0)),1))))*N($F56)*INDEX(SZ_Z,MATCH(IF($L56&lt;&gt;"",$L56,$K56),SZ_SIZE,0))/1000/IF($V56="L2",N(Equipment!$B$30),Project!$B$29),""))</f>
        <v/>
      </c>
      <c r="P56" s="863">
        <f>IF(N($J56)=0,"",IFERROR(INDEX(IF($B$6="Cu",EGC_CU,EGC_AL),MATCH($J56,EGC_OCPD,1)+IF(ISNUMBER(MATCH($J56,EGC_OCPD,0)),0,1)),""))</f>
        <v/>
      </c>
      <c r="Q56" s="863">
        <f>IF(N($N56)=0,"",IFERROR(INDEX(IF($V56="L2",CND_2G,CND_3G),MATCH(IF($L56&lt;&gt;"",$L56,$K56),CND_SIZE,0)),""))</f>
        <v/>
      </c>
      <c r="R56" s="807" t="n"/>
      <c r="S56" s="867">
        <f>IF(OR(N($F56)=0,N($N56)=0),0,IFERROR(N($F56)*IF(N($M56)&gt;0,N($M56),MAX(1,N(IFERROR(INDEX(SPEC_CIRC,MATCH(INDEX(Equipment!$C$7:$C$18,MAX(1,N($W56))),SPEC_SKU,0)),1))))*IF($V56="L2",2,3)*INDEX(IF($B$6="Cu",WIRE_CU,WIRE_AL),MATCH(IF($L56&lt;&gt;"",$L56,$K56),WIRE_SIZE,0)),0)+IFERROR(N($F56)*IF(N($M56)&gt;0,N($M56),MAX(1,N(IFERROR(INDEX(SPEC_CIRC,MATCH(INDEX(Equipment!$C$7:$C$18,MAX(1,N($W56))),SPEC_SKU,0)),1))))*INDEX(IF($B$6="Cu",WIRE_CU,WIRE_AL),MATCH($P56,WIRE_SIZE,0)),0)+IFERROR(N($F56)*IF(N($M56)&gt;0,N($M56),MAX(1,N(IFERROR(INDEX(SPEC_CIRC,MATCH(INDEX(Equipment!$C$7:$C$18,MAX(1,N($W56))),SPEC_SKU,0)),1))))*INDEX(PVC_RATE,MATCH(IF($R56&lt;&gt;"",$R56,$Q56),PVC_SIZE,0)),0)+IF($V56="L2",0,IFERROR(N($F56)*INDEX(PVC_RATE,MATCH("(3/4"")",PVC_SIZE,0)),0)))</f>
        <v/>
      </c>
      <c r="T56" s="863">
        <f>IF($W56="","",IF($U56=0,"shared — on circuit "&amp;$E56&amp;", sized and priced on its first unit",IF(N($F56)=0,"ENTER THE DISTANCE",IF($B$10="","SET THE DESIGN AMBIENT in block A — nothing on this row can be trusted until it is",IF(IF($L56&lt;&gt;"",$L56,$K56)="PARALLEL SETS","PARALLEL SETS NEEDED — no single conductor carries "&amp;TEXT(N($I56),"#,##0")&amp;" A within the drop allowance; enter sets in column M",IF(N($N56)=0,"no ampacity on file for the override size — NEC Table 310.16 does not list it",IF(N($N56)&lt;IF(N($J56)&gt;800,N($J56),N($I56)),"UNDERSIZED — "&amp;TEXT(N($N56),"#,##0")&amp;" A provided against a floor of "&amp;TEXT(IF(N($J56)&gt;800,N($J56),N($I56)),"#,##0")&amp;" A",IF(N($O56)&gt;$B$13,"ampacity OK but voltage drop "&amp;TEXT(N($O56),"0.0%")&amp;" exceeds the allowance — ADVISORY, upsize the override","OK — "&amp;IF(IF(N($M56)&gt;0,N($M56),MAX(1,N(IFERROR(INDEX(SPEC_CIRC,MATCH(INDEX(Equipment!$C$7:$C$18,MAX(1,N($W56))),SPEC_SKU,0)),1))))&gt;1,TEXT(IF(N($M56)&gt;0,N($M56),MAX(1,N(IFERROR(INDEX(SPEC_CIRC,MATCH(INDEX(Equipment!$C$7:$C$18,MAX(1,N($W56))),SPEC_SKU,0)),1)))),"0")&amp;" sets of ","")&amp;IF($L56&lt;&gt;"",$L56,$K56)&amp;IF($L56&lt;&gt;""," (override)","")&amp;", "&amp;TEXT(N($N56),"#,##0")&amp;" A against a "&amp;TEXT(IF(N($J56)&gt;800,N($J56),N($I56)),"#,##0")&amp;" A floor; drop "&amp;TEXT(N($O56),"0.0%")&amp;" (ADVISORY)"))))))))</f>
        <v/>
      </c>
      <c r="U56" s="868">
        <f>IF($W56="",0,IF($E56="",1,IF(MATCH($E56,$E$18:$E$77,0)=39,1,0)))</f>
        <v/>
      </c>
      <c r="V56" s="869">
        <f>IF($W56="","",IF(INDEX(Equipment!$E$7:$E$18,$W56)="level_2","L2",IF(INDEX(Equipment!$E$7:$E$18,$W56)="power_cabinet","CAB","DC")))</f>
        <v/>
      </c>
      <c r="W56" s="868">
        <f>IF(N($B$80)&gt;=39,COUNTIF(Equipment!$S$7:$S$18,"&lt;39")+1,"")</f>
        <v/>
      </c>
      <c r="X56" s="868">
        <f>IF($U56&lt;&gt;1,"",IF(N($M56)&gt;0,N($M56),MAX(1,N(IFERROR(INDEX(SPEC_CIRC,MATCH(INDEX(Equipment!$C$7:$C$18,MAX(1,N($W56))),SPEC_SKU,0)),1)))))</f>
        <v/>
      </c>
    </row>
    <row r="57" ht="16" customHeight="1" s="254">
      <c r="A57" s="862">
        <f>IF($W57="","","Charger 40")</f>
        <v/>
      </c>
      <c r="B57" s="863">
        <f>IF($W57="","","Line "&amp;$W57&amp;" · "&amp;INDEX(Equipment!$C$7:$C$18,$W57)&amp;" · "&amp;INDEX(Equipment!$B$7:$B$18,$W57)&amp;" · #"&amp;(40-INDEX(Equipment!$R$7:$R$18,$W57)+1)&amp;" of "&amp;INDEX(Equipment!$I$7:$I$18,$W57))</f>
        <v/>
      </c>
      <c r="C57" s="863">
        <f>IF($W57="","",IF($V57="L2",TEXT(N(Equipment!$B$30),"0")&amp;" V 1-ph",TEXT(Project!$B$29,"0")&amp;" V 3-ph"))</f>
        <v/>
      </c>
      <c r="D57" s="864">
        <f>IF($W57="","",INDEX(Equipment!$G$7:$G$18,$W57))</f>
        <v/>
      </c>
      <c r="E57" s="807" t="n"/>
      <c r="F57" s="831" t="n"/>
      <c r="G57" s="807" t="n"/>
      <c r="H57" s="865">
        <f>IF($U57&lt;&gt;1,"",IF($E57="",N($D57),SUMIF($E$18:$E$77,$E57,$D$18:$D$77))*1000/(IF($V57="L2",N(Equipment!$B$30),Project!$B$29)*IF($V57="L2",1,SQRT(3))))</f>
        <v/>
      </c>
      <c r="I57" s="865">
        <f>IF(N($H57)=0,"",N($H57)*1.25)</f>
        <v/>
      </c>
      <c r="J57" s="865">
        <f>IF(N($I57)=0,"",IF(ISNUMBER(MATCH($I57,OCPD_LIST,0)),$I57,IF($I57&gt;MAX(OCPD_LIST),"ABOVE LIST",INDEX(OCPD_LIST,MATCH($I57,OCPD_LIST,1)+1))))</f>
        <v/>
      </c>
      <c r="K57" s="863">
        <f>IF(OR(N($I57)=0,$B$10=""),"",IF(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gt;ROWS(SZ_SIZE),"PARALLEL SETS",INDEX(SZ_SIZE,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f>
        <v/>
      </c>
      <c r="L57" s="807" t="n"/>
      <c r="M57" s="831" t="n"/>
      <c r="N57" s="865">
        <f>IF(OR(IF($L57&lt;&gt;"",$L57,$K57)="",IF($L57&lt;&gt;"",$L57,$K57)="PARALLEL SETS"),"",IFERROR(INDEX(SZ_AMP,MATCH(IF($L57&lt;&gt;"",$L57,$K57),SZ_SIZE,0))*IF(N($M57)&gt;0,N($M57),MAX(1,N(IFERROR(INDEX(SPEC_CIRC,MATCH(INDEX(Equipment!$C$7:$C$18,MAX(1,N($W57))),SPEC_SKU,0)),1)))),""))</f>
        <v/>
      </c>
      <c r="O57" s="866">
        <f>IF(OR(N($N57)=0,N($F57)=0),"",IFERROR(IF($V57="L2",2,SQRT(3))*N($H57)/IF(N($M57)&gt;0,N($M57),MAX(1,N(IFERROR(INDEX(SPEC_CIRC,MATCH(INDEX(Equipment!$C$7:$C$18,MAX(1,N($W57))),SPEC_SKU,0)),1))))*N($F57)*INDEX(SZ_Z,MATCH(IF($L57&lt;&gt;"",$L57,$K57),SZ_SIZE,0))/1000/IF($V57="L2",N(Equipment!$B$30),Project!$B$29),""))</f>
        <v/>
      </c>
      <c r="P57" s="863">
        <f>IF(N($J57)=0,"",IFERROR(INDEX(IF($B$6="Cu",EGC_CU,EGC_AL),MATCH($J57,EGC_OCPD,1)+IF(ISNUMBER(MATCH($J57,EGC_OCPD,0)),0,1)),""))</f>
        <v/>
      </c>
      <c r="Q57" s="863">
        <f>IF(N($N57)=0,"",IFERROR(INDEX(IF($V57="L2",CND_2G,CND_3G),MATCH(IF($L57&lt;&gt;"",$L57,$K57),CND_SIZE,0)),""))</f>
        <v/>
      </c>
      <c r="R57" s="807" t="n"/>
      <c r="S57" s="867">
        <f>IF(OR(N($F57)=0,N($N57)=0),0,IFERROR(N($F57)*IF(N($M57)&gt;0,N($M57),MAX(1,N(IFERROR(INDEX(SPEC_CIRC,MATCH(INDEX(Equipment!$C$7:$C$18,MAX(1,N($W57))),SPEC_SKU,0)),1))))*IF($V57="L2",2,3)*INDEX(IF($B$6="Cu",WIRE_CU,WIRE_AL),MATCH(IF($L57&lt;&gt;"",$L57,$K57),WIRE_SIZE,0)),0)+IFERROR(N($F57)*IF(N($M57)&gt;0,N($M57),MAX(1,N(IFERROR(INDEX(SPEC_CIRC,MATCH(INDEX(Equipment!$C$7:$C$18,MAX(1,N($W57))),SPEC_SKU,0)),1))))*INDEX(IF($B$6="Cu",WIRE_CU,WIRE_AL),MATCH($P57,WIRE_SIZE,0)),0)+IFERROR(N($F57)*IF(N($M57)&gt;0,N($M57),MAX(1,N(IFERROR(INDEX(SPEC_CIRC,MATCH(INDEX(Equipment!$C$7:$C$18,MAX(1,N($W57))),SPEC_SKU,0)),1))))*INDEX(PVC_RATE,MATCH(IF($R57&lt;&gt;"",$R57,$Q57),PVC_SIZE,0)),0)+IF($V57="L2",0,IFERROR(N($F57)*INDEX(PVC_RATE,MATCH("(3/4"")",PVC_SIZE,0)),0)))</f>
        <v/>
      </c>
      <c r="T57" s="863">
        <f>IF($W57="","",IF($U57=0,"shared — on circuit "&amp;$E57&amp;", sized and priced on its first unit",IF(N($F57)=0,"ENTER THE DISTANCE",IF($B$10="","SET THE DESIGN AMBIENT in block A — nothing on this row can be trusted until it is",IF(IF($L57&lt;&gt;"",$L57,$K57)="PARALLEL SETS","PARALLEL SETS NEEDED — no single conductor carries "&amp;TEXT(N($I57),"#,##0")&amp;" A within the drop allowance; enter sets in column M",IF(N($N57)=0,"no ampacity on file for the override size — NEC Table 310.16 does not list it",IF(N($N57)&lt;IF(N($J57)&gt;800,N($J57),N($I57)),"UNDERSIZED — "&amp;TEXT(N($N57),"#,##0")&amp;" A provided against a floor of "&amp;TEXT(IF(N($J57)&gt;800,N($J57),N($I57)),"#,##0")&amp;" A",IF(N($O57)&gt;$B$13,"ampacity OK but voltage drop "&amp;TEXT(N($O57),"0.0%")&amp;" exceeds the allowance — ADVISORY, upsize the override","OK — "&amp;IF(IF(N($M57)&gt;0,N($M57),MAX(1,N(IFERROR(INDEX(SPEC_CIRC,MATCH(INDEX(Equipment!$C$7:$C$18,MAX(1,N($W57))),SPEC_SKU,0)),1))))&gt;1,TEXT(IF(N($M57)&gt;0,N($M57),MAX(1,N(IFERROR(INDEX(SPEC_CIRC,MATCH(INDEX(Equipment!$C$7:$C$18,MAX(1,N($W57))),SPEC_SKU,0)),1)))),"0")&amp;" sets of ","")&amp;IF($L57&lt;&gt;"",$L57,$K57)&amp;IF($L57&lt;&gt;""," (override)","")&amp;", "&amp;TEXT(N($N57),"#,##0")&amp;" A against a "&amp;TEXT(IF(N($J57)&gt;800,N($J57),N($I57)),"#,##0")&amp;" A floor; drop "&amp;TEXT(N($O57),"0.0%")&amp;" (ADVISORY)"))))))))</f>
        <v/>
      </c>
      <c r="U57" s="868">
        <f>IF($W57="",0,IF($E57="",1,IF(MATCH($E57,$E$18:$E$77,0)=40,1,0)))</f>
        <v/>
      </c>
      <c r="V57" s="869">
        <f>IF($W57="","",IF(INDEX(Equipment!$E$7:$E$18,$W57)="level_2","L2",IF(INDEX(Equipment!$E$7:$E$18,$W57)="power_cabinet","CAB","DC")))</f>
        <v/>
      </c>
      <c r="W57" s="868">
        <f>IF(N($B$80)&gt;=40,COUNTIF(Equipment!$S$7:$S$18,"&lt;40")+1,"")</f>
        <v/>
      </c>
      <c r="X57" s="868">
        <f>IF($U57&lt;&gt;1,"",IF(N($M57)&gt;0,N($M57),MAX(1,N(IFERROR(INDEX(SPEC_CIRC,MATCH(INDEX(Equipment!$C$7:$C$18,MAX(1,N($W57))),SPEC_SKU,0)),1)))))</f>
        <v/>
      </c>
    </row>
    <row r="58" ht="16" customHeight="1" s="254">
      <c r="A58" s="862">
        <f>IF($W58="","","Charger 41")</f>
        <v/>
      </c>
      <c r="B58" s="863">
        <f>IF($W58="","","Line "&amp;$W58&amp;" · "&amp;INDEX(Equipment!$C$7:$C$18,$W58)&amp;" · "&amp;INDEX(Equipment!$B$7:$B$18,$W58)&amp;" · #"&amp;(41-INDEX(Equipment!$R$7:$R$18,$W58)+1)&amp;" of "&amp;INDEX(Equipment!$I$7:$I$18,$W58))</f>
        <v/>
      </c>
      <c r="C58" s="863">
        <f>IF($W58="","",IF($V58="L2",TEXT(N(Equipment!$B$30),"0")&amp;" V 1-ph",TEXT(Project!$B$29,"0")&amp;" V 3-ph"))</f>
        <v/>
      </c>
      <c r="D58" s="864">
        <f>IF($W58="","",INDEX(Equipment!$G$7:$G$18,$W58))</f>
        <v/>
      </c>
      <c r="E58" s="807" t="n"/>
      <c r="F58" s="831" t="n"/>
      <c r="G58" s="807" t="n"/>
      <c r="H58" s="865">
        <f>IF($U58&lt;&gt;1,"",IF($E58="",N($D58),SUMIF($E$18:$E$77,$E58,$D$18:$D$77))*1000/(IF($V58="L2",N(Equipment!$B$30),Project!$B$29)*IF($V58="L2",1,SQRT(3))))</f>
        <v/>
      </c>
      <c r="I58" s="865">
        <f>IF(N($H58)=0,"",N($H58)*1.25)</f>
        <v/>
      </c>
      <c r="J58" s="865">
        <f>IF(N($I58)=0,"",IF(ISNUMBER(MATCH($I58,OCPD_LIST,0)),$I58,IF($I58&gt;MAX(OCPD_LIST),"ABOVE LIST",INDEX(OCPD_LIST,MATCH($I58,OCPD_LIST,1)+1))))</f>
        <v/>
      </c>
      <c r="K58" s="863">
        <f>IF(OR(N($I58)=0,$B$10=""),"",IF(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gt;ROWS(SZ_SIZE),"PARALLEL SETS",INDEX(SZ_SIZE,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f>
        <v/>
      </c>
      <c r="L58" s="807" t="n"/>
      <c r="M58" s="831" t="n"/>
      <c r="N58" s="865">
        <f>IF(OR(IF($L58&lt;&gt;"",$L58,$K58)="",IF($L58&lt;&gt;"",$L58,$K58)="PARALLEL SETS"),"",IFERROR(INDEX(SZ_AMP,MATCH(IF($L58&lt;&gt;"",$L58,$K58),SZ_SIZE,0))*IF(N($M58)&gt;0,N($M58),MAX(1,N(IFERROR(INDEX(SPEC_CIRC,MATCH(INDEX(Equipment!$C$7:$C$18,MAX(1,N($W58))),SPEC_SKU,0)),1)))),""))</f>
        <v/>
      </c>
      <c r="O58" s="866">
        <f>IF(OR(N($N58)=0,N($F58)=0),"",IFERROR(IF($V58="L2",2,SQRT(3))*N($H58)/IF(N($M58)&gt;0,N($M58),MAX(1,N(IFERROR(INDEX(SPEC_CIRC,MATCH(INDEX(Equipment!$C$7:$C$18,MAX(1,N($W58))),SPEC_SKU,0)),1))))*N($F58)*INDEX(SZ_Z,MATCH(IF($L58&lt;&gt;"",$L58,$K58),SZ_SIZE,0))/1000/IF($V58="L2",N(Equipment!$B$30),Project!$B$29),""))</f>
        <v/>
      </c>
      <c r="P58" s="863">
        <f>IF(N($J58)=0,"",IFERROR(INDEX(IF($B$6="Cu",EGC_CU,EGC_AL),MATCH($J58,EGC_OCPD,1)+IF(ISNUMBER(MATCH($J58,EGC_OCPD,0)),0,1)),""))</f>
        <v/>
      </c>
      <c r="Q58" s="863">
        <f>IF(N($N58)=0,"",IFERROR(INDEX(IF($V58="L2",CND_2G,CND_3G),MATCH(IF($L58&lt;&gt;"",$L58,$K58),CND_SIZE,0)),""))</f>
        <v/>
      </c>
      <c r="R58" s="807" t="n"/>
      <c r="S58" s="867">
        <f>IF(OR(N($F58)=0,N($N58)=0),0,IFERROR(N($F58)*IF(N($M58)&gt;0,N($M58),MAX(1,N(IFERROR(INDEX(SPEC_CIRC,MATCH(INDEX(Equipment!$C$7:$C$18,MAX(1,N($W58))),SPEC_SKU,0)),1))))*IF($V58="L2",2,3)*INDEX(IF($B$6="Cu",WIRE_CU,WIRE_AL),MATCH(IF($L58&lt;&gt;"",$L58,$K58),WIRE_SIZE,0)),0)+IFERROR(N($F58)*IF(N($M58)&gt;0,N($M58),MAX(1,N(IFERROR(INDEX(SPEC_CIRC,MATCH(INDEX(Equipment!$C$7:$C$18,MAX(1,N($W58))),SPEC_SKU,0)),1))))*INDEX(IF($B$6="Cu",WIRE_CU,WIRE_AL),MATCH($P58,WIRE_SIZE,0)),0)+IFERROR(N($F58)*IF(N($M58)&gt;0,N($M58),MAX(1,N(IFERROR(INDEX(SPEC_CIRC,MATCH(INDEX(Equipment!$C$7:$C$18,MAX(1,N($W58))),SPEC_SKU,0)),1))))*INDEX(PVC_RATE,MATCH(IF($R58&lt;&gt;"",$R58,$Q58),PVC_SIZE,0)),0)+IF($V58="L2",0,IFERROR(N($F58)*INDEX(PVC_RATE,MATCH("(3/4"")",PVC_SIZE,0)),0)))</f>
        <v/>
      </c>
      <c r="T58" s="863">
        <f>IF($W58="","",IF($U58=0,"shared — on circuit "&amp;$E58&amp;", sized and priced on its first unit",IF(N($F58)=0,"ENTER THE DISTANCE",IF($B$10="","SET THE DESIGN AMBIENT in block A — nothing on this row can be trusted until it is",IF(IF($L58&lt;&gt;"",$L58,$K58)="PARALLEL SETS","PARALLEL SETS NEEDED — no single conductor carries "&amp;TEXT(N($I58),"#,##0")&amp;" A within the drop allowance; enter sets in column M",IF(N($N58)=0,"no ampacity on file for the override size — NEC Table 310.16 does not list it",IF(N($N58)&lt;IF(N($J58)&gt;800,N($J58),N($I58)),"UNDERSIZED — "&amp;TEXT(N($N58),"#,##0")&amp;" A provided against a floor of "&amp;TEXT(IF(N($J58)&gt;800,N($J58),N($I58)),"#,##0")&amp;" A",IF(N($O58)&gt;$B$13,"ampacity OK but voltage drop "&amp;TEXT(N($O58),"0.0%")&amp;" exceeds the allowance — ADVISORY, upsize the override","OK — "&amp;IF(IF(N($M58)&gt;0,N($M58),MAX(1,N(IFERROR(INDEX(SPEC_CIRC,MATCH(INDEX(Equipment!$C$7:$C$18,MAX(1,N($W58))),SPEC_SKU,0)),1))))&gt;1,TEXT(IF(N($M58)&gt;0,N($M58),MAX(1,N(IFERROR(INDEX(SPEC_CIRC,MATCH(INDEX(Equipment!$C$7:$C$18,MAX(1,N($W58))),SPEC_SKU,0)),1)))),"0")&amp;" sets of ","")&amp;IF($L58&lt;&gt;"",$L58,$K58)&amp;IF($L58&lt;&gt;""," (override)","")&amp;", "&amp;TEXT(N($N58),"#,##0")&amp;" A against a "&amp;TEXT(IF(N($J58)&gt;800,N($J58),N($I58)),"#,##0")&amp;" A floor; drop "&amp;TEXT(N($O58),"0.0%")&amp;" (ADVISORY)"))))))))</f>
        <v/>
      </c>
      <c r="U58" s="868">
        <f>IF($W58="",0,IF($E58="",1,IF(MATCH($E58,$E$18:$E$77,0)=41,1,0)))</f>
        <v/>
      </c>
      <c r="V58" s="869">
        <f>IF($W58="","",IF(INDEX(Equipment!$E$7:$E$18,$W58)="level_2","L2",IF(INDEX(Equipment!$E$7:$E$18,$W58)="power_cabinet","CAB","DC")))</f>
        <v/>
      </c>
      <c r="W58" s="868">
        <f>IF(N($B$80)&gt;=41,COUNTIF(Equipment!$S$7:$S$18,"&lt;41")+1,"")</f>
        <v/>
      </c>
      <c r="X58" s="868">
        <f>IF($U58&lt;&gt;1,"",IF(N($M58)&gt;0,N($M58),MAX(1,N(IFERROR(INDEX(SPEC_CIRC,MATCH(INDEX(Equipment!$C$7:$C$18,MAX(1,N($W58))),SPEC_SKU,0)),1)))))</f>
        <v/>
      </c>
    </row>
    <row r="59" ht="16" customHeight="1" s="254">
      <c r="A59" s="862">
        <f>IF($W59="","","Charger 42")</f>
        <v/>
      </c>
      <c r="B59" s="863">
        <f>IF($W59="","","Line "&amp;$W59&amp;" · "&amp;INDEX(Equipment!$C$7:$C$18,$W59)&amp;" · "&amp;INDEX(Equipment!$B$7:$B$18,$W59)&amp;" · #"&amp;(42-INDEX(Equipment!$R$7:$R$18,$W59)+1)&amp;" of "&amp;INDEX(Equipment!$I$7:$I$18,$W59))</f>
        <v/>
      </c>
      <c r="C59" s="863">
        <f>IF($W59="","",IF($V59="L2",TEXT(N(Equipment!$B$30),"0")&amp;" V 1-ph",TEXT(Project!$B$29,"0")&amp;" V 3-ph"))</f>
        <v/>
      </c>
      <c r="D59" s="864">
        <f>IF($W59="","",INDEX(Equipment!$G$7:$G$18,$W59))</f>
        <v/>
      </c>
      <c r="E59" s="807" t="n"/>
      <c r="F59" s="831" t="n"/>
      <c r="G59" s="807" t="n"/>
      <c r="H59" s="865">
        <f>IF($U59&lt;&gt;1,"",IF($E59="",N($D59),SUMIF($E$18:$E$77,$E59,$D$18:$D$77))*1000/(IF($V59="L2",N(Equipment!$B$30),Project!$B$29)*IF($V59="L2",1,SQRT(3))))</f>
        <v/>
      </c>
      <c r="I59" s="865">
        <f>IF(N($H59)=0,"",N($H59)*1.25)</f>
        <v/>
      </c>
      <c r="J59" s="865">
        <f>IF(N($I59)=0,"",IF(ISNUMBER(MATCH($I59,OCPD_LIST,0)),$I59,IF($I59&gt;MAX(OCPD_LIST),"ABOVE LIST",INDEX(OCPD_LIST,MATCH($I59,OCPD_LIST,1)+1))))</f>
        <v/>
      </c>
      <c r="K59" s="863">
        <f>IF(OR(N($I59)=0,$B$10=""),"",IF(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gt;ROWS(SZ_SIZE),"PARALLEL SETS",INDEX(SZ_SIZE,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f>
        <v/>
      </c>
      <c r="L59" s="807" t="n"/>
      <c r="M59" s="831" t="n"/>
      <c r="N59" s="865">
        <f>IF(OR(IF($L59&lt;&gt;"",$L59,$K59)="",IF($L59&lt;&gt;"",$L59,$K59)="PARALLEL SETS"),"",IFERROR(INDEX(SZ_AMP,MATCH(IF($L59&lt;&gt;"",$L59,$K59),SZ_SIZE,0))*IF(N($M59)&gt;0,N($M59),MAX(1,N(IFERROR(INDEX(SPEC_CIRC,MATCH(INDEX(Equipment!$C$7:$C$18,MAX(1,N($W59))),SPEC_SKU,0)),1)))),""))</f>
        <v/>
      </c>
      <c r="O59" s="866">
        <f>IF(OR(N($N59)=0,N($F59)=0),"",IFERROR(IF($V59="L2",2,SQRT(3))*N($H59)/IF(N($M59)&gt;0,N($M59),MAX(1,N(IFERROR(INDEX(SPEC_CIRC,MATCH(INDEX(Equipment!$C$7:$C$18,MAX(1,N($W59))),SPEC_SKU,0)),1))))*N($F59)*INDEX(SZ_Z,MATCH(IF($L59&lt;&gt;"",$L59,$K59),SZ_SIZE,0))/1000/IF($V59="L2",N(Equipment!$B$30),Project!$B$29),""))</f>
        <v/>
      </c>
      <c r="P59" s="863">
        <f>IF(N($J59)=0,"",IFERROR(INDEX(IF($B$6="Cu",EGC_CU,EGC_AL),MATCH($J59,EGC_OCPD,1)+IF(ISNUMBER(MATCH($J59,EGC_OCPD,0)),0,1)),""))</f>
        <v/>
      </c>
      <c r="Q59" s="863">
        <f>IF(N($N59)=0,"",IFERROR(INDEX(IF($V59="L2",CND_2G,CND_3G),MATCH(IF($L59&lt;&gt;"",$L59,$K59),CND_SIZE,0)),""))</f>
        <v/>
      </c>
      <c r="R59" s="807" t="n"/>
      <c r="S59" s="867">
        <f>IF(OR(N($F59)=0,N($N59)=0),0,IFERROR(N($F59)*IF(N($M59)&gt;0,N($M59),MAX(1,N(IFERROR(INDEX(SPEC_CIRC,MATCH(INDEX(Equipment!$C$7:$C$18,MAX(1,N($W59))),SPEC_SKU,0)),1))))*IF($V59="L2",2,3)*INDEX(IF($B$6="Cu",WIRE_CU,WIRE_AL),MATCH(IF($L59&lt;&gt;"",$L59,$K59),WIRE_SIZE,0)),0)+IFERROR(N($F59)*IF(N($M59)&gt;0,N($M59),MAX(1,N(IFERROR(INDEX(SPEC_CIRC,MATCH(INDEX(Equipment!$C$7:$C$18,MAX(1,N($W59))),SPEC_SKU,0)),1))))*INDEX(IF($B$6="Cu",WIRE_CU,WIRE_AL),MATCH($P59,WIRE_SIZE,0)),0)+IFERROR(N($F59)*IF(N($M59)&gt;0,N($M59),MAX(1,N(IFERROR(INDEX(SPEC_CIRC,MATCH(INDEX(Equipment!$C$7:$C$18,MAX(1,N($W59))),SPEC_SKU,0)),1))))*INDEX(PVC_RATE,MATCH(IF($R59&lt;&gt;"",$R59,$Q59),PVC_SIZE,0)),0)+IF($V59="L2",0,IFERROR(N($F59)*INDEX(PVC_RATE,MATCH("(3/4"")",PVC_SIZE,0)),0)))</f>
        <v/>
      </c>
      <c r="T59" s="863">
        <f>IF($W59="","",IF($U59=0,"shared — on circuit "&amp;$E59&amp;", sized and priced on its first unit",IF(N($F59)=0,"ENTER THE DISTANCE",IF($B$10="","SET THE DESIGN AMBIENT in block A — nothing on this row can be trusted until it is",IF(IF($L59&lt;&gt;"",$L59,$K59)="PARALLEL SETS","PARALLEL SETS NEEDED — no single conductor carries "&amp;TEXT(N($I59),"#,##0")&amp;" A within the drop allowance; enter sets in column M",IF(N($N59)=0,"no ampacity on file for the override size — NEC Table 310.16 does not list it",IF(N($N59)&lt;IF(N($J59)&gt;800,N($J59),N($I59)),"UNDERSIZED — "&amp;TEXT(N($N59),"#,##0")&amp;" A provided against a floor of "&amp;TEXT(IF(N($J59)&gt;800,N($J59),N($I59)),"#,##0")&amp;" A",IF(N($O59)&gt;$B$13,"ampacity OK but voltage drop "&amp;TEXT(N($O59),"0.0%")&amp;" exceeds the allowance — ADVISORY, upsize the override","OK — "&amp;IF(IF(N($M59)&gt;0,N($M59),MAX(1,N(IFERROR(INDEX(SPEC_CIRC,MATCH(INDEX(Equipment!$C$7:$C$18,MAX(1,N($W59))),SPEC_SKU,0)),1))))&gt;1,TEXT(IF(N($M59)&gt;0,N($M59),MAX(1,N(IFERROR(INDEX(SPEC_CIRC,MATCH(INDEX(Equipment!$C$7:$C$18,MAX(1,N($W59))),SPEC_SKU,0)),1)))),"0")&amp;" sets of ","")&amp;IF($L59&lt;&gt;"",$L59,$K59)&amp;IF($L59&lt;&gt;""," (override)","")&amp;", "&amp;TEXT(N($N59),"#,##0")&amp;" A against a "&amp;TEXT(IF(N($J59)&gt;800,N($J59),N($I59)),"#,##0")&amp;" A floor; drop "&amp;TEXT(N($O59),"0.0%")&amp;" (ADVISORY)"))))))))</f>
        <v/>
      </c>
      <c r="U59" s="868">
        <f>IF($W59="",0,IF($E59="",1,IF(MATCH($E59,$E$18:$E$77,0)=42,1,0)))</f>
        <v/>
      </c>
      <c r="V59" s="869">
        <f>IF($W59="","",IF(INDEX(Equipment!$E$7:$E$18,$W59)="level_2","L2",IF(INDEX(Equipment!$E$7:$E$18,$W59)="power_cabinet","CAB","DC")))</f>
        <v/>
      </c>
      <c r="W59" s="868">
        <f>IF(N($B$80)&gt;=42,COUNTIF(Equipment!$S$7:$S$18,"&lt;42")+1,"")</f>
        <v/>
      </c>
      <c r="X59" s="868">
        <f>IF($U59&lt;&gt;1,"",IF(N($M59)&gt;0,N($M59),MAX(1,N(IFERROR(INDEX(SPEC_CIRC,MATCH(INDEX(Equipment!$C$7:$C$18,MAX(1,N($W59))),SPEC_SKU,0)),1)))))</f>
        <v/>
      </c>
    </row>
    <row r="60" ht="16" customHeight="1" s="254">
      <c r="A60" s="862">
        <f>IF($W60="","","Charger 43")</f>
        <v/>
      </c>
      <c r="B60" s="863">
        <f>IF($W60="","","Line "&amp;$W60&amp;" · "&amp;INDEX(Equipment!$C$7:$C$18,$W60)&amp;" · "&amp;INDEX(Equipment!$B$7:$B$18,$W60)&amp;" · #"&amp;(43-INDEX(Equipment!$R$7:$R$18,$W60)+1)&amp;" of "&amp;INDEX(Equipment!$I$7:$I$18,$W60))</f>
        <v/>
      </c>
      <c r="C60" s="863">
        <f>IF($W60="","",IF($V60="L2",TEXT(N(Equipment!$B$30),"0")&amp;" V 1-ph",TEXT(Project!$B$29,"0")&amp;" V 3-ph"))</f>
        <v/>
      </c>
      <c r="D60" s="864">
        <f>IF($W60="","",INDEX(Equipment!$G$7:$G$18,$W60))</f>
        <v/>
      </c>
      <c r="E60" s="807" t="n"/>
      <c r="F60" s="831" t="n"/>
      <c r="G60" s="807" t="n"/>
      <c r="H60" s="865">
        <f>IF($U60&lt;&gt;1,"",IF($E60="",N($D60),SUMIF($E$18:$E$77,$E60,$D$18:$D$77))*1000/(IF($V60="L2",N(Equipment!$B$30),Project!$B$29)*IF($V60="L2",1,SQRT(3))))</f>
        <v/>
      </c>
      <c r="I60" s="865">
        <f>IF(N($H60)=0,"",N($H60)*1.25)</f>
        <v/>
      </c>
      <c r="J60" s="865">
        <f>IF(N($I60)=0,"",IF(ISNUMBER(MATCH($I60,OCPD_LIST,0)),$I60,IF($I60&gt;MAX(OCPD_LIST),"ABOVE LIST",INDEX(OCPD_LIST,MATCH($I60,OCPD_LIST,1)+1))))</f>
        <v/>
      </c>
      <c r="K60" s="863">
        <f>IF(OR(N($I60)=0,$B$10=""),"",IF(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gt;ROWS(SZ_SIZE),"PARALLEL SETS",INDEX(SZ_SIZE,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f>
        <v/>
      </c>
      <c r="L60" s="807" t="n"/>
      <c r="M60" s="831" t="n"/>
      <c r="N60" s="865">
        <f>IF(OR(IF($L60&lt;&gt;"",$L60,$K60)="",IF($L60&lt;&gt;"",$L60,$K60)="PARALLEL SETS"),"",IFERROR(INDEX(SZ_AMP,MATCH(IF($L60&lt;&gt;"",$L60,$K60),SZ_SIZE,0))*IF(N($M60)&gt;0,N($M60),MAX(1,N(IFERROR(INDEX(SPEC_CIRC,MATCH(INDEX(Equipment!$C$7:$C$18,MAX(1,N($W60))),SPEC_SKU,0)),1)))),""))</f>
        <v/>
      </c>
      <c r="O60" s="866">
        <f>IF(OR(N($N60)=0,N($F60)=0),"",IFERROR(IF($V60="L2",2,SQRT(3))*N($H60)/IF(N($M60)&gt;0,N($M60),MAX(1,N(IFERROR(INDEX(SPEC_CIRC,MATCH(INDEX(Equipment!$C$7:$C$18,MAX(1,N($W60))),SPEC_SKU,0)),1))))*N($F60)*INDEX(SZ_Z,MATCH(IF($L60&lt;&gt;"",$L60,$K60),SZ_SIZE,0))/1000/IF($V60="L2",N(Equipment!$B$30),Project!$B$29),""))</f>
        <v/>
      </c>
      <c r="P60" s="863">
        <f>IF(N($J60)=0,"",IFERROR(INDEX(IF($B$6="Cu",EGC_CU,EGC_AL),MATCH($J60,EGC_OCPD,1)+IF(ISNUMBER(MATCH($J60,EGC_OCPD,0)),0,1)),""))</f>
        <v/>
      </c>
      <c r="Q60" s="863">
        <f>IF(N($N60)=0,"",IFERROR(INDEX(IF($V60="L2",CND_2G,CND_3G),MATCH(IF($L60&lt;&gt;"",$L60,$K60),CND_SIZE,0)),""))</f>
        <v/>
      </c>
      <c r="R60" s="807" t="n"/>
      <c r="S60" s="867">
        <f>IF(OR(N($F60)=0,N($N60)=0),0,IFERROR(N($F60)*IF(N($M60)&gt;0,N($M60),MAX(1,N(IFERROR(INDEX(SPEC_CIRC,MATCH(INDEX(Equipment!$C$7:$C$18,MAX(1,N($W60))),SPEC_SKU,0)),1))))*IF($V60="L2",2,3)*INDEX(IF($B$6="Cu",WIRE_CU,WIRE_AL),MATCH(IF($L60&lt;&gt;"",$L60,$K60),WIRE_SIZE,0)),0)+IFERROR(N($F60)*IF(N($M60)&gt;0,N($M60),MAX(1,N(IFERROR(INDEX(SPEC_CIRC,MATCH(INDEX(Equipment!$C$7:$C$18,MAX(1,N($W60))),SPEC_SKU,0)),1))))*INDEX(IF($B$6="Cu",WIRE_CU,WIRE_AL),MATCH($P60,WIRE_SIZE,0)),0)+IFERROR(N($F60)*IF(N($M60)&gt;0,N($M60),MAX(1,N(IFERROR(INDEX(SPEC_CIRC,MATCH(INDEX(Equipment!$C$7:$C$18,MAX(1,N($W60))),SPEC_SKU,0)),1))))*INDEX(PVC_RATE,MATCH(IF($R60&lt;&gt;"",$R60,$Q60),PVC_SIZE,0)),0)+IF($V60="L2",0,IFERROR(N($F60)*INDEX(PVC_RATE,MATCH("(3/4"")",PVC_SIZE,0)),0)))</f>
        <v/>
      </c>
      <c r="T60" s="863">
        <f>IF($W60="","",IF($U60=0,"shared — on circuit "&amp;$E60&amp;", sized and priced on its first unit",IF(N($F60)=0,"ENTER THE DISTANCE",IF($B$10="","SET THE DESIGN AMBIENT in block A — nothing on this row can be trusted until it is",IF(IF($L60&lt;&gt;"",$L60,$K60)="PARALLEL SETS","PARALLEL SETS NEEDED — no single conductor carries "&amp;TEXT(N($I60),"#,##0")&amp;" A within the drop allowance; enter sets in column M",IF(N($N60)=0,"no ampacity on file for the override size — NEC Table 310.16 does not list it",IF(N($N60)&lt;IF(N($J60)&gt;800,N($J60),N($I60)),"UNDERSIZED — "&amp;TEXT(N($N60),"#,##0")&amp;" A provided against a floor of "&amp;TEXT(IF(N($J60)&gt;800,N($J60),N($I60)),"#,##0")&amp;" A",IF(N($O60)&gt;$B$13,"ampacity OK but voltage drop "&amp;TEXT(N($O60),"0.0%")&amp;" exceeds the allowance — ADVISORY, upsize the override","OK — "&amp;IF(IF(N($M60)&gt;0,N($M60),MAX(1,N(IFERROR(INDEX(SPEC_CIRC,MATCH(INDEX(Equipment!$C$7:$C$18,MAX(1,N($W60))),SPEC_SKU,0)),1))))&gt;1,TEXT(IF(N($M60)&gt;0,N($M60),MAX(1,N(IFERROR(INDEX(SPEC_CIRC,MATCH(INDEX(Equipment!$C$7:$C$18,MAX(1,N($W60))),SPEC_SKU,0)),1)))),"0")&amp;" sets of ","")&amp;IF($L60&lt;&gt;"",$L60,$K60)&amp;IF($L60&lt;&gt;""," (override)","")&amp;", "&amp;TEXT(N($N60),"#,##0")&amp;" A against a "&amp;TEXT(IF(N($J60)&gt;800,N($J60),N($I60)),"#,##0")&amp;" A floor; drop "&amp;TEXT(N($O60),"0.0%")&amp;" (ADVISORY)"))))))))</f>
        <v/>
      </c>
      <c r="U60" s="868">
        <f>IF($W60="",0,IF($E60="",1,IF(MATCH($E60,$E$18:$E$77,0)=43,1,0)))</f>
        <v/>
      </c>
      <c r="V60" s="869">
        <f>IF($W60="","",IF(INDEX(Equipment!$E$7:$E$18,$W60)="level_2","L2",IF(INDEX(Equipment!$E$7:$E$18,$W60)="power_cabinet","CAB","DC")))</f>
        <v/>
      </c>
      <c r="W60" s="868">
        <f>IF(N($B$80)&gt;=43,COUNTIF(Equipment!$S$7:$S$18,"&lt;43")+1,"")</f>
        <v/>
      </c>
      <c r="X60" s="868">
        <f>IF($U60&lt;&gt;1,"",IF(N($M60)&gt;0,N($M60),MAX(1,N(IFERROR(INDEX(SPEC_CIRC,MATCH(INDEX(Equipment!$C$7:$C$18,MAX(1,N($W60))),SPEC_SKU,0)),1)))))</f>
        <v/>
      </c>
    </row>
    <row r="61" ht="16" customHeight="1" s="254">
      <c r="A61" s="862">
        <f>IF($W61="","","Charger 44")</f>
        <v/>
      </c>
      <c r="B61" s="863">
        <f>IF($W61="","","Line "&amp;$W61&amp;" · "&amp;INDEX(Equipment!$C$7:$C$18,$W61)&amp;" · "&amp;INDEX(Equipment!$B$7:$B$18,$W61)&amp;" · #"&amp;(44-INDEX(Equipment!$R$7:$R$18,$W61)+1)&amp;" of "&amp;INDEX(Equipment!$I$7:$I$18,$W61))</f>
        <v/>
      </c>
      <c r="C61" s="863">
        <f>IF($W61="","",IF($V61="L2",TEXT(N(Equipment!$B$30),"0")&amp;" V 1-ph",TEXT(Project!$B$29,"0")&amp;" V 3-ph"))</f>
        <v/>
      </c>
      <c r="D61" s="864">
        <f>IF($W61="","",INDEX(Equipment!$G$7:$G$18,$W61))</f>
        <v/>
      </c>
      <c r="E61" s="807" t="n"/>
      <c r="F61" s="831" t="n"/>
      <c r="G61" s="807" t="n"/>
      <c r="H61" s="865">
        <f>IF($U61&lt;&gt;1,"",IF($E61="",N($D61),SUMIF($E$18:$E$77,$E61,$D$18:$D$77))*1000/(IF($V61="L2",N(Equipment!$B$30),Project!$B$29)*IF($V61="L2",1,SQRT(3))))</f>
        <v/>
      </c>
      <c r="I61" s="865">
        <f>IF(N($H61)=0,"",N($H61)*1.25)</f>
        <v/>
      </c>
      <c r="J61" s="865">
        <f>IF(N($I61)=0,"",IF(ISNUMBER(MATCH($I61,OCPD_LIST,0)),$I61,IF($I61&gt;MAX(OCPD_LIST),"ABOVE LIST",INDEX(OCPD_LIST,MATCH($I61,OCPD_LIST,1)+1))))</f>
        <v/>
      </c>
      <c r="K61" s="863">
        <f>IF(OR(N($I61)=0,$B$10=""),"",IF(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gt;ROWS(SZ_SIZE),"PARALLEL SETS",INDEX(SZ_SIZE,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f>
        <v/>
      </c>
      <c r="L61" s="807" t="n"/>
      <c r="M61" s="831" t="n"/>
      <c r="N61" s="865">
        <f>IF(OR(IF($L61&lt;&gt;"",$L61,$K61)="",IF($L61&lt;&gt;"",$L61,$K61)="PARALLEL SETS"),"",IFERROR(INDEX(SZ_AMP,MATCH(IF($L61&lt;&gt;"",$L61,$K61),SZ_SIZE,0))*IF(N($M61)&gt;0,N($M61),MAX(1,N(IFERROR(INDEX(SPEC_CIRC,MATCH(INDEX(Equipment!$C$7:$C$18,MAX(1,N($W61))),SPEC_SKU,0)),1)))),""))</f>
        <v/>
      </c>
      <c r="O61" s="866">
        <f>IF(OR(N($N61)=0,N($F61)=0),"",IFERROR(IF($V61="L2",2,SQRT(3))*N($H61)/IF(N($M61)&gt;0,N($M61),MAX(1,N(IFERROR(INDEX(SPEC_CIRC,MATCH(INDEX(Equipment!$C$7:$C$18,MAX(1,N($W61))),SPEC_SKU,0)),1))))*N($F61)*INDEX(SZ_Z,MATCH(IF($L61&lt;&gt;"",$L61,$K61),SZ_SIZE,0))/1000/IF($V61="L2",N(Equipment!$B$30),Project!$B$29),""))</f>
        <v/>
      </c>
      <c r="P61" s="863">
        <f>IF(N($J61)=0,"",IFERROR(INDEX(IF($B$6="Cu",EGC_CU,EGC_AL),MATCH($J61,EGC_OCPD,1)+IF(ISNUMBER(MATCH($J61,EGC_OCPD,0)),0,1)),""))</f>
        <v/>
      </c>
      <c r="Q61" s="863">
        <f>IF(N($N61)=0,"",IFERROR(INDEX(IF($V61="L2",CND_2G,CND_3G),MATCH(IF($L61&lt;&gt;"",$L61,$K61),CND_SIZE,0)),""))</f>
        <v/>
      </c>
      <c r="R61" s="807" t="n"/>
      <c r="S61" s="867">
        <f>IF(OR(N($F61)=0,N($N61)=0),0,IFERROR(N($F61)*IF(N($M61)&gt;0,N($M61),MAX(1,N(IFERROR(INDEX(SPEC_CIRC,MATCH(INDEX(Equipment!$C$7:$C$18,MAX(1,N($W61))),SPEC_SKU,0)),1))))*IF($V61="L2",2,3)*INDEX(IF($B$6="Cu",WIRE_CU,WIRE_AL),MATCH(IF($L61&lt;&gt;"",$L61,$K61),WIRE_SIZE,0)),0)+IFERROR(N($F61)*IF(N($M61)&gt;0,N($M61),MAX(1,N(IFERROR(INDEX(SPEC_CIRC,MATCH(INDEX(Equipment!$C$7:$C$18,MAX(1,N($W61))),SPEC_SKU,0)),1))))*INDEX(IF($B$6="Cu",WIRE_CU,WIRE_AL),MATCH($P61,WIRE_SIZE,0)),0)+IFERROR(N($F61)*IF(N($M61)&gt;0,N($M61),MAX(1,N(IFERROR(INDEX(SPEC_CIRC,MATCH(INDEX(Equipment!$C$7:$C$18,MAX(1,N($W61))),SPEC_SKU,0)),1))))*INDEX(PVC_RATE,MATCH(IF($R61&lt;&gt;"",$R61,$Q61),PVC_SIZE,0)),0)+IF($V61="L2",0,IFERROR(N($F61)*INDEX(PVC_RATE,MATCH("(3/4"")",PVC_SIZE,0)),0)))</f>
        <v/>
      </c>
      <c r="T61" s="863">
        <f>IF($W61="","",IF($U61=0,"shared — on circuit "&amp;$E61&amp;", sized and priced on its first unit",IF(N($F61)=0,"ENTER THE DISTANCE",IF($B$10="","SET THE DESIGN AMBIENT in block A — nothing on this row can be trusted until it is",IF(IF($L61&lt;&gt;"",$L61,$K61)="PARALLEL SETS","PARALLEL SETS NEEDED — no single conductor carries "&amp;TEXT(N($I61),"#,##0")&amp;" A within the drop allowance; enter sets in column M",IF(N($N61)=0,"no ampacity on file for the override size — NEC Table 310.16 does not list it",IF(N($N61)&lt;IF(N($J61)&gt;800,N($J61),N($I61)),"UNDERSIZED — "&amp;TEXT(N($N61),"#,##0")&amp;" A provided against a floor of "&amp;TEXT(IF(N($J61)&gt;800,N($J61),N($I61)),"#,##0")&amp;" A",IF(N($O61)&gt;$B$13,"ampacity OK but voltage drop "&amp;TEXT(N($O61),"0.0%")&amp;" exceeds the allowance — ADVISORY, upsize the override","OK — "&amp;IF(IF(N($M61)&gt;0,N($M61),MAX(1,N(IFERROR(INDEX(SPEC_CIRC,MATCH(INDEX(Equipment!$C$7:$C$18,MAX(1,N($W61))),SPEC_SKU,0)),1))))&gt;1,TEXT(IF(N($M61)&gt;0,N($M61),MAX(1,N(IFERROR(INDEX(SPEC_CIRC,MATCH(INDEX(Equipment!$C$7:$C$18,MAX(1,N($W61))),SPEC_SKU,0)),1)))),"0")&amp;" sets of ","")&amp;IF($L61&lt;&gt;"",$L61,$K61)&amp;IF($L61&lt;&gt;""," (override)","")&amp;", "&amp;TEXT(N($N61),"#,##0")&amp;" A against a "&amp;TEXT(IF(N($J61)&gt;800,N($J61),N($I61)),"#,##0")&amp;" A floor; drop "&amp;TEXT(N($O61),"0.0%")&amp;" (ADVISORY)"))))))))</f>
        <v/>
      </c>
      <c r="U61" s="868">
        <f>IF($W61="",0,IF($E61="",1,IF(MATCH($E61,$E$18:$E$77,0)=44,1,0)))</f>
        <v/>
      </c>
      <c r="V61" s="869">
        <f>IF($W61="","",IF(INDEX(Equipment!$E$7:$E$18,$W61)="level_2","L2",IF(INDEX(Equipment!$E$7:$E$18,$W61)="power_cabinet","CAB","DC")))</f>
        <v/>
      </c>
      <c r="W61" s="868">
        <f>IF(N($B$80)&gt;=44,COUNTIF(Equipment!$S$7:$S$18,"&lt;44")+1,"")</f>
        <v/>
      </c>
      <c r="X61" s="868">
        <f>IF($U61&lt;&gt;1,"",IF(N($M61)&gt;0,N($M61),MAX(1,N(IFERROR(INDEX(SPEC_CIRC,MATCH(INDEX(Equipment!$C$7:$C$18,MAX(1,N($W61))),SPEC_SKU,0)),1)))))</f>
        <v/>
      </c>
    </row>
    <row r="62" ht="16" customHeight="1" s="254">
      <c r="A62" s="862">
        <f>IF($W62="","","Charger 45")</f>
        <v/>
      </c>
      <c r="B62" s="863">
        <f>IF($W62="","","Line "&amp;$W62&amp;" · "&amp;INDEX(Equipment!$C$7:$C$18,$W62)&amp;" · "&amp;INDEX(Equipment!$B$7:$B$18,$W62)&amp;" · #"&amp;(45-INDEX(Equipment!$R$7:$R$18,$W62)+1)&amp;" of "&amp;INDEX(Equipment!$I$7:$I$18,$W62))</f>
        <v/>
      </c>
      <c r="C62" s="863">
        <f>IF($W62="","",IF($V62="L2",TEXT(N(Equipment!$B$30),"0")&amp;" V 1-ph",TEXT(Project!$B$29,"0")&amp;" V 3-ph"))</f>
        <v/>
      </c>
      <c r="D62" s="864">
        <f>IF($W62="","",INDEX(Equipment!$G$7:$G$18,$W62))</f>
        <v/>
      </c>
      <c r="E62" s="807" t="n"/>
      <c r="F62" s="831" t="n"/>
      <c r="G62" s="807" t="n"/>
      <c r="H62" s="865">
        <f>IF($U62&lt;&gt;1,"",IF($E62="",N($D62),SUMIF($E$18:$E$77,$E62,$D$18:$D$77))*1000/(IF($V62="L2",N(Equipment!$B$30),Project!$B$29)*IF($V62="L2",1,SQRT(3))))</f>
        <v/>
      </c>
      <c r="I62" s="865">
        <f>IF(N($H62)=0,"",N($H62)*1.25)</f>
        <v/>
      </c>
      <c r="J62" s="865">
        <f>IF(N($I62)=0,"",IF(ISNUMBER(MATCH($I62,OCPD_LIST,0)),$I62,IF($I62&gt;MAX(OCPD_LIST),"ABOVE LIST",INDEX(OCPD_LIST,MATCH($I62,OCPD_LIST,1)+1))))</f>
        <v/>
      </c>
      <c r="K62" s="863">
        <f>IF(OR(N($I62)=0,$B$10=""),"",IF(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gt;ROWS(SZ_SIZE),"PARALLEL SETS",INDEX(SZ_SIZE,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f>
        <v/>
      </c>
      <c r="L62" s="807" t="n"/>
      <c r="M62" s="831" t="n"/>
      <c r="N62" s="865">
        <f>IF(OR(IF($L62&lt;&gt;"",$L62,$K62)="",IF($L62&lt;&gt;"",$L62,$K62)="PARALLEL SETS"),"",IFERROR(INDEX(SZ_AMP,MATCH(IF($L62&lt;&gt;"",$L62,$K62),SZ_SIZE,0))*IF(N($M62)&gt;0,N($M62),MAX(1,N(IFERROR(INDEX(SPEC_CIRC,MATCH(INDEX(Equipment!$C$7:$C$18,MAX(1,N($W62))),SPEC_SKU,0)),1)))),""))</f>
        <v/>
      </c>
      <c r="O62" s="866">
        <f>IF(OR(N($N62)=0,N($F62)=0),"",IFERROR(IF($V62="L2",2,SQRT(3))*N($H62)/IF(N($M62)&gt;0,N($M62),MAX(1,N(IFERROR(INDEX(SPEC_CIRC,MATCH(INDEX(Equipment!$C$7:$C$18,MAX(1,N($W62))),SPEC_SKU,0)),1))))*N($F62)*INDEX(SZ_Z,MATCH(IF($L62&lt;&gt;"",$L62,$K62),SZ_SIZE,0))/1000/IF($V62="L2",N(Equipment!$B$30),Project!$B$29),""))</f>
        <v/>
      </c>
      <c r="P62" s="863">
        <f>IF(N($J62)=0,"",IFERROR(INDEX(IF($B$6="Cu",EGC_CU,EGC_AL),MATCH($J62,EGC_OCPD,1)+IF(ISNUMBER(MATCH($J62,EGC_OCPD,0)),0,1)),""))</f>
        <v/>
      </c>
      <c r="Q62" s="863">
        <f>IF(N($N62)=0,"",IFERROR(INDEX(IF($V62="L2",CND_2G,CND_3G),MATCH(IF($L62&lt;&gt;"",$L62,$K62),CND_SIZE,0)),""))</f>
        <v/>
      </c>
      <c r="R62" s="807" t="n"/>
      <c r="S62" s="867">
        <f>IF(OR(N($F62)=0,N($N62)=0),0,IFERROR(N($F62)*IF(N($M62)&gt;0,N($M62),MAX(1,N(IFERROR(INDEX(SPEC_CIRC,MATCH(INDEX(Equipment!$C$7:$C$18,MAX(1,N($W62))),SPEC_SKU,0)),1))))*IF($V62="L2",2,3)*INDEX(IF($B$6="Cu",WIRE_CU,WIRE_AL),MATCH(IF($L62&lt;&gt;"",$L62,$K62),WIRE_SIZE,0)),0)+IFERROR(N($F62)*IF(N($M62)&gt;0,N($M62),MAX(1,N(IFERROR(INDEX(SPEC_CIRC,MATCH(INDEX(Equipment!$C$7:$C$18,MAX(1,N($W62))),SPEC_SKU,0)),1))))*INDEX(IF($B$6="Cu",WIRE_CU,WIRE_AL),MATCH($P62,WIRE_SIZE,0)),0)+IFERROR(N($F62)*IF(N($M62)&gt;0,N($M62),MAX(1,N(IFERROR(INDEX(SPEC_CIRC,MATCH(INDEX(Equipment!$C$7:$C$18,MAX(1,N($W62))),SPEC_SKU,0)),1))))*INDEX(PVC_RATE,MATCH(IF($R62&lt;&gt;"",$R62,$Q62),PVC_SIZE,0)),0)+IF($V62="L2",0,IFERROR(N($F62)*INDEX(PVC_RATE,MATCH("(3/4"")",PVC_SIZE,0)),0)))</f>
        <v/>
      </c>
      <c r="T62" s="863">
        <f>IF($W62="","",IF($U62=0,"shared — on circuit "&amp;$E62&amp;", sized and priced on its first unit",IF(N($F62)=0,"ENTER THE DISTANCE",IF($B$10="","SET THE DESIGN AMBIENT in block A — nothing on this row can be trusted until it is",IF(IF($L62&lt;&gt;"",$L62,$K62)="PARALLEL SETS","PARALLEL SETS NEEDED — no single conductor carries "&amp;TEXT(N($I62),"#,##0")&amp;" A within the drop allowance; enter sets in column M",IF(N($N62)=0,"no ampacity on file for the override size — NEC Table 310.16 does not list it",IF(N($N62)&lt;IF(N($J62)&gt;800,N($J62),N($I62)),"UNDERSIZED — "&amp;TEXT(N($N62),"#,##0")&amp;" A provided against a floor of "&amp;TEXT(IF(N($J62)&gt;800,N($J62),N($I62)),"#,##0")&amp;" A",IF(N($O62)&gt;$B$13,"ampacity OK but voltage drop "&amp;TEXT(N($O62),"0.0%")&amp;" exceeds the allowance — ADVISORY, upsize the override","OK — "&amp;IF(IF(N($M62)&gt;0,N($M62),MAX(1,N(IFERROR(INDEX(SPEC_CIRC,MATCH(INDEX(Equipment!$C$7:$C$18,MAX(1,N($W62))),SPEC_SKU,0)),1))))&gt;1,TEXT(IF(N($M62)&gt;0,N($M62),MAX(1,N(IFERROR(INDEX(SPEC_CIRC,MATCH(INDEX(Equipment!$C$7:$C$18,MAX(1,N($W62))),SPEC_SKU,0)),1)))),"0")&amp;" sets of ","")&amp;IF($L62&lt;&gt;"",$L62,$K62)&amp;IF($L62&lt;&gt;""," (override)","")&amp;", "&amp;TEXT(N($N62),"#,##0")&amp;" A against a "&amp;TEXT(IF(N($J62)&gt;800,N($J62),N($I62)),"#,##0")&amp;" A floor; drop "&amp;TEXT(N($O62),"0.0%")&amp;" (ADVISORY)"))))))))</f>
        <v/>
      </c>
      <c r="U62" s="868">
        <f>IF($W62="",0,IF($E62="",1,IF(MATCH($E62,$E$18:$E$77,0)=45,1,0)))</f>
        <v/>
      </c>
      <c r="V62" s="869">
        <f>IF($W62="","",IF(INDEX(Equipment!$E$7:$E$18,$W62)="level_2","L2",IF(INDEX(Equipment!$E$7:$E$18,$W62)="power_cabinet","CAB","DC")))</f>
        <v/>
      </c>
      <c r="W62" s="868">
        <f>IF(N($B$80)&gt;=45,COUNTIF(Equipment!$S$7:$S$18,"&lt;45")+1,"")</f>
        <v/>
      </c>
      <c r="X62" s="868">
        <f>IF($U62&lt;&gt;1,"",IF(N($M62)&gt;0,N($M62),MAX(1,N(IFERROR(INDEX(SPEC_CIRC,MATCH(INDEX(Equipment!$C$7:$C$18,MAX(1,N($W62))),SPEC_SKU,0)),1)))))</f>
        <v/>
      </c>
    </row>
    <row r="63" ht="16" customHeight="1" s="254">
      <c r="A63" s="862">
        <f>IF($W63="","","Charger 46")</f>
        <v/>
      </c>
      <c r="B63" s="863">
        <f>IF($W63="","","Line "&amp;$W63&amp;" · "&amp;INDEX(Equipment!$C$7:$C$18,$W63)&amp;" · "&amp;INDEX(Equipment!$B$7:$B$18,$W63)&amp;" · #"&amp;(46-INDEX(Equipment!$R$7:$R$18,$W63)+1)&amp;" of "&amp;INDEX(Equipment!$I$7:$I$18,$W63))</f>
        <v/>
      </c>
      <c r="C63" s="863">
        <f>IF($W63="","",IF($V63="L2",TEXT(N(Equipment!$B$30),"0")&amp;" V 1-ph",TEXT(Project!$B$29,"0")&amp;" V 3-ph"))</f>
        <v/>
      </c>
      <c r="D63" s="864">
        <f>IF($W63="","",INDEX(Equipment!$G$7:$G$18,$W63))</f>
        <v/>
      </c>
      <c r="E63" s="807" t="n"/>
      <c r="F63" s="831" t="n"/>
      <c r="G63" s="807" t="n"/>
      <c r="H63" s="865">
        <f>IF($U63&lt;&gt;1,"",IF($E63="",N($D63),SUMIF($E$18:$E$77,$E63,$D$18:$D$77))*1000/(IF($V63="L2",N(Equipment!$B$30),Project!$B$29)*IF($V63="L2",1,SQRT(3))))</f>
        <v/>
      </c>
      <c r="I63" s="865">
        <f>IF(N($H63)=0,"",N($H63)*1.25)</f>
        <v/>
      </c>
      <c r="J63" s="865">
        <f>IF(N($I63)=0,"",IF(ISNUMBER(MATCH($I63,OCPD_LIST,0)),$I63,IF($I63&gt;MAX(OCPD_LIST),"ABOVE LIST",INDEX(OCPD_LIST,MATCH($I63,OCPD_LIST,1)+1))))</f>
        <v/>
      </c>
      <c r="K63" s="863">
        <f>IF(OR(N($I63)=0,$B$10=""),"",IF(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gt;ROWS(SZ_SIZE),"PARALLEL SETS",INDEX(SZ_SIZE,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f>
        <v/>
      </c>
      <c r="L63" s="807" t="n"/>
      <c r="M63" s="831" t="n"/>
      <c r="N63" s="865">
        <f>IF(OR(IF($L63&lt;&gt;"",$L63,$K63)="",IF($L63&lt;&gt;"",$L63,$K63)="PARALLEL SETS"),"",IFERROR(INDEX(SZ_AMP,MATCH(IF($L63&lt;&gt;"",$L63,$K63),SZ_SIZE,0))*IF(N($M63)&gt;0,N($M63),MAX(1,N(IFERROR(INDEX(SPEC_CIRC,MATCH(INDEX(Equipment!$C$7:$C$18,MAX(1,N($W63))),SPEC_SKU,0)),1)))),""))</f>
        <v/>
      </c>
      <c r="O63" s="866">
        <f>IF(OR(N($N63)=0,N($F63)=0),"",IFERROR(IF($V63="L2",2,SQRT(3))*N($H63)/IF(N($M63)&gt;0,N($M63),MAX(1,N(IFERROR(INDEX(SPEC_CIRC,MATCH(INDEX(Equipment!$C$7:$C$18,MAX(1,N($W63))),SPEC_SKU,0)),1))))*N($F63)*INDEX(SZ_Z,MATCH(IF($L63&lt;&gt;"",$L63,$K63),SZ_SIZE,0))/1000/IF($V63="L2",N(Equipment!$B$30),Project!$B$29),""))</f>
        <v/>
      </c>
      <c r="P63" s="863">
        <f>IF(N($J63)=0,"",IFERROR(INDEX(IF($B$6="Cu",EGC_CU,EGC_AL),MATCH($J63,EGC_OCPD,1)+IF(ISNUMBER(MATCH($J63,EGC_OCPD,0)),0,1)),""))</f>
        <v/>
      </c>
      <c r="Q63" s="863">
        <f>IF(N($N63)=0,"",IFERROR(INDEX(IF($V63="L2",CND_2G,CND_3G),MATCH(IF($L63&lt;&gt;"",$L63,$K63),CND_SIZE,0)),""))</f>
        <v/>
      </c>
      <c r="R63" s="807" t="n"/>
      <c r="S63" s="867">
        <f>IF(OR(N($F63)=0,N($N63)=0),0,IFERROR(N($F63)*IF(N($M63)&gt;0,N($M63),MAX(1,N(IFERROR(INDEX(SPEC_CIRC,MATCH(INDEX(Equipment!$C$7:$C$18,MAX(1,N($W63))),SPEC_SKU,0)),1))))*IF($V63="L2",2,3)*INDEX(IF($B$6="Cu",WIRE_CU,WIRE_AL),MATCH(IF($L63&lt;&gt;"",$L63,$K63),WIRE_SIZE,0)),0)+IFERROR(N($F63)*IF(N($M63)&gt;0,N($M63),MAX(1,N(IFERROR(INDEX(SPEC_CIRC,MATCH(INDEX(Equipment!$C$7:$C$18,MAX(1,N($W63))),SPEC_SKU,0)),1))))*INDEX(IF($B$6="Cu",WIRE_CU,WIRE_AL),MATCH($P63,WIRE_SIZE,0)),0)+IFERROR(N($F63)*IF(N($M63)&gt;0,N($M63),MAX(1,N(IFERROR(INDEX(SPEC_CIRC,MATCH(INDEX(Equipment!$C$7:$C$18,MAX(1,N($W63))),SPEC_SKU,0)),1))))*INDEX(PVC_RATE,MATCH(IF($R63&lt;&gt;"",$R63,$Q63),PVC_SIZE,0)),0)+IF($V63="L2",0,IFERROR(N($F63)*INDEX(PVC_RATE,MATCH("(3/4"")",PVC_SIZE,0)),0)))</f>
        <v/>
      </c>
      <c r="T63" s="863">
        <f>IF($W63="","",IF($U63=0,"shared — on circuit "&amp;$E63&amp;", sized and priced on its first unit",IF(N($F63)=0,"ENTER THE DISTANCE",IF($B$10="","SET THE DESIGN AMBIENT in block A — nothing on this row can be trusted until it is",IF(IF($L63&lt;&gt;"",$L63,$K63)="PARALLEL SETS","PARALLEL SETS NEEDED — no single conductor carries "&amp;TEXT(N($I63),"#,##0")&amp;" A within the drop allowance; enter sets in column M",IF(N($N63)=0,"no ampacity on file for the override size — NEC Table 310.16 does not list it",IF(N($N63)&lt;IF(N($J63)&gt;800,N($J63),N($I63)),"UNDERSIZED — "&amp;TEXT(N($N63),"#,##0")&amp;" A provided against a floor of "&amp;TEXT(IF(N($J63)&gt;800,N($J63),N($I63)),"#,##0")&amp;" A",IF(N($O63)&gt;$B$13,"ampacity OK but voltage drop "&amp;TEXT(N($O63),"0.0%")&amp;" exceeds the allowance — ADVISORY, upsize the override","OK — "&amp;IF(IF(N($M63)&gt;0,N($M63),MAX(1,N(IFERROR(INDEX(SPEC_CIRC,MATCH(INDEX(Equipment!$C$7:$C$18,MAX(1,N($W63))),SPEC_SKU,0)),1))))&gt;1,TEXT(IF(N($M63)&gt;0,N($M63),MAX(1,N(IFERROR(INDEX(SPEC_CIRC,MATCH(INDEX(Equipment!$C$7:$C$18,MAX(1,N($W63))),SPEC_SKU,0)),1)))),"0")&amp;" sets of ","")&amp;IF($L63&lt;&gt;"",$L63,$K63)&amp;IF($L63&lt;&gt;""," (override)","")&amp;", "&amp;TEXT(N($N63),"#,##0")&amp;" A against a "&amp;TEXT(IF(N($J63)&gt;800,N($J63),N($I63)),"#,##0")&amp;" A floor; drop "&amp;TEXT(N($O63),"0.0%")&amp;" (ADVISORY)"))))))))</f>
        <v/>
      </c>
      <c r="U63" s="868">
        <f>IF($W63="",0,IF($E63="",1,IF(MATCH($E63,$E$18:$E$77,0)=46,1,0)))</f>
        <v/>
      </c>
      <c r="V63" s="869">
        <f>IF($W63="","",IF(INDEX(Equipment!$E$7:$E$18,$W63)="level_2","L2",IF(INDEX(Equipment!$E$7:$E$18,$W63)="power_cabinet","CAB","DC")))</f>
        <v/>
      </c>
      <c r="W63" s="868">
        <f>IF(N($B$80)&gt;=46,COUNTIF(Equipment!$S$7:$S$18,"&lt;46")+1,"")</f>
        <v/>
      </c>
      <c r="X63" s="868">
        <f>IF($U63&lt;&gt;1,"",IF(N($M63)&gt;0,N($M63),MAX(1,N(IFERROR(INDEX(SPEC_CIRC,MATCH(INDEX(Equipment!$C$7:$C$18,MAX(1,N($W63))),SPEC_SKU,0)),1)))))</f>
        <v/>
      </c>
    </row>
    <row r="64" ht="16" customHeight="1" s="254">
      <c r="A64" s="862">
        <f>IF($W64="","","Charger 47")</f>
        <v/>
      </c>
      <c r="B64" s="863">
        <f>IF($W64="","","Line "&amp;$W64&amp;" · "&amp;INDEX(Equipment!$C$7:$C$18,$W64)&amp;" · "&amp;INDEX(Equipment!$B$7:$B$18,$W64)&amp;" · #"&amp;(47-INDEX(Equipment!$R$7:$R$18,$W64)+1)&amp;" of "&amp;INDEX(Equipment!$I$7:$I$18,$W64))</f>
        <v/>
      </c>
      <c r="C64" s="863">
        <f>IF($W64="","",IF($V64="L2",TEXT(N(Equipment!$B$30),"0")&amp;" V 1-ph",TEXT(Project!$B$29,"0")&amp;" V 3-ph"))</f>
        <v/>
      </c>
      <c r="D64" s="864">
        <f>IF($W64="","",INDEX(Equipment!$G$7:$G$18,$W64))</f>
        <v/>
      </c>
      <c r="E64" s="807" t="n"/>
      <c r="F64" s="831" t="n"/>
      <c r="G64" s="807" t="n"/>
      <c r="H64" s="865">
        <f>IF($U64&lt;&gt;1,"",IF($E64="",N($D64),SUMIF($E$18:$E$77,$E64,$D$18:$D$77))*1000/(IF($V64="L2",N(Equipment!$B$30),Project!$B$29)*IF($V64="L2",1,SQRT(3))))</f>
        <v/>
      </c>
      <c r="I64" s="865">
        <f>IF(N($H64)=0,"",N($H64)*1.25)</f>
        <v/>
      </c>
      <c r="J64" s="865">
        <f>IF(N($I64)=0,"",IF(ISNUMBER(MATCH($I64,OCPD_LIST,0)),$I64,IF($I64&gt;MAX(OCPD_LIST),"ABOVE LIST",INDEX(OCPD_LIST,MATCH($I64,OCPD_LIST,1)+1))))</f>
        <v/>
      </c>
      <c r="K64" s="863">
        <f>IF(OR(N($I64)=0,$B$10=""),"",IF(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gt;ROWS(SZ_SIZE),"PARALLEL SETS",INDEX(SZ_SIZE,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f>
        <v/>
      </c>
      <c r="L64" s="807" t="n"/>
      <c r="M64" s="831" t="n"/>
      <c r="N64" s="865">
        <f>IF(OR(IF($L64&lt;&gt;"",$L64,$K64)="",IF($L64&lt;&gt;"",$L64,$K64)="PARALLEL SETS"),"",IFERROR(INDEX(SZ_AMP,MATCH(IF($L64&lt;&gt;"",$L64,$K64),SZ_SIZE,0))*IF(N($M64)&gt;0,N($M64),MAX(1,N(IFERROR(INDEX(SPEC_CIRC,MATCH(INDEX(Equipment!$C$7:$C$18,MAX(1,N($W64))),SPEC_SKU,0)),1)))),""))</f>
        <v/>
      </c>
      <c r="O64" s="866">
        <f>IF(OR(N($N64)=0,N($F64)=0),"",IFERROR(IF($V64="L2",2,SQRT(3))*N($H64)/IF(N($M64)&gt;0,N($M64),MAX(1,N(IFERROR(INDEX(SPEC_CIRC,MATCH(INDEX(Equipment!$C$7:$C$18,MAX(1,N($W64))),SPEC_SKU,0)),1))))*N($F64)*INDEX(SZ_Z,MATCH(IF($L64&lt;&gt;"",$L64,$K64),SZ_SIZE,0))/1000/IF($V64="L2",N(Equipment!$B$30),Project!$B$29),""))</f>
        <v/>
      </c>
      <c r="P64" s="863">
        <f>IF(N($J64)=0,"",IFERROR(INDEX(IF($B$6="Cu",EGC_CU,EGC_AL),MATCH($J64,EGC_OCPD,1)+IF(ISNUMBER(MATCH($J64,EGC_OCPD,0)),0,1)),""))</f>
        <v/>
      </c>
      <c r="Q64" s="863">
        <f>IF(N($N64)=0,"",IFERROR(INDEX(IF($V64="L2",CND_2G,CND_3G),MATCH(IF($L64&lt;&gt;"",$L64,$K64),CND_SIZE,0)),""))</f>
        <v/>
      </c>
      <c r="R64" s="807" t="n"/>
      <c r="S64" s="867">
        <f>IF(OR(N($F64)=0,N($N64)=0),0,IFERROR(N($F64)*IF(N($M64)&gt;0,N($M64),MAX(1,N(IFERROR(INDEX(SPEC_CIRC,MATCH(INDEX(Equipment!$C$7:$C$18,MAX(1,N($W64))),SPEC_SKU,0)),1))))*IF($V64="L2",2,3)*INDEX(IF($B$6="Cu",WIRE_CU,WIRE_AL),MATCH(IF($L64&lt;&gt;"",$L64,$K64),WIRE_SIZE,0)),0)+IFERROR(N($F64)*IF(N($M64)&gt;0,N($M64),MAX(1,N(IFERROR(INDEX(SPEC_CIRC,MATCH(INDEX(Equipment!$C$7:$C$18,MAX(1,N($W64))),SPEC_SKU,0)),1))))*INDEX(IF($B$6="Cu",WIRE_CU,WIRE_AL),MATCH($P64,WIRE_SIZE,0)),0)+IFERROR(N($F64)*IF(N($M64)&gt;0,N($M64),MAX(1,N(IFERROR(INDEX(SPEC_CIRC,MATCH(INDEX(Equipment!$C$7:$C$18,MAX(1,N($W64))),SPEC_SKU,0)),1))))*INDEX(PVC_RATE,MATCH(IF($R64&lt;&gt;"",$R64,$Q64),PVC_SIZE,0)),0)+IF($V64="L2",0,IFERROR(N($F64)*INDEX(PVC_RATE,MATCH("(3/4"")",PVC_SIZE,0)),0)))</f>
        <v/>
      </c>
      <c r="T64" s="863">
        <f>IF($W64="","",IF($U64=0,"shared — on circuit "&amp;$E64&amp;", sized and priced on its first unit",IF(N($F64)=0,"ENTER THE DISTANCE",IF($B$10="","SET THE DESIGN AMBIENT in block A — nothing on this row can be trusted until it is",IF(IF($L64&lt;&gt;"",$L64,$K64)="PARALLEL SETS","PARALLEL SETS NEEDED — no single conductor carries "&amp;TEXT(N($I64),"#,##0")&amp;" A within the drop allowance; enter sets in column M",IF(N($N64)=0,"no ampacity on file for the override size — NEC Table 310.16 does not list it",IF(N($N64)&lt;IF(N($J64)&gt;800,N($J64),N($I64)),"UNDERSIZED — "&amp;TEXT(N($N64),"#,##0")&amp;" A provided against a floor of "&amp;TEXT(IF(N($J64)&gt;800,N($J64),N($I64)),"#,##0")&amp;" A",IF(N($O64)&gt;$B$13,"ampacity OK but voltage drop "&amp;TEXT(N($O64),"0.0%")&amp;" exceeds the allowance — ADVISORY, upsize the override","OK — "&amp;IF(IF(N($M64)&gt;0,N($M64),MAX(1,N(IFERROR(INDEX(SPEC_CIRC,MATCH(INDEX(Equipment!$C$7:$C$18,MAX(1,N($W64))),SPEC_SKU,0)),1))))&gt;1,TEXT(IF(N($M64)&gt;0,N($M64),MAX(1,N(IFERROR(INDEX(SPEC_CIRC,MATCH(INDEX(Equipment!$C$7:$C$18,MAX(1,N($W64))),SPEC_SKU,0)),1)))),"0")&amp;" sets of ","")&amp;IF($L64&lt;&gt;"",$L64,$K64)&amp;IF($L64&lt;&gt;""," (override)","")&amp;", "&amp;TEXT(N($N64),"#,##0")&amp;" A against a "&amp;TEXT(IF(N($J64)&gt;800,N($J64),N($I64)),"#,##0")&amp;" A floor; drop "&amp;TEXT(N($O64),"0.0%")&amp;" (ADVISORY)"))))))))</f>
        <v/>
      </c>
      <c r="U64" s="868">
        <f>IF($W64="",0,IF($E64="",1,IF(MATCH($E64,$E$18:$E$77,0)=47,1,0)))</f>
        <v/>
      </c>
      <c r="V64" s="869">
        <f>IF($W64="","",IF(INDEX(Equipment!$E$7:$E$18,$W64)="level_2","L2",IF(INDEX(Equipment!$E$7:$E$18,$W64)="power_cabinet","CAB","DC")))</f>
        <v/>
      </c>
      <c r="W64" s="868">
        <f>IF(N($B$80)&gt;=47,COUNTIF(Equipment!$S$7:$S$18,"&lt;47")+1,"")</f>
        <v/>
      </c>
      <c r="X64" s="868">
        <f>IF($U64&lt;&gt;1,"",IF(N($M64)&gt;0,N($M64),MAX(1,N(IFERROR(INDEX(SPEC_CIRC,MATCH(INDEX(Equipment!$C$7:$C$18,MAX(1,N($W64))),SPEC_SKU,0)),1)))))</f>
        <v/>
      </c>
    </row>
    <row r="65" ht="16" customHeight="1" s="254">
      <c r="A65" s="862">
        <f>IF($W65="","","Charger 48")</f>
        <v/>
      </c>
      <c r="B65" s="863">
        <f>IF($W65="","","Line "&amp;$W65&amp;" · "&amp;INDEX(Equipment!$C$7:$C$18,$W65)&amp;" · "&amp;INDEX(Equipment!$B$7:$B$18,$W65)&amp;" · #"&amp;(48-INDEX(Equipment!$R$7:$R$18,$W65)+1)&amp;" of "&amp;INDEX(Equipment!$I$7:$I$18,$W65))</f>
        <v/>
      </c>
      <c r="C65" s="863">
        <f>IF($W65="","",IF($V65="L2",TEXT(N(Equipment!$B$30),"0")&amp;" V 1-ph",TEXT(Project!$B$29,"0")&amp;" V 3-ph"))</f>
        <v/>
      </c>
      <c r="D65" s="864">
        <f>IF($W65="","",INDEX(Equipment!$G$7:$G$18,$W65))</f>
        <v/>
      </c>
      <c r="E65" s="807" t="n"/>
      <c r="F65" s="831" t="n"/>
      <c r="G65" s="807" t="n"/>
      <c r="H65" s="865">
        <f>IF($U65&lt;&gt;1,"",IF($E65="",N($D65),SUMIF($E$18:$E$77,$E65,$D$18:$D$77))*1000/(IF($V65="L2",N(Equipment!$B$30),Project!$B$29)*IF($V65="L2",1,SQRT(3))))</f>
        <v/>
      </c>
      <c r="I65" s="865">
        <f>IF(N($H65)=0,"",N($H65)*1.25)</f>
        <v/>
      </c>
      <c r="J65" s="865">
        <f>IF(N($I65)=0,"",IF(ISNUMBER(MATCH($I65,OCPD_LIST,0)),$I65,IF($I65&gt;MAX(OCPD_LIST),"ABOVE LIST",INDEX(OCPD_LIST,MATCH($I65,OCPD_LIST,1)+1))))</f>
        <v/>
      </c>
      <c r="K65" s="863">
        <f>IF(OR(N($I65)=0,$B$10=""),"",IF(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gt;ROWS(SZ_SIZE),"PARALLEL SETS",INDEX(SZ_SIZE,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f>
        <v/>
      </c>
      <c r="L65" s="807" t="n"/>
      <c r="M65" s="831" t="n"/>
      <c r="N65" s="865">
        <f>IF(OR(IF($L65&lt;&gt;"",$L65,$K65)="",IF($L65&lt;&gt;"",$L65,$K65)="PARALLEL SETS"),"",IFERROR(INDEX(SZ_AMP,MATCH(IF($L65&lt;&gt;"",$L65,$K65),SZ_SIZE,0))*IF(N($M65)&gt;0,N($M65),MAX(1,N(IFERROR(INDEX(SPEC_CIRC,MATCH(INDEX(Equipment!$C$7:$C$18,MAX(1,N($W65))),SPEC_SKU,0)),1)))),""))</f>
        <v/>
      </c>
      <c r="O65" s="866">
        <f>IF(OR(N($N65)=0,N($F65)=0),"",IFERROR(IF($V65="L2",2,SQRT(3))*N($H65)/IF(N($M65)&gt;0,N($M65),MAX(1,N(IFERROR(INDEX(SPEC_CIRC,MATCH(INDEX(Equipment!$C$7:$C$18,MAX(1,N($W65))),SPEC_SKU,0)),1))))*N($F65)*INDEX(SZ_Z,MATCH(IF($L65&lt;&gt;"",$L65,$K65),SZ_SIZE,0))/1000/IF($V65="L2",N(Equipment!$B$30),Project!$B$29),""))</f>
        <v/>
      </c>
      <c r="P65" s="863">
        <f>IF(N($J65)=0,"",IFERROR(INDEX(IF($B$6="Cu",EGC_CU,EGC_AL),MATCH($J65,EGC_OCPD,1)+IF(ISNUMBER(MATCH($J65,EGC_OCPD,0)),0,1)),""))</f>
        <v/>
      </c>
      <c r="Q65" s="863">
        <f>IF(N($N65)=0,"",IFERROR(INDEX(IF($V65="L2",CND_2G,CND_3G),MATCH(IF($L65&lt;&gt;"",$L65,$K65),CND_SIZE,0)),""))</f>
        <v/>
      </c>
      <c r="R65" s="807" t="n"/>
      <c r="S65" s="867">
        <f>IF(OR(N($F65)=0,N($N65)=0),0,IFERROR(N($F65)*IF(N($M65)&gt;0,N($M65),MAX(1,N(IFERROR(INDEX(SPEC_CIRC,MATCH(INDEX(Equipment!$C$7:$C$18,MAX(1,N($W65))),SPEC_SKU,0)),1))))*IF($V65="L2",2,3)*INDEX(IF($B$6="Cu",WIRE_CU,WIRE_AL),MATCH(IF($L65&lt;&gt;"",$L65,$K65),WIRE_SIZE,0)),0)+IFERROR(N($F65)*IF(N($M65)&gt;0,N($M65),MAX(1,N(IFERROR(INDEX(SPEC_CIRC,MATCH(INDEX(Equipment!$C$7:$C$18,MAX(1,N($W65))),SPEC_SKU,0)),1))))*INDEX(IF($B$6="Cu",WIRE_CU,WIRE_AL),MATCH($P65,WIRE_SIZE,0)),0)+IFERROR(N($F65)*IF(N($M65)&gt;0,N($M65),MAX(1,N(IFERROR(INDEX(SPEC_CIRC,MATCH(INDEX(Equipment!$C$7:$C$18,MAX(1,N($W65))),SPEC_SKU,0)),1))))*INDEX(PVC_RATE,MATCH(IF($R65&lt;&gt;"",$R65,$Q65),PVC_SIZE,0)),0)+IF($V65="L2",0,IFERROR(N($F65)*INDEX(PVC_RATE,MATCH("(3/4"")",PVC_SIZE,0)),0)))</f>
        <v/>
      </c>
      <c r="T65" s="863">
        <f>IF($W65="","",IF($U65=0,"shared — on circuit "&amp;$E65&amp;", sized and priced on its first unit",IF(N($F65)=0,"ENTER THE DISTANCE",IF($B$10="","SET THE DESIGN AMBIENT in block A — nothing on this row can be trusted until it is",IF(IF($L65&lt;&gt;"",$L65,$K65)="PARALLEL SETS","PARALLEL SETS NEEDED — no single conductor carries "&amp;TEXT(N($I65),"#,##0")&amp;" A within the drop allowance; enter sets in column M",IF(N($N65)=0,"no ampacity on file for the override size — NEC Table 310.16 does not list it",IF(N($N65)&lt;IF(N($J65)&gt;800,N($J65),N($I65)),"UNDERSIZED — "&amp;TEXT(N($N65),"#,##0")&amp;" A provided against a floor of "&amp;TEXT(IF(N($J65)&gt;800,N($J65),N($I65)),"#,##0")&amp;" A",IF(N($O65)&gt;$B$13,"ampacity OK but voltage drop "&amp;TEXT(N($O65),"0.0%")&amp;" exceeds the allowance — ADVISORY, upsize the override","OK — "&amp;IF(IF(N($M65)&gt;0,N($M65),MAX(1,N(IFERROR(INDEX(SPEC_CIRC,MATCH(INDEX(Equipment!$C$7:$C$18,MAX(1,N($W65))),SPEC_SKU,0)),1))))&gt;1,TEXT(IF(N($M65)&gt;0,N($M65),MAX(1,N(IFERROR(INDEX(SPEC_CIRC,MATCH(INDEX(Equipment!$C$7:$C$18,MAX(1,N($W65))),SPEC_SKU,0)),1)))),"0")&amp;" sets of ","")&amp;IF($L65&lt;&gt;"",$L65,$K65)&amp;IF($L65&lt;&gt;""," (override)","")&amp;", "&amp;TEXT(N($N65),"#,##0")&amp;" A against a "&amp;TEXT(IF(N($J65)&gt;800,N($J65),N($I65)),"#,##0")&amp;" A floor; drop "&amp;TEXT(N($O65),"0.0%")&amp;" (ADVISORY)"))))))))</f>
        <v/>
      </c>
      <c r="U65" s="868">
        <f>IF($W65="",0,IF($E65="",1,IF(MATCH($E65,$E$18:$E$77,0)=48,1,0)))</f>
        <v/>
      </c>
      <c r="V65" s="869">
        <f>IF($W65="","",IF(INDEX(Equipment!$E$7:$E$18,$W65)="level_2","L2",IF(INDEX(Equipment!$E$7:$E$18,$W65)="power_cabinet","CAB","DC")))</f>
        <v/>
      </c>
      <c r="W65" s="868">
        <f>IF(N($B$80)&gt;=48,COUNTIF(Equipment!$S$7:$S$18,"&lt;48")+1,"")</f>
        <v/>
      </c>
      <c r="X65" s="868">
        <f>IF($U65&lt;&gt;1,"",IF(N($M65)&gt;0,N($M65),MAX(1,N(IFERROR(INDEX(SPEC_CIRC,MATCH(INDEX(Equipment!$C$7:$C$18,MAX(1,N($W65))),SPEC_SKU,0)),1)))))</f>
        <v/>
      </c>
    </row>
    <row r="66" ht="16" customHeight="1" s="254">
      <c r="A66" s="862">
        <f>IF($W66="","","Charger 49")</f>
        <v/>
      </c>
      <c r="B66" s="863">
        <f>IF($W66="","","Line "&amp;$W66&amp;" · "&amp;INDEX(Equipment!$C$7:$C$18,$W66)&amp;" · "&amp;INDEX(Equipment!$B$7:$B$18,$W66)&amp;" · #"&amp;(49-INDEX(Equipment!$R$7:$R$18,$W66)+1)&amp;" of "&amp;INDEX(Equipment!$I$7:$I$18,$W66))</f>
        <v/>
      </c>
      <c r="C66" s="863">
        <f>IF($W66="","",IF($V66="L2",TEXT(N(Equipment!$B$30),"0")&amp;" V 1-ph",TEXT(Project!$B$29,"0")&amp;" V 3-ph"))</f>
        <v/>
      </c>
      <c r="D66" s="864">
        <f>IF($W66="","",INDEX(Equipment!$G$7:$G$18,$W66))</f>
        <v/>
      </c>
      <c r="E66" s="807" t="n"/>
      <c r="F66" s="831" t="n"/>
      <c r="G66" s="807" t="n"/>
      <c r="H66" s="865">
        <f>IF($U66&lt;&gt;1,"",IF($E66="",N($D66),SUMIF($E$18:$E$77,$E66,$D$18:$D$77))*1000/(IF($V66="L2",N(Equipment!$B$30),Project!$B$29)*IF($V66="L2",1,SQRT(3))))</f>
        <v/>
      </c>
      <c r="I66" s="865">
        <f>IF(N($H66)=0,"",N($H66)*1.25)</f>
        <v/>
      </c>
      <c r="J66" s="865">
        <f>IF(N($I66)=0,"",IF(ISNUMBER(MATCH($I66,OCPD_LIST,0)),$I66,IF($I66&gt;MAX(OCPD_LIST),"ABOVE LIST",INDEX(OCPD_LIST,MATCH($I66,OCPD_LIST,1)+1))))</f>
        <v/>
      </c>
      <c r="K66" s="863">
        <f>IF(OR(N($I66)=0,$B$10=""),"",IF(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gt;ROWS(SZ_SIZE),"PARALLEL SETS",INDEX(SZ_SIZE,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f>
        <v/>
      </c>
      <c r="L66" s="807" t="n"/>
      <c r="M66" s="831" t="n"/>
      <c r="N66" s="865">
        <f>IF(OR(IF($L66&lt;&gt;"",$L66,$K66)="",IF($L66&lt;&gt;"",$L66,$K66)="PARALLEL SETS"),"",IFERROR(INDEX(SZ_AMP,MATCH(IF($L66&lt;&gt;"",$L66,$K66),SZ_SIZE,0))*IF(N($M66)&gt;0,N($M66),MAX(1,N(IFERROR(INDEX(SPEC_CIRC,MATCH(INDEX(Equipment!$C$7:$C$18,MAX(1,N($W66))),SPEC_SKU,0)),1)))),""))</f>
        <v/>
      </c>
      <c r="O66" s="866">
        <f>IF(OR(N($N66)=0,N($F66)=0),"",IFERROR(IF($V66="L2",2,SQRT(3))*N($H66)/IF(N($M66)&gt;0,N($M66),MAX(1,N(IFERROR(INDEX(SPEC_CIRC,MATCH(INDEX(Equipment!$C$7:$C$18,MAX(1,N($W66))),SPEC_SKU,0)),1))))*N($F66)*INDEX(SZ_Z,MATCH(IF($L66&lt;&gt;"",$L66,$K66),SZ_SIZE,0))/1000/IF($V66="L2",N(Equipment!$B$30),Project!$B$29),""))</f>
        <v/>
      </c>
      <c r="P66" s="863">
        <f>IF(N($J66)=0,"",IFERROR(INDEX(IF($B$6="Cu",EGC_CU,EGC_AL),MATCH($J66,EGC_OCPD,1)+IF(ISNUMBER(MATCH($J66,EGC_OCPD,0)),0,1)),""))</f>
        <v/>
      </c>
      <c r="Q66" s="863">
        <f>IF(N($N66)=0,"",IFERROR(INDEX(IF($V66="L2",CND_2G,CND_3G),MATCH(IF($L66&lt;&gt;"",$L66,$K66),CND_SIZE,0)),""))</f>
        <v/>
      </c>
      <c r="R66" s="807" t="n"/>
      <c r="S66" s="867">
        <f>IF(OR(N($F66)=0,N($N66)=0),0,IFERROR(N($F66)*IF(N($M66)&gt;0,N($M66),MAX(1,N(IFERROR(INDEX(SPEC_CIRC,MATCH(INDEX(Equipment!$C$7:$C$18,MAX(1,N($W66))),SPEC_SKU,0)),1))))*IF($V66="L2",2,3)*INDEX(IF($B$6="Cu",WIRE_CU,WIRE_AL),MATCH(IF($L66&lt;&gt;"",$L66,$K66),WIRE_SIZE,0)),0)+IFERROR(N($F66)*IF(N($M66)&gt;0,N($M66),MAX(1,N(IFERROR(INDEX(SPEC_CIRC,MATCH(INDEX(Equipment!$C$7:$C$18,MAX(1,N($W66))),SPEC_SKU,0)),1))))*INDEX(IF($B$6="Cu",WIRE_CU,WIRE_AL),MATCH($P66,WIRE_SIZE,0)),0)+IFERROR(N($F66)*IF(N($M66)&gt;0,N($M66),MAX(1,N(IFERROR(INDEX(SPEC_CIRC,MATCH(INDEX(Equipment!$C$7:$C$18,MAX(1,N($W66))),SPEC_SKU,0)),1))))*INDEX(PVC_RATE,MATCH(IF($R66&lt;&gt;"",$R66,$Q66),PVC_SIZE,0)),0)+IF($V66="L2",0,IFERROR(N($F66)*INDEX(PVC_RATE,MATCH("(3/4"")",PVC_SIZE,0)),0)))</f>
        <v/>
      </c>
      <c r="T66" s="863">
        <f>IF($W66="","",IF($U66=0,"shared — on circuit "&amp;$E66&amp;", sized and priced on its first unit",IF(N($F66)=0,"ENTER THE DISTANCE",IF($B$10="","SET THE DESIGN AMBIENT in block A — nothing on this row can be trusted until it is",IF(IF($L66&lt;&gt;"",$L66,$K66)="PARALLEL SETS","PARALLEL SETS NEEDED — no single conductor carries "&amp;TEXT(N($I66),"#,##0")&amp;" A within the drop allowance; enter sets in column M",IF(N($N66)=0,"no ampacity on file for the override size — NEC Table 310.16 does not list it",IF(N($N66)&lt;IF(N($J66)&gt;800,N($J66),N($I66)),"UNDERSIZED — "&amp;TEXT(N($N66),"#,##0")&amp;" A provided against a floor of "&amp;TEXT(IF(N($J66)&gt;800,N($J66),N($I66)),"#,##0")&amp;" A",IF(N($O66)&gt;$B$13,"ampacity OK but voltage drop "&amp;TEXT(N($O66),"0.0%")&amp;" exceeds the allowance — ADVISORY, upsize the override","OK — "&amp;IF(IF(N($M66)&gt;0,N($M66),MAX(1,N(IFERROR(INDEX(SPEC_CIRC,MATCH(INDEX(Equipment!$C$7:$C$18,MAX(1,N($W66))),SPEC_SKU,0)),1))))&gt;1,TEXT(IF(N($M66)&gt;0,N($M66),MAX(1,N(IFERROR(INDEX(SPEC_CIRC,MATCH(INDEX(Equipment!$C$7:$C$18,MAX(1,N($W66))),SPEC_SKU,0)),1)))),"0")&amp;" sets of ","")&amp;IF($L66&lt;&gt;"",$L66,$K66)&amp;IF($L66&lt;&gt;""," (override)","")&amp;", "&amp;TEXT(N($N66),"#,##0")&amp;" A against a "&amp;TEXT(IF(N($J66)&gt;800,N($J66),N($I66)),"#,##0")&amp;" A floor; drop "&amp;TEXT(N($O66),"0.0%")&amp;" (ADVISORY)"))))))))</f>
        <v/>
      </c>
      <c r="U66" s="868">
        <f>IF($W66="",0,IF($E66="",1,IF(MATCH($E66,$E$18:$E$77,0)=49,1,0)))</f>
        <v/>
      </c>
      <c r="V66" s="869">
        <f>IF($W66="","",IF(INDEX(Equipment!$E$7:$E$18,$W66)="level_2","L2",IF(INDEX(Equipment!$E$7:$E$18,$W66)="power_cabinet","CAB","DC")))</f>
        <v/>
      </c>
      <c r="W66" s="868">
        <f>IF(N($B$80)&gt;=49,COUNTIF(Equipment!$S$7:$S$18,"&lt;49")+1,"")</f>
        <v/>
      </c>
      <c r="X66" s="868">
        <f>IF($U66&lt;&gt;1,"",IF(N($M66)&gt;0,N($M66),MAX(1,N(IFERROR(INDEX(SPEC_CIRC,MATCH(INDEX(Equipment!$C$7:$C$18,MAX(1,N($W66))),SPEC_SKU,0)),1)))))</f>
        <v/>
      </c>
    </row>
    <row r="67" ht="16" customHeight="1" s="254">
      <c r="A67" s="862">
        <f>IF($W67="","","Charger 50")</f>
        <v/>
      </c>
      <c r="B67" s="863">
        <f>IF($W67="","","Line "&amp;$W67&amp;" · "&amp;INDEX(Equipment!$C$7:$C$18,$W67)&amp;" · "&amp;INDEX(Equipment!$B$7:$B$18,$W67)&amp;" · #"&amp;(50-INDEX(Equipment!$R$7:$R$18,$W67)+1)&amp;" of "&amp;INDEX(Equipment!$I$7:$I$18,$W67))</f>
        <v/>
      </c>
      <c r="C67" s="863">
        <f>IF($W67="","",IF($V67="L2",TEXT(N(Equipment!$B$30),"0")&amp;" V 1-ph",TEXT(Project!$B$29,"0")&amp;" V 3-ph"))</f>
        <v/>
      </c>
      <c r="D67" s="864">
        <f>IF($W67="","",INDEX(Equipment!$G$7:$G$18,$W67))</f>
        <v/>
      </c>
      <c r="E67" s="807" t="n"/>
      <c r="F67" s="831" t="n"/>
      <c r="G67" s="807" t="n"/>
      <c r="H67" s="865">
        <f>IF($U67&lt;&gt;1,"",IF($E67="",N($D67),SUMIF($E$18:$E$77,$E67,$D$18:$D$77))*1000/(IF($V67="L2",N(Equipment!$B$30),Project!$B$29)*IF($V67="L2",1,SQRT(3))))</f>
        <v/>
      </c>
      <c r="I67" s="865">
        <f>IF(N($H67)=0,"",N($H67)*1.25)</f>
        <v/>
      </c>
      <c r="J67" s="865">
        <f>IF(N($I67)=0,"",IF(ISNUMBER(MATCH($I67,OCPD_LIST,0)),$I67,IF($I67&gt;MAX(OCPD_LIST),"ABOVE LIST",INDEX(OCPD_LIST,MATCH($I67,OCPD_LIST,1)+1))))</f>
        <v/>
      </c>
      <c r="K67" s="863">
        <f>IF(OR(N($I67)=0,$B$10=""),"",IF(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gt;ROWS(SZ_SIZE),"PARALLEL SETS",INDEX(SZ_SIZE,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f>
        <v/>
      </c>
      <c r="L67" s="807" t="n"/>
      <c r="M67" s="831" t="n"/>
      <c r="N67" s="865">
        <f>IF(OR(IF($L67&lt;&gt;"",$L67,$K67)="",IF($L67&lt;&gt;"",$L67,$K67)="PARALLEL SETS"),"",IFERROR(INDEX(SZ_AMP,MATCH(IF($L67&lt;&gt;"",$L67,$K67),SZ_SIZE,0))*IF(N($M67)&gt;0,N($M67),MAX(1,N(IFERROR(INDEX(SPEC_CIRC,MATCH(INDEX(Equipment!$C$7:$C$18,MAX(1,N($W67))),SPEC_SKU,0)),1)))),""))</f>
        <v/>
      </c>
      <c r="O67" s="866">
        <f>IF(OR(N($N67)=0,N($F67)=0),"",IFERROR(IF($V67="L2",2,SQRT(3))*N($H67)/IF(N($M67)&gt;0,N($M67),MAX(1,N(IFERROR(INDEX(SPEC_CIRC,MATCH(INDEX(Equipment!$C$7:$C$18,MAX(1,N($W67))),SPEC_SKU,0)),1))))*N($F67)*INDEX(SZ_Z,MATCH(IF($L67&lt;&gt;"",$L67,$K67),SZ_SIZE,0))/1000/IF($V67="L2",N(Equipment!$B$30),Project!$B$29),""))</f>
        <v/>
      </c>
      <c r="P67" s="863">
        <f>IF(N($J67)=0,"",IFERROR(INDEX(IF($B$6="Cu",EGC_CU,EGC_AL),MATCH($J67,EGC_OCPD,1)+IF(ISNUMBER(MATCH($J67,EGC_OCPD,0)),0,1)),""))</f>
        <v/>
      </c>
      <c r="Q67" s="863">
        <f>IF(N($N67)=0,"",IFERROR(INDEX(IF($V67="L2",CND_2G,CND_3G),MATCH(IF($L67&lt;&gt;"",$L67,$K67),CND_SIZE,0)),""))</f>
        <v/>
      </c>
      <c r="R67" s="807" t="n"/>
      <c r="S67" s="867">
        <f>IF(OR(N($F67)=0,N($N67)=0),0,IFERROR(N($F67)*IF(N($M67)&gt;0,N($M67),MAX(1,N(IFERROR(INDEX(SPEC_CIRC,MATCH(INDEX(Equipment!$C$7:$C$18,MAX(1,N($W67))),SPEC_SKU,0)),1))))*IF($V67="L2",2,3)*INDEX(IF($B$6="Cu",WIRE_CU,WIRE_AL),MATCH(IF($L67&lt;&gt;"",$L67,$K67),WIRE_SIZE,0)),0)+IFERROR(N($F67)*IF(N($M67)&gt;0,N($M67),MAX(1,N(IFERROR(INDEX(SPEC_CIRC,MATCH(INDEX(Equipment!$C$7:$C$18,MAX(1,N($W67))),SPEC_SKU,0)),1))))*INDEX(IF($B$6="Cu",WIRE_CU,WIRE_AL),MATCH($P67,WIRE_SIZE,0)),0)+IFERROR(N($F67)*IF(N($M67)&gt;0,N($M67),MAX(1,N(IFERROR(INDEX(SPEC_CIRC,MATCH(INDEX(Equipment!$C$7:$C$18,MAX(1,N($W67))),SPEC_SKU,0)),1))))*INDEX(PVC_RATE,MATCH(IF($R67&lt;&gt;"",$R67,$Q67),PVC_SIZE,0)),0)+IF($V67="L2",0,IFERROR(N($F67)*INDEX(PVC_RATE,MATCH("(3/4"")",PVC_SIZE,0)),0)))</f>
        <v/>
      </c>
      <c r="T67" s="863">
        <f>IF($W67="","",IF($U67=0,"shared — on circuit "&amp;$E67&amp;", sized and priced on its first unit",IF(N($F67)=0,"ENTER THE DISTANCE",IF($B$10="","SET THE DESIGN AMBIENT in block A — nothing on this row can be trusted until it is",IF(IF($L67&lt;&gt;"",$L67,$K67)="PARALLEL SETS","PARALLEL SETS NEEDED — no single conductor carries "&amp;TEXT(N($I67),"#,##0")&amp;" A within the drop allowance; enter sets in column M",IF(N($N67)=0,"no ampacity on file for the override size — NEC Table 310.16 does not list it",IF(N($N67)&lt;IF(N($J67)&gt;800,N($J67),N($I67)),"UNDERSIZED — "&amp;TEXT(N($N67),"#,##0")&amp;" A provided against a floor of "&amp;TEXT(IF(N($J67)&gt;800,N($J67),N($I67)),"#,##0")&amp;" A",IF(N($O67)&gt;$B$13,"ampacity OK but voltage drop "&amp;TEXT(N($O67),"0.0%")&amp;" exceeds the allowance — ADVISORY, upsize the override","OK — "&amp;IF(IF(N($M67)&gt;0,N($M67),MAX(1,N(IFERROR(INDEX(SPEC_CIRC,MATCH(INDEX(Equipment!$C$7:$C$18,MAX(1,N($W67))),SPEC_SKU,0)),1))))&gt;1,TEXT(IF(N($M67)&gt;0,N($M67),MAX(1,N(IFERROR(INDEX(SPEC_CIRC,MATCH(INDEX(Equipment!$C$7:$C$18,MAX(1,N($W67))),SPEC_SKU,0)),1)))),"0")&amp;" sets of ","")&amp;IF($L67&lt;&gt;"",$L67,$K67)&amp;IF($L67&lt;&gt;""," (override)","")&amp;", "&amp;TEXT(N($N67),"#,##0")&amp;" A against a "&amp;TEXT(IF(N($J67)&gt;800,N($J67),N($I67)),"#,##0")&amp;" A floor; drop "&amp;TEXT(N($O67),"0.0%")&amp;" (ADVISORY)"))))))))</f>
        <v/>
      </c>
      <c r="U67" s="868">
        <f>IF($W67="",0,IF($E67="",1,IF(MATCH($E67,$E$18:$E$77,0)=50,1,0)))</f>
        <v/>
      </c>
      <c r="V67" s="869">
        <f>IF($W67="","",IF(INDEX(Equipment!$E$7:$E$18,$W67)="level_2","L2",IF(INDEX(Equipment!$E$7:$E$18,$W67)="power_cabinet","CAB","DC")))</f>
        <v/>
      </c>
      <c r="W67" s="868">
        <f>IF(N($B$80)&gt;=50,COUNTIF(Equipment!$S$7:$S$18,"&lt;50")+1,"")</f>
        <v/>
      </c>
      <c r="X67" s="868">
        <f>IF($U67&lt;&gt;1,"",IF(N($M67)&gt;0,N($M67),MAX(1,N(IFERROR(INDEX(SPEC_CIRC,MATCH(INDEX(Equipment!$C$7:$C$18,MAX(1,N($W67))),SPEC_SKU,0)),1)))))</f>
        <v/>
      </c>
    </row>
    <row r="68" ht="16" customHeight="1" s="254">
      <c r="A68" s="862">
        <f>IF($W68="","","Charger 51")</f>
        <v/>
      </c>
      <c r="B68" s="863">
        <f>IF($W68="","","Line "&amp;$W68&amp;" · "&amp;INDEX(Equipment!$C$7:$C$18,$W68)&amp;" · "&amp;INDEX(Equipment!$B$7:$B$18,$W68)&amp;" · #"&amp;(51-INDEX(Equipment!$R$7:$R$18,$W68)+1)&amp;" of "&amp;INDEX(Equipment!$I$7:$I$18,$W68))</f>
        <v/>
      </c>
      <c r="C68" s="863">
        <f>IF($W68="","",IF($V68="L2",TEXT(N(Equipment!$B$30),"0")&amp;" V 1-ph",TEXT(Project!$B$29,"0")&amp;" V 3-ph"))</f>
        <v/>
      </c>
      <c r="D68" s="864">
        <f>IF($W68="","",INDEX(Equipment!$G$7:$G$18,$W68))</f>
        <v/>
      </c>
      <c r="E68" s="807" t="n"/>
      <c r="F68" s="831" t="n"/>
      <c r="G68" s="807" t="n"/>
      <c r="H68" s="865">
        <f>IF($U68&lt;&gt;1,"",IF($E68="",N($D68),SUMIF($E$18:$E$77,$E68,$D$18:$D$77))*1000/(IF($V68="L2",N(Equipment!$B$30),Project!$B$29)*IF($V68="L2",1,SQRT(3))))</f>
        <v/>
      </c>
      <c r="I68" s="865">
        <f>IF(N($H68)=0,"",N($H68)*1.25)</f>
        <v/>
      </c>
      <c r="J68" s="865">
        <f>IF(N($I68)=0,"",IF(ISNUMBER(MATCH($I68,OCPD_LIST,0)),$I68,IF($I68&gt;MAX(OCPD_LIST),"ABOVE LIST",INDEX(OCPD_LIST,MATCH($I68,OCPD_LIST,1)+1))))</f>
        <v/>
      </c>
      <c r="K68" s="863">
        <f>IF(OR(N($I68)=0,$B$10=""),"",IF(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gt;ROWS(SZ_SIZE),"PARALLEL SETS",INDEX(SZ_SIZE,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f>
        <v/>
      </c>
      <c r="L68" s="807" t="n"/>
      <c r="M68" s="831" t="n"/>
      <c r="N68" s="865">
        <f>IF(OR(IF($L68&lt;&gt;"",$L68,$K68)="",IF($L68&lt;&gt;"",$L68,$K68)="PARALLEL SETS"),"",IFERROR(INDEX(SZ_AMP,MATCH(IF($L68&lt;&gt;"",$L68,$K68),SZ_SIZE,0))*IF(N($M68)&gt;0,N($M68),MAX(1,N(IFERROR(INDEX(SPEC_CIRC,MATCH(INDEX(Equipment!$C$7:$C$18,MAX(1,N($W68))),SPEC_SKU,0)),1)))),""))</f>
        <v/>
      </c>
      <c r="O68" s="866">
        <f>IF(OR(N($N68)=0,N($F68)=0),"",IFERROR(IF($V68="L2",2,SQRT(3))*N($H68)/IF(N($M68)&gt;0,N($M68),MAX(1,N(IFERROR(INDEX(SPEC_CIRC,MATCH(INDEX(Equipment!$C$7:$C$18,MAX(1,N($W68))),SPEC_SKU,0)),1))))*N($F68)*INDEX(SZ_Z,MATCH(IF($L68&lt;&gt;"",$L68,$K68),SZ_SIZE,0))/1000/IF($V68="L2",N(Equipment!$B$30),Project!$B$29),""))</f>
        <v/>
      </c>
      <c r="P68" s="863">
        <f>IF(N($J68)=0,"",IFERROR(INDEX(IF($B$6="Cu",EGC_CU,EGC_AL),MATCH($J68,EGC_OCPD,1)+IF(ISNUMBER(MATCH($J68,EGC_OCPD,0)),0,1)),""))</f>
        <v/>
      </c>
      <c r="Q68" s="863">
        <f>IF(N($N68)=0,"",IFERROR(INDEX(IF($V68="L2",CND_2G,CND_3G),MATCH(IF($L68&lt;&gt;"",$L68,$K68),CND_SIZE,0)),""))</f>
        <v/>
      </c>
      <c r="R68" s="807" t="n"/>
      <c r="S68" s="867">
        <f>IF(OR(N($F68)=0,N($N68)=0),0,IFERROR(N($F68)*IF(N($M68)&gt;0,N($M68),MAX(1,N(IFERROR(INDEX(SPEC_CIRC,MATCH(INDEX(Equipment!$C$7:$C$18,MAX(1,N($W68))),SPEC_SKU,0)),1))))*IF($V68="L2",2,3)*INDEX(IF($B$6="Cu",WIRE_CU,WIRE_AL),MATCH(IF($L68&lt;&gt;"",$L68,$K68),WIRE_SIZE,0)),0)+IFERROR(N($F68)*IF(N($M68)&gt;0,N($M68),MAX(1,N(IFERROR(INDEX(SPEC_CIRC,MATCH(INDEX(Equipment!$C$7:$C$18,MAX(1,N($W68))),SPEC_SKU,0)),1))))*INDEX(IF($B$6="Cu",WIRE_CU,WIRE_AL),MATCH($P68,WIRE_SIZE,0)),0)+IFERROR(N($F68)*IF(N($M68)&gt;0,N($M68),MAX(1,N(IFERROR(INDEX(SPEC_CIRC,MATCH(INDEX(Equipment!$C$7:$C$18,MAX(1,N($W68))),SPEC_SKU,0)),1))))*INDEX(PVC_RATE,MATCH(IF($R68&lt;&gt;"",$R68,$Q68),PVC_SIZE,0)),0)+IF($V68="L2",0,IFERROR(N($F68)*INDEX(PVC_RATE,MATCH("(3/4"")",PVC_SIZE,0)),0)))</f>
        <v/>
      </c>
      <c r="T68" s="863">
        <f>IF($W68="","",IF($U68=0,"shared — on circuit "&amp;$E68&amp;", sized and priced on its first unit",IF(N($F68)=0,"ENTER THE DISTANCE",IF($B$10="","SET THE DESIGN AMBIENT in block A — nothing on this row can be trusted until it is",IF(IF($L68&lt;&gt;"",$L68,$K68)="PARALLEL SETS","PARALLEL SETS NEEDED — no single conductor carries "&amp;TEXT(N($I68),"#,##0")&amp;" A within the drop allowance; enter sets in column M",IF(N($N68)=0,"no ampacity on file for the override size — NEC Table 310.16 does not list it",IF(N($N68)&lt;IF(N($J68)&gt;800,N($J68),N($I68)),"UNDERSIZED — "&amp;TEXT(N($N68),"#,##0")&amp;" A provided against a floor of "&amp;TEXT(IF(N($J68)&gt;800,N($J68),N($I68)),"#,##0")&amp;" A",IF(N($O68)&gt;$B$13,"ampacity OK but voltage drop "&amp;TEXT(N($O68),"0.0%")&amp;" exceeds the allowance — ADVISORY, upsize the override","OK — "&amp;IF(IF(N($M68)&gt;0,N($M68),MAX(1,N(IFERROR(INDEX(SPEC_CIRC,MATCH(INDEX(Equipment!$C$7:$C$18,MAX(1,N($W68))),SPEC_SKU,0)),1))))&gt;1,TEXT(IF(N($M68)&gt;0,N($M68),MAX(1,N(IFERROR(INDEX(SPEC_CIRC,MATCH(INDEX(Equipment!$C$7:$C$18,MAX(1,N($W68))),SPEC_SKU,0)),1)))),"0")&amp;" sets of ","")&amp;IF($L68&lt;&gt;"",$L68,$K68)&amp;IF($L68&lt;&gt;""," (override)","")&amp;", "&amp;TEXT(N($N68),"#,##0")&amp;" A against a "&amp;TEXT(IF(N($J68)&gt;800,N($J68),N($I68)),"#,##0")&amp;" A floor; drop "&amp;TEXT(N($O68),"0.0%")&amp;" (ADVISORY)"))))))))</f>
        <v/>
      </c>
      <c r="U68" s="868">
        <f>IF($W68="",0,IF($E68="",1,IF(MATCH($E68,$E$18:$E$77,0)=51,1,0)))</f>
        <v/>
      </c>
      <c r="V68" s="869">
        <f>IF($W68="","",IF(INDEX(Equipment!$E$7:$E$18,$W68)="level_2","L2",IF(INDEX(Equipment!$E$7:$E$18,$W68)="power_cabinet","CAB","DC")))</f>
        <v/>
      </c>
      <c r="W68" s="868">
        <f>IF(N($B$80)&gt;=51,COUNTIF(Equipment!$S$7:$S$18,"&lt;51")+1,"")</f>
        <v/>
      </c>
      <c r="X68" s="868">
        <f>IF($U68&lt;&gt;1,"",IF(N($M68)&gt;0,N($M68),MAX(1,N(IFERROR(INDEX(SPEC_CIRC,MATCH(INDEX(Equipment!$C$7:$C$18,MAX(1,N($W68))),SPEC_SKU,0)),1)))))</f>
        <v/>
      </c>
    </row>
    <row r="69" ht="16" customHeight="1" s="254">
      <c r="A69" s="862">
        <f>IF($W69="","","Charger 52")</f>
        <v/>
      </c>
      <c r="B69" s="863">
        <f>IF($W69="","","Line "&amp;$W69&amp;" · "&amp;INDEX(Equipment!$C$7:$C$18,$W69)&amp;" · "&amp;INDEX(Equipment!$B$7:$B$18,$W69)&amp;" · #"&amp;(52-INDEX(Equipment!$R$7:$R$18,$W69)+1)&amp;" of "&amp;INDEX(Equipment!$I$7:$I$18,$W69))</f>
        <v/>
      </c>
      <c r="C69" s="863">
        <f>IF($W69="","",IF($V69="L2",TEXT(N(Equipment!$B$30),"0")&amp;" V 1-ph",TEXT(Project!$B$29,"0")&amp;" V 3-ph"))</f>
        <v/>
      </c>
      <c r="D69" s="864">
        <f>IF($W69="","",INDEX(Equipment!$G$7:$G$18,$W69))</f>
        <v/>
      </c>
      <c r="E69" s="807" t="n"/>
      <c r="F69" s="831" t="n"/>
      <c r="G69" s="807" t="n"/>
      <c r="H69" s="865">
        <f>IF($U69&lt;&gt;1,"",IF($E69="",N($D69),SUMIF($E$18:$E$77,$E69,$D$18:$D$77))*1000/(IF($V69="L2",N(Equipment!$B$30),Project!$B$29)*IF($V69="L2",1,SQRT(3))))</f>
        <v/>
      </c>
      <c r="I69" s="865">
        <f>IF(N($H69)=0,"",N($H69)*1.25)</f>
        <v/>
      </c>
      <c r="J69" s="865">
        <f>IF(N($I69)=0,"",IF(ISNUMBER(MATCH($I69,OCPD_LIST,0)),$I69,IF($I69&gt;MAX(OCPD_LIST),"ABOVE LIST",INDEX(OCPD_LIST,MATCH($I69,OCPD_LIST,1)+1))))</f>
        <v/>
      </c>
      <c r="K69" s="863">
        <f>IF(OR(N($I69)=0,$B$10=""),"",IF(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gt;ROWS(SZ_SIZE),"PARALLEL SETS",INDEX(SZ_SIZE,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f>
        <v/>
      </c>
      <c r="L69" s="807" t="n"/>
      <c r="M69" s="831" t="n"/>
      <c r="N69" s="865">
        <f>IF(OR(IF($L69&lt;&gt;"",$L69,$K69)="",IF($L69&lt;&gt;"",$L69,$K69)="PARALLEL SETS"),"",IFERROR(INDEX(SZ_AMP,MATCH(IF($L69&lt;&gt;"",$L69,$K69),SZ_SIZE,0))*IF(N($M69)&gt;0,N($M69),MAX(1,N(IFERROR(INDEX(SPEC_CIRC,MATCH(INDEX(Equipment!$C$7:$C$18,MAX(1,N($W69))),SPEC_SKU,0)),1)))),""))</f>
        <v/>
      </c>
      <c r="O69" s="866">
        <f>IF(OR(N($N69)=0,N($F69)=0),"",IFERROR(IF($V69="L2",2,SQRT(3))*N($H69)/IF(N($M69)&gt;0,N($M69),MAX(1,N(IFERROR(INDEX(SPEC_CIRC,MATCH(INDEX(Equipment!$C$7:$C$18,MAX(1,N($W69))),SPEC_SKU,0)),1))))*N($F69)*INDEX(SZ_Z,MATCH(IF($L69&lt;&gt;"",$L69,$K69),SZ_SIZE,0))/1000/IF($V69="L2",N(Equipment!$B$30),Project!$B$29),""))</f>
        <v/>
      </c>
      <c r="P69" s="863">
        <f>IF(N($J69)=0,"",IFERROR(INDEX(IF($B$6="Cu",EGC_CU,EGC_AL),MATCH($J69,EGC_OCPD,1)+IF(ISNUMBER(MATCH($J69,EGC_OCPD,0)),0,1)),""))</f>
        <v/>
      </c>
      <c r="Q69" s="863">
        <f>IF(N($N69)=0,"",IFERROR(INDEX(IF($V69="L2",CND_2G,CND_3G),MATCH(IF($L69&lt;&gt;"",$L69,$K69),CND_SIZE,0)),""))</f>
        <v/>
      </c>
      <c r="R69" s="807" t="n"/>
      <c r="S69" s="867">
        <f>IF(OR(N($F69)=0,N($N69)=0),0,IFERROR(N($F69)*IF(N($M69)&gt;0,N($M69),MAX(1,N(IFERROR(INDEX(SPEC_CIRC,MATCH(INDEX(Equipment!$C$7:$C$18,MAX(1,N($W69))),SPEC_SKU,0)),1))))*IF($V69="L2",2,3)*INDEX(IF($B$6="Cu",WIRE_CU,WIRE_AL),MATCH(IF($L69&lt;&gt;"",$L69,$K69),WIRE_SIZE,0)),0)+IFERROR(N($F69)*IF(N($M69)&gt;0,N($M69),MAX(1,N(IFERROR(INDEX(SPEC_CIRC,MATCH(INDEX(Equipment!$C$7:$C$18,MAX(1,N($W69))),SPEC_SKU,0)),1))))*INDEX(IF($B$6="Cu",WIRE_CU,WIRE_AL),MATCH($P69,WIRE_SIZE,0)),0)+IFERROR(N($F69)*IF(N($M69)&gt;0,N($M69),MAX(1,N(IFERROR(INDEX(SPEC_CIRC,MATCH(INDEX(Equipment!$C$7:$C$18,MAX(1,N($W69))),SPEC_SKU,0)),1))))*INDEX(PVC_RATE,MATCH(IF($R69&lt;&gt;"",$R69,$Q69),PVC_SIZE,0)),0)+IF($V69="L2",0,IFERROR(N($F69)*INDEX(PVC_RATE,MATCH("(3/4"")",PVC_SIZE,0)),0)))</f>
        <v/>
      </c>
      <c r="T69" s="863">
        <f>IF($W69="","",IF($U69=0,"shared — on circuit "&amp;$E69&amp;", sized and priced on its first unit",IF(N($F69)=0,"ENTER THE DISTANCE",IF($B$10="","SET THE DESIGN AMBIENT in block A — nothing on this row can be trusted until it is",IF(IF($L69&lt;&gt;"",$L69,$K69)="PARALLEL SETS","PARALLEL SETS NEEDED — no single conductor carries "&amp;TEXT(N($I69),"#,##0")&amp;" A within the drop allowance; enter sets in column M",IF(N($N69)=0,"no ampacity on file for the override size — NEC Table 310.16 does not list it",IF(N($N69)&lt;IF(N($J69)&gt;800,N($J69),N($I69)),"UNDERSIZED — "&amp;TEXT(N($N69),"#,##0")&amp;" A provided against a floor of "&amp;TEXT(IF(N($J69)&gt;800,N($J69),N($I69)),"#,##0")&amp;" A",IF(N($O69)&gt;$B$13,"ampacity OK but voltage drop "&amp;TEXT(N($O69),"0.0%")&amp;" exceeds the allowance — ADVISORY, upsize the override","OK — "&amp;IF(IF(N($M69)&gt;0,N($M69),MAX(1,N(IFERROR(INDEX(SPEC_CIRC,MATCH(INDEX(Equipment!$C$7:$C$18,MAX(1,N($W69))),SPEC_SKU,0)),1))))&gt;1,TEXT(IF(N($M69)&gt;0,N($M69),MAX(1,N(IFERROR(INDEX(SPEC_CIRC,MATCH(INDEX(Equipment!$C$7:$C$18,MAX(1,N($W69))),SPEC_SKU,0)),1)))),"0")&amp;" sets of ","")&amp;IF($L69&lt;&gt;"",$L69,$K69)&amp;IF($L69&lt;&gt;""," (override)","")&amp;", "&amp;TEXT(N($N69),"#,##0")&amp;" A against a "&amp;TEXT(IF(N($J69)&gt;800,N($J69),N($I69)),"#,##0")&amp;" A floor; drop "&amp;TEXT(N($O69),"0.0%")&amp;" (ADVISORY)"))))))))</f>
        <v/>
      </c>
      <c r="U69" s="868">
        <f>IF($W69="",0,IF($E69="",1,IF(MATCH($E69,$E$18:$E$77,0)=52,1,0)))</f>
        <v/>
      </c>
      <c r="V69" s="869">
        <f>IF($W69="","",IF(INDEX(Equipment!$E$7:$E$18,$W69)="level_2","L2",IF(INDEX(Equipment!$E$7:$E$18,$W69)="power_cabinet","CAB","DC")))</f>
        <v/>
      </c>
      <c r="W69" s="868">
        <f>IF(N($B$80)&gt;=52,COUNTIF(Equipment!$S$7:$S$18,"&lt;52")+1,"")</f>
        <v/>
      </c>
      <c r="X69" s="868">
        <f>IF($U69&lt;&gt;1,"",IF(N($M69)&gt;0,N($M69),MAX(1,N(IFERROR(INDEX(SPEC_CIRC,MATCH(INDEX(Equipment!$C$7:$C$18,MAX(1,N($W69))),SPEC_SKU,0)),1)))))</f>
        <v/>
      </c>
    </row>
    <row r="70" ht="16" customHeight="1" s="254">
      <c r="A70" s="862">
        <f>IF($W70="","","Charger 53")</f>
        <v/>
      </c>
      <c r="B70" s="863">
        <f>IF($W70="","","Line "&amp;$W70&amp;" · "&amp;INDEX(Equipment!$C$7:$C$18,$W70)&amp;" · "&amp;INDEX(Equipment!$B$7:$B$18,$W70)&amp;" · #"&amp;(53-INDEX(Equipment!$R$7:$R$18,$W70)+1)&amp;" of "&amp;INDEX(Equipment!$I$7:$I$18,$W70))</f>
        <v/>
      </c>
      <c r="C70" s="863">
        <f>IF($W70="","",IF($V70="L2",TEXT(N(Equipment!$B$30),"0")&amp;" V 1-ph",TEXT(Project!$B$29,"0")&amp;" V 3-ph"))</f>
        <v/>
      </c>
      <c r="D70" s="864">
        <f>IF($W70="","",INDEX(Equipment!$G$7:$G$18,$W70))</f>
        <v/>
      </c>
      <c r="E70" s="807" t="n"/>
      <c r="F70" s="831" t="n"/>
      <c r="G70" s="807" t="n"/>
      <c r="H70" s="865">
        <f>IF($U70&lt;&gt;1,"",IF($E70="",N($D70),SUMIF($E$18:$E$77,$E70,$D$18:$D$77))*1000/(IF($V70="L2",N(Equipment!$B$30),Project!$B$29)*IF($V70="L2",1,SQRT(3))))</f>
        <v/>
      </c>
      <c r="I70" s="865">
        <f>IF(N($H70)=0,"",N($H70)*1.25)</f>
        <v/>
      </c>
      <c r="J70" s="865">
        <f>IF(N($I70)=0,"",IF(ISNUMBER(MATCH($I70,OCPD_LIST,0)),$I70,IF($I70&gt;MAX(OCPD_LIST),"ABOVE LIST",INDEX(OCPD_LIST,MATCH($I70,OCPD_LIST,1)+1))))</f>
        <v/>
      </c>
      <c r="K70" s="863">
        <f>IF(OR(N($I70)=0,$B$10=""),"",IF(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gt;ROWS(SZ_SIZE),"PARALLEL SETS",INDEX(SZ_SIZE,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f>
        <v/>
      </c>
      <c r="L70" s="807" t="n"/>
      <c r="M70" s="831" t="n"/>
      <c r="N70" s="865">
        <f>IF(OR(IF($L70&lt;&gt;"",$L70,$K70)="",IF($L70&lt;&gt;"",$L70,$K70)="PARALLEL SETS"),"",IFERROR(INDEX(SZ_AMP,MATCH(IF($L70&lt;&gt;"",$L70,$K70),SZ_SIZE,0))*IF(N($M70)&gt;0,N($M70),MAX(1,N(IFERROR(INDEX(SPEC_CIRC,MATCH(INDEX(Equipment!$C$7:$C$18,MAX(1,N($W70))),SPEC_SKU,0)),1)))),""))</f>
        <v/>
      </c>
      <c r="O70" s="866">
        <f>IF(OR(N($N70)=0,N($F70)=0),"",IFERROR(IF($V70="L2",2,SQRT(3))*N($H70)/IF(N($M70)&gt;0,N($M70),MAX(1,N(IFERROR(INDEX(SPEC_CIRC,MATCH(INDEX(Equipment!$C$7:$C$18,MAX(1,N($W70))),SPEC_SKU,0)),1))))*N($F70)*INDEX(SZ_Z,MATCH(IF($L70&lt;&gt;"",$L70,$K70),SZ_SIZE,0))/1000/IF($V70="L2",N(Equipment!$B$30),Project!$B$29),""))</f>
        <v/>
      </c>
      <c r="P70" s="863">
        <f>IF(N($J70)=0,"",IFERROR(INDEX(IF($B$6="Cu",EGC_CU,EGC_AL),MATCH($J70,EGC_OCPD,1)+IF(ISNUMBER(MATCH($J70,EGC_OCPD,0)),0,1)),""))</f>
        <v/>
      </c>
      <c r="Q70" s="863">
        <f>IF(N($N70)=0,"",IFERROR(INDEX(IF($V70="L2",CND_2G,CND_3G),MATCH(IF($L70&lt;&gt;"",$L70,$K70),CND_SIZE,0)),""))</f>
        <v/>
      </c>
      <c r="R70" s="807" t="n"/>
      <c r="S70" s="867">
        <f>IF(OR(N($F70)=0,N($N70)=0),0,IFERROR(N($F70)*IF(N($M70)&gt;0,N($M70),MAX(1,N(IFERROR(INDEX(SPEC_CIRC,MATCH(INDEX(Equipment!$C$7:$C$18,MAX(1,N($W70))),SPEC_SKU,0)),1))))*IF($V70="L2",2,3)*INDEX(IF($B$6="Cu",WIRE_CU,WIRE_AL),MATCH(IF($L70&lt;&gt;"",$L70,$K70),WIRE_SIZE,0)),0)+IFERROR(N($F70)*IF(N($M70)&gt;0,N($M70),MAX(1,N(IFERROR(INDEX(SPEC_CIRC,MATCH(INDEX(Equipment!$C$7:$C$18,MAX(1,N($W70))),SPEC_SKU,0)),1))))*INDEX(IF($B$6="Cu",WIRE_CU,WIRE_AL),MATCH($P70,WIRE_SIZE,0)),0)+IFERROR(N($F70)*IF(N($M70)&gt;0,N($M70),MAX(1,N(IFERROR(INDEX(SPEC_CIRC,MATCH(INDEX(Equipment!$C$7:$C$18,MAX(1,N($W70))),SPEC_SKU,0)),1))))*INDEX(PVC_RATE,MATCH(IF($R70&lt;&gt;"",$R70,$Q70),PVC_SIZE,0)),0)+IF($V70="L2",0,IFERROR(N($F70)*INDEX(PVC_RATE,MATCH("(3/4"")",PVC_SIZE,0)),0)))</f>
        <v/>
      </c>
      <c r="T70" s="863">
        <f>IF($W70="","",IF($U70=0,"shared — on circuit "&amp;$E70&amp;", sized and priced on its first unit",IF(N($F70)=0,"ENTER THE DISTANCE",IF($B$10="","SET THE DESIGN AMBIENT in block A — nothing on this row can be trusted until it is",IF(IF($L70&lt;&gt;"",$L70,$K70)="PARALLEL SETS","PARALLEL SETS NEEDED — no single conductor carries "&amp;TEXT(N($I70),"#,##0")&amp;" A within the drop allowance; enter sets in column M",IF(N($N70)=0,"no ampacity on file for the override size — NEC Table 310.16 does not list it",IF(N($N70)&lt;IF(N($J70)&gt;800,N($J70),N($I70)),"UNDERSIZED — "&amp;TEXT(N($N70),"#,##0")&amp;" A provided against a floor of "&amp;TEXT(IF(N($J70)&gt;800,N($J70),N($I70)),"#,##0")&amp;" A",IF(N($O70)&gt;$B$13,"ampacity OK but voltage drop "&amp;TEXT(N($O70),"0.0%")&amp;" exceeds the allowance — ADVISORY, upsize the override","OK — "&amp;IF(IF(N($M70)&gt;0,N($M70),MAX(1,N(IFERROR(INDEX(SPEC_CIRC,MATCH(INDEX(Equipment!$C$7:$C$18,MAX(1,N($W70))),SPEC_SKU,0)),1))))&gt;1,TEXT(IF(N($M70)&gt;0,N($M70),MAX(1,N(IFERROR(INDEX(SPEC_CIRC,MATCH(INDEX(Equipment!$C$7:$C$18,MAX(1,N($W70))),SPEC_SKU,0)),1)))),"0")&amp;" sets of ","")&amp;IF($L70&lt;&gt;"",$L70,$K70)&amp;IF($L70&lt;&gt;""," (override)","")&amp;", "&amp;TEXT(N($N70),"#,##0")&amp;" A against a "&amp;TEXT(IF(N($J70)&gt;800,N($J70),N($I70)),"#,##0")&amp;" A floor; drop "&amp;TEXT(N($O70),"0.0%")&amp;" (ADVISORY)"))))))))</f>
        <v/>
      </c>
      <c r="U70" s="868">
        <f>IF($W70="",0,IF($E70="",1,IF(MATCH($E70,$E$18:$E$77,0)=53,1,0)))</f>
        <v/>
      </c>
      <c r="V70" s="869">
        <f>IF($W70="","",IF(INDEX(Equipment!$E$7:$E$18,$W70)="level_2","L2",IF(INDEX(Equipment!$E$7:$E$18,$W70)="power_cabinet","CAB","DC")))</f>
        <v/>
      </c>
      <c r="W70" s="868">
        <f>IF(N($B$80)&gt;=53,COUNTIF(Equipment!$S$7:$S$18,"&lt;53")+1,"")</f>
        <v/>
      </c>
      <c r="X70" s="868">
        <f>IF($U70&lt;&gt;1,"",IF(N($M70)&gt;0,N($M70),MAX(1,N(IFERROR(INDEX(SPEC_CIRC,MATCH(INDEX(Equipment!$C$7:$C$18,MAX(1,N($W70))),SPEC_SKU,0)),1)))))</f>
        <v/>
      </c>
    </row>
    <row r="71" ht="16" customHeight="1" s="254">
      <c r="A71" s="862">
        <f>IF($W71="","","Charger 54")</f>
        <v/>
      </c>
      <c r="B71" s="863">
        <f>IF($W71="","","Line "&amp;$W71&amp;" · "&amp;INDEX(Equipment!$C$7:$C$18,$W71)&amp;" · "&amp;INDEX(Equipment!$B$7:$B$18,$W71)&amp;" · #"&amp;(54-INDEX(Equipment!$R$7:$R$18,$W71)+1)&amp;" of "&amp;INDEX(Equipment!$I$7:$I$18,$W71))</f>
        <v/>
      </c>
      <c r="C71" s="863">
        <f>IF($W71="","",IF($V71="L2",TEXT(N(Equipment!$B$30),"0")&amp;" V 1-ph",TEXT(Project!$B$29,"0")&amp;" V 3-ph"))</f>
        <v/>
      </c>
      <c r="D71" s="864">
        <f>IF($W71="","",INDEX(Equipment!$G$7:$G$18,$W71))</f>
        <v/>
      </c>
      <c r="E71" s="807" t="n"/>
      <c r="F71" s="831" t="n"/>
      <c r="G71" s="807" t="n"/>
      <c r="H71" s="865">
        <f>IF($U71&lt;&gt;1,"",IF($E71="",N($D71),SUMIF($E$18:$E$77,$E71,$D$18:$D$77))*1000/(IF($V71="L2",N(Equipment!$B$30),Project!$B$29)*IF($V71="L2",1,SQRT(3))))</f>
        <v/>
      </c>
      <c r="I71" s="865">
        <f>IF(N($H71)=0,"",N($H71)*1.25)</f>
        <v/>
      </c>
      <c r="J71" s="865">
        <f>IF(N($I71)=0,"",IF(ISNUMBER(MATCH($I71,OCPD_LIST,0)),$I71,IF($I71&gt;MAX(OCPD_LIST),"ABOVE LIST",INDEX(OCPD_LIST,MATCH($I71,OCPD_LIST,1)+1))))</f>
        <v/>
      </c>
      <c r="K71" s="863">
        <f>IF(OR(N($I71)=0,$B$10=""),"",IF(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gt;ROWS(SZ_SIZE),"PARALLEL SETS",INDEX(SZ_SIZE,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f>
        <v/>
      </c>
      <c r="L71" s="807" t="n"/>
      <c r="M71" s="831" t="n"/>
      <c r="N71" s="865">
        <f>IF(OR(IF($L71&lt;&gt;"",$L71,$K71)="",IF($L71&lt;&gt;"",$L71,$K71)="PARALLEL SETS"),"",IFERROR(INDEX(SZ_AMP,MATCH(IF($L71&lt;&gt;"",$L71,$K71),SZ_SIZE,0))*IF(N($M71)&gt;0,N($M71),MAX(1,N(IFERROR(INDEX(SPEC_CIRC,MATCH(INDEX(Equipment!$C$7:$C$18,MAX(1,N($W71))),SPEC_SKU,0)),1)))),""))</f>
        <v/>
      </c>
      <c r="O71" s="866">
        <f>IF(OR(N($N71)=0,N($F71)=0),"",IFERROR(IF($V71="L2",2,SQRT(3))*N($H71)/IF(N($M71)&gt;0,N($M71),MAX(1,N(IFERROR(INDEX(SPEC_CIRC,MATCH(INDEX(Equipment!$C$7:$C$18,MAX(1,N($W71))),SPEC_SKU,0)),1))))*N($F71)*INDEX(SZ_Z,MATCH(IF($L71&lt;&gt;"",$L71,$K71),SZ_SIZE,0))/1000/IF($V71="L2",N(Equipment!$B$30),Project!$B$29),""))</f>
        <v/>
      </c>
      <c r="P71" s="863">
        <f>IF(N($J71)=0,"",IFERROR(INDEX(IF($B$6="Cu",EGC_CU,EGC_AL),MATCH($J71,EGC_OCPD,1)+IF(ISNUMBER(MATCH($J71,EGC_OCPD,0)),0,1)),""))</f>
        <v/>
      </c>
      <c r="Q71" s="863">
        <f>IF(N($N71)=0,"",IFERROR(INDEX(IF($V71="L2",CND_2G,CND_3G),MATCH(IF($L71&lt;&gt;"",$L71,$K71),CND_SIZE,0)),""))</f>
        <v/>
      </c>
      <c r="R71" s="807" t="n"/>
      <c r="S71" s="867">
        <f>IF(OR(N($F71)=0,N($N71)=0),0,IFERROR(N($F71)*IF(N($M71)&gt;0,N($M71),MAX(1,N(IFERROR(INDEX(SPEC_CIRC,MATCH(INDEX(Equipment!$C$7:$C$18,MAX(1,N($W71))),SPEC_SKU,0)),1))))*IF($V71="L2",2,3)*INDEX(IF($B$6="Cu",WIRE_CU,WIRE_AL),MATCH(IF($L71&lt;&gt;"",$L71,$K71),WIRE_SIZE,0)),0)+IFERROR(N($F71)*IF(N($M71)&gt;0,N($M71),MAX(1,N(IFERROR(INDEX(SPEC_CIRC,MATCH(INDEX(Equipment!$C$7:$C$18,MAX(1,N($W71))),SPEC_SKU,0)),1))))*INDEX(IF($B$6="Cu",WIRE_CU,WIRE_AL),MATCH($P71,WIRE_SIZE,0)),0)+IFERROR(N($F71)*IF(N($M71)&gt;0,N($M71),MAX(1,N(IFERROR(INDEX(SPEC_CIRC,MATCH(INDEX(Equipment!$C$7:$C$18,MAX(1,N($W71))),SPEC_SKU,0)),1))))*INDEX(PVC_RATE,MATCH(IF($R71&lt;&gt;"",$R71,$Q71),PVC_SIZE,0)),0)+IF($V71="L2",0,IFERROR(N($F71)*INDEX(PVC_RATE,MATCH("(3/4"")",PVC_SIZE,0)),0)))</f>
        <v/>
      </c>
      <c r="T71" s="863">
        <f>IF($W71="","",IF($U71=0,"shared — on circuit "&amp;$E71&amp;", sized and priced on its first unit",IF(N($F71)=0,"ENTER THE DISTANCE",IF($B$10="","SET THE DESIGN AMBIENT in block A — nothing on this row can be trusted until it is",IF(IF($L71&lt;&gt;"",$L71,$K71)="PARALLEL SETS","PARALLEL SETS NEEDED — no single conductor carries "&amp;TEXT(N($I71),"#,##0")&amp;" A within the drop allowance; enter sets in column M",IF(N($N71)=0,"no ampacity on file for the override size — NEC Table 310.16 does not list it",IF(N($N71)&lt;IF(N($J71)&gt;800,N($J71),N($I71)),"UNDERSIZED — "&amp;TEXT(N($N71),"#,##0")&amp;" A provided against a floor of "&amp;TEXT(IF(N($J71)&gt;800,N($J71),N($I71)),"#,##0")&amp;" A",IF(N($O71)&gt;$B$13,"ampacity OK but voltage drop "&amp;TEXT(N($O71),"0.0%")&amp;" exceeds the allowance — ADVISORY, upsize the override","OK — "&amp;IF(IF(N($M71)&gt;0,N($M71),MAX(1,N(IFERROR(INDEX(SPEC_CIRC,MATCH(INDEX(Equipment!$C$7:$C$18,MAX(1,N($W71))),SPEC_SKU,0)),1))))&gt;1,TEXT(IF(N($M71)&gt;0,N($M71),MAX(1,N(IFERROR(INDEX(SPEC_CIRC,MATCH(INDEX(Equipment!$C$7:$C$18,MAX(1,N($W71))),SPEC_SKU,0)),1)))),"0")&amp;" sets of ","")&amp;IF($L71&lt;&gt;"",$L71,$K71)&amp;IF($L71&lt;&gt;""," (override)","")&amp;", "&amp;TEXT(N($N71),"#,##0")&amp;" A against a "&amp;TEXT(IF(N($J71)&gt;800,N($J71),N($I71)),"#,##0")&amp;" A floor; drop "&amp;TEXT(N($O71),"0.0%")&amp;" (ADVISORY)"))))))))</f>
        <v/>
      </c>
      <c r="U71" s="868">
        <f>IF($W71="",0,IF($E71="",1,IF(MATCH($E71,$E$18:$E$77,0)=54,1,0)))</f>
        <v/>
      </c>
      <c r="V71" s="869">
        <f>IF($W71="","",IF(INDEX(Equipment!$E$7:$E$18,$W71)="level_2","L2",IF(INDEX(Equipment!$E$7:$E$18,$W71)="power_cabinet","CAB","DC")))</f>
        <v/>
      </c>
      <c r="W71" s="868">
        <f>IF(N($B$80)&gt;=54,COUNTIF(Equipment!$S$7:$S$18,"&lt;54")+1,"")</f>
        <v/>
      </c>
      <c r="X71" s="868">
        <f>IF($U71&lt;&gt;1,"",IF(N($M71)&gt;0,N($M71),MAX(1,N(IFERROR(INDEX(SPEC_CIRC,MATCH(INDEX(Equipment!$C$7:$C$18,MAX(1,N($W71))),SPEC_SKU,0)),1)))))</f>
        <v/>
      </c>
    </row>
    <row r="72" ht="16" customHeight="1" s="254">
      <c r="A72" s="862">
        <f>IF($W72="","","Charger 55")</f>
        <v/>
      </c>
      <c r="B72" s="863">
        <f>IF($W72="","","Line "&amp;$W72&amp;" · "&amp;INDEX(Equipment!$C$7:$C$18,$W72)&amp;" · "&amp;INDEX(Equipment!$B$7:$B$18,$W72)&amp;" · #"&amp;(55-INDEX(Equipment!$R$7:$R$18,$W72)+1)&amp;" of "&amp;INDEX(Equipment!$I$7:$I$18,$W72))</f>
        <v/>
      </c>
      <c r="C72" s="863">
        <f>IF($W72="","",IF($V72="L2",TEXT(N(Equipment!$B$30),"0")&amp;" V 1-ph",TEXT(Project!$B$29,"0")&amp;" V 3-ph"))</f>
        <v/>
      </c>
      <c r="D72" s="864">
        <f>IF($W72="","",INDEX(Equipment!$G$7:$G$18,$W72))</f>
        <v/>
      </c>
      <c r="E72" s="807" t="n"/>
      <c r="F72" s="831" t="n"/>
      <c r="G72" s="807" t="n"/>
      <c r="H72" s="865">
        <f>IF($U72&lt;&gt;1,"",IF($E72="",N($D72),SUMIF($E$18:$E$77,$E72,$D$18:$D$77))*1000/(IF($V72="L2",N(Equipment!$B$30),Project!$B$29)*IF($V72="L2",1,SQRT(3))))</f>
        <v/>
      </c>
      <c r="I72" s="865">
        <f>IF(N($H72)=0,"",N($H72)*1.25)</f>
        <v/>
      </c>
      <c r="J72" s="865">
        <f>IF(N($I72)=0,"",IF(ISNUMBER(MATCH($I72,OCPD_LIST,0)),$I72,IF($I72&gt;MAX(OCPD_LIST),"ABOVE LIST",INDEX(OCPD_LIST,MATCH($I72,OCPD_LIST,1)+1))))</f>
        <v/>
      </c>
      <c r="K72" s="863">
        <f>IF(OR(N($I72)=0,$B$10=""),"",IF(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gt;ROWS(SZ_SIZE),"PARALLEL SETS",INDEX(SZ_SIZE,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f>
        <v/>
      </c>
      <c r="L72" s="807" t="n"/>
      <c r="M72" s="831" t="n"/>
      <c r="N72" s="865">
        <f>IF(OR(IF($L72&lt;&gt;"",$L72,$K72)="",IF($L72&lt;&gt;"",$L72,$K72)="PARALLEL SETS"),"",IFERROR(INDEX(SZ_AMP,MATCH(IF($L72&lt;&gt;"",$L72,$K72),SZ_SIZE,0))*IF(N($M72)&gt;0,N($M72),MAX(1,N(IFERROR(INDEX(SPEC_CIRC,MATCH(INDEX(Equipment!$C$7:$C$18,MAX(1,N($W72))),SPEC_SKU,0)),1)))),""))</f>
        <v/>
      </c>
      <c r="O72" s="866">
        <f>IF(OR(N($N72)=0,N($F72)=0),"",IFERROR(IF($V72="L2",2,SQRT(3))*N($H72)/IF(N($M72)&gt;0,N($M72),MAX(1,N(IFERROR(INDEX(SPEC_CIRC,MATCH(INDEX(Equipment!$C$7:$C$18,MAX(1,N($W72))),SPEC_SKU,0)),1))))*N($F72)*INDEX(SZ_Z,MATCH(IF($L72&lt;&gt;"",$L72,$K72),SZ_SIZE,0))/1000/IF($V72="L2",N(Equipment!$B$30),Project!$B$29),""))</f>
        <v/>
      </c>
      <c r="P72" s="863">
        <f>IF(N($J72)=0,"",IFERROR(INDEX(IF($B$6="Cu",EGC_CU,EGC_AL),MATCH($J72,EGC_OCPD,1)+IF(ISNUMBER(MATCH($J72,EGC_OCPD,0)),0,1)),""))</f>
        <v/>
      </c>
      <c r="Q72" s="863">
        <f>IF(N($N72)=0,"",IFERROR(INDEX(IF($V72="L2",CND_2G,CND_3G),MATCH(IF($L72&lt;&gt;"",$L72,$K72),CND_SIZE,0)),""))</f>
        <v/>
      </c>
      <c r="R72" s="807" t="n"/>
      <c r="S72" s="867">
        <f>IF(OR(N($F72)=0,N($N72)=0),0,IFERROR(N($F72)*IF(N($M72)&gt;0,N($M72),MAX(1,N(IFERROR(INDEX(SPEC_CIRC,MATCH(INDEX(Equipment!$C$7:$C$18,MAX(1,N($W72))),SPEC_SKU,0)),1))))*IF($V72="L2",2,3)*INDEX(IF($B$6="Cu",WIRE_CU,WIRE_AL),MATCH(IF($L72&lt;&gt;"",$L72,$K72),WIRE_SIZE,0)),0)+IFERROR(N($F72)*IF(N($M72)&gt;0,N($M72),MAX(1,N(IFERROR(INDEX(SPEC_CIRC,MATCH(INDEX(Equipment!$C$7:$C$18,MAX(1,N($W72))),SPEC_SKU,0)),1))))*INDEX(IF($B$6="Cu",WIRE_CU,WIRE_AL),MATCH($P72,WIRE_SIZE,0)),0)+IFERROR(N($F72)*IF(N($M72)&gt;0,N($M72),MAX(1,N(IFERROR(INDEX(SPEC_CIRC,MATCH(INDEX(Equipment!$C$7:$C$18,MAX(1,N($W72))),SPEC_SKU,0)),1))))*INDEX(PVC_RATE,MATCH(IF($R72&lt;&gt;"",$R72,$Q72),PVC_SIZE,0)),0)+IF($V72="L2",0,IFERROR(N($F72)*INDEX(PVC_RATE,MATCH("(3/4"")",PVC_SIZE,0)),0)))</f>
        <v/>
      </c>
      <c r="T72" s="863">
        <f>IF($W72="","",IF($U72=0,"shared — on circuit "&amp;$E72&amp;", sized and priced on its first unit",IF(N($F72)=0,"ENTER THE DISTANCE",IF($B$10="","SET THE DESIGN AMBIENT in block A — nothing on this row can be trusted until it is",IF(IF($L72&lt;&gt;"",$L72,$K72)="PARALLEL SETS","PARALLEL SETS NEEDED — no single conductor carries "&amp;TEXT(N($I72),"#,##0")&amp;" A within the drop allowance; enter sets in column M",IF(N($N72)=0,"no ampacity on file for the override size — NEC Table 310.16 does not list it",IF(N($N72)&lt;IF(N($J72)&gt;800,N($J72),N($I72)),"UNDERSIZED — "&amp;TEXT(N($N72),"#,##0")&amp;" A provided against a floor of "&amp;TEXT(IF(N($J72)&gt;800,N($J72),N($I72)),"#,##0")&amp;" A",IF(N($O72)&gt;$B$13,"ampacity OK but voltage drop "&amp;TEXT(N($O72),"0.0%")&amp;" exceeds the allowance — ADVISORY, upsize the override","OK — "&amp;IF(IF(N($M72)&gt;0,N($M72),MAX(1,N(IFERROR(INDEX(SPEC_CIRC,MATCH(INDEX(Equipment!$C$7:$C$18,MAX(1,N($W72))),SPEC_SKU,0)),1))))&gt;1,TEXT(IF(N($M72)&gt;0,N($M72),MAX(1,N(IFERROR(INDEX(SPEC_CIRC,MATCH(INDEX(Equipment!$C$7:$C$18,MAX(1,N($W72))),SPEC_SKU,0)),1)))),"0")&amp;" sets of ","")&amp;IF($L72&lt;&gt;"",$L72,$K72)&amp;IF($L72&lt;&gt;""," (override)","")&amp;", "&amp;TEXT(N($N72),"#,##0")&amp;" A against a "&amp;TEXT(IF(N($J72)&gt;800,N($J72),N($I72)),"#,##0")&amp;" A floor; drop "&amp;TEXT(N($O72),"0.0%")&amp;" (ADVISORY)"))))))))</f>
        <v/>
      </c>
      <c r="U72" s="868">
        <f>IF($W72="",0,IF($E72="",1,IF(MATCH($E72,$E$18:$E$77,0)=55,1,0)))</f>
        <v/>
      </c>
      <c r="V72" s="869">
        <f>IF($W72="","",IF(INDEX(Equipment!$E$7:$E$18,$W72)="level_2","L2",IF(INDEX(Equipment!$E$7:$E$18,$W72)="power_cabinet","CAB","DC")))</f>
        <v/>
      </c>
      <c r="W72" s="868">
        <f>IF(N($B$80)&gt;=55,COUNTIF(Equipment!$S$7:$S$18,"&lt;55")+1,"")</f>
        <v/>
      </c>
      <c r="X72" s="868">
        <f>IF($U72&lt;&gt;1,"",IF(N($M72)&gt;0,N($M72),MAX(1,N(IFERROR(INDEX(SPEC_CIRC,MATCH(INDEX(Equipment!$C$7:$C$18,MAX(1,N($W72))),SPEC_SKU,0)),1)))))</f>
        <v/>
      </c>
    </row>
    <row r="73" ht="16" customHeight="1" s="254">
      <c r="A73" s="862">
        <f>IF($W73="","","Charger 56")</f>
        <v/>
      </c>
      <c r="B73" s="863">
        <f>IF($W73="","","Line "&amp;$W73&amp;" · "&amp;INDEX(Equipment!$C$7:$C$18,$W73)&amp;" · "&amp;INDEX(Equipment!$B$7:$B$18,$W73)&amp;" · #"&amp;(56-INDEX(Equipment!$R$7:$R$18,$W73)+1)&amp;" of "&amp;INDEX(Equipment!$I$7:$I$18,$W73))</f>
        <v/>
      </c>
      <c r="C73" s="863">
        <f>IF($W73="","",IF($V73="L2",TEXT(N(Equipment!$B$30),"0")&amp;" V 1-ph",TEXT(Project!$B$29,"0")&amp;" V 3-ph"))</f>
        <v/>
      </c>
      <c r="D73" s="864">
        <f>IF($W73="","",INDEX(Equipment!$G$7:$G$18,$W73))</f>
        <v/>
      </c>
      <c r="E73" s="807" t="n"/>
      <c r="F73" s="831" t="n"/>
      <c r="G73" s="807" t="n"/>
      <c r="H73" s="865">
        <f>IF($U73&lt;&gt;1,"",IF($E73="",N($D73),SUMIF($E$18:$E$77,$E73,$D$18:$D$77))*1000/(IF($V73="L2",N(Equipment!$B$30),Project!$B$29)*IF($V73="L2",1,SQRT(3))))</f>
        <v/>
      </c>
      <c r="I73" s="865">
        <f>IF(N($H73)=0,"",N($H73)*1.25)</f>
        <v/>
      </c>
      <c r="J73" s="865">
        <f>IF(N($I73)=0,"",IF(ISNUMBER(MATCH($I73,OCPD_LIST,0)),$I73,IF($I73&gt;MAX(OCPD_LIST),"ABOVE LIST",INDEX(OCPD_LIST,MATCH($I73,OCPD_LIST,1)+1))))</f>
        <v/>
      </c>
      <c r="K73" s="863">
        <f>IF(OR(N($I73)=0,$B$10=""),"",IF(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gt;ROWS(SZ_SIZE),"PARALLEL SETS",INDEX(SZ_SIZE,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f>
        <v/>
      </c>
      <c r="L73" s="807" t="n"/>
      <c r="M73" s="831" t="n"/>
      <c r="N73" s="865">
        <f>IF(OR(IF($L73&lt;&gt;"",$L73,$K73)="",IF($L73&lt;&gt;"",$L73,$K73)="PARALLEL SETS"),"",IFERROR(INDEX(SZ_AMP,MATCH(IF($L73&lt;&gt;"",$L73,$K73),SZ_SIZE,0))*IF(N($M73)&gt;0,N($M73),MAX(1,N(IFERROR(INDEX(SPEC_CIRC,MATCH(INDEX(Equipment!$C$7:$C$18,MAX(1,N($W73))),SPEC_SKU,0)),1)))),""))</f>
        <v/>
      </c>
      <c r="O73" s="866">
        <f>IF(OR(N($N73)=0,N($F73)=0),"",IFERROR(IF($V73="L2",2,SQRT(3))*N($H73)/IF(N($M73)&gt;0,N($M73),MAX(1,N(IFERROR(INDEX(SPEC_CIRC,MATCH(INDEX(Equipment!$C$7:$C$18,MAX(1,N($W73))),SPEC_SKU,0)),1))))*N($F73)*INDEX(SZ_Z,MATCH(IF($L73&lt;&gt;"",$L73,$K73),SZ_SIZE,0))/1000/IF($V73="L2",N(Equipment!$B$30),Project!$B$29),""))</f>
        <v/>
      </c>
      <c r="P73" s="863">
        <f>IF(N($J73)=0,"",IFERROR(INDEX(IF($B$6="Cu",EGC_CU,EGC_AL),MATCH($J73,EGC_OCPD,1)+IF(ISNUMBER(MATCH($J73,EGC_OCPD,0)),0,1)),""))</f>
        <v/>
      </c>
      <c r="Q73" s="863">
        <f>IF(N($N73)=0,"",IFERROR(INDEX(IF($V73="L2",CND_2G,CND_3G),MATCH(IF($L73&lt;&gt;"",$L73,$K73),CND_SIZE,0)),""))</f>
        <v/>
      </c>
      <c r="R73" s="807" t="n"/>
      <c r="S73" s="867">
        <f>IF(OR(N($F73)=0,N($N73)=0),0,IFERROR(N($F73)*IF(N($M73)&gt;0,N($M73),MAX(1,N(IFERROR(INDEX(SPEC_CIRC,MATCH(INDEX(Equipment!$C$7:$C$18,MAX(1,N($W73))),SPEC_SKU,0)),1))))*IF($V73="L2",2,3)*INDEX(IF($B$6="Cu",WIRE_CU,WIRE_AL),MATCH(IF($L73&lt;&gt;"",$L73,$K73),WIRE_SIZE,0)),0)+IFERROR(N($F73)*IF(N($M73)&gt;0,N($M73),MAX(1,N(IFERROR(INDEX(SPEC_CIRC,MATCH(INDEX(Equipment!$C$7:$C$18,MAX(1,N($W73))),SPEC_SKU,0)),1))))*INDEX(IF($B$6="Cu",WIRE_CU,WIRE_AL),MATCH($P73,WIRE_SIZE,0)),0)+IFERROR(N($F73)*IF(N($M73)&gt;0,N($M73),MAX(1,N(IFERROR(INDEX(SPEC_CIRC,MATCH(INDEX(Equipment!$C$7:$C$18,MAX(1,N($W73))),SPEC_SKU,0)),1))))*INDEX(PVC_RATE,MATCH(IF($R73&lt;&gt;"",$R73,$Q73),PVC_SIZE,0)),0)+IF($V73="L2",0,IFERROR(N($F73)*INDEX(PVC_RATE,MATCH("(3/4"")",PVC_SIZE,0)),0)))</f>
        <v/>
      </c>
      <c r="T73" s="863">
        <f>IF($W73="","",IF($U73=0,"shared — on circuit "&amp;$E73&amp;", sized and priced on its first unit",IF(N($F73)=0,"ENTER THE DISTANCE",IF($B$10="","SET THE DESIGN AMBIENT in block A — nothing on this row can be trusted until it is",IF(IF($L73&lt;&gt;"",$L73,$K73)="PARALLEL SETS","PARALLEL SETS NEEDED — no single conductor carries "&amp;TEXT(N($I73),"#,##0")&amp;" A within the drop allowance; enter sets in column M",IF(N($N73)=0,"no ampacity on file for the override size — NEC Table 310.16 does not list it",IF(N($N73)&lt;IF(N($J73)&gt;800,N($J73),N($I73)),"UNDERSIZED — "&amp;TEXT(N($N73),"#,##0")&amp;" A provided against a floor of "&amp;TEXT(IF(N($J73)&gt;800,N($J73),N($I73)),"#,##0")&amp;" A",IF(N($O73)&gt;$B$13,"ampacity OK but voltage drop "&amp;TEXT(N($O73),"0.0%")&amp;" exceeds the allowance — ADVISORY, upsize the override","OK — "&amp;IF(IF(N($M73)&gt;0,N($M73),MAX(1,N(IFERROR(INDEX(SPEC_CIRC,MATCH(INDEX(Equipment!$C$7:$C$18,MAX(1,N($W73))),SPEC_SKU,0)),1))))&gt;1,TEXT(IF(N($M73)&gt;0,N($M73),MAX(1,N(IFERROR(INDEX(SPEC_CIRC,MATCH(INDEX(Equipment!$C$7:$C$18,MAX(1,N($W73))),SPEC_SKU,0)),1)))),"0")&amp;" sets of ","")&amp;IF($L73&lt;&gt;"",$L73,$K73)&amp;IF($L73&lt;&gt;""," (override)","")&amp;", "&amp;TEXT(N($N73),"#,##0")&amp;" A against a "&amp;TEXT(IF(N($J73)&gt;800,N($J73),N($I73)),"#,##0")&amp;" A floor; drop "&amp;TEXT(N($O73),"0.0%")&amp;" (ADVISORY)"))))))))</f>
        <v/>
      </c>
      <c r="U73" s="868">
        <f>IF($W73="",0,IF($E73="",1,IF(MATCH($E73,$E$18:$E$77,0)=56,1,0)))</f>
        <v/>
      </c>
      <c r="V73" s="869">
        <f>IF($W73="","",IF(INDEX(Equipment!$E$7:$E$18,$W73)="level_2","L2",IF(INDEX(Equipment!$E$7:$E$18,$W73)="power_cabinet","CAB","DC")))</f>
        <v/>
      </c>
      <c r="W73" s="868">
        <f>IF(N($B$80)&gt;=56,COUNTIF(Equipment!$S$7:$S$18,"&lt;56")+1,"")</f>
        <v/>
      </c>
      <c r="X73" s="868">
        <f>IF($U73&lt;&gt;1,"",IF(N($M73)&gt;0,N($M73),MAX(1,N(IFERROR(INDEX(SPEC_CIRC,MATCH(INDEX(Equipment!$C$7:$C$18,MAX(1,N($W73))),SPEC_SKU,0)),1)))))</f>
        <v/>
      </c>
    </row>
    <row r="74" ht="16" customHeight="1" s="254">
      <c r="A74" s="862">
        <f>IF($W74="","","Charger 57")</f>
        <v/>
      </c>
      <c r="B74" s="863">
        <f>IF($W74="","","Line "&amp;$W74&amp;" · "&amp;INDEX(Equipment!$C$7:$C$18,$W74)&amp;" · "&amp;INDEX(Equipment!$B$7:$B$18,$W74)&amp;" · #"&amp;(57-INDEX(Equipment!$R$7:$R$18,$W74)+1)&amp;" of "&amp;INDEX(Equipment!$I$7:$I$18,$W74))</f>
        <v/>
      </c>
      <c r="C74" s="863">
        <f>IF($W74="","",IF($V74="L2",TEXT(N(Equipment!$B$30),"0")&amp;" V 1-ph",TEXT(Project!$B$29,"0")&amp;" V 3-ph"))</f>
        <v/>
      </c>
      <c r="D74" s="864">
        <f>IF($W74="","",INDEX(Equipment!$G$7:$G$18,$W74))</f>
        <v/>
      </c>
      <c r="E74" s="807" t="n"/>
      <c r="F74" s="831" t="n"/>
      <c r="G74" s="807" t="n"/>
      <c r="H74" s="865">
        <f>IF($U74&lt;&gt;1,"",IF($E74="",N($D74),SUMIF($E$18:$E$77,$E74,$D$18:$D$77))*1000/(IF($V74="L2",N(Equipment!$B$30),Project!$B$29)*IF($V74="L2",1,SQRT(3))))</f>
        <v/>
      </c>
      <c r="I74" s="865">
        <f>IF(N($H74)=0,"",N($H74)*1.25)</f>
        <v/>
      </c>
      <c r="J74" s="865">
        <f>IF(N($I74)=0,"",IF(ISNUMBER(MATCH($I74,OCPD_LIST,0)),$I74,IF($I74&gt;MAX(OCPD_LIST),"ABOVE LIST",INDEX(OCPD_LIST,MATCH($I74,OCPD_LIST,1)+1))))</f>
        <v/>
      </c>
      <c r="K74" s="863">
        <f>IF(OR(N($I74)=0,$B$10=""),"",IF(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gt;ROWS(SZ_SIZE),"PARALLEL SETS",INDEX(SZ_SIZE,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f>
        <v/>
      </c>
      <c r="L74" s="807" t="n"/>
      <c r="M74" s="831" t="n"/>
      <c r="N74" s="865">
        <f>IF(OR(IF($L74&lt;&gt;"",$L74,$K74)="",IF($L74&lt;&gt;"",$L74,$K74)="PARALLEL SETS"),"",IFERROR(INDEX(SZ_AMP,MATCH(IF($L74&lt;&gt;"",$L74,$K74),SZ_SIZE,0))*IF(N($M74)&gt;0,N($M74),MAX(1,N(IFERROR(INDEX(SPEC_CIRC,MATCH(INDEX(Equipment!$C$7:$C$18,MAX(1,N($W74))),SPEC_SKU,0)),1)))),""))</f>
        <v/>
      </c>
      <c r="O74" s="866">
        <f>IF(OR(N($N74)=0,N($F74)=0),"",IFERROR(IF($V74="L2",2,SQRT(3))*N($H74)/IF(N($M74)&gt;0,N($M74),MAX(1,N(IFERROR(INDEX(SPEC_CIRC,MATCH(INDEX(Equipment!$C$7:$C$18,MAX(1,N($W74))),SPEC_SKU,0)),1))))*N($F74)*INDEX(SZ_Z,MATCH(IF($L74&lt;&gt;"",$L74,$K74),SZ_SIZE,0))/1000/IF($V74="L2",N(Equipment!$B$30),Project!$B$29),""))</f>
        <v/>
      </c>
      <c r="P74" s="863">
        <f>IF(N($J74)=0,"",IFERROR(INDEX(IF($B$6="Cu",EGC_CU,EGC_AL),MATCH($J74,EGC_OCPD,1)+IF(ISNUMBER(MATCH($J74,EGC_OCPD,0)),0,1)),""))</f>
        <v/>
      </c>
      <c r="Q74" s="863">
        <f>IF(N($N74)=0,"",IFERROR(INDEX(IF($V74="L2",CND_2G,CND_3G),MATCH(IF($L74&lt;&gt;"",$L74,$K74),CND_SIZE,0)),""))</f>
        <v/>
      </c>
      <c r="R74" s="807" t="n"/>
      <c r="S74" s="867">
        <f>IF(OR(N($F74)=0,N($N74)=0),0,IFERROR(N($F74)*IF(N($M74)&gt;0,N($M74),MAX(1,N(IFERROR(INDEX(SPEC_CIRC,MATCH(INDEX(Equipment!$C$7:$C$18,MAX(1,N($W74))),SPEC_SKU,0)),1))))*IF($V74="L2",2,3)*INDEX(IF($B$6="Cu",WIRE_CU,WIRE_AL),MATCH(IF($L74&lt;&gt;"",$L74,$K74),WIRE_SIZE,0)),0)+IFERROR(N($F74)*IF(N($M74)&gt;0,N($M74),MAX(1,N(IFERROR(INDEX(SPEC_CIRC,MATCH(INDEX(Equipment!$C$7:$C$18,MAX(1,N($W74))),SPEC_SKU,0)),1))))*INDEX(IF($B$6="Cu",WIRE_CU,WIRE_AL),MATCH($P74,WIRE_SIZE,0)),0)+IFERROR(N($F74)*IF(N($M74)&gt;0,N($M74),MAX(1,N(IFERROR(INDEX(SPEC_CIRC,MATCH(INDEX(Equipment!$C$7:$C$18,MAX(1,N($W74))),SPEC_SKU,0)),1))))*INDEX(PVC_RATE,MATCH(IF($R74&lt;&gt;"",$R74,$Q74),PVC_SIZE,0)),0)+IF($V74="L2",0,IFERROR(N($F74)*INDEX(PVC_RATE,MATCH("(3/4"")",PVC_SIZE,0)),0)))</f>
        <v/>
      </c>
      <c r="T74" s="863">
        <f>IF($W74="","",IF($U74=0,"shared — on circuit "&amp;$E74&amp;", sized and priced on its first unit",IF(N($F74)=0,"ENTER THE DISTANCE",IF($B$10="","SET THE DESIGN AMBIENT in block A — nothing on this row can be trusted until it is",IF(IF($L74&lt;&gt;"",$L74,$K74)="PARALLEL SETS","PARALLEL SETS NEEDED — no single conductor carries "&amp;TEXT(N($I74),"#,##0")&amp;" A within the drop allowance; enter sets in column M",IF(N($N74)=0,"no ampacity on file for the override size — NEC Table 310.16 does not list it",IF(N($N74)&lt;IF(N($J74)&gt;800,N($J74),N($I74)),"UNDERSIZED — "&amp;TEXT(N($N74),"#,##0")&amp;" A provided against a floor of "&amp;TEXT(IF(N($J74)&gt;800,N($J74),N($I74)),"#,##0")&amp;" A",IF(N($O74)&gt;$B$13,"ampacity OK but voltage drop "&amp;TEXT(N($O74),"0.0%")&amp;" exceeds the allowance — ADVISORY, upsize the override","OK — "&amp;IF(IF(N($M74)&gt;0,N($M74),MAX(1,N(IFERROR(INDEX(SPEC_CIRC,MATCH(INDEX(Equipment!$C$7:$C$18,MAX(1,N($W74))),SPEC_SKU,0)),1))))&gt;1,TEXT(IF(N($M74)&gt;0,N($M74),MAX(1,N(IFERROR(INDEX(SPEC_CIRC,MATCH(INDEX(Equipment!$C$7:$C$18,MAX(1,N($W74))),SPEC_SKU,0)),1)))),"0")&amp;" sets of ","")&amp;IF($L74&lt;&gt;"",$L74,$K74)&amp;IF($L74&lt;&gt;""," (override)","")&amp;", "&amp;TEXT(N($N74),"#,##0")&amp;" A against a "&amp;TEXT(IF(N($J74)&gt;800,N($J74),N($I74)),"#,##0")&amp;" A floor; drop "&amp;TEXT(N($O74),"0.0%")&amp;" (ADVISORY)"))))))))</f>
        <v/>
      </c>
      <c r="U74" s="868">
        <f>IF($W74="",0,IF($E74="",1,IF(MATCH($E74,$E$18:$E$77,0)=57,1,0)))</f>
        <v/>
      </c>
      <c r="V74" s="869">
        <f>IF($W74="","",IF(INDEX(Equipment!$E$7:$E$18,$W74)="level_2","L2",IF(INDEX(Equipment!$E$7:$E$18,$W74)="power_cabinet","CAB","DC")))</f>
        <v/>
      </c>
      <c r="W74" s="868">
        <f>IF(N($B$80)&gt;=57,COUNTIF(Equipment!$S$7:$S$18,"&lt;57")+1,"")</f>
        <v/>
      </c>
      <c r="X74" s="868">
        <f>IF($U74&lt;&gt;1,"",IF(N($M74)&gt;0,N($M74),MAX(1,N(IFERROR(INDEX(SPEC_CIRC,MATCH(INDEX(Equipment!$C$7:$C$18,MAX(1,N($W74))),SPEC_SKU,0)),1)))))</f>
        <v/>
      </c>
    </row>
    <row r="75" ht="16" customHeight="1" s="254">
      <c r="A75" s="862">
        <f>IF($W75="","","Charger 58")</f>
        <v/>
      </c>
      <c r="B75" s="863">
        <f>IF($W75="","","Line "&amp;$W75&amp;" · "&amp;INDEX(Equipment!$C$7:$C$18,$W75)&amp;" · "&amp;INDEX(Equipment!$B$7:$B$18,$W75)&amp;" · #"&amp;(58-INDEX(Equipment!$R$7:$R$18,$W75)+1)&amp;" of "&amp;INDEX(Equipment!$I$7:$I$18,$W75))</f>
        <v/>
      </c>
      <c r="C75" s="863">
        <f>IF($W75="","",IF($V75="L2",TEXT(N(Equipment!$B$30),"0")&amp;" V 1-ph",TEXT(Project!$B$29,"0")&amp;" V 3-ph"))</f>
        <v/>
      </c>
      <c r="D75" s="864">
        <f>IF($W75="","",INDEX(Equipment!$G$7:$G$18,$W75))</f>
        <v/>
      </c>
      <c r="E75" s="807" t="n"/>
      <c r="F75" s="831" t="n"/>
      <c r="G75" s="807" t="n"/>
      <c r="H75" s="865">
        <f>IF($U75&lt;&gt;1,"",IF($E75="",N($D75),SUMIF($E$18:$E$77,$E75,$D$18:$D$77))*1000/(IF($V75="L2",N(Equipment!$B$30),Project!$B$29)*IF($V75="L2",1,SQRT(3))))</f>
        <v/>
      </c>
      <c r="I75" s="865">
        <f>IF(N($H75)=0,"",N($H75)*1.25)</f>
        <v/>
      </c>
      <c r="J75" s="865">
        <f>IF(N($I75)=0,"",IF(ISNUMBER(MATCH($I75,OCPD_LIST,0)),$I75,IF($I75&gt;MAX(OCPD_LIST),"ABOVE LIST",INDEX(OCPD_LIST,MATCH($I75,OCPD_LIST,1)+1))))</f>
        <v/>
      </c>
      <c r="K75" s="863">
        <f>IF(OR(N($I75)=0,$B$10=""),"",IF(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gt;ROWS(SZ_SIZE),"PARALLEL SETS",INDEX(SZ_SIZE,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f>
        <v/>
      </c>
      <c r="L75" s="807" t="n"/>
      <c r="M75" s="831" t="n"/>
      <c r="N75" s="865">
        <f>IF(OR(IF($L75&lt;&gt;"",$L75,$K75)="",IF($L75&lt;&gt;"",$L75,$K75)="PARALLEL SETS"),"",IFERROR(INDEX(SZ_AMP,MATCH(IF($L75&lt;&gt;"",$L75,$K75),SZ_SIZE,0))*IF(N($M75)&gt;0,N($M75),MAX(1,N(IFERROR(INDEX(SPEC_CIRC,MATCH(INDEX(Equipment!$C$7:$C$18,MAX(1,N($W75))),SPEC_SKU,0)),1)))),""))</f>
        <v/>
      </c>
      <c r="O75" s="866">
        <f>IF(OR(N($N75)=0,N($F75)=0),"",IFERROR(IF($V75="L2",2,SQRT(3))*N($H75)/IF(N($M75)&gt;0,N($M75),MAX(1,N(IFERROR(INDEX(SPEC_CIRC,MATCH(INDEX(Equipment!$C$7:$C$18,MAX(1,N($W75))),SPEC_SKU,0)),1))))*N($F75)*INDEX(SZ_Z,MATCH(IF($L75&lt;&gt;"",$L75,$K75),SZ_SIZE,0))/1000/IF($V75="L2",N(Equipment!$B$30),Project!$B$29),""))</f>
        <v/>
      </c>
      <c r="P75" s="863">
        <f>IF(N($J75)=0,"",IFERROR(INDEX(IF($B$6="Cu",EGC_CU,EGC_AL),MATCH($J75,EGC_OCPD,1)+IF(ISNUMBER(MATCH($J75,EGC_OCPD,0)),0,1)),""))</f>
        <v/>
      </c>
      <c r="Q75" s="863">
        <f>IF(N($N75)=0,"",IFERROR(INDEX(IF($V75="L2",CND_2G,CND_3G),MATCH(IF($L75&lt;&gt;"",$L75,$K75),CND_SIZE,0)),""))</f>
        <v/>
      </c>
      <c r="R75" s="807" t="n"/>
      <c r="S75" s="867">
        <f>IF(OR(N($F75)=0,N($N75)=0),0,IFERROR(N($F75)*IF(N($M75)&gt;0,N($M75),MAX(1,N(IFERROR(INDEX(SPEC_CIRC,MATCH(INDEX(Equipment!$C$7:$C$18,MAX(1,N($W75))),SPEC_SKU,0)),1))))*IF($V75="L2",2,3)*INDEX(IF($B$6="Cu",WIRE_CU,WIRE_AL),MATCH(IF($L75&lt;&gt;"",$L75,$K75),WIRE_SIZE,0)),0)+IFERROR(N($F75)*IF(N($M75)&gt;0,N($M75),MAX(1,N(IFERROR(INDEX(SPEC_CIRC,MATCH(INDEX(Equipment!$C$7:$C$18,MAX(1,N($W75))),SPEC_SKU,0)),1))))*INDEX(IF($B$6="Cu",WIRE_CU,WIRE_AL),MATCH($P75,WIRE_SIZE,0)),0)+IFERROR(N($F75)*IF(N($M75)&gt;0,N($M75),MAX(1,N(IFERROR(INDEX(SPEC_CIRC,MATCH(INDEX(Equipment!$C$7:$C$18,MAX(1,N($W75))),SPEC_SKU,0)),1))))*INDEX(PVC_RATE,MATCH(IF($R75&lt;&gt;"",$R75,$Q75),PVC_SIZE,0)),0)+IF($V75="L2",0,IFERROR(N($F75)*INDEX(PVC_RATE,MATCH("(3/4"")",PVC_SIZE,0)),0)))</f>
        <v/>
      </c>
      <c r="T75" s="863">
        <f>IF($W75="","",IF($U75=0,"shared — on circuit "&amp;$E75&amp;", sized and priced on its first unit",IF(N($F75)=0,"ENTER THE DISTANCE",IF($B$10="","SET THE DESIGN AMBIENT in block A — nothing on this row can be trusted until it is",IF(IF($L75&lt;&gt;"",$L75,$K75)="PARALLEL SETS","PARALLEL SETS NEEDED — no single conductor carries "&amp;TEXT(N($I75),"#,##0")&amp;" A within the drop allowance; enter sets in column M",IF(N($N75)=0,"no ampacity on file for the override size — NEC Table 310.16 does not list it",IF(N($N75)&lt;IF(N($J75)&gt;800,N($J75),N($I75)),"UNDERSIZED — "&amp;TEXT(N($N75),"#,##0")&amp;" A provided against a floor of "&amp;TEXT(IF(N($J75)&gt;800,N($J75),N($I75)),"#,##0")&amp;" A",IF(N($O75)&gt;$B$13,"ampacity OK but voltage drop "&amp;TEXT(N($O75),"0.0%")&amp;" exceeds the allowance — ADVISORY, upsize the override","OK — "&amp;IF(IF(N($M75)&gt;0,N($M75),MAX(1,N(IFERROR(INDEX(SPEC_CIRC,MATCH(INDEX(Equipment!$C$7:$C$18,MAX(1,N($W75))),SPEC_SKU,0)),1))))&gt;1,TEXT(IF(N($M75)&gt;0,N($M75),MAX(1,N(IFERROR(INDEX(SPEC_CIRC,MATCH(INDEX(Equipment!$C$7:$C$18,MAX(1,N($W75))),SPEC_SKU,0)),1)))),"0")&amp;" sets of ","")&amp;IF($L75&lt;&gt;"",$L75,$K75)&amp;IF($L75&lt;&gt;""," (override)","")&amp;", "&amp;TEXT(N($N75),"#,##0")&amp;" A against a "&amp;TEXT(IF(N($J75)&gt;800,N($J75),N($I75)),"#,##0")&amp;" A floor; drop "&amp;TEXT(N($O75),"0.0%")&amp;" (ADVISORY)"))))))))</f>
        <v/>
      </c>
      <c r="U75" s="868">
        <f>IF($W75="",0,IF($E75="",1,IF(MATCH($E75,$E$18:$E$77,0)=58,1,0)))</f>
        <v/>
      </c>
      <c r="V75" s="869">
        <f>IF($W75="","",IF(INDEX(Equipment!$E$7:$E$18,$W75)="level_2","L2",IF(INDEX(Equipment!$E$7:$E$18,$W75)="power_cabinet","CAB","DC")))</f>
        <v/>
      </c>
      <c r="W75" s="868">
        <f>IF(N($B$80)&gt;=58,COUNTIF(Equipment!$S$7:$S$18,"&lt;58")+1,"")</f>
        <v/>
      </c>
      <c r="X75" s="868">
        <f>IF($U75&lt;&gt;1,"",IF(N($M75)&gt;0,N($M75),MAX(1,N(IFERROR(INDEX(SPEC_CIRC,MATCH(INDEX(Equipment!$C$7:$C$18,MAX(1,N($W75))),SPEC_SKU,0)),1)))))</f>
        <v/>
      </c>
    </row>
    <row r="76" ht="16" customHeight="1" s="254">
      <c r="A76" s="862">
        <f>IF($W76="","","Charger 59")</f>
        <v/>
      </c>
      <c r="B76" s="863">
        <f>IF($W76="","","Line "&amp;$W76&amp;" · "&amp;INDEX(Equipment!$C$7:$C$18,$W76)&amp;" · "&amp;INDEX(Equipment!$B$7:$B$18,$W76)&amp;" · #"&amp;(59-INDEX(Equipment!$R$7:$R$18,$W76)+1)&amp;" of "&amp;INDEX(Equipment!$I$7:$I$18,$W76))</f>
        <v/>
      </c>
      <c r="C76" s="863">
        <f>IF($W76="","",IF($V76="L2",TEXT(N(Equipment!$B$30),"0")&amp;" V 1-ph",TEXT(Project!$B$29,"0")&amp;" V 3-ph"))</f>
        <v/>
      </c>
      <c r="D76" s="864">
        <f>IF($W76="","",INDEX(Equipment!$G$7:$G$18,$W76))</f>
        <v/>
      </c>
      <c r="E76" s="807" t="n"/>
      <c r="F76" s="831" t="n"/>
      <c r="G76" s="807" t="n"/>
      <c r="H76" s="865">
        <f>IF($U76&lt;&gt;1,"",IF($E76="",N($D76),SUMIF($E$18:$E$77,$E76,$D$18:$D$77))*1000/(IF($V76="L2",N(Equipment!$B$30),Project!$B$29)*IF($V76="L2",1,SQRT(3))))</f>
        <v/>
      </c>
      <c r="I76" s="865">
        <f>IF(N($H76)=0,"",N($H76)*1.25)</f>
        <v/>
      </c>
      <c r="J76" s="865">
        <f>IF(N($I76)=0,"",IF(ISNUMBER(MATCH($I76,OCPD_LIST,0)),$I76,IF($I76&gt;MAX(OCPD_LIST),"ABOVE LIST",INDEX(OCPD_LIST,MATCH($I76,OCPD_LIST,1)+1))))</f>
        <v/>
      </c>
      <c r="K76" s="863">
        <f>IF(OR(N($I76)=0,$B$10=""),"",IF(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gt;ROWS(SZ_SIZE),"PARALLEL SETS",INDEX(SZ_SIZE,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f>
        <v/>
      </c>
      <c r="L76" s="807" t="n"/>
      <c r="M76" s="831" t="n"/>
      <c r="N76" s="865">
        <f>IF(OR(IF($L76&lt;&gt;"",$L76,$K76)="",IF($L76&lt;&gt;"",$L76,$K76)="PARALLEL SETS"),"",IFERROR(INDEX(SZ_AMP,MATCH(IF($L76&lt;&gt;"",$L76,$K76),SZ_SIZE,0))*IF(N($M76)&gt;0,N($M76),MAX(1,N(IFERROR(INDEX(SPEC_CIRC,MATCH(INDEX(Equipment!$C$7:$C$18,MAX(1,N($W76))),SPEC_SKU,0)),1)))),""))</f>
        <v/>
      </c>
      <c r="O76" s="866">
        <f>IF(OR(N($N76)=0,N($F76)=0),"",IFERROR(IF($V76="L2",2,SQRT(3))*N($H76)/IF(N($M76)&gt;0,N($M76),MAX(1,N(IFERROR(INDEX(SPEC_CIRC,MATCH(INDEX(Equipment!$C$7:$C$18,MAX(1,N($W76))),SPEC_SKU,0)),1))))*N($F76)*INDEX(SZ_Z,MATCH(IF($L76&lt;&gt;"",$L76,$K76),SZ_SIZE,0))/1000/IF($V76="L2",N(Equipment!$B$30),Project!$B$29),""))</f>
        <v/>
      </c>
      <c r="P76" s="863">
        <f>IF(N($J76)=0,"",IFERROR(INDEX(IF($B$6="Cu",EGC_CU,EGC_AL),MATCH($J76,EGC_OCPD,1)+IF(ISNUMBER(MATCH($J76,EGC_OCPD,0)),0,1)),""))</f>
        <v/>
      </c>
      <c r="Q76" s="863">
        <f>IF(N($N76)=0,"",IFERROR(INDEX(IF($V76="L2",CND_2G,CND_3G),MATCH(IF($L76&lt;&gt;"",$L76,$K76),CND_SIZE,0)),""))</f>
        <v/>
      </c>
      <c r="R76" s="807" t="n"/>
      <c r="S76" s="867">
        <f>IF(OR(N($F76)=0,N($N76)=0),0,IFERROR(N($F76)*IF(N($M76)&gt;0,N($M76),MAX(1,N(IFERROR(INDEX(SPEC_CIRC,MATCH(INDEX(Equipment!$C$7:$C$18,MAX(1,N($W76))),SPEC_SKU,0)),1))))*IF($V76="L2",2,3)*INDEX(IF($B$6="Cu",WIRE_CU,WIRE_AL),MATCH(IF($L76&lt;&gt;"",$L76,$K76),WIRE_SIZE,0)),0)+IFERROR(N($F76)*IF(N($M76)&gt;0,N($M76),MAX(1,N(IFERROR(INDEX(SPEC_CIRC,MATCH(INDEX(Equipment!$C$7:$C$18,MAX(1,N($W76))),SPEC_SKU,0)),1))))*INDEX(IF($B$6="Cu",WIRE_CU,WIRE_AL),MATCH($P76,WIRE_SIZE,0)),0)+IFERROR(N($F76)*IF(N($M76)&gt;0,N($M76),MAX(1,N(IFERROR(INDEX(SPEC_CIRC,MATCH(INDEX(Equipment!$C$7:$C$18,MAX(1,N($W76))),SPEC_SKU,0)),1))))*INDEX(PVC_RATE,MATCH(IF($R76&lt;&gt;"",$R76,$Q76),PVC_SIZE,0)),0)+IF($V76="L2",0,IFERROR(N($F76)*INDEX(PVC_RATE,MATCH("(3/4"")",PVC_SIZE,0)),0)))</f>
        <v/>
      </c>
      <c r="T76" s="863">
        <f>IF($W76="","",IF($U76=0,"shared — on circuit "&amp;$E76&amp;", sized and priced on its first unit",IF(N($F76)=0,"ENTER THE DISTANCE",IF($B$10="","SET THE DESIGN AMBIENT in block A — nothing on this row can be trusted until it is",IF(IF($L76&lt;&gt;"",$L76,$K76)="PARALLEL SETS","PARALLEL SETS NEEDED — no single conductor carries "&amp;TEXT(N($I76),"#,##0")&amp;" A within the drop allowance; enter sets in column M",IF(N($N76)=0,"no ampacity on file for the override size — NEC Table 310.16 does not list it",IF(N($N76)&lt;IF(N($J76)&gt;800,N($J76),N($I76)),"UNDERSIZED — "&amp;TEXT(N($N76),"#,##0")&amp;" A provided against a floor of "&amp;TEXT(IF(N($J76)&gt;800,N($J76),N($I76)),"#,##0")&amp;" A",IF(N($O76)&gt;$B$13,"ampacity OK but voltage drop "&amp;TEXT(N($O76),"0.0%")&amp;" exceeds the allowance — ADVISORY, upsize the override","OK — "&amp;IF(IF(N($M76)&gt;0,N($M76),MAX(1,N(IFERROR(INDEX(SPEC_CIRC,MATCH(INDEX(Equipment!$C$7:$C$18,MAX(1,N($W76))),SPEC_SKU,0)),1))))&gt;1,TEXT(IF(N($M76)&gt;0,N($M76),MAX(1,N(IFERROR(INDEX(SPEC_CIRC,MATCH(INDEX(Equipment!$C$7:$C$18,MAX(1,N($W76))),SPEC_SKU,0)),1)))),"0")&amp;" sets of ","")&amp;IF($L76&lt;&gt;"",$L76,$K76)&amp;IF($L76&lt;&gt;""," (override)","")&amp;", "&amp;TEXT(N($N76),"#,##0")&amp;" A against a "&amp;TEXT(IF(N($J76)&gt;800,N($J76),N($I76)),"#,##0")&amp;" A floor; drop "&amp;TEXT(N($O76),"0.0%")&amp;" (ADVISORY)"))))))))</f>
        <v/>
      </c>
      <c r="U76" s="868">
        <f>IF($W76="",0,IF($E76="",1,IF(MATCH($E76,$E$18:$E$77,0)=59,1,0)))</f>
        <v/>
      </c>
      <c r="V76" s="869">
        <f>IF($W76="","",IF(INDEX(Equipment!$E$7:$E$18,$W76)="level_2","L2",IF(INDEX(Equipment!$E$7:$E$18,$W76)="power_cabinet","CAB","DC")))</f>
        <v/>
      </c>
      <c r="W76" s="868">
        <f>IF(N($B$80)&gt;=59,COUNTIF(Equipment!$S$7:$S$18,"&lt;59")+1,"")</f>
        <v/>
      </c>
      <c r="X76" s="868">
        <f>IF($U76&lt;&gt;1,"",IF(N($M76)&gt;0,N($M76),MAX(1,N(IFERROR(INDEX(SPEC_CIRC,MATCH(INDEX(Equipment!$C$7:$C$18,MAX(1,N($W76))),SPEC_SKU,0)),1)))))</f>
        <v/>
      </c>
    </row>
    <row r="77" ht="16" customHeight="1" s="254">
      <c r="A77" s="862">
        <f>IF($W77="","","Charger 60")</f>
        <v/>
      </c>
      <c r="B77" s="863">
        <f>IF($W77="","","Line "&amp;$W77&amp;" · "&amp;INDEX(Equipment!$C$7:$C$18,$W77)&amp;" · "&amp;INDEX(Equipment!$B$7:$B$18,$W77)&amp;" · #"&amp;(60-INDEX(Equipment!$R$7:$R$18,$W77)+1)&amp;" of "&amp;INDEX(Equipment!$I$7:$I$18,$W77))</f>
        <v/>
      </c>
      <c r="C77" s="863">
        <f>IF($W77="","",IF($V77="L2",TEXT(N(Equipment!$B$30),"0")&amp;" V 1-ph",TEXT(Project!$B$29,"0")&amp;" V 3-ph"))</f>
        <v/>
      </c>
      <c r="D77" s="864">
        <f>IF($W77="","",INDEX(Equipment!$G$7:$G$18,$W77))</f>
        <v/>
      </c>
      <c r="E77" s="807" t="n"/>
      <c r="F77" s="831" t="n"/>
      <c r="G77" s="807" t="n"/>
      <c r="H77" s="865">
        <f>IF($U77&lt;&gt;1,"",IF($E77="",N($D77),SUMIF($E$18:$E$77,$E77,$D$18:$D$77))*1000/(IF($V77="L2",N(Equipment!$B$30),Project!$B$29)*IF($V77="L2",1,SQRT(3))))</f>
        <v/>
      </c>
      <c r="I77" s="865">
        <f>IF(N($H77)=0,"",N($H77)*1.25)</f>
        <v/>
      </c>
      <c r="J77" s="865">
        <f>IF(N($I77)=0,"",IF(ISNUMBER(MATCH($I77,OCPD_LIST,0)),$I77,IF($I77&gt;MAX(OCPD_LIST),"ABOVE LIST",INDEX(OCPD_LIST,MATCH($I77,OCPD_LIST,1)+1))))</f>
        <v/>
      </c>
      <c r="K77" s="863">
        <f>IF(OR(N($I77)=0,$B$10=""),"",IF(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gt;ROWS(SZ_SIZE),"PARALLEL SETS",INDEX(SZ_SIZE,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f>
        <v/>
      </c>
      <c r="L77" s="807" t="n"/>
      <c r="M77" s="831" t="n"/>
      <c r="N77" s="865">
        <f>IF(OR(IF($L77&lt;&gt;"",$L77,$K77)="",IF($L77&lt;&gt;"",$L77,$K77)="PARALLEL SETS"),"",IFERROR(INDEX(SZ_AMP,MATCH(IF($L77&lt;&gt;"",$L77,$K77),SZ_SIZE,0))*IF(N($M77)&gt;0,N($M77),MAX(1,N(IFERROR(INDEX(SPEC_CIRC,MATCH(INDEX(Equipment!$C$7:$C$18,MAX(1,N($W77))),SPEC_SKU,0)),1)))),""))</f>
        <v/>
      </c>
      <c r="O77" s="866">
        <f>IF(OR(N($N77)=0,N($F77)=0),"",IFERROR(IF($V77="L2",2,SQRT(3))*N($H77)/IF(N($M77)&gt;0,N($M77),MAX(1,N(IFERROR(INDEX(SPEC_CIRC,MATCH(INDEX(Equipment!$C$7:$C$18,MAX(1,N($W77))),SPEC_SKU,0)),1))))*N($F77)*INDEX(SZ_Z,MATCH(IF($L77&lt;&gt;"",$L77,$K77),SZ_SIZE,0))/1000/IF($V77="L2",N(Equipment!$B$30),Project!$B$29),""))</f>
        <v/>
      </c>
      <c r="P77" s="863">
        <f>IF(N($J77)=0,"",IFERROR(INDEX(IF($B$6="Cu",EGC_CU,EGC_AL),MATCH($J77,EGC_OCPD,1)+IF(ISNUMBER(MATCH($J77,EGC_OCPD,0)),0,1)),""))</f>
        <v/>
      </c>
      <c r="Q77" s="863">
        <f>IF(N($N77)=0,"",IFERROR(INDEX(IF($V77="L2",CND_2G,CND_3G),MATCH(IF($L77&lt;&gt;"",$L77,$K77),CND_SIZE,0)),""))</f>
        <v/>
      </c>
      <c r="R77" s="807" t="n"/>
      <c r="S77" s="867">
        <f>IF(OR(N($F77)=0,N($N77)=0),0,IFERROR(N($F77)*IF(N($M77)&gt;0,N($M77),MAX(1,N(IFERROR(INDEX(SPEC_CIRC,MATCH(INDEX(Equipment!$C$7:$C$18,MAX(1,N($W77))),SPEC_SKU,0)),1))))*IF($V77="L2",2,3)*INDEX(IF($B$6="Cu",WIRE_CU,WIRE_AL),MATCH(IF($L77&lt;&gt;"",$L77,$K77),WIRE_SIZE,0)),0)+IFERROR(N($F77)*IF(N($M77)&gt;0,N($M77),MAX(1,N(IFERROR(INDEX(SPEC_CIRC,MATCH(INDEX(Equipment!$C$7:$C$18,MAX(1,N($W77))),SPEC_SKU,0)),1))))*INDEX(IF($B$6="Cu",WIRE_CU,WIRE_AL),MATCH($P77,WIRE_SIZE,0)),0)+IFERROR(N($F77)*IF(N($M77)&gt;0,N($M77),MAX(1,N(IFERROR(INDEX(SPEC_CIRC,MATCH(INDEX(Equipment!$C$7:$C$18,MAX(1,N($W77))),SPEC_SKU,0)),1))))*INDEX(PVC_RATE,MATCH(IF($R77&lt;&gt;"",$R77,$Q77),PVC_SIZE,0)),0)+IF($V77="L2",0,IFERROR(N($F77)*INDEX(PVC_RATE,MATCH("(3/4"")",PVC_SIZE,0)),0)))</f>
        <v/>
      </c>
      <c r="T77" s="863">
        <f>IF($W77="","",IF($U77=0,"shared — on circuit "&amp;$E77&amp;", sized and priced on its first unit",IF(N($F77)=0,"ENTER THE DISTANCE",IF($B$10="","SET THE DESIGN AMBIENT in block A — nothing on this row can be trusted until it is",IF(IF($L77&lt;&gt;"",$L77,$K77)="PARALLEL SETS","PARALLEL SETS NEEDED — no single conductor carries "&amp;TEXT(N($I77),"#,##0")&amp;" A within the drop allowance; enter sets in column M",IF(N($N77)=0,"no ampacity on file for the override size — NEC Table 310.16 does not list it",IF(N($N77)&lt;IF(N($J77)&gt;800,N($J77),N($I77)),"UNDERSIZED — "&amp;TEXT(N($N77),"#,##0")&amp;" A provided against a floor of "&amp;TEXT(IF(N($J77)&gt;800,N($J77),N($I77)),"#,##0")&amp;" A",IF(N($O77)&gt;$B$13,"ampacity OK but voltage drop "&amp;TEXT(N($O77),"0.0%")&amp;" exceeds the allowance — ADVISORY, upsize the override","OK — "&amp;IF(IF(N($M77)&gt;0,N($M77),MAX(1,N(IFERROR(INDEX(SPEC_CIRC,MATCH(INDEX(Equipment!$C$7:$C$18,MAX(1,N($W77))),SPEC_SKU,0)),1))))&gt;1,TEXT(IF(N($M77)&gt;0,N($M77),MAX(1,N(IFERROR(INDEX(SPEC_CIRC,MATCH(INDEX(Equipment!$C$7:$C$18,MAX(1,N($W77))),SPEC_SKU,0)),1)))),"0")&amp;" sets of ","")&amp;IF($L77&lt;&gt;"",$L77,$K77)&amp;IF($L77&lt;&gt;""," (override)","")&amp;", "&amp;TEXT(N($N77),"#,##0")&amp;" A against a "&amp;TEXT(IF(N($J77)&gt;800,N($J77),N($I77)),"#,##0")&amp;" A floor; drop "&amp;TEXT(N($O77),"0.0%")&amp;" (ADVISORY)"))))))))</f>
        <v/>
      </c>
      <c r="U77" s="868">
        <f>IF($W77="",0,IF($E77="",1,IF(MATCH($E77,$E$18:$E$77,0)=60,1,0)))</f>
        <v/>
      </c>
      <c r="V77" s="869">
        <f>IF($W77="","",IF(INDEX(Equipment!$E$7:$E$18,$W77)="level_2","L2",IF(INDEX(Equipment!$E$7:$E$18,$W77)="power_cabinet","CAB","DC")))</f>
        <v/>
      </c>
      <c r="W77" s="868">
        <f>IF(N($B$80)&gt;=60,COUNTIF(Equipment!$S$7:$S$18,"&lt;60")+1,"")</f>
        <v/>
      </c>
      <c r="X77" s="868">
        <f>IF($U77&lt;&gt;1,"",IF(N($M77)&gt;0,N($M77),MAX(1,N(IFERROR(INDEX(SPEC_CIRC,MATCH(INDEX(Equipment!$C$7:$C$18,MAX(1,N($W77))),SPEC_SKU,0)),1)))))</f>
        <v/>
      </c>
    </row>
    <row r="78" ht="16" customHeight="1" s="254">
      <c r="A78" s="811" t="n"/>
      <c r="B78" s="804" t="n"/>
      <c r="C78" s="804" t="n"/>
      <c r="D78" s="804" t="n"/>
      <c r="E78" s="804" t="n"/>
      <c r="F78" s="804" t="n"/>
      <c r="G78" s="804" t="n"/>
      <c r="H78" s="804" t="n"/>
      <c r="I78" s="804" t="n"/>
      <c r="J78" s="804" t="n"/>
      <c r="K78" s="804" t="n"/>
      <c r="L78" s="804" t="n"/>
      <c r="M78" s="804" t="n"/>
      <c r="N78" s="804" t="n"/>
      <c r="O78" s="804" t="n"/>
      <c r="P78" s="804" t="n"/>
      <c r="Q78" s="804" t="n"/>
      <c r="R78" s="804" t="n"/>
      <c r="S78" s="804" t="n"/>
      <c r="T78" s="804" t="n"/>
      <c r="U78" s="804" t="n"/>
      <c r="V78" s="804" t="n"/>
      <c r="W78" s="804" t="n"/>
      <c r="X78" s="804" t="n"/>
    </row>
    <row r="79" ht="19.75" customHeight="1" s="254">
      <c r="A79" s="798" t="inlineStr">
        <is>
          <t>Charger runs — totals and checks</t>
        </is>
      </c>
      <c r="I79" s="804" t="n"/>
      <c r="J79" s="804" t="n"/>
      <c r="K79" s="804" t="n"/>
      <c r="L79" s="804" t="n"/>
      <c r="M79" s="804" t="n"/>
      <c r="N79" s="804" t="n"/>
      <c r="O79" s="804" t="n"/>
      <c r="P79" s="804" t="n"/>
      <c r="Q79" s="804" t="n"/>
      <c r="R79" s="804" t="n"/>
      <c r="S79" s="804" t="n"/>
      <c r="T79" s="804" t="n"/>
      <c r="U79" s="804" t="n"/>
      <c r="V79" s="804" t="n"/>
      <c r="W79" s="804" t="n"/>
      <c r="X79" s="804" t="n"/>
    </row>
    <row r="80" hidden="1" outlineLevel="1" ht="31" customHeight="1" s="254">
      <c r="A80" s="781" t="inlineStr">
        <is>
          <t>Chargers on the schedule</t>
        </is>
      </c>
      <c r="B80" s="809">
        <f>SUM(Equipment!$Q$7:$Q$18)</f>
        <v/>
      </c>
      <c r="C80" s="814" t="inlineStr">
        <is>
          <t>Every unit that takes a feeder or a branch: standalone DC chargers, power cabinets and Level 2 units. Dispensers are not among them.</t>
        </is>
      </c>
      <c r="I80" s="804" t="n"/>
      <c r="J80" s="804" t="n"/>
      <c r="K80" s="804" t="n"/>
      <c r="L80" s="804" t="n"/>
      <c r="M80" s="804" t="n"/>
      <c r="N80" s="804" t="n"/>
      <c r="O80" s="804" t="n"/>
      <c r="P80" s="804" t="n"/>
      <c r="Q80" s="804" t="n"/>
      <c r="R80" s="804" t="n"/>
      <c r="S80" s="804" t="n"/>
      <c r="T80" s="804" t="n"/>
      <c r="U80" s="804" t="n"/>
      <c r="V80" s="804" t="n"/>
      <c r="W80" s="804" t="n"/>
      <c r="X80" s="804" t="n"/>
    </row>
    <row r="81" hidden="1" outlineLevel="1" ht="16" customHeight="1" s="254">
      <c r="A81" s="781" t="inlineStr">
        <is>
          <t>Runs still needing a distance</t>
        </is>
      </c>
      <c r="B81" s="809">
        <f>SUMPRODUCT(($U$18:$U$77=1)*($F$18:$F$77=""))</f>
        <v/>
      </c>
      <c r="C81" s="814" t="inlineStr">
        <is>
          <t>Rows that own a circuit and have no distance yet.</t>
        </is>
      </c>
      <c r="I81" s="804" t="n"/>
      <c r="J81" s="804" t="n"/>
      <c r="K81" s="804" t="n"/>
      <c r="L81" s="804" t="n"/>
      <c r="M81" s="804" t="n"/>
      <c r="N81" s="804" t="n"/>
      <c r="O81" s="804" t="n"/>
      <c r="P81" s="804" t="n"/>
      <c r="Q81" s="804" t="n"/>
      <c r="R81" s="804" t="n"/>
      <c r="S81" s="804" t="n"/>
      <c r="T81" s="804" t="n"/>
      <c r="U81" s="804" t="n"/>
      <c r="V81" s="804" t="n"/>
      <c r="W81" s="804" t="n"/>
      <c r="X81" s="804" t="n"/>
    </row>
    <row r="82" hidden="1" outlineLevel="1" ht="16" customHeight="1" s="254">
      <c r="A82" s="781" t="inlineStr">
        <is>
          <t>Every charger run has a distance?</t>
        </is>
      </c>
      <c r="B82" s="810">
        <f>IF(N($B$80)=0,"nothing on the equipment schedule yet",IF(N($B$81)&gt;0,"INCOMPLETE — "&amp;TEXT($B$81,"0")&amp;" run(s) have no distance, and a run with no distance has no conductor and no cost","OK — every charger run has a distance"))</f>
        <v/>
      </c>
      <c r="C82" s="804" t="n"/>
      <c r="D82" s="804" t="n"/>
      <c r="E82" s="804" t="n"/>
      <c r="F82" s="804" t="n"/>
      <c r="G82" s="804" t="n"/>
      <c r="H82" s="804" t="n"/>
      <c r="I82" s="804" t="n"/>
      <c r="J82" s="804" t="n"/>
      <c r="K82" s="804" t="n"/>
      <c r="L82" s="804" t="n"/>
      <c r="M82" s="804" t="n"/>
      <c r="N82" s="804" t="n"/>
      <c r="O82" s="804" t="n"/>
      <c r="P82" s="804" t="n"/>
      <c r="Q82" s="804" t="n"/>
      <c r="R82" s="804" t="n"/>
      <c r="S82" s="804" t="n"/>
      <c r="T82" s="804" t="n"/>
      <c r="U82" s="804" t="n"/>
      <c r="V82" s="804" t="n"/>
      <c r="W82" s="804" t="n"/>
      <c r="X82" s="804" t="n"/>
    </row>
    <row r="83" hidden="1" outlineLevel="1" ht="16" customHeight="1" s="254">
      <c r="A83" s="781" t="inlineStr">
        <is>
          <t>Every run sized and costed?</t>
        </is>
      </c>
      <c r="B83" s="810">
        <f>IF(N($B$80)=0,"n/a",IF(COUNTIF($T$18:$T$77,"UNDERSIZED*")+COUNTIF($T$18:$T$77,"PARALLEL*")+COUNTIF($T$18:$T$77,"no ampacity*")+COUNTIF($T$18:$T$77,"SET THE*")&gt;0,"ATTENTION — read the verdict column; a run with a problem there is a run priced wrong","OK — every run with a distance has a conductor, a breaker and a cost"))</f>
        <v/>
      </c>
      <c r="C83" s="804" t="n"/>
      <c r="D83" s="804" t="n"/>
      <c r="E83" s="804" t="n"/>
      <c r="F83" s="804" t="n"/>
      <c r="G83" s="804" t="n"/>
      <c r="H83" s="804" t="n"/>
      <c r="I83" s="804" t="n"/>
      <c r="J83" s="804" t="n"/>
      <c r="K83" s="804" t="n"/>
      <c r="L83" s="804" t="n"/>
      <c r="M83" s="804" t="n"/>
      <c r="N83" s="804" t="n"/>
      <c r="O83" s="804" t="n"/>
      <c r="P83" s="804" t="n"/>
      <c r="Q83" s="804" t="n"/>
      <c r="R83" s="804" t="n"/>
      <c r="S83" s="804" t="n"/>
      <c r="T83" s="804" t="n"/>
      <c r="U83" s="804" t="n"/>
      <c r="V83" s="804" t="n"/>
      <c r="W83" s="804" t="n"/>
      <c r="X83" s="804" t="n"/>
    </row>
    <row r="84" hidden="1" outlineLevel="1" ht="16" customHeight="1" s="254">
      <c r="A84" s="781" t="inlineStr">
        <is>
          <t>DC charger-run material ($)</t>
        </is>
      </c>
      <c r="B84" s="870">
        <f>SUMIF($V$18:$V$77,"DC",$S$18:$S$77)+SUMIF($V$18:$V$77,"CAB",$S$18:$S$77)</f>
        <v/>
      </c>
      <c r="C84" s="814" t="inlineStr">
        <is>
          <t>Standalone DC chargers and power-cabinet feeders. The engine reads this row.</t>
        </is>
      </c>
      <c r="I84" s="804" t="n"/>
      <c r="J84" s="804" t="n"/>
      <c r="K84" s="804" t="n"/>
      <c r="L84" s="804" t="n"/>
      <c r="M84" s="804" t="n"/>
      <c r="N84" s="804" t="n"/>
      <c r="O84" s="804" t="n"/>
      <c r="P84" s="804" t="n"/>
      <c r="Q84" s="804" t="n"/>
      <c r="R84" s="804" t="n"/>
      <c r="S84" s="804" t="n"/>
      <c r="T84" s="804" t="n"/>
      <c r="U84" s="804" t="n"/>
      <c r="V84" s="804" t="n"/>
      <c r="W84" s="804" t="n"/>
      <c r="X84" s="804" t="n"/>
    </row>
    <row r="85" hidden="1" outlineLevel="1" ht="16" customHeight="1" s="254">
      <c r="A85" s="781" t="inlineStr">
        <is>
          <t>Level 2 charger-run material ($)</t>
        </is>
      </c>
      <c r="B85" s="870">
        <f>SUMIF($V$18:$V$77,"L2",$S$18:$S$77)</f>
        <v/>
      </c>
      <c r="C85" s="814" t="inlineStr">
        <is>
          <t>Level 2 branch circuits. The engine reads this row.</t>
        </is>
      </c>
      <c r="I85" s="804" t="n"/>
      <c r="J85" s="804" t="n"/>
      <c r="K85" s="804" t="n"/>
      <c r="L85" s="804" t="n"/>
      <c r="M85" s="804" t="n"/>
      <c r="N85" s="804" t="n"/>
      <c r="O85" s="804" t="n"/>
      <c r="P85" s="804" t="n"/>
      <c r="Q85" s="804" t="n"/>
      <c r="R85" s="804" t="n"/>
      <c r="S85" s="804" t="n"/>
      <c r="T85" s="804" t="n"/>
      <c r="U85" s="804" t="n"/>
      <c r="V85" s="804" t="n"/>
      <c r="W85" s="804" t="n"/>
      <c r="X85" s="804" t="n"/>
    </row>
    <row r="86" hidden="1" outlineLevel="1" ht="16" customHeight="1" s="254">
      <c r="A86" s="781" t="inlineStr">
        <is>
          <t>Charger-run material cost ($)</t>
        </is>
      </c>
      <c r="B86" s="870">
        <f>SUM($S$18:$S$77)</f>
        <v/>
      </c>
      <c r="C86" s="814" t="inlineStr">
        <is>
          <t>Conductor, ground, conduit and comms for every charger run, at RefData rates.</t>
        </is>
      </c>
      <c r="I86" s="804" t="n"/>
      <c r="J86" s="804" t="n"/>
      <c r="K86" s="804" t="n"/>
      <c r="L86" s="804" t="n"/>
      <c r="M86" s="804" t="n"/>
      <c r="N86" s="804" t="n"/>
      <c r="O86" s="804" t="n"/>
      <c r="P86" s="804" t="n"/>
      <c r="Q86" s="804" t="n"/>
      <c r="R86" s="804" t="n"/>
      <c r="S86" s="804" t="n"/>
      <c r="T86" s="804" t="n"/>
      <c r="U86" s="804" t="n"/>
      <c r="V86" s="804" t="n"/>
      <c r="W86" s="804" t="n"/>
      <c r="X86" s="804" t="n"/>
    </row>
    <row r="87" hidden="1" outlineLevel="1" ht="16" customHeight="1" s="254">
      <c r="A87" s="781" t="inlineStr">
        <is>
          <t>Total charger-run distance (ft)</t>
        </is>
      </c>
      <c r="B87" s="809">
        <f>SUM($F$18:$F$77)</f>
        <v/>
      </c>
      <c r="C87" s="804" t="n"/>
      <c r="D87" s="804" t="n"/>
      <c r="E87" s="804" t="n"/>
      <c r="F87" s="804" t="n"/>
      <c r="G87" s="804" t="n"/>
      <c r="H87" s="804" t="n"/>
      <c r="I87" s="804" t="n"/>
      <c r="J87" s="804" t="n"/>
      <c r="K87" s="804" t="n"/>
      <c r="L87" s="804" t="n"/>
      <c r="M87" s="804" t="n"/>
      <c r="N87" s="804" t="n"/>
      <c r="O87" s="804" t="n"/>
      <c r="P87" s="804" t="n"/>
      <c r="Q87" s="804" t="n"/>
      <c r="R87" s="804" t="n"/>
      <c r="S87" s="804" t="n"/>
      <c r="T87" s="804" t="n"/>
      <c r="U87" s="804" t="n"/>
      <c r="V87" s="804" t="n"/>
      <c r="W87" s="804" t="n"/>
      <c r="X87" s="804" t="n"/>
    </row>
    <row r="88" hidden="1" outlineLevel="1" ht="16" customHeight="1" s="254">
      <c r="A88" s="781" t="inlineStr">
        <is>
          <t>Trench to cut (ft)</t>
        </is>
      </c>
      <c r="B88" s="809">
        <f>SUMIF($G$18:$G$77,"&lt;&gt;Yes",$F$18:$F$77)</f>
        <v/>
      </c>
      <c r="C88" s="814" t="inlineStr">
        <is>
          <t>Runs marked as sharing another run's trench are excluded.</t>
        </is>
      </c>
      <c r="I88" s="804" t="n"/>
      <c r="J88" s="804" t="n"/>
      <c r="K88" s="804" t="n"/>
      <c r="L88" s="804" t="n"/>
      <c r="M88" s="804" t="n"/>
      <c r="N88" s="804" t="n"/>
      <c r="O88" s="804" t="n"/>
      <c r="P88" s="804" t="n"/>
      <c r="Q88" s="804" t="n"/>
      <c r="R88" s="804" t="n"/>
      <c r="S88" s="804" t="n"/>
      <c r="T88" s="804" t="n"/>
      <c r="U88" s="804" t="n"/>
      <c r="V88" s="804" t="n"/>
      <c r="W88" s="804" t="n"/>
      <c r="X88" s="804" t="n"/>
    </row>
    <row r="89" hidden="1" outlineLevel="1" ht="31" customHeight="1" s="254">
      <c r="A89" s="781" t="inlineStr">
        <is>
          <t>Trench restoration (sq ft)</t>
        </is>
      </c>
      <c r="B89" s="809">
        <f>$B$88*$B$9/12</f>
        <v/>
      </c>
      <c r="C89" s="814" t="inlineStr">
        <is>
          <t>Trench feet times the width implied by the depth in block A. Compare with the paving line on the Construction tab.</t>
        </is>
      </c>
      <c r="I89" s="804" t="n"/>
      <c r="J89" s="804" t="n"/>
      <c r="K89" s="804" t="n"/>
      <c r="L89" s="804" t="n"/>
      <c r="M89" s="804" t="n"/>
      <c r="N89" s="804" t="n"/>
      <c r="O89" s="804" t="n"/>
      <c r="P89" s="804" t="n"/>
      <c r="Q89" s="804" t="n"/>
      <c r="R89" s="804" t="n"/>
      <c r="S89" s="804" t="n"/>
      <c r="T89" s="804" t="n"/>
      <c r="U89" s="804" t="n"/>
      <c r="V89" s="804" t="n"/>
      <c r="W89" s="804" t="n"/>
      <c r="X89" s="804" t="n"/>
    </row>
    <row r="90" hidden="1" outlineLevel="1" ht="16" customHeight="1" s="254">
      <c r="A90" s="781" t="inlineStr">
        <is>
          <t>Longest charger run (ft)</t>
        </is>
      </c>
      <c r="B90" s="809">
        <f>IF(COUNT($F$18:$F$77)=0,0,MAX($F$18:$F$77))</f>
        <v/>
      </c>
      <c r="C90" s="814" t="inlineStr">
        <is>
          <t>The binding constraint on voltage drop.</t>
        </is>
      </c>
      <c r="I90" s="804" t="n"/>
      <c r="J90" s="804" t="n"/>
      <c r="K90" s="804" t="n"/>
      <c r="L90" s="804" t="n"/>
      <c r="M90" s="804" t="n"/>
      <c r="N90" s="804" t="n"/>
      <c r="O90" s="804" t="n"/>
      <c r="P90" s="804" t="n"/>
      <c r="Q90" s="804" t="n"/>
      <c r="R90" s="804" t="n"/>
      <c r="S90" s="804" t="n"/>
      <c r="T90" s="804" t="n"/>
      <c r="U90" s="804" t="n"/>
      <c r="V90" s="804" t="n"/>
      <c r="W90" s="804" t="n"/>
      <c r="X90" s="804" t="n"/>
    </row>
    <row r="91" hidden="1" outlineLevel="1" ht="16" customHeight="1" s="254">
      <c r="A91" s="811" t="n"/>
      <c r="B91" s="804" t="n"/>
      <c r="C91" s="804" t="n"/>
      <c r="D91" s="804" t="n"/>
      <c r="E91" s="804" t="n"/>
      <c r="F91" s="804" t="n"/>
      <c r="G91" s="804" t="n"/>
      <c r="H91" s="804" t="n"/>
      <c r="I91" s="804" t="n"/>
      <c r="J91" s="804" t="n"/>
      <c r="K91" s="804" t="n"/>
      <c r="L91" s="804" t="n"/>
      <c r="M91" s="804" t="n"/>
      <c r="N91" s="804" t="n"/>
      <c r="O91" s="804" t="n"/>
      <c r="P91" s="804" t="n"/>
      <c r="Q91" s="804" t="n"/>
      <c r="R91" s="804" t="n"/>
      <c r="S91" s="804" t="n"/>
      <c r="T91" s="804" t="n"/>
      <c r="U91" s="804" t="n"/>
      <c r="V91" s="804" t="n"/>
      <c r="W91" s="804" t="n"/>
      <c r="X91" s="804" t="n"/>
    </row>
    <row r="92" ht="19.75" customHeight="1" s="254">
      <c r="A92" s="798" t="inlineStr">
        <is>
          <t>C · DISPENSER RUNS — power cabinet to dispenser (only on a power-cabinet system)</t>
        </is>
      </c>
      <c r="I92" s="804" t="n"/>
      <c r="J92" s="804" t="n"/>
      <c r="K92" s="804" t="n"/>
      <c r="L92" s="804" t="n"/>
      <c r="M92" s="804" t="n"/>
      <c r="N92" s="804" t="n"/>
      <c r="O92" s="804" t="n"/>
      <c r="P92" s="804" t="n"/>
      <c r="Q92" s="804" t="n"/>
      <c r="R92" s="804" t="n"/>
      <c r="S92" s="804" t="n"/>
      <c r="T92" s="804" t="n"/>
      <c r="U92" s="804" t="n"/>
      <c r="V92" s="804" t="n"/>
      <c r="W92" s="804" t="n"/>
      <c r="X92" s="804" t="n"/>
    </row>
    <row r="93" hidden="1" outlineLevel="1" ht="31" customHeight="1" s="254">
      <c r="A93" s="781" t="inlineStr">
        <is>
          <t>Is this block used on this site?</t>
        </is>
      </c>
      <c r="B93" s="810">
        <f>IF(N(Equipment!$B$38)=0,"NOT USED — no power cabinet on the equipment schedule, so there are no dispensers and nothing to enter here","USED — "&amp;TEXT(Equipment!$B$38,"0")&amp;" dispenser(s) listed below; type the cabinet-to-dispenser distance for each")</f>
        <v/>
      </c>
      <c r="C93" s="814" t="inlineStr">
        <is>
          <t>A dispenser has connectors and no power of its own: it is fed DC from a power cabinet. A standalone charger is NOT a dispenser and belongs in block B.</t>
        </is>
      </c>
      <c r="I93" s="804" t="n"/>
      <c r="J93" s="804" t="n"/>
      <c r="K93" s="804" t="n"/>
      <c r="L93" s="804" t="n"/>
      <c r="M93" s="804" t="n"/>
      <c r="N93" s="804" t="n"/>
      <c r="O93" s="804" t="n"/>
      <c r="P93" s="804" t="n"/>
      <c r="Q93" s="804" t="n"/>
      <c r="R93" s="804" t="n"/>
      <c r="S93" s="804" t="n"/>
      <c r="T93" s="804" t="n"/>
      <c r="U93" s="804" t="n"/>
      <c r="V93" s="804" t="n"/>
      <c r="W93" s="804" t="n"/>
      <c r="X93" s="804" t="n"/>
    </row>
    <row r="94" hidden="1" outlineLevel="1" ht="56" customHeight="1" s="254">
      <c r="A94" s="806" t="inlineStr">
        <is>
          <t>Dispenser (auto)</t>
        </is>
      </c>
      <c r="B94" s="806" t="inlineStr">
        <is>
          <t>Fed from (auto)</t>
        </is>
      </c>
      <c r="C94" s="806" t="inlineStr">
        <is>
          <t>Distance (ft)</t>
        </is>
      </c>
      <c r="D94" s="806" t="inlineStr">
        <is>
          <t>DC circuits (auto)</t>
        </is>
      </c>
      <c r="E94" s="806" t="inlineStr">
        <is>
          <t>Conductor</t>
        </is>
      </c>
      <c r="F94" s="806" t="inlineStr">
        <is>
          <t>Ground</t>
        </is>
      </c>
      <c r="G94" s="806" t="inlineStr">
        <is>
          <t>Conduit</t>
        </is>
      </c>
      <c r="H94" s="806" t="inlineStr">
        <is>
          <t>Trench shared with the AC run? (Yes/blank)</t>
        </is>
      </c>
      <c r="I94" s="806" t="inlineStr">
        <is>
          <t>Power conductor ft (auto)</t>
        </is>
      </c>
      <c r="J94" s="806" t="inlineStr">
        <is>
          <t>Ground ft (auto)</t>
        </is>
      </c>
      <c r="K94" s="806" t="inlineStr">
        <is>
          <t>Conduit ft (auto)</t>
        </is>
      </c>
      <c r="L94" s="806" t="inlineStr">
        <is>
          <t>Comms ft (auto)</t>
        </is>
      </c>
      <c r="M94" s="806" t="inlineStr">
        <is>
          <t>Trench ft (auto)</t>
        </is>
      </c>
      <c r="N94" s="806" t="inlineStr">
        <is>
          <t>Material $ (auto)</t>
        </is>
      </c>
      <c r="O94" s="804" t="n"/>
      <c r="P94" s="804" t="n"/>
      <c r="Q94" s="804" t="n"/>
      <c r="R94" s="804" t="n"/>
      <c r="S94" s="804" t="n"/>
      <c r="T94" s="804" t="n"/>
      <c r="U94" s="804" t="n"/>
      <c r="V94" s="804" t="n"/>
      <c r="W94" s="804" t="n"/>
      <c r="X94" s="804" t="n"/>
    </row>
    <row r="95" hidden="1" outlineLevel="1" ht="16" customHeight="1" s="254">
      <c r="A95" s="862">
        <f>IF(N(Equipment!$B$38)&gt;=1,"Dispenser 1","")</f>
        <v/>
      </c>
      <c r="B95" s="863">
        <f>IF($A95="","","Line "&amp;(COUNTIF(Equipment!$V$7:$V$18,"&lt;1")+1)&amp;" cabinet "&amp;ROUNDUP((1-INDEX(Equipment!$U$7:$U$18,(COUNTIF(Equipment!$V$7:$V$18,"&lt;1")+1))+1)/MAX(1,INDEX(Equipment!$N$7:$N$18,(COUNTIF(Equipment!$V$7:$V$18,"&lt;1")+1))),0)&amp;" — "&amp;INDEX(Equipment!$C$7:$C$18,(COUNTIF(Equipment!$V$7:$V$18,"&lt;1")+1)))</f>
        <v/>
      </c>
      <c r="C95" s="831" t="n"/>
      <c r="D95" s="865">
        <f>IF($A95="","",MAX(1,INDEX(Equipment!$O$7:$O$18,(COUNTIF(Equipment!$V$7:$V$18,"&lt;1")+1))))</f>
        <v/>
      </c>
      <c r="E95" s="807" t="n"/>
      <c r="F95" s="807" t="n"/>
      <c r="G95" s="807" t="n"/>
      <c r="H95" s="807" t="n"/>
      <c r="I95" s="871">
        <f>N($C95)*MAX(1,N($D95))*2</f>
        <v/>
      </c>
      <c r="J95" s="871">
        <f>N($C95)*MAX(1,N($D95))</f>
        <v/>
      </c>
      <c r="K95" s="871">
        <f>N($C95)*MAX(1,N($D95))</f>
        <v/>
      </c>
      <c r="L95" s="871">
        <f>N($C95)</f>
        <v/>
      </c>
      <c r="M95" s="871">
        <f>IF($H95="Yes",0,N($C95))</f>
        <v/>
      </c>
      <c r="N95" s="867">
        <f>IFERROR(N($I95)*INDEX(IF($B$6="Cu",WIRE_CU,WIRE_AL),MATCH($E95,WIRE_SIZE,0)),0)+IFERROR(N($J95)*INDEX(IF($B$6="Cu",WIRE_CU,WIRE_AL),MATCH($F95,WIRE_SIZE,0)),0)+IFERROR(N($K95)*INDEX(PVC_RATE,MATCH($G95,PVC_SIZE,0)),0)+IFERROR(N($L95)*INDEX(PVC_RATE,MATCH("(3/4"")",PVC_SIZE,0)),0)</f>
        <v/>
      </c>
      <c r="O95" s="804" t="n"/>
      <c r="P95" s="804" t="n"/>
      <c r="Q95" s="804" t="n"/>
      <c r="R95" s="804" t="n"/>
      <c r="S95" s="804" t="n"/>
      <c r="T95" s="804" t="n"/>
      <c r="U95" s="804" t="n"/>
      <c r="V95" s="804" t="n"/>
      <c r="W95" s="804" t="n"/>
      <c r="X95" s="804" t="n"/>
    </row>
    <row r="96" hidden="1" outlineLevel="1" ht="16" customHeight="1" s="254">
      <c r="A96" s="862">
        <f>IF(N(Equipment!$B$38)&gt;=2,"Dispenser 2","")</f>
        <v/>
      </c>
      <c r="B96" s="863">
        <f>IF($A96="","","Line "&amp;(COUNTIF(Equipment!$V$7:$V$18,"&lt;2")+1)&amp;" cabinet "&amp;ROUNDUP((2-INDEX(Equipment!$U$7:$U$18,(COUNTIF(Equipment!$V$7:$V$18,"&lt;2")+1))+1)/MAX(1,INDEX(Equipment!$N$7:$N$18,(COUNTIF(Equipment!$V$7:$V$18,"&lt;2")+1))),0)&amp;" — "&amp;INDEX(Equipment!$C$7:$C$18,(COUNTIF(Equipment!$V$7:$V$18,"&lt;2")+1)))</f>
        <v/>
      </c>
      <c r="C96" s="831" t="n"/>
      <c r="D96" s="865">
        <f>IF($A96="","",MAX(1,INDEX(Equipment!$O$7:$O$18,(COUNTIF(Equipment!$V$7:$V$18,"&lt;2")+1))))</f>
        <v/>
      </c>
      <c r="E96" s="807" t="n"/>
      <c r="F96" s="807" t="n"/>
      <c r="G96" s="807" t="n"/>
      <c r="H96" s="807" t="n"/>
      <c r="I96" s="871">
        <f>N($C96)*MAX(1,N($D96))*2</f>
        <v/>
      </c>
      <c r="J96" s="871">
        <f>N($C96)*MAX(1,N($D96))</f>
        <v/>
      </c>
      <c r="K96" s="871">
        <f>N($C96)*MAX(1,N($D96))</f>
        <v/>
      </c>
      <c r="L96" s="871">
        <f>N($C96)</f>
        <v/>
      </c>
      <c r="M96" s="871">
        <f>IF($H96="Yes",0,N($C96))</f>
        <v/>
      </c>
      <c r="N96" s="867">
        <f>IFERROR(N($I96)*INDEX(IF($B$6="Cu",WIRE_CU,WIRE_AL),MATCH($E96,WIRE_SIZE,0)),0)+IFERROR(N($J96)*INDEX(IF($B$6="Cu",WIRE_CU,WIRE_AL),MATCH($F96,WIRE_SIZE,0)),0)+IFERROR(N($K96)*INDEX(PVC_RATE,MATCH($G96,PVC_SIZE,0)),0)+IFERROR(N($L96)*INDEX(PVC_RATE,MATCH("(3/4"")",PVC_SIZE,0)),0)</f>
        <v/>
      </c>
      <c r="O96" s="804" t="n"/>
      <c r="P96" s="804" t="n"/>
      <c r="Q96" s="804" t="n"/>
      <c r="R96" s="804" t="n"/>
      <c r="S96" s="804" t="n"/>
      <c r="T96" s="804" t="n"/>
      <c r="U96" s="804" t="n"/>
      <c r="V96" s="804" t="n"/>
      <c r="W96" s="804" t="n"/>
      <c r="X96" s="804" t="n"/>
    </row>
    <row r="97" hidden="1" outlineLevel="1" ht="16" customHeight="1" s="254">
      <c r="A97" s="862">
        <f>IF(N(Equipment!$B$38)&gt;=3,"Dispenser 3","")</f>
        <v/>
      </c>
      <c r="B97" s="863">
        <f>IF($A97="","","Line "&amp;(COUNTIF(Equipment!$V$7:$V$18,"&lt;3")+1)&amp;" cabinet "&amp;ROUNDUP((3-INDEX(Equipment!$U$7:$U$18,(COUNTIF(Equipment!$V$7:$V$18,"&lt;3")+1))+1)/MAX(1,INDEX(Equipment!$N$7:$N$18,(COUNTIF(Equipment!$V$7:$V$18,"&lt;3")+1))),0)&amp;" — "&amp;INDEX(Equipment!$C$7:$C$18,(COUNTIF(Equipment!$V$7:$V$18,"&lt;3")+1)))</f>
        <v/>
      </c>
      <c r="C97" s="831" t="n"/>
      <c r="D97" s="865">
        <f>IF($A97="","",MAX(1,INDEX(Equipment!$O$7:$O$18,(COUNTIF(Equipment!$V$7:$V$18,"&lt;3")+1))))</f>
        <v/>
      </c>
      <c r="E97" s="807" t="n"/>
      <c r="F97" s="807" t="n"/>
      <c r="G97" s="807" t="n"/>
      <c r="H97" s="807" t="n"/>
      <c r="I97" s="871">
        <f>N($C97)*MAX(1,N($D97))*2</f>
        <v/>
      </c>
      <c r="J97" s="871">
        <f>N($C97)*MAX(1,N($D97))</f>
        <v/>
      </c>
      <c r="K97" s="871">
        <f>N($C97)*MAX(1,N($D97))</f>
        <v/>
      </c>
      <c r="L97" s="871">
        <f>N($C97)</f>
        <v/>
      </c>
      <c r="M97" s="871">
        <f>IF($H97="Yes",0,N($C97))</f>
        <v/>
      </c>
      <c r="N97" s="867">
        <f>IFERROR(N($I97)*INDEX(IF($B$6="Cu",WIRE_CU,WIRE_AL),MATCH($E97,WIRE_SIZE,0)),0)+IFERROR(N($J97)*INDEX(IF($B$6="Cu",WIRE_CU,WIRE_AL),MATCH($F97,WIRE_SIZE,0)),0)+IFERROR(N($K97)*INDEX(PVC_RATE,MATCH($G97,PVC_SIZE,0)),0)+IFERROR(N($L97)*INDEX(PVC_RATE,MATCH("(3/4"")",PVC_SIZE,0)),0)</f>
        <v/>
      </c>
      <c r="O97" s="804" t="n"/>
      <c r="P97" s="804" t="n"/>
      <c r="Q97" s="804" t="n"/>
      <c r="R97" s="804" t="n"/>
      <c r="S97" s="804" t="n"/>
      <c r="T97" s="804" t="n"/>
      <c r="U97" s="804" t="n"/>
      <c r="V97" s="804" t="n"/>
      <c r="W97" s="804" t="n"/>
      <c r="X97" s="804" t="n"/>
    </row>
    <row r="98" hidden="1" outlineLevel="1" ht="16" customHeight="1" s="254">
      <c r="A98" s="862">
        <f>IF(N(Equipment!$B$38)&gt;=4,"Dispenser 4","")</f>
        <v/>
      </c>
      <c r="B98" s="863">
        <f>IF($A98="","","Line "&amp;(COUNTIF(Equipment!$V$7:$V$18,"&lt;4")+1)&amp;" cabinet "&amp;ROUNDUP((4-INDEX(Equipment!$U$7:$U$18,(COUNTIF(Equipment!$V$7:$V$18,"&lt;4")+1))+1)/MAX(1,INDEX(Equipment!$N$7:$N$18,(COUNTIF(Equipment!$V$7:$V$18,"&lt;4")+1))),0)&amp;" — "&amp;INDEX(Equipment!$C$7:$C$18,(COUNTIF(Equipment!$V$7:$V$18,"&lt;4")+1)))</f>
        <v/>
      </c>
      <c r="C98" s="831" t="n"/>
      <c r="D98" s="865">
        <f>IF($A98="","",MAX(1,INDEX(Equipment!$O$7:$O$18,(COUNTIF(Equipment!$V$7:$V$18,"&lt;4")+1))))</f>
        <v/>
      </c>
      <c r="E98" s="807" t="n"/>
      <c r="F98" s="807" t="n"/>
      <c r="G98" s="807" t="n"/>
      <c r="H98" s="807" t="n"/>
      <c r="I98" s="871">
        <f>N($C98)*MAX(1,N($D98))*2</f>
        <v/>
      </c>
      <c r="J98" s="871">
        <f>N($C98)*MAX(1,N($D98))</f>
        <v/>
      </c>
      <c r="K98" s="871">
        <f>N($C98)*MAX(1,N($D98))</f>
        <v/>
      </c>
      <c r="L98" s="871">
        <f>N($C98)</f>
        <v/>
      </c>
      <c r="M98" s="871">
        <f>IF($H98="Yes",0,N($C98))</f>
        <v/>
      </c>
      <c r="N98" s="867">
        <f>IFERROR(N($I98)*INDEX(IF($B$6="Cu",WIRE_CU,WIRE_AL),MATCH($E98,WIRE_SIZE,0)),0)+IFERROR(N($J98)*INDEX(IF($B$6="Cu",WIRE_CU,WIRE_AL),MATCH($F98,WIRE_SIZE,0)),0)+IFERROR(N($K98)*INDEX(PVC_RATE,MATCH($G98,PVC_SIZE,0)),0)+IFERROR(N($L98)*INDEX(PVC_RATE,MATCH("(3/4"")",PVC_SIZE,0)),0)</f>
        <v/>
      </c>
      <c r="O98" s="804" t="n"/>
      <c r="P98" s="804" t="n"/>
      <c r="Q98" s="804" t="n"/>
      <c r="R98" s="804" t="n"/>
      <c r="S98" s="804" t="n"/>
      <c r="T98" s="804" t="n"/>
      <c r="U98" s="804" t="n"/>
      <c r="V98" s="804" t="n"/>
      <c r="W98" s="804" t="n"/>
      <c r="X98" s="804" t="n"/>
    </row>
    <row r="99" hidden="1" outlineLevel="1" ht="16" customHeight="1" s="254">
      <c r="A99" s="862">
        <f>IF(N(Equipment!$B$38)&gt;=5,"Dispenser 5","")</f>
        <v/>
      </c>
      <c r="B99" s="863">
        <f>IF($A99="","","Line "&amp;(COUNTIF(Equipment!$V$7:$V$18,"&lt;5")+1)&amp;" cabinet "&amp;ROUNDUP((5-INDEX(Equipment!$U$7:$U$18,(COUNTIF(Equipment!$V$7:$V$18,"&lt;5")+1))+1)/MAX(1,INDEX(Equipment!$N$7:$N$18,(COUNTIF(Equipment!$V$7:$V$18,"&lt;5")+1))),0)&amp;" — "&amp;INDEX(Equipment!$C$7:$C$18,(COUNTIF(Equipment!$V$7:$V$18,"&lt;5")+1)))</f>
        <v/>
      </c>
      <c r="C99" s="831" t="n"/>
      <c r="D99" s="865">
        <f>IF($A99="","",MAX(1,INDEX(Equipment!$O$7:$O$18,(COUNTIF(Equipment!$V$7:$V$18,"&lt;5")+1))))</f>
        <v/>
      </c>
      <c r="E99" s="807" t="n"/>
      <c r="F99" s="807" t="n"/>
      <c r="G99" s="807" t="n"/>
      <c r="H99" s="807" t="n"/>
      <c r="I99" s="871">
        <f>N($C99)*MAX(1,N($D99))*2</f>
        <v/>
      </c>
      <c r="J99" s="871">
        <f>N($C99)*MAX(1,N($D99))</f>
        <v/>
      </c>
      <c r="K99" s="871">
        <f>N($C99)*MAX(1,N($D99))</f>
        <v/>
      </c>
      <c r="L99" s="871">
        <f>N($C99)</f>
        <v/>
      </c>
      <c r="M99" s="871">
        <f>IF($H99="Yes",0,N($C99))</f>
        <v/>
      </c>
      <c r="N99" s="867">
        <f>IFERROR(N($I99)*INDEX(IF($B$6="Cu",WIRE_CU,WIRE_AL),MATCH($E99,WIRE_SIZE,0)),0)+IFERROR(N($J99)*INDEX(IF($B$6="Cu",WIRE_CU,WIRE_AL),MATCH($F99,WIRE_SIZE,0)),0)+IFERROR(N($K99)*INDEX(PVC_RATE,MATCH($G99,PVC_SIZE,0)),0)+IFERROR(N($L99)*INDEX(PVC_RATE,MATCH("(3/4"")",PVC_SIZE,0)),0)</f>
        <v/>
      </c>
      <c r="O99" s="804" t="n"/>
      <c r="P99" s="804" t="n"/>
      <c r="Q99" s="804" t="n"/>
      <c r="R99" s="804" t="n"/>
      <c r="S99" s="804" t="n"/>
      <c r="T99" s="804" t="n"/>
      <c r="U99" s="804" t="n"/>
      <c r="V99" s="804" t="n"/>
      <c r="W99" s="804" t="n"/>
      <c r="X99" s="804" t="n"/>
    </row>
    <row r="100" hidden="1" outlineLevel="1" ht="16" customHeight="1" s="254">
      <c r="A100" s="862">
        <f>IF(N(Equipment!$B$38)&gt;=6,"Dispenser 6","")</f>
        <v/>
      </c>
      <c r="B100" s="863">
        <f>IF($A100="","","Line "&amp;(COUNTIF(Equipment!$V$7:$V$18,"&lt;6")+1)&amp;" cabinet "&amp;ROUNDUP((6-INDEX(Equipment!$U$7:$U$18,(COUNTIF(Equipment!$V$7:$V$18,"&lt;6")+1))+1)/MAX(1,INDEX(Equipment!$N$7:$N$18,(COUNTIF(Equipment!$V$7:$V$18,"&lt;6")+1))),0)&amp;" — "&amp;INDEX(Equipment!$C$7:$C$18,(COUNTIF(Equipment!$V$7:$V$18,"&lt;6")+1)))</f>
        <v/>
      </c>
      <c r="C100" s="831" t="n"/>
      <c r="D100" s="865">
        <f>IF($A100="","",MAX(1,INDEX(Equipment!$O$7:$O$18,(COUNTIF(Equipment!$V$7:$V$18,"&lt;6")+1))))</f>
        <v/>
      </c>
      <c r="E100" s="807" t="n"/>
      <c r="F100" s="807" t="n"/>
      <c r="G100" s="807" t="n"/>
      <c r="H100" s="807" t="n"/>
      <c r="I100" s="871">
        <f>N($C100)*MAX(1,N($D100))*2</f>
        <v/>
      </c>
      <c r="J100" s="871">
        <f>N($C100)*MAX(1,N($D100))</f>
        <v/>
      </c>
      <c r="K100" s="871">
        <f>N($C100)*MAX(1,N($D100))</f>
        <v/>
      </c>
      <c r="L100" s="871">
        <f>N($C100)</f>
        <v/>
      </c>
      <c r="M100" s="871">
        <f>IF($H100="Yes",0,N($C100))</f>
        <v/>
      </c>
      <c r="N100" s="867">
        <f>IFERROR(N($I100)*INDEX(IF($B$6="Cu",WIRE_CU,WIRE_AL),MATCH($E100,WIRE_SIZE,0)),0)+IFERROR(N($J100)*INDEX(IF($B$6="Cu",WIRE_CU,WIRE_AL),MATCH($F100,WIRE_SIZE,0)),0)+IFERROR(N($K100)*INDEX(PVC_RATE,MATCH($G100,PVC_SIZE,0)),0)+IFERROR(N($L100)*INDEX(PVC_RATE,MATCH("(3/4"")",PVC_SIZE,0)),0)</f>
        <v/>
      </c>
      <c r="O100" s="804" t="n"/>
      <c r="P100" s="804" t="n"/>
      <c r="Q100" s="804" t="n"/>
      <c r="R100" s="804" t="n"/>
      <c r="S100" s="804" t="n"/>
      <c r="T100" s="804" t="n"/>
      <c r="U100" s="804" t="n"/>
      <c r="V100" s="804" t="n"/>
      <c r="W100" s="804" t="n"/>
      <c r="X100" s="804" t="n"/>
    </row>
    <row r="101" hidden="1" outlineLevel="1" ht="16" customHeight="1" s="254">
      <c r="A101" s="862">
        <f>IF(N(Equipment!$B$38)&gt;=7,"Dispenser 7","")</f>
        <v/>
      </c>
      <c r="B101" s="863">
        <f>IF($A101="","","Line "&amp;(COUNTIF(Equipment!$V$7:$V$18,"&lt;7")+1)&amp;" cabinet "&amp;ROUNDUP((7-INDEX(Equipment!$U$7:$U$18,(COUNTIF(Equipment!$V$7:$V$18,"&lt;7")+1))+1)/MAX(1,INDEX(Equipment!$N$7:$N$18,(COUNTIF(Equipment!$V$7:$V$18,"&lt;7")+1))),0)&amp;" — "&amp;INDEX(Equipment!$C$7:$C$18,(COUNTIF(Equipment!$V$7:$V$18,"&lt;7")+1)))</f>
        <v/>
      </c>
      <c r="C101" s="831" t="n"/>
      <c r="D101" s="865">
        <f>IF($A101="","",MAX(1,INDEX(Equipment!$O$7:$O$18,(COUNTIF(Equipment!$V$7:$V$18,"&lt;7")+1))))</f>
        <v/>
      </c>
      <c r="E101" s="807" t="n"/>
      <c r="F101" s="807" t="n"/>
      <c r="G101" s="807" t="n"/>
      <c r="H101" s="807" t="n"/>
      <c r="I101" s="871">
        <f>N($C101)*MAX(1,N($D101))*2</f>
        <v/>
      </c>
      <c r="J101" s="871">
        <f>N($C101)*MAX(1,N($D101))</f>
        <v/>
      </c>
      <c r="K101" s="871">
        <f>N($C101)*MAX(1,N($D101))</f>
        <v/>
      </c>
      <c r="L101" s="871">
        <f>N($C101)</f>
        <v/>
      </c>
      <c r="M101" s="871">
        <f>IF($H101="Yes",0,N($C101))</f>
        <v/>
      </c>
      <c r="N101" s="867">
        <f>IFERROR(N($I101)*INDEX(IF($B$6="Cu",WIRE_CU,WIRE_AL),MATCH($E101,WIRE_SIZE,0)),0)+IFERROR(N($J101)*INDEX(IF($B$6="Cu",WIRE_CU,WIRE_AL),MATCH($F101,WIRE_SIZE,0)),0)+IFERROR(N($K101)*INDEX(PVC_RATE,MATCH($G101,PVC_SIZE,0)),0)+IFERROR(N($L101)*INDEX(PVC_RATE,MATCH("(3/4"")",PVC_SIZE,0)),0)</f>
        <v/>
      </c>
      <c r="O101" s="804" t="n"/>
      <c r="P101" s="804" t="n"/>
      <c r="Q101" s="804" t="n"/>
      <c r="R101" s="804" t="n"/>
      <c r="S101" s="804" t="n"/>
      <c r="T101" s="804" t="n"/>
      <c r="U101" s="804" t="n"/>
      <c r="V101" s="804" t="n"/>
      <c r="W101" s="804" t="n"/>
      <c r="X101" s="804" t="n"/>
    </row>
    <row r="102" hidden="1" outlineLevel="1" ht="16" customHeight="1" s="254">
      <c r="A102" s="862">
        <f>IF(N(Equipment!$B$38)&gt;=8,"Dispenser 8","")</f>
        <v/>
      </c>
      <c r="B102" s="863">
        <f>IF($A102="","","Line "&amp;(COUNTIF(Equipment!$V$7:$V$18,"&lt;8")+1)&amp;" cabinet "&amp;ROUNDUP((8-INDEX(Equipment!$U$7:$U$18,(COUNTIF(Equipment!$V$7:$V$18,"&lt;8")+1))+1)/MAX(1,INDEX(Equipment!$N$7:$N$18,(COUNTIF(Equipment!$V$7:$V$18,"&lt;8")+1))),0)&amp;" — "&amp;INDEX(Equipment!$C$7:$C$18,(COUNTIF(Equipment!$V$7:$V$18,"&lt;8")+1)))</f>
        <v/>
      </c>
      <c r="C102" s="831" t="n"/>
      <c r="D102" s="865">
        <f>IF($A102="","",MAX(1,INDEX(Equipment!$O$7:$O$18,(COUNTIF(Equipment!$V$7:$V$18,"&lt;8")+1))))</f>
        <v/>
      </c>
      <c r="E102" s="807" t="n"/>
      <c r="F102" s="807" t="n"/>
      <c r="G102" s="807" t="n"/>
      <c r="H102" s="807" t="n"/>
      <c r="I102" s="871">
        <f>N($C102)*MAX(1,N($D102))*2</f>
        <v/>
      </c>
      <c r="J102" s="871">
        <f>N($C102)*MAX(1,N($D102))</f>
        <v/>
      </c>
      <c r="K102" s="871">
        <f>N($C102)*MAX(1,N($D102))</f>
        <v/>
      </c>
      <c r="L102" s="871">
        <f>N($C102)</f>
        <v/>
      </c>
      <c r="M102" s="871">
        <f>IF($H102="Yes",0,N($C102))</f>
        <v/>
      </c>
      <c r="N102" s="867">
        <f>IFERROR(N($I102)*INDEX(IF($B$6="Cu",WIRE_CU,WIRE_AL),MATCH($E102,WIRE_SIZE,0)),0)+IFERROR(N($J102)*INDEX(IF($B$6="Cu",WIRE_CU,WIRE_AL),MATCH($F102,WIRE_SIZE,0)),0)+IFERROR(N($K102)*INDEX(PVC_RATE,MATCH($G102,PVC_SIZE,0)),0)+IFERROR(N($L102)*INDEX(PVC_RATE,MATCH("(3/4"")",PVC_SIZE,0)),0)</f>
        <v/>
      </c>
      <c r="O102" s="804" t="n"/>
      <c r="P102" s="804" t="n"/>
      <c r="Q102" s="804" t="n"/>
      <c r="R102" s="804" t="n"/>
      <c r="S102" s="804" t="n"/>
      <c r="T102" s="804" t="n"/>
      <c r="U102" s="804" t="n"/>
      <c r="V102" s="804" t="n"/>
      <c r="W102" s="804" t="n"/>
      <c r="X102" s="804" t="n"/>
    </row>
    <row r="103" hidden="1" outlineLevel="1" ht="16" customHeight="1" s="254">
      <c r="A103" s="862">
        <f>IF(N(Equipment!$B$38)&gt;=9,"Dispenser 9","")</f>
        <v/>
      </c>
      <c r="B103" s="863">
        <f>IF($A103="","","Line "&amp;(COUNTIF(Equipment!$V$7:$V$18,"&lt;9")+1)&amp;" cabinet "&amp;ROUNDUP((9-INDEX(Equipment!$U$7:$U$18,(COUNTIF(Equipment!$V$7:$V$18,"&lt;9")+1))+1)/MAX(1,INDEX(Equipment!$N$7:$N$18,(COUNTIF(Equipment!$V$7:$V$18,"&lt;9")+1))),0)&amp;" — "&amp;INDEX(Equipment!$C$7:$C$18,(COUNTIF(Equipment!$V$7:$V$18,"&lt;9")+1)))</f>
        <v/>
      </c>
      <c r="C103" s="831" t="n"/>
      <c r="D103" s="865">
        <f>IF($A103="","",MAX(1,INDEX(Equipment!$O$7:$O$18,(COUNTIF(Equipment!$V$7:$V$18,"&lt;9")+1))))</f>
        <v/>
      </c>
      <c r="E103" s="807" t="n"/>
      <c r="F103" s="807" t="n"/>
      <c r="G103" s="807" t="n"/>
      <c r="H103" s="807" t="n"/>
      <c r="I103" s="871">
        <f>N($C103)*MAX(1,N($D103))*2</f>
        <v/>
      </c>
      <c r="J103" s="871">
        <f>N($C103)*MAX(1,N($D103))</f>
        <v/>
      </c>
      <c r="K103" s="871">
        <f>N($C103)*MAX(1,N($D103))</f>
        <v/>
      </c>
      <c r="L103" s="871">
        <f>N($C103)</f>
        <v/>
      </c>
      <c r="M103" s="871">
        <f>IF($H103="Yes",0,N($C103))</f>
        <v/>
      </c>
      <c r="N103" s="867">
        <f>IFERROR(N($I103)*INDEX(IF($B$6="Cu",WIRE_CU,WIRE_AL),MATCH($E103,WIRE_SIZE,0)),0)+IFERROR(N($J103)*INDEX(IF($B$6="Cu",WIRE_CU,WIRE_AL),MATCH($F103,WIRE_SIZE,0)),0)+IFERROR(N($K103)*INDEX(PVC_RATE,MATCH($G103,PVC_SIZE,0)),0)+IFERROR(N($L103)*INDEX(PVC_RATE,MATCH("(3/4"")",PVC_SIZE,0)),0)</f>
        <v/>
      </c>
      <c r="O103" s="804" t="n"/>
      <c r="P103" s="804" t="n"/>
      <c r="Q103" s="804" t="n"/>
      <c r="R103" s="804" t="n"/>
      <c r="S103" s="804" t="n"/>
      <c r="T103" s="804" t="n"/>
      <c r="U103" s="804" t="n"/>
      <c r="V103" s="804" t="n"/>
      <c r="W103" s="804" t="n"/>
      <c r="X103" s="804" t="n"/>
    </row>
    <row r="104" hidden="1" outlineLevel="1" ht="16" customHeight="1" s="254">
      <c r="A104" s="862">
        <f>IF(N(Equipment!$B$38)&gt;=10,"Dispenser 10","")</f>
        <v/>
      </c>
      <c r="B104" s="863">
        <f>IF($A104="","","Line "&amp;(COUNTIF(Equipment!$V$7:$V$18,"&lt;10")+1)&amp;" cabinet "&amp;ROUNDUP((10-INDEX(Equipment!$U$7:$U$18,(COUNTIF(Equipment!$V$7:$V$18,"&lt;10")+1))+1)/MAX(1,INDEX(Equipment!$N$7:$N$18,(COUNTIF(Equipment!$V$7:$V$18,"&lt;10")+1))),0)&amp;" — "&amp;INDEX(Equipment!$C$7:$C$18,(COUNTIF(Equipment!$V$7:$V$18,"&lt;10")+1)))</f>
        <v/>
      </c>
      <c r="C104" s="831" t="n"/>
      <c r="D104" s="865">
        <f>IF($A104="","",MAX(1,INDEX(Equipment!$O$7:$O$18,(COUNTIF(Equipment!$V$7:$V$18,"&lt;10")+1))))</f>
        <v/>
      </c>
      <c r="E104" s="807" t="n"/>
      <c r="F104" s="807" t="n"/>
      <c r="G104" s="807" t="n"/>
      <c r="H104" s="807" t="n"/>
      <c r="I104" s="871">
        <f>N($C104)*MAX(1,N($D104))*2</f>
        <v/>
      </c>
      <c r="J104" s="871">
        <f>N($C104)*MAX(1,N($D104))</f>
        <v/>
      </c>
      <c r="K104" s="871">
        <f>N($C104)*MAX(1,N($D104))</f>
        <v/>
      </c>
      <c r="L104" s="871">
        <f>N($C104)</f>
        <v/>
      </c>
      <c r="M104" s="871">
        <f>IF($H104="Yes",0,N($C104))</f>
        <v/>
      </c>
      <c r="N104" s="867">
        <f>IFERROR(N($I104)*INDEX(IF($B$6="Cu",WIRE_CU,WIRE_AL),MATCH($E104,WIRE_SIZE,0)),0)+IFERROR(N($J104)*INDEX(IF($B$6="Cu",WIRE_CU,WIRE_AL),MATCH($F104,WIRE_SIZE,0)),0)+IFERROR(N($K104)*INDEX(PVC_RATE,MATCH($G104,PVC_SIZE,0)),0)+IFERROR(N($L104)*INDEX(PVC_RATE,MATCH("(3/4"")",PVC_SIZE,0)),0)</f>
        <v/>
      </c>
      <c r="O104" s="804" t="n"/>
      <c r="P104" s="804" t="n"/>
      <c r="Q104" s="804" t="n"/>
      <c r="R104" s="804" t="n"/>
      <c r="S104" s="804" t="n"/>
      <c r="T104" s="804" t="n"/>
      <c r="U104" s="804" t="n"/>
      <c r="V104" s="804" t="n"/>
      <c r="W104" s="804" t="n"/>
      <c r="X104" s="804" t="n"/>
    </row>
    <row r="105" hidden="1" outlineLevel="1" ht="16" customHeight="1" s="254">
      <c r="A105" s="862">
        <f>IF(N(Equipment!$B$38)&gt;=11,"Dispenser 11","")</f>
        <v/>
      </c>
      <c r="B105" s="863">
        <f>IF($A105="","","Line "&amp;(COUNTIF(Equipment!$V$7:$V$18,"&lt;11")+1)&amp;" cabinet "&amp;ROUNDUP((11-INDEX(Equipment!$U$7:$U$18,(COUNTIF(Equipment!$V$7:$V$18,"&lt;11")+1))+1)/MAX(1,INDEX(Equipment!$N$7:$N$18,(COUNTIF(Equipment!$V$7:$V$18,"&lt;11")+1))),0)&amp;" — "&amp;INDEX(Equipment!$C$7:$C$18,(COUNTIF(Equipment!$V$7:$V$18,"&lt;11")+1)))</f>
        <v/>
      </c>
      <c r="C105" s="831" t="n"/>
      <c r="D105" s="865">
        <f>IF($A105="","",MAX(1,INDEX(Equipment!$O$7:$O$18,(COUNTIF(Equipment!$V$7:$V$18,"&lt;11")+1))))</f>
        <v/>
      </c>
      <c r="E105" s="807" t="n"/>
      <c r="F105" s="807" t="n"/>
      <c r="G105" s="807" t="n"/>
      <c r="H105" s="807" t="n"/>
      <c r="I105" s="871">
        <f>N($C105)*MAX(1,N($D105))*2</f>
        <v/>
      </c>
      <c r="J105" s="871">
        <f>N($C105)*MAX(1,N($D105))</f>
        <v/>
      </c>
      <c r="K105" s="871">
        <f>N($C105)*MAX(1,N($D105))</f>
        <v/>
      </c>
      <c r="L105" s="871">
        <f>N($C105)</f>
        <v/>
      </c>
      <c r="M105" s="871">
        <f>IF($H105="Yes",0,N($C105))</f>
        <v/>
      </c>
      <c r="N105" s="867">
        <f>IFERROR(N($I105)*INDEX(IF($B$6="Cu",WIRE_CU,WIRE_AL),MATCH($E105,WIRE_SIZE,0)),0)+IFERROR(N($J105)*INDEX(IF($B$6="Cu",WIRE_CU,WIRE_AL),MATCH($F105,WIRE_SIZE,0)),0)+IFERROR(N($K105)*INDEX(PVC_RATE,MATCH($G105,PVC_SIZE,0)),0)+IFERROR(N($L105)*INDEX(PVC_RATE,MATCH("(3/4"")",PVC_SIZE,0)),0)</f>
        <v/>
      </c>
      <c r="O105" s="804" t="n"/>
      <c r="P105" s="804" t="n"/>
      <c r="Q105" s="804" t="n"/>
      <c r="R105" s="804" t="n"/>
      <c r="S105" s="804" t="n"/>
      <c r="T105" s="804" t="n"/>
      <c r="U105" s="804" t="n"/>
      <c r="V105" s="804" t="n"/>
      <c r="W105" s="804" t="n"/>
      <c r="X105" s="804" t="n"/>
    </row>
    <row r="106" hidden="1" outlineLevel="1" ht="16" customHeight="1" s="254">
      <c r="A106" s="862">
        <f>IF(N(Equipment!$B$38)&gt;=12,"Dispenser 12","")</f>
        <v/>
      </c>
      <c r="B106" s="863">
        <f>IF($A106="","","Line "&amp;(COUNTIF(Equipment!$V$7:$V$18,"&lt;12")+1)&amp;" cabinet "&amp;ROUNDUP((12-INDEX(Equipment!$U$7:$U$18,(COUNTIF(Equipment!$V$7:$V$18,"&lt;12")+1))+1)/MAX(1,INDEX(Equipment!$N$7:$N$18,(COUNTIF(Equipment!$V$7:$V$18,"&lt;12")+1))),0)&amp;" — "&amp;INDEX(Equipment!$C$7:$C$18,(COUNTIF(Equipment!$V$7:$V$18,"&lt;12")+1)))</f>
        <v/>
      </c>
      <c r="C106" s="831" t="n"/>
      <c r="D106" s="865">
        <f>IF($A106="","",MAX(1,INDEX(Equipment!$O$7:$O$18,(COUNTIF(Equipment!$V$7:$V$18,"&lt;12")+1))))</f>
        <v/>
      </c>
      <c r="E106" s="807" t="n"/>
      <c r="F106" s="807" t="n"/>
      <c r="G106" s="807" t="n"/>
      <c r="H106" s="807" t="n"/>
      <c r="I106" s="871">
        <f>N($C106)*MAX(1,N($D106))*2</f>
        <v/>
      </c>
      <c r="J106" s="871">
        <f>N($C106)*MAX(1,N($D106))</f>
        <v/>
      </c>
      <c r="K106" s="871">
        <f>N($C106)*MAX(1,N($D106))</f>
        <v/>
      </c>
      <c r="L106" s="871">
        <f>N($C106)</f>
        <v/>
      </c>
      <c r="M106" s="871">
        <f>IF($H106="Yes",0,N($C106))</f>
        <v/>
      </c>
      <c r="N106" s="867">
        <f>IFERROR(N($I106)*INDEX(IF($B$6="Cu",WIRE_CU,WIRE_AL),MATCH($E106,WIRE_SIZE,0)),0)+IFERROR(N($J106)*INDEX(IF($B$6="Cu",WIRE_CU,WIRE_AL),MATCH($F106,WIRE_SIZE,0)),0)+IFERROR(N($K106)*INDEX(PVC_RATE,MATCH($G106,PVC_SIZE,0)),0)+IFERROR(N($L106)*INDEX(PVC_RATE,MATCH("(3/4"")",PVC_SIZE,0)),0)</f>
        <v/>
      </c>
      <c r="O106" s="804" t="n"/>
      <c r="P106" s="804" t="n"/>
      <c r="Q106" s="804" t="n"/>
      <c r="R106" s="804" t="n"/>
      <c r="S106" s="804" t="n"/>
      <c r="T106" s="804" t="n"/>
      <c r="U106" s="804" t="n"/>
      <c r="V106" s="804" t="n"/>
      <c r="W106" s="804" t="n"/>
      <c r="X106" s="804" t="n"/>
    </row>
    <row r="107" hidden="1" outlineLevel="1" ht="16" customHeight="1" s="254">
      <c r="A107" s="862">
        <f>IF(N(Equipment!$B$38)&gt;=13,"Dispenser 13","")</f>
        <v/>
      </c>
      <c r="B107" s="863">
        <f>IF($A107="","","Line "&amp;(COUNTIF(Equipment!$V$7:$V$18,"&lt;13")+1)&amp;" cabinet "&amp;ROUNDUP((13-INDEX(Equipment!$U$7:$U$18,(COUNTIF(Equipment!$V$7:$V$18,"&lt;13")+1))+1)/MAX(1,INDEX(Equipment!$N$7:$N$18,(COUNTIF(Equipment!$V$7:$V$18,"&lt;13")+1))),0)&amp;" — "&amp;INDEX(Equipment!$C$7:$C$18,(COUNTIF(Equipment!$V$7:$V$18,"&lt;13")+1)))</f>
        <v/>
      </c>
      <c r="C107" s="831" t="n"/>
      <c r="D107" s="865">
        <f>IF($A107="","",MAX(1,INDEX(Equipment!$O$7:$O$18,(COUNTIF(Equipment!$V$7:$V$18,"&lt;13")+1))))</f>
        <v/>
      </c>
      <c r="E107" s="807" t="n"/>
      <c r="F107" s="807" t="n"/>
      <c r="G107" s="807" t="n"/>
      <c r="H107" s="807" t="n"/>
      <c r="I107" s="871">
        <f>N($C107)*MAX(1,N($D107))*2</f>
        <v/>
      </c>
      <c r="J107" s="871">
        <f>N($C107)*MAX(1,N($D107))</f>
        <v/>
      </c>
      <c r="K107" s="871">
        <f>N($C107)*MAX(1,N($D107))</f>
        <v/>
      </c>
      <c r="L107" s="871">
        <f>N($C107)</f>
        <v/>
      </c>
      <c r="M107" s="871">
        <f>IF($H107="Yes",0,N($C107))</f>
        <v/>
      </c>
      <c r="N107" s="867">
        <f>IFERROR(N($I107)*INDEX(IF($B$6="Cu",WIRE_CU,WIRE_AL),MATCH($E107,WIRE_SIZE,0)),0)+IFERROR(N($J107)*INDEX(IF($B$6="Cu",WIRE_CU,WIRE_AL),MATCH($F107,WIRE_SIZE,0)),0)+IFERROR(N($K107)*INDEX(PVC_RATE,MATCH($G107,PVC_SIZE,0)),0)+IFERROR(N($L107)*INDEX(PVC_RATE,MATCH("(3/4"")",PVC_SIZE,0)),0)</f>
        <v/>
      </c>
      <c r="O107" s="804" t="n"/>
      <c r="P107" s="804" t="n"/>
      <c r="Q107" s="804" t="n"/>
      <c r="R107" s="804" t="n"/>
      <c r="S107" s="804" t="n"/>
      <c r="T107" s="804" t="n"/>
      <c r="U107" s="804" t="n"/>
      <c r="V107" s="804" t="n"/>
      <c r="W107" s="804" t="n"/>
      <c r="X107" s="804" t="n"/>
    </row>
    <row r="108" hidden="1" outlineLevel="1" ht="16" customHeight="1" s="254">
      <c r="A108" s="862">
        <f>IF(N(Equipment!$B$38)&gt;=14,"Dispenser 14","")</f>
        <v/>
      </c>
      <c r="B108" s="863">
        <f>IF($A108="","","Line "&amp;(COUNTIF(Equipment!$V$7:$V$18,"&lt;14")+1)&amp;" cabinet "&amp;ROUNDUP((14-INDEX(Equipment!$U$7:$U$18,(COUNTIF(Equipment!$V$7:$V$18,"&lt;14")+1))+1)/MAX(1,INDEX(Equipment!$N$7:$N$18,(COUNTIF(Equipment!$V$7:$V$18,"&lt;14")+1))),0)&amp;" — "&amp;INDEX(Equipment!$C$7:$C$18,(COUNTIF(Equipment!$V$7:$V$18,"&lt;14")+1)))</f>
        <v/>
      </c>
      <c r="C108" s="831" t="n"/>
      <c r="D108" s="865">
        <f>IF($A108="","",MAX(1,INDEX(Equipment!$O$7:$O$18,(COUNTIF(Equipment!$V$7:$V$18,"&lt;14")+1))))</f>
        <v/>
      </c>
      <c r="E108" s="807" t="n"/>
      <c r="F108" s="807" t="n"/>
      <c r="G108" s="807" t="n"/>
      <c r="H108" s="807" t="n"/>
      <c r="I108" s="871">
        <f>N($C108)*MAX(1,N($D108))*2</f>
        <v/>
      </c>
      <c r="J108" s="871">
        <f>N($C108)*MAX(1,N($D108))</f>
        <v/>
      </c>
      <c r="K108" s="871">
        <f>N($C108)*MAX(1,N($D108))</f>
        <v/>
      </c>
      <c r="L108" s="871">
        <f>N($C108)</f>
        <v/>
      </c>
      <c r="M108" s="871">
        <f>IF($H108="Yes",0,N($C108))</f>
        <v/>
      </c>
      <c r="N108" s="867">
        <f>IFERROR(N($I108)*INDEX(IF($B$6="Cu",WIRE_CU,WIRE_AL),MATCH($E108,WIRE_SIZE,0)),0)+IFERROR(N($J108)*INDEX(IF($B$6="Cu",WIRE_CU,WIRE_AL),MATCH($F108,WIRE_SIZE,0)),0)+IFERROR(N($K108)*INDEX(PVC_RATE,MATCH($G108,PVC_SIZE,0)),0)+IFERROR(N($L108)*INDEX(PVC_RATE,MATCH("(3/4"")",PVC_SIZE,0)),0)</f>
        <v/>
      </c>
      <c r="O108" s="804" t="n"/>
      <c r="P108" s="804" t="n"/>
      <c r="Q108" s="804" t="n"/>
      <c r="R108" s="804" t="n"/>
      <c r="S108" s="804" t="n"/>
      <c r="T108" s="804" t="n"/>
      <c r="U108" s="804" t="n"/>
      <c r="V108" s="804" t="n"/>
      <c r="W108" s="804" t="n"/>
      <c r="X108" s="804" t="n"/>
    </row>
    <row r="109" hidden="1" outlineLevel="1" ht="16" customHeight="1" s="254">
      <c r="A109" s="862">
        <f>IF(N(Equipment!$B$38)&gt;=15,"Dispenser 15","")</f>
        <v/>
      </c>
      <c r="B109" s="863">
        <f>IF($A109="","","Line "&amp;(COUNTIF(Equipment!$V$7:$V$18,"&lt;15")+1)&amp;" cabinet "&amp;ROUNDUP((15-INDEX(Equipment!$U$7:$U$18,(COUNTIF(Equipment!$V$7:$V$18,"&lt;15")+1))+1)/MAX(1,INDEX(Equipment!$N$7:$N$18,(COUNTIF(Equipment!$V$7:$V$18,"&lt;15")+1))),0)&amp;" — "&amp;INDEX(Equipment!$C$7:$C$18,(COUNTIF(Equipment!$V$7:$V$18,"&lt;15")+1)))</f>
        <v/>
      </c>
      <c r="C109" s="831" t="n"/>
      <c r="D109" s="865">
        <f>IF($A109="","",MAX(1,INDEX(Equipment!$O$7:$O$18,(COUNTIF(Equipment!$V$7:$V$18,"&lt;15")+1))))</f>
        <v/>
      </c>
      <c r="E109" s="807" t="n"/>
      <c r="F109" s="807" t="n"/>
      <c r="G109" s="807" t="n"/>
      <c r="H109" s="807" t="n"/>
      <c r="I109" s="871">
        <f>N($C109)*MAX(1,N($D109))*2</f>
        <v/>
      </c>
      <c r="J109" s="871">
        <f>N($C109)*MAX(1,N($D109))</f>
        <v/>
      </c>
      <c r="K109" s="871">
        <f>N($C109)*MAX(1,N($D109))</f>
        <v/>
      </c>
      <c r="L109" s="871">
        <f>N($C109)</f>
        <v/>
      </c>
      <c r="M109" s="871">
        <f>IF($H109="Yes",0,N($C109))</f>
        <v/>
      </c>
      <c r="N109" s="867">
        <f>IFERROR(N($I109)*INDEX(IF($B$6="Cu",WIRE_CU,WIRE_AL),MATCH($E109,WIRE_SIZE,0)),0)+IFERROR(N($J109)*INDEX(IF($B$6="Cu",WIRE_CU,WIRE_AL),MATCH($F109,WIRE_SIZE,0)),0)+IFERROR(N($K109)*INDEX(PVC_RATE,MATCH($G109,PVC_SIZE,0)),0)+IFERROR(N($L109)*INDEX(PVC_RATE,MATCH("(3/4"")",PVC_SIZE,0)),0)</f>
        <v/>
      </c>
      <c r="O109" s="804" t="n"/>
      <c r="P109" s="804" t="n"/>
      <c r="Q109" s="804" t="n"/>
      <c r="R109" s="804" t="n"/>
      <c r="S109" s="804" t="n"/>
      <c r="T109" s="804" t="n"/>
      <c r="U109" s="804" t="n"/>
      <c r="V109" s="804" t="n"/>
      <c r="W109" s="804" t="n"/>
      <c r="X109" s="804" t="n"/>
    </row>
    <row r="110" hidden="1" outlineLevel="1" ht="16" customHeight="1" s="254">
      <c r="A110" s="862">
        <f>IF(N(Equipment!$B$38)&gt;=16,"Dispenser 16","")</f>
        <v/>
      </c>
      <c r="B110" s="863">
        <f>IF($A110="","","Line "&amp;(COUNTIF(Equipment!$V$7:$V$18,"&lt;16")+1)&amp;" cabinet "&amp;ROUNDUP((16-INDEX(Equipment!$U$7:$U$18,(COUNTIF(Equipment!$V$7:$V$18,"&lt;16")+1))+1)/MAX(1,INDEX(Equipment!$N$7:$N$18,(COUNTIF(Equipment!$V$7:$V$18,"&lt;16")+1))),0)&amp;" — "&amp;INDEX(Equipment!$C$7:$C$18,(COUNTIF(Equipment!$V$7:$V$18,"&lt;16")+1)))</f>
        <v/>
      </c>
      <c r="C110" s="831" t="n"/>
      <c r="D110" s="865">
        <f>IF($A110="","",MAX(1,INDEX(Equipment!$O$7:$O$18,(COUNTIF(Equipment!$V$7:$V$18,"&lt;16")+1))))</f>
        <v/>
      </c>
      <c r="E110" s="807" t="n"/>
      <c r="F110" s="807" t="n"/>
      <c r="G110" s="807" t="n"/>
      <c r="H110" s="807" t="n"/>
      <c r="I110" s="871">
        <f>N($C110)*MAX(1,N($D110))*2</f>
        <v/>
      </c>
      <c r="J110" s="871">
        <f>N($C110)*MAX(1,N($D110))</f>
        <v/>
      </c>
      <c r="K110" s="871">
        <f>N($C110)*MAX(1,N($D110))</f>
        <v/>
      </c>
      <c r="L110" s="871">
        <f>N($C110)</f>
        <v/>
      </c>
      <c r="M110" s="871">
        <f>IF($H110="Yes",0,N($C110))</f>
        <v/>
      </c>
      <c r="N110" s="867">
        <f>IFERROR(N($I110)*INDEX(IF($B$6="Cu",WIRE_CU,WIRE_AL),MATCH($E110,WIRE_SIZE,0)),0)+IFERROR(N($J110)*INDEX(IF($B$6="Cu",WIRE_CU,WIRE_AL),MATCH($F110,WIRE_SIZE,0)),0)+IFERROR(N($K110)*INDEX(PVC_RATE,MATCH($G110,PVC_SIZE,0)),0)+IFERROR(N($L110)*INDEX(PVC_RATE,MATCH("(3/4"")",PVC_SIZE,0)),0)</f>
        <v/>
      </c>
      <c r="O110" s="804" t="n"/>
      <c r="P110" s="804" t="n"/>
      <c r="Q110" s="804" t="n"/>
      <c r="R110" s="804" t="n"/>
      <c r="S110" s="804" t="n"/>
      <c r="T110" s="804" t="n"/>
      <c r="U110" s="804" t="n"/>
      <c r="V110" s="804" t="n"/>
      <c r="W110" s="804" t="n"/>
      <c r="X110" s="804" t="n"/>
    </row>
    <row r="111" hidden="1" outlineLevel="1" ht="16" customHeight="1" s="254">
      <c r="A111" s="862">
        <f>IF(N(Equipment!$B$38)&gt;=17,"Dispenser 17","")</f>
        <v/>
      </c>
      <c r="B111" s="863">
        <f>IF($A111="","","Line "&amp;(COUNTIF(Equipment!$V$7:$V$18,"&lt;17")+1)&amp;" cabinet "&amp;ROUNDUP((17-INDEX(Equipment!$U$7:$U$18,(COUNTIF(Equipment!$V$7:$V$18,"&lt;17")+1))+1)/MAX(1,INDEX(Equipment!$N$7:$N$18,(COUNTIF(Equipment!$V$7:$V$18,"&lt;17")+1))),0)&amp;" — "&amp;INDEX(Equipment!$C$7:$C$18,(COUNTIF(Equipment!$V$7:$V$18,"&lt;17")+1)))</f>
        <v/>
      </c>
      <c r="C111" s="831" t="n"/>
      <c r="D111" s="865">
        <f>IF($A111="","",MAX(1,INDEX(Equipment!$O$7:$O$18,(COUNTIF(Equipment!$V$7:$V$18,"&lt;17")+1))))</f>
        <v/>
      </c>
      <c r="E111" s="807" t="n"/>
      <c r="F111" s="807" t="n"/>
      <c r="G111" s="807" t="n"/>
      <c r="H111" s="807" t="n"/>
      <c r="I111" s="871">
        <f>N($C111)*MAX(1,N($D111))*2</f>
        <v/>
      </c>
      <c r="J111" s="871">
        <f>N($C111)*MAX(1,N($D111))</f>
        <v/>
      </c>
      <c r="K111" s="871">
        <f>N($C111)*MAX(1,N($D111))</f>
        <v/>
      </c>
      <c r="L111" s="871">
        <f>N($C111)</f>
        <v/>
      </c>
      <c r="M111" s="871">
        <f>IF($H111="Yes",0,N($C111))</f>
        <v/>
      </c>
      <c r="N111" s="867">
        <f>IFERROR(N($I111)*INDEX(IF($B$6="Cu",WIRE_CU,WIRE_AL),MATCH($E111,WIRE_SIZE,0)),0)+IFERROR(N($J111)*INDEX(IF($B$6="Cu",WIRE_CU,WIRE_AL),MATCH($F111,WIRE_SIZE,0)),0)+IFERROR(N($K111)*INDEX(PVC_RATE,MATCH($G111,PVC_SIZE,0)),0)+IFERROR(N($L111)*INDEX(PVC_RATE,MATCH("(3/4"")",PVC_SIZE,0)),0)</f>
        <v/>
      </c>
      <c r="O111" s="804" t="n"/>
      <c r="P111" s="804" t="n"/>
      <c r="Q111" s="804" t="n"/>
      <c r="R111" s="804" t="n"/>
      <c r="S111" s="804" t="n"/>
      <c r="T111" s="804" t="n"/>
      <c r="U111" s="804" t="n"/>
      <c r="V111" s="804" t="n"/>
      <c r="W111" s="804" t="n"/>
      <c r="X111" s="804" t="n"/>
    </row>
    <row r="112" hidden="1" outlineLevel="1" ht="16" customHeight="1" s="254">
      <c r="A112" s="862">
        <f>IF(N(Equipment!$B$38)&gt;=18,"Dispenser 18","")</f>
        <v/>
      </c>
      <c r="B112" s="863">
        <f>IF($A112="","","Line "&amp;(COUNTIF(Equipment!$V$7:$V$18,"&lt;18")+1)&amp;" cabinet "&amp;ROUNDUP((18-INDEX(Equipment!$U$7:$U$18,(COUNTIF(Equipment!$V$7:$V$18,"&lt;18")+1))+1)/MAX(1,INDEX(Equipment!$N$7:$N$18,(COUNTIF(Equipment!$V$7:$V$18,"&lt;18")+1))),0)&amp;" — "&amp;INDEX(Equipment!$C$7:$C$18,(COUNTIF(Equipment!$V$7:$V$18,"&lt;18")+1)))</f>
        <v/>
      </c>
      <c r="C112" s="831" t="n"/>
      <c r="D112" s="865">
        <f>IF($A112="","",MAX(1,INDEX(Equipment!$O$7:$O$18,(COUNTIF(Equipment!$V$7:$V$18,"&lt;18")+1))))</f>
        <v/>
      </c>
      <c r="E112" s="807" t="n"/>
      <c r="F112" s="807" t="n"/>
      <c r="G112" s="807" t="n"/>
      <c r="H112" s="807" t="n"/>
      <c r="I112" s="871">
        <f>N($C112)*MAX(1,N($D112))*2</f>
        <v/>
      </c>
      <c r="J112" s="871">
        <f>N($C112)*MAX(1,N($D112))</f>
        <v/>
      </c>
      <c r="K112" s="871">
        <f>N($C112)*MAX(1,N($D112))</f>
        <v/>
      </c>
      <c r="L112" s="871">
        <f>N($C112)</f>
        <v/>
      </c>
      <c r="M112" s="871">
        <f>IF($H112="Yes",0,N($C112))</f>
        <v/>
      </c>
      <c r="N112" s="867">
        <f>IFERROR(N($I112)*INDEX(IF($B$6="Cu",WIRE_CU,WIRE_AL),MATCH($E112,WIRE_SIZE,0)),0)+IFERROR(N($J112)*INDEX(IF($B$6="Cu",WIRE_CU,WIRE_AL),MATCH($F112,WIRE_SIZE,0)),0)+IFERROR(N($K112)*INDEX(PVC_RATE,MATCH($G112,PVC_SIZE,0)),0)+IFERROR(N($L112)*INDEX(PVC_RATE,MATCH("(3/4"")",PVC_SIZE,0)),0)</f>
        <v/>
      </c>
      <c r="O112" s="804" t="n"/>
      <c r="P112" s="804" t="n"/>
      <c r="Q112" s="804" t="n"/>
      <c r="R112" s="804" t="n"/>
      <c r="S112" s="804" t="n"/>
      <c r="T112" s="804" t="n"/>
      <c r="U112" s="804" t="n"/>
      <c r="V112" s="804" t="n"/>
      <c r="W112" s="804" t="n"/>
      <c r="X112" s="804" t="n"/>
    </row>
    <row r="113" hidden="1" outlineLevel="1" ht="16" customHeight="1" s="254">
      <c r="A113" s="862">
        <f>IF(N(Equipment!$B$38)&gt;=19,"Dispenser 19","")</f>
        <v/>
      </c>
      <c r="B113" s="863">
        <f>IF($A113="","","Line "&amp;(COUNTIF(Equipment!$V$7:$V$18,"&lt;19")+1)&amp;" cabinet "&amp;ROUNDUP((19-INDEX(Equipment!$U$7:$U$18,(COUNTIF(Equipment!$V$7:$V$18,"&lt;19")+1))+1)/MAX(1,INDEX(Equipment!$N$7:$N$18,(COUNTIF(Equipment!$V$7:$V$18,"&lt;19")+1))),0)&amp;" — "&amp;INDEX(Equipment!$C$7:$C$18,(COUNTIF(Equipment!$V$7:$V$18,"&lt;19")+1)))</f>
        <v/>
      </c>
      <c r="C113" s="831" t="n"/>
      <c r="D113" s="865">
        <f>IF($A113="","",MAX(1,INDEX(Equipment!$O$7:$O$18,(COUNTIF(Equipment!$V$7:$V$18,"&lt;19")+1))))</f>
        <v/>
      </c>
      <c r="E113" s="807" t="n"/>
      <c r="F113" s="807" t="n"/>
      <c r="G113" s="807" t="n"/>
      <c r="H113" s="807" t="n"/>
      <c r="I113" s="871">
        <f>N($C113)*MAX(1,N($D113))*2</f>
        <v/>
      </c>
      <c r="J113" s="871">
        <f>N($C113)*MAX(1,N($D113))</f>
        <v/>
      </c>
      <c r="K113" s="871">
        <f>N($C113)*MAX(1,N($D113))</f>
        <v/>
      </c>
      <c r="L113" s="871">
        <f>N($C113)</f>
        <v/>
      </c>
      <c r="M113" s="871">
        <f>IF($H113="Yes",0,N($C113))</f>
        <v/>
      </c>
      <c r="N113" s="867">
        <f>IFERROR(N($I113)*INDEX(IF($B$6="Cu",WIRE_CU,WIRE_AL),MATCH($E113,WIRE_SIZE,0)),0)+IFERROR(N($J113)*INDEX(IF($B$6="Cu",WIRE_CU,WIRE_AL),MATCH($F113,WIRE_SIZE,0)),0)+IFERROR(N($K113)*INDEX(PVC_RATE,MATCH($G113,PVC_SIZE,0)),0)+IFERROR(N($L113)*INDEX(PVC_RATE,MATCH("(3/4"")",PVC_SIZE,0)),0)</f>
        <v/>
      </c>
      <c r="O113" s="804" t="n"/>
      <c r="P113" s="804" t="n"/>
      <c r="Q113" s="804" t="n"/>
      <c r="R113" s="804" t="n"/>
      <c r="S113" s="804" t="n"/>
      <c r="T113" s="804" t="n"/>
      <c r="U113" s="804" t="n"/>
      <c r="V113" s="804" t="n"/>
      <c r="W113" s="804" t="n"/>
      <c r="X113" s="804" t="n"/>
    </row>
    <row r="114" hidden="1" outlineLevel="1" ht="16" customHeight="1" s="254">
      <c r="A114" s="862">
        <f>IF(N(Equipment!$B$38)&gt;=20,"Dispenser 20","")</f>
        <v/>
      </c>
      <c r="B114" s="863">
        <f>IF($A114="","","Line "&amp;(COUNTIF(Equipment!$V$7:$V$18,"&lt;20")+1)&amp;" cabinet "&amp;ROUNDUP((20-INDEX(Equipment!$U$7:$U$18,(COUNTIF(Equipment!$V$7:$V$18,"&lt;20")+1))+1)/MAX(1,INDEX(Equipment!$N$7:$N$18,(COUNTIF(Equipment!$V$7:$V$18,"&lt;20")+1))),0)&amp;" — "&amp;INDEX(Equipment!$C$7:$C$18,(COUNTIF(Equipment!$V$7:$V$18,"&lt;20")+1)))</f>
        <v/>
      </c>
      <c r="C114" s="831" t="n"/>
      <c r="D114" s="865">
        <f>IF($A114="","",MAX(1,INDEX(Equipment!$O$7:$O$18,(COUNTIF(Equipment!$V$7:$V$18,"&lt;20")+1))))</f>
        <v/>
      </c>
      <c r="E114" s="807" t="n"/>
      <c r="F114" s="807" t="n"/>
      <c r="G114" s="807" t="n"/>
      <c r="H114" s="807" t="n"/>
      <c r="I114" s="871">
        <f>N($C114)*MAX(1,N($D114))*2</f>
        <v/>
      </c>
      <c r="J114" s="871">
        <f>N($C114)*MAX(1,N($D114))</f>
        <v/>
      </c>
      <c r="K114" s="871">
        <f>N($C114)*MAX(1,N($D114))</f>
        <v/>
      </c>
      <c r="L114" s="871">
        <f>N($C114)</f>
        <v/>
      </c>
      <c r="M114" s="871">
        <f>IF($H114="Yes",0,N($C114))</f>
        <v/>
      </c>
      <c r="N114" s="867">
        <f>IFERROR(N($I114)*INDEX(IF($B$6="Cu",WIRE_CU,WIRE_AL),MATCH($E114,WIRE_SIZE,0)),0)+IFERROR(N($J114)*INDEX(IF($B$6="Cu",WIRE_CU,WIRE_AL),MATCH($F114,WIRE_SIZE,0)),0)+IFERROR(N($K114)*INDEX(PVC_RATE,MATCH($G114,PVC_SIZE,0)),0)+IFERROR(N($L114)*INDEX(PVC_RATE,MATCH("(3/4"")",PVC_SIZE,0)),0)</f>
        <v/>
      </c>
      <c r="O114" s="804" t="n"/>
      <c r="P114" s="804" t="n"/>
      <c r="Q114" s="804" t="n"/>
      <c r="R114" s="804" t="n"/>
      <c r="S114" s="804" t="n"/>
      <c r="T114" s="804" t="n"/>
      <c r="U114" s="804" t="n"/>
      <c r="V114" s="804" t="n"/>
      <c r="W114" s="804" t="n"/>
      <c r="X114" s="804" t="n"/>
    </row>
    <row r="115" hidden="1" outlineLevel="1" ht="16" customHeight="1" s="254">
      <c r="A115" s="862">
        <f>IF(N(Equipment!$B$38)&gt;=21,"Dispenser 21","")</f>
        <v/>
      </c>
      <c r="B115" s="863">
        <f>IF($A115="","","Line "&amp;(COUNTIF(Equipment!$V$7:$V$18,"&lt;21")+1)&amp;" cabinet "&amp;ROUNDUP((21-INDEX(Equipment!$U$7:$U$18,(COUNTIF(Equipment!$V$7:$V$18,"&lt;21")+1))+1)/MAX(1,INDEX(Equipment!$N$7:$N$18,(COUNTIF(Equipment!$V$7:$V$18,"&lt;21")+1))),0)&amp;" — "&amp;INDEX(Equipment!$C$7:$C$18,(COUNTIF(Equipment!$V$7:$V$18,"&lt;21")+1)))</f>
        <v/>
      </c>
      <c r="C115" s="831" t="n"/>
      <c r="D115" s="865">
        <f>IF($A115="","",MAX(1,INDEX(Equipment!$O$7:$O$18,(COUNTIF(Equipment!$V$7:$V$18,"&lt;21")+1))))</f>
        <v/>
      </c>
      <c r="E115" s="807" t="n"/>
      <c r="F115" s="807" t="n"/>
      <c r="G115" s="807" t="n"/>
      <c r="H115" s="807" t="n"/>
      <c r="I115" s="871">
        <f>N($C115)*MAX(1,N($D115))*2</f>
        <v/>
      </c>
      <c r="J115" s="871">
        <f>N($C115)*MAX(1,N($D115))</f>
        <v/>
      </c>
      <c r="K115" s="871">
        <f>N($C115)*MAX(1,N($D115))</f>
        <v/>
      </c>
      <c r="L115" s="871">
        <f>N($C115)</f>
        <v/>
      </c>
      <c r="M115" s="871">
        <f>IF($H115="Yes",0,N($C115))</f>
        <v/>
      </c>
      <c r="N115" s="867">
        <f>IFERROR(N($I115)*INDEX(IF($B$6="Cu",WIRE_CU,WIRE_AL),MATCH($E115,WIRE_SIZE,0)),0)+IFERROR(N($J115)*INDEX(IF($B$6="Cu",WIRE_CU,WIRE_AL),MATCH($F115,WIRE_SIZE,0)),0)+IFERROR(N($K115)*INDEX(PVC_RATE,MATCH($G115,PVC_SIZE,0)),0)+IFERROR(N($L115)*INDEX(PVC_RATE,MATCH("(3/4"")",PVC_SIZE,0)),0)</f>
        <v/>
      </c>
      <c r="O115" s="804" t="n"/>
      <c r="P115" s="804" t="n"/>
      <c r="Q115" s="804" t="n"/>
      <c r="R115" s="804" t="n"/>
      <c r="S115" s="804" t="n"/>
      <c r="T115" s="804" t="n"/>
      <c r="U115" s="804" t="n"/>
      <c r="V115" s="804" t="n"/>
      <c r="W115" s="804" t="n"/>
      <c r="X115" s="804" t="n"/>
    </row>
    <row r="116" hidden="1" outlineLevel="1" ht="16" customHeight="1" s="254">
      <c r="A116" s="862">
        <f>IF(N(Equipment!$B$38)&gt;=22,"Dispenser 22","")</f>
        <v/>
      </c>
      <c r="B116" s="863">
        <f>IF($A116="","","Line "&amp;(COUNTIF(Equipment!$V$7:$V$18,"&lt;22")+1)&amp;" cabinet "&amp;ROUNDUP((22-INDEX(Equipment!$U$7:$U$18,(COUNTIF(Equipment!$V$7:$V$18,"&lt;22")+1))+1)/MAX(1,INDEX(Equipment!$N$7:$N$18,(COUNTIF(Equipment!$V$7:$V$18,"&lt;22")+1))),0)&amp;" — "&amp;INDEX(Equipment!$C$7:$C$18,(COUNTIF(Equipment!$V$7:$V$18,"&lt;22")+1)))</f>
        <v/>
      </c>
      <c r="C116" s="831" t="n"/>
      <c r="D116" s="865">
        <f>IF($A116="","",MAX(1,INDEX(Equipment!$O$7:$O$18,(COUNTIF(Equipment!$V$7:$V$18,"&lt;22")+1))))</f>
        <v/>
      </c>
      <c r="E116" s="807" t="n"/>
      <c r="F116" s="807" t="n"/>
      <c r="G116" s="807" t="n"/>
      <c r="H116" s="807" t="n"/>
      <c r="I116" s="871">
        <f>N($C116)*MAX(1,N($D116))*2</f>
        <v/>
      </c>
      <c r="J116" s="871">
        <f>N($C116)*MAX(1,N($D116))</f>
        <v/>
      </c>
      <c r="K116" s="871">
        <f>N($C116)*MAX(1,N($D116))</f>
        <v/>
      </c>
      <c r="L116" s="871">
        <f>N($C116)</f>
        <v/>
      </c>
      <c r="M116" s="871">
        <f>IF($H116="Yes",0,N($C116))</f>
        <v/>
      </c>
      <c r="N116" s="867">
        <f>IFERROR(N($I116)*INDEX(IF($B$6="Cu",WIRE_CU,WIRE_AL),MATCH($E116,WIRE_SIZE,0)),0)+IFERROR(N($J116)*INDEX(IF($B$6="Cu",WIRE_CU,WIRE_AL),MATCH($F116,WIRE_SIZE,0)),0)+IFERROR(N($K116)*INDEX(PVC_RATE,MATCH($G116,PVC_SIZE,0)),0)+IFERROR(N($L116)*INDEX(PVC_RATE,MATCH("(3/4"")",PVC_SIZE,0)),0)</f>
        <v/>
      </c>
      <c r="O116" s="804" t="n"/>
      <c r="P116" s="804" t="n"/>
      <c r="Q116" s="804" t="n"/>
      <c r="R116" s="804" t="n"/>
      <c r="S116" s="804" t="n"/>
      <c r="T116" s="804" t="n"/>
      <c r="U116" s="804" t="n"/>
      <c r="V116" s="804" t="n"/>
      <c r="W116" s="804" t="n"/>
      <c r="X116" s="804" t="n"/>
    </row>
    <row r="117" hidden="1" outlineLevel="1" ht="16" customHeight="1" s="254">
      <c r="A117" s="862">
        <f>IF(N(Equipment!$B$38)&gt;=23,"Dispenser 23","")</f>
        <v/>
      </c>
      <c r="B117" s="863">
        <f>IF($A117="","","Line "&amp;(COUNTIF(Equipment!$V$7:$V$18,"&lt;23")+1)&amp;" cabinet "&amp;ROUNDUP((23-INDEX(Equipment!$U$7:$U$18,(COUNTIF(Equipment!$V$7:$V$18,"&lt;23")+1))+1)/MAX(1,INDEX(Equipment!$N$7:$N$18,(COUNTIF(Equipment!$V$7:$V$18,"&lt;23")+1))),0)&amp;" — "&amp;INDEX(Equipment!$C$7:$C$18,(COUNTIF(Equipment!$V$7:$V$18,"&lt;23")+1)))</f>
        <v/>
      </c>
      <c r="C117" s="831" t="n"/>
      <c r="D117" s="865">
        <f>IF($A117="","",MAX(1,INDEX(Equipment!$O$7:$O$18,(COUNTIF(Equipment!$V$7:$V$18,"&lt;23")+1))))</f>
        <v/>
      </c>
      <c r="E117" s="807" t="n"/>
      <c r="F117" s="807" t="n"/>
      <c r="G117" s="807" t="n"/>
      <c r="H117" s="807" t="n"/>
      <c r="I117" s="871">
        <f>N($C117)*MAX(1,N($D117))*2</f>
        <v/>
      </c>
      <c r="J117" s="871">
        <f>N($C117)*MAX(1,N($D117))</f>
        <v/>
      </c>
      <c r="K117" s="871">
        <f>N($C117)*MAX(1,N($D117))</f>
        <v/>
      </c>
      <c r="L117" s="871">
        <f>N($C117)</f>
        <v/>
      </c>
      <c r="M117" s="871">
        <f>IF($H117="Yes",0,N($C117))</f>
        <v/>
      </c>
      <c r="N117" s="867">
        <f>IFERROR(N($I117)*INDEX(IF($B$6="Cu",WIRE_CU,WIRE_AL),MATCH($E117,WIRE_SIZE,0)),0)+IFERROR(N($J117)*INDEX(IF($B$6="Cu",WIRE_CU,WIRE_AL),MATCH($F117,WIRE_SIZE,0)),0)+IFERROR(N($K117)*INDEX(PVC_RATE,MATCH($G117,PVC_SIZE,0)),0)+IFERROR(N($L117)*INDEX(PVC_RATE,MATCH("(3/4"")",PVC_SIZE,0)),0)</f>
        <v/>
      </c>
      <c r="O117" s="804" t="n"/>
      <c r="P117" s="804" t="n"/>
      <c r="Q117" s="804" t="n"/>
      <c r="R117" s="804" t="n"/>
      <c r="S117" s="804" t="n"/>
      <c r="T117" s="804" t="n"/>
      <c r="U117" s="804" t="n"/>
      <c r="V117" s="804" t="n"/>
      <c r="W117" s="804" t="n"/>
      <c r="X117" s="804" t="n"/>
    </row>
    <row r="118" hidden="1" outlineLevel="1" ht="16" customHeight="1" s="254">
      <c r="A118" s="862">
        <f>IF(N(Equipment!$B$38)&gt;=24,"Dispenser 24","")</f>
        <v/>
      </c>
      <c r="B118" s="863">
        <f>IF($A118="","","Line "&amp;(COUNTIF(Equipment!$V$7:$V$18,"&lt;24")+1)&amp;" cabinet "&amp;ROUNDUP((24-INDEX(Equipment!$U$7:$U$18,(COUNTIF(Equipment!$V$7:$V$18,"&lt;24")+1))+1)/MAX(1,INDEX(Equipment!$N$7:$N$18,(COUNTIF(Equipment!$V$7:$V$18,"&lt;24")+1))),0)&amp;" — "&amp;INDEX(Equipment!$C$7:$C$18,(COUNTIF(Equipment!$V$7:$V$18,"&lt;24")+1)))</f>
        <v/>
      </c>
      <c r="C118" s="831" t="n"/>
      <c r="D118" s="865">
        <f>IF($A118="","",MAX(1,INDEX(Equipment!$O$7:$O$18,(COUNTIF(Equipment!$V$7:$V$18,"&lt;24")+1))))</f>
        <v/>
      </c>
      <c r="E118" s="807" t="n"/>
      <c r="F118" s="807" t="n"/>
      <c r="G118" s="807" t="n"/>
      <c r="H118" s="807" t="n"/>
      <c r="I118" s="871">
        <f>N($C118)*MAX(1,N($D118))*2</f>
        <v/>
      </c>
      <c r="J118" s="871">
        <f>N($C118)*MAX(1,N($D118))</f>
        <v/>
      </c>
      <c r="K118" s="871">
        <f>N($C118)*MAX(1,N($D118))</f>
        <v/>
      </c>
      <c r="L118" s="871">
        <f>N($C118)</f>
        <v/>
      </c>
      <c r="M118" s="871">
        <f>IF($H118="Yes",0,N($C118))</f>
        <v/>
      </c>
      <c r="N118" s="867">
        <f>IFERROR(N($I118)*INDEX(IF($B$6="Cu",WIRE_CU,WIRE_AL),MATCH($E118,WIRE_SIZE,0)),0)+IFERROR(N($J118)*INDEX(IF($B$6="Cu",WIRE_CU,WIRE_AL),MATCH($F118,WIRE_SIZE,0)),0)+IFERROR(N($K118)*INDEX(PVC_RATE,MATCH($G118,PVC_SIZE,0)),0)+IFERROR(N($L118)*INDEX(PVC_RATE,MATCH("(3/4"")",PVC_SIZE,0)),0)</f>
        <v/>
      </c>
      <c r="O118" s="804" t="n"/>
      <c r="P118" s="804" t="n"/>
      <c r="Q118" s="804" t="n"/>
      <c r="R118" s="804" t="n"/>
      <c r="S118" s="804" t="n"/>
      <c r="T118" s="804" t="n"/>
      <c r="U118" s="804" t="n"/>
      <c r="V118" s="804" t="n"/>
      <c r="W118" s="804" t="n"/>
      <c r="X118" s="804" t="n"/>
    </row>
    <row r="119" hidden="1" outlineLevel="1" ht="16" customHeight="1" s="254">
      <c r="A119" s="862">
        <f>IF(N(Equipment!$B$38)&gt;=25,"Dispenser 25","")</f>
        <v/>
      </c>
      <c r="B119" s="863">
        <f>IF($A119="","","Line "&amp;(COUNTIF(Equipment!$V$7:$V$18,"&lt;25")+1)&amp;" cabinet "&amp;ROUNDUP((25-INDEX(Equipment!$U$7:$U$18,(COUNTIF(Equipment!$V$7:$V$18,"&lt;25")+1))+1)/MAX(1,INDEX(Equipment!$N$7:$N$18,(COUNTIF(Equipment!$V$7:$V$18,"&lt;25")+1))),0)&amp;" — "&amp;INDEX(Equipment!$C$7:$C$18,(COUNTIF(Equipment!$V$7:$V$18,"&lt;25")+1)))</f>
        <v/>
      </c>
      <c r="C119" s="831" t="n"/>
      <c r="D119" s="865">
        <f>IF($A119="","",MAX(1,INDEX(Equipment!$O$7:$O$18,(COUNTIF(Equipment!$V$7:$V$18,"&lt;25")+1))))</f>
        <v/>
      </c>
      <c r="E119" s="807" t="n"/>
      <c r="F119" s="807" t="n"/>
      <c r="G119" s="807" t="n"/>
      <c r="H119" s="807" t="n"/>
      <c r="I119" s="871">
        <f>N($C119)*MAX(1,N($D119))*2</f>
        <v/>
      </c>
      <c r="J119" s="871">
        <f>N($C119)*MAX(1,N($D119))</f>
        <v/>
      </c>
      <c r="K119" s="871">
        <f>N($C119)*MAX(1,N($D119))</f>
        <v/>
      </c>
      <c r="L119" s="871">
        <f>N($C119)</f>
        <v/>
      </c>
      <c r="M119" s="871">
        <f>IF($H119="Yes",0,N($C119))</f>
        <v/>
      </c>
      <c r="N119" s="867">
        <f>IFERROR(N($I119)*INDEX(IF($B$6="Cu",WIRE_CU,WIRE_AL),MATCH($E119,WIRE_SIZE,0)),0)+IFERROR(N($J119)*INDEX(IF($B$6="Cu",WIRE_CU,WIRE_AL),MATCH($F119,WIRE_SIZE,0)),0)+IFERROR(N($K119)*INDEX(PVC_RATE,MATCH($G119,PVC_SIZE,0)),0)+IFERROR(N($L119)*INDEX(PVC_RATE,MATCH("(3/4"")",PVC_SIZE,0)),0)</f>
        <v/>
      </c>
      <c r="O119" s="804" t="n"/>
      <c r="P119" s="804" t="n"/>
      <c r="Q119" s="804" t="n"/>
      <c r="R119" s="804" t="n"/>
      <c r="S119" s="804" t="n"/>
      <c r="T119" s="804" t="n"/>
      <c r="U119" s="804" t="n"/>
      <c r="V119" s="804" t="n"/>
      <c r="W119" s="804" t="n"/>
      <c r="X119" s="804" t="n"/>
    </row>
    <row r="120" hidden="1" outlineLevel="1" ht="16" customHeight="1" s="254">
      <c r="A120" s="862">
        <f>IF(N(Equipment!$B$38)&gt;=26,"Dispenser 26","")</f>
        <v/>
      </c>
      <c r="B120" s="863">
        <f>IF($A120="","","Line "&amp;(COUNTIF(Equipment!$V$7:$V$18,"&lt;26")+1)&amp;" cabinet "&amp;ROUNDUP((26-INDEX(Equipment!$U$7:$U$18,(COUNTIF(Equipment!$V$7:$V$18,"&lt;26")+1))+1)/MAX(1,INDEX(Equipment!$N$7:$N$18,(COUNTIF(Equipment!$V$7:$V$18,"&lt;26")+1))),0)&amp;" — "&amp;INDEX(Equipment!$C$7:$C$18,(COUNTIF(Equipment!$V$7:$V$18,"&lt;26")+1)))</f>
        <v/>
      </c>
      <c r="C120" s="831" t="n"/>
      <c r="D120" s="865">
        <f>IF($A120="","",MAX(1,INDEX(Equipment!$O$7:$O$18,(COUNTIF(Equipment!$V$7:$V$18,"&lt;26")+1))))</f>
        <v/>
      </c>
      <c r="E120" s="807" t="n"/>
      <c r="F120" s="807" t="n"/>
      <c r="G120" s="807" t="n"/>
      <c r="H120" s="807" t="n"/>
      <c r="I120" s="871">
        <f>N($C120)*MAX(1,N($D120))*2</f>
        <v/>
      </c>
      <c r="J120" s="871">
        <f>N($C120)*MAX(1,N($D120))</f>
        <v/>
      </c>
      <c r="K120" s="871">
        <f>N($C120)*MAX(1,N($D120))</f>
        <v/>
      </c>
      <c r="L120" s="871">
        <f>N($C120)</f>
        <v/>
      </c>
      <c r="M120" s="871">
        <f>IF($H120="Yes",0,N($C120))</f>
        <v/>
      </c>
      <c r="N120" s="867">
        <f>IFERROR(N($I120)*INDEX(IF($B$6="Cu",WIRE_CU,WIRE_AL),MATCH($E120,WIRE_SIZE,0)),0)+IFERROR(N($J120)*INDEX(IF($B$6="Cu",WIRE_CU,WIRE_AL),MATCH($F120,WIRE_SIZE,0)),0)+IFERROR(N($K120)*INDEX(PVC_RATE,MATCH($G120,PVC_SIZE,0)),0)+IFERROR(N($L120)*INDEX(PVC_RATE,MATCH("(3/4"")",PVC_SIZE,0)),0)</f>
        <v/>
      </c>
      <c r="O120" s="804" t="n"/>
      <c r="P120" s="804" t="n"/>
      <c r="Q120" s="804" t="n"/>
      <c r="R120" s="804" t="n"/>
      <c r="S120" s="804" t="n"/>
      <c r="T120" s="804" t="n"/>
      <c r="U120" s="804" t="n"/>
      <c r="V120" s="804" t="n"/>
      <c r="W120" s="804" t="n"/>
      <c r="X120" s="804" t="n"/>
    </row>
    <row r="121" hidden="1" outlineLevel="1" ht="16" customHeight="1" s="254">
      <c r="A121" s="862">
        <f>IF(N(Equipment!$B$38)&gt;=27,"Dispenser 27","")</f>
        <v/>
      </c>
      <c r="B121" s="863">
        <f>IF($A121="","","Line "&amp;(COUNTIF(Equipment!$V$7:$V$18,"&lt;27")+1)&amp;" cabinet "&amp;ROUNDUP((27-INDEX(Equipment!$U$7:$U$18,(COUNTIF(Equipment!$V$7:$V$18,"&lt;27")+1))+1)/MAX(1,INDEX(Equipment!$N$7:$N$18,(COUNTIF(Equipment!$V$7:$V$18,"&lt;27")+1))),0)&amp;" — "&amp;INDEX(Equipment!$C$7:$C$18,(COUNTIF(Equipment!$V$7:$V$18,"&lt;27")+1)))</f>
        <v/>
      </c>
      <c r="C121" s="831" t="n"/>
      <c r="D121" s="865">
        <f>IF($A121="","",MAX(1,INDEX(Equipment!$O$7:$O$18,(COUNTIF(Equipment!$V$7:$V$18,"&lt;27")+1))))</f>
        <v/>
      </c>
      <c r="E121" s="807" t="n"/>
      <c r="F121" s="807" t="n"/>
      <c r="G121" s="807" t="n"/>
      <c r="H121" s="807" t="n"/>
      <c r="I121" s="871">
        <f>N($C121)*MAX(1,N($D121))*2</f>
        <v/>
      </c>
      <c r="J121" s="871">
        <f>N($C121)*MAX(1,N($D121))</f>
        <v/>
      </c>
      <c r="K121" s="871">
        <f>N($C121)*MAX(1,N($D121))</f>
        <v/>
      </c>
      <c r="L121" s="871">
        <f>N($C121)</f>
        <v/>
      </c>
      <c r="M121" s="871">
        <f>IF($H121="Yes",0,N($C121))</f>
        <v/>
      </c>
      <c r="N121" s="867">
        <f>IFERROR(N($I121)*INDEX(IF($B$6="Cu",WIRE_CU,WIRE_AL),MATCH($E121,WIRE_SIZE,0)),0)+IFERROR(N($J121)*INDEX(IF($B$6="Cu",WIRE_CU,WIRE_AL),MATCH($F121,WIRE_SIZE,0)),0)+IFERROR(N($K121)*INDEX(PVC_RATE,MATCH($G121,PVC_SIZE,0)),0)+IFERROR(N($L121)*INDEX(PVC_RATE,MATCH("(3/4"")",PVC_SIZE,0)),0)</f>
        <v/>
      </c>
      <c r="O121" s="804" t="n"/>
      <c r="P121" s="804" t="n"/>
      <c r="Q121" s="804" t="n"/>
      <c r="R121" s="804" t="n"/>
      <c r="S121" s="804" t="n"/>
      <c r="T121" s="804" t="n"/>
      <c r="U121" s="804" t="n"/>
      <c r="V121" s="804" t="n"/>
      <c r="W121" s="804" t="n"/>
      <c r="X121" s="804" t="n"/>
    </row>
    <row r="122" hidden="1" outlineLevel="1" ht="16" customHeight="1" s="254">
      <c r="A122" s="862">
        <f>IF(N(Equipment!$B$38)&gt;=28,"Dispenser 28","")</f>
        <v/>
      </c>
      <c r="B122" s="863">
        <f>IF($A122="","","Line "&amp;(COUNTIF(Equipment!$V$7:$V$18,"&lt;28")+1)&amp;" cabinet "&amp;ROUNDUP((28-INDEX(Equipment!$U$7:$U$18,(COUNTIF(Equipment!$V$7:$V$18,"&lt;28")+1))+1)/MAX(1,INDEX(Equipment!$N$7:$N$18,(COUNTIF(Equipment!$V$7:$V$18,"&lt;28")+1))),0)&amp;" — "&amp;INDEX(Equipment!$C$7:$C$18,(COUNTIF(Equipment!$V$7:$V$18,"&lt;28")+1)))</f>
        <v/>
      </c>
      <c r="C122" s="831" t="n"/>
      <c r="D122" s="865">
        <f>IF($A122="","",MAX(1,INDEX(Equipment!$O$7:$O$18,(COUNTIF(Equipment!$V$7:$V$18,"&lt;28")+1))))</f>
        <v/>
      </c>
      <c r="E122" s="807" t="n"/>
      <c r="F122" s="807" t="n"/>
      <c r="G122" s="807" t="n"/>
      <c r="H122" s="807" t="n"/>
      <c r="I122" s="871">
        <f>N($C122)*MAX(1,N($D122))*2</f>
        <v/>
      </c>
      <c r="J122" s="871">
        <f>N($C122)*MAX(1,N($D122))</f>
        <v/>
      </c>
      <c r="K122" s="871">
        <f>N($C122)*MAX(1,N($D122))</f>
        <v/>
      </c>
      <c r="L122" s="871">
        <f>N($C122)</f>
        <v/>
      </c>
      <c r="M122" s="871">
        <f>IF($H122="Yes",0,N($C122))</f>
        <v/>
      </c>
      <c r="N122" s="867">
        <f>IFERROR(N($I122)*INDEX(IF($B$6="Cu",WIRE_CU,WIRE_AL),MATCH($E122,WIRE_SIZE,0)),0)+IFERROR(N($J122)*INDEX(IF($B$6="Cu",WIRE_CU,WIRE_AL),MATCH($F122,WIRE_SIZE,0)),0)+IFERROR(N($K122)*INDEX(PVC_RATE,MATCH($G122,PVC_SIZE,0)),0)+IFERROR(N($L122)*INDEX(PVC_RATE,MATCH("(3/4"")",PVC_SIZE,0)),0)</f>
        <v/>
      </c>
      <c r="O122" s="804" t="n"/>
      <c r="P122" s="804" t="n"/>
      <c r="Q122" s="804" t="n"/>
      <c r="R122" s="804" t="n"/>
      <c r="S122" s="804" t="n"/>
      <c r="T122" s="804" t="n"/>
      <c r="U122" s="804" t="n"/>
      <c r="V122" s="804" t="n"/>
      <c r="W122" s="804" t="n"/>
      <c r="X122" s="804" t="n"/>
    </row>
    <row r="123" hidden="1" outlineLevel="1" ht="16" customHeight="1" s="254">
      <c r="A123" s="862">
        <f>IF(N(Equipment!$B$38)&gt;=29,"Dispenser 29","")</f>
        <v/>
      </c>
      <c r="B123" s="863">
        <f>IF($A123="","","Line "&amp;(COUNTIF(Equipment!$V$7:$V$18,"&lt;29")+1)&amp;" cabinet "&amp;ROUNDUP((29-INDEX(Equipment!$U$7:$U$18,(COUNTIF(Equipment!$V$7:$V$18,"&lt;29")+1))+1)/MAX(1,INDEX(Equipment!$N$7:$N$18,(COUNTIF(Equipment!$V$7:$V$18,"&lt;29")+1))),0)&amp;" — "&amp;INDEX(Equipment!$C$7:$C$18,(COUNTIF(Equipment!$V$7:$V$18,"&lt;29")+1)))</f>
        <v/>
      </c>
      <c r="C123" s="831" t="n"/>
      <c r="D123" s="865">
        <f>IF($A123="","",MAX(1,INDEX(Equipment!$O$7:$O$18,(COUNTIF(Equipment!$V$7:$V$18,"&lt;29")+1))))</f>
        <v/>
      </c>
      <c r="E123" s="807" t="n"/>
      <c r="F123" s="807" t="n"/>
      <c r="G123" s="807" t="n"/>
      <c r="H123" s="807" t="n"/>
      <c r="I123" s="871">
        <f>N($C123)*MAX(1,N($D123))*2</f>
        <v/>
      </c>
      <c r="J123" s="871">
        <f>N($C123)*MAX(1,N($D123))</f>
        <v/>
      </c>
      <c r="K123" s="871">
        <f>N($C123)*MAX(1,N($D123))</f>
        <v/>
      </c>
      <c r="L123" s="871">
        <f>N($C123)</f>
        <v/>
      </c>
      <c r="M123" s="871">
        <f>IF($H123="Yes",0,N($C123))</f>
        <v/>
      </c>
      <c r="N123" s="867">
        <f>IFERROR(N($I123)*INDEX(IF($B$6="Cu",WIRE_CU,WIRE_AL),MATCH($E123,WIRE_SIZE,0)),0)+IFERROR(N($J123)*INDEX(IF($B$6="Cu",WIRE_CU,WIRE_AL),MATCH($F123,WIRE_SIZE,0)),0)+IFERROR(N($K123)*INDEX(PVC_RATE,MATCH($G123,PVC_SIZE,0)),0)+IFERROR(N($L123)*INDEX(PVC_RATE,MATCH("(3/4"")",PVC_SIZE,0)),0)</f>
        <v/>
      </c>
      <c r="O123" s="804" t="n"/>
      <c r="P123" s="804" t="n"/>
      <c r="Q123" s="804" t="n"/>
      <c r="R123" s="804" t="n"/>
      <c r="S123" s="804" t="n"/>
      <c r="T123" s="804" t="n"/>
      <c r="U123" s="804" t="n"/>
      <c r="V123" s="804" t="n"/>
      <c r="W123" s="804" t="n"/>
      <c r="X123" s="804" t="n"/>
    </row>
    <row r="124" hidden="1" outlineLevel="1" ht="16" customHeight="1" s="254">
      <c r="A124" s="862">
        <f>IF(N(Equipment!$B$38)&gt;=30,"Dispenser 30","")</f>
        <v/>
      </c>
      <c r="B124" s="863">
        <f>IF($A124="","","Line "&amp;(COUNTIF(Equipment!$V$7:$V$18,"&lt;30")+1)&amp;" cabinet "&amp;ROUNDUP((30-INDEX(Equipment!$U$7:$U$18,(COUNTIF(Equipment!$V$7:$V$18,"&lt;30")+1))+1)/MAX(1,INDEX(Equipment!$N$7:$N$18,(COUNTIF(Equipment!$V$7:$V$18,"&lt;30")+1))),0)&amp;" — "&amp;INDEX(Equipment!$C$7:$C$18,(COUNTIF(Equipment!$V$7:$V$18,"&lt;30")+1)))</f>
        <v/>
      </c>
      <c r="C124" s="831" t="n"/>
      <c r="D124" s="865">
        <f>IF($A124="","",MAX(1,INDEX(Equipment!$O$7:$O$18,(COUNTIF(Equipment!$V$7:$V$18,"&lt;30")+1))))</f>
        <v/>
      </c>
      <c r="E124" s="807" t="n"/>
      <c r="F124" s="807" t="n"/>
      <c r="G124" s="807" t="n"/>
      <c r="H124" s="807" t="n"/>
      <c r="I124" s="871">
        <f>N($C124)*MAX(1,N($D124))*2</f>
        <v/>
      </c>
      <c r="J124" s="871">
        <f>N($C124)*MAX(1,N($D124))</f>
        <v/>
      </c>
      <c r="K124" s="871">
        <f>N($C124)*MAX(1,N($D124))</f>
        <v/>
      </c>
      <c r="L124" s="871">
        <f>N($C124)</f>
        <v/>
      </c>
      <c r="M124" s="871">
        <f>IF($H124="Yes",0,N($C124))</f>
        <v/>
      </c>
      <c r="N124" s="867">
        <f>IFERROR(N($I124)*INDEX(IF($B$6="Cu",WIRE_CU,WIRE_AL),MATCH($E124,WIRE_SIZE,0)),0)+IFERROR(N($J124)*INDEX(IF($B$6="Cu",WIRE_CU,WIRE_AL),MATCH($F124,WIRE_SIZE,0)),0)+IFERROR(N($K124)*INDEX(PVC_RATE,MATCH($G124,PVC_SIZE,0)),0)+IFERROR(N($L124)*INDEX(PVC_RATE,MATCH("(3/4"")",PVC_SIZE,0)),0)</f>
        <v/>
      </c>
      <c r="O124" s="804" t="n"/>
      <c r="P124" s="804" t="n"/>
      <c r="Q124" s="804" t="n"/>
      <c r="R124" s="804" t="n"/>
      <c r="S124" s="804" t="n"/>
      <c r="T124" s="804" t="n"/>
      <c r="U124" s="804" t="n"/>
      <c r="V124" s="804" t="n"/>
      <c r="W124" s="804" t="n"/>
      <c r="X124" s="804" t="n"/>
    </row>
    <row r="125" hidden="1" outlineLevel="1" ht="16" customHeight="1" s="254">
      <c r="A125" s="862">
        <f>IF(N(Equipment!$B$38)&gt;=31,"Dispenser 31","")</f>
        <v/>
      </c>
      <c r="B125" s="863">
        <f>IF($A125="","","Line "&amp;(COUNTIF(Equipment!$V$7:$V$18,"&lt;31")+1)&amp;" cabinet "&amp;ROUNDUP((31-INDEX(Equipment!$U$7:$U$18,(COUNTIF(Equipment!$V$7:$V$18,"&lt;31")+1))+1)/MAX(1,INDEX(Equipment!$N$7:$N$18,(COUNTIF(Equipment!$V$7:$V$18,"&lt;31")+1))),0)&amp;" — "&amp;INDEX(Equipment!$C$7:$C$18,(COUNTIF(Equipment!$V$7:$V$18,"&lt;31")+1)))</f>
        <v/>
      </c>
      <c r="C125" s="831" t="n"/>
      <c r="D125" s="865">
        <f>IF($A125="","",MAX(1,INDEX(Equipment!$O$7:$O$18,(COUNTIF(Equipment!$V$7:$V$18,"&lt;31")+1))))</f>
        <v/>
      </c>
      <c r="E125" s="807" t="n"/>
      <c r="F125" s="807" t="n"/>
      <c r="G125" s="807" t="n"/>
      <c r="H125" s="807" t="n"/>
      <c r="I125" s="871">
        <f>N($C125)*MAX(1,N($D125))*2</f>
        <v/>
      </c>
      <c r="J125" s="871">
        <f>N($C125)*MAX(1,N($D125))</f>
        <v/>
      </c>
      <c r="K125" s="871">
        <f>N($C125)*MAX(1,N($D125))</f>
        <v/>
      </c>
      <c r="L125" s="871">
        <f>N($C125)</f>
        <v/>
      </c>
      <c r="M125" s="871">
        <f>IF($H125="Yes",0,N($C125))</f>
        <v/>
      </c>
      <c r="N125" s="867">
        <f>IFERROR(N($I125)*INDEX(IF($B$6="Cu",WIRE_CU,WIRE_AL),MATCH($E125,WIRE_SIZE,0)),0)+IFERROR(N($J125)*INDEX(IF($B$6="Cu",WIRE_CU,WIRE_AL),MATCH($F125,WIRE_SIZE,0)),0)+IFERROR(N($K125)*INDEX(PVC_RATE,MATCH($G125,PVC_SIZE,0)),0)+IFERROR(N($L125)*INDEX(PVC_RATE,MATCH("(3/4"")",PVC_SIZE,0)),0)</f>
        <v/>
      </c>
      <c r="O125" s="804" t="n"/>
      <c r="P125" s="804" t="n"/>
      <c r="Q125" s="804" t="n"/>
      <c r="R125" s="804" t="n"/>
      <c r="S125" s="804" t="n"/>
      <c r="T125" s="804" t="n"/>
      <c r="U125" s="804" t="n"/>
      <c r="V125" s="804" t="n"/>
      <c r="W125" s="804" t="n"/>
      <c r="X125" s="804" t="n"/>
    </row>
    <row r="126" hidden="1" outlineLevel="1" ht="16" customHeight="1" s="254">
      <c r="A126" s="862">
        <f>IF(N(Equipment!$B$38)&gt;=32,"Dispenser 32","")</f>
        <v/>
      </c>
      <c r="B126" s="863">
        <f>IF($A126="","","Line "&amp;(COUNTIF(Equipment!$V$7:$V$18,"&lt;32")+1)&amp;" cabinet "&amp;ROUNDUP((32-INDEX(Equipment!$U$7:$U$18,(COUNTIF(Equipment!$V$7:$V$18,"&lt;32")+1))+1)/MAX(1,INDEX(Equipment!$N$7:$N$18,(COUNTIF(Equipment!$V$7:$V$18,"&lt;32")+1))),0)&amp;" — "&amp;INDEX(Equipment!$C$7:$C$18,(COUNTIF(Equipment!$V$7:$V$18,"&lt;32")+1)))</f>
        <v/>
      </c>
      <c r="C126" s="831" t="n"/>
      <c r="D126" s="865">
        <f>IF($A126="","",MAX(1,INDEX(Equipment!$O$7:$O$18,(COUNTIF(Equipment!$V$7:$V$18,"&lt;32")+1))))</f>
        <v/>
      </c>
      <c r="E126" s="807" t="n"/>
      <c r="F126" s="807" t="n"/>
      <c r="G126" s="807" t="n"/>
      <c r="H126" s="807" t="n"/>
      <c r="I126" s="871">
        <f>N($C126)*MAX(1,N($D126))*2</f>
        <v/>
      </c>
      <c r="J126" s="871">
        <f>N($C126)*MAX(1,N($D126))</f>
        <v/>
      </c>
      <c r="K126" s="871">
        <f>N($C126)*MAX(1,N($D126))</f>
        <v/>
      </c>
      <c r="L126" s="871">
        <f>N($C126)</f>
        <v/>
      </c>
      <c r="M126" s="871">
        <f>IF($H126="Yes",0,N($C126))</f>
        <v/>
      </c>
      <c r="N126" s="867">
        <f>IFERROR(N($I126)*INDEX(IF($B$6="Cu",WIRE_CU,WIRE_AL),MATCH($E126,WIRE_SIZE,0)),0)+IFERROR(N($J126)*INDEX(IF($B$6="Cu",WIRE_CU,WIRE_AL),MATCH($F126,WIRE_SIZE,0)),0)+IFERROR(N($K126)*INDEX(PVC_RATE,MATCH($G126,PVC_SIZE,0)),0)+IFERROR(N($L126)*INDEX(PVC_RATE,MATCH("(3/4"")",PVC_SIZE,0)),0)</f>
        <v/>
      </c>
      <c r="O126" s="804" t="n"/>
      <c r="P126" s="804" t="n"/>
      <c r="Q126" s="804" t="n"/>
      <c r="R126" s="804" t="n"/>
      <c r="S126" s="804" t="n"/>
      <c r="T126" s="804" t="n"/>
      <c r="U126" s="804" t="n"/>
      <c r="V126" s="804" t="n"/>
      <c r="W126" s="804" t="n"/>
      <c r="X126" s="804" t="n"/>
    </row>
    <row r="127" hidden="1" outlineLevel="1" ht="16" customHeight="1" s="254">
      <c r="A127" s="794" t="inlineStr">
        <is>
          <t>TOTAL</t>
        </is>
      </c>
      <c r="B127" s="804" t="n"/>
      <c r="C127" s="872">
        <f>SUM(C95:C126)</f>
        <v/>
      </c>
      <c r="D127" s="804" t="n"/>
      <c r="E127" s="804" t="n"/>
      <c r="F127" s="804" t="n"/>
      <c r="G127" s="804" t="n"/>
      <c r="H127" s="804" t="n"/>
      <c r="I127" s="872">
        <f>SUM(I95:I126)</f>
        <v/>
      </c>
      <c r="J127" s="872">
        <f>SUM(J95:J126)</f>
        <v/>
      </c>
      <c r="K127" s="872">
        <f>SUM(K95:K126)</f>
        <v/>
      </c>
      <c r="L127" s="872">
        <f>SUM(L95:L126)</f>
        <v/>
      </c>
      <c r="M127" s="872">
        <f>SUM(M95:M126)</f>
        <v/>
      </c>
      <c r="N127" s="873">
        <f>SUM(N95:N126)</f>
        <v/>
      </c>
      <c r="O127" s="804" t="n"/>
      <c r="P127" s="804" t="n"/>
      <c r="Q127" s="804" t="n"/>
      <c r="R127" s="804" t="n"/>
      <c r="S127" s="804" t="n"/>
      <c r="T127" s="804" t="n"/>
      <c r="U127" s="804" t="n"/>
      <c r="V127" s="804" t="n"/>
      <c r="W127" s="804" t="n"/>
      <c r="X127" s="804" t="n"/>
    </row>
    <row r="128" hidden="1" outlineLevel="1" ht="31" customHeight="1" s="254">
      <c r="A128" s="781" t="inlineStr">
        <is>
          <t>DC material cost</t>
        </is>
      </c>
      <c r="B128" s="870">
        <f>$N$127</f>
        <v/>
      </c>
      <c r="C128" s="814" t="inlineStr">
        <is>
          <t>Conductor, ground, conduit and comms for every cabinet-to-dispenser run. The engine reads this row.</t>
        </is>
      </c>
      <c r="I128" s="804" t="n"/>
      <c r="J128" s="804" t="n"/>
      <c r="K128" s="804" t="n"/>
      <c r="L128" s="804" t="n"/>
      <c r="M128" s="804" t="n"/>
      <c r="N128" s="804" t="n"/>
      <c r="O128" s="804" t="n"/>
      <c r="P128" s="804" t="n"/>
      <c r="Q128" s="804" t="n"/>
      <c r="R128" s="804" t="n"/>
      <c r="S128" s="804" t="n"/>
      <c r="T128" s="804" t="n"/>
      <c r="U128" s="804" t="n"/>
      <c r="V128" s="804" t="n"/>
      <c r="W128" s="804" t="n"/>
      <c r="X128" s="804" t="n"/>
    </row>
    <row r="129" hidden="1" outlineLevel="1" ht="16" customHeight="1" s="254">
      <c r="A129" s="781" t="inlineStr">
        <is>
          <t>DC trench to cut (ft)</t>
        </is>
      </c>
      <c r="B129" s="809">
        <f>$M$127</f>
        <v/>
      </c>
      <c r="C129" s="814" t="inlineStr">
        <is>
          <t>Excludes runs sharing the AC trench.</t>
        </is>
      </c>
      <c r="I129" s="804" t="n"/>
      <c r="J129" s="804" t="n"/>
      <c r="K129" s="804" t="n"/>
      <c r="L129" s="804" t="n"/>
      <c r="M129" s="804" t="n"/>
      <c r="N129" s="804" t="n"/>
      <c r="O129" s="804" t="n"/>
      <c r="P129" s="804" t="n"/>
      <c r="Q129" s="804" t="n"/>
      <c r="R129" s="804" t="n"/>
      <c r="S129" s="804" t="n"/>
      <c r="T129" s="804" t="n"/>
      <c r="U129" s="804" t="n"/>
      <c r="V129" s="804" t="n"/>
      <c r="W129" s="804" t="n"/>
      <c r="X129" s="804" t="n"/>
    </row>
    <row r="130" hidden="1" outlineLevel="1" ht="16" customHeight="1" s="254">
      <c r="A130" s="781" t="inlineStr">
        <is>
          <t>DC trench restoration (sq ft)</t>
        </is>
      </c>
      <c r="B130" s="809">
        <f>$B$129*$B$9/12</f>
        <v/>
      </c>
      <c r="C130" s="804" t="n"/>
      <c r="D130" s="804" t="n"/>
      <c r="E130" s="804" t="n"/>
      <c r="F130" s="804" t="n"/>
      <c r="G130" s="804" t="n"/>
      <c r="H130" s="804" t="n"/>
      <c r="I130" s="804" t="n"/>
      <c r="J130" s="804" t="n"/>
      <c r="K130" s="804" t="n"/>
      <c r="L130" s="804" t="n"/>
      <c r="M130" s="804" t="n"/>
      <c r="N130" s="804" t="n"/>
      <c r="O130" s="804" t="n"/>
      <c r="P130" s="804" t="n"/>
      <c r="Q130" s="804" t="n"/>
      <c r="R130" s="804" t="n"/>
      <c r="S130" s="804" t="n"/>
      <c r="T130" s="804" t="n"/>
      <c r="U130" s="804" t="n"/>
      <c r="V130" s="804" t="n"/>
      <c r="W130" s="804" t="n"/>
      <c r="X130" s="804" t="n"/>
    </row>
    <row r="131" hidden="1" outlineLevel="1" ht="16" customHeight="1" s="254">
      <c r="A131" s="781" t="inlineStr">
        <is>
          <t>Dispensers placed</t>
        </is>
      </c>
      <c r="B131" s="809">
        <f>COUNT($C$95:$C$126)</f>
        <v/>
      </c>
      <c r="C131" s="804" t="n"/>
      <c r="D131" s="804" t="n"/>
      <c r="E131" s="804" t="n"/>
      <c r="F131" s="804" t="n"/>
      <c r="G131" s="804" t="n"/>
      <c r="H131" s="804" t="n"/>
      <c r="I131" s="804" t="n"/>
      <c r="J131" s="804" t="n"/>
      <c r="K131" s="804" t="n"/>
      <c r="L131" s="804" t="n"/>
      <c r="M131" s="804" t="n"/>
      <c r="N131" s="804" t="n"/>
      <c r="O131" s="804" t="n"/>
      <c r="P131" s="804" t="n"/>
      <c r="Q131" s="804" t="n"/>
      <c r="R131" s="804" t="n"/>
      <c r="S131" s="804" t="n"/>
      <c r="T131" s="804" t="n"/>
      <c r="U131" s="804" t="n"/>
      <c r="V131" s="804" t="n"/>
      <c r="W131" s="804" t="n"/>
      <c r="X131" s="804" t="n"/>
    </row>
    <row r="132" hidden="1" outlineLevel="1" ht="16" customHeight="1" s="254">
      <c r="A132" s="781" t="inlineStr">
        <is>
          <t>Placement matches the schedule?</t>
        </is>
      </c>
      <c r="B132" s="810">
        <f>IF(N(Equipment!$B$38)=0,"n/a — no dispensers on this project",IF(COUNT($C$95:$C$126)&lt;&gt;Equipment!$B$38,"MISMATCH — "&amp;TEXT(Equipment!$B$38,"0")&amp;" dispensers on the Equipment tab against "&amp;TEXT(COUNT($C$95:$C$126),"0")&amp;" with a distance here","OK — every dispenser has a run"))</f>
        <v/>
      </c>
      <c r="C132" s="804" t="n"/>
      <c r="D132" s="804" t="n"/>
      <c r="E132" s="804" t="n"/>
      <c r="F132" s="804" t="n"/>
      <c r="G132" s="804" t="n"/>
      <c r="H132" s="804" t="n"/>
      <c r="I132" s="804" t="n"/>
      <c r="J132" s="804" t="n"/>
      <c r="K132" s="804" t="n"/>
      <c r="L132" s="804" t="n"/>
      <c r="M132" s="804" t="n"/>
      <c r="N132" s="804" t="n"/>
      <c r="O132" s="804" t="n"/>
      <c r="P132" s="804" t="n"/>
      <c r="Q132" s="804" t="n"/>
      <c r="R132" s="804" t="n"/>
      <c r="S132" s="804" t="n"/>
      <c r="T132" s="804" t="n"/>
      <c r="U132" s="804" t="n"/>
      <c r="V132" s="804" t="n"/>
      <c r="W132" s="804" t="n"/>
      <c r="X132" s="804" t="n"/>
    </row>
    <row r="133" hidden="1" outlineLevel="1" ht="16" customHeight="1" s="254">
      <c r="A133" s="781" t="inlineStr">
        <is>
          <t>Longest DC run (ft)</t>
        </is>
      </c>
      <c r="B133" s="809">
        <f>IF(COUNT($C$95:$C$126)=0,0,MAX($C$95:$C$126))</f>
        <v/>
      </c>
      <c r="C133" s="814" t="inlineStr">
        <is>
          <t>The binding constraint on voltage drop.</t>
        </is>
      </c>
      <c r="I133" s="804" t="n"/>
      <c r="J133" s="804" t="n"/>
      <c r="K133" s="804" t="n"/>
      <c r="L133" s="804" t="n"/>
      <c r="M133" s="804" t="n"/>
      <c r="N133" s="804" t="n"/>
      <c r="O133" s="804" t="n"/>
      <c r="P133" s="804" t="n"/>
      <c r="Q133" s="804" t="n"/>
      <c r="R133" s="804" t="n"/>
      <c r="S133" s="804" t="n"/>
      <c r="T133" s="804" t="n"/>
      <c r="U133" s="804" t="n"/>
      <c r="V133" s="804" t="n"/>
      <c r="W133" s="804" t="n"/>
      <c r="X133" s="804" t="n"/>
    </row>
    <row r="134" hidden="1" outlineLevel="1" ht="16" customHeight="1" s="254">
      <c r="A134" s="781" t="inlineStr">
        <is>
          <t>Every DC run sized and costed?</t>
        </is>
      </c>
      <c r="B134" s="810">
        <f>IF(COUNT($C$95:$C$126)=0,"n/a — no dispensers scheduled",IF(SUMPRODUCT(--($C$95:$C$126&gt;0),--($N$95:$N$126=0))&gt;0,"A RUN HAS A DISTANCE BUT NO MATERIAL COST — pick its conductor, ground and conduit","OK — every run with a distance carries a material cost"))</f>
        <v/>
      </c>
      <c r="C134" s="804" t="n"/>
      <c r="D134" s="804" t="n"/>
      <c r="E134" s="804" t="n"/>
      <c r="F134" s="804" t="n"/>
      <c r="G134" s="804" t="n"/>
      <c r="H134" s="804" t="n"/>
      <c r="I134" s="804" t="n"/>
      <c r="J134" s="804" t="n"/>
      <c r="K134" s="804" t="n"/>
      <c r="L134" s="804" t="n"/>
      <c r="M134" s="804" t="n"/>
      <c r="N134" s="804" t="n"/>
      <c r="O134" s="804" t="n"/>
      <c r="P134" s="804" t="n"/>
      <c r="Q134" s="804" t="n"/>
      <c r="R134" s="804" t="n"/>
      <c r="S134" s="804" t="n"/>
      <c r="T134" s="804" t="n"/>
      <c r="U134" s="804" t="n"/>
      <c r="V134" s="804" t="n"/>
      <c r="W134" s="804" t="n"/>
      <c r="X134" s="804" t="n"/>
    </row>
    <row r="135" hidden="1" outlineLevel="1" ht="16" customHeight="1" s="254">
      <c r="A135" s="811" t="n"/>
      <c r="B135" s="804" t="n"/>
      <c r="C135" s="804" t="n"/>
      <c r="D135" s="804" t="n"/>
      <c r="E135" s="804" t="n"/>
      <c r="F135" s="804" t="n"/>
      <c r="G135" s="804" t="n"/>
      <c r="H135" s="804" t="n"/>
      <c r="I135" s="804" t="n"/>
      <c r="J135" s="804" t="n"/>
      <c r="K135" s="804" t="n"/>
      <c r="L135" s="804" t="n"/>
      <c r="M135" s="804" t="n"/>
      <c r="N135" s="804" t="n"/>
      <c r="O135" s="804" t="n"/>
      <c r="P135" s="804" t="n"/>
      <c r="Q135" s="804" t="n"/>
      <c r="R135" s="804" t="n"/>
      <c r="S135" s="804" t="n"/>
      <c r="T135" s="804" t="n"/>
      <c r="U135" s="804" t="n"/>
      <c r="V135" s="804" t="n"/>
      <c r="W135" s="804" t="n"/>
      <c r="X135" s="804" t="n"/>
    </row>
    <row r="136" ht="19.75" customHeight="1" s="254">
      <c r="A136" s="798" t="inlineStr">
        <is>
          <t>D · SERVICE AND SWITCHGEAR</t>
        </is>
      </c>
      <c r="I136" s="804" t="n"/>
      <c r="J136" s="804" t="n"/>
      <c r="K136" s="804" t="n"/>
      <c r="L136" s="804" t="n"/>
      <c r="M136" s="804" t="n"/>
      <c r="N136" s="804" t="n"/>
      <c r="O136" s="804" t="n"/>
      <c r="P136" s="804" t="n"/>
      <c r="Q136" s="804" t="n"/>
      <c r="R136" s="804" t="n"/>
      <c r="S136" s="804" t="n"/>
      <c r="T136" s="804" t="n"/>
      <c r="U136" s="804" t="n"/>
      <c r="V136" s="804" t="n"/>
      <c r="W136" s="804" t="n"/>
      <c r="X136" s="804" t="n"/>
    </row>
    <row r="137" ht="43.5" customHeight="1" s="254">
      <c r="A137" s="781" t="inlineStr">
        <is>
          <t>Connected load (kW)</t>
        </is>
      </c>
      <c r="B137" s="874">
        <f>IF($B$144="Yes",IF(N($B$145)=0,Equipment!$B$23,MIN(Equipment!$B$23,N($B$145))),Equipment!$B$23)</f>
        <v/>
      </c>
      <c r="C137" s="814" t="inlineStr">
        <is>
          <t>Full nameplate from the equipment schedule, or the managed cap when load management is proposed and a cap is entered. Sizing to a managed maximum needs an energy management system under NEC 750 and the engineer's sign-off.</t>
        </is>
      </c>
      <c r="I137" s="804" t="n"/>
      <c r="J137" s="804" t="n"/>
      <c r="K137" s="804" t="n"/>
      <c r="L137" s="804" t="n"/>
      <c r="M137" s="804" t="n"/>
      <c r="N137" s="804" t="n"/>
      <c r="O137" s="804" t="n"/>
      <c r="P137" s="804" t="n"/>
      <c r="Q137" s="804" t="n"/>
      <c r="R137" s="804" t="n"/>
      <c r="S137" s="804" t="n"/>
      <c r="T137" s="804" t="n"/>
      <c r="U137" s="804" t="n"/>
      <c r="V137" s="804" t="n"/>
      <c r="W137" s="804" t="n"/>
      <c r="X137" s="804" t="n"/>
    </row>
    <row r="138" ht="31" customHeight="1" s="254">
      <c r="A138" s="781" t="inlineStr">
        <is>
          <t>Design current at service voltage (A)</t>
        </is>
      </c>
      <c r="B138" s="809">
        <f>IF(N($B$137)=0,"",$B$137*1000/(Project!$B$29*SQRT(3)))</f>
        <v/>
      </c>
      <c r="C138" s="814" t="inlineStr">
        <is>
          <t>kW x 1000 / (V x sqrt 3)</t>
        </is>
      </c>
      <c r="I138" s="804" t="n"/>
      <c r="J138" s="804" t="n"/>
      <c r="K138" s="804" t="n"/>
      <c r="L138" s="804" t="n"/>
      <c r="M138" s="804" t="n"/>
      <c r="N138" s="804" t="n"/>
      <c r="O138" s="804" t="n"/>
      <c r="P138" s="804" t="n"/>
      <c r="Q138" s="804" t="n"/>
      <c r="R138" s="804" t="n"/>
      <c r="S138" s="804" t="n"/>
      <c r="T138" s="804" t="n"/>
      <c r="U138" s="804" t="n"/>
      <c r="V138" s="804" t="n"/>
      <c r="W138" s="804" t="n"/>
      <c r="X138" s="804" t="n"/>
    </row>
    <row r="139" ht="16" customHeight="1" s="254">
      <c r="A139" s="781" t="inlineStr">
        <is>
          <t>Required OCPD at 125% (A)</t>
        </is>
      </c>
      <c r="B139" s="809">
        <f>IF(N($B$138)=0,"",N($B$138)*1.25)</f>
        <v/>
      </c>
      <c r="C139" s="814" t="inlineStr">
        <is>
          <t>NEC continuous-load rule</t>
        </is>
      </c>
      <c r="I139" s="804" t="n"/>
      <c r="J139" s="804" t="n"/>
      <c r="K139" s="804" t="n"/>
      <c r="L139" s="804" t="n"/>
      <c r="M139" s="804" t="n"/>
      <c r="N139" s="804" t="n"/>
      <c r="O139" s="804" t="n"/>
      <c r="P139" s="804" t="n"/>
      <c r="Q139" s="804" t="n"/>
      <c r="R139" s="804" t="n"/>
      <c r="S139" s="804" t="n"/>
      <c r="T139" s="804" t="n"/>
      <c r="U139" s="804" t="n"/>
      <c r="V139" s="804" t="n"/>
      <c r="W139" s="804" t="n"/>
      <c r="X139" s="804" t="n"/>
    </row>
    <row r="140" ht="43.5" customHeight="1" s="254">
      <c r="A140" s="781" t="inlineStr">
        <is>
          <t>Service boards in the lineup</t>
        </is>
      </c>
      <c r="B140" s="818" t="n">
        <v>1</v>
      </c>
      <c r="C140" s="814" t="inlineStr">
        <is>
          <t>One unless the service is split. Above roughly 4,000 A it usually is: NEC 230.71 allows up to six service disconnects in separate enclosures, and the frame below is sized PER BOARD.</t>
        </is>
      </c>
      <c r="I140" s="804" t="n"/>
      <c r="J140" s="804" t="n"/>
      <c r="K140" s="804" t="n"/>
      <c r="L140" s="804" t="n"/>
      <c r="M140" s="804" t="n"/>
      <c r="N140" s="804" t="n"/>
      <c r="O140" s="804" t="n"/>
      <c r="P140" s="804" t="n"/>
      <c r="Q140" s="804" t="n"/>
      <c r="R140" s="804" t="n"/>
      <c r="S140" s="804" t="n"/>
      <c r="T140" s="804" t="n"/>
      <c r="U140" s="804" t="n"/>
      <c r="V140" s="804" t="n"/>
      <c r="W140" s="804" t="n"/>
      <c r="X140" s="804" t="n"/>
    </row>
    <row r="141" ht="31" customHeight="1" s="254">
      <c r="A141" s="781" t="inlineStr">
        <is>
          <t>Standard frame required per board (A)</t>
        </is>
      </c>
      <c r="B141" s="809">
        <f>IF(N($B$139)=0,"",IFERROR(INDEX(RefData!$B$4:$B$16,MATCH(N($B$139)/MAX(1,N($B$140)),RefData!$A$4:$A$16,1)),"check the frame table"))</f>
        <v/>
      </c>
      <c r="C141" s="814" t="inlineStr">
        <is>
          <t>The required device divided across the boards, rounded up to the next standard frame.</t>
        </is>
      </c>
      <c r="I141" s="804" t="n"/>
      <c r="J141" s="804" t="n"/>
      <c r="K141" s="804" t="n"/>
      <c r="L141" s="804" t="n"/>
      <c r="M141" s="804" t="n"/>
      <c r="N141" s="804" t="n"/>
      <c r="O141" s="804" t="n"/>
      <c r="P141" s="804" t="n"/>
      <c r="Q141" s="804" t="n"/>
      <c r="R141" s="804" t="n"/>
      <c r="S141" s="804" t="n"/>
      <c r="T141" s="804" t="n"/>
      <c r="U141" s="804" t="n"/>
      <c r="V141" s="804" t="n"/>
      <c r="W141" s="804" t="n"/>
      <c r="X141" s="804" t="n"/>
    </row>
    <row r="142" ht="16" customHeight="1" s="254">
      <c r="A142" s="781" t="inlineStr">
        <is>
          <t>Switchgear size being priced (A)</t>
        </is>
      </c>
      <c r="B142" s="818" t="n"/>
      <c r="C142" s="814" t="inlineStr">
        <is>
          <t>Type the frame you are actually quoting, per board.</t>
        </is>
      </c>
      <c r="I142" s="804" t="n"/>
      <c r="J142" s="804" t="n"/>
      <c r="K142" s="804" t="n"/>
      <c r="L142" s="804" t="n"/>
      <c r="M142" s="804" t="n"/>
      <c r="N142" s="804" t="n"/>
      <c r="O142" s="804" t="n"/>
      <c r="P142" s="804" t="n"/>
      <c r="Q142" s="804" t="n"/>
      <c r="R142" s="804" t="n"/>
      <c r="S142" s="804" t="n"/>
      <c r="T142" s="804" t="n"/>
      <c r="U142" s="804" t="n"/>
      <c r="V142" s="804" t="n"/>
      <c r="W142" s="804" t="n"/>
      <c r="X142" s="804" t="n"/>
    </row>
    <row r="143" ht="56" customHeight="1" s="254">
      <c r="A143" s="781" t="inlineStr">
        <is>
          <t>Switchgear adequate?</t>
        </is>
      </c>
      <c r="B143" s="810">
        <f>IF(Existing!$B$15="RETAIN","n/a — the switchgear is retained; its adequacy is tested on the Existing tab row 61",IF(N($B$137)=0,"no connected load on the equipment tab",IF(N($B$141)=0,"CANNOT TELL — there is a connected load but no required frame behind it",IF(N($B$142)=0,"enter the frame being priced",IF(N($B$142)&lt;N($B$141),"UNDERSIZED — "&amp;TEXT($B$142,"#,##0")&amp;" A per board against "&amp;TEXT($B$141,"#,##0")&amp;" A required on each of "&amp;TEXT(MAX(1,N($B$140)),"0")&amp;" board(s)",IF(ISNA(MATCH(TEXT($B$142,"0")&amp;"A",RefData!$B$20:$B$29,0)),"OK on size, BUT RefData carries no price for a "&amp;TEXT($B$142,"#,##0")&amp;" A frame — it needs a switchboard quote","OK — "&amp;TEXT(MAX(1,N($B$140)),"0")&amp;" x "&amp;TEXT($B$142,"#,##0")&amp;" A against "&amp;TEXT($B$141,"#,##0")&amp;" A required per board"))))))</f>
        <v/>
      </c>
      <c r="C143" s="811" t="inlineStr">
        <is>
          <t>Stands down when the Existing tab retains the switchgear — a retained board is not a priced one.</t>
        </is>
      </c>
      <c r="D143" s="804" t="n"/>
      <c r="E143" s="804" t="n"/>
      <c r="F143" s="804" t="n"/>
      <c r="G143" s="804" t="n"/>
      <c r="H143" s="804" t="n"/>
      <c r="I143" s="804" t="n"/>
      <c r="J143" s="804" t="n"/>
      <c r="K143" s="804" t="n"/>
      <c r="L143" s="804" t="n"/>
      <c r="M143" s="804" t="n"/>
      <c r="N143" s="804" t="n"/>
      <c r="O143" s="804" t="n"/>
      <c r="P143" s="804" t="n"/>
      <c r="Q143" s="804" t="n"/>
      <c r="R143" s="804" t="n"/>
      <c r="S143" s="804" t="n"/>
      <c r="T143" s="804" t="n"/>
      <c r="U143" s="804" t="n"/>
      <c r="V143" s="804" t="n"/>
      <c r="W143" s="804" t="n"/>
      <c r="X143" s="804" t="n"/>
    </row>
    <row r="144" ht="16" customHeight="1" s="254">
      <c r="A144" s="781" t="inlineStr">
        <is>
          <t>Load management proposed?</t>
        </is>
      </c>
      <c r="B144" s="799" t="inlineStr">
        <is>
          <t>No</t>
        </is>
      </c>
      <c r="C144" s="814" t="inlineStr">
        <is>
          <t>Yes caps the site draw below full nameplate for SIZING.</t>
        </is>
      </c>
      <c r="I144" s="804" t="n"/>
      <c r="J144" s="804" t="n"/>
      <c r="K144" s="804" t="n"/>
      <c r="L144" s="804" t="n"/>
      <c r="M144" s="804" t="n"/>
      <c r="N144" s="804" t="n"/>
      <c r="O144" s="804" t="n"/>
      <c r="P144" s="804" t="n"/>
      <c r="Q144" s="804" t="n"/>
      <c r="R144" s="804" t="n"/>
      <c r="S144" s="804" t="n"/>
      <c r="T144" s="804" t="n"/>
      <c r="U144" s="804" t="n"/>
      <c r="V144" s="804" t="n"/>
      <c r="W144" s="804" t="n"/>
      <c r="X144" s="804" t="n"/>
    </row>
    <row r="145" ht="43.5" customHeight="1" s="254">
      <c r="A145" s="781" t="inlineStr">
        <is>
          <t>Capped site draw (kW) if load managed</t>
        </is>
      </c>
      <c r="B145" s="818" t="n"/>
      <c r="C145" s="814" t="inlineStr">
        <is>
          <t>SIZING CAP — conductors, gear and the service are sized on this, and it drives power per charging position in the model. Leave blank if not load managed. It is NOT the billing setpoint below.</t>
        </is>
      </c>
      <c r="I145" s="804" t="n"/>
      <c r="J145" s="804" t="n"/>
      <c r="K145" s="804" t="n"/>
      <c r="L145" s="804" t="n"/>
      <c r="M145" s="804" t="n"/>
      <c r="N145" s="804" t="n"/>
      <c r="O145" s="804" t="n"/>
      <c r="P145" s="804" t="n"/>
      <c r="Q145" s="804" t="n"/>
      <c r="R145" s="804" t="n"/>
      <c r="S145" s="804" t="n"/>
      <c r="T145" s="804" t="n"/>
      <c r="U145" s="804" t="n"/>
      <c r="V145" s="804" t="n"/>
      <c r="W145" s="804" t="n"/>
      <c r="X145" s="804" t="n"/>
    </row>
    <row r="146" ht="31" customHeight="1" s="254">
      <c r="A146" s="781" t="inlineStr">
        <is>
          <t>Load management stated and capped?</t>
        </is>
      </c>
      <c r="B146" s="810">
        <f>IF($B$144&lt;&gt;"Yes","n/a — not load managed, so the site is sized on full nameplate",IF(N($B$145)=0,"LOAD MANAGED WITH NO CAP ENTERED — the sheet has fallen back to full nameplate and the frame below is sized for an unmanaged site","Sized on a managed cap of "&amp;TEXT($B$145,"#,##0")&amp;" kW against "&amp;TEXT(N(Equipment!$B$23),"#,##0")&amp;" kW of nameplate. The energy management system that enforces it is scope, and the AHJ will ask to see it."))</f>
        <v/>
      </c>
      <c r="C146" s="804" t="n"/>
      <c r="D146" s="804" t="n"/>
      <c r="E146" s="804" t="n"/>
      <c r="F146" s="804" t="n"/>
      <c r="G146" s="804" t="n"/>
      <c r="H146" s="804" t="n"/>
      <c r="I146" s="804" t="n"/>
      <c r="J146" s="804" t="n"/>
      <c r="K146" s="804" t="n"/>
      <c r="L146" s="804" t="n"/>
      <c r="M146" s="804" t="n"/>
      <c r="N146" s="804" t="n"/>
      <c r="O146" s="804" t="n"/>
      <c r="P146" s="804" t="n"/>
      <c r="Q146" s="804" t="n"/>
      <c r="R146" s="804" t="n"/>
      <c r="S146" s="804" t="n"/>
      <c r="T146" s="804" t="n"/>
      <c r="U146" s="804" t="n"/>
      <c r="V146" s="804" t="n"/>
      <c r="W146" s="804" t="n"/>
      <c r="X146" s="804" t="n"/>
    </row>
    <row r="147" ht="43.5" customHeight="1" s="254">
      <c r="A147" s="781" t="inlineStr">
        <is>
          <t>Demand-limiting setpoint (kW)</t>
        </is>
      </c>
      <c r="B147" s="818" t="n"/>
      <c r="C147" s="814" t="inlineStr">
        <is>
          <t>BILLING SETPOINT, NOT A SIZING CAP. What the energy management system holds the highest fifteen-minute site draw to. Leave blank and the model falls back to the sizing cap above.</t>
        </is>
      </c>
      <c r="I147" s="804" t="n"/>
      <c r="J147" s="804" t="n"/>
      <c r="K147" s="804" t="n"/>
      <c r="L147" s="804" t="n"/>
      <c r="M147" s="804" t="n"/>
      <c r="N147" s="804" t="n"/>
      <c r="O147" s="804" t="n"/>
      <c r="P147" s="804" t="n"/>
      <c r="Q147" s="804" t="n"/>
      <c r="R147" s="804" t="n"/>
      <c r="S147" s="804" t="n"/>
      <c r="T147" s="804" t="n"/>
      <c r="U147" s="804" t="n"/>
      <c r="V147" s="804" t="n"/>
      <c r="W147" s="804" t="n"/>
      <c r="X147" s="804" t="n"/>
    </row>
    <row r="148" ht="16" customHeight="1" s="254">
      <c r="A148" s="781" t="inlineStr">
        <is>
          <t>Point of connection</t>
        </is>
      </c>
      <c r="B148" s="799" t="n"/>
      <c r="C148" s="814" t="inlineStr">
        <is>
          <t>Existing MSB / new service / pole transformer</t>
        </is>
      </c>
      <c r="I148" s="804" t="n"/>
      <c r="J148" s="804" t="n"/>
      <c r="K148" s="804" t="n"/>
      <c r="L148" s="804" t="n"/>
      <c r="M148" s="804" t="n"/>
      <c r="N148" s="804" t="n"/>
      <c r="O148" s="804" t="n"/>
      <c r="P148" s="804" t="n"/>
      <c r="Q148" s="804" t="n"/>
      <c r="R148" s="804" t="n"/>
      <c r="S148" s="804" t="n"/>
      <c r="T148" s="804" t="n"/>
      <c r="U148" s="804" t="n"/>
      <c r="V148" s="804" t="n"/>
      <c r="W148" s="804" t="n"/>
      <c r="X148" s="804" t="n"/>
    </row>
    <row r="149" ht="31" customHeight="1" s="254">
      <c r="A149" s="781" t="inlineStr">
        <is>
          <t>Spare capacity in existing gear (A)</t>
        </is>
      </c>
      <c r="B149" s="818" t="n"/>
      <c r="C149" s="814" t="inlineStr">
        <is>
          <t>0 if a new service is required. On an add-load site this is the figure on the Existing tab row 52.</t>
        </is>
      </c>
      <c r="I149" s="804" t="n"/>
      <c r="J149" s="804" t="n"/>
      <c r="K149" s="804" t="n"/>
      <c r="L149" s="804" t="n"/>
      <c r="M149" s="804" t="n"/>
      <c r="N149" s="804" t="n"/>
      <c r="O149" s="804" t="n"/>
      <c r="P149" s="804" t="n"/>
      <c r="Q149" s="804" t="n"/>
      <c r="R149" s="804" t="n"/>
      <c r="S149" s="804" t="n"/>
      <c r="T149" s="804" t="n"/>
      <c r="U149" s="804" t="n"/>
      <c r="V149" s="804" t="n"/>
      <c r="W149" s="804" t="n"/>
      <c r="X149" s="804" t="n"/>
    </row>
    <row r="150" ht="16" customHeight="1" s="254">
      <c r="A150" s="781" t="inlineStr">
        <is>
          <t>Distance, switchgear to pole (ft)</t>
        </is>
      </c>
      <c r="B150" s="818" t="n"/>
      <c r="C150" s="804" t="n"/>
      <c r="D150" s="804" t="n"/>
      <c r="E150" s="804" t="n"/>
      <c r="F150" s="804" t="n"/>
      <c r="G150" s="804" t="n"/>
      <c r="H150" s="804" t="n"/>
      <c r="I150" s="804" t="n"/>
      <c r="J150" s="804" t="n"/>
      <c r="K150" s="804" t="n"/>
      <c r="L150" s="804" t="n"/>
      <c r="M150" s="804" t="n"/>
      <c r="N150" s="804" t="n"/>
      <c r="O150" s="804" t="n"/>
      <c r="P150" s="804" t="n"/>
      <c r="Q150" s="804" t="n"/>
      <c r="R150" s="804" t="n"/>
      <c r="S150" s="804" t="n"/>
      <c r="T150" s="804" t="n"/>
      <c r="U150" s="804" t="n"/>
      <c r="V150" s="804" t="n"/>
      <c r="W150" s="804" t="n"/>
      <c r="X150" s="804" t="n"/>
    </row>
    <row r="151" ht="16" customHeight="1" s="254">
      <c r="A151" s="811" t="n"/>
      <c r="B151" s="804" t="n"/>
      <c r="C151" s="804" t="n"/>
      <c r="D151" s="804" t="n"/>
      <c r="E151" s="804" t="n"/>
      <c r="F151" s="804" t="n"/>
      <c r="G151" s="804" t="n"/>
      <c r="H151" s="804" t="n"/>
      <c r="I151" s="804" t="n"/>
      <c r="J151" s="804" t="n"/>
      <c r="K151" s="804" t="n"/>
      <c r="L151" s="804" t="n"/>
      <c r="M151" s="804" t="n"/>
      <c r="N151" s="804" t="n"/>
      <c r="O151" s="804" t="n"/>
      <c r="P151" s="804" t="n"/>
      <c r="Q151" s="804" t="n"/>
      <c r="R151" s="804" t="n"/>
      <c r="S151" s="804" t="n"/>
      <c r="T151" s="804" t="n"/>
      <c r="U151" s="804" t="n"/>
      <c r="V151" s="804" t="n"/>
      <c r="W151" s="804" t="n"/>
      <c r="X151" s="804" t="n"/>
    </row>
    <row r="152" ht="31" customHeight="1" s="254">
      <c r="A152" s="875" t="inlineStr">
        <is>
          <t>Service feeder — transformer to switchgear</t>
        </is>
      </c>
      <c r="B152" s="804" t="n"/>
      <c r="C152" s="804" t="n"/>
      <c r="D152" s="804" t="n"/>
      <c r="E152" s="804" t="n"/>
      <c r="F152" s="804" t="n"/>
      <c r="G152" s="804" t="n"/>
      <c r="H152" s="804" t="n"/>
      <c r="I152" s="804" t="n"/>
      <c r="J152" s="804" t="n"/>
      <c r="K152" s="804" t="n"/>
      <c r="L152" s="804" t="n"/>
      <c r="M152" s="804" t="n"/>
      <c r="N152" s="804" t="n"/>
      <c r="O152" s="804" t="n"/>
      <c r="P152" s="804" t="n"/>
      <c r="Q152" s="804" t="n"/>
      <c r="R152" s="804" t="n"/>
      <c r="S152" s="804" t="n"/>
      <c r="T152" s="804" t="n"/>
      <c r="U152" s="804" t="n"/>
      <c r="V152" s="804" t="n"/>
      <c r="W152" s="804" t="n"/>
      <c r="X152" s="804" t="n"/>
    </row>
    <row r="153" ht="31" customHeight="1" s="254">
      <c r="A153" s="814" t="inlineStr">
        <is>
          <t>One feeder carrying the whole site. Under the California IOUs' EV infrastructure rules (PG&amp;E Rule 29, SDG&amp;E Rule 45 and their equivalents) the utility designs, builds and owns the service from its transformer to the customer's service equipment, and this run is sized for coordination only. Where Zero Impact Energy provides it, it is sized and priced here.</t>
        </is>
      </c>
      <c r="U153" s="804" t="n"/>
      <c r="V153" s="804" t="n"/>
      <c r="W153" s="804" t="n"/>
      <c r="X153" s="804" t="n"/>
    </row>
    <row r="154" ht="43.5" customHeight="1" s="254">
      <c r="A154" s="781" t="inlineStr">
        <is>
          <t>Governing rule</t>
        </is>
      </c>
      <c r="B154" s="799" t="inlineStr">
        <is>
          <t>Service conductor — NEC 230.42</t>
        </is>
      </c>
      <c r="C154" s="814" t="inlineStr">
        <is>
          <t>A conductor from the utility transformer to the service disconnect is a SERVICE conductor; its overcurrent device is at the far end, so NEC 240.4(C) does not apply. A customer-side feeder takes the other option.</t>
        </is>
      </c>
      <c r="I154" s="804" t="n"/>
      <c r="J154" s="804" t="n"/>
      <c r="K154" s="804" t="n"/>
      <c r="L154" s="804" t="n"/>
      <c r="M154" s="804" t="n"/>
      <c r="N154" s="804" t="n"/>
      <c r="O154" s="804" t="n"/>
      <c r="P154" s="804" t="n"/>
      <c r="Q154" s="804" t="n"/>
      <c r="R154" s="804" t="n"/>
      <c r="S154" s="804" t="n"/>
      <c r="T154" s="804" t="n"/>
      <c r="U154" s="804" t="n"/>
      <c r="V154" s="804" t="n"/>
      <c r="W154" s="804" t="n"/>
      <c r="X154" s="804" t="n"/>
    </row>
    <row r="155" ht="43.5" customHeight="1" s="254">
      <c r="A155" s="781" t="inlineStr">
        <is>
          <t>Who provides this run?</t>
        </is>
      </c>
      <c r="B155" s="799" t="inlineStr">
        <is>
          <t>Utility — EV infrastructure rule</t>
        </is>
      </c>
      <c r="C155" s="814" t="inlineStr">
        <is>
          <t>Utility, Zero Impact Energy, or Existing — retained (an add-load or replacement site whose service feeder stays). The verdict on the run below stands down when the utility provides it or it already exists.</t>
        </is>
      </c>
      <c r="I155" s="804" t="n"/>
      <c r="J155" s="804" t="n"/>
      <c r="K155" s="804" t="n"/>
      <c r="L155" s="804" t="n"/>
      <c r="M155" s="804" t="n"/>
      <c r="N155" s="804" t="n"/>
      <c r="O155" s="804" t="n"/>
      <c r="P155" s="804" t="n"/>
      <c r="Q155" s="804" t="n"/>
      <c r="R155" s="804" t="n"/>
      <c r="S155" s="804" t="n"/>
      <c r="T155" s="804" t="n"/>
      <c r="U155" s="804" t="n"/>
      <c r="V155" s="804" t="n"/>
      <c r="W155" s="804" t="n"/>
      <c r="X155" s="804" t="n"/>
    </row>
    <row r="156" ht="31" customHeight="1" s="254">
      <c r="A156" s="781" t="inlineStr">
        <is>
          <t>Design ambient for this run (C)</t>
        </is>
      </c>
      <c r="B156" s="818" t="n"/>
      <c r="C156" s="814" t="inlineStr">
        <is>
          <t>Site data for THIS run. A buried duct bank and a run on a south wall are different numbers, and neither is a house default.</t>
        </is>
      </c>
      <c r="I156" s="804" t="n"/>
      <c r="J156" s="804" t="n"/>
      <c r="K156" s="804" t="n"/>
      <c r="L156" s="804" t="n"/>
      <c r="M156" s="804" t="n"/>
      <c r="N156" s="804" t="n"/>
      <c r="O156" s="804" t="n"/>
      <c r="P156" s="804" t="n"/>
      <c r="Q156" s="804" t="n"/>
      <c r="R156" s="804" t="n"/>
      <c r="S156" s="804" t="n"/>
      <c r="T156" s="804" t="n"/>
      <c r="U156" s="804" t="n"/>
      <c r="V156" s="804" t="n"/>
      <c r="W156" s="804" t="n"/>
      <c r="X156" s="804" t="n"/>
    </row>
    <row r="157" ht="31" customHeight="1" s="254">
      <c r="A157" s="781" t="inlineStr">
        <is>
          <t>Distance, transformer to switchgear (ft)</t>
        </is>
      </c>
      <c r="B157" s="818" t="n"/>
      <c r="C157" s="814" t="inlineStr">
        <is>
          <t>Customer-side feeder when we provide it.</t>
        </is>
      </c>
      <c r="I157" s="804" t="n"/>
      <c r="J157" s="804" t="n"/>
      <c r="K157" s="804" t="n"/>
      <c r="L157" s="804" t="n"/>
      <c r="M157" s="804" t="n"/>
      <c r="N157" s="804" t="n"/>
      <c r="O157" s="804" t="n"/>
      <c r="P157" s="804" t="n"/>
      <c r="Q157" s="804" t="n"/>
      <c r="R157" s="804" t="n"/>
      <c r="S157" s="804" t="n"/>
      <c r="T157" s="804" t="n"/>
      <c r="U157" s="804" t="n"/>
      <c r="V157" s="804" t="n"/>
      <c r="W157" s="804" t="n"/>
      <c r="X157" s="804" t="n"/>
    </row>
    <row r="158" ht="16" customHeight="1" s="254">
      <c r="A158" s="811" t="n"/>
      <c r="B158" s="804" t="n"/>
      <c r="C158" s="804" t="n"/>
      <c r="D158" s="804" t="n"/>
      <c r="E158" s="804" t="n"/>
      <c r="F158" s="804" t="n"/>
      <c r="G158" s="804" t="n"/>
      <c r="H158" s="804" t="n"/>
      <c r="I158" s="804" t="n"/>
      <c r="J158" s="804" t="n"/>
      <c r="K158" s="804" t="n"/>
      <c r="L158" s="804" t="n"/>
      <c r="M158" s="804" t="n"/>
      <c r="N158" s="804" t="n"/>
      <c r="O158" s="804" t="n"/>
      <c r="P158" s="804" t="n"/>
      <c r="Q158" s="804" t="n"/>
      <c r="R158" s="804" t="n"/>
      <c r="S158" s="804" t="n"/>
      <c r="T158" s="804" t="n"/>
      <c r="U158" s="804" t="n"/>
      <c r="V158" s="804" t="n"/>
      <c r="W158" s="804" t="n"/>
      <c r="X158" s="804" t="n"/>
    </row>
    <row r="159" ht="43.5" customHeight="1" s="254">
      <c r="A159" s="806" t="inlineStr">
        <is>
          <t>Run</t>
        </is>
      </c>
      <c r="B159" s="806" t="inlineStr">
        <is>
          <t>Conductor material</t>
        </is>
      </c>
      <c r="C159" s="806" t="inlineStr">
        <is>
          <t>Site load kW (auto)</t>
        </is>
      </c>
      <c r="D159" s="806" t="inlineStr">
        <is>
          <t>Distance (ft) (auto)</t>
        </is>
      </c>
      <c r="E159" s="806" t="inlineStr">
        <is>
          <t>Design current A (auto)</t>
        </is>
      </c>
      <c r="F159" s="806" t="inlineStr">
        <is>
          <t>Continuous 125% A (auto)</t>
        </is>
      </c>
      <c r="G159" s="806" t="inlineStr">
        <is>
          <t>OCPD A (auto)</t>
        </is>
      </c>
      <c r="H159" s="806" t="inlineStr">
        <is>
          <t>Ampacity floor A (auto)</t>
        </is>
      </c>
      <c r="I159" s="806" t="inlineStr">
        <is>
          <t>Conductor size</t>
        </is>
      </c>
      <c r="J159" s="806" t="inlineStr">
        <is>
          <t>Sets in parallel</t>
        </is>
      </c>
      <c r="K159" s="806" t="inlineStr">
        <is>
          <t>Ampacity per set, corrected (auto)</t>
        </is>
      </c>
      <c r="L159" s="806" t="inlineStr">
        <is>
          <t>Provided A (auto)</t>
        </is>
      </c>
      <c r="M159" s="806" t="inlineStr">
        <is>
          <t>Voltage drop % (auto)</t>
        </is>
      </c>
      <c r="N159" s="806" t="inlineStr">
        <is>
          <t>Verdict (auto)</t>
        </is>
      </c>
      <c r="O159" s="804" t="n"/>
      <c r="P159" s="804" t="n"/>
      <c r="Q159" s="804" t="n"/>
      <c r="R159" s="804" t="n"/>
      <c r="S159" s="804" t="n"/>
      <c r="T159" s="804" t="n"/>
      <c r="U159" s="804" t="n"/>
      <c r="V159" s="804" t="n"/>
      <c r="W159" s="804" t="n"/>
      <c r="X159" s="804" t="n"/>
    </row>
    <row r="160" ht="16" customHeight="1" s="254">
      <c r="A160" s="876" t="inlineStr">
        <is>
          <t>Transformer to switchgear</t>
        </is>
      </c>
      <c r="B160" s="807" t="n"/>
      <c r="C160" s="864">
        <f>Equipment!$B$23</f>
        <v/>
      </c>
      <c r="D160" s="865">
        <f>$B$157</f>
        <v/>
      </c>
      <c r="E160" s="865">
        <f>IF(N($C160)=0,"",N($C160)*1000/(Project!$B$29*SQRT(3))/MAX(1,N($B$140)))</f>
        <v/>
      </c>
      <c r="F160" s="865">
        <f>IF(N($E160)=0,"",N($E160)*1.25)</f>
        <v/>
      </c>
      <c r="G160" s="865">
        <f>IF(N($F160)=0,"",IF(ISNUMBER(MATCH($F160,OCPD_LIST,0)),$F160,IF($F160&gt;MAX(OCPD_LIST),"ABOVE THE LARGEST STANDARD DEVICE — a switchboard quote, probably a medium-voltage service",INDEX(OCPD_LIST,MATCH($F160,OCPD_LIST,1)+1))))</f>
        <v/>
      </c>
      <c r="H160" s="865">
        <f>IF(N($F160)=0,"",IF(LEFT($B$154,7)="Service",N($F160),IF(N($G160)&gt;800,N($G160),N($F160))))</f>
        <v/>
      </c>
      <c r="I160" s="807" t="n"/>
      <c r="J160" s="831" t="n"/>
      <c r="K160" s="865">
        <f>IF($I160="","",IFERROR(MIN(N(INDEX(AMP_TBL,MATCH($I160,AMP_SIZE,0),MATCH($B160&amp;"-"&amp;TEXT($B$11,"0"),AMP_HDR,0)))*N(INDEX(AMB_TBL,IF(ISNUMBER(MATCH($B$156,AMB_MAX,0)),MATCH($B$156,AMB_MAX,0),MATCH($B$156,AMB_MAX,1)+1),MATCH(TEXT($B$11,"0"),AMB_HDR,0))),N(INDEX(AMP_TBL,MATCH($I160,AMP_SIZE,0),MATCH($B160&amp;"-"&amp;TEXT($B$12,"0"),AMP_HDR,0)))),""))</f>
        <v/>
      </c>
      <c r="L160" s="865">
        <f>IF(N($K160)=0,"",N($K160)*MAX(1,N($J160)))</f>
        <v/>
      </c>
      <c r="M160" s="866">
        <f>IF(OR($I160="",N($D160)=0,N($E160)=0),"",IFERROR(SQRT(3)*N($E160)/MAX(1,N($J160))*N($D160)*N(INDEX(Z_TBL,MATCH($I160,Z_SIZE,0),IF($B160="Cu",1,2)))/1000/Project!$B$29,""))</f>
        <v/>
      </c>
      <c r="N160" s="863">
        <f>IF(LEFT($B$155,8)="Existing","n/a — the existing service feeder is retained, so it is not sized or costed here",IF(LEFT($B$155,7)="Utility","n/a — the serving utility provides this run under its EV infrastructure rule, so it is not sized or costed here",IF(N($C160)=0,"no connected load on the equipment tab",IF($I160="","pick a conductor size",IF(N($K160)=0,"no ampacity on file for that size and material",IF(N($J160)=0,"enter the number of parallel sets",IF(N($L160)&lt;N($H160),"UNDERSIZED — "&amp;TEXT(N($L160),"#,##0")&amp;" A provided against a floor of "&amp;TEXT(N($H160),"#,##0")&amp;" A, set by "&amp;$B$154,IF(N($M160)&gt;$B$13,"ampacity OK, but voltage drop "&amp;TEXT(N($M160),"0.00%")&amp;" exceeds the allowance — ADVISORY","OK — "&amp;TEXT(N($L160),"#,##0")&amp;" A against a "&amp;TEXT(N($H160),"#,##0")&amp;" A floor; drop "&amp;TEXT(N($M160),"0.00%")&amp;" (ADVISORY). Priced as customer-side scope."))))))))</f>
        <v/>
      </c>
      <c r="O160" s="804" t="n"/>
      <c r="P160" s="804" t="n"/>
      <c r="Q160" s="804" t="n"/>
      <c r="R160" s="804" t="n"/>
      <c r="S160" s="804" t="n"/>
      <c r="T160" s="804" t="n"/>
      <c r="U160" s="804" t="n"/>
      <c r="V160" s="804" t="n"/>
      <c r="W160" s="804" t="n"/>
      <c r="X160" s="804" t="n"/>
    </row>
    <row r="161" ht="16" customHeight="1" s="254">
      <c r="A161" s="811" t="n"/>
      <c r="B161" s="804" t="n"/>
      <c r="C161" s="804" t="n"/>
      <c r="D161" s="804" t="n"/>
      <c r="E161" s="804" t="n"/>
      <c r="F161" s="804" t="n"/>
      <c r="G161" s="804" t="n"/>
      <c r="H161" s="804" t="n"/>
      <c r="I161" s="804" t="n"/>
      <c r="J161" s="804" t="n"/>
      <c r="K161" s="804" t="n"/>
      <c r="L161" s="804" t="n"/>
      <c r="M161" s="804" t="n"/>
      <c r="N161" s="804" t="n"/>
      <c r="O161" s="804" t="n"/>
      <c r="P161" s="804" t="n"/>
      <c r="Q161" s="804" t="n"/>
      <c r="R161" s="804" t="n"/>
      <c r="S161" s="804" t="n"/>
      <c r="T161" s="804" t="n"/>
      <c r="U161" s="804" t="n"/>
      <c r="V161" s="804" t="n"/>
      <c r="W161" s="804" t="n"/>
      <c r="X161" s="804" t="n"/>
    </row>
    <row r="162" ht="19.75" customHeight="1" s="254">
      <c r="A162" s="798" t="inlineStr">
        <is>
          <t>E · DISTRIBUTION EQUIPMENT SCHEDULE</t>
        </is>
      </c>
      <c r="I162" s="804" t="n"/>
      <c r="J162" s="804" t="n"/>
      <c r="K162" s="804" t="n"/>
      <c r="L162" s="804" t="n"/>
      <c r="M162" s="804" t="n"/>
      <c r="N162" s="804" t="n"/>
      <c r="O162" s="804" t="n"/>
      <c r="P162" s="804" t="n"/>
      <c r="Q162" s="804" t="n"/>
      <c r="R162" s="804" t="n"/>
      <c r="S162" s="804" t="n"/>
      <c r="T162" s="804" t="n"/>
      <c r="U162" s="804" t="n"/>
      <c r="V162" s="804" t="n"/>
      <c r="W162" s="804" t="n"/>
      <c r="X162" s="804" t="n"/>
    </row>
    <row r="163" ht="16" customHeight="1" s="254">
      <c r="A163" s="814" t="inlineStr">
        <is>
          <t>Every board, panel, disconnect and transformer between the point of connection and the chargers, one row each. The main switchboard is one row with qty 1 — conduit sweeps, j-boxes and the like are peripherals, not distribution equipment. Cost is per row (the quoted cost for that row's quantity).</t>
        </is>
      </c>
      <c r="U163" s="804" t="n"/>
      <c r="V163" s="804" t="n"/>
      <c r="W163" s="804" t="n"/>
      <c r="X163" s="804" t="n"/>
    </row>
    <row r="164" ht="31" customHeight="1" s="254">
      <c r="A164" s="806" t="inlineStr">
        <is>
          <t>Item</t>
        </is>
      </c>
      <c r="B164" s="806" t="inlineStr">
        <is>
          <t>Type</t>
        </is>
      </c>
      <c r="C164" s="806" t="inlineStr">
        <is>
          <t>Qty</t>
        </is>
      </c>
      <c r="D164" s="806" t="inlineStr">
        <is>
          <t>Volts</t>
        </is>
      </c>
      <c r="E164" s="806" t="inlineStr">
        <is>
          <t>Phases</t>
        </is>
      </c>
      <c r="F164" s="806" t="inlineStr">
        <is>
          <t>Rating (A or kVA)</t>
        </is>
      </c>
      <c r="G164" s="806" t="inlineStr">
        <is>
          <t>Fed from</t>
        </is>
      </c>
      <c r="H164" s="806" t="inlineStr">
        <is>
          <t>What it feeds</t>
        </is>
      </c>
      <c r="I164" s="806" t="inlineStr">
        <is>
          <t>Location</t>
        </is>
      </c>
      <c r="J164" s="806" t="inlineStr">
        <is>
          <t>Who provides</t>
        </is>
      </c>
      <c r="K164" s="806" t="inlineStr">
        <is>
          <t>Cost basis</t>
        </is>
      </c>
      <c r="L164" s="806" t="inlineStr">
        <is>
          <t>Quoted cost ($)</t>
        </is>
      </c>
      <c r="M164" s="804" t="n"/>
      <c r="N164" s="804" t="n"/>
      <c r="O164" s="804" t="n"/>
      <c r="P164" s="804" t="n"/>
      <c r="Q164" s="804" t="n"/>
      <c r="R164" s="804" t="n"/>
      <c r="S164" s="804" t="n"/>
      <c r="T164" s="804" t="n"/>
      <c r="U164" s="804" t="n"/>
      <c r="V164" s="804" t="n"/>
      <c r="W164" s="804" t="n"/>
      <c r="X164" s="804" t="n"/>
    </row>
    <row r="165" ht="16" customHeight="1" s="254">
      <c r="A165" s="877" t="n"/>
      <c r="B165" s="807" t="n"/>
      <c r="C165" s="831" t="n"/>
      <c r="D165" s="831" t="n"/>
      <c r="E165" s="831" t="n"/>
      <c r="F165" s="831" t="n"/>
      <c r="G165" s="807" t="n"/>
      <c r="H165" s="807" t="n"/>
      <c r="I165" s="807" t="n"/>
      <c r="J165" s="807" t="n"/>
      <c r="K165" s="807" t="n"/>
      <c r="L165" s="878" t="n"/>
      <c r="M165" s="804" t="n"/>
      <c r="N165" s="804" t="n"/>
      <c r="O165" s="804" t="n"/>
      <c r="P165" s="804" t="n"/>
      <c r="Q165" s="804" t="n"/>
      <c r="R165" s="804" t="n"/>
      <c r="S165" s="804" t="n"/>
      <c r="T165" s="804" t="n"/>
      <c r="U165" s="804" t="n"/>
      <c r="V165" s="804" t="n"/>
      <c r="W165" s="804" t="n"/>
      <c r="X165" s="804" t="n"/>
    </row>
    <row r="166" ht="16" customHeight="1" s="254">
      <c r="A166" s="877" t="n"/>
      <c r="B166" s="807" t="n"/>
      <c r="C166" s="831" t="n"/>
      <c r="D166" s="831" t="n"/>
      <c r="E166" s="831" t="n"/>
      <c r="F166" s="831" t="n"/>
      <c r="G166" s="807" t="n"/>
      <c r="H166" s="807" t="n"/>
      <c r="I166" s="807" t="n"/>
      <c r="J166" s="807" t="n"/>
      <c r="K166" s="807" t="n"/>
      <c r="L166" s="878" t="n"/>
      <c r="M166" s="804" t="n"/>
      <c r="N166" s="804" t="n"/>
      <c r="O166" s="804" t="n"/>
      <c r="P166" s="804" t="n"/>
      <c r="Q166" s="804" t="n"/>
      <c r="R166" s="804" t="n"/>
      <c r="S166" s="804" t="n"/>
      <c r="T166" s="804" t="n"/>
      <c r="U166" s="804" t="n"/>
      <c r="V166" s="804" t="n"/>
      <c r="W166" s="804" t="n"/>
      <c r="X166" s="804" t="n"/>
    </row>
    <row r="167" ht="16" customHeight="1" s="254">
      <c r="A167" s="877" t="n"/>
      <c r="B167" s="807" t="n"/>
      <c r="C167" s="831" t="n"/>
      <c r="D167" s="831" t="n"/>
      <c r="E167" s="831" t="n"/>
      <c r="F167" s="831" t="n"/>
      <c r="G167" s="807" t="n"/>
      <c r="H167" s="807" t="n"/>
      <c r="I167" s="807" t="n"/>
      <c r="J167" s="807" t="n"/>
      <c r="K167" s="807" t="n"/>
      <c r="L167" s="878" t="n"/>
      <c r="M167" s="804" t="n"/>
      <c r="N167" s="804" t="n"/>
      <c r="O167" s="804" t="n"/>
      <c r="P167" s="804" t="n"/>
      <c r="Q167" s="804" t="n"/>
      <c r="R167" s="804" t="n"/>
      <c r="S167" s="804" t="n"/>
      <c r="T167" s="804" t="n"/>
      <c r="U167" s="804" t="n"/>
      <c r="V167" s="804" t="n"/>
      <c r="W167" s="804" t="n"/>
      <c r="X167" s="804" t="n"/>
    </row>
    <row r="168" ht="16" customHeight="1" s="254">
      <c r="A168" s="877" t="n"/>
      <c r="B168" s="807" t="n"/>
      <c r="C168" s="831" t="n"/>
      <c r="D168" s="831" t="n"/>
      <c r="E168" s="831" t="n"/>
      <c r="F168" s="831" t="n"/>
      <c r="G168" s="807" t="n"/>
      <c r="H168" s="807" t="n"/>
      <c r="I168" s="807" t="n"/>
      <c r="J168" s="807" t="n"/>
      <c r="K168" s="807" t="n"/>
      <c r="L168" s="878" t="n"/>
      <c r="M168" s="804" t="n"/>
      <c r="N168" s="804" t="n"/>
      <c r="O168" s="804" t="n"/>
      <c r="P168" s="804" t="n"/>
      <c r="Q168" s="804" t="n"/>
      <c r="R168" s="804" t="n"/>
      <c r="S168" s="804" t="n"/>
      <c r="T168" s="804" t="n"/>
      <c r="U168" s="804" t="n"/>
      <c r="V168" s="804" t="n"/>
      <c r="W168" s="804" t="n"/>
      <c r="X168" s="804" t="n"/>
    </row>
    <row r="169" ht="16" customHeight="1" s="254">
      <c r="A169" s="877" t="n"/>
      <c r="B169" s="807" t="n"/>
      <c r="C169" s="831" t="n"/>
      <c r="D169" s="831" t="n"/>
      <c r="E169" s="831" t="n"/>
      <c r="F169" s="831" t="n"/>
      <c r="G169" s="807" t="n"/>
      <c r="H169" s="807" t="n"/>
      <c r="I169" s="807" t="n"/>
      <c r="J169" s="807" t="n"/>
      <c r="K169" s="807" t="n"/>
      <c r="L169" s="878" t="n"/>
      <c r="M169" s="804" t="n"/>
      <c r="N169" s="804" t="n"/>
      <c r="O169" s="804" t="n"/>
      <c r="P169" s="804" t="n"/>
      <c r="Q169" s="804" t="n"/>
      <c r="R169" s="804" t="n"/>
      <c r="S169" s="804" t="n"/>
      <c r="T169" s="804" t="n"/>
      <c r="U169" s="804" t="n"/>
      <c r="V169" s="804" t="n"/>
      <c r="W169" s="804" t="n"/>
      <c r="X169" s="804" t="n"/>
    </row>
    <row r="170" ht="16" customHeight="1" s="254">
      <c r="A170" s="877" t="n"/>
      <c r="B170" s="807" t="n"/>
      <c r="C170" s="831" t="n"/>
      <c r="D170" s="831" t="n"/>
      <c r="E170" s="831" t="n"/>
      <c r="F170" s="831" t="n"/>
      <c r="G170" s="807" t="n"/>
      <c r="H170" s="807" t="n"/>
      <c r="I170" s="807" t="n"/>
      <c r="J170" s="807" t="n"/>
      <c r="K170" s="807" t="n"/>
      <c r="L170" s="878" t="n"/>
      <c r="M170" s="804" t="n"/>
      <c r="N170" s="804" t="n"/>
      <c r="O170" s="804" t="n"/>
      <c r="P170" s="804" t="n"/>
      <c r="Q170" s="804" t="n"/>
      <c r="R170" s="804" t="n"/>
      <c r="S170" s="804" t="n"/>
      <c r="T170" s="804" t="n"/>
      <c r="U170" s="804" t="n"/>
      <c r="V170" s="804" t="n"/>
      <c r="W170" s="804" t="n"/>
      <c r="X170" s="804" t="n"/>
    </row>
    <row r="171" ht="16" customHeight="1" s="254">
      <c r="A171" s="877" t="n"/>
      <c r="B171" s="807" t="n"/>
      <c r="C171" s="831" t="n"/>
      <c r="D171" s="831" t="n"/>
      <c r="E171" s="831" t="n"/>
      <c r="F171" s="831" t="n"/>
      <c r="G171" s="807" t="n"/>
      <c r="H171" s="807" t="n"/>
      <c r="I171" s="807" t="n"/>
      <c r="J171" s="807" t="n"/>
      <c r="K171" s="807" t="n"/>
      <c r="L171" s="878" t="n"/>
      <c r="M171" s="804" t="n"/>
      <c r="N171" s="804" t="n"/>
      <c r="O171" s="804" t="n"/>
      <c r="P171" s="804" t="n"/>
      <c r="Q171" s="804" t="n"/>
      <c r="R171" s="804" t="n"/>
      <c r="S171" s="804" t="n"/>
      <c r="T171" s="804" t="n"/>
      <c r="U171" s="804" t="n"/>
      <c r="V171" s="804" t="n"/>
      <c r="W171" s="804" t="n"/>
      <c r="X171" s="804" t="n"/>
    </row>
    <row r="172" ht="16" customHeight="1" s="254">
      <c r="A172" s="877" t="n"/>
      <c r="B172" s="807" t="n"/>
      <c r="C172" s="831" t="n"/>
      <c r="D172" s="831" t="n"/>
      <c r="E172" s="831" t="n"/>
      <c r="F172" s="831" t="n"/>
      <c r="G172" s="807" t="n"/>
      <c r="H172" s="807" t="n"/>
      <c r="I172" s="807" t="n"/>
      <c r="J172" s="807" t="n"/>
      <c r="K172" s="807" t="n"/>
      <c r="L172" s="878" t="n"/>
      <c r="M172" s="804" t="n"/>
      <c r="N172" s="804" t="n"/>
      <c r="O172" s="804" t="n"/>
      <c r="P172" s="804" t="n"/>
      <c r="Q172" s="804" t="n"/>
      <c r="R172" s="804" t="n"/>
      <c r="S172" s="804" t="n"/>
      <c r="T172" s="804" t="n"/>
      <c r="U172" s="804" t="n"/>
      <c r="V172" s="804" t="n"/>
      <c r="W172" s="804" t="n"/>
      <c r="X172" s="804" t="n"/>
    </row>
    <row r="173" ht="16" customHeight="1" s="254">
      <c r="A173" s="877" t="n"/>
      <c r="B173" s="807" t="n"/>
      <c r="C173" s="831" t="n"/>
      <c r="D173" s="831" t="n"/>
      <c r="E173" s="831" t="n"/>
      <c r="F173" s="831" t="n"/>
      <c r="G173" s="807" t="n"/>
      <c r="H173" s="807" t="n"/>
      <c r="I173" s="807" t="n"/>
      <c r="J173" s="807" t="n"/>
      <c r="K173" s="807" t="n"/>
      <c r="L173" s="878" t="n"/>
      <c r="M173" s="804" t="n"/>
      <c r="N173" s="804" t="n"/>
      <c r="O173" s="804" t="n"/>
      <c r="P173" s="804" t="n"/>
      <c r="Q173" s="804" t="n"/>
      <c r="R173" s="804" t="n"/>
      <c r="S173" s="804" t="n"/>
      <c r="T173" s="804" t="n"/>
      <c r="U173" s="804" t="n"/>
      <c r="V173" s="804" t="n"/>
      <c r="W173" s="804" t="n"/>
      <c r="X173" s="804" t="n"/>
    </row>
    <row r="174" ht="16" customHeight="1" s="254">
      <c r="A174" s="877" t="n"/>
      <c r="B174" s="807" t="n"/>
      <c r="C174" s="831" t="n"/>
      <c r="D174" s="831" t="n"/>
      <c r="E174" s="831" t="n"/>
      <c r="F174" s="831" t="n"/>
      <c r="G174" s="807" t="n"/>
      <c r="H174" s="807" t="n"/>
      <c r="I174" s="807" t="n"/>
      <c r="J174" s="807" t="n"/>
      <c r="K174" s="807" t="n"/>
      <c r="L174" s="878" t="n"/>
      <c r="M174" s="804" t="n"/>
      <c r="N174" s="804" t="n"/>
      <c r="O174" s="804" t="n"/>
      <c r="P174" s="804" t="n"/>
      <c r="Q174" s="804" t="n"/>
      <c r="R174" s="804" t="n"/>
      <c r="S174" s="804" t="n"/>
      <c r="T174" s="804" t="n"/>
      <c r="U174" s="804" t="n"/>
      <c r="V174" s="804" t="n"/>
      <c r="W174" s="804" t="n"/>
      <c r="X174" s="804" t="n"/>
    </row>
    <row r="175" ht="16" customHeight="1" s="254">
      <c r="A175" s="877" t="n"/>
      <c r="B175" s="807" t="n"/>
      <c r="C175" s="831" t="n"/>
      <c r="D175" s="831" t="n"/>
      <c r="E175" s="831" t="n"/>
      <c r="F175" s="831" t="n"/>
      <c r="G175" s="807" t="n"/>
      <c r="H175" s="807" t="n"/>
      <c r="I175" s="807" t="n"/>
      <c r="J175" s="807" t="n"/>
      <c r="K175" s="807" t="n"/>
      <c r="L175" s="878" t="n"/>
      <c r="M175" s="804" t="n"/>
      <c r="N175" s="804" t="n"/>
      <c r="O175" s="804" t="n"/>
      <c r="P175" s="804" t="n"/>
      <c r="Q175" s="804" t="n"/>
      <c r="R175" s="804" t="n"/>
      <c r="S175" s="804" t="n"/>
      <c r="T175" s="804" t="n"/>
      <c r="U175" s="804" t="n"/>
      <c r="V175" s="804" t="n"/>
      <c r="W175" s="804" t="n"/>
      <c r="X175" s="804" t="n"/>
    </row>
    <row r="176" ht="16" customHeight="1" s="254">
      <c r="A176" s="877" t="n"/>
      <c r="B176" s="807" t="n"/>
      <c r="C176" s="831" t="n"/>
      <c r="D176" s="831" t="n"/>
      <c r="E176" s="831" t="n"/>
      <c r="F176" s="831" t="n"/>
      <c r="G176" s="807" t="n"/>
      <c r="H176" s="807" t="n"/>
      <c r="I176" s="807" t="n"/>
      <c r="J176" s="807" t="n"/>
      <c r="K176" s="807" t="n"/>
      <c r="L176" s="878" t="n"/>
      <c r="M176" s="804" t="n"/>
      <c r="N176" s="804" t="n"/>
      <c r="O176" s="804" t="n"/>
      <c r="P176" s="804" t="n"/>
      <c r="Q176" s="804" t="n"/>
      <c r="R176" s="804" t="n"/>
      <c r="S176" s="804" t="n"/>
      <c r="T176" s="804" t="n"/>
      <c r="U176" s="804" t="n"/>
      <c r="V176" s="804" t="n"/>
      <c r="W176" s="804" t="n"/>
      <c r="X176" s="804" t="n"/>
    </row>
    <row r="177" ht="16" customHeight="1" s="254">
      <c r="A177" s="781" t="inlineStr">
        <is>
          <t>Distribution units scheduled</t>
        </is>
      </c>
      <c r="B177" s="809">
        <f>SUM($C$165:$C$176)</f>
        <v/>
      </c>
      <c r="C177" s="804" t="n"/>
      <c r="D177" s="804" t="n"/>
      <c r="E177" s="804" t="n"/>
      <c r="F177" s="804" t="n"/>
      <c r="G177" s="804" t="n"/>
      <c r="H177" s="804" t="n"/>
      <c r="I177" s="804" t="n"/>
      <c r="J177" s="804" t="n"/>
      <c r="K177" s="804" t="n"/>
      <c r="L177" s="804" t="n"/>
      <c r="M177" s="804" t="n"/>
      <c r="N177" s="804" t="n"/>
      <c r="O177" s="804" t="n"/>
      <c r="P177" s="804" t="n"/>
      <c r="Q177" s="804" t="n"/>
      <c r="R177" s="804" t="n"/>
      <c r="S177" s="804" t="n"/>
      <c r="T177" s="804" t="n"/>
      <c r="U177" s="804" t="n"/>
      <c r="V177" s="804" t="n"/>
      <c r="W177" s="804" t="n"/>
      <c r="X177" s="804" t="n"/>
    </row>
    <row r="178" ht="16" customHeight="1" s="254">
      <c r="A178" s="781" t="inlineStr">
        <is>
          <t>Distribution equipment cost ($)</t>
        </is>
      </c>
      <c r="B178" s="870">
        <f>SUM($L$165:$L$176)</f>
        <v/>
      </c>
      <c r="C178" s="814" t="inlineStr">
        <is>
          <t>Carried into the cost build-up as distribution equipment, at the materials markup.</t>
        </is>
      </c>
      <c r="I178" s="804" t="n"/>
      <c r="J178" s="804" t="n"/>
      <c r="K178" s="804" t="n"/>
      <c r="L178" s="804" t="n"/>
      <c r="M178" s="804" t="n"/>
      <c r="N178" s="804" t="n"/>
      <c r="O178" s="804" t="n"/>
      <c r="P178" s="804" t="n"/>
      <c r="Q178" s="804" t="n"/>
      <c r="R178" s="804" t="n"/>
      <c r="S178" s="804" t="n"/>
      <c r="T178" s="804" t="n"/>
      <c r="U178" s="804" t="n"/>
      <c r="V178" s="804" t="n"/>
      <c r="W178" s="804" t="n"/>
      <c r="X178" s="804" t="n"/>
    </row>
    <row r="179" ht="16" customHeight="1" s="254">
      <c r="A179" s="781" t="inlineStr">
        <is>
          <t>Every item priced?</t>
        </is>
      </c>
      <c r="B179" s="810">
        <f>IF(COUNTA($A$165:$A$176)=0,"OK — nothing scheduled yet",IF(SUMPRODUCT(--($A$165:$A$176&lt;&gt;""),--($L$165:$L$176=0),--($K$165:$K$176&lt;&gt;"By others"),--($K$165:$K$176&lt;&gt;"Priced elsewhere in this workbook"))&gt;0,"UNPRICED — a scheduled item carries no cost. Read the Cost basis column: an allowance nobody has set is still a hole, and every cost in this workbook is short by it.","OK — every scheduled item carries a cost or is provided by others"))</f>
        <v/>
      </c>
      <c r="C179" s="804" t="n"/>
      <c r="D179" s="804" t="n"/>
      <c r="E179" s="804" t="n"/>
      <c r="F179" s="804" t="n"/>
      <c r="G179" s="804" t="n"/>
      <c r="H179" s="804" t="n"/>
      <c r="I179" s="804" t="n"/>
      <c r="J179" s="804" t="n"/>
      <c r="K179" s="804" t="n"/>
      <c r="L179" s="804" t="n"/>
      <c r="M179" s="804" t="n"/>
      <c r="N179" s="804" t="n"/>
      <c r="O179" s="804" t="n"/>
      <c r="P179" s="804" t="n"/>
      <c r="Q179" s="804" t="n"/>
      <c r="R179" s="804" t="n"/>
      <c r="S179" s="804" t="n"/>
      <c r="T179" s="804" t="n"/>
      <c r="U179" s="804" t="n"/>
      <c r="V179" s="804" t="n"/>
      <c r="W179" s="804" t="n"/>
      <c r="X179" s="804" t="n"/>
    </row>
    <row r="180" ht="16" customHeight="1" s="254">
      <c r="A180" s="781" t="inlineStr">
        <is>
          <t>Every item fed from something?</t>
        </is>
      </c>
      <c r="B180" s="810">
        <f>IF(COUNTA($A$165:$A$176)=0,"OK — nothing scheduled yet",IF(SUMPRODUCT(--($A$165:$A$176&lt;&gt;""),--($G$165:$G$176=""))&gt;0,"INCOMPLETE — an item has no source named. A panel nobody feeds is a panel nobody costed a feeder to.","OK — every item names what feeds it"))</f>
        <v/>
      </c>
      <c r="C180" s="804" t="n"/>
      <c r="D180" s="804" t="n"/>
      <c r="E180" s="804" t="n"/>
      <c r="F180" s="804" t="n"/>
      <c r="G180" s="804" t="n"/>
      <c r="H180" s="804" t="n"/>
      <c r="I180" s="804" t="n"/>
      <c r="J180" s="804" t="n"/>
      <c r="K180" s="804" t="n"/>
      <c r="L180" s="804" t="n"/>
      <c r="M180" s="804" t="n"/>
      <c r="N180" s="804" t="n"/>
      <c r="O180" s="804" t="n"/>
      <c r="P180" s="804" t="n"/>
      <c r="Q180" s="804" t="n"/>
      <c r="R180" s="804" t="n"/>
      <c r="S180" s="804" t="n"/>
      <c r="T180" s="804" t="n"/>
      <c r="U180" s="804" t="n"/>
      <c r="V180" s="804" t="n"/>
      <c r="W180" s="804" t="n"/>
      <c r="X180" s="804" t="n"/>
    </row>
    <row r="181" ht="31" customHeight="1" s="254">
      <c r="A181" s="781" t="inlineStr">
        <is>
          <t>EVSE disconnecting means — NEC 625.43</t>
        </is>
      </c>
      <c r="B181" s="810">
        <f>IF(COUNTA($A$165:$A$176)=0,"OK — nothing scheduled yet","ADVISORY — "&amp;TEXT(SUMIF($B$165:$B$176,"EVSE disconnect",$C$165:$C$176),"0")&amp;"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81" s="804" t="n"/>
      <c r="D181" s="804" t="n"/>
      <c r="E181" s="804" t="n"/>
      <c r="F181" s="804" t="n"/>
      <c r="G181" s="804" t="n"/>
      <c r="H181" s="804" t="n"/>
      <c r="I181" s="804" t="n"/>
      <c r="J181" s="804" t="n"/>
      <c r="K181" s="804" t="n"/>
      <c r="L181" s="804" t="n"/>
      <c r="M181" s="804" t="n"/>
      <c r="N181" s="804" t="n"/>
      <c r="O181" s="804" t="n"/>
      <c r="P181" s="804" t="n"/>
      <c r="Q181" s="804" t="n"/>
      <c r="R181" s="804" t="n"/>
      <c r="S181" s="804" t="n"/>
      <c r="T181" s="804" t="n"/>
      <c r="U181" s="804" t="n"/>
      <c r="V181" s="804" t="n"/>
      <c r="W181" s="804" t="n"/>
      <c r="X181" s="804" t="n"/>
    </row>
    <row r="182" ht="16" customHeight="1" s="254">
      <c r="A182" s="811" t="n"/>
      <c r="B182" s="804" t="n"/>
      <c r="C182" s="804" t="n"/>
      <c r="D182" s="804" t="n"/>
      <c r="E182" s="804" t="n"/>
      <c r="F182" s="804" t="n"/>
      <c r="G182" s="804" t="n"/>
      <c r="H182" s="804" t="n"/>
      <c r="I182" s="804" t="n"/>
      <c r="J182" s="804" t="n"/>
      <c r="K182" s="804" t="n"/>
      <c r="L182" s="804" t="n"/>
      <c r="M182" s="804" t="n"/>
      <c r="N182" s="804" t="n"/>
      <c r="O182" s="804" t="n"/>
      <c r="P182" s="804" t="n"/>
      <c r="Q182" s="804" t="n"/>
      <c r="R182" s="804" t="n"/>
      <c r="S182" s="804" t="n"/>
      <c r="T182" s="804" t="n"/>
      <c r="U182" s="804" t="n"/>
      <c r="V182" s="804" t="n"/>
      <c r="W182" s="804" t="n"/>
      <c r="X182" s="804" t="n"/>
    </row>
    <row r="183" ht="19.75" customHeight="1" s="254">
      <c r="A183" s="798" t="inlineStr">
        <is>
          <t>F · UTILITY INTERCONNECTION — governed by the serving utility</t>
        </is>
      </c>
      <c r="I183" s="804" t="n"/>
      <c r="J183" s="804" t="n"/>
      <c r="K183" s="804" t="n"/>
      <c r="L183" s="804" t="n"/>
      <c r="M183" s="804" t="n"/>
      <c r="N183" s="804" t="n"/>
      <c r="O183" s="804" t="n"/>
      <c r="P183" s="804" t="n"/>
      <c r="Q183" s="804" t="n"/>
      <c r="R183" s="804" t="n"/>
      <c r="S183" s="804" t="n"/>
      <c r="T183" s="804" t="n"/>
      <c r="U183" s="804" t="n"/>
      <c r="V183" s="804" t="n"/>
      <c r="W183" s="804" t="n"/>
      <c r="X183" s="804" t="n"/>
    </row>
    <row r="184" ht="31" customHeight="1" s="254">
      <c r="A184" s="879"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U184" s="804" t="n"/>
      <c r="V184" s="804" t="n"/>
      <c r="W184" s="804" t="n"/>
      <c r="X184" s="804" t="n"/>
    </row>
    <row r="185" ht="16" customHeight="1" s="254">
      <c r="A185" s="781" t="inlineStr">
        <is>
          <t>Service type</t>
        </is>
      </c>
      <c r="B185" s="799" t="inlineStr">
        <is>
          <t>New service</t>
        </is>
      </c>
      <c r="C185" s="814" t="inlineStr">
        <is>
          <t>New service / added load to existing service</t>
        </is>
      </c>
      <c r="I185" s="804" t="n"/>
      <c r="J185" s="804" t="n"/>
      <c r="K185" s="804" t="n"/>
      <c r="L185" s="804" t="n"/>
      <c r="M185" s="804" t="n"/>
      <c r="N185" s="804" t="n"/>
      <c r="O185" s="804" t="n"/>
      <c r="P185" s="804" t="n"/>
      <c r="Q185" s="804" t="n"/>
      <c r="R185" s="804" t="n"/>
      <c r="S185" s="804" t="n"/>
      <c r="T185" s="804" t="n"/>
      <c r="U185" s="804" t="n"/>
      <c r="V185" s="804" t="n"/>
      <c r="W185" s="804" t="n"/>
      <c r="X185" s="804" t="n"/>
    </row>
    <row r="186" ht="16" customHeight="1" s="254">
      <c r="A186" s="781" t="inlineStr">
        <is>
          <t>Overhead or underground service</t>
        </is>
      </c>
      <c r="B186" s="799" t="inlineStr">
        <is>
          <t>Underground</t>
        </is>
      </c>
      <c r="C186" s="804" t="n"/>
      <c r="D186" s="804" t="n"/>
      <c r="E186" s="804" t="n"/>
      <c r="F186" s="804" t="n"/>
      <c r="G186" s="804" t="n"/>
      <c r="H186" s="804" t="n"/>
      <c r="I186" s="804" t="n"/>
      <c r="J186" s="804" t="n"/>
      <c r="K186" s="804" t="n"/>
      <c r="L186" s="804" t="n"/>
      <c r="M186" s="804" t="n"/>
      <c r="N186" s="804" t="n"/>
      <c r="O186" s="804" t="n"/>
      <c r="P186" s="804" t="n"/>
      <c r="Q186" s="804" t="n"/>
      <c r="R186" s="804" t="n"/>
      <c r="S186" s="804" t="n"/>
      <c r="T186" s="804" t="n"/>
      <c r="U186" s="804" t="n"/>
      <c r="V186" s="804" t="n"/>
      <c r="W186" s="804" t="n"/>
      <c r="X186" s="804" t="n"/>
    </row>
    <row r="187" ht="31" customHeight="1" s="254">
      <c r="A187" s="781" t="inlineStr">
        <is>
          <t>Distance to the utility point of interconnection (ft)</t>
        </is>
      </c>
      <c r="B187" s="818" t="n"/>
      <c r="C187" s="814" t="inlineStr">
        <is>
          <t>Drives whether distribution work is likely</t>
        </is>
      </c>
      <c r="I187" s="804" t="n"/>
      <c r="J187" s="804" t="n"/>
      <c r="K187" s="804" t="n"/>
      <c r="L187" s="804" t="n"/>
      <c r="M187" s="804" t="n"/>
      <c r="N187" s="804" t="n"/>
      <c r="O187" s="804" t="n"/>
      <c r="P187" s="804" t="n"/>
      <c r="Q187" s="804" t="n"/>
      <c r="R187" s="804" t="n"/>
      <c r="S187" s="804" t="n"/>
      <c r="T187" s="804" t="n"/>
      <c r="U187" s="804" t="n"/>
      <c r="V187" s="804" t="n"/>
      <c r="W187" s="804" t="n"/>
      <c r="X187" s="804" t="n"/>
    </row>
    <row r="188" ht="31" customHeight="1" s="254">
      <c r="A188" s="781" t="inlineStr">
        <is>
          <t>Interconnection application submitted?</t>
        </is>
      </c>
      <c r="B188" s="799" t="n"/>
      <c r="C188" s="814" t="inlineStr">
        <is>
          <t>Yes / No — with the date in the next row</t>
        </is>
      </c>
      <c r="I188" s="804" t="n"/>
      <c r="J188" s="804" t="n"/>
      <c r="K188" s="804" t="n"/>
      <c r="L188" s="804" t="n"/>
      <c r="M188" s="804" t="n"/>
      <c r="N188" s="804" t="n"/>
      <c r="O188" s="804" t="n"/>
      <c r="P188" s="804" t="n"/>
      <c r="Q188" s="804" t="n"/>
      <c r="R188" s="804" t="n"/>
      <c r="S188" s="804" t="n"/>
      <c r="T188" s="804" t="n"/>
      <c r="U188" s="804" t="n"/>
      <c r="V188" s="804" t="n"/>
      <c r="W188" s="804" t="n"/>
      <c r="X188" s="804" t="n"/>
    </row>
    <row r="189" ht="16" customHeight="1" s="254">
      <c r="A189" s="781" t="inlineStr">
        <is>
          <t>Application date</t>
        </is>
      </c>
      <c r="B189" s="799" t="n"/>
      <c r="C189" s="804" t="n"/>
      <c r="D189" s="804" t="n"/>
      <c r="E189" s="804" t="n"/>
      <c r="F189" s="804" t="n"/>
      <c r="G189" s="804" t="n"/>
      <c r="H189" s="804" t="n"/>
      <c r="I189" s="804" t="n"/>
      <c r="J189" s="804" t="n"/>
      <c r="K189" s="804" t="n"/>
      <c r="L189" s="804" t="n"/>
      <c r="M189" s="804" t="n"/>
      <c r="N189" s="804" t="n"/>
      <c r="O189" s="804" t="n"/>
      <c r="P189" s="804" t="n"/>
      <c r="Q189" s="804" t="n"/>
      <c r="R189" s="804" t="n"/>
      <c r="S189" s="804" t="n"/>
      <c r="T189" s="804" t="n"/>
      <c r="U189" s="804" t="n"/>
      <c r="V189" s="804" t="n"/>
      <c r="W189" s="804" t="n"/>
      <c r="X189" s="804" t="n"/>
    </row>
    <row r="190" ht="16" customHeight="1" s="254">
      <c r="A190" s="781" t="inlineStr">
        <is>
          <t>Utility project or design number</t>
        </is>
      </c>
      <c r="B190" s="799" t="n"/>
      <c r="C190" s="814" t="inlineStr">
        <is>
          <t>Once issued</t>
        </is>
      </c>
      <c r="I190" s="804" t="n"/>
      <c r="J190" s="804" t="n"/>
      <c r="K190" s="804" t="n"/>
      <c r="L190" s="804" t="n"/>
      <c r="M190" s="804" t="n"/>
      <c r="N190" s="804" t="n"/>
      <c r="O190" s="804" t="n"/>
      <c r="P190" s="804" t="n"/>
      <c r="Q190" s="804" t="n"/>
      <c r="R190" s="804" t="n"/>
      <c r="S190" s="804" t="n"/>
      <c r="T190" s="804" t="n"/>
      <c r="U190" s="804" t="n"/>
      <c r="V190" s="804" t="n"/>
      <c r="W190" s="804" t="n"/>
      <c r="X190" s="804" t="n"/>
    </row>
    <row r="191" ht="31" customHeight="1" s="254">
      <c r="A191" s="781" t="inlineStr">
        <is>
          <t>Utility interconnection design and application fee</t>
        </is>
      </c>
      <c r="B191" s="880" t="n"/>
      <c r="C191" s="814" t="inlineStr">
        <is>
          <t>What the serving utility charges to design and connect the service. Leave blank until they say — there is no default.</t>
        </is>
      </c>
      <c r="I191" s="804" t="n"/>
      <c r="J191" s="804" t="n"/>
      <c r="K191" s="804" t="n"/>
      <c r="L191" s="804" t="n"/>
      <c r="M191" s="804" t="n"/>
      <c r="N191" s="804" t="n"/>
      <c r="O191" s="804" t="n"/>
      <c r="P191" s="804" t="n"/>
      <c r="Q191" s="804" t="n"/>
      <c r="R191" s="804" t="n"/>
      <c r="S191" s="804" t="n"/>
      <c r="T191" s="804" t="n"/>
      <c r="U191" s="804" t="n"/>
      <c r="V191" s="804" t="n"/>
      <c r="W191" s="804" t="n"/>
      <c r="X191" s="804" t="n"/>
    </row>
    <row r="192" ht="31" customHeight="1" s="254">
      <c r="A192" s="781" t="inlineStr">
        <is>
          <t>Distribution or line extension indicated by the utility?</t>
        </is>
      </c>
      <c r="B192" s="799" t="n"/>
      <c r="C192" s="814" t="inlineStr">
        <is>
          <t>Unknown until the utility design is returned</t>
        </is>
      </c>
      <c r="I192" s="804" t="n"/>
      <c r="J192" s="804" t="n"/>
      <c r="K192" s="804" t="n"/>
      <c r="L192" s="804" t="n"/>
      <c r="M192" s="804" t="n"/>
      <c r="N192" s="804" t="n"/>
      <c r="O192" s="804" t="n"/>
      <c r="P192" s="804" t="n"/>
      <c r="Q192" s="804" t="n"/>
      <c r="R192" s="804" t="n"/>
      <c r="S192" s="804" t="n"/>
      <c r="T192" s="804" t="n"/>
      <c r="U192" s="804" t="n"/>
      <c r="V192" s="804" t="n"/>
      <c r="W192" s="804" t="n"/>
      <c r="X192" s="804" t="n"/>
    </row>
    <row r="193" ht="31" customHeight="1" s="254">
      <c r="A193" s="781" t="inlineStr">
        <is>
          <t>Line-extension allowance calculated by the utility</t>
        </is>
      </c>
      <c r="B193" s="880" t="n"/>
      <c r="C193" s="814" t="inlineStr">
        <is>
          <t>Leave blank until the design comes back. Municipal utilities often publish no allowance at all — zero is then a finding, not a gap.</t>
        </is>
      </c>
      <c r="I193" s="804" t="n"/>
      <c r="J193" s="804" t="n"/>
      <c r="K193" s="804" t="n"/>
      <c r="L193" s="804" t="n"/>
      <c r="M193" s="804" t="n"/>
      <c r="N193" s="804" t="n"/>
      <c r="O193" s="804" t="n"/>
      <c r="P193" s="804" t="n"/>
      <c r="Q193" s="804" t="n"/>
      <c r="R193" s="804" t="n"/>
      <c r="S193" s="804" t="n"/>
      <c r="T193" s="804" t="n"/>
      <c r="U193" s="804" t="n"/>
      <c r="V193" s="804" t="n"/>
      <c r="W193" s="804" t="n"/>
      <c r="X193" s="804" t="n"/>
    </row>
    <row r="194" ht="31" customHeight="1" s="254">
      <c r="A194" s="781" t="inlineStr">
        <is>
          <t>Customer contribution above the allowance</t>
        </is>
      </c>
      <c r="B194" s="880" t="n"/>
      <c r="C194" s="814" t="inlineStr">
        <is>
          <t>Leave blank until the design comes back</t>
        </is>
      </c>
      <c r="I194" s="804" t="n"/>
      <c r="J194" s="804" t="n"/>
      <c r="K194" s="804" t="n"/>
      <c r="L194" s="804" t="n"/>
      <c r="M194" s="804" t="n"/>
      <c r="N194" s="804" t="n"/>
      <c r="O194" s="804" t="n"/>
      <c r="P194" s="804" t="n"/>
      <c r="Q194" s="804" t="n"/>
      <c r="R194" s="804" t="n"/>
      <c r="S194" s="804" t="n"/>
      <c r="T194" s="804" t="n"/>
      <c r="U194" s="804" t="n"/>
      <c r="V194" s="804" t="n"/>
      <c r="W194" s="804" t="n"/>
      <c r="X194" s="804" t="n"/>
    </row>
    <row r="195" ht="31" customHeight="1" s="254">
      <c r="A195" s="781" t="inlineStr">
        <is>
          <t>Temporary or speculative service component?</t>
        </is>
      </c>
      <c r="B195" s="799" t="inlineStr">
        <is>
          <t>Unknown</t>
        </is>
      </c>
      <c r="C195" s="804" t="n"/>
      <c r="D195" s="804" t="n"/>
      <c r="E195" s="804" t="n"/>
      <c r="F195" s="804" t="n"/>
      <c r="G195" s="804" t="n"/>
      <c r="H195" s="804" t="n"/>
      <c r="I195" s="804" t="n"/>
      <c r="J195" s="804" t="n"/>
      <c r="K195" s="804" t="n"/>
      <c r="L195" s="804" t="n"/>
      <c r="M195" s="804" t="n"/>
      <c r="N195" s="804" t="n"/>
      <c r="O195" s="804" t="n"/>
      <c r="P195" s="804" t="n"/>
      <c r="Q195" s="804" t="n"/>
      <c r="R195" s="804" t="n"/>
      <c r="S195" s="804" t="n"/>
      <c r="T195" s="804" t="n"/>
      <c r="U195" s="804" t="n"/>
      <c r="V195" s="804" t="n"/>
      <c r="W195" s="804" t="n"/>
      <c r="X195" s="804" t="n"/>
    </row>
    <row r="196" ht="31" customHeight="1" s="254">
      <c r="A196" s="781" t="inlineStr">
        <is>
          <t>Tax gross-up on a customer contribution applies?</t>
        </is>
      </c>
      <c r="B196" s="799" t="inlineStr">
        <is>
          <t>Only if Rule 15/16 contribution arises</t>
        </is>
      </c>
      <c r="C196" s="814" t="inlineStr">
        <is>
          <t>Tax on any contribution to utility-owned plant. Investor-owned utilities levy it; publicly owned utilities generally do not.</t>
        </is>
      </c>
      <c r="I196" s="804" t="n"/>
      <c r="J196" s="804" t="n"/>
      <c r="K196" s="804" t="n"/>
      <c r="L196" s="804" t="n"/>
      <c r="M196" s="804" t="n"/>
      <c r="N196" s="804" t="n"/>
      <c r="O196" s="804" t="n"/>
      <c r="P196" s="804" t="n"/>
      <c r="Q196" s="804" t="n"/>
      <c r="R196" s="804" t="n"/>
      <c r="S196" s="804" t="n"/>
      <c r="T196" s="804" t="n"/>
      <c r="U196" s="804" t="n"/>
      <c r="V196" s="804" t="n"/>
      <c r="W196" s="804" t="n"/>
      <c r="X196" s="804" t="n"/>
    </row>
    <row r="197" ht="31" customHeight="1" s="254">
      <c r="A197" s="781" t="inlineStr">
        <is>
          <t>Transformer pad location agreed with client?</t>
        </is>
      </c>
      <c r="B197" s="799" t="n"/>
      <c r="C197" s="814" t="inlineStr">
        <is>
          <t>Client must provide the space</t>
        </is>
      </c>
      <c r="I197" s="804" t="n"/>
      <c r="J197" s="804" t="n"/>
      <c r="K197" s="804" t="n"/>
      <c r="L197" s="804" t="n"/>
      <c r="M197" s="804" t="n"/>
      <c r="N197" s="804" t="n"/>
      <c r="O197" s="804" t="n"/>
      <c r="P197" s="804" t="n"/>
      <c r="Q197" s="804" t="n"/>
      <c r="R197" s="804" t="n"/>
      <c r="S197" s="804" t="n"/>
      <c r="T197" s="804" t="n"/>
      <c r="U197" s="804" t="n"/>
      <c r="V197" s="804" t="n"/>
      <c r="W197" s="804" t="n"/>
      <c r="X197" s="804" t="n"/>
    </row>
    <row r="198" ht="31" customHeight="1" s="254">
      <c r="A198" s="781" t="inlineStr">
        <is>
          <t>Proof of commitment to purchase provided?</t>
        </is>
      </c>
      <c r="B198" s="799" t="n"/>
      <c r="C198" s="814" t="inlineStr">
        <is>
          <t>Some utility programmes require a PO, budget approval or grant agreement</t>
        </is>
      </c>
      <c r="I198" s="804" t="n"/>
      <c r="J198" s="804" t="n"/>
      <c r="K198" s="804" t="n"/>
      <c r="L198" s="804" t="n"/>
      <c r="M198" s="804" t="n"/>
      <c r="N198" s="804" t="n"/>
      <c r="O198" s="804" t="n"/>
      <c r="P198" s="804" t="n"/>
      <c r="Q198" s="804" t="n"/>
      <c r="R198" s="804" t="n"/>
      <c r="S198" s="804" t="n"/>
      <c r="T198" s="804" t="n"/>
      <c r="U198" s="804" t="n"/>
      <c r="V198" s="804" t="n"/>
      <c r="W198" s="804" t="n"/>
      <c r="X198" s="804" t="n"/>
    </row>
    <row r="199" ht="31" customHeight="1" s="254">
      <c r="A199" s="781" t="inlineStr">
        <is>
          <t>Client accepts the utility's operate-and-maintain obligation?</t>
        </is>
      </c>
      <c r="B199" s="799" t="n"/>
      <c r="C199" s="814" t="inlineStr">
        <is>
          <t>Where the utility imposes one as a condition of an incentive or an extension</t>
        </is>
      </c>
      <c r="I199" s="804" t="n"/>
      <c r="J199" s="804" t="n"/>
      <c r="K199" s="804" t="n"/>
      <c r="L199" s="804" t="n"/>
      <c r="M199" s="804" t="n"/>
      <c r="N199" s="804" t="n"/>
      <c r="O199" s="804" t="n"/>
      <c r="P199" s="804" t="n"/>
      <c r="Q199" s="804" t="n"/>
      <c r="R199" s="804" t="n"/>
      <c r="S199" s="804" t="n"/>
      <c r="T199" s="804" t="n"/>
      <c r="U199" s="804" t="n"/>
      <c r="V199" s="804" t="n"/>
      <c r="W199" s="804" t="n"/>
      <c r="X199" s="804" t="n"/>
    </row>
    <row r="200" ht="43.5" customHeight="1" s="254">
      <c r="A200" s="781" t="inlineStr">
        <is>
          <t>Client accepts the utility's activation deadline after energisation?</t>
        </is>
      </c>
      <c r="B200" s="799" t="n"/>
      <c r="C200" s="814" t="inlineStr">
        <is>
          <t>Where the utility sets one</t>
        </is>
      </c>
      <c r="I200" s="804" t="n"/>
      <c r="J200" s="804" t="n"/>
      <c r="K200" s="804" t="n"/>
      <c r="L200" s="804" t="n"/>
      <c r="M200" s="804" t="n"/>
      <c r="N200" s="804" t="n"/>
      <c r="O200" s="804" t="n"/>
      <c r="P200" s="804" t="n"/>
      <c r="Q200" s="804" t="n"/>
      <c r="R200" s="804" t="n"/>
      <c r="S200" s="804" t="n"/>
      <c r="T200" s="804" t="n"/>
      <c r="U200" s="804" t="n"/>
      <c r="V200" s="804" t="n"/>
      <c r="W200" s="804" t="n"/>
      <c r="X200" s="804" t="n"/>
    </row>
    <row r="201" ht="16" customHeight="1" s="254">
      <c r="A201" s="781" t="inlineStr">
        <is>
          <t>Utility design submitted (date)</t>
        </is>
      </c>
      <c r="B201" s="799" t="n"/>
      <c r="C201" s="804" t="n"/>
      <c r="D201" s="804" t="n"/>
      <c r="E201" s="804" t="n"/>
      <c r="F201" s="804" t="n"/>
      <c r="G201" s="804" t="n"/>
      <c r="H201" s="804" t="n"/>
      <c r="I201" s="804" t="n"/>
      <c r="J201" s="804" t="n"/>
      <c r="K201" s="804" t="n"/>
      <c r="L201" s="804" t="n"/>
      <c r="M201" s="804" t="n"/>
      <c r="N201" s="804" t="n"/>
      <c r="O201" s="804" t="n"/>
      <c r="P201" s="804" t="n"/>
      <c r="Q201" s="804" t="n"/>
      <c r="R201" s="804" t="n"/>
      <c r="S201" s="804" t="n"/>
      <c r="T201" s="804" t="n"/>
      <c r="U201" s="804" t="n"/>
      <c r="V201" s="804" t="n"/>
      <c r="W201" s="804" t="n"/>
      <c r="X201" s="804" t="n"/>
    </row>
    <row r="202" ht="16" customHeight="1" s="254">
      <c r="A202" s="781" t="inlineStr">
        <is>
          <t>Utility design returned (date)</t>
        </is>
      </c>
      <c r="B202" s="799" t="n"/>
      <c r="C202" s="804" t="n"/>
      <c r="D202" s="804" t="n"/>
      <c r="E202" s="804" t="n"/>
      <c r="F202" s="804" t="n"/>
      <c r="G202" s="804" t="n"/>
      <c r="H202" s="804" t="n"/>
      <c r="I202" s="804" t="n"/>
      <c r="J202" s="804" t="n"/>
      <c r="K202" s="804" t="n"/>
      <c r="L202" s="804" t="n"/>
      <c r="M202" s="804" t="n"/>
      <c r="N202" s="804" t="n"/>
      <c r="O202" s="804" t="n"/>
      <c r="P202" s="804" t="n"/>
      <c r="Q202" s="804" t="n"/>
      <c r="R202" s="804" t="n"/>
      <c r="S202" s="804" t="n"/>
      <c r="T202" s="804" t="n"/>
      <c r="U202" s="804" t="n"/>
      <c r="V202" s="804" t="n"/>
      <c r="W202" s="804" t="n"/>
      <c r="X202" s="804" t="n"/>
    </row>
    <row r="203" ht="16" customHeight="1" s="254">
      <c r="A203" s="811" t="n"/>
      <c r="B203" s="804" t="n"/>
      <c r="C203" s="804" t="n"/>
      <c r="D203" s="804" t="n"/>
      <c r="E203" s="804" t="n"/>
      <c r="F203" s="804" t="n"/>
      <c r="G203" s="804" t="n"/>
      <c r="H203" s="804" t="n"/>
      <c r="I203" s="804" t="n"/>
      <c r="J203" s="804" t="n"/>
      <c r="K203" s="804" t="n"/>
      <c r="L203" s="804" t="n"/>
      <c r="M203" s="804" t="n"/>
      <c r="N203" s="804" t="n"/>
      <c r="O203" s="804" t="n"/>
      <c r="P203" s="804" t="n"/>
      <c r="Q203" s="804" t="n"/>
      <c r="R203" s="804" t="n"/>
      <c r="S203" s="804" t="n"/>
      <c r="T203" s="804" t="n"/>
      <c r="U203" s="804" t="n"/>
      <c r="V203" s="804" t="n"/>
      <c r="W203" s="804" t="n"/>
      <c r="X203" s="804" t="n"/>
    </row>
    <row r="204" ht="19.75" customHeight="1" s="254">
      <c r="A204" s="798" t="inlineStr">
        <is>
          <t>G · RETAINED INFRASTRUCTURE — existing-service and replacement sites</t>
        </is>
      </c>
      <c r="I204" s="804" t="n"/>
      <c r="J204" s="804" t="n"/>
      <c r="K204" s="804" t="n"/>
      <c r="L204" s="804" t="n"/>
      <c r="M204" s="804" t="n"/>
      <c r="N204" s="804" t="n"/>
      <c r="O204" s="804" t="n"/>
      <c r="P204" s="804" t="n"/>
      <c r="Q204" s="804" t="n"/>
      <c r="R204" s="804" t="n"/>
      <c r="S204" s="804" t="n"/>
      <c r="T204" s="804" t="n"/>
      <c r="U204" s="804" t="n"/>
      <c r="V204" s="804" t="n"/>
      <c r="W204" s="804" t="n"/>
      <c r="X204" s="804" t="n"/>
    </row>
    <row r="205" hidden="1" outlineLevel="1" ht="16" customHeight="1" s="254">
      <c r="A205" s="814" t="inlineStr">
        <is>
          <t>Mirrors the register on the Existing tab section B. Where an element is retained, the corresponding material take-off above is zero and the retained element is not priced. On an add-load site the service, the feeder and the switchgear are retained and everything from the switchgear inward is new.</t>
        </is>
      </c>
      <c r="U205" s="804" t="n"/>
      <c r="V205" s="804" t="n"/>
      <c r="W205" s="804" t="n"/>
      <c r="X205" s="804" t="n"/>
    </row>
    <row r="206" hidden="1" outlineLevel="1" ht="16" customHeight="1" s="254">
      <c r="A206" s="781" t="inlineStr">
        <is>
          <t>Project type</t>
        </is>
      </c>
      <c r="B206" s="810">
        <f>Existing!$B$5</f>
        <v/>
      </c>
      <c r="C206" s="814" t="inlineStr">
        <is>
          <t>From the Existing tab.</t>
        </is>
      </c>
      <c r="I206" s="804" t="n"/>
      <c r="J206" s="804" t="n"/>
      <c r="K206" s="804" t="n"/>
      <c r="L206" s="804" t="n"/>
      <c r="M206" s="804" t="n"/>
      <c r="N206" s="804" t="n"/>
      <c r="O206" s="804" t="n"/>
      <c r="P206" s="804" t="n"/>
      <c r="Q206" s="804" t="n"/>
      <c r="R206" s="804" t="n"/>
      <c r="S206" s="804" t="n"/>
      <c r="T206" s="804" t="n"/>
      <c r="U206" s="804" t="n"/>
      <c r="V206" s="804" t="n"/>
      <c r="W206" s="804" t="n"/>
      <c r="X206" s="804" t="n"/>
    </row>
    <row r="207" hidden="1" outlineLevel="1" ht="16" customHeight="1" s="254">
      <c r="A207" s="806" t="inlineStr">
        <is>
          <t>Electrical element</t>
        </is>
      </c>
      <c r="B207" s="806" t="inlineStr">
        <is>
          <t>Decision</t>
        </is>
      </c>
      <c r="C207" s="881" t="inlineStr">
        <is>
          <t>What it means for the take-off</t>
        </is>
      </c>
      <c r="D207" s="299" t="n"/>
      <c r="E207" s="299" t="n"/>
      <c r="F207" s="299" t="n"/>
      <c r="G207" s="299" t="n"/>
      <c r="H207" s="299" t="n"/>
      <c r="I207" s="804" t="n"/>
      <c r="J207" s="804" t="n"/>
      <c r="K207" s="804" t="n"/>
      <c r="L207" s="804" t="n"/>
      <c r="M207" s="804" t="n"/>
      <c r="N207" s="804" t="n"/>
      <c r="O207" s="804" t="n"/>
      <c r="P207" s="804" t="n"/>
      <c r="Q207" s="804" t="n"/>
      <c r="R207" s="804" t="n"/>
      <c r="S207" s="804" t="n"/>
      <c r="T207" s="804" t="n"/>
      <c r="U207" s="804" t="n"/>
      <c r="V207" s="804" t="n"/>
      <c r="W207" s="804" t="n"/>
      <c r="X207" s="804" t="n"/>
    </row>
    <row r="208" hidden="1" outlineLevel="1" ht="16" customHeight="1" s="254">
      <c r="A208" s="781" t="inlineStr">
        <is>
          <t>Utility service and meter</t>
        </is>
      </c>
      <c r="B208" s="863">
        <f>IF(Existing!$B$5="Greenfield — new service","n/a — greenfield",Existing!$B$13)</f>
        <v/>
      </c>
      <c r="C208" s="882">
        <f>IF($B$208="n/a — greenfield","Greenfield — there is nothing to retain, so this line has no bearing on the take-off. The full electrical scope is priced.",IF($B$208="RETAIN","No Rule 29 application, no new service, no interconnection allowance. Zero the utility lines below.",IF($B$208="NOT PRESENT","Not present on this site.","Price the new service and the Rule 29 scope in full.")))</f>
        <v/>
      </c>
      <c r="I208" s="804" t="n"/>
      <c r="J208" s="804" t="n"/>
      <c r="K208" s="804" t="n"/>
      <c r="L208" s="804" t="n"/>
      <c r="M208" s="804" t="n"/>
      <c r="N208" s="804" t="n"/>
      <c r="O208" s="804" t="n"/>
      <c r="P208" s="804" t="n"/>
      <c r="Q208" s="804" t="n"/>
      <c r="R208" s="804" t="n"/>
      <c r="S208" s="804" t="n"/>
      <c r="T208" s="804" t="n"/>
      <c r="U208" s="804" t="n"/>
      <c r="V208" s="804" t="n"/>
      <c r="W208" s="804" t="n"/>
      <c r="X208" s="804" t="n"/>
    </row>
    <row r="209" hidden="1" outlineLevel="1" ht="16" customHeight="1" s="254">
      <c r="A209" s="781" t="inlineStr">
        <is>
          <t>Service feeder</t>
        </is>
      </c>
      <c r="B209" s="863">
        <f>IF(Existing!$B$5="Greenfield — new service","n/a — greenfield",Existing!$B$14)</f>
        <v/>
      </c>
      <c r="C209" s="882">
        <f>IF($B$209="n/a — greenfield","Greenfield — there is nothing to retain, so this line has no bearing on the take-off. The full electrical scope is priced.",IF($B$209="RETAIN","Zero the service feeder conductor. Verify ampacity against the new load first.",IF($B$209="NOT PRESENT","Not present on this site.","Price the service feeder at the distances entered above.")))</f>
        <v/>
      </c>
      <c r="I209" s="804" t="n"/>
      <c r="J209" s="804" t="n"/>
      <c r="K209" s="804" t="n"/>
      <c r="L209" s="804" t="n"/>
      <c r="M209" s="804" t="n"/>
      <c r="N209" s="804" t="n"/>
      <c r="O209" s="804" t="n"/>
      <c r="P209" s="804" t="n"/>
      <c r="Q209" s="804" t="n"/>
      <c r="R209" s="804" t="n"/>
      <c r="S209" s="804" t="n"/>
      <c r="T209" s="804" t="n"/>
      <c r="U209" s="804" t="n"/>
      <c r="V209" s="804" t="n"/>
      <c r="W209" s="804" t="n"/>
      <c r="X209" s="804" t="n"/>
    </row>
    <row r="210" hidden="1" outlineLevel="1" ht="16" customHeight="1" s="254">
      <c r="A210" s="781" t="inlineStr">
        <is>
          <t>Switchgear</t>
        </is>
      </c>
      <c r="B210" s="863">
        <f>IF(Existing!$B$5="Greenfield — new service","n/a — greenfield",Existing!$B$15)</f>
        <v/>
      </c>
      <c r="C210" s="882">
        <f>IF($B$210="n/a — greenfield","Greenfield — there is nothing to retain, so this line has no bearing on the take-off. The full electrical scope is priced.",IF($B$210="RETAIN","Zero the switchgear line. Confirm the frame carries the new load — see the check on the Existing tab.",IF($B$210="NOT PRESENT","Not present on this site.","Price a new switchboard sized to the new load.")))</f>
        <v/>
      </c>
      <c r="I210" s="804" t="n"/>
      <c r="J210" s="804" t="n"/>
      <c r="K210" s="804" t="n"/>
      <c r="L210" s="804" t="n"/>
      <c r="M210" s="804" t="n"/>
      <c r="N210" s="804" t="n"/>
      <c r="O210" s="804" t="n"/>
      <c r="P210" s="804" t="n"/>
      <c r="Q210" s="804" t="n"/>
      <c r="R210" s="804" t="n"/>
      <c r="S210" s="804" t="n"/>
      <c r="T210" s="804" t="n"/>
      <c r="U210" s="804" t="n"/>
      <c r="V210" s="804" t="n"/>
      <c r="W210" s="804" t="n"/>
      <c r="X210" s="804" t="n"/>
    </row>
    <row r="211" hidden="1" outlineLevel="1" ht="16" customHeight="1" s="254">
      <c r="A211" s="781" t="inlineStr">
        <is>
          <t>Branch conductors</t>
        </is>
      </c>
      <c r="B211" s="863">
        <f>IF(Existing!$B$5="Greenfield — add load to existing service","n/a — no existing chargers",IF(Existing!$B$5="Greenfield — new service","n/a — greenfield",Existing!$B$16))</f>
        <v/>
      </c>
      <c r="C211" s="882">
        <f>IF($B$211="n/a — no existing chargers","No existing chargers — this element is new and priced in full.",IF($B$211="n/a — greenfield","Greenfield — there is nothing to retain, so this line has no bearing on the take-off. The full electrical scope is priced.",IF($B$211="RETAIN","Zero the feeder conductor and equipment ground. The largest single saving on a replacement.",IF($B$211="NOT PRESENT","Not present on this site.","Price branch conductors at the placement distances entered above."))))</f>
        <v/>
      </c>
      <c r="I211" s="804" t="n"/>
      <c r="J211" s="804" t="n"/>
      <c r="K211" s="804" t="n"/>
      <c r="L211" s="804" t="n"/>
      <c r="M211" s="804" t="n"/>
      <c r="N211" s="804" t="n"/>
      <c r="O211" s="804" t="n"/>
      <c r="P211" s="804" t="n"/>
      <c r="Q211" s="804" t="n"/>
      <c r="R211" s="804" t="n"/>
      <c r="S211" s="804" t="n"/>
      <c r="T211" s="804" t="n"/>
      <c r="U211" s="804" t="n"/>
      <c r="V211" s="804" t="n"/>
      <c r="W211" s="804" t="n"/>
      <c r="X211" s="804" t="n"/>
    </row>
    <row r="212" hidden="1" outlineLevel="1" ht="16" customHeight="1" s="254">
      <c r="A212" s="781" t="inlineStr">
        <is>
          <t>Conduit and trench</t>
        </is>
      </c>
      <c r="B212" s="863">
        <f>IF(Existing!$B$5="Greenfield — add load to existing service","n/a — no existing chargers",IF(Existing!$B$5="Greenfield — new service","n/a — greenfield",Existing!$B$17))</f>
        <v/>
      </c>
      <c r="C212" s="882">
        <f>IF($B$212="n/a — no existing chargers","No existing chargers — this element is new and priced in full.",IF($B$212="n/a — greenfield","Greenfield — there is nothing to retain, so this line has no bearing on the take-off. The full electrical scope is priced.",IF($B$212="RETAIN","Zero conduit, trenching, paving reinstatement and GPR. No ground is opened.",IF($B$212="NOT PRESENT","Not present on this site.","Price conduit and trenching in full."))))</f>
        <v/>
      </c>
      <c r="I212" s="804" t="n"/>
      <c r="J212" s="804" t="n"/>
      <c r="K212" s="804" t="n"/>
      <c r="L212" s="804" t="n"/>
      <c r="M212" s="804" t="n"/>
      <c r="N212" s="804" t="n"/>
      <c r="O212" s="804" t="n"/>
      <c r="P212" s="804" t="n"/>
      <c r="Q212" s="804" t="n"/>
      <c r="R212" s="804" t="n"/>
      <c r="S212" s="804" t="n"/>
      <c r="T212" s="804" t="n"/>
      <c r="U212" s="804" t="n"/>
      <c r="V212" s="804" t="n"/>
      <c r="W212" s="804" t="n"/>
      <c r="X212" s="804" t="n"/>
    </row>
    <row r="213" hidden="1" outlineLevel="1" ht="16" customHeight="1" s="254">
      <c r="A213" s="781" t="inlineStr">
        <is>
          <t>Branch breakers</t>
        </is>
      </c>
      <c r="B213" s="863">
        <f>IF(Existing!$B$5="Greenfield — add load to existing service","n/a — no existing chargers",IF(Existing!$B$5="Greenfield — new service","n/a — greenfield",Existing!$B$18))</f>
        <v/>
      </c>
      <c r="C213" s="882">
        <f>IF($B$213="n/a — no existing chargers","No existing chargers — this element is new and priced in full.",IF($B$213="n/a — greenfield","Greenfield — there is nothing to retain, so this line has no bearing on the take-off. The full electrical scope is priced.",IF($B$213="RETAIN","Rare. Breakers are normally replaced to match the new cabinet.",IF($B$213="NOT PRESENT","Not present on this site.","Price one breaker per new cabinet at the size on the Equipment tab."))))</f>
        <v/>
      </c>
      <c r="I213" s="804" t="n"/>
      <c r="J213" s="804" t="n"/>
      <c r="K213" s="804" t="n"/>
      <c r="L213" s="804" t="n"/>
      <c r="M213" s="804" t="n"/>
      <c r="N213" s="804" t="n"/>
      <c r="O213" s="804" t="n"/>
      <c r="P213" s="804" t="n"/>
      <c r="Q213" s="804" t="n"/>
      <c r="R213" s="804" t="n"/>
      <c r="S213" s="804" t="n"/>
      <c r="T213" s="804" t="n"/>
      <c r="U213" s="804" t="n"/>
      <c r="V213" s="804" t="n"/>
      <c r="W213" s="804" t="n"/>
      <c r="X213" s="804" t="n"/>
    </row>
    <row r="214" hidden="1" outlineLevel="1" ht="16" customHeight="1" s="254">
      <c r="A214" s="781" t="inlineStr">
        <is>
          <t>Electrical scope profile</t>
        </is>
      </c>
      <c r="B214" s="810">
        <f>IF(Existing!$B$5="Greenfield — add load to existing service","EXISTING SERVICE — no new service and no service feeder; price the distribution from the existing switchgear inward and the full charger scope",IF(Existing!$B$5="Greenfield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214" s="814" t="inlineStr">
        <is>
          <t>The one-line summary of what the electrical estimate should contain.</t>
        </is>
      </c>
      <c r="I214" s="804" t="n"/>
      <c r="J214" s="804" t="n"/>
      <c r="K214" s="804" t="n"/>
      <c r="L214" s="804" t="n"/>
      <c r="M214" s="804" t="n"/>
      <c r="N214" s="804" t="n"/>
      <c r="O214" s="804" t="n"/>
      <c r="P214" s="804" t="n"/>
      <c r="Q214" s="804" t="n"/>
      <c r="R214" s="804" t="n"/>
      <c r="S214" s="804" t="n"/>
      <c r="T214" s="804" t="n"/>
      <c r="U214" s="804" t="n"/>
      <c r="V214" s="804" t="n"/>
      <c r="W214" s="804" t="n"/>
      <c r="X214" s="804" t="n"/>
    </row>
    <row r="215" hidden="1" outlineLevel="1" ht="31" customHeight="1" s="254">
      <c r="A215" s="781" t="inlineStr">
        <is>
          <t>Reuse feasibility</t>
        </is>
      </c>
      <c r="B215" s="810">
        <f>IF(Existing!$B$5="Greenfield — new service","n/a",Existing!$B$198)</f>
        <v/>
      </c>
      <c r="C215" s="814" t="inlineStr">
        <is>
          <t>The service verdict from the Existing tab section I, repeated here where the electrical estimate is actually built.</t>
        </is>
      </c>
      <c r="I215" s="804" t="n"/>
      <c r="J215" s="804" t="n"/>
      <c r="K215" s="804" t="n"/>
      <c r="L215" s="804" t="n"/>
      <c r="M215" s="804" t="n"/>
      <c r="N215" s="804" t="n"/>
      <c r="O215" s="804" t="n"/>
      <c r="P215" s="804" t="n"/>
      <c r="Q215" s="804" t="n"/>
      <c r="R215" s="804" t="n"/>
      <c r="S215" s="804" t="n"/>
      <c r="T215" s="804" t="n"/>
      <c r="U215" s="804" t="n"/>
      <c r="V215" s="804" t="n"/>
      <c r="W215" s="804" t="n"/>
      <c r="X215" s="804" t="n"/>
    </row>
    <row r="216" hidden="1" outlineLevel="1" ht="16" customHeight="1" s="254">
      <c r="A216" s="811" t="n"/>
      <c r="B216" s="804" t="n"/>
      <c r="C216" s="804" t="n"/>
      <c r="D216" s="804" t="n"/>
      <c r="E216" s="804" t="n"/>
      <c r="F216" s="804" t="n"/>
      <c r="G216" s="804" t="n"/>
      <c r="H216" s="804" t="n"/>
      <c r="I216" s="804" t="n"/>
      <c r="J216" s="804" t="n"/>
      <c r="K216" s="804" t="n"/>
      <c r="L216" s="804" t="n"/>
      <c r="M216" s="804" t="n"/>
      <c r="N216" s="804" t="n"/>
      <c r="O216" s="804" t="n"/>
      <c r="P216" s="804" t="n"/>
      <c r="Q216" s="804" t="n"/>
      <c r="R216" s="804" t="n"/>
      <c r="S216" s="804" t="n"/>
      <c r="T216" s="804" t="n"/>
      <c r="U216" s="804" t="n"/>
      <c r="V216" s="804" t="n"/>
      <c r="W216" s="804" t="n"/>
      <c r="X216" s="804" t="n"/>
    </row>
    <row r="217" ht="19.75" customHeight="1" s="254">
      <c r="A217" s="798" t="inlineStr">
        <is>
          <t>H · CONDUCTOR SIZING TABLE FOR THIS SITE (auto) — what block B picks from</t>
        </is>
      </c>
      <c r="I217" s="804" t="n"/>
      <c r="J217" s="804" t="n"/>
      <c r="K217" s="804" t="n"/>
      <c r="L217" s="804" t="n"/>
      <c r="M217" s="804" t="n"/>
      <c r="N217" s="804" t="n"/>
      <c r="O217" s="804" t="n"/>
      <c r="P217" s="804" t="n"/>
      <c r="Q217" s="804" t="n"/>
      <c r="R217" s="804" t="n"/>
      <c r="S217" s="804" t="n"/>
      <c r="T217" s="804" t="n"/>
      <c r="U217" s="804" t="n"/>
      <c r="V217" s="804" t="n"/>
      <c r="W217" s="804" t="n"/>
      <c r="X217" s="804" t="n"/>
    </row>
    <row r="218" hidden="1" outlineLevel="1" ht="31" customHeight="1" s="254">
      <c r="A218" s="814" t="inlineStr">
        <is>
          <t>NEC Table 310.16 ampacity for the material and insulation in block A, corrected for the design ambient (Table 310.15(B)(1)) and capped at the termination rating (110.14(C)). Impedance from the Chapter 9 table on RefData, which is UNVERIFIED and makes every voltage-drop figure advisory. 450 KCMIL is absent because RefData carries no ampacity for it.</t>
        </is>
      </c>
      <c r="U218" s="804" t="n"/>
      <c r="V218" s="804" t="n"/>
      <c r="W218" s="804" t="n"/>
      <c r="X218" s="804" t="n"/>
    </row>
    <row r="219" hidden="1" outlineLevel="1" ht="43.5" customHeight="1" s="254">
      <c r="A219" s="806" t="inlineStr">
        <is>
          <t>Conductor</t>
        </is>
      </c>
      <c r="B219" s="806" t="inlineStr">
        <is>
          <t>Table ampacity at the insulation rating (auto)</t>
        </is>
      </c>
      <c r="C219" s="806" t="inlineStr">
        <is>
          <t>Ambient factor (auto)</t>
        </is>
      </c>
      <c r="D219" s="806" t="inlineStr">
        <is>
          <t>Corrected, capped (auto)</t>
        </is>
      </c>
      <c r="E219" s="806" t="inlineStr">
        <is>
          <t>Impedance ohm/1000 ft (auto)</t>
        </is>
      </c>
      <c r="F219" s="806" t="inlineStr">
        <is>
          <t>Material $/ft (auto)</t>
        </is>
      </c>
      <c r="G219" s="804" t="n"/>
      <c r="H219" s="804" t="n"/>
      <c r="I219" s="804" t="n"/>
      <c r="J219" s="804" t="n"/>
      <c r="K219" s="804" t="n"/>
      <c r="L219" s="804" t="n"/>
      <c r="M219" s="804" t="n"/>
      <c r="N219" s="804" t="n"/>
      <c r="O219" s="804" t="n"/>
      <c r="P219" s="804" t="n"/>
      <c r="Q219" s="804" t="n"/>
      <c r="R219" s="804" t="n"/>
      <c r="S219" s="804" t="n"/>
      <c r="T219" s="804" t="n"/>
      <c r="U219" s="804" t="n"/>
      <c r="V219" s="804" t="n"/>
      <c r="W219" s="804" t="n"/>
      <c r="X219" s="804" t="n"/>
    </row>
    <row r="220" hidden="1" outlineLevel="1" ht="16" customHeight="1" s="254">
      <c r="A220" s="876" t="inlineStr">
        <is>
          <t>10 AWG</t>
        </is>
      </c>
      <c r="B220" s="865">
        <f>IFERROR(N(INDEX(AMP_TBL,MATCH($A220,AMP_SIZE,0),MATCH($B$6&amp;"-"&amp;TEXT($B$11,"0"),AMP_HDR,0))),0)</f>
        <v/>
      </c>
      <c r="C220" s="883">
        <f>IF($B$10="",0,IFERROR(N(INDEX(AMB_TBL,IF(ISNUMBER(MATCH($B$10,AMB_MAX,0)),MATCH($B$10,AMB_MAX,0),MATCH($B$10,AMB_MAX,1)+1),MATCH(TEXT($B$11,"0"),AMB_HDR,0))),0))</f>
        <v/>
      </c>
      <c r="D220" s="865">
        <f>IF(N($C220)=0,0,MIN(N($B220)*N($C220),IFERROR(N(INDEX(AMP_TBL,MATCH($A220,AMP_SIZE,0),MATCH($B$6&amp;"-"&amp;TEXT($B$12,"0"),AMP_HDR,0))),0)))</f>
        <v/>
      </c>
      <c r="E220" s="884">
        <f>IFERROR(N(INDEX(Z_TBL,MATCH($A220,Z_SIZE,0),IF($B$6="Cu",1,2))),0)</f>
        <v/>
      </c>
      <c r="F220" s="885">
        <f>IFERROR(N(INDEX(IF($B$6="Cu",WIRE_CU,WIRE_AL),MATCH($A220,WIRE_SIZE,0))),0)</f>
        <v/>
      </c>
      <c r="G220" s="804" t="n"/>
      <c r="H220" s="804" t="n"/>
      <c r="I220" s="804" t="n"/>
      <c r="J220" s="804" t="n"/>
      <c r="K220" s="804" t="n"/>
      <c r="L220" s="804" t="n"/>
      <c r="M220" s="804" t="n"/>
      <c r="N220" s="804" t="n"/>
      <c r="O220" s="804" t="n"/>
      <c r="P220" s="804" t="n"/>
      <c r="Q220" s="804" t="n"/>
      <c r="R220" s="804" t="n"/>
      <c r="S220" s="804" t="n"/>
      <c r="T220" s="804" t="n"/>
      <c r="U220" s="804" t="n"/>
      <c r="V220" s="804" t="n"/>
      <c r="W220" s="804" t="n"/>
      <c r="X220" s="804" t="n"/>
    </row>
    <row r="221" hidden="1" outlineLevel="1" ht="16" customHeight="1" s="254">
      <c r="A221" s="876" t="inlineStr">
        <is>
          <t>8 AWG</t>
        </is>
      </c>
      <c r="B221" s="865">
        <f>IFERROR(N(INDEX(AMP_TBL,MATCH($A221,AMP_SIZE,0),MATCH($B$6&amp;"-"&amp;TEXT($B$11,"0"),AMP_HDR,0))),0)</f>
        <v/>
      </c>
      <c r="C221" s="883">
        <f>IF($B$10="",0,IFERROR(N(INDEX(AMB_TBL,IF(ISNUMBER(MATCH($B$10,AMB_MAX,0)),MATCH($B$10,AMB_MAX,0),MATCH($B$10,AMB_MAX,1)+1),MATCH(TEXT($B$11,"0"),AMB_HDR,0))),0))</f>
        <v/>
      </c>
      <c r="D221" s="865">
        <f>IF(N($C221)=0,0,MIN(N($B221)*N($C221),IFERROR(N(INDEX(AMP_TBL,MATCH($A221,AMP_SIZE,0),MATCH($B$6&amp;"-"&amp;TEXT($B$12,"0"),AMP_HDR,0))),0)))</f>
        <v/>
      </c>
      <c r="E221" s="884">
        <f>IFERROR(N(INDEX(Z_TBL,MATCH($A221,Z_SIZE,0),IF($B$6="Cu",1,2))),0)</f>
        <v/>
      </c>
      <c r="F221" s="885">
        <f>IFERROR(N(INDEX(IF($B$6="Cu",WIRE_CU,WIRE_AL),MATCH($A221,WIRE_SIZE,0))),0)</f>
        <v/>
      </c>
      <c r="G221" s="804" t="n"/>
      <c r="H221" s="804" t="n"/>
      <c r="I221" s="804" t="n"/>
      <c r="J221" s="804" t="n"/>
      <c r="K221" s="804" t="n"/>
      <c r="L221" s="804" t="n"/>
      <c r="M221" s="804" t="n"/>
      <c r="N221" s="804" t="n"/>
      <c r="O221" s="804" t="n"/>
      <c r="P221" s="804" t="n"/>
      <c r="Q221" s="804" t="n"/>
      <c r="R221" s="804" t="n"/>
      <c r="S221" s="804" t="n"/>
      <c r="T221" s="804" t="n"/>
      <c r="U221" s="804" t="n"/>
      <c r="V221" s="804" t="n"/>
      <c r="W221" s="804" t="n"/>
      <c r="X221" s="804" t="n"/>
    </row>
    <row r="222" hidden="1" outlineLevel="1" ht="16" customHeight="1" s="254">
      <c r="A222" s="876" t="inlineStr">
        <is>
          <t>6 AWG</t>
        </is>
      </c>
      <c r="B222" s="865">
        <f>IFERROR(N(INDEX(AMP_TBL,MATCH($A222,AMP_SIZE,0),MATCH($B$6&amp;"-"&amp;TEXT($B$11,"0"),AMP_HDR,0))),0)</f>
        <v/>
      </c>
      <c r="C222" s="883">
        <f>IF($B$10="",0,IFERROR(N(INDEX(AMB_TBL,IF(ISNUMBER(MATCH($B$10,AMB_MAX,0)),MATCH($B$10,AMB_MAX,0),MATCH($B$10,AMB_MAX,1)+1),MATCH(TEXT($B$11,"0"),AMB_HDR,0))),0))</f>
        <v/>
      </c>
      <c r="D222" s="865">
        <f>IF(N($C222)=0,0,MIN(N($B222)*N($C222),IFERROR(N(INDEX(AMP_TBL,MATCH($A222,AMP_SIZE,0),MATCH($B$6&amp;"-"&amp;TEXT($B$12,"0"),AMP_HDR,0))),0)))</f>
        <v/>
      </c>
      <c r="E222" s="884">
        <f>IFERROR(N(INDEX(Z_TBL,MATCH($A222,Z_SIZE,0),IF($B$6="Cu",1,2))),0)</f>
        <v/>
      </c>
      <c r="F222" s="885">
        <f>IFERROR(N(INDEX(IF($B$6="Cu",WIRE_CU,WIRE_AL),MATCH($A222,WIRE_SIZE,0))),0)</f>
        <v/>
      </c>
      <c r="G222" s="804" t="n"/>
      <c r="H222" s="804" t="n"/>
      <c r="I222" s="804" t="n"/>
      <c r="J222" s="804" t="n"/>
      <c r="K222" s="804" t="n"/>
      <c r="L222" s="804" t="n"/>
      <c r="M222" s="804" t="n"/>
      <c r="N222" s="804" t="n"/>
      <c r="O222" s="804" t="n"/>
      <c r="P222" s="804" t="n"/>
      <c r="Q222" s="804" t="n"/>
      <c r="R222" s="804" t="n"/>
      <c r="S222" s="804" t="n"/>
      <c r="T222" s="804" t="n"/>
      <c r="U222" s="804" t="n"/>
      <c r="V222" s="804" t="n"/>
      <c r="W222" s="804" t="n"/>
      <c r="X222" s="804" t="n"/>
    </row>
    <row r="223" hidden="1" outlineLevel="1" ht="16" customHeight="1" s="254">
      <c r="A223" s="876" t="inlineStr">
        <is>
          <t>4 AWG</t>
        </is>
      </c>
      <c r="B223" s="865">
        <f>IFERROR(N(INDEX(AMP_TBL,MATCH($A223,AMP_SIZE,0),MATCH($B$6&amp;"-"&amp;TEXT($B$11,"0"),AMP_HDR,0))),0)</f>
        <v/>
      </c>
      <c r="C223" s="883">
        <f>IF($B$10="",0,IFERROR(N(INDEX(AMB_TBL,IF(ISNUMBER(MATCH($B$10,AMB_MAX,0)),MATCH($B$10,AMB_MAX,0),MATCH($B$10,AMB_MAX,1)+1),MATCH(TEXT($B$11,"0"),AMB_HDR,0))),0))</f>
        <v/>
      </c>
      <c r="D223" s="865">
        <f>IF(N($C223)=0,0,MIN(N($B223)*N($C223),IFERROR(N(INDEX(AMP_TBL,MATCH($A223,AMP_SIZE,0),MATCH($B$6&amp;"-"&amp;TEXT($B$12,"0"),AMP_HDR,0))),0)))</f>
        <v/>
      </c>
      <c r="E223" s="884">
        <f>IFERROR(N(INDEX(Z_TBL,MATCH($A223,Z_SIZE,0),IF($B$6="Cu",1,2))),0)</f>
        <v/>
      </c>
      <c r="F223" s="885">
        <f>IFERROR(N(INDEX(IF($B$6="Cu",WIRE_CU,WIRE_AL),MATCH($A223,WIRE_SIZE,0))),0)</f>
        <v/>
      </c>
      <c r="G223" s="804" t="n"/>
      <c r="H223" s="804" t="n"/>
      <c r="I223" s="804" t="n"/>
      <c r="J223" s="804" t="n"/>
      <c r="K223" s="804" t="n"/>
      <c r="L223" s="804" t="n"/>
      <c r="M223" s="804" t="n"/>
      <c r="N223" s="804" t="n"/>
      <c r="O223" s="804" t="n"/>
      <c r="P223" s="804" t="n"/>
      <c r="Q223" s="804" t="n"/>
      <c r="R223" s="804" t="n"/>
      <c r="S223" s="804" t="n"/>
      <c r="T223" s="804" t="n"/>
      <c r="U223" s="804" t="n"/>
      <c r="V223" s="804" t="n"/>
      <c r="W223" s="804" t="n"/>
      <c r="X223" s="804" t="n"/>
    </row>
    <row r="224" hidden="1" outlineLevel="1" ht="16" customHeight="1" s="254">
      <c r="A224" s="876" t="inlineStr">
        <is>
          <t>2 AWG</t>
        </is>
      </c>
      <c r="B224" s="865">
        <f>IFERROR(N(INDEX(AMP_TBL,MATCH($A224,AMP_SIZE,0),MATCH($B$6&amp;"-"&amp;TEXT($B$11,"0"),AMP_HDR,0))),0)</f>
        <v/>
      </c>
      <c r="C224" s="883">
        <f>IF($B$10="",0,IFERROR(N(INDEX(AMB_TBL,IF(ISNUMBER(MATCH($B$10,AMB_MAX,0)),MATCH($B$10,AMB_MAX,0),MATCH($B$10,AMB_MAX,1)+1),MATCH(TEXT($B$11,"0"),AMB_HDR,0))),0))</f>
        <v/>
      </c>
      <c r="D224" s="865">
        <f>IF(N($C224)=0,0,MIN(N($B224)*N($C224),IFERROR(N(INDEX(AMP_TBL,MATCH($A224,AMP_SIZE,0),MATCH($B$6&amp;"-"&amp;TEXT($B$12,"0"),AMP_HDR,0))),0)))</f>
        <v/>
      </c>
      <c r="E224" s="884">
        <f>IFERROR(N(INDEX(Z_TBL,MATCH($A224,Z_SIZE,0),IF($B$6="Cu",1,2))),0)</f>
        <v/>
      </c>
      <c r="F224" s="885">
        <f>IFERROR(N(INDEX(IF($B$6="Cu",WIRE_CU,WIRE_AL),MATCH($A224,WIRE_SIZE,0))),0)</f>
        <v/>
      </c>
      <c r="G224" s="804" t="n"/>
      <c r="H224" s="804" t="n"/>
      <c r="I224" s="804" t="n"/>
      <c r="J224" s="804" t="n"/>
      <c r="K224" s="804" t="n"/>
      <c r="L224" s="804" t="n"/>
      <c r="M224" s="804" t="n"/>
      <c r="N224" s="804" t="n"/>
      <c r="O224" s="804" t="n"/>
      <c r="P224" s="804" t="n"/>
      <c r="Q224" s="804" t="n"/>
      <c r="R224" s="804" t="n"/>
      <c r="S224" s="804" t="n"/>
      <c r="T224" s="804" t="n"/>
      <c r="U224" s="804" t="n"/>
      <c r="V224" s="804" t="n"/>
      <c r="W224" s="804" t="n"/>
      <c r="X224" s="804" t="n"/>
    </row>
    <row r="225" hidden="1" outlineLevel="1" ht="16" customHeight="1" s="254">
      <c r="A225" s="876" t="inlineStr">
        <is>
          <t>1 AWG</t>
        </is>
      </c>
      <c r="B225" s="865">
        <f>IFERROR(N(INDEX(AMP_TBL,MATCH($A225,AMP_SIZE,0),MATCH($B$6&amp;"-"&amp;TEXT($B$11,"0"),AMP_HDR,0))),0)</f>
        <v/>
      </c>
      <c r="C225" s="883">
        <f>IF($B$10="",0,IFERROR(N(INDEX(AMB_TBL,IF(ISNUMBER(MATCH($B$10,AMB_MAX,0)),MATCH($B$10,AMB_MAX,0),MATCH($B$10,AMB_MAX,1)+1),MATCH(TEXT($B$11,"0"),AMB_HDR,0))),0))</f>
        <v/>
      </c>
      <c r="D225" s="865">
        <f>IF(N($C225)=0,0,MIN(N($B225)*N($C225),IFERROR(N(INDEX(AMP_TBL,MATCH($A225,AMP_SIZE,0),MATCH($B$6&amp;"-"&amp;TEXT($B$12,"0"),AMP_HDR,0))),0)))</f>
        <v/>
      </c>
      <c r="E225" s="884">
        <f>IFERROR(N(INDEX(Z_TBL,MATCH($A225,Z_SIZE,0),IF($B$6="Cu",1,2))),0)</f>
        <v/>
      </c>
      <c r="F225" s="885">
        <f>IFERROR(N(INDEX(IF($B$6="Cu",WIRE_CU,WIRE_AL),MATCH($A225,WIRE_SIZE,0))),0)</f>
        <v/>
      </c>
      <c r="G225" s="804" t="n"/>
      <c r="H225" s="804" t="n"/>
      <c r="I225" s="804" t="n"/>
      <c r="J225" s="804" t="n"/>
      <c r="K225" s="804" t="n"/>
      <c r="L225" s="804" t="n"/>
      <c r="M225" s="804" t="n"/>
      <c r="N225" s="804" t="n"/>
      <c r="O225" s="804" t="n"/>
      <c r="P225" s="804" t="n"/>
      <c r="Q225" s="804" t="n"/>
      <c r="R225" s="804" t="n"/>
      <c r="S225" s="804" t="n"/>
      <c r="T225" s="804" t="n"/>
      <c r="U225" s="804" t="n"/>
      <c r="V225" s="804" t="n"/>
      <c r="W225" s="804" t="n"/>
      <c r="X225" s="804" t="n"/>
    </row>
    <row r="226" hidden="1" outlineLevel="1" ht="16" customHeight="1" s="254">
      <c r="A226" s="876" t="inlineStr">
        <is>
          <t>1 /0</t>
        </is>
      </c>
      <c r="B226" s="865">
        <f>IFERROR(N(INDEX(AMP_TBL,MATCH($A226,AMP_SIZE,0),MATCH($B$6&amp;"-"&amp;TEXT($B$11,"0"),AMP_HDR,0))),0)</f>
        <v/>
      </c>
      <c r="C226" s="883">
        <f>IF($B$10="",0,IFERROR(N(INDEX(AMB_TBL,IF(ISNUMBER(MATCH($B$10,AMB_MAX,0)),MATCH($B$10,AMB_MAX,0),MATCH($B$10,AMB_MAX,1)+1),MATCH(TEXT($B$11,"0"),AMB_HDR,0))),0))</f>
        <v/>
      </c>
      <c r="D226" s="865">
        <f>IF(N($C226)=0,0,MIN(N($B226)*N($C226),IFERROR(N(INDEX(AMP_TBL,MATCH($A226,AMP_SIZE,0),MATCH($B$6&amp;"-"&amp;TEXT($B$12,"0"),AMP_HDR,0))),0)))</f>
        <v/>
      </c>
      <c r="E226" s="884">
        <f>IFERROR(N(INDEX(Z_TBL,MATCH($A226,Z_SIZE,0),IF($B$6="Cu",1,2))),0)</f>
        <v/>
      </c>
      <c r="F226" s="885">
        <f>IFERROR(N(INDEX(IF($B$6="Cu",WIRE_CU,WIRE_AL),MATCH($A226,WIRE_SIZE,0))),0)</f>
        <v/>
      </c>
      <c r="G226" s="804" t="n"/>
      <c r="H226" s="804" t="n"/>
      <c r="I226" s="804" t="n"/>
      <c r="J226" s="804" t="n"/>
      <c r="K226" s="804" t="n"/>
      <c r="L226" s="804" t="n"/>
      <c r="M226" s="804" t="n"/>
      <c r="N226" s="804" t="n"/>
      <c r="O226" s="804" t="n"/>
      <c r="P226" s="804" t="n"/>
      <c r="Q226" s="804" t="n"/>
      <c r="R226" s="804" t="n"/>
      <c r="S226" s="804" t="n"/>
      <c r="T226" s="804" t="n"/>
      <c r="U226" s="804" t="n"/>
      <c r="V226" s="804" t="n"/>
      <c r="W226" s="804" t="n"/>
      <c r="X226" s="804" t="n"/>
    </row>
    <row r="227" hidden="1" outlineLevel="1" ht="16" customHeight="1" s="254">
      <c r="A227" s="876" t="inlineStr">
        <is>
          <t>2 /0</t>
        </is>
      </c>
      <c r="B227" s="865">
        <f>IFERROR(N(INDEX(AMP_TBL,MATCH($A227,AMP_SIZE,0),MATCH($B$6&amp;"-"&amp;TEXT($B$11,"0"),AMP_HDR,0))),0)</f>
        <v/>
      </c>
      <c r="C227" s="883">
        <f>IF($B$10="",0,IFERROR(N(INDEX(AMB_TBL,IF(ISNUMBER(MATCH($B$10,AMB_MAX,0)),MATCH($B$10,AMB_MAX,0),MATCH($B$10,AMB_MAX,1)+1),MATCH(TEXT($B$11,"0"),AMB_HDR,0))),0))</f>
        <v/>
      </c>
      <c r="D227" s="865">
        <f>IF(N($C227)=0,0,MIN(N($B227)*N($C227),IFERROR(N(INDEX(AMP_TBL,MATCH($A227,AMP_SIZE,0),MATCH($B$6&amp;"-"&amp;TEXT($B$12,"0"),AMP_HDR,0))),0)))</f>
        <v/>
      </c>
      <c r="E227" s="884">
        <f>IFERROR(N(INDEX(Z_TBL,MATCH($A227,Z_SIZE,0),IF($B$6="Cu",1,2))),0)</f>
        <v/>
      </c>
      <c r="F227" s="885">
        <f>IFERROR(N(INDEX(IF($B$6="Cu",WIRE_CU,WIRE_AL),MATCH($A227,WIRE_SIZE,0))),0)</f>
        <v/>
      </c>
      <c r="G227" s="804" t="n"/>
      <c r="H227" s="804" t="n"/>
      <c r="I227" s="804" t="n"/>
      <c r="J227" s="804" t="n"/>
      <c r="K227" s="804" t="n"/>
      <c r="L227" s="804" t="n"/>
      <c r="M227" s="804" t="n"/>
      <c r="N227" s="804" t="n"/>
      <c r="O227" s="804" t="n"/>
      <c r="P227" s="804" t="n"/>
      <c r="Q227" s="804" t="n"/>
      <c r="R227" s="804" t="n"/>
      <c r="S227" s="804" t="n"/>
      <c r="T227" s="804" t="n"/>
      <c r="U227" s="804" t="n"/>
      <c r="V227" s="804" t="n"/>
      <c r="W227" s="804" t="n"/>
      <c r="X227" s="804" t="n"/>
    </row>
    <row r="228" hidden="1" outlineLevel="1" ht="16" customHeight="1" s="254">
      <c r="A228" s="876" t="inlineStr">
        <is>
          <t>3 /0</t>
        </is>
      </c>
      <c r="B228" s="865">
        <f>IFERROR(N(INDEX(AMP_TBL,MATCH($A228,AMP_SIZE,0),MATCH($B$6&amp;"-"&amp;TEXT($B$11,"0"),AMP_HDR,0))),0)</f>
        <v/>
      </c>
      <c r="C228" s="883">
        <f>IF($B$10="",0,IFERROR(N(INDEX(AMB_TBL,IF(ISNUMBER(MATCH($B$10,AMB_MAX,0)),MATCH($B$10,AMB_MAX,0),MATCH($B$10,AMB_MAX,1)+1),MATCH(TEXT($B$11,"0"),AMB_HDR,0))),0))</f>
        <v/>
      </c>
      <c r="D228" s="865">
        <f>IF(N($C228)=0,0,MIN(N($B228)*N($C228),IFERROR(N(INDEX(AMP_TBL,MATCH($A228,AMP_SIZE,0),MATCH($B$6&amp;"-"&amp;TEXT($B$12,"0"),AMP_HDR,0))),0)))</f>
        <v/>
      </c>
      <c r="E228" s="884">
        <f>IFERROR(N(INDEX(Z_TBL,MATCH($A228,Z_SIZE,0),IF($B$6="Cu",1,2))),0)</f>
        <v/>
      </c>
      <c r="F228" s="885">
        <f>IFERROR(N(INDEX(IF($B$6="Cu",WIRE_CU,WIRE_AL),MATCH($A228,WIRE_SIZE,0))),0)</f>
        <v/>
      </c>
      <c r="G228" s="804" t="n"/>
      <c r="H228" s="804" t="n"/>
      <c r="I228" s="804" t="n"/>
      <c r="J228" s="804" t="n"/>
      <c r="K228" s="804" t="n"/>
      <c r="L228" s="804" t="n"/>
      <c r="M228" s="804" t="n"/>
      <c r="N228" s="804" t="n"/>
      <c r="O228" s="804" t="n"/>
      <c r="P228" s="804" t="n"/>
      <c r="Q228" s="804" t="n"/>
      <c r="R228" s="804" t="n"/>
      <c r="S228" s="804" t="n"/>
      <c r="T228" s="804" t="n"/>
      <c r="U228" s="804" t="n"/>
      <c r="V228" s="804" t="n"/>
      <c r="W228" s="804" t="n"/>
      <c r="X228" s="804" t="n"/>
    </row>
    <row r="229" hidden="1" outlineLevel="1" ht="16" customHeight="1" s="254">
      <c r="A229" s="876" t="inlineStr">
        <is>
          <t>4 /0</t>
        </is>
      </c>
      <c r="B229" s="865">
        <f>IFERROR(N(INDEX(AMP_TBL,MATCH($A229,AMP_SIZE,0),MATCH($B$6&amp;"-"&amp;TEXT($B$11,"0"),AMP_HDR,0))),0)</f>
        <v/>
      </c>
      <c r="C229" s="883">
        <f>IF($B$10="",0,IFERROR(N(INDEX(AMB_TBL,IF(ISNUMBER(MATCH($B$10,AMB_MAX,0)),MATCH($B$10,AMB_MAX,0),MATCH($B$10,AMB_MAX,1)+1),MATCH(TEXT($B$11,"0"),AMB_HDR,0))),0))</f>
        <v/>
      </c>
      <c r="D229" s="865">
        <f>IF(N($C229)=0,0,MIN(N($B229)*N($C229),IFERROR(N(INDEX(AMP_TBL,MATCH($A229,AMP_SIZE,0),MATCH($B$6&amp;"-"&amp;TEXT($B$12,"0"),AMP_HDR,0))),0)))</f>
        <v/>
      </c>
      <c r="E229" s="884">
        <f>IFERROR(N(INDEX(Z_TBL,MATCH($A229,Z_SIZE,0),IF($B$6="Cu",1,2))),0)</f>
        <v/>
      </c>
      <c r="F229" s="885">
        <f>IFERROR(N(INDEX(IF($B$6="Cu",WIRE_CU,WIRE_AL),MATCH($A229,WIRE_SIZE,0))),0)</f>
        <v/>
      </c>
      <c r="G229" s="804" t="n"/>
      <c r="H229" s="804" t="n"/>
      <c r="I229" s="804" t="n"/>
      <c r="J229" s="804" t="n"/>
      <c r="K229" s="804" t="n"/>
      <c r="L229" s="804" t="n"/>
      <c r="M229" s="804" t="n"/>
      <c r="N229" s="804" t="n"/>
      <c r="O229" s="804" t="n"/>
      <c r="P229" s="804" t="n"/>
      <c r="Q229" s="804" t="n"/>
      <c r="R229" s="804" t="n"/>
      <c r="S229" s="804" t="n"/>
      <c r="T229" s="804" t="n"/>
      <c r="U229" s="804" t="n"/>
      <c r="V229" s="804" t="n"/>
      <c r="W229" s="804" t="n"/>
      <c r="X229" s="804" t="n"/>
    </row>
    <row r="230" hidden="1" outlineLevel="1" ht="16" customHeight="1" s="254">
      <c r="A230" s="876" t="inlineStr">
        <is>
          <t>250 KCMIL</t>
        </is>
      </c>
      <c r="B230" s="865">
        <f>IFERROR(N(INDEX(AMP_TBL,MATCH($A230,AMP_SIZE,0),MATCH($B$6&amp;"-"&amp;TEXT($B$11,"0"),AMP_HDR,0))),0)</f>
        <v/>
      </c>
      <c r="C230" s="883">
        <f>IF($B$10="",0,IFERROR(N(INDEX(AMB_TBL,IF(ISNUMBER(MATCH($B$10,AMB_MAX,0)),MATCH($B$10,AMB_MAX,0),MATCH($B$10,AMB_MAX,1)+1),MATCH(TEXT($B$11,"0"),AMB_HDR,0))),0))</f>
        <v/>
      </c>
      <c r="D230" s="865">
        <f>IF(N($C230)=0,0,MIN(N($B230)*N($C230),IFERROR(N(INDEX(AMP_TBL,MATCH($A230,AMP_SIZE,0),MATCH($B$6&amp;"-"&amp;TEXT($B$12,"0"),AMP_HDR,0))),0)))</f>
        <v/>
      </c>
      <c r="E230" s="884">
        <f>IFERROR(N(INDEX(Z_TBL,MATCH($A230,Z_SIZE,0),IF($B$6="Cu",1,2))),0)</f>
        <v/>
      </c>
      <c r="F230" s="885">
        <f>IFERROR(N(INDEX(IF($B$6="Cu",WIRE_CU,WIRE_AL),MATCH($A230,WIRE_SIZE,0))),0)</f>
        <v/>
      </c>
      <c r="G230" s="804" t="n"/>
      <c r="H230" s="804" t="n"/>
      <c r="I230" s="804" t="n"/>
      <c r="J230" s="804" t="n"/>
      <c r="K230" s="804" t="n"/>
      <c r="L230" s="804" t="n"/>
      <c r="M230" s="804" t="n"/>
      <c r="N230" s="804" t="n"/>
      <c r="O230" s="804" t="n"/>
      <c r="P230" s="804" t="n"/>
      <c r="Q230" s="804" t="n"/>
      <c r="R230" s="804" t="n"/>
      <c r="S230" s="804" t="n"/>
      <c r="T230" s="804" t="n"/>
      <c r="U230" s="804" t="n"/>
      <c r="V230" s="804" t="n"/>
      <c r="W230" s="804" t="n"/>
      <c r="X230" s="804" t="n"/>
    </row>
    <row r="231" hidden="1" outlineLevel="1" ht="16" customHeight="1" s="254">
      <c r="A231" s="876" t="inlineStr">
        <is>
          <t>300 KCMIL</t>
        </is>
      </c>
      <c r="B231" s="865">
        <f>IFERROR(N(INDEX(AMP_TBL,MATCH($A231,AMP_SIZE,0),MATCH($B$6&amp;"-"&amp;TEXT($B$11,"0"),AMP_HDR,0))),0)</f>
        <v/>
      </c>
      <c r="C231" s="883">
        <f>IF($B$10="",0,IFERROR(N(INDEX(AMB_TBL,IF(ISNUMBER(MATCH($B$10,AMB_MAX,0)),MATCH($B$10,AMB_MAX,0),MATCH($B$10,AMB_MAX,1)+1),MATCH(TEXT($B$11,"0"),AMB_HDR,0))),0))</f>
        <v/>
      </c>
      <c r="D231" s="865">
        <f>IF(N($C231)=0,0,MIN(N($B231)*N($C231),IFERROR(N(INDEX(AMP_TBL,MATCH($A231,AMP_SIZE,0),MATCH($B$6&amp;"-"&amp;TEXT($B$12,"0"),AMP_HDR,0))),0)))</f>
        <v/>
      </c>
      <c r="E231" s="884">
        <f>IFERROR(N(INDEX(Z_TBL,MATCH($A231,Z_SIZE,0),IF($B$6="Cu",1,2))),0)</f>
        <v/>
      </c>
      <c r="F231" s="885">
        <f>IFERROR(N(INDEX(IF($B$6="Cu",WIRE_CU,WIRE_AL),MATCH($A231,WIRE_SIZE,0))),0)</f>
        <v/>
      </c>
      <c r="G231" s="804" t="n"/>
      <c r="H231" s="804" t="n"/>
      <c r="I231" s="804" t="n"/>
      <c r="J231" s="804" t="n"/>
      <c r="K231" s="804" t="n"/>
      <c r="L231" s="804" t="n"/>
      <c r="M231" s="804" t="n"/>
      <c r="N231" s="804" t="n"/>
      <c r="O231" s="804" t="n"/>
      <c r="P231" s="804" t="n"/>
      <c r="Q231" s="804" t="n"/>
      <c r="R231" s="804" t="n"/>
      <c r="S231" s="804" t="n"/>
      <c r="T231" s="804" t="n"/>
      <c r="U231" s="804" t="n"/>
      <c r="V231" s="804" t="n"/>
      <c r="W231" s="804" t="n"/>
      <c r="X231" s="804" t="n"/>
    </row>
    <row r="232" hidden="1" outlineLevel="1" ht="16" customHeight="1" s="254">
      <c r="A232" s="876" t="inlineStr">
        <is>
          <t>350 KCMIL</t>
        </is>
      </c>
      <c r="B232" s="865">
        <f>IFERROR(N(INDEX(AMP_TBL,MATCH($A232,AMP_SIZE,0),MATCH($B$6&amp;"-"&amp;TEXT($B$11,"0"),AMP_HDR,0))),0)</f>
        <v/>
      </c>
      <c r="C232" s="883">
        <f>IF($B$10="",0,IFERROR(N(INDEX(AMB_TBL,IF(ISNUMBER(MATCH($B$10,AMB_MAX,0)),MATCH($B$10,AMB_MAX,0),MATCH($B$10,AMB_MAX,1)+1),MATCH(TEXT($B$11,"0"),AMB_HDR,0))),0))</f>
        <v/>
      </c>
      <c r="D232" s="865">
        <f>IF(N($C232)=0,0,MIN(N($B232)*N($C232),IFERROR(N(INDEX(AMP_TBL,MATCH($A232,AMP_SIZE,0),MATCH($B$6&amp;"-"&amp;TEXT($B$12,"0"),AMP_HDR,0))),0)))</f>
        <v/>
      </c>
      <c r="E232" s="884">
        <f>IFERROR(N(INDEX(Z_TBL,MATCH($A232,Z_SIZE,0),IF($B$6="Cu",1,2))),0)</f>
        <v/>
      </c>
      <c r="F232" s="885">
        <f>IFERROR(N(INDEX(IF($B$6="Cu",WIRE_CU,WIRE_AL),MATCH($A232,WIRE_SIZE,0))),0)</f>
        <v/>
      </c>
      <c r="G232" s="804" t="n"/>
      <c r="H232" s="804" t="n"/>
      <c r="I232" s="804" t="n"/>
      <c r="J232" s="804" t="n"/>
      <c r="K232" s="804" t="n"/>
      <c r="L232" s="804" t="n"/>
      <c r="M232" s="804" t="n"/>
      <c r="N232" s="804" t="n"/>
      <c r="O232" s="804" t="n"/>
      <c r="P232" s="804" t="n"/>
      <c r="Q232" s="804" t="n"/>
      <c r="R232" s="804" t="n"/>
      <c r="S232" s="804" t="n"/>
      <c r="T232" s="804" t="n"/>
      <c r="U232" s="804" t="n"/>
      <c r="V232" s="804" t="n"/>
      <c r="W232" s="804" t="n"/>
      <c r="X232" s="804" t="n"/>
    </row>
    <row r="233" hidden="1" outlineLevel="1" ht="16" customHeight="1" s="254">
      <c r="A233" s="876" t="inlineStr">
        <is>
          <t>400 KCMIL</t>
        </is>
      </c>
      <c r="B233" s="865">
        <f>IFERROR(N(INDEX(AMP_TBL,MATCH($A233,AMP_SIZE,0),MATCH($B$6&amp;"-"&amp;TEXT($B$11,"0"),AMP_HDR,0))),0)</f>
        <v/>
      </c>
      <c r="C233" s="883">
        <f>IF($B$10="",0,IFERROR(N(INDEX(AMB_TBL,IF(ISNUMBER(MATCH($B$10,AMB_MAX,0)),MATCH($B$10,AMB_MAX,0),MATCH($B$10,AMB_MAX,1)+1),MATCH(TEXT($B$11,"0"),AMB_HDR,0))),0))</f>
        <v/>
      </c>
      <c r="D233" s="865">
        <f>IF(N($C233)=0,0,MIN(N($B233)*N($C233),IFERROR(N(INDEX(AMP_TBL,MATCH($A233,AMP_SIZE,0),MATCH($B$6&amp;"-"&amp;TEXT($B$12,"0"),AMP_HDR,0))),0)))</f>
        <v/>
      </c>
      <c r="E233" s="884">
        <f>IFERROR(N(INDEX(Z_TBL,MATCH($A233,Z_SIZE,0),IF($B$6="Cu",1,2))),0)</f>
        <v/>
      </c>
      <c r="F233" s="885">
        <f>IFERROR(N(INDEX(IF($B$6="Cu",WIRE_CU,WIRE_AL),MATCH($A233,WIRE_SIZE,0))),0)</f>
        <v/>
      </c>
      <c r="G233" s="804" t="n"/>
      <c r="H233" s="804" t="n"/>
      <c r="I233" s="804" t="n"/>
      <c r="J233" s="804" t="n"/>
      <c r="K233" s="804" t="n"/>
      <c r="L233" s="804" t="n"/>
      <c r="M233" s="804" t="n"/>
      <c r="N233" s="804" t="n"/>
      <c r="O233" s="804" t="n"/>
      <c r="P233" s="804" t="n"/>
      <c r="Q233" s="804" t="n"/>
      <c r="R233" s="804" t="n"/>
      <c r="S233" s="804" t="n"/>
      <c r="T233" s="804" t="n"/>
      <c r="U233" s="804" t="n"/>
      <c r="V233" s="804" t="n"/>
      <c r="W233" s="804" t="n"/>
      <c r="X233" s="804" t="n"/>
    </row>
    <row r="234" hidden="1" outlineLevel="1" ht="16" customHeight="1" s="254">
      <c r="A234" s="876" t="inlineStr">
        <is>
          <t>500 KCMIL</t>
        </is>
      </c>
      <c r="B234" s="865">
        <f>IFERROR(N(INDEX(AMP_TBL,MATCH($A234,AMP_SIZE,0),MATCH($B$6&amp;"-"&amp;TEXT($B$11,"0"),AMP_HDR,0))),0)</f>
        <v/>
      </c>
      <c r="C234" s="883">
        <f>IF($B$10="",0,IFERROR(N(INDEX(AMB_TBL,IF(ISNUMBER(MATCH($B$10,AMB_MAX,0)),MATCH($B$10,AMB_MAX,0),MATCH($B$10,AMB_MAX,1)+1),MATCH(TEXT($B$11,"0"),AMB_HDR,0))),0))</f>
        <v/>
      </c>
      <c r="D234" s="865">
        <f>IF(N($C234)=0,0,MIN(N($B234)*N($C234),IFERROR(N(INDEX(AMP_TBL,MATCH($A234,AMP_SIZE,0),MATCH($B$6&amp;"-"&amp;TEXT($B$12,"0"),AMP_HDR,0))),0)))</f>
        <v/>
      </c>
      <c r="E234" s="884">
        <f>IFERROR(N(INDEX(Z_TBL,MATCH($A234,Z_SIZE,0),IF($B$6="Cu",1,2))),0)</f>
        <v/>
      </c>
      <c r="F234" s="885">
        <f>IFERROR(N(INDEX(IF($B$6="Cu",WIRE_CU,WIRE_AL),MATCH($A234,WIRE_SIZE,0))),0)</f>
        <v/>
      </c>
      <c r="G234" s="804" t="n"/>
      <c r="H234" s="804" t="n"/>
      <c r="I234" s="804" t="n"/>
      <c r="J234" s="804" t="n"/>
      <c r="K234" s="804" t="n"/>
      <c r="L234" s="804" t="n"/>
      <c r="M234" s="804" t="n"/>
      <c r="N234" s="804" t="n"/>
      <c r="O234" s="804" t="n"/>
      <c r="P234" s="804" t="n"/>
      <c r="Q234" s="804" t="n"/>
      <c r="R234" s="804" t="n"/>
      <c r="S234" s="804" t="n"/>
      <c r="T234" s="804" t="n"/>
      <c r="U234" s="804" t="n"/>
      <c r="V234" s="804" t="n"/>
      <c r="W234" s="804" t="n"/>
      <c r="X234" s="804" t="n"/>
    </row>
    <row r="235" hidden="1" outlineLevel="1" ht="16" customHeight="1" s="254">
      <c r="A235" s="876" t="inlineStr">
        <is>
          <t>600 KCMIL</t>
        </is>
      </c>
      <c r="B235" s="865">
        <f>IFERROR(N(INDEX(AMP_TBL,MATCH($A235,AMP_SIZE,0),MATCH($B$6&amp;"-"&amp;TEXT($B$11,"0"),AMP_HDR,0))),0)</f>
        <v/>
      </c>
      <c r="C235" s="883">
        <f>IF($B$10="",0,IFERROR(N(INDEX(AMB_TBL,IF(ISNUMBER(MATCH($B$10,AMB_MAX,0)),MATCH($B$10,AMB_MAX,0),MATCH($B$10,AMB_MAX,1)+1),MATCH(TEXT($B$11,"0"),AMB_HDR,0))),0))</f>
        <v/>
      </c>
      <c r="D235" s="865">
        <f>IF(N($C235)=0,0,MIN(N($B235)*N($C235),IFERROR(N(INDEX(AMP_TBL,MATCH($A235,AMP_SIZE,0),MATCH($B$6&amp;"-"&amp;TEXT($B$12,"0"),AMP_HDR,0))),0)))</f>
        <v/>
      </c>
      <c r="E235" s="884">
        <f>IFERROR(N(INDEX(Z_TBL,MATCH($A235,Z_SIZE,0),IF($B$6="Cu",1,2))),0)</f>
        <v/>
      </c>
      <c r="F235" s="885">
        <f>IFERROR(N(INDEX(IF($B$6="Cu",WIRE_CU,WIRE_AL),MATCH($A235,WIRE_SIZE,0))),0)</f>
        <v/>
      </c>
      <c r="G235" s="804" t="n"/>
      <c r="H235" s="804" t="n"/>
      <c r="I235" s="804" t="n"/>
      <c r="J235" s="804" t="n"/>
      <c r="K235" s="804" t="n"/>
      <c r="L235" s="804" t="n"/>
      <c r="M235" s="804" t="n"/>
      <c r="N235" s="804" t="n"/>
      <c r="O235" s="804" t="n"/>
      <c r="P235" s="804" t="n"/>
      <c r="Q235" s="804" t="n"/>
      <c r="R235" s="804" t="n"/>
      <c r="S235" s="804" t="n"/>
      <c r="T235" s="804" t="n"/>
      <c r="U235" s="804" t="n"/>
      <c r="V235" s="804" t="n"/>
      <c r="W235" s="804" t="n"/>
      <c r="X235" s="804" t="n"/>
    </row>
    <row r="236" hidden="1" outlineLevel="1" ht="16" customHeight="1" s="254">
      <c r="A236" s="876" t="inlineStr">
        <is>
          <t>750 KCMIL</t>
        </is>
      </c>
      <c r="B236" s="865">
        <f>IFERROR(N(INDEX(AMP_TBL,MATCH($A236,AMP_SIZE,0),MATCH($B$6&amp;"-"&amp;TEXT($B$11,"0"),AMP_HDR,0))),0)</f>
        <v/>
      </c>
      <c r="C236" s="883">
        <f>IF($B$10="",0,IFERROR(N(INDEX(AMB_TBL,IF(ISNUMBER(MATCH($B$10,AMB_MAX,0)),MATCH($B$10,AMB_MAX,0),MATCH($B$10,AMB_MAX,1)+1),MATCH(TEXT($B$11,"0"),AMB_HDR,0))),0))</f>
        <v/>
      </c>
      <c r="D236" s="865">
        <f>IF(N($C236)=0,0,MIN(N($B236)*N($C236),IFERROR(N(INDEX(AMP_TBL,MATCH($A236,AMP_SIZE,0),MATCH($B$6&amp;"-"&amp;TEXT($B$12,"0"),AMP_HDR,0))),0)))</f>
        <v/>
      </c>
      <c r="E236" s="884">
        <f>IFERROR(N(INDEX(Z_TBL,MATCH($A236,Z_SIZE,0),IF($B$6="Cu",1,2))),0)</f>
        <v/>
      </c>
      <c r="F236" s="885">
        <f>IFERROR(N(INDEX(IF($B$6="Cu",WIRE_CU,WIRE_AL),MATCH($A236,WIRE_SIZE,0))),0)</f>
        <v/>
      </c>
      <c r="G236" s="804" t="n"/>
      <c r="H236" s="804" t="n"/>
      <c r="I236" s="804" t="n"/>
      <c r="J236" s="804" t="n"/>
      <c r="K236" s="804" t="n"/>
      <c r="L236" s="804" t="n"/>
      <c r="M236" s="804" t="n"/>
      <c r="N236" s="804" t="n"/>
      <c r="O236" s="804" t="n"/>
      <c r="P236" s="804" t="n"/>
      <c r="Q236" s="804" t="n"/>
      <c r="R236" s="804" t="n"/>
      <c r="S236" s="804" t="n"/>
      <c r="T236" s="804" t="n"/>
      <c r="U236" s="804" t="n"/>
      <c r="V236" s="804" t="n"/>
      <c r="W236" s="804" t="n"/>
      <c r="X236" s="804" t="n"/>
    </row>
    <row r="237" hidden="1" outlineLevel="1" ht="16" customHeight="1" s="254">
      <c r="A237" s="876" t="inlineStr">
        <is>
          <t>1000 KCMIL</t>
        </is>
      </c>
      <c r="B237" s="865">
        <f>IFERROR(N(INDEX(AMP_TBL,MATCH($A237,AMP_SIZE,0),MATCH($B$6&amp;"-"&amp;TEXT($B$11,"0"),AMP_HDR,0))),0)</f>
        <v/>
      </c>
      <c r="C237" s="883">
        <f>IF($B$10="",0,IFERROR(N(INDEX(AMB_TBL,IF(ISNUMBER(MATCH($B$10,AMB_MAX,0)),MATCH($B$10,AMB_MAX,0),MATCH($B$10,AMB_MAX,1)+1),MATCH(TEXT($B$11,"0"),AMB_HDR,0))),0))</f>
        <v/>
      </c>
      <c r="D237" s="865">
        <f>IF(N($C237)=0,0,MIN(N($B237)*N($C237),IFERROR(N(INDEX(AMP_TBL,MATCH($A237,AMP_SIZE,0),MATCH($B$6&amp;"-"&amp;TEXT($B$12,"0"),AMP_HDR,0))),0)))</f>
        <v/>
      </c>
      <c r="E237" s="884">
        <f>IFERROR(N(INDEX(Z_TBL,MATCH($A237,Z_SIZE,0),IF($B$6="Cu",1,2))),0)</f>
        <v/>
      </c>
      <c r="F237" s="885">
        <f>IFERROR(N(INDEX(IF($B$6="Cu",WIRE_CU,WIRE_AL),MATCH($A237,WIRE_SIZE,0))),0)</f>
        <v/>
      </c>
      <c r="G237" s="804" t="n"/>
      <c r="H237" s="804" t="n"/>
      <c r="I237" s="804" t="n"/>
      <c r="J237" s="804" t="n"/>
      <c r="K237" s="804" t="n"/>
      <c r="L237" s="804" t="n"/>
      <c r="M237" s="804" t="n"/>
      <c r="N237" s="804" t="n"/>
      <c r="O237" s="804" t="n"/>
      <c r="P237" s="804" t="n"/>
      <c r="Q237" s="804" t="n"/>
      <c r="R237" s="804" t="n"/>
      <c r="S237" s="804" t="n"/>
      <c r="T237" s="804" t="n"/>
      <c r="U237" s="804" t="n"/>
      <c r="V237" s="804" t="n"/>
      <c r="W237" s="804" t="n"/>
      <c r="X237" s="804" t="n"/>
    </row>
    <row r="238" ht="16" customHeight="1" s="254">
      <c r="A238" s="811" t="n"/>
      <c r="B238" s="804" t="n"/>
      <c r="C238" s="804" t="n"/>
      <c r="D238" s="804" t="n"/>
      <c r="E238" s="804" t="n"/>
      <c r="F238" s="804" t="n"/>
      <c r="G238" s="804" t="n"/>
      <c r="H238" s="804" t="n"/>
      <c r="I238" s="804" t="n"/>
      <c r="J238" s="804" t="n"/>
      <c r="K238" s="804" t="n"/>
      <c r="L238" s="804" t="n"/>
      <c r="M238" s="804" t="n"/>
      <c r="N238" s="804" t="n"/>
      <c r="O238" s="804" t="n"/>
      <c r="P238" s="804" t="n"/>
      <c r="Q238" s="804" t="n"/>
      <c r="R238" s="804" t="n"/>
      <c r="S238" s="804" t="n"/>
      <c r="T238" s="804" t="n"/>
      <c r="U238" s="804" t="n"/>
      <c r="V238" s="804" t="n"/>
      <c r="W238" s="804" t="n"/>
      <c r="X238" s="804" t="n"/>
    </row>
    <row r="239" ht="19.75" customHeight="1" s="254">
      <c r="A239" s="798" t="inlineStr">
        <is>
          <t>I · DISTRIBUTION FEEDERS — between the items on the distribution schedule (auto-sized)</t>
        </is>
      </c>
      <c r="I239" s="804" t="n"/>
      <c r="J239" s="804" t="n"/>
      <c r="K239" s="804" t="n"/>
      <c r="L239" s="804" t="n"/>
      <c r="M239" s="804" t="n"/>
      <c r="N239" s="804" t="n"/>
      <c r="O239" s="804" t="n"/>
      <c r="P239" s="804" t="n"/>
      <c r="Q239" s="804" t="n"/>
      <c r="R239" s="804" t="n"/>
      <c r="S239" s="804" t="n"/>
      <c r="T239" s="804" t="n"/>
      <c r="U239" s="804" t="n"/>
      <c r="V239" s="804" t="n"/>
      <c r="W239" s="804" t="n"/>
      <c r="X239" s="804" t="n"/>
    </row>
    <row r="240" ht="43.5" customHeight="1" s="254">
      <c r="A240" s="814" t="inlineStr">
        <is>
          <t>The wire between the boxes. Block B prices the branch to every charger and block D the service feeder; this block prices what block E schedules but nothing else carries — the feeder from the existing board to the new EV panel, breaker to transformer primary, transformer secondary to the Level 2 panel, panel to panel. One row per feeder: pick FROM and TO from the schedule, type the distance, and the conductor is sized from the site table in block H at the floor the item fed sets (its rating on the schedule — or type a floor in column G, e.g. the breaker size on a transformer primary). When no single conductor carries it, type the parallel sets in column I. A breaker mounted inside the board that feeds it needs no row here. Every feeder is customer-side scope that Zero Impact Energy provides.</t>
        </is>
      </c>
      <c r="U240" s="804" t="n"/>
      <c r="V240" s="804" t="n"/>
      <c r="W240" s="804" t="n"/>
      <c r="X240" s="804" t="n"/>
    </row>
    <row r="241" ht="43.5" customHeight="1" s="254">
      <c r="A241" s="806" t="inlineStr">
        <is>
          <t>Feeder (auto)</t>
        </is>
      </c>
      <c r="B241" s="806" t="inlineStr">
        <is>
          <t>From — item or board it runs from</t>
        </is>
      </c>
      <c r="C241" s="806" t="inlineStr">
        <is>
          <t>To — item on the schedule it feeds</t>
        </is>
      </c>
      <c r="D241" s="806" t="inlineStr">
        <is>
          <t>Volts (auto)</t>
        </is>
      </c>
      <c r="E241" s="806" t="inlineStr">
        <is>
          <t>Phases (auto)</t>
        </is>
      </c>
      <c r="F241" s="806" t="inlineStr">
        <is>
          <t>Rating A of the item fed (auto)</t>
        </is>
      </c>
      <c r="G241" s="806" t="inlineStr">
        <is>
          <t>Floor A override</t>
        </is>
      </c>
      <c r="H241" s="806" t="inlineStr">
        <is>
          <t>Distance (ft)</t>
        </is>
      </c>
      <c r="I241" s="806" t="inlineStr">
        <is>
          <t>Sets (blank = 1)</t>
        </is>
      </c>
      <c r="J241" s="806" t="inlineStr">
        <is>
          <t>Conductor (auto)</t>
        </is>
      </c>
      <c r="K241" s="806" t="inlineStr">
        <is>
          <t>Conductor override</t>
        </is>
      </c>
      <c r="L241" s="806" t="inlineStr">
        <is>
          <t>Ampacity A (auto)</t>
        </is>
      </c>
      <c r="M241" s="806" t="inlineStr">
        <is>
          <t>Volt drop (auto)</t>
        </is>
      </c>
      <c r="N241" s="806" t="inlineStr">
        <is>
          <t>Ground (auto)</t>
        </is>
      </c>
      <c r="O241" s="806" t="inlineStr">
        <is>
          <t>Conduit (auto)</t>
        </is>
      </c>
      <c r="P241" s="806" t="inlineStr">
        <is>
          <t>Conduit override</t>
        </is>
      </c>
      <c r="Q241" s="806" t="inlineStr">
        <is>
          <t>Material $ (auto)</t>
        </is>
      </c>
      <c r="R241" s="806" t="inlineStr">
        <is>
          <t>Verdict (auto)</t>
        </is>
      </c>
      <c r="S241" s="806" t="inlineStr">
        <is>
          <t>Floor in force (auto)</t>
        </is>
      </c>
      <c r="T241" s="806" t="inlineStr">
        <is>
          <t>Sets in force (auto)</t>
        </is>
      </c>
      <c r="U241" s="806" t="inlineStr">
        <is>
          <t>Wires per set (auto)</t>
        </is>
      </c>
      <c r="V241" s="806" t="inlineStr">
        <is>
          <t>OCPD A (auto)</t>
        </is>
      </c>
      <c r="W241" s="804" t="n"/>
      <c r="X241" s="804" t="n"/>
    </row>
    <row r="242" ht="40" customHeight="1" s="254">
      <c r="A242" s="862">
        <f>IF($C242="","","Feeder 1")</f>
        <v/>
      </c>
      <c r="B242" s="807" t="n"/>
      <c r="C242" s="807" t="n"/>
      <c r="D242" s="865">
        <f>IF($C242="","",IFERROR(IF(INDEX($B$165:$B$176,MATCH($C242,$A$165:$A$176,0))="Transformer",IFERROR(INDEX($D$165:$D$176,MATCH($B242,$A$165:$A$176,0)),Project!$B$29),INDEX($D$165:$D$176,MATCH($C242,$A$165:$A$176,0))),""))</f>
        <v/>
      </c>
      <c r="E242" s="863">
        <f>IF($C242="","",IFERROR(INDEX($E$165:$E$176,MATCH($C242,$A$165:$A$176,0)),""))</f>
        <v/>
      </c>
      <c r="F242" s="865">
        <f>IF($C242="","",IFERROR(N(INDEX($F$165:$F$176,MATCH($C242,$A$165:$A$176,0))),0))</f>
        <v/>
      </c>
      <c r="G242" s="831" t="n"/>
      <c r="H242" s="831" t="n"/>
      <c r="I242" s="831" t="n"/>
      <c r="J242" s="863">
        <f>IF(OR(N($S242)=0,$B$10=""),"",IF(MAX(COUNTIF(SZ_AMP,"&lt;"&amp;(N($S242)/N($T242)))+1,IF(N($H242)=0,1,COUNTIF(SZ_Z,"&gt;"&amp;($B$13*N($D242)*1000/(IF(N($E242)=1,2,SQRT(3))*(N($S242)/1.25)/N($T242)*N($H242))))+1))&gt;ROWS(SZ_SIZE),"PARALLEL SETS",INDEX(SZ_SIZE,MAX(COUNTIF(SZ_AMP,"&lt;"&amp;(N($S242)/N($T242)))+1,IF(N($H242)=0,1,COUNTIF(SZ_Z,"&gt;"&amp;($B$13*N($D242)*1000/(IF(N($E242)=1,2,SQRT(3))*(N($S242)/1.25)/N($T242)*N($H242))))+1)))))</f>
        <v/>
      </c>
      <c r="K242" s="807" t="n"/>
      <c r="L242" s="865">
        <f>IF(OR(IF($K242&lt;&gt;"",$K242,$J242)="",IF($K242&lt;&gt;"",$K242,$J242)="PARALLEL SETS"),"",IFERROR(INDEX(SZ_AMP,MATCH(IF($K242&lt;&gt;"",$K242,$J242),SZ_SIZE,0))*N($T242),""))</f>
        <v/>
      </c>
      <c r="M242" s="866">
        <f>IF(OR(N($L242)=0,N($H242)=0),"",IFERROR(IF(N($E242)=1,2,SQRT(3))*(N($S242)/1.25)/N($T242)*N($H242)*INDEX(SZ_Z,MATCH(IF($K242&lt;&gt;"",$K242,$J242),SZ_SIZE,0))/1000/N($D242),""))</f>
        <v/>
      </c>
      <c r="N242" s="863">
        <f>IF(N($V242)=0,"",IFERROR(INDEX(IF($B$6="Cu",EGC_CU,EGC_AL),MATCH(N($V242),EGC_OCPD,1)+IF(ISNUMBER(MATCH(N($V242),EGC_OCPD,0)),0,1)),""))</f>
        <v/>
      </c>
      <c r="O242" s="863">
        <f>IF(N($L242)=0,"",IFERROR(INDEX(CND_3G,MATCH(IF($K242&lt;&gt;"",$K242,$J242),CND_SIZE,0)),""))</f>
        <v/>
      </c>
      <c r="P242" s="807" t="n"/>
      <c r="Q242" s="867">
        <f>IF(OR(N($H242)=0,N($L242)=0),0,IFERROR(N($H242)*N($T242)*N($U242)*INDEX(IF($B$6="Cu",WIRE_CU,WIRE_AL),MATCH(IF($K242&lt;&gt;"",$K242,$J242),WIRE_SIZE,0)),0)+IFERROR(N($H242)*N($T242)*INDEX(IF($B$6="Cu",WIRE_CU,WIRE_AL),MATCH($N242,WIRE_SIZE,0)),0)+IFERROR(N($H242)*N($T242)*INDEX(PVC_RATE,MATCH(IF($P242&lt;&gt;"",$P242,$O242),PVC_SIZE,0)),0))</f>
        <v/>
      </c>
      <c r="R242" s="863">
        <f>IF($C242="","",IF(N($S242)=0,"enter the item fed — its rating on the schedule sets the floor, or type a floor in column G",IF(N($H242)=0,"ENTER THE DISTANCE",IF($B$10="","SET THE DESIGN AMBIENT in block A",IF(IF($K242&lt;&gt;"",$K242,$J242)="PARALLEL SETS","PARALLEL SETS NEEDED — no single conductor carries "&amp;TEXT(N($S242),"#,##0")&amp;" A within the drop allowance; enter sets in column I",IF(N($L242)=0,"no ampacity on file for the override size — NEC Table 310.16 does not list it",IF(N($L242)&lt;N($S242),"UNDERSIZED — "&amp;TEXT(N($L242),"#,##0")&amp;" A provided against a floor of "&amp;TEXT(N($S242),"#,##0")&amp;" A",IF(N($M242)&gt;$B$13,"ampacity OK but voltage drop "&amp;TEXT(N($M242),"0.0%")&amp;" exceeds the allowance — ADVISORY, upsize or add a set","OK — "&amp;IF(N($T242)&gt;1,TEXT(N($T242),"0")&amp;" sets of ","")&amp;IF($K242&lt;&gt;"",$K242,$J242)&amp;IF($K242&lt;&gt;""," (override)","")&amp;", "&amp;TEXT(N($L242),"#,##0")&amp;" A against a "&amp;TEXT(N($S242),"#,##0")&amp;" A floor; drop "&amp;TEXT(N($M242),"0.0%")&amp;" (ADVISORY)"))))))))</f>
        <v/>
      </c>
      <c r="S242" s="865">
        <f>IF($C242="","",IF(N($G242)&gt;0,N($G242),N($F242)))</f>
        <v/>
      </c>
      <c r="T242" s="865">
        <f>IF($C242="","",IF(N($I242)&gt;0,N($I242),1))</f>
        <v/>
      </c>
      <c r="U242" s="865">
        <f>IF($C242="","",IF(N($E242)=1,2,IF(N($D242)&lt;=240,4,3)))</f>
        <v/>
      </c>
      <c r="V242" s="865">
        <f>IF(N($S242)=0,"",IF(ISNUMBER(MATCH(N($S242),OCPD_LIST,0)),N($S242),IF(N($S242)&gt;MAX(OCPD_LIST),MAX(OCPD_LIST),INDEX(OCPD_LIST,MATCH(N($S242),OCPD_LIST,1)+1))))</f>
        <v/>
      </c>
      <c r="W242" s="804" t="n"/>
      <c r="X242" s="804" t="n"/>
    </row>
    <row r="243" ht="40" customHeight="1" s="254">
      <c r="A243" s="862">
        <f>IF($C243="","","Feeder 2")</f>
        <v/>
      </c>
      <c r="B243" s="807" t="n"/>
      <c r="C243" s="807" t="n"/>
      <c r="D243" s="865">
        <f>IF($C243="","",IFERROR(IF(INDEX($B$165:$B$176,MATCH($C243,$A$165:$A$176,0))="Transformer",IFERROR(INDEX($D$165:$D$176,MATCH($B243,$A$165:$A$176,0)),Project!$B$29),INDEX($D$165:$D$176,MATCH($C243,$A$165:$A$176,0))),""))</f>
        <v/>
      </c>
      <c r="E243" s="863">
        <f>IF($C243="","",IFERROR(INDEX($E$165:$E$176,MATCH($C243,$A$165:$A$176,0)),""))</f>
        <v/>
      </c>
      <c r="F243" s="865">
        <f>IF($C243="","",IFERROR(N(INDEX($F$165:$F$176,MATCH($C243,$A$165:$A$176,0))),0))</f>
        <v/>
      </c>
      <c r="G243" s="831" t="n"/>
      <c r="H243" s="831" t="n"/>
      <c r="I243" s="831" t="n"/>
      <c r="J243" s="863">
        <f>IF(OR(N($S243)=0,$B$10=""),"",IF(MAX(COUNTIF(SZ_AMP,"&lt;"&amp;(N($S243)/N($T243)))+1,IF(N($H243)=0,1,COUNTIF(SZ_Z,"&gt;"&amp;($B$13*N($D243)*1000/(IF(N($E243)=1,2,SQRT(3))*(N($S243)/1.25)/N($T243)*N($H243))))+1))&gt;ROWS(SZ_SIZE),"PARALLEL SETS",INDEX(SZ_SIZE,MAX(COUNTIF(SZ_AMP,"&lt;"&amp;(N($S243)/N($T243)))+1,IF(N($H243)=0,1,COUNTIF(SZ_Z,"&gt;"&amp;($B$13*N($D243)*1000/(IF(N($E243)=1,2,SQRT(3))*(N($S243)/1.25)/N($T243)*N($H243))))+1)))))</f>
        <v/>
      </c>
      <c r="K243" s="807" t="n"/>
      <c r="L243" s="865">
        <f>IF(OR(IF($K243&lt;&gt;"",$K243,$J243)="",IF($K243&lt;&gt;"",$K243,$J243)="PARALLEL SETS"),"",IFERROR(INDEX(SZ_AMP,MATCH(IF($K243&lt;&gt;"",$K243,$J243),SZ_SIZE,0))*N($T243),""))</f>
        <v/>
      </c>
      <c r="M243" s="866">
        <f>IF(OR(N($L243)=0,N($H243)=0),"",IFERROR(IF(N($E243)=1,2,SQRT(3))*(N($S243)/1.25)/N($T243)*N($H243)*INDEX(SZ_Z,MATCH(IF($K243&lt;&gt;"",$K243,$J243),SZ_SIZE,0))/1000/N($D243),""))</f>
        <v/>
      </c>
      <c r="N243" s="863">
        <f>IF(N($V243)=0,"",IFERROR(INDEX(IF($B$6="Cu",EGC_CU,EGC_AL),MATCH(N($V243),EGC_OCPD,1)+IF(ISNUMBER(MATCH(N($V243),EGC_OCPD,0)),0,1)),""))</f>
        <v/>
      </c>
      <c r="O243" s="863">
        <f>IF(N($L243)=0,"",IFERROR(INDEX(CND_3G,MATCH(IF($K243&lt;&gt;"",$K243,$J243),CND_SIZE,0)),""))</f>
        <v/>
      </c>
      <c r="P243" s="807" t="n"/>
      <c r="Q243" s="867">
        <f>IF(OR(N($H243)=0,N($L243)=0),0,IFERROR(N($H243)*N($T243)*N($U243)*INDEX(IF($B$6="Cu",WIRE_CU,WIRE_AL),MATCH(IF($K243&lt;&gt;"",$K243,$J243),WIRE_SIZE,0)),0)+IFERROR(N($H243)*N($T243)*INDEX(IF($B$6="Cu",WIRE_CU,WIRE_AL),MATCH($N243,WIRE_SIZE,0)),0)+IFERROR(N($H243)*N($T243)*INDEX(PVC_RATE,MATCH(IF($P243&lt;&gt;"",$P243,$O243),PVC_SIZE,0)),0))</f>
        <v/>
      </c>
      <c r="R243" s="863">
        <f>IF($C243="","",IF(N($S243)=0,"enter the item fed — its rating on the schedule sets the floor, or type a floor in column G",IF(N($H243)=0,"ENTER THE DISTANCE",IF($B$10="","SET THE DESIGN AMBIENT in block A",IF(IF($K243&lt;&gt;"",$K243,$J243)="PARALLEL SETS","PARALLEL SETS NEEDED — no single conductor carries "&amp;TEXT(N($S243),"#,##0")&amp;" A within the drop allowance; enter sets in column I",IF(N($L243)=0,"no ampacity on file for the override size — NEC Table 310.16 does not list it",IF(N($L243)&lt;N($S243),"UNDERSIZED — "&amp;TEXT(N($L243),"#,##0")&amp;" A provided against a floor of "&amp;TEXT(N($S243),"#,##0")&amp;" A",IF(N($M243)&gt;$B$13,"ampacity OK but voltage drop "&amp;TEXT(N($M243),"0.0%")&amp;" exceeds the allowance — ADVISORY, upsize or add a set","OK — "&amp;IF(N($T243)&gt;1,TEXT(N($T243),"0")&amp;" sets of ","")&amp;IF($K243&lt;&gt;"",$K243,$J243)&amp;IF($K243&lt;&gt;""," (override)","")&amp;", "&amp;TEXT(N($L243),"#,##0")&amp;" A against a "&amp;TEXT(N($S243),"#,##0")&amp;" A floor; drop "&amp;TEXT(N($M243),"0.0%")&amp;" (ADVISORY)"))))))))</f>
        <v/>
      </c>
      <c r="S243" s="865">
        <f>IF($C243="","",IF(N($G243)&gt;0,N($G243),N($F243)))</f>
        <v/>
      </c>
      <c r="T243" s="865">
        <f>IF($C243="","",IF(N($I243)&gt;0,N($I243),1))</f>
        <v/>
      </c>
      <c r="U243" s="865">
        <f>IF($C243="","",IF(N($E243)=1,2,IF(N($D243)&lt;=240,4,3)))</f>
        <v/>
      </c>
      <c r="V243" s="865">
        <f>IF(N($S243)=0,"",IF(ISNUMBER(MATCH(N($S243),OCPD_LIST,0)),N($S243),IF(N($S243)&gt;MAX(OCPD_LIST),MAX(OCPD_LIST),INDEX(OCPD_LIST,MATCH(N($S243),OCPD_LIST,1)+1))))</f>
        <v/>
      </c>
      <c r="W243" s="804" t="n"/>
      <c r="X243" s="804" t="n"/>
    </row>
    <row r="244" ht="40" customHeight="1" s="254">
      <c r="A244" s="862">
        <f>IF($C244="","","Feeder 3")</f>
        <v/>
      </c>
      <c r="B244" s="807" t="n"/>
      <c r="C244" s="807" t="n"/>
      <c r="D244" s="865">
        <f>IF($C244="","",IFERROR(IF(INDEX($B$165:$B$176,MATCH($C244,$A$165:$A$176,0))="Transformer",IFERROR(INDEX($D$165:$D$176,MATCH($B244,$A$165:$A$176,0)),Project!$B$29),INDEX($D$165:$D$176,MATCH($C244,$A$165:$A$176,0))),""))</f>
        <v/>
      </c>
      <c r="E244" s="863">
        <f>IF($C244="","",IFERROR(INDEX($E$165:$E$176,MATCH($C244,$A$165:$A$176,0)),""))</f>
        <v/>
      </c>
      <c r="F244" s="865">
        <f>IF($C244="","",IFERROR(N(INDEX($F$165:$F$176,MATCH($C244,$A$165:$A$176,0))),0))</f>
        <v/>
      </c>
      <c r="G244" s="831" t="n"/>
      <c r="H244" s="831" t="n"/>
      <c r="I244" s="831" t="n"/>
      <c r="J244" s="863">
        <f>IF(OR(N($S244)=0,$B$10=""),"",IF(MAX(COUNTIF(SZ_AMP,"&lt;"&amp;(N($S244)/N($T244)))+1,IF(N($H244)=0,1,COUNTIF(SZ_Z,"&gt;"&amp;($B$13*N($D244)*1000/(IF(N($E244)=1,2,SQRT(3))*(N($S244)/1.25)/N($T244)*N($H244))))+1))&gt;ROWS(SZ_SIZE),"PARALLEL SETS",INDEX(SZ_SIZE,MAX(COUNTIF(SZ_AMP,"&lt;"&amp;(N($S244)/N($T244)))+1,IF(N($H244)=0,1,COUNTIF(SZ_Z,"&gt;"&amp;($B$13*N($D244)*1000/(IF(N($E244)=1,2,SQRT(3))*(N($S244)/1.25)/N($T244)*N($H244))))+1)))))</f>
        <v/>
      </c>
      <c r="K244" s="807" t="n"/>
      <c r="L244" s="865">
        <f>IF(OR(IF($K244&lt;&gt;"",$K244,$J244)="",IF($K244&lt;&gt;"",$K244,$J244)="PARALLEL SETS"),"",IFERROR(INDEX(SZ_AMP,MATCH(IF($K244&lt;&gt;"",$K244,$J244),SZ_SIZE,0))*N($T244),""))</f>
        <v/>
      </c>
      <c r="M244" s="866">
        <f>IF(OR(N($L244)=0,N($H244)=0),"",IFERROR(IF(N($E244)=1,2,SQRT(3))*(N($S244)/1.25)/N($T244)*N($H244)*INDEX(SZ_Z,MATCH(IF($K244&lt;&gt;"",$K244,$J244),SZ_SIZE,0))/1000/N($D244),""))</f>
        <v/>
      </c>
      <c r="N244" s="863">
        <f>IF(N($V244)=0,"",IFERROR(INDEX(IF($B$6="Cu",EGC_CU,EGC_AL),MATCH(N($V244),EGC_OCPD,1)+IF(ISNUMBER(MATCH(N($V244),EGC_OCPD,0)),0,1)),""))</f>
        <v/>
      </c>
      <c r="O244" s="863">
        <f>IF(N($L244)=0,"",IFERROR(INDEX(CND_3G,MATCH(IF($K244&lt;&gt;"",$K244,$J244),CND_SIZE,0)),""))</f>
        <v/>
      </c>
      <c r="P244" s="807" t="n"/>
      <c r="Q244" s="867">
        <f>IF(OR(N($H244)=0,N($L244)=0),0,IFERROR(N($H244)*N($T244)*N($U244)*INDEX(IF($B$6="Cu",WIRE_CU,WIRE_AL),MATCH(IF($K244&lt;&gt;"",$K244,$J244),WIRE_SIZE,0)),0)+IFERROR(N($H244)*N($T244)*INDEX(IF($B$6="Cu",WIRE_CU,WIRE_AL),MATCH($N244,WIRE_SIZE,0)),0)+IFERROR(N($H244)*N($T244)*INDEX(PVC_RATE,MATCH(IF($P244&lt;&gt;"",$P244,$O244),PVC_SIZE,0)),0))</f>
        <v/>
      </c>
      <c r="R244" s="863">
        <f>IF($C244="","",IF(N($S244)=0,"enter the item fed — its rating on the schedule sets the floor, or type a floor in column G",IF(N($H244)=0,"ENTER THE DISTANCE",IF($B$10="","SET THE DESIGN AMBIENT in block A",IF(IF($K244&lt;&gt;"",$K244,$J244)="PARALLEL SETS","PARALLEL SETS NEEDED — no single conductor carries "&amp;TEXT(N($S244),"#,##0")&amp;" A within the drop allowance; enter sets in column I",IF(N($L244)=0,"no ampacity on file for the override size — NEC Table 310.16 does not list it",IF(N($L244)&lt;N($S244),"UNDERSIZED — "&amp;TEXT(N($L244),"#,##0")&amp;" A provided against a floor of "&amp;TEXT(N($S244),"#,##0")&amp;" A",IF(N($M244)&gt;$B$13,"ampacity OK but voltage drop "&amp;TEXT(N($M244),"0.0%")&amp;" exceeds the allowance — ADVISORY, upsize or add a set","OK — "&amp;IF(N($T244)&gt;1,TEXT(N($T244),"0")&amp;" sets of ","")&amp;IF($K244&lt;&gt;"",$K244,$J244)&amp;IF($K244&lt;&gt;""," (override)","")&amp;", "&amp;TEXT(N($L244),"#,##0")&amp;" A against a "&amp;TEXT(N($S244),"#,##0")&amp;" A floor; drop "&amp;TEXT(N($M244),"0.0%")&amp;" (ADVISORY)"))))))))</f>
        <v/>
      </c>
      <c r="S244" s="865">
        <f>IF($C244="","",IF(N($G244)&gt;0,N($G244),N($F244)))</f>
        <v/>
      </c>
      <c r="T244" s="865">
        <f>IF($C244="","",IF(N($I244)&gt;0,N($I244),1))</f>
        <v/>
      </c>
      <c r="U244" s="865">
        <f>IF($C244="","",IF(N($E244)=1,2,IF(N($D244)&lt;=240,4,3)))</f>
        <v/>
      </c>
      <c r="V244" s="865">
        <f>IF(N($S244)=0,"",IF(ISNUMBER(MATCH(N($S244),OCPD_LIST,0)),N($S244),IF(N($S244)&gt;MAX(OCPD_LIST),MAX(OCPD_LIST),INDEX(OCPD_LIST,MATCH(N($S244),OCPD_LIST,1)+1))))</f>
        <v/>
      </c>
      <c r="W244" s="804" t="n"/>
      <c r="X244" s="804" t="n"/>
    </row>
    <row r="245" ht="40" customHeight="1" s="254">
      <c r="A245" s="862">
        <f>IF($C245="","","Feeder 4")</f>
        <v/>
      </c>
      <c r="B245" s="807" t="n"/>
      <c r="C245" s="807" t="n"/>
      <c r="D245" s="865">
        <f>IF($C245="","",IFERROR(IF(INDEX($B$165:$B$176,MATCH($C245,$A$165:$A$176,0))="Transformer",IFERROR(INDEX($D$165:$D$176,MATCH($B245,$A$165:$A$176,0)),Project!$B$29),INDEX($D$165:$D$176,MATCH($C245,$A$165:$A$176,0))),""))</f>
        <v/>
      </c>
      <c r="E245" s="863">
        <f>IF($C245="","",IFERROR(INDEX($E$165:$E$176,MATCH($C245,$A$165:$A$176,0)),""))</f>
        <v/>
      </c>
      <c r="F245" s="865">
        <f>IF($C245="","",IFERROR(N(INDEX($F$165:$F$176,MATCH($C245,$A$165:$A$176,0))),0))</f>
        <v/>
      </c>
      <c r="G245" s="831" t="n"/>
      <c r="H245" s="831" t="n"/>
      <c r="I245" s="831" t="n"/>
      <c r="J245" s="863">
        <f>IF(OR(N($S245)=0,$B$10=""),"",IF(MAX(COUNTIF(SZ_AMP,"&lt;"&amp;(N($S245)/N($T245)))+1,IF(N($H245)=0,1,COUNTIF(SZ_Z,"&gt;"&amp;($B$13*N($D245)*1000/(IF(N($E245)=1,2,SQRT(3))*(N($S245)/1.25)/N($T245)*N($H245))))+1))&gt;ROWS(SZ_SIZE),"PARALLEL SETS",INDEX(SZ_SIZE,MAX(COUNTIF(SZ_AMP,"&lt;"&amp;(N($S245)/N($T245)))+1,IF(N($H245)=0,1,COUNTIF(SZ_Z,"&gt;"&amp;($B$13*N($D245)*1000/(IF(N($E245)=1,2,SQRT(3))*(N($S245)/1.25)/N($T245)*N($H245))))+1)))))</f>
        <v/>
      </c>
      <c r="K245" s="807" t="n"/>
      <c r="L245" s="865">
        <f>IF(OR(IF($K245&lt;&gt;"",$K245,$J245)="",IF($K245&lt;&gt;"",$K245,$J245)="PARALLEL SETS"),"",IFERROR(INDEX(SZ_AMP,MATCH(IF($K245&lt;&gt;"",$K245,$J245),SZ_SIZE,0))*N($T245),""))</f>
        <v/>
      </c>
      <c r="M245" s="866">
        <f>IF(OR(N($L245)=0,N($H245)=0),"",IFERROR(IF(N($E245)=1,2,SQRT(3))*(N($S245)/1.25)/N($T245)*N($H245)*INDEX(SZ_Z,MATCH(IF($K245&lt;&gt;"",$K245,$J245),SZ_SIZE,0))/1000/N($D245),""))</f>
        <v/>
      </c>
      <c r="N245" s="863">
        <f>IF(N($V245)=0,"",IFERROR(INDEX(IF($B$6="Cu",EGC_CU,EGC_AL),MATCH(N($V245),EGC_OCPD,1)+IF(ISNUMBER(MATCH(N($V245),EGC_OCPD,0)),0,1)),""))</f>
        <v/>
      </c>
      <c r="O245" s="863">
        <f>IF(N($L245)=0,"",IFERROR(INDEX(CND_3G,MATCH(IF($K245&lt;&gt;"",$K245,$J245),CND_SIZE,0)),""))</f>
        <v/>
      </c>
      <c r="P245" s="807" t="n"/>
      <c r="Q245" s="867">
        <f>IF(OR(N($H245)=0,N($L245)=0),0,IFERROR(N($H245)*N($T245)*N($U245)*INDEX(IF($B$6="Cu",WIRE_CU,WIRE_AL),MATCH(IF($K245&lt;&gt;"",$K245,$J245),WIRE_SIZE,0)),0)+IFERROR(N($H245)*N($T245)*INDEX(IF($B$6="Cu",WIRE_CU,WIRE_AL),MATCH($N245,WIRE_SIZE,0)),0)+IFERROR(N($H245)*N($T245)*INDEX(PVC_RATE,MATCH(IF($P245&lt;&gt;"",$P245,$O245),PVC_SIZE,0)),0))</f>
        <v/>
      </c>
      <c r="R245" s="863">
        <f>IF($C245="","",IF(N($S245)=0,"enter the item fed — its rating on the schedule sets the floor, or type a floor in column G",IF(N($H245)=0,"ENTER THE DISTANCE",IF($B$10="","SET THE DESIGN AMBIENT in block A",IF(IF($K245&lt;&gt;"",$K245,$J245)="PARALLEL SETS","PARALLEL SETS NEEDED — no single conductor carries "&amp;TEXT(N($S245),"#,##0")&amp;" A within the drop allowance; enter sets in column I",IF(N($L245)=0,"no ampacity on file for the override size — NEC Table 310.16 does not list it",IF(N($L245)&lt;N($S245),"UNDERSIZED — "&amp;TEXT(N($L245),"#,##0")&amp;" A provided against a floor of "&amp;TEXT(N($S245),"#,##0")&amp;" A",IF(N($M245)&gt;$B$13,"ampacity OK but voltage drop "&amp;TEXT(N($M245),"0.0%")&amp;" exceeds the allowance — ADVISORY, upsize or add a set","OK — "&amp;IF(N($T245)&gt;1,TEXT(N($T245),"0")&amp;" sets of ","")&amp;IF($K245&lt;&gt;"",$K245,$J245)&amp;IF($K245&lt;&gt;""," (override)","")&amp;", "&amp;TEXT(N($L245),"#,##0")&amp;" A against a "&amp;TEXT(N($S245),"#,##0")&amp;" A floor; drop "&amp;TEXT(N($M245),"0.0%")&amp;" (ADVISORY)"))))))))</f>
        <v/>
      </c>
      <c r="S245" s="865">
        <f>IF($C245="","",IF(N($G245)&gt;0,N($G245),N($F245)))</f>
        <v/>
      </c>
      <c r="T245" s="865">
        <f>IF($C245="","",IF(N($I245)&gt;0,N($I245),1))</f>
        <v/>
      </c>
      <c r="U245" s="865">
        <f>IF($C245="","",IF(N($E245)=1,2,IF(N($D245)&lt;=240,4,3)))</f>
        <v/>
      </c>
      <c r="V245" s="865">
        <f>IF(N($S245)=0,"",IF(ISNUMBER(MATCH(N($S245),OCPD_LIST,0)),N($S245),IF(N($S245)&gt;MAX(OCPD_LIST),MAX(OCPD_LIST),INDEX(OCPD_LIST,MATCH(N($S245),OCPD_LIST,1)+1))))</f>
        <v/>
      </c>
      <c r="W245" s="804" t="n"/>
      <c r="X245" s="804" t="n"/>
    </row>
    <row r="246" ht="40" customHeight="1" s="254">
      <c r="A246" s="862">
        <f>IF($C246="","","Feeder 5")</f>
        <v/>
      </c>
      <c r="B246" s="807" t="n"/>
      <c r="C246" s="807" t="n"/>
      <c r="D246" s="865">
        <f>IF($C246="","",IFERROR(IF(INDEX($B$165:$B$176,MATCH($C246,$A$165:$A$176,0))="Transformer",IFERROR(INDEX($D$165:$D$176,MATCH($B246,$A$165:$A$176,0)),Project!$B$29),INDEX($D$165:$D$176,MATCH($C246,$A$165:$A$176,0))),""))</f>
        <v/>
      </c>
      <c r="E246" s="863">
        <f>IF($C246="","",IFERROR(INDEX($E$165:$E$176,MATCH($C246,$A$165:$A$176,0)),""))</f>
        <v/>
      </c>
      <c r="F246" s="865">
        <f>IF($C246="","",IFERROR(N(INDEX($F$165:$F$176,MATCH($C246,$A$165:$A$176,0))),0))</f>
        <v/>
      </c>
      <c r="G246" s="831" t="n"/>
      <c r="H246" s="831" t="n"/>
      <c r="I246" s="831" t="n"/>
      <c r="J246" s="863">
        <f>IF(OR(N($S246)=0,$B$10=""),"",IF(MAX(COUNTIF(SZ_AMP,"&lt;"&amp;(N($S246)/N($T246)))+1,IF(N($H246)=0,1,COUNTIF(SZ_Z,"&gt;"&amp;($B$13*N($D246)*1000/(IF(N($E246)=1,2,SQRT(3))*(N($S246)/1.25)/N($T246)*N($H246))))+1))&gt;ROWS(SZ_SIZE),"PARALLEL SETS",INDEX(SZ_SIZE,MAX(COUNTIF(SZ_AMP,"&lt;"&amp;(N($S246)/N($T246)))+1,IF(N($H246)=0,1,COUNTIF(SZ_Z,"&gt;"&amp;($B$13*N($D246)*1000/(IF(N($E246)=1,2,SQRT(3))*(N($S246)/1.25)/N($T246)*N($H246))))+1)))))</f>
        <v/>
      </c>
      <c r="K246" s="807" t="n"/>
      <c r="L246" s="865">
        <f>IF(OR(IF($K246&lt;&gt;"",$K246,$J246)="",IF($K246&lt;&gt;"",$K246,$J246)="PARALLEL SETS"),"",IFERROR(INDEX(SZ_AMP,MATCH(IF($K246&lt;&gt;"",$K246,$J246),SZ_SIZE,0))*N($T246),""))</f>
        <v/>
      </c>
      <c r="M246" s="866">
        <f>IF(OR(N($L246)=0,N($H246)=0),"",IFERROR(IF(N($E246)=1,2,SQRT(3))*(N($S246)/1.25)/N($T246)*N($H246)*INDEX(SZ_Z,MATCH(IF($K246&lt;&gt;"",$K246,$J246),SZ_SIZE,0))/1000/N($D246),""))</f>
        <v/>
      </c>
      <c r="N246" s="863">
        <f>IF(N($V246)=0,"",IFERROR(INDEX(IF($B$6="Cu",EGC_CU,EGC_AL),MATCH(N($V246),EGC_OCPD,1)+IF(ISNUMBER(MATCH(N($V246),EGC_OCPD,0)),0,1)),""))</f>
        <v/>
      </c>
      <c r="O246" s="863">
        <f>IF(N($L246)=0,"",IFERROR(INDEX(CND_3G,MATCH(IF($K246&lt;&gt;"",$K246,$J246),CND_SIZE,0)),""))</f>
        <v/>
      </c>
      <c r="P246" s="807" t="n"/>
      <c r="Q246" s="867">
        <f>IF(OR(N($H246)=0,N($L246)=0),0,IFERROR(N($H246)*N($T246)*N($U246)*INDEX(IF($B$6="Cu",WIRE_CU,WIRE_AL),MATCH(IF($K246&lt;&gt;"",$K246,$J246),WIRE_SIZE,0)),0)+IFERROR(N($H246)*N($T246)*INDEX(IF($B$6="Cu",WIRE_CU,WIRE_AL),MATCH($N246,WIRE_SIZE,0)),0)+IFERROR(N($H246)*N($T246)*INDEX(PVC_RATE,MATCH(IF($P246&lt;&gt;"",$P246,$O246),PVC_SIZE,0)),0))</f>
        <v/>
      </c>
      <c r="R246" s="863">
        <f>IF($C246="","",IF(N($S246)=0,"enter the item fed — its rating on the schedule sets the floor, or type a floor in column G",IF(N($H246)=0,"ENTER THE DISTANCE",IF($B$10="","SET THE DESIGN AMBIENT in block A",IF(IF($K246&lt;&gt;"",$K246,$J246)="PARALLEL SETS","PARALLEL SETS NEEDED — no single conductor carries "&amp;TEXT(N($S246),"#,##0")&amp;" A within the drop allowance; enter sets in column I",IF(N($L246)=0,"no ampacity on file for the override size — NEC Table 310.16 does not list it",IF(N($L246)&lt;N($S246),"UNDERSIZED — "&amp;TEXT(N($L246),"#,##0")&amp;" A provided against a floor of "&amp;TEXT(N($S246),"#,##0")&amp;" A",IF(N($M246)&gt;$B$13,"ampacity OK but voltage drop "&amp;TEXT(N($M246),"0.0%")&amp;" exceeds the allowance — ADVISORY, upsize or add a set","OK — "&amp;IF(N($T246)&gt;1,TEXT(N($T246),"0")&amp;" sets of ","")&amp;IF($K246&lt;&gt;"",$K246,$J246)&amp;IF($K246&lt;&gt;""," (override)","")&amp;", "&amp;TEXT(N($L246),"#,##0")&amp;" A against a "&amp;TEXT(N($S246),"#,##0")&amp;" A floor; drop "&amp;TEXT(N($M246),"0.0%")&amp;" (ADVISORY)"))))))))</f>
        <v/>
      </c>
      <c r="S246" s="865">
        <f>IF($C246="","",IF(N($G246)&gt;0,N($G246),N($F246)))</f>
        <v/>
      </c>
      <c r="T246" s="865">
        <f>IF($C246="","",IF(N($I246)&gt;0,N($I246),1))</f>
        <v/>
      </c>
      <c r="U246" s="865">
        <f>IF($C246="","",IF(N($E246)=1,2,IF(N($D246)&lt;=240,4,3)))</f>
        <v/>
      </c>
      <c r="V246" s="865">
        <f>IF(N($S246)=0,"",IF(ISNUMBER(MATCH(N($S246),OCPD_LIST,0)),N($S246),IF(N($S246)&gt;MAX(OCPD_LIST),MAX(OCPD_LIST),INDEX(OCPD_LIST,MATCH(N($S246),OCPD_LIST,1)+1))))</f>
        <v/>
      </c>
      <c r="W246" s="804" t="n"/>
      <c r="X246" s="804" t="n"/>
    </row>
    <row r="247" ht="40" customHeight="1" s="254">
      <c r="A247" s="862">
        <f>IF($C247="","","Feeder 6")</f>
        <v/>
      </c>
      <c r="B247" s="807" t="n"/>
      <c r="C247" s="807" t="n"/>
      <c r="D247" s="865">
        <f>IF($C247="","",IFERROR(IF(INDEX($B$165:$B$176,MATCH($C247,$A$165:$A$176,0))="Transformer",IFERROR(INDEX($D$165:$D$176,MATCH($B247,$A$165:$A$176,0)),Project!$B$29),INDEX($D$165:$D$176,MATCH($C247,$A$165:$A$176,0))),""))</f>
        <v/>
      </c>
      <c r="E247" s="863">
        <f>IF($C247="","",IFERROR(INDEX($E$165:$E$176,MATCH($C247,$A$165:$A$176,0)),""))</f>
        <v/>
      </c>
      <c r="F247" s="865">
        <f>IF($C247="","",IFERROR(N(INDEX($F$165:$F$176,MATCH($C247,$A$165:$A$176,0))),0))</f>
        <v/>
      </c>
      <c r="G247" s="831" t="n"/>
      <c r="H247" s="831" t="n"/>
      <c r="I247" s="831" t="n"/>
      <c r="J247" s="863">
        <f>IF(OR(N($S247)=0,$B$10=""),"",IF(MAX(COUNTIF(SZ_AMP,"&lt;"&amp;(N($S247)/N($T247)))+1,IF(N($H247)=0,1,COUNTIF(SZ_Z,"&gt;"&amp;($B$13*N($D247)*1000/(IF(N($E247)=1,2,SQRT(3))*(N($S247)/1.25)/N($T247)*N($H247))))+1))&gt;ROWS(SZ_SIZE),"PARALLEL SETS",INDEX(SZ_SIZE,MAX(COUNTIF(SZ_AMP,"&lt;"&amp;(N($S247)/N($T247)))+1,IF(N($H247)=0,1,COUNTIF(SZ_Z,"&gt;"&amp;($B$13*N($D247)*1000/(IF(N($E247)=1,2,SQRT(3))*(N($S247)/1.25)/N($T247)*N($H247))))+1)))))</f>
        <v/>
      </c>
      <c r="K247" s="807" t="n"/>
      <c r="L247" s="865">
        <f>IF(OR(IF($K247&lt;&gt;"",$K247,$J247)="",IF($K247&lt;&gt;"",$K247,$J247)="PARALLEL SETS"),"",IFERROR(INDEX(SZ_AMP,MATCH(IF($K247&lt;&gt;"",$K247,$J247),SZ_SIZE,0))*N($T247),""))</f>
        <v/>
      </c>
      <c r="M247" s="866">
        <f>IF(OR(N($L247)=0,N($H247)=0),"",IFERROR(IF(N($E247)=1,2,SQRT(3))*(N($S247)/1.25)/N($T247)*N($H247)*INDEX(SZ_Z,MATCH(IF($K247&lt;&gt;"",$K247,$J247),SZ_SIZE,0))/1000/N($D247),""))</f>
        <v/>
      </c>
      <c r="N247" s="863">
        <f>IF(N($V247)=0,"",IFERROR(INDEX(IF($B$6="Cu",EGC_CU,EGC_AL),MATCH(N($V247),EGC_OCPD,1)+IF(ISNUMBER(MATCH(N($V247),EGC_OCPD,0)),0,1)),""))</f>
        <v/>
      </c>
      <c r="O247" s="863">
        <f>IF(N($L247)=0,"",IFERROR(INDEX(CND_3G,MATCH(IF($K247&lt;&gt;"",$K247,$J247),CND_SIZE,0)),""))</f>
        <v/>
      </c>
      <c r="P247" s="807" t="n"/>
      <c r="Q247" s="867">
        <f>IF(OR(N($H247)=0,N($L247)=0),0,IFERROR(N($H247)*N($T247)*N($U247)*INDEX(IF($B$6="Cu",WIRE_CU,WIRE_AL),MATCH(IF($K247&lt;&gt;"",$K247,$J247),WIRE_SIZE,0)),0)+IFERROR(N($H247)*N($T247)*INDEX(IF($B$6="Cu",WIRE_CU,WIRE_AL),MATCH($N247,WIRE_SIZE,0)),0)+IFERROR(N($H247)*N($T247)*INDEX(PVC_RATE,MATCH(IF($P247&lt;&gt;"",$P247,$O247),PVC_SIZE,0)),0))</f>
        <v/>
      </c>
      <c r="R247" s="863">
        <f>IF($C247="","",IF(N($S247)=0,"enter the item fed — its rating on the schedule sets the floor, or type a floor in column G",IF(N($H247)=0,"ENTER THE DISTANCE",IF($B$10="","SET THE DESIGN AMBIENT in block A",IF(IF($K247&lt;&gt;"",$K247,$J247)="PARALLEL SETS","PARALLEL SETS NEEDED — no single conductor carries "&amp;TEXT(N($S247),"#,##0")&amp;" A within the drop allowance; enter sets in column I",IF(N($L247)=0,"no ampacity on file for the override size — NEC Table 310.16 does not list it",IF(N($L247)&lt;N($S247),"UNDERSIZED — "&amp;TEXT(N($L247),"#,##0")&amp;" A provided against a floor of "&amp;TEXT(N($S247),"#,##0")&amp;" A",IF(N($M247)&gt;$B$13,"ampacity OK but voltage drop "&amp;TEXT(N($M247),"0.0%")&amp;" exceeds the allowance — ADVISORY, upsize or add a set","OK — "&amp;IF(N($T247)&gt;1,TEXT(N($T247),"0")&amp;" sets of ","")&amp;IF($K247&lt;&gt;"",$K247,$J247)&amp;IF($K247&lt;&gt;""," (override)","")&amp;", "&amp;TEXT(N($L247),"#,##0")&amp;" A against a "&amp;TEXT(N($S247),"#,##0")&amp;" A floor; drop "&amp;TEXT(N($M247),"0.0%")&amp;" (ADVISORY)"))))))))</f>
        <v/>
      </c>
      <c r="S247" s="865">
        <f>IF($C247="","",IF(N($G247)&gt;0,N($G247),N($F247)))</f>
        <v/>
      </c>
      <c r="T247" s="865">
        <f>IF($C247="","",IF(N($I247)&gt;0,N($I247),1))</f>
        <v/>
      </c>
      <c r="U247" s="865">
        <f>IF($C247="","",IF(N($E247)=1,2,IF(N($D247)&lt;=240,4,3)))</f>
        <v/>
      </c>
      <c r="V247" s="865">
        <f>IF(N($S247)=0,"",IF(ISNUMBER(MATCH(N($S247),OCPD_LIST,0)),N($S247),IF(N($S247)&gt;MAX(OCPD_LIST),MAX(OCPD_LIST),INDEX(OCPD_LIST,MATCH(N($S247),OCPD_LIST,1)+1))))</f>
        <v/>
      </c>
      <c r="W247" s="804" t="n"/>
      <c r="X247" s="804" t="n"/>
    </row>
    <row r="248" ht="40" customHeight="1" s="254">
      <c r="A248" s="862">
        <f>IF($C248="","","Feeder 7")</f>
        <v/>
      </c>
      <c r="B248" s="807" t="n"/>
      <c r="C248" s="807" t="n"/>
      <c r="D248" s="865">
        <f>IF($C248="","",IFERROR(IF(INDEX($B$165:$B$176,MATCH($C248,$A$165:$A$176,0))="Transformer",IFERROR(INDEX($D$165:$D$176,MATCH($B248,$A$165:$A$176,0)),Project!$B$29),INDEX($D$165:$D$176,MATCH($C248,$A$165:$A$176,0))),""))</f>
        <v/>
      </c>
      <c r="E248" s="863">
        <f>IF($C248="","",IFERROR(INDEX($E$165:$E$176,MATCH($C248,$A$165:$A$176,0)),""))</f>
        <v/>
      </c>
      <c r="F248" s="865">
        <f>IF($C248="","",IFERROR(N(INDEX($F$165:$F$176,MATCH($C248,$A$165:$A$176,0))),0))</f>
        <v/>
      </c>
      <c r="G248" s="831" t="n"/>
      <c r="H248" s="831" t="n"/>
      <c r="I248" s="831" t="n"/>
      <c r="J248" s="863">
        <f>IF(OR(N($S248)=0,$B$10=""),"",IF(MAX(COUNTIF(SZ_AMP,"&lt;"&amp;(N($S248)/N($T248)))+1,IF(N($H248)=0,1,COUNTIF(SZ_Z,"&gt;"&amp;($B$13*N($D248)*1000/(IF(N($E248)=1,2,SQRT(3))*(N($S248)/1.25)/N($T248)*N($H248))))+1))&gt;ROWS(SZ_SIZE),"PARALLEL SETS",INDEX(SZ_SIZE,MAX(COUNTIF(SZ_AMP,"&lt;"&amp;(N($S248)/N($T248)))+1,IF(N($H248)=0,1,COUNTIF(SZ_Z,"&gt;"&amp;($B$13*N($D248)*1000/(IF(N($E248)=1,2,SQRT(3))*(N($S248)/1.25)/N($T248)*N($H248))))+1)))))</f>
        <v/>
      </c>
      <c r="K248" s="807" t="n"/>
      <c r="L248" s="865">
        <f>IF(OR(IF($K248&lt;&gt;"",$K248,$J248)="",IF($K248&lt;&gt;"",$K248,$J248)="PARALLEL SETS"),"",IFERROR(INDEX(SZ_AMP,MATCH(IF($K248&lt;&gt;"",$K248,$J248),SZ_SIZE,0))*N($T248),""))</f>
        <v/>
      </c>
      <c r="M248" s="866">
        <f>IF(OR(N($L248)=0,N($H248)=0),"",IFERROR(IF(N($E248)=1,2,SQRT(3))*(N($S248)/1.25)/N($T248)*N($H248)*INDEX(SZ_Z,MATCH(IF($K248&lt;&gt;"",$K248,$J248),SZ_SIZE,0))/1000/N($D248),""))</f>
        <v/>
      </c>
      <c r="N248" s="863">
        <f>IF(N($V248)=0,"",IFERROR(INDEX(IF($B$6="Cu",EGC_CU,EGC_AL),MATCH(N($V248),EGC_OCPD,1)+IF(ISNUMBER(MATCH(N($V248),EGC_OCPD,0)),0,1)),""))</f>
        <v/>
      </c>
      <c r="O248" s="863">
        <f>IF(N($L248)=0,"",IFERROR(INDEX(CND_3G,MATCH(IF($K248&lt;&gt;"",$K248,$J248),CND_SIZE,0)),""))</f>
        <v/>
      </c>
      <c r="P248" s="807" t="n"/>
      <c r="Q248" s="867">
        <f>IF(OR(N($H248)=0,N($L248)=0),0,IFERROR(N($H248)*N($T248)*N($U248)*INDEX(IF($B$6="Cu",WIRE_CU,WIRE_AL),MATCH(IF($K248&lt;&gt;"",$K248,$J248),WIRE_SIZE,0)),0)+IFERROR(N($H248)*N($T248)*INDEX(IF($B$6="Cu",WIRE_CU,WIRE_AL),MATCH($N248,WIRE_SIZE,0)),0)+IFERROR(N($H248)*N($T248)*INDEX(PVC_RATE,MATCH(IF($P248&lt;&gt;"",$P248,$O248),PVC_SIZE,0)),0))</f>
        <v/>
      </c>
      <c r="R248" s="863">
        <f>IF($C248="","",IF(N($S248)=0,"enter the item fed — its rating on the schedule sets the floor, or type a floor in column G",IF(N($H248)=0,"ENTER THE DISTANCE",IF($B$10="","SET THE DESIGN AMBIENT in block A",IF(IF($K248&lt;&gt;"",$K248,$J248)="PARALLEL SETS","PARALLEL SETS NEEDED — no single conductor carries "&amp;TEXT(N($S248),"#,##0")&amp;" A within the drop allowance; enter sets in column I",IF(N($L248)=0,"no ampacity on file for the override size — NEC Table 310.16 does not list it",IF(N($L248)&lt;N($S248),"UNDERSIZED — "&amp;TEXT(N($L248),"#,##0")&amp;" A provided against a floor of "&amp;TEXT(N($S248),"#,##0")&amp;" A",IF(N($M248)&gt;$B$13,"ampacity OK but voltage drop "&amp;TEXT(N($M248),"0.0%")&amp;" exceeds the allowance — ADVISORY, upsize or add a set","OK — "&amp;IF(N($T248)&gt;1,TEXT(N($T248),"0")&amp;" sets of ","")&amp;IF($K248&lt;&gt;"",$K248,$J248)&amp;IF($K248&lt;&gt;""," (override)","")&amp;", "&amp;TEXT(N($L248),"#,##0")&amp;" A against a "&amp;TEXT(N($S248),"#,##0")&amp;" A floor; drop "&amp;TEXT(N($M248),"0.0%")&amp;" (ADVISORY)"))))))))</f>
        <v/>
      </c>
      <c r="S248" s="865">
        <f>IF($C248="","",IF(N($G248)&gt;0,N($G248),N($F248)))</f>
        <v/>
      </c>
      <c r="T248" s="865">
        <f>IF($C248="","",IF(N($I248)&gt;0,N($I248),1))</f>
        <v/>
      </c>
      <c r="U248" s="865">
        <f>IF($C248="","",IF(N($E248)=1,2,IF(N($D248)&lt;=240,4,3)))</f>
        <v/>
      </c>
      <c r="V248" s="865">
        <f>IF(N($S248)=0,"",IF(ISNUMBER(MATCH(N($S248),OCPD_LIST,0)),N($S248),IF(N($S248)&gt;MAX(OCPD_LIST),MAX(OCPD_LIST),INDEX(OCPD_LIST,MATCH(N($S248),OCPD_LIST,1)+1))))</f>
        <v/>
      </c>
      <c r="W248" s="804" t="n"/>
      <c r="X248" s="804" t="n"/>
    </row>
    <row r="249" ht="40" customHeight="1" s="254">
      <c r="A249" s="862">
        <f>IF($C249="","","Feeder 8")</f>
        <v/>
      </c>
      <c r="B249" s="807" t="n"/>
      <c r="C249" s="807" t="n"/>
      <c r="D249" s="865">
        <f>IF($C249="","",IFERROR(IF(INDEX($B$165:$B$176,MATCH($C249,$A$165:$A$176,0))="Transformer",IFERROR(INDEX($D$165:$D$176,MATCH($B249,$A$165:$A$176,0)),Project!$B$29),INDEX($D$165:$D$176,MATCH($C249,$A$165:$A$176,0))),""))</f>
        <v/>
      </c>
      <c r="E249" s="863">
        <f>IF($C249="","",IFERROR(INDEX($E$165:$E$176,MATCH($C249,$A$165:$A$176,0)),""))</f>
        <v/>
      </c>
      <c r="F249" s="865">
        <f>IF($C249="","",IFERROR(N(INDEX($F$165:$F$176,MATCH($C249,$A$165:$A$176,0))),0))</f>
        <v/>
      </c>
      <c r="G249" s="831" t="n"/>
      <c r="H249" s="831" t="n"/>
      <c r="I249" s="831" t="n"/>
      <c r="J249" s="863">
        <f>IF(OR(N($S249)=0,$B$10=""),"",IF(MAX(COUNTIF(SZ_AMP,"&lt;"&amp;(N($S249)/N($T249)))+1,IF(N($H249)=0,1,COUNTIF(SZ_Z,"&gt;"&amp;($B$13*N($D249)*1000/(IF(N($E249)=1,2,SQRT(3))*(N($S249)/1.25)/N($T249)*N($H249))))+1))&gt;ROWS(SZ_SIZE),"PARALLEL SETS",INDEX(SZ_SIZE,MAX(COUNTIF(SZ_AMP,"&lt;"&amp;(N($S249)/N($T249)))+1,IF(N($H249)=0,1,COUNTIF(SZ_Z,"&gt;"&amp;($B$13*N($D249)*1000/(IF(N($E249)=1,2,SQRT(3))*(N($S249)/1.25)/N($T249)*N($H249))))+1)))))</f>
        <v/>
      </c>
      <c r="K249" s="807" t="n"/>
      <c r="L249" s="865">
        <f>IF(OR(IF($K249&lt;&gt;"",$K249,$J249)="",IF($K249&lt;&gt;"",$K249,$J249)="PARALLEL SETS"),"",IFERROR(INDEX(SZ_AMP,MATCH(IF($K249&lt;&gt;"",$K249,$J249),SZ_SIZE,0))*N($T249),""))</f>
        <v/>
      </c>
      <c r="M249" s="866">
        <f>IF(OR(N($L249)=0,N($H249)=0),"",IFERROR(IF(N($E249)=1,2,SQRT(3))*(N($S249)/1.25)/N($T249)*N($H249)*INDEX(SZ_Z,MATCH(IF($K249&lt;&gt;"",$K249,$J249),SZ_SIZE,0))/1000/N($D249),""))</f>
        <v/>
      </c>
      <c r="N249" s="863">
        <f>IF(N($V249)=0,"",IFERROR(INDEX(IF($B$6="Cu",EGC_CU,EGC_AL),MATCH(N($V249),EGC_OCPD,1)+IF(ISNUMBER(MATCH(N($V249),EGC_OCPD,0)),0,1)),""))</f>
        <v/>
      </c>
      <c r="O249" s="863">
        <f>IF(N($L249)=0,"",IFERROR(INDEX(CND_3G,MATCH(IF($K249&lt;&gt;"",$K249,$J249),CND_SIZE,0)),""))</f>
        <v/>
      </c>
      <c r="P249" s="807" t="n"/>
      <c r="Q249" s="867">
        <f>IF(OR(N($H249)=0,N($L249)=0),0,IFERROR(N($H249)*N($T249)*N($U249)*INDEX(IF($B$6="Cu",WIRE_CU,WIRE_AL),MATCH(IF($K249&lt;&gt;"",$K249,$J249),WIRE_SIZE,0)),0)+IFERROR(N($H249)*N($T249)*INDEX(IF($B$6="Cu",WIRE_CU,WIRE_AL),MATCH($N249,WIRE_SIZE,0)),0)+IFERROR(N($H249)*N($T249)*INDEX(PVC_RATE,MATCH(IF($P249&lt;&gt;"",$P249,$O249),PVC_SIZE,0)),0))</f>
        <v/>
      </c>
      <c r="R249" s="863">
        <f>IF($C249="","",IF(N($S249)=0,"enter the item fed — its rating on the schedule sets the floor, or type a floor in column G",IF(N($H249)=0,"ENTER THE DISTANCE",IF($B$10="","SET THE DESIGN AMBIENT in block A",IF(IF($K249&lt;&gt;"",$K249,$J249)="PARALLEL SETS","PARALLEL SETS NEEDED — no single conductor carries "&amp;TEXT(N($S249),"#,##0")&amp;" A within the drop allowance; enter sets in column I",IF(N($L249)=0,"no ampacity on file for the override size — NEC Table 310.16 does not list it",IF(N($L249)&lt;N($S249),"UNDERSIZED — "&amp;TEXT(N($L249),"#,##0")&amp;" A provided against a floor of "&amp;TEXT(N($S249),"#,##0")&amp;" A",IF(N($M249)&gt;$B$13,"ampacity OK but voltage drop "&amp;TEXT(N($M249),"0.0%")&amp;" exceeds the allowance — ADVISORY, upsize or add a set","OK — "&amp;IF(N($T249)&gt;1,TEXT(N($T249),"0")&amp;" sets of ","")&amp;IF($K249&lt;&gt;"",$K249,$J249)&amp;IF($K249&lt;&gt;""," (override)","")&amp;", "&amp;TEXT(N($L249),"#,##0")&amp;" A against a "&amp;TEXT(N($S249),"#,##0")&amp;" A floor; drop "&amp;TEXT(N($M249),"0.0%")&amp;" (ADVISORY)"))))))))</f>
        <v/>
      </c>
      <c r="S249" s="865">
        <f>IF($C249="","",IF(N($G249)&gt;0,N($G249),N($F249)))</f>
        <v/>
      </c>
      <c r="T249" s="865">
        <f>IF($C249="","",IF(N($I249)&gt;0,N($I249),1))</f>
        <v/>
      </c>
      <c r="U249" s="865">
        <f>IF($C249="","",IF(N($E249)=1,2,IF(N($D249)&lt;=240,4,3)))</f>
        <v/>
      </c>
      <c r="V249" s="865">
        <f>IF(N($S249)=0,"",IF(ISNUMBER(MATCH(N($S249),OCPD_LIST,0)),N($S249),IF(N($S249)&gt;MAX(OCPD_LIST),MAX(OCPD_LIST),INDEX(OCPD_LIST,MATCH(N($S249),OCPD_LIST,1)+1))))</f>
        <v/>
      </c>
      <c r="W249" s="804" t="n"/>
      <c r="X249" s="804" t="n"/>
    </row>
    <row r="250" ht="40" customHeight="1" s="254">
      <c r="A250" s="862">
        <f>IF($C250="","","Feeder 9")</f>
        <v/>
      </c>
      <c r="B250" s="807" t="n"/>
      <c r="C250" s="807" t="n"/>
      <c r="D250" s="865">
        <f>IF($C250="","",IFERROR(IF(INDEX($B$165:$B$176,MATCH($C250,$A$165:$A$176,0))="Transformer",IFERROR(INDEX($D$165:$D$176,MATCH($B250,$A$165:$A$176,0)),Project!$B$29),INDEX($D$165:$D$176,MATCH($C250,$A$165:$A$176,0))),""))</f>
        <v/>
      </c>
      <c r="E250" s="863">
        <f>IF($C250="","",IFERROR(INDEX($E$165:$E$176,MATCH($C250,$A$165:$A$176,0)),""))</f>
        <v/>
      </c>
      <c r="F250" s="865">
        <f>IF($C250="","",IFERROR(N(INDEX($F$165:$F$176,MATCH($C250,$A$165:$A$176,0))),0))</f>
        <v/>
      </c>
      <c r="G250" s="831" t="n"/>
      <c r="H250" s="831" t="n"/>
      <c r="I250" s="831" t="n"/>
      <c r="J250" s="863">
        <f>IF(OR(N($S250)=0,$B$10=""),"",IF(MAX(COUNTIF(SZ_AMP,"&lt;"&amp;(N($S250)/N($T250)))+1,IF(N($H250)=0,1,COUNTIF(SZ_Z,"&gt;"&amp;($B$13*N($D250)*1000/(IF(N($E250)=1,2,SQRT(3))*(N($S250)/1.25)/N($T250)*N($H250))))+1))&gt;ROWS(SZ_SIZE),"PARALLEL SETS",INDEX(SZ_SIZE,MAX(COUNTIF(SZ_AMP,"&lt;"&amp;(N($S250)/N($T250)))+1,IF(N($H250)=0,1,COUNTIF(SZ_Z,"&gt;"&amp;($B$13*N($D250)*1000/(IF(N($E250)=1,2,SQRT(3))*(N($S250)/1.25)/N($T250)*N($H250))))+1)))))</f>
        <v/>
      </c>
      <c r="K250" s="807" t="n"/>
      <c r="L250" s="865">
        <f>IF(OR(IF($K250&lt;&gt;"",$K250,$J250)="",IF($K250&lt;&gt;"",$K250,$J250)="PARALLEL SETS"),"",IFERROR(INDEX(SZ_AMP,MATCH(IF($K250&lt;&gt;"",$K250,$J250),SZ_SIZE,0))*N($T250),""))</f>
        <v/>
      </c>
      <c r="M250" s="866">
        <f>IF(OR(N($L250)=0,N($H250)=0),"",IFERROR(IF(N($E250)=1,2,SQRT(3))*(N($S250)/1.25)/N($T250)*N($H250)*INDEX(SZ_Z,MATCH(IF($K250&lt;&gt;"",$K250,$J250),SZ_SIZE,0))/1000/N($D250),""))</f>
        <v/>
      </c>
      <c r="N250" s="863">
        <f>IF(N($V250)=0,"",IFERROR(INDEX(IF($B$6="Cu",EGC_CU,EGC_AL),MATCH(N($V250),EGC_OCPD,1)+IF(ISNUMBER(MATCH(N($V250),EGC_OCPD,0)),0,1)),""))</f>
        <v/>
      </c>
      <c r="O250" s="863">
        <f>IF(N($L250)=0,"",IFERROR(INDEX(CND_3G,MATCH(IF($K250&lt;&gt;"",$K250,$J250),CND_SIZE,0)),""))</f>
        <v/>
      </c>
      <c r="P250" s="807" t="n"/>
      <c r="Q250" s="867">
        <f>IF(OR(N($H250)=0,N($L250)=0),0,IFERROR(N($H250)*N($T250)*N($U250)*INDEX(IF($B$6="Cu",WIRE_CU,WIRE_AL),MATCH(IF($K250&lt;&gt;"",$K250,$J250),WIRE_SIZE,0)),0)+IFERROR(N($H250)*N($T250)*INDEX(IF($B$6="Cu",WIRE_CU,WIRE_AL),MATCH($N250,WIRE_SIZE,0)),0)+IFERROR(N($H250)*N($T250)*INDEX(PVC_RATE,MATCH(IF($P250&lt;&gt;"",$P250,$O250),PVC_SIZE,0)),0))</f>
        <v/>
      </c>
      <c r="R250" s="863">
        <f>IF($C250="","",IF(N($S250)=0,"enter the item fed — its rating on the schedule sets the floor, or type a floor in column G",IF(N($H250)=0,"ENTER THE DISTANCE",IF($B$10="","SET THE DESIGN AMBIENT in block A",IF(IF($K250&lt;&gt;"",$K250,$J250)="PARALLEL SETS","PARALLEL SETS NEEDED — no single conductor carries "&amp;TEXT(N($S250),"#,##0")&amp;" A within the drop allowance; enter sets in column I",IF(N($L250)=0,"no ampacity on file for the override size — NEC Table 310.16 does not list it",IF(N($L250)&lt;N($S250),"UNDERSIZED — "&amp;TEXT(N($L250),"#,##0")&amp;" A provided against a floor of "&amp;TEXT(N($S250),"#,##0")&amp;" A",IF(N($M250)&gt;$B$13,"ampacity OK but voltage drop "&amp;TEXT(N($M250),"0.0%")&amp;" exceeds the allowance — ADVISORY, upsize or add a set","OK — "&amp;IF(N($T250)&gt;1,TEXT(N($T250),"0")&amp;" sets of ","")&amp;IF($K250&lt;&gt;"",$K250,$J250)&amp;IF($K250&lt;&gt;""," (override)","")&amp;", "&amp;TEXT(N($L250),"#,##0")&amp;" A against a "&amp;TEXT(N($S250),"#,##0")&amp;" A floor; drop "&amp;TEXT(N($M250),"0.0%")&amp;" (ADVISORY)"))))))))</f>
        <v/>
      </c>
      <c r="S250" s="865">
        <f>IF($C250="","",IF(N($G250)&gt;0,N($G250),N($F250)))</f>
        <v/>
      </c>
      <c r="T250" s="865">
        <f>IF($C250="","",IF(N($I250)&gt;0,N($I250),1))</f>
        <v/>
      </c>
      <c r="U250" s="865">
        <f>IF($C250="","",IF(N($E250)=1,2,IF(N($D250)&lt;=240,4,3)))</f>
        <v/>
      </c>
      <c r="V250" s="865">
        <f>IF(N($S250)=0,"",IF(ISNUMBER(MATCH(N($S250),OCPD_LIST,0)),N($S250),IF(N($S250)&gt;MAX(OCPD_LIST),MAX(OCPD_LIST),INDEX(OCPD_LIST,MATCH(N($S250),OCPD_LIST,1)+1))))</f>
        <v/>
      </c>
      <c r="W250" s="804" t="n"/>
      <c r="X250" s="804" t="n"/>
    </row>
    <row r="251" ht="40" customHeight="1" s="254">
      <c r="A251" s="862">
        <f>IF($C251="","","Feeder 10")</f>
        <v/>
      </c>
      <c r="B251" s="807" t="n"/>
      <c r="C251" s="807" t="n"/>
      <c r="D251" s="865">
        <f>IF($C251="","",IFERROR(IF(INDEX($B$165:$B$176,MATCH($C251,$A$165:$A$176,0))="Transformer",IFERROR(INDEX($D$165:$D$176,MATCH($B251,$A$165:$A$176,0)),Project!$B$29),INDEX($D$165:$D$176,MATCH($C251,$A$165:$A$176,0))),""))</f>
        <v/>
      </c>
      <c r="E251" s="863">
        <f>IF($C251="","",IFERROR(INDEX($E$165:$E$176,MATCH($C251,$A$165:$A$176,0)),""))</f>
        <v/>
      </c>
      <c r="F251" s="865">
        <f>IF($C251="","",IFERROR(N(INDEX($F$165:$F$176,MATCH($C251,$A$165:$A$176,0))),0))</f>
        <v/>
      </c>
      <c r="G251" s="831" t="n"/>
      <c r="H251" s="831" t="n"/>
      <c r="I251" s="831" t="n"/>
      <c r="J251" s="863">
        <f>IF(OR(N($S251)=0,$B$10=""),"",IF(MAX(COUNTIF(SZ_AMP,"&lt;"&amp;(N($S251)/N($T251)))+1,IF(N($H251)=0,1,COUNTIF(SZ_Z,"&gt;"&amp;($B$13*N($D251)*1000/(IF(N($E251)=1,2,SQRT(3))*(N($S251)/1.25)/N($T251)*N($H251))))+1))&gt;ROWS(SZ_SIZE),"PARALLEL SETS",INDEX(SZ_SIZE,MAX(COUNTIF(SZ_AMP,"&lt;"&amp;(N($S251)/N($T251)))+1,IF(N($H251)=0,1,COUNTIF(SZ_Z,"&gt;"&amp;($B$13*N($D251)*1000/(IF(N($E251)=1,2,SQRT(3))*(N($S251)/1.25)/N($T251)*N($H251))))+1)))))</f>
        <v/>
      </c>
      <c r="K251" s="807" t="n"/>
      <c r="L251" s="865">
        <f>IF(OR(IF($K251&lt;&gt;"",$K251,$J251)="",IF($K251&lt;&gt;"",$K251,$J251)="PARALLEL SETS"),"",IFERROR(INDEX(SZ_AMP,MATCH(IF($K251&lt;&gt;"",$K251,$J251),SZ_SIZE,0))*N($T251),""))</f>
        <v/>
      </c>
      <c r="M251" s="866">
        <f>IF(OR(N($L251)=0,N($H251)=0),"",IFERROR(IF(N($E251)=1,2,SQRT(3))*(N($S251)/1.25)/N($T251)*N($H251)*INDEX(SZ_Z,MATCH(IF($K251&lt;&gt;"",$K251,$J251),SZ_SIZE,0))/1000/N($D251),""))</f>
        <v/>
      </c>
      <c r="N251" s="863">
        <f>IF(N($V251)=0,"",IFERROR(INDEX(IF($B$6="Cu",EGC_CU,EGC_AL),MATCH(N($V251),EGC_OCPD,1)+IF(ISNUMBER(MATCH(N($V251),EGC_OCPD,0)),0,1)),""))</f>
        <v/>
      </c>
      <c r="O251" s="863">
        <f>IF(N($L251)=0,"",IFERROR(INDEX(CND_3G,MATCH(IF($K251&lt;&gt;"",$K251,$J251),CND_SIZE,0)),""))</f>
        <v/>
      </c>
      <c r="P251" s="807" t="n"/>
      <c r="Q251" s="867">
        <f>IF(OR(N($H251)=0,N($L251)=0),0,IFERROR(N($H251)*N($T251)*N($U251)*INDEX(IF($B$6="Cu",WIRE_CU,WIRE_AL),MATCH(IF($K251&lt;&gt;"",$K251,$J251),WIRE_SIZE,0)),0)+IFERROR(N($H251)*N($T251)*INDEX(IF($B$6="Cu",WIRE_CU,WIRE_AL),MATCH($N251,WIRE_SIZE,0)),0)+IFERROR(N($H251)*N($T251)*INDEX(PVC_RATE,MATCH(IF($P251&lt;&gt;"",$P251,$O251),PVC_SIZE,0)),0))</f>
        <v/>
      </c>
      <c r="R251" s="863">
        <f>IF($C251="","",IF(N($S251)=0,"enter the item fed — its rating on the schedule sets the floor, or type a floor in column G",IF(N($H251)=0,"ENTER THE DISTANCE",IF($B$10="","SET THE DESIGN AMBIENT in block A",IF(IF($K251&lt;&gt;"",$K251,$J251)="PARALLEL SETS","PARALLEL SETS NEEDED — no single conductor carries "&amp;TEXT(N($S251),"#,##0")&amp;" A within the drop allowance; enter sets in column I",IF(N($L251)=0,"no ampacity on file for the override size — NEC Table 310.16 does not list it",IF(N($L251)&lt;N($S251),"UNDERSIZED — "&amp;TEXT(N($L251),"#,##0")&amp;" A provided against a floor of "&amp;TEXT(N($S251),"#,##0")&amp;" A",IF(N($M251)&gt;$B$13,"ampacity OK but voltage drop "&amp;TEXT(N($M251),"0.0%")&amp;" exceeds the allowance — ADVISORY, upsize or add a set","OK — "&amp;IF(N($T251)&gt;1,TEXT(N($T251),"0")&amp;" sets of ","")&amp;IF($K251&lt;&gt;"",$K251,$J251)&amp;IF($K251&lt;&gt;""," (override)","")&amp;", "&amp;TEXT(N($L251),"#,##0")&amp;" A against a "&amp;TEXT(N($S251),"#,##0")&amp;" A floor; drop "&amp;TEXT(N($M251),"0.0%")&amp;" (ADVISORY)"))))))))</f>
        <v/>
      </c>
      <c r="S251" s="865">
        <f>IF($C251="","",IF(N($G251)&gt;0,N($G251),N($F251)))</f>
        <v/>
      </c>
      <c r="T251" s="865">
        <f>IF($C251="","",IF(N($I251)&gt;0,N($I251),1))</f>
        <v/>
      </c>
      <c r="U251" s="865">
        <f>IF($C251="","",IF(N($E251)=1,2,IF(N($D251)&lt;=240,4,3)))</f>
        <v/>
      </c>
      <c r="V251" s="865">
        <f>IF(N($S251)=0,"",IF(ISNUMBER(MATCH(N($S251),OCPD_LIST,0)),N($S251),IF(N($S251)&gt;MAX(OCPD_LIST),MAX(OCPD_LIST),INDEX(OCPD_LIST,MATCH(N($S251),OCPD_LIST,1)+1))))</f>
        <v/>
      </c>
      <c r="W251" s="804" t="n"/>
      <c r="X251" s="804" t="n"/>
    </row>
    <row r="252" ht="40" customHeight="1" s="254">
      <c r="A252" s="862">
        <f>IF($C252="","","Feeder 11")</f>
        <v/>
      </c>
      <c r="B252" s="807" t="n"/>
      <c r="C252" s="807" t="n"/>
      <c r="D252" s="865">
        <f>IF($C252="","",IFERROR(IF(INDEX($B$165:$B$176,MATCH($C252,$A$165:$A$176,0))="Transformer",IFERROR(INDEX($D$165:$D$176,MATCH($B252,$A$165:$A$176,0)),Project!$B$29),INDEX($D$165:$D$176,MATCH($C252,$A$165:$A$176,0))),""))</f>
        <v/>
      </c>
      <c r="E252" s="863">
        <f>IF($C252="","",IFERROR(INDEX($E$165:$E$176,MATCH($C252,$A$165:$A$176,0)),""))</f>
        <v/>
      </c>
      <c r="F252" s="865">
        <f>IF($C252="","",IFERROR(N(INDEX($F$165:$F$176,MATCH($C252,$A$165:$A$176,0))),0))</f>
        <v/>
      </c>
      <c r="G252" s="831" t="n"/>
      <c r="H252" s="831" t="n"/>
      <c r="I252" s="831" t="n"/>
      <c r="J252" s="863">
        <f>IF(OR(N($S252)=0,$B$10=""),"",IF(MAX(COUNTIF(SZ_AMP,"&lt;"&amp;(N($S252)/N($T252)))+1,IF(N($H252)=0,1,COUNTIF(SZ_Z,"&gt;"&amp;($B$13*N($D252)*1000/(IF(N($E252)=1,2,SQRT(3))*(N($S252)/1.25)/N($T252)*N($H252))))+1))&gt;ROWS(SZ_SIZE),"PARALLEL SETS",INDEX(SZ_SIZE,MAX(COUNTIF(SZ_AMP,"&lt;"&amp;(N($S252)/N($T252)))+1,IF(N($H252)=0,1,COUNTIF(SZ_Z,"&gt;"&amp;($B$13*N($D252)*1000/(IF(N($E252)=1,2,SQRT(3))*(N($S252)/1.25)/N($T252)*N($H252))))+1)))))</f>
        <v/>
      </c>
      <c r="K252" s="807" t="n"/>
      <c r="L252" s="865">
        <f>IF(OR(IF($K252&lt;&gt;"",$K252,$J252)="",IF($K252&lt;&gt;"",$K252,$J252)="PARALLEL SETS"),"",IFERROR(INDEX(SZ_AMP,MATCH(IF($K252&lt;&gt;"",$K252,$J252),SZ_SIZE,0))*N($T252),""))</f>
        <v/>
      </c>
      <c r="M252" s="866">
        <f>IF(OR(N($L252)=0,N($H252)=0),"",IFERROR(IF(N($E252)=1,2,SQRT(3))*(N($S252)/1.25)/N($T252)*N($H252)*INDEX(SZ_Z,MATCH(IF($K252&lt;&gt;"",$K252,$J252),SZ_SIZE,0))/1000/N($D252),""))</f>
        <v/>
      </c>
      <c r="N252" s="863">
        <f>IF(N($V252)=0,"",IFERROR(INDEX(IF($B$6="Cu",EGC_CU,EGC_AL),MATCH(N($V252),EGC_OCPD,1)+IF(ISNUMBER(MATCH(N($V252),EGC_OCPD,0)),0,1)),""))</f>
        <v/>
      </c>
      <c r="O252" s="863">
        <f>IF(N($L252)=0,"",IFERROR(INDEX(CND_3G,MATCH(IF($K252&lt;&gt;"",$K252,$J252),CND_SIZE,0)),""))</f>
        <v/>
      </c>
      <c r="P252" s="807" t="n"/>
      <c r="Q252" s="867">
        <f>IF(OR(N($H252)=0,N($L252)=0),0,IFERROR(N($H252)*N($T252)*N($U252)*INDEX(IF($B$6="Cu",WIRE_CU,WIRE_AL),MATCH(IF($K252&lt;&gt;"",$K252,$J252),WIRE_SIZE,0)),0)+IFERROR(N($H252)*N($T252)*INDEX(IF($B$6="Cu",WIRE_CU,WIRE_AL),MATCH($N252,WIRE_SIZE,0)),0)+IFERROR(N($H252)*N($T252)*INDEX(PVC_RATE,MATCH(IF($P252&lt;&gt;"",$P252,$O252),PVC_SIZE,0)),0))</f>
        <v/>
      </c>
      <c r="R252" s="863">
        <f>IF($C252="","",IF(N($S252)=0,"enter the item fed — its rating on the schedule sets the floor, or type a floor in column G",IF(N($H252)=0,"ENTER THE DISTANCE",IF($B$10="","SET THE DESIGN AMBIENT in block A",IF(IF($K252&lt;&gt;"",$K252,$J252)="PARALLEL SETS","PARALLEL SETS NEEDED — no single conductor carries "&amp;TEXT(N($S252),"#,##0")&amp;" A within the drop allowance; enter sets in column I",IF(N($L252)=0,"no ampacity on file for the override size — NEC Table 310.16 does not list it",IF(N($L252)&lt;N($S252),"UNDERSIZED — "&amp;TEXT(N($L252),"#,##0")&amp;" A provided against a floor of "&amp;TEXT(N($S252),"#,##0")&amp;" A",IF(N($M252)&gt;$B$13,"ampacity OK but voltage drop "&amp;TEXT(N($M252),"0.0%")&amp;" exceeds the allowance — ADVISORY, upsize or add a set","OK — "&amp;IF(N($T252)&gt;1,TEXT(N($T252),"0")&amp;" sets of ","")&amp;IF($K252&lt;&gt;"",$K252,$J252)&amp;IF($K252&lt;&gt;""," (override)","")&amp;", "&amp;TEXT(N($L252),"#,##0")&amp;" A against a "&amp;TEXT(N($S252),"#,##0")&amp;" A floor; drop "&amp;TEXT(N($M252),"0.0%")&amp;" (ADVISORY)"))))))))</f>
        <v/>
      </c>
      <c r="S252" s="865">
        <f>IF($C252="","",IF(N($G252)&gt;0,N($G252),N($F252)))</f>
        <v/>
      </c>
      <c r="T252" s="865">
        <f>IF($C252="","",IF(N($I252)&gt;0,N($I252),1))</f>
        <v/>
      </c>
      <c r="U252" s="865">
        <f>IF($C252="","",IF(N($E252)=1,2,IF(N($D252)&lt;=240,4,3)))</f>
        <v/>
      </c>
      <c r="V252" s="865">
        <f>IF(N($S252)=0,"",IF(ISNUMBER(MATCH(N($S252),OCPD_LIST,0)),N($S252),IF(N($S252)&gt;MAX(OCPD_LIST),MAX(OCPD_LIST),INDEX(OCPD_LIST,MATCH(N($S252),OCPD_LIST,1)+1))))</f>
        <v/>
      </c>
      <c r="W252" s="804" t="n"/>
      <c r="X252" s="804" t="n"/>
    </row>
    <row r="253" ht="40" customHeight="1" s="254">
      <c r="A253" s="862">
        <f>IF($C253="","","Feeder 12")</f>
        <v/>
      </c>
      <c r="B253" s="807" t="n"/>
      <c r="C253" s="807" t="n"/>
      <c r="D253" s="865">
        <f>IF($C253="","",IFERROR(IF(INDEX($B$165:$B$176,MATCH($C253,$A$165:$A$176,0))="Transformer",IFERROR(INDEX($D$165:$D$176,MATCH($B253,$A$165:$A$176,0)),Project!$B$29),INDEX($D$165:$D$176,MATCH($C253,$A$165:$A$176,0))),""))</f>
        <v/>
      </c>
      <c r="E253" s="863">
        <f>IF($C253="","",IFERROR(INDEX($E$165:$E$176,MATCH($C253,$A$165:$A$176,0)),""))</f>
        <v/>
      </c>
      <c r="F253" s="865">
        <f>IF($C253="","",IFERROR(N(INDEX($F$165:$F$176,MATCH($C253,$A$165:$A$176,0))),0))</f>
        <v/>
      </c>
      <c r="G253" s="831" t="n"/>
      <c r="H253" s="831" t="n"/>
      <c r="I253" s="831" t="n"/>
      <c r="J253" s="863">
        <f>IF(OR(N($S253)=0,$B$10=""),"",IF(MAX(COUNTIF(SZ_AMP,"&lt;"&amp;(N($S253)/N($T253)))+1,IF(N($H253)=0,1,COUNTIF(SZ_Z,"&gt;"&amp;($B$13*N($D253)*1000/(IF(N($E253)=1,2,SQRT(3))*(N($S253)/1.25)/N($T253)*N($H253))))+1))&gt;ROWS(SZ_SIZE),"PARALLEL SETS",INDEX(SZ_SIZE,MAX(COUNTIF(SZ_AMP,"&lt;"&amp;(N($S253)/N($T253)))+1,IF(N($H253)=0,1,COUNTIF(SZ_Z,"&gt;"&amp;($B$13*N($D253)*1000/(IF(N($E253)=1,2,SQRT(3))*(N($S253)/1.25)/N($T253)*N($H253))))+1)))))</f>
        <v/>
      </c>
      <c r="K253" s="807" t="n"/>
      <c r="L253" s="865">
        <f>IF(OR(IF($K253&lt;&gt;"",$K253,$J253)="",IF($K253&lt;&gt;"",$K253,$J253)="PARALLEL SETS"),"",IFERROR(INDEX(SZ_AMP,MATCH(IF($K253&lt;&gt;"",$K253,$J253),SZ_SIZE,0))*N($T253),""))</f>
        <v/>
      </c>
      <c r="M253" s="866">
        <f>IF(OR(N($L253)=0,N($H253)=0),"",IFERROR(IF(N($E253)=1,2,SQRT(3))*(N($S253)/1.25)/N($T253)*N($H253)*INDEX(SZ_Z,MATCH(IF($K253&lt;&gt;"",$K253,$J253),SZ_SIZE,0))/1000/N($D253),""))</f>
        <v/>
      </c>
      <c r="N253" s="863">
        <f>IF(N($V253)=0,"",IFERROR(INDEX(IF($B$6="Cu",EGC_CU,EGC_AL),MATCH(N($V253),EGC_OCPD,1)+IF(ISNUMBER(MATCH(N($V253),EGC_OCPD,0)),0,1)),""))</f>
        <v/>
      </c>
      <c r="O253" s="863">
        <f>IF(N($L253)=0,"",IFERROR(INDEX(CND_3G,MATCH(IF($K253&lt;&gt;"",$K253,$J253),CND_SIZE,0)),""))</f>
        <v/>
      </c>
      <c r="P253" s="807" t="n"/>
      <c r="Q253" s="867">
        <f>IF(OR(N($H253)=0,N($L253)=0),0,IFERROR(N($H253)*N($T253)*N($U253)*INDEX(IF($B$6="Cu",WIRE_CU,WIRE_AL),MATCH(IF($K253&lt;&gt;"",$K253,$J253),WIRE_SIZE,0)),0)+IFERROR(N($H253)*N($T253)*INDEX(IF($B$6="Cu",WIRE_CU,WIRE_AL),MATCH($N253,WIRE_SIZE,0)),0)+IFERROR(N($H253)*N($T253)*INDEX(PVC_RATE,MATCH(IF($P253&lt;&gt;"",$P253,$O253),PVC_SIZE,0)),0))</f>
        <v/>
      </c>
      <c r="R253" s="863">
        <f>IF($C253="","",IF(N($S253)=0,"enter the item fed — its rating on the schedule sets the floor, or type a floor in column G",IF(N($H253)=0,"ENTER THE DISTANCE",IF($B$10="","SET THE DESIGN AMBIENT in block A",IF(IF($K253&lt;&gt;"",$K253,$J253)="PARALLEL SETS","PARALLEL SETS NEEDED — no single conductor carries "&amp;TEXT(N($S253),"#,##0")&amp;" A within the drop allowance; enter sets in column I",IF(N($L253)=0,"no ampacity on file for the override size — NEC Table 310.16 does not list it",IF(N($L253)&lt;N($S253),"UNDERSIZED — "&amp;TEXT(N($L253),"#,##0")&amp;" A provided against a floor of "&amp;TEXT(N($S253),"#,##0")&amp;" A",IF(N($M253)&gt;$B$13,"ampacity OK but voltage drop "&amp;TEXT(N($M253),"0.0%")&amp;" exceeds the allowance — ADVISORY, upsize or add a set","OK — "&amp;IF(N($T253)&gt;1,TEXT(N($T253),"0")&amp;" sets of ","")&amp;IF($K253&lt;&gt;"",$K253,$J253)&amp;IF($K253&lt;&gt;""," (override)","")&amp;", "&amp;TEXT(N($L253),"#,##0")&amp;" A against a "&amp;TEXT(N($S253),"#,##0")&amp;" A floor; drop "&amp;TEXT(N($M253),"0.0%")&amp;" (ADVISORY)"))))))))</f>
        <v/>
      </c>
      <c r="S253" s="865">
        <f>IF($C253="","",IF(N($G253)&gt;0,N($G253),N($F253)))</f>
        <v/>
      </c>
      <c r="T253" s="865">
        <f>IF($C253="","",IF(N($I253)&gt;0,N($I253),1))</f>
        <v/>
      </c>
      <c r="U253" s="865">
        <f>IF($C253="","",IF(N($E253)=1,2,IF(N($D253)&lt;=240,4,3)))</f>
        <v/>
      </c>
      <c r="V253" s="865">
        <f>IF(N($S253)=0,"",IF(ISNUMBER(MATCH(N($S253),OCPD_LIST,0)),N($S253),IF(N($S253)&gt;MAX(OCPD_LIST),MAX(OCPD_LIST),INDEX(OCPD_LIST,MATCH(N($S253),OCPD_LIST,1)+1))))</f>
        <v/>
      </c>
      <c r="W253" s="804" t="n"/>
      <c r="X253" s="804" t="n"/>
    </row>
    <row r="254" ht="16" customHeight="1" s="254">
      <c r="A254" s="811" t="n"/>
      <c r="B254" s="804" t="n"/>
      <c r="C254" s="804" t="n"/>
      <c r="D254" s="804" t="n"/>
      <c r="E254" s="804" t="n"/>
      <c r="F254" s="804" t="n"/>
      <c r="G254" s="804" t="n"/>
      <c r="H254" s="804" t="n"/>
      <c r="I254" s="804" t="n"/>
      <c r="J254" s="804" t="n"/>
      <c r="K254" s="804" t="n"/>
      <c r="L254" s="804" t="n"/>
      <c r="M254" s="804" t="n"/>
      <c r="N254" s="804" t="n"/>
      <c r="O254" s="804" t="n"/>
      <c r="P254" s="804" t="n"/>
      <c r="Q254" s="804" t="n"/>
      <c r="R254" s="804" t="n"/>
      <c r="S254" s="804" t="n"/>
      <c r="T254" s="804" t="n"/>
      <c r="U254" s="804" t="n"/>
      <c r="V254" s="804" t="n"/>
      <c r="W254" s="804" t="n"/>
      <c r="X254" s="804" t="n"/>
    </row>
    <row r="255" ht="16" customHeight="1" s="254">
      <c r="A255" s="781" t="inlineStr">
        <is>
          <t>Feeders scheduled</t>
        </is>
      </c>
      <c r="B255" s="809">
        <f>COUNTA($C$242:$C$253)</f>
        <v/>
      </c>
      <c r="C255" s="814" t="inlineStr">
        <is>
          <t>Rows with an item fed.</t>
        </is>
      </c>
      <c r="M255" s="804" t="n"/>
      <c r="N255" s="804" t="n"/>
      <c r="O255" s="804" t="n"/>
      <c r="P255" s="804" t="n"/>
      <c r="Q255" s="804" t="n"/>
      <c r="R255" s="804" t="n"/>
      <c r="S255" s="804" t="n"/>
      <c r="T255" s="804" t="n"/>
      <c r="U255" s="804" t="n"/>
      <c r="V255" s="804" t="n"/>
      <c r="W255" s="804" t="n"/>
      <c r="X255" s="804" t="n"/>
    </row>
    <row r="256" ht="16" customHeight="1" s="254">
      <c r="A256" s="781" t="inlineStr">
        <is>
          <t>Distribution feeder material ($)</t>
        </is>
      </c>
      <c r="B256" s="870">
        <f>SUM($Q$242:$Q$253)</f>
        <v/>
      </c>
      <c r="C256" s="814" t="inlineStr">
        <is>
          <t>Conductor, ground and conduit for every feeder above, at RefData rates. The engine reads this row into the wire line.</t>
        </is>
      </c>
      <c r="M256" s="804" t="n"/>
      <c r="N256" s="804" t="n"/>
      <c r="O256" s="804" t="n"/>
      <c r="P256" s="804" t="n"/>
      <c r="Q256" s="804" t="n"/>
      <c r="R256" s="804" t="n"/>
      <c r="S256" s="804" t="n"/>
      <c r="T256" s="804" t="n"/>
      <c r="U256" s="804" t="n"/>
      <c r="V256" s="804" t="n"/>
      <c r="W256" s="804" t="n"/>
      <c r="X256" s="804" t="n"/>
    </row>
    <row r="257" ht="16" customHeight="1" s="254">
      <c r="A257" s="781" t="inlineStr">
        <is>
          <t>Feeder distance total (ft)</t>
        </is>
      </c>
      <c r="B257" s="809">
        <f>SUM($H$242:$H$253)</f>
        <v/>
      </c>
      <c r="C257" s="804" t="n"/>
      <c r="D257" s="804" t="n"/>
      <c r="E257" s="804" t="n"/>
      <c r="F257" s="804" t="n"/>
      <c r="G257" s="804" t="n"/>
      <c r="H257" s="804" t="n"/>
      <c r="I257" s="804" t="n"/>
      <c r="J257" s="804" t="n"/>
      <c r="K257" s="804" t="n"/>
      <c r="L257" s="804" t="n"/>
      <c r="M257" s="804" t="n"/>
      <c r="N257" s="804" t="n"/>
      <c r="O257" s="804" t="n"/>
      <c r="P257" s="804" t="n"/>
      <c r="Q257" s="804" t="n"/>
      <c r="R257" s="804" t="n"/>
      <c r="S257" s="804" t="n"/>
      <c r="T257" s="804" t="n"/>
      <c r="U257" s="804" t="n"/>
      <c r="V257" s="804" t="n"/>
      <c r="W257" s="804" t="n"/>
      <c r="X257" s="804" t="n"/>
    </row>
    <row r="258" ht="48" customHeight="1" s="254">
      <c r="A258" s="781" t="inlineStr">
        <is>
          <t>Every feeder sized and costed?</t>
        </is>
      </c>
      <c r="B258" s="810">
        <f>IF(COUNTA($C$242:$C$253)=0,"n/a — no distribution feeders scheduled; the charger runs start at the point of connection",IF(COUNTIF($R$242:$R$253,"UNDERSIZED*")+COUNTIF($R$242:$R$253,"PARALLEL*")+COUNTIF($R$242:$R$253,"ENTER*")+COUNTIF($R$242:$R$253,"enter*")+COUNTIF($R$242:$R$253,"no ampacity*")+COUNTIF($R$242:$R$253,"SET THE*")&gt;0,"ATTENTION — read the verdict column; a feeder with a problem there is a feeder priced wrong","OK — every feeder has a conductor, a ground, a conduit and a cost"))</f>
        <v/>
      </c>
      <c r="C258" s="804" t="n"/>
      <c r="D258" s="804" t="n"/>
      <c r="E258" s="804" t="n"/>
      <c r="F258" s="804" t="n"/>
      <c r="G258" s="804" t="n"/>
      <c r="H258" s="804" t="n"/>
      <c r="I258" s="804" t="n"/>
      <c r="J258" s="804" t="n"/>
      <c r="K258" s="804" t="n"/>
      <c r="L258" s="804" t="n"/>
      <c r="M258" s="804" t="n"/>
      <c r="N258" s="804" t="n"/>
      <c r="O258" s="804" t="n"/>
      <c r="P258" s="804" t="n"/>
      <c r="Q258" s="804" t="n"/>
      <c r="R258" s="804" t="n"/>
      <c r="S258" s="804" t="n"/>
      <c r="T258" s="804" t="n"/>
      <c r="U258" s="804" t="n"/>
      <c r="V258" s="804" t="n"/>
      <c r="W258" s="804" t="n"/>
      <c r="X258" s="804" t="n"/>
    </row>
    <row r="259" ht="84" customHeight="1" s="254">
      <c r="A259" s="781" t="inlineStr">
        <is>
          <t>Every scheduled item fed by a feeder?</t>
        </is>
      </c>
      <c r="B259" s="810">
        <f>IF(COUNTA($A$165:$A$176)=0,"n/a — nothing on the distribution schedule",TEXT(COUNTA($A$165:$A$176),"0")&amp;" item(s) on the schedule, "&amp;TEXT(COUNTA($C$242:$C$253),"0")&amp;" feeder(s) here — every panel, transformer and remote disconnect needs a feeder from what feeds it; a breaker mounted inside the board that feeds it does not. ADVISORY")</f>
        <v/>
      </c>
      <c r="C259" s="804" t="n"/>
      <c r="D259" s="804" t="n"/>
      <c r="E259" s="804" t="n"/>
      <c r="F259" s="804" t="n"/>
      <c r="G259" s="804" t="n"/>
      <c r="H259" s="804" t="n"/>
      <c r="I259" s="804" t="n"/>
      <c r="J259" s="804" t="n"/>
      <c r="K259" s="804" t="n"/>
      <c r="L259" s="804" t="n"/>
      <c r="M259" s="804" t="n"/>
      <c r="N259" s="804" t="n"/>
      <c r="O259" s="804" t="n"/>
      <c r="P259" s="804" t="n"/>
      <c r="Q259" s="804" t="n"/>
      <c r="R259" s="804" t="n"/>
      <c r="S259" s="804" t="n"/>
      <c r="T259" s="804" t="n"/>
      <c r="U259" s="804" t="n"/>
      <c r="V259" s="804" t="n"/>
      <c r="W259" s="804" t="n"/>
      <c r="X259" s="804" t="n"/>
    </row>
  </sheetData>
  <sheetProtection selectLockedCells="0" selectUnlockedCells="0" sheet="1" objects="0" insertRows="1" insertHyperlinks="1" autoFilter="1" scenarios="0" formatColumns="0" deleteColumns="1" insertColumns="1" pivotTables="1" deleteRows="1" formatCells="1" formatRows="0" sort="1"/>
  <mergeCells count="81">
    <mergeCell ref="C196:H196"/>
    <mergeCell ref="C85:H85"/>
    <mergeCell ref="C9:H9"/>
    <mergeCell ref="C133:H133"/>
    <mergeCell ref="C198:H198"/>
    <mergeCell ref="C11:H11"/>
    <mergeCell ref="A183:H183"/>
    <mergeCell ref="C144:H144"/>
    <mergeCell ref="A16:T16"/>
    <mergeCell ref="C81:H81"/>
    <mergeCell ref="C208:H208"/>
    <mergeCell ref="A239:H239"/>
    <mergeCell ref="A163:T163"/>
    <mergeCell ref="C13:H13"/>
    <mergeCell ref="C145:H145"/>
    <mergeCell ref="A5:H5"/>
    <mergeCell ref="C154:H154"/>
    <mergeCell ref="C210:H210"/>
    <mergeCell ref="C256:L256"/>
    <mergeCell ref="C89:H89"/>
    <mergeCell ref="C187:H187"/>
    <mergeCell ref="A240:T240"/>
    <mergeCell ref="C88:H88"/>
    <mergeCell ref="C10:H10"/>
    <mergeCell ref="C212:H212"/>
    <mergeCell ref="C93:H93"/>
    <mergeCell ref="A15:H15"/>
    <mergeCell ref="C214:H214"/>
    <mergeCell ref="C207:H207"/>
    <mergeCell ref="C213:H213"/>
    <mergeCell ref="A153:T153"/>
    <mergeCell ref="C149:H149"/>
    <mergeCell ref="C190:H190"/>
    <mergeCell ref="C199:H199"/>
    <mergeCell ref="A2:H2"/>
    <mergeCell ref="A204:H204"/>
    <mergeCell ref="C6:H6"/>
    <mergeCell ref="C185:H185"/>
    <mergeCell ref="C191:H191"/>
    <mergeCell ref="C147:H147"/>
    <mergeCell ref="C137:H137"/>
    <mergeCell ref="C211:H211"/>
    <mergeCell ref="A79:H79"/>
    <mergeCell ref="C90:H90"/>
    <mergeCell ref="C139:H139"/>
    <mergeCell ref="C148:H148"/>
    <mergeCell ref="C188:H188"/>
    <mergeCell ref="A162:H162"/>
    <mergeCell ref="C138:H138"/>
    <mergeCell ref="C8:H8"/>
    <mergeCell ref="A218:T218"/>
    <mergeCell ref="A217:H217"/>
    <mergeCell ref="C155:H155"/>
    <mergeCell ref="C86:H86"/>
    <mergeCell ref="C157:H157"/>
    <mergeCell ref="A184:T184"/>
    <mergeCell ref="C215:H215"/>
    <mergeCell ref="C128:H128"/>
    <mergeCell ref="C200:H200"/>
    <mergeCell ref="A92:H92"/>
    <mergeCell ref="C84:H84"/>
    <mergeCell ref="C193:H193"/>
    <mergeCell ref="C142:H142"/>
    <mergeCell ref="C80:H80"/>
    <mergeCell ref="C129:H129"/>
    <mergeCell ref="A1:H1"/>
    <mergeCell ref="C12:H12"/>
    <mergeCell ref="C192:H192"/>
    <mergeCell ref="C178:H178"/>
    <mergeCell ref="C194:H194"/>
    <mergeCell ref="A205:T205"/>
    <mergeCell ref="C7:H7"/>
    <mergeCell ref="C209:H209"/>
    <mergeCell ref="A136:H136"/>
    <mergeCell ref="A3:T3"/>
    <mergeCell ref="C140:H140"/>
    <mergeCell ref="C255:L255"/>
    <mergeCell ref="C156:H156"/>
    <mergeCell ref="C141:H141"/>
    <mergeCell ref="C197:H197"/>
    <mergeCell ref="C206:H206"/>
  </mergeCells>
  <conditionalFormatting sqref="E18:G77 L18:M77 R18:R77">
    <cfRule type="expression" priority="1" dxfId="0">
      <formula>$A18=""</formula>
    </cfRule>
  </conditionalFormatting>
  <conditionalFormatting sqref="F18:G77 L18:M77 R18:R77">
    <cfRule type="expression" priority="2" dxfId="0">
      <formula>$U18=0</formula>
    </cfRule>
  </conditionalFormatting>
  <conditionalFormatting sqref="C95:C126 E95:H126">
    <cfRule type="expression" priority="3" dxfId="0">
      <formula>$A95=""</formula>
    </cfRule>
  </conditionalFormatting>
  <dataValidations count="32">
    <dataValidation sqref="B6" showDropDown="0" showInputMessage="0" showErrorMessage="0" allowBlank="1" type="list">
      <formula1>"Cu,Al"</formula1>
    </dataValidation>
    <dataValidation sqref="B7" showDropDown="0" showInputMessage="0" showErrorMessage="0" allowBlank="1" type="list">
      <formula1>"PVC,EMT"</formula1>
    </dataValidation>
    <dataValidation sqref="B8" showDropDown="0" showInputMessage="0" showErrorMessage="0" allowBlank="1" type="list">
      <formula1>"Asphalt,Concrete,Landscape,Mixed"</formula1>
    </dataValidation>
    <dataValidation sqref="G18:G77" showDropDown="0" showInputMessage="0" showErrorMessage="0" allowBlank="1" type="list">
      <formula1>"Yes,No"</formula1>
    </dataValidation>
    <dataValidation sqref="L18:L77" showDropDown="0" showInputMessage="0" showErrorMessage="0" allowBlank="1" type="list">
      <formula1>WIRE_SIZE</formula1>
    </dataValidation>
    <dataValidation sqref="R18:R77" showDropDown="0" showInputMessage="0" showErrorMessage="0" allowBlank="1" type="list">
      <formula1>PVC_SIZE</formula1>
    </dataValidation>
    <dataValidation sqref="E95:E126" showDropDown="0" showInputMessage="0" showErrorMessage="0" allowBlank="1" type="list">
      <formula1>WIRE_SIZE</formula1>
    </dataValidation>
    <dataValidation sqref="F95:F126" showDropDown="0" showInputMessage="0" showErrorMessage="0" allowBlank="1" type="list">
      <formula1>WIRE_SIZE</formula1>
    </dataValidation>
    <dataValidation sqref="G95:G126" showDropDown="0" showInputMessage="0" showErrorMessage="0" allowBlank="1" type="list">
      <formula1>PVC_SIZE</formula1>
    </dataValidation>
    <dataValidation sqref="H95:H126" showDropDown="0" showInputMessage="0" showErrorMessage="0" allowBlank="1" type="list">
      <formula1>"Yes,No"</formula1>
    </dataValidation>
    <dataValidation sqref="B144" showDropDown="0" showInputMessage="0" showErrorMessage="0" allowBlank="1" type="list">
      <formula1>"No,Yes"</formula1>
    </dataValidation>
    <dataValidation sqref="B154" showDropDown="0" showInputMessage="0" showErrorMessage="0" allowBlank="1" type="list">
      <formula1>"Service conductor — NEC 230.42,Feeder — NEC 240.4(C)"</formula1>
    </dataValidation>
    <dataValidation sqref="B155" showDropDown="0" showInputMessage="0" showErrorMessage="0" allowBlank="1" type="list">
      <formula1>"Utility — EV infrastructure rule,Zero Impact Energy,Existing — retained"</formula1>
    </dataValidation>
    <dataValidation sqref="B160" showDropDown="0" showInputMessage="0" showErrorMessage="0" allowBlank="1" type="list">
      <formula1>"Cu,Al"</formula1>
    </dataValidation>
    <dataValidation sqref="I160" showDropDown="0" showInputMessage="0" showErrorMessage="0" allowBlank="1" type="list">
      <formula1>WIRE_SIZE</formula1>
    </dataValidation>
    <dataValidation sqref="B165:B176" showDropDown="0" showInputMessage="0" showErrorMessage="0" allowBlank="1" type="list">
      <formula1>"Service disconnect,Switchboard,Tap box,Panelboard,Subpanel,Transformer,EVSE disconnect,Meter / CT cabinet,Utility substation,Other"</formula1>
    </dataValidation>
    <dataValidation sqref="K165:K176" showDropDown="0" showInputMessage="0" showErrorMessage="0" allowBlank="1" type="list">
      <formula1>"Vendor quote,RefData rate,Priced elsewhere in this workbook,By others,Allowance"</formula1>
    </dataValidation>
    <dataValidation sqref="J165:J176" showDropDown="0" showInputMessage="0" showErrorMessage="0" allowBlank="1" type="list">
      <formula1>"Zero Impact Energy,Utility,By others,Vendor"</formula1>
    </dataValidation>
    <dataValidation sqref="B185" showDropDown="0" showInputMessage="0" showErrorMessage="0" allowBlank="1" type="list">
      <formula1>"New service,Added load to existing service"</formula1>
    </dataValidation>
    <dataValidation sqref="B186" showDropDown="0" showInputMessage="0" showErrorMessage="0" allowBlank="1" type="list">
      <formula1>"Underground,Overhead"</formula1>
    </dataValidation>
    <dataValidation sqref="B188" showDropDown="0" showInputMessage="0" showErrorMessage="0" allowBlank="1" type="list">
      <formula1>"Yes,No,In preparation"</formula1>
    </dataValidation>
    <dataValidation sqref="B192" showDropDown="0" showInputMessage="0" showErrorMessage="0" allowBlank="1" type="list">
      <formula1>"Unknown — design not yet submitted,No,Yes"</formula1>
    </dataValidation>
    <dataValidation sqref="B195" showDropDown="0" showInputMessage="0" showErrorMessage="0" allowBlank="1" type="list">
      <formula1>"No,Yes,Unknown"</formula1>
    </dataValidation>
    <dataValidation sqref="B196" showDropDown="0" showInputMessage="0" showErrorMessage="0" allowBlank="1" type="list">
      <formula1>"Only if Rule 15/16 contribution arises,Yes,No"</formula1>
    </dataValidation>
    <dataValidation sqref="B197" showDropDown="0" showInputMessage="0" showErrorMessage="0" allowBlank="1" type="list">
      <formula1>"Yes,No,To be confirmed"</formula1>
    </dataValidation>
    <dataValidation sqref="B198" showDropDown="0" showInputMessage="0" showErrorMessage="0" allowBlank="1" type="list">
      <formula1>"Yes,No,In preparation"</formula1>
    </dataValidation>
    <dataValidation sqref="B199" showDropDown="0" showInputMessage="0" showErrorMessage="0" allowBlank="1" type="list">
      <formula1>"Yes,No,To be confirmed"</formula1>
    </dataValidation>
    <dataValidation sqref="B200" showDropDown="0" showInputMessage="0" showErrorMessage="0" allowBlank="1" type="list">
      <formula1>"Yes,No,To be confirmed"</formula1>
    </dataValidation>
    <dataValidation sqref="B242:B253" showDropDown="0" showInputMessage="0" showErrorMessage="0" allowBlank="1" type="list">
      <formula1>=$A$165:$A$176</formula1>
    </dataValidation>
    <dataValidation sqref="C242:C253" showDropDown="0" showInputMessage="0" showErrorMessage="0" allowBlank="1" type="list">
      <formula1>=$A$165:$A$176</formula1>
    </dataValidation>
    <dataValidation sqref="K242:K253" showDropDown="0" showInputMessage="0" showErrorMessage="0" allowBlank="1" type="list">
      <formula1>WIRE_SIZE</formula1>
    </dataValidation>
    <dataValidation sqref="P242:P253" showDropDown="0" showInputMessage="0" showErrorMessage="0" allowBlank="1" type="list">
      <formula1>PVC_SIZE</formula1>
    </dataValidation>
  </dataValidations>
  <pageMargins left="0.75" right="0.75" top="1" bottom="1" header="0.5" footer="0.5"/>
  <pageSetup orientation="landscape" fitToHeight="0" fitToWidth="3"/>
</worksheet>
</file>

<file path=xl/worksheets/sheet9.xml><?xml version="1.0" encoding="utf-8"?>
<worksheet xmlns="http://schemas.openxmlformats.org/spreadsheetml/2006/main">
  <sheetPr filterMode="0">
    <tabColor rgb="006B4C9A"/>
    <outlinePr summaryBelow="0"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5" activeCellId="0" sqref="B5"/>
    </sheetView>
  </sheetViews>
  <sheetFormatPr baseColWidth="8" defaultColWidth="8.66796875" defaultRowHeight="14.25" zeroHeight="0" outlineLevelRow="1"/>
  <cols>
    <col width="36" customWidth="1" style="253" min="1" max="1"/>
    <col width="24" customWidth="1" style="253" min="2" max="2"/>
    <col width="40" customWidth="1" style="253" min="3" max="3"/>
    <col width="16" customWidth="1" style="253" min="4" max="7"/>
    <col width="10" customWidth="1" style="254" min="5" max="5"/>
    <col width="10" customWidth="1" style="254" min="6" max="6"/>
    <col width="10" customWidth="1" style="254" min="7" max="7"/>
  </cols>
  <sheetData>
    <row r="1" ht="26" customHeight="1" s="254">
      <c r="A1" s="790" t="inlineStr">
        <is>
          <t>4 · CONSTRUCTION SCOPE</t>
        </is>
      </c>
      <c r="G1" s="804" t="n"/>
    </row>
    <row r="2" ht="43.5" customHeight="1" s="254">
      <c r="A2" s="792" t="inlineStr">
        <is>
          <t>Site works and labour. Defaults come from the standard build; override where the site differs.</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Labour</t>
        </is>
      </c>
      <c r="B4" s="804" t="n"/>
      <c r="C4" s="804" t="n"/>
      <c r="D4" s="804" t="n"/>
      <c r="E4" s="804" t="n"/>
      <c r="F4" s="804" t="n"/>
      <c r="G4" s="804" t="n"/>
    </row>
    <row r="5" ht="31" customHeight="1" s="254">
      <c r="A5" s="781" t="inlineStr">
        <is>
          <t>Crew days on site</t>
        </is>
      </c>
      <c r="B5" s="817" t="n"/>
      <c r="C5" s="792" t="inlineStr">
        <is>
          <t>Must match the construction schedule you publish</t>
        </is>
      </c>
      <c r="D5" s="804" t="n"/>
      <c r="E5" s="804" t="n"/>
      <c r="F5" s="804" t="n"/>
      <c r="G5" s="804" t="n"/>
    </row>
    <row r="6" ht="16" customHeight="1" s="254">
      <c r="A6" s="781" t="inlineStr">
        <is>
          <t>Crew day rate</t>
        </is>
      </c>
      <c r="B6" s="833" t="n">
        <v>2750</v>
      </c>
      <c r="C6" s="792" t="inlineStr">
        <is>
          <t>Fully burdened</t>
        </is>
      </c>
      <c r="D6" s="804" t="n"/>
      <c r="E6" s="804" t="n"/>
      <c r="F6" s="804" t="n"/>
      <c r="G6" s="804" t="n"/>
    </row>
    <row r="7" ht="16" customHeight="1" s="254">
      <c r="A7" s="781" t="inlineStr">
        <is>
          <t>Contingency on labour</t>
        </is>
      </c>
      <c r="B7" s="886" t="n">
        <v>0.1</v>
      </c>
      <c r="C7" s="804" t="n"/>
      <c r="D7" s="804" t="n"/>
      <c r="E7" s="804" t="n"/>
      <c r="F7" s="804" t="n"/>
      <c r="G7" s="804" t="n"/>
    </row>
    <row r="8" ht="31" customHeight="1" s="254">
      <c r="A8" s="781" t="inlineStr">
        <is>
          <t>Markup on labour</t>
        </is>
      </c>
      <c r="B8" s="887" t="n">
        <v>0.2</v>
      </c>
      <c r="C8" s="792" t="inlineStr">
        <is>
          <t>House standing decision: 20%, applied after contingency. Change it per project on purpose, not by inheriting the last one.</t>
        </is>
      </c>
    </row>
    <row r="9" ht="31" customHeight="1" s="254">
      <c r="A9" s="781" t="inlineStr">
        <is>
          <t>Labour total</t>
        </is>
      </c>
      <c r="B9" s="851">
        <f>B5*B6*(1+B7)*(1+B8)</f>
        <v/>
      </c>
      <c r="C9" s="792" t="inlineStr">
        <is>
          <t>Days x rate x (1 + contingency) x (1 + markup)</t>
        </is>
      </c>
      <c r="D9" s="804" t="n"/>
      <c r="E9" s="804" t="n"/>
      <c r="F9" s="804" t="n"/>
      <c r="G9" s="804" t="n"/>
    </row>
    <row r="10" ht="16" customHeight="1" s="254">
      <c r="A10" s="781" t="inlineStr">
        <is>
          <t>Construction PM as % of labour</t>
        </is>
      </c>
      <c r="B10" s="886" t="n">
        <v>0.15</v>
      </c>
      <c r="C10" s="804" t="n"/>
      <c r="D10" s="804" t="n"/>
      <c r="E10" s="804" t="n"/>
      <c r="F10" s="804" t="n"/>
      <c r="G10" s="804" t="n"/>
    </row>
    <row r="11" ht="16" customHeight="1" s="254">
      <c r="A11" s="811" t="n"/>
      <c r="B11" s="804" t="n"/>
      <c r="C11" s="804" t="n"/>
      <c r="D11" s="804" t="n"/>
      <c r="E11" s="804" t="n"/>
      <c r="F11" s="804" t="n"/>
      <c r="G11" s="804" t="n"/>
    </row>
    <row r="12" ht="33.5" customHeight="1" s="254">
      <c r="A12" s="798" t="inlineStr">
        <is>
          <t>Site works — enter quantities, leave blank to use the standard build</t>
        </is>
      </c>
      <c r="B12" s="804" t="n"/>
      <c r="C12" s="804" t="n"/>
      <c r="D12" s="804" t="n"/>
      <c r="E12" s="804" t="n"/>
      <c r="F12" s="804" t="n"/>
      <c r="G12" s="804" t="n"/>
    </row>
    <row r="13" ht="16" customHeight="1" s="254">
      <c r="A13" s="801" t="inlineStr">
        <is>
          <t>Item</t>
        </is>
      </c>
      <c r="B13" s="801" t="inlineStr">
        <is>
          <t>Quantity</t>
        </is>
      </c>
      <c r="C13" s="801" t="inlineStr">
        <is>
          <t>Unit basis</t>
        </is>
      </c>
      <c r="D13" s="801" t="inlineStr">
        <is>
          <t>Unit cost</t>
        </is>
      </c>
      <c r="E13" s="801" t="inlineStr">
        <is>
          <t>Include?</t>
        </is>
      </c>
      <c r="F13" s="804" t="n"/>
      <c r="G13" s="804" t="n"/>
    </row>
    <row r="14" ht="16" customHeight="1" s="254">
      <c r="A14" s="888" t="inlineStr">
        <is>
          <t>Concrete (yd3)</t>
        </is>
      </c>
      <c r="B14" s="799" t="n"/>
      <c r="C14" s="792" t="inlineStr">
        <is>
          <t>Pads per cabinet</t>
        </is>
      </c>
      <c r="D14" s="889" t="n">
        <v>193.54</v>
      </c>
      <c r="E14" s="799" t="inlineStr">
        <is>
          <t>Y</t>
        </is>
      </c>
      <c r="F14" s="804" t="n"/>
      <c r="G14" s="804" t="n"/>
    </row>
    <row r="15" ht="16" customHeight="1" s="254">
      <c r="A15" s="888" t="inlineStr">
        <is>
          <t>Rebar (ea)</t>
        </is>
      </c>
      <c r="B15" s="799" t="n"/>
      <c r="C15" s="792" t="inlineStr">
        <is>
          <t>3 per cabinet</t>
        </is>
      </c>
      <c r="D15" s="889" t="n">
        <v>25.65</v>
      </c>
      <c r="E15" s="799" t="inlineStr">
        <is>
          <t>Y</t>
        </is>
      </c>
      <c r="F15" s="804" t="n"/>
      <c r="G15" s="804" t="n"/>
    </row>
    <row r="16" ht="16" customHeight="1" s="254">
      <c r="A16" s="888" t="inlineStr">
        <is>
          <t>Steel mesh roll (ea)</t>
        </is>
      </c>
      <c r="B16" s="799" t="n"/>
      <c r="C16" s="890" t="n"/>
      <c r="D16" s="889" t="n">
        <v>169</v>
      </c>
      <c r="E16" s="799" t="inlineStr">
        <is>
          <t>Y</t>
        </is>
      </c>
      <c r="F16" s="804" t="n"/>
      <c r="G16" s="804" t="n"/>
    </row>
    <row r="17" ht="31" customHeight="1" s="254">
      <c r="A17" s="888" t="inlineStr">
        <is>
          <t>Asphalt / paving (sq ft)</t>
        </is>
      </c>
      <c r="B17" s="799" t="n"/>
      <c r="C17" s="792" t="inlineStr">
        <is>
          <t>Trench restoration — $15/sq ft set by ZIE, 28 Aug 2026</t>
        </is>
      </c>
      <c r="D17" s="889" t="n">
        <v>15</v>
      </c>
      <c r="E17" s="799" t="inlineStr">
        <is>
          <t>Y</t>
        </is>
      </c>
      <c r="F17" s="804" t="n"/>
      <c r="G17" s="804" t="n"/>
    </row>
    <row r="18" ht="16" customHeight="1" s="254">
      <c r="A18" s="888" t="inlineStr">
        <is>
          <t>Striping (lot)</t>
        </is>
      </c>
      <c r="B18" s="799" t="n"/>
      <c r="C18" s="890" t="n"/>
      <c r="D18" s="889" t="n">
        <v>1500</v>
      </c>
      <c r="E18" s="799" t="inlineStr">
        <is>
          <t>Y</t>
        </is>
      </c>
      <c r="F18" s="804" t="n"/>
      <c r="G18" s="804" t="n"/>
    </row>
    <row r="19" ht="16" customHeight="1" s="254">
      <c r="A19" s="888" t="inlineStr">
        <is>
          <t>ADA stalls (ea)</t>
        </is>
      </c>
      <c r="B19" s="799" t="n"/>
      <c r="C19" s="792" t="inlineStr">
        <is>
          <t>2% of stalls, min 1</t>
        </is>
      </c>
      <c r="D19" s="889" t="n">
        <v>4900</v>
      </c>
      <c r="E19" s="799" t="inlineStr">
        <is>
          <t>Y</t>
        </is>
      </c>
      <c r="F19" s="804" t="n"/>
      <c r="G19" s="804" t="n"/>
    </row>
    <row r="20" ht="16" customHeight="1" s="254">
      <c r="A20" s="888" t="inlineStr">
        <is>
          <t>ADA ramp (ea)</t>
        </is>
      </c>
      <c r="B20" s="799" t="n"/>
      <c r="C20" s="890" t="n"/>
      <c r="D20" s="889" t="n">
        <v>5200</v>
      </c>
      <c r="E20" s="799" t="inlineStr">
        <is>
          <t>Y</t>
        </is>
      </c>
      <c r="F20" s="804" t="n"/>
      <c r="G20" s="804" t="n"/>
    </row>
    <row r="21" ht="16" customHeight="1" s="254">
      <c r="A21" s="888" t="inlineStr">
        <is>
          <t>Bollards (ea)</t>
        </is>
      </c>
      <c r="B21" s="799" t="n"/>
      <c r="C21" s="792" t="inlineStr">
        <is>
          <t>4 per DC cabinet / 2 + 6</t>
        </is>
      </c>
      <c r="D21" s="889" t="n">
        <v>110</v>
      </c>
      <c r="E21" s="799" t="inlineStr">
        <is>
          <t>Y</t>
        </is>
      </c>
      <c r="F21" s="804" t="n"/>
      <c r="G21" s="804" t="n"/>
    </row>
    <row r="22" ht="16" customHeight="1" s="254">
      <c r="A22" s="888" t="inlineStr">
        <is>
          <t>Signs (ea)</t>
        </is>
      </c>
      <c r="B22" s="799" t="n"/>
      <c r="C22" s="792" t="inlineStr">
        <is>
          <t>2 per DC cabinet</t>
        </is>
      </c>
      <c r="D22" s="889" t="n">
        <v>40</v>
      </c>
      <c r="E22" s="799" t="inlineStr">
        <is>
          <t>Y</t>
        </is>
      </c>
      <c r="F22" s="804" t="n"/>
      <c r="G22" s="804" t="n"/>
    </row>
    <row r="23" ht="16" customHeight="1" s="254">
      <c r="A23" s="888" t="inlineStr">
        <is>
          <t>Sign posts (ea)</t>
        </is>
      </c>
      <c r="B23" s="799" t="n"/>
      <c r="C23" s="890" t="n"/>
      <c r="D23" s="889" t="n">
        <v>56.1</v>
      </c>
      <c r="E23" s="799" t="inlineStr">
        <is>
          <t>Y</t>
        </is>
      </c>
      <c r="F23" s="804" t="n"/>
      <c r="G23" s="804" t="n"/>
    </row>
    <row r="24" ht="16" customHeight="1" s="254">
      <c r="A24" s="888" t="inlineStr">
        <is>
          <t>Switchgear sign (ea)</t>
        </is>
      </c>
      <c r="B24" s="799" t="n"/>
      <c r="C24" s="890" t="n"/>
      <c r="D24" s="889" t="n">
        <v>150</v>
      </c>
      <c r="E24" s="799" t="inlineStr">
        <is>
          <t>Y</t>
        </is>
      </c>
      <c r="F24" s="804" t="n"/>
      <c r="G24" s="804" t="n"/>
    </row>
    <row r="25" ht="16" customHeight="1" s="254">
      <c r="A25" s="888" t="inlineStr">
        <is>
          <t>GPR scan (ea)</t>
        </is>
      </c>
      <c r="B25" s="799" t="n"/>
      <c r="C25" s="792" t="inlineStr">
        <is>
          <t>Underground utility locate</t>
        </is>
      </c>
      <c r="D25" s="889" t="n">
        <v>2500</v>
      </c>
      <c r="E25" s="799" t="inlineStr">
        <is>
          <t>Y</t>
        </is>
      </c>
      <c r="F25" s="804" t="n"/>
      <c r="G25" s="804" t="n"/>
    </row>
    <row r="26" ht="16" customHeight="1" s="254">
      <c r="A26" s="888" t="inlineStr">
        <is>
          <t>GFI test (ea)</t>
        </is>
      </c>
      <c r="B26" s="799" t="n"/>
      <c r="C26" s="792" t="inlineStr">
        <is>
          <t>Required above 1000 sq ft gear area</t>
        </is>
      </c>
      <c r="D26" s="889" t="n">
        <v>3500</v>
      </c>
      <c r="E26" s="799" t="inlineStr">
        <is>
          <t>Y</t>
        </is>
      </c>
      <c r="F26" s="804" t="n"/>
      <c r="G26" s="804" t="n"/>
    </row>
    <row r="27" ht="16" customHeight="1" s="254">
      <c r="A27" s="888" t="inlineStr">
        <is>
          <t>Dump / disposal (lot)</t>
        </is>
      </c>
      <c r="B27" s="799" t="n"/>
      <c r="C27" s="792" t="inlineStr">
        <is>
          <t>Freight and disposal</t>
        </is>
      </c>
      <c r="D27" s="889" t="n">
        <v>5000</v>
      </c>
      <c r="E27" s="799" t="inlineStr">
        <is>
          <t>Y</t>
        </is>
      </c>
      <c r="F27" s="804" t="n"/>
      <c r="G27" s="804" t="n"/>
    </row>
    <row r="28" ht="16" customHeight="1" s="254">
      <c r="A28" s="888" t="n"/>
      <c r="B28" s="891" t="n"/>
      <c r="C28" s="854" t="n"/>
      <c r="D28" s="891" t="n"/>
      <c r="E28" s="891" t="n"/>
      <c r="F28" s="804" t="n"/>
      <c r="G28" s="804" t="n"/>
    </row>
    <row r="29" ht="16" customHeight="1" s="254">
      <c r="A29" s="888" t="n"/>
      <c r="B29" s="891" t="n"/>
      <c r="C29" s="854" t="n"/>
      <c r="D29" s="891" t="n"/>
      <c r="E29" s="891" t="n"/>
      <c r="F29" s="804" t="n"/>
      <c r="G29" s="804" t="n"/>
    </row>
    <row r="30" ht="16" customHeight="1" s="254">
      <c r="A30" s="811" t="n"/>
      <c r="B30" s="804" t="n"/>
      <c r="C30" s="804" t="n"/>
      <c r="D30" s="804" t="n"/>
      <c r="E30" s="804" t="n"/>
      <c r="F30" s="804" t="n"/>
      <c r="G30" s="804" t="n"/>
    </row>
    <row r="31" ht="19.75" customHeight="1" s="254">
      <c r="A31" s="798" t="inlineStr">
        <is>
          <t>Design and engineering</t>
        </is>
      </c>
      <c r="B31" s="804" t="n"/>
      <c r="C31" s="804" t="n"/>
      <c r="D31" s="804" t="n"/>
      <c r="E31" s="804" t="n"/>
      <c r="F31" s="804" t="n"/>
      <c r="G31" s="804" t="n"/>
    </row>
    <row r="32" ht="31" customHeight="1" s="254">
      <c r="A32" s="781" t="inlineStr">
        <is>
          <t>AutoCAD design — drawing sets</t>
        </is>
      </c>
      <c r="B32" s="819" t="n"/>
      <c r="C32" s="792" t="inlineStr">
        <is>
          <t>One issued drawing package: site plan, equipment layout, civil details.</t>
        </is>
      </c>
      <c r="D32" s="889" t="n">
        <v>3412.5</v>
      </c>
      <c r="E32" s="804" t="n"/>
      <c r="F32" s="804" t="n"/>
      <c r="G32" s="804" t="n"/>
    </row>
    <row r="33" ht="31" customHeight="1" s="254">
      <c r="A33" s="781" t="inlineStr">
        <is>
          <t>Electrical engineering — drawing sets</t>
        </is>
      </c>
      <c r="B33" s="819" t="n"/>
      <c r="C33" s="792" t="inlineStr">
        <is>
          <t>One stamped electrical package: single-line, panel schedule, load calculation.</t>
        </is>
      </c>
      <c r="D33" s="889" t="n">
        <v>2080</v>
      </c>
      <c r="E33" s="804" t="n"/>
      <c r="F33" s="804" t="n"/>
      <c r="G33" s="804" t="n"/>
    </row>
    <row r="34" ht="31" customHeight="1" s="254">
      <c r="A34" s="781" t="inlineStr">
        <is>
          <t>Project management — hours</t>
        </is>
      </c>
      <c r="B34" s="819" t="n"/>
      <c r="C34" s="792" t="inlineStr">
        <is>
          <t>Billed hourly across design, permitting and construction.</t>
        </is>
      </c>
      <c r="D34" s="889" t="n">
        <v>358</v>
      </c>
      <c r="E34" s="804" t="n"/>
      <c r="F34" s="804" t="n"/>
      <c r="G34" s="804" t="n"/>
    </row>
    <row r="35" ht="31" customHeight="1" s="254">
      <c r="A35" s="781" t="inlineStr">
        <is>
          <t>Design and engineering total</t>
        </is>
      </c>
      <c r="B35" s="851">
        <f>SUMPRODUCT($B$32:$B$34,$D$32:$D$34)</f>
        <v/>
      </c>
      <c r="C35" s="811" t="inlineStr">
        <is>
          <t>Quantity in column B times the rate in column D. These are ZIE billing rates for work performed in house — change the rate here, not in a formula.</t>
        </is>
      </c>
    </row>
    <row r="36" ht="16" customHeight="1" s="254">
      <c r="A36" s="811" t="n"/>
      <c r="B36" s="804" t="n"/>
      <c r="C36" s="804" t="n"/>
      <c r="D36" s="804" t="n"/>
      <c r="E36" s="804" t="n"/>
      <c r="F36" s="804" t="n"/>
      <c r="G36" s="804" t="n"/>
    </row>
    <row r="37" ht="47.25" customHeight="1" s="254">
      <c r="A37" s="798" t="inlineStr">
        <is>
          <t>Equipment rentals — standard build, override durations if the job differs</t>
        </is>
      </c>
      <c r="B37" s="804" t="n"/>
      <c r="C37" s="804" t="n"/>
      <c r="D37" s="804" t="n"/>
      <c r="E37" s="804" t="n"/>
      <c r="F37" s="804" t="n"/>
      <c r="G37" s="804" t="n"/>
    </row>
    <row r="38" ht="16" customHeight="1" s="254">
      <c r="A38" s="801" t="inlineStr">
        <is>
          <t>Rental</t>
        </is>
      </c>
      <c r="B38" s="801" t="inlineStr">
        <is>
          <t>Qty</t>
        </is>
      </c>
      <c r="C38" s="801" t="inlineStr">
        <is>
          <t>Unit cost</t>
        </is>
      </c>
      <c r="D38" s="801" t="inlineStr">
        <is>
          <t>Days</t>
        </is>
      </c>
      <c r="E38" s="801" t="inlineStr">
        <is>
          <t>Include?</t>
        </is>
      </c>
      <c r="F38" s="804" t="n"/>
      <c r="G38" s="804" t="n"/>
    </row>
    <row r="39" ht="16" customHeight="1" s="254">
      <c r="A39" s="888" t="inlineStr">
        <is>
          <t>Fencing</t>
        </is>
      </c>
      <c r="B39" s="799" t="n"/>
      <c r="C39" s="889" t="n">
        <v>0.3</v>
      </c>
      <c r="D39" s="799" t="n"/>
      <c r="E39" s="799" t="inlineStr">
        <is>
          <t>Y</t>
        </is>
      </c>
      <c r="F39" s="804" t="n"/>
      <c r="G39" s="804" t="n"/>
    </row>
    <row r="40" ht="16" customHeight="1" s="254">
      <c r="A40" s="888" t="inlineStr">
        <is>
          <t>Mini x</t>
        </is>
      </c>
      <c r="B40" s="799" t="n"/>
      <c r="C40" s="889" t="n">
        <v>98.56666667</v>
      </c>
      <c r="D40" s="799" t="n"/>
      <c r="E40" s="799" t="inlineStr">
        <is>
          <t>Y</t>
        </is>
      </c>
      <c r="F40" s="804" t="n"/>
      <c r="G40" s="804" t="n"/>
    </row>
    <row r="41" ht="16" customHeight="1" s="254">
      <c r="A41" s="888" t="inlineStr">
        <is>
          <t>Dump Truck</t>
        </is>
      </c>
      <c r="B41" s="799" t="n"/>
      <c r="C41" s="889" t="n">
        <v>520</v>
      </c>
      <c r="D41" s="799" t="n"/>
      <c r="E41" s="799" t="inlineStr">
        <is>
          <t>Y</t>
        </is>
      </c>
      <c r="F41" s="804" t="n"/>
      <c r="G41" s="804" t="n"/>
    </row>
    <row r="42" ht="16" customHeight="1" s="254">
      <c r="A42" s="888" t="inlineStr">
        <is>
          <t>Forklift</t>
        </is>
      </c>
      <c r="B42" s="799" t="n"/>
      <c r="C42" s="889" t="n">
        <v>563</v>
      </c>
      <c r="D42" s="799" t="n"/>
      <c r="E42" s="799" t="inlineStr">
        <is>
          <t>Y</t>
        </is>
      </c>
      <c r="F42" s="804" t="n"/>
      <c r="G42" s="804" t="n"/>
    </row>
    <row r="43" ht="16" customHeight="1" s="254">
      <c r="A43" s="888" t="inlineStr">
        <is>
          <t>Trench Plates</t>
        </is>
      </c>
      <c r="B43" s="799" t="n"/>
      <c r="C43" s="889" t="n">
        <v>5.18</v>
      </c>
      <c r="D43" s="799" t="n"/>
      <c r="E43" s="799" t="inlineStr">
        <is>
          <t>Y</t>
        </is>
      </c>
      <c r="F43" s="804" t="n"/>
      <c r="G43" s="804" t="n"/>
    </row>
    <row r="44" ht="16" customHeight="1" s="254">
      <c r="A44" s="888" t="inlineStr">
        <is>
          <t>Storage container</t>
        </is>
      </c>
      <c r="B44" s="799" t="n"/>
      <c r="C44" s="889" t="n">
        <v>185</v>
      </c>
      <c r="D44" s="799" t="n"/>
      <c r="E44" s="799" t="inlineStr">
        <is>
          <t>Y</t>
        </is>
      </c>
      <c r="F44" s="804" t="n"/>
      <c r="G44" s="804" t="n"/>
    </row>
    <row r="45" ht="16" customHeight="1" s="254">
      <c r="A45" s="888" t="inlineStr">
        <is>
          <t>Portable restroom</t>
        </is>
      </c>
      <c r="B45" s="799" t="n"/>
      <c r="C45" s="889" t="n">
        <v>267</v>
      </c>
      <c r="D45" s="799" t="n"/>
      <c r="E45" s="799" t="inlineStr">
        <is>
          <t>Y</t>
        </is>
      </c>
      <c r="F45" s="804" t="n"/>
      <c r="G45" s="804" t="n"/>
    </row>
    <row r="46" ht="16" customHeight="1" s="254">
      <c r="A46" s="888" t="inlineStr">
        <is>
          <t>Low boi</t>
        </is>
      </c>
      <c r="B46" s="799" t="n"/>
      <c r="C46" s="889" t="n">
        <v>1000</v>
      </c>
      <c r="D46" s="799" t="n"/>
      <c r="E46" s="799" t="inlineStr">
        <is>
          <t>Y</t>
        </is>
      </c>
      <c r="F46" s="804" t="n"/>
      <c r="G46" s="804" t="n"/>
    </row>
    <row r="47" ht="16" customHeight="1" s="254">
      <c r="A47" s="888" t="inlineStr">
        <is>
          <t>Saw cutter</t>
        </is>
      </c>
      <c r="B47" s="799" t="n"/>
      <c r="C47" s="889" t="n">
        <v>169</v>
      </c>
      <c r="D47" s="799" t="n"/>
      <c r="E47" s="799" t="inlineStr">
        <is>
          <t>Y</t>
        </is>
      </c>
      <c r="F47" s="804" t="n"/>
      <c r="G47" s="804" t="n"/>
    </row>
    <row r="48" ht="16" customHeight="1" s="254">
      <c r="A48" s="888" t="inlineStr">
        <is>
          <t>Jack hammer</t>
        </is>
      </c>
      <c r="B48" s="799" t="n"/>
      <c r="C48" s="889" t="n">
        <v>155</v>
      </c>
      <c r="D48" s="799" t="n"/>
      <c r="E48" s="799" t="inlineStr">
        <is>
          <t>Y</t>
        </is>
      </c>
      <c r="F48" s="804" t="n"/>
      <c r="G48" s="804" t="n"/>
    </row>
    <row r="49" ht="16" customHeight="1" s="254">
      <c r="A49" s="888" t="inlineStr">
        <is>
          <t>Compactor</t>
        </is>
      </c>
      <c r="B49" s="799" t="n"/>
      <c r="C49" s="889" t="n">
        <v>175</v>
      </c>
      <c r="D49" s="799" t="n"/>
      <c r="E49" s="799" t="inlineStr">
        <is>
          <t>Y</t>
        </is>
      </c>
      <c r="F49" s="804" t="n"/>
      <c r="G49" s="804" t="n"/>
    </row>
    <row r="50" ht="16" customHeight="1" s="254">
      <c r="A50" s="888" t="inlineStr">
        <is>
          <t>Generator rental</t>
        </is>
      </c>
      <c r="B50" s="799" t="n"/>
      <c r="C50" s="889" t="n">
        <v>220</v>
      </c>
      <c r="D50" s="799" t="n"/>
      <c r="E50" s="799" t="inlineStr">
        <is>
          <t>Y</t>
        </is>
      </c>
      <c r="F50" s="804" t="n"/>
      <c r="G50" s="804" t="n"/>
    </row>
    <row r="51" ht="16" customHeight="1" s="254">
      <c r="A51" s="888" t="inlineStr">
        <is>
          <t>Dump trailer rental</t>
        </is>
      </c>
      <c r="B51" s="799" t="n"/>
      <c r="C51" s="889" t="n">
        <v>796.63</v>
      </c>
      <c r="D51" s="799" t="n"/>
      <c r="E51" s="799" t="inlineStr">
        <is>
          <t>Y</t>
        </is>
      </c>
      <c r="F51" s="804" t="n"/>
      <c r="G51" s="804" t="n"/>
    </row>
    <row r="52" ht="16" customHeight="1" s="254">
      <c r="A52" s="888" t="inlineStr">
        <is>
          <t>Equipment protection</t>
        </is>
      </c>
      <c r="B52" s="799" t="n"/>
      <c r="C52" s="889" t="n">
        <v>45</v>
      </c>
      <c r="D52" s="799" t="n"/>
      <c r="E52" s="799" t="inlineStr">
        <is>
          <t>Y</t>
        </is>
      </c>
      <c r="F52" s="804" t="n"/>
      <c r="G52" s="804" t="n"/>
    </row>
    <row r="53" ht="16" customHeight="1" s="254">
      <c r="A53" s="811" t="n"/>
      <c r="B53" s="804" t="n"/>
      <c r="C53" s="804" t="n"/>
      <c r="D53" s="804" t="n"/>
      <c r="E53" s="804" t="n"/>
      <c r="F53" s="804" t="n"/>
      <c r="G53" s="804" t="n"/>
    </row>
    <row r="54" ht="33.5" customHeight="1" s="254">
      <c r="A54" s="798" t="inlineStr">
        <is>
          <t>Removal and demolition — replacement sites only</t>
        </is>
      </c>
      <c r="B54" s="804" t="n"/>
      <c r="C54" s="804" t="n"/>
      <c r="D54" s="804" t="n"/>
      <c r="E54" s="804" t="n"/>
      <c r="F54" s="804" t="n"/>
      <c r="G54" s="804" t="n"/>
    </row>
    <row r="55" hidden="1" outlineLevel="1" ht="16" customHeight="1" s="254">
      <c r="A55" s="816" t="inlineStr">
        <is>
          <t>Zero on a greenfield site. On a replacement site these quantities come from the Existing tab section H and are priced like any other construction line.</t>
        </is>
      </c>
    </row>
    <row r="56" hidden="1" outlineLevel="1" ht="16" customHeight="1" s="254">
      <c r="A56" s="824" t="inlineStr">
        <is>
          <t>Item</t>
        </is>
      </c>
      <c r="B56" s="824" t="inlineStr">
        <is>
          <t>Quantity</t>
        </is>
      </c>
      <c r="C56" s="824" t="inlineStr">
        <is>
          <t>Source</t>
        </is>
      </c>
      <c r="D56" s="824" t="n"/>
      <c r="E56" s="824" t="n"/>
      <c r="F56" s="824" t="n"/>
      <c r="G56" s="824" t="n"/>
    </row>
    <row r="57" hidden="1" outlineLevel="1" ht="31" customHeight="1" s="254">
      <c r="A57" s="825" t="inlineStr">
        <is>
          <t>Cabinets to disconnect and remove (ea)</t>
        </is>
      </c>
      <c r="B57" s="849">
        <f>IF(Existing!$B$5="Greenfield — new service",0,Existing!$B$174)</f>
        <v/>
      </c>
      <c r="C57" s="825" t="inlineStr">
        <is>
          <t>The Existing tab section H</t>
        </is>
      </c>
      <c r="D57" s="804" t="n"/>
      <c r="E57" s="804" t="n"/>
      <c r="F57" s="804" t="n"/>
      <c r="G57" s="804" t="n"/>
    </row>
    <row r="58" hidden="1" outlineLevel="1" ht="16" customHeight="1" s="254">
      <c r="A58" s="825" t="inlineStr">
        <is>
          <t>Concrete pads to break out (ea)</t>
        </is>
      </c>
      <c r="B58" s="849">
        <f>IF(Existing!$B$5="Greenfield — new service",0,Existing!$B$175)</f>
        <v/>
      </c>
      <c r="C58" s="825" t="inlineStr">
        <is>
          <t>The Existing tab section H</t>
        </is>
      </c>
      <c r="D58" s="804" t="n"/>
      <c r="E58" s="804" t="n"/>
      <c r="F58" s="804" t="n"/>
      <c r="G58" s="804" t="n"/>
    </row>
    <row r="59" hidden="1" outlineLevel="1" ht="16" customHeight="1" s="254">
      <c r="A59" s="825" t="inlineStr">
        <is>
          <t>Bollards to remove (ea)</t>
        </is>
      </c>
      <c r="B59" s="849">
        <f>IF(Existing!$B$5="Greenfield — new service",0,Existing!$B$176)</f>
        <v/>
      </c>
      <c r="C59" s="825" t="inlineStr">
        <is>
          <t>The Existing tab section H</t>
        </is>
      </c>
      <c r="D59" s="804" t="n"/>
      <c r="E59" s="804" t="n"/>
      <c r="F59" s="804" t="n"/>
      <c r="G59" s="804" t="n"/>
    </row>
    <row r="60" hidden="1" outlineLevel="1" ht="16" customHeight="1" s="254">
      <c r="A60" s="825" t="inlineStr">
        <is>
          <t>Signage to remove (ea)</t>
        </is>
      </c>
      <c r="B60" s="849">
        <f>IF(Existing!$B$5="Greenfield — new service",0,Existing!$B$177)</f>
        <v/>
      </c>
      <c r="C60" s="825" t="inlineStr">
        <is>
          <t>The Existing tab section H</t>
        </is>
      </c>
      <c r="D60" s="804" t="n"/>
      <c r="E60" s="804" t="n"/>
      <c r="F60" s="804" t="n"/>
      <c r="G60" s="804" t="n"/>
    </row>
    <row r="61" hidden="1" outlineLevel="1" ht="16" customHeight="1" s="254">
      <c r="A61" s="825" t="inlineStr">
        <is>
          <t>Disposal loads (ea)</t>
        </is>
      </c>
      <c r="B61" s="849">
        <f>IF(Existing!$B$5="Greenfield — new service",0,Existing!$B$178)</f>
        <v/>
      </c>
      <c r="C61" s="825" t="inlineStr">
        <is>
          <t>The Existing tab section H</t>
        </is>
      </c>
      <c r="D61" s="804" t="n"/>
      <c r="E61" s="804" t="n"/>
      <c r="F61" s="804" t="n"/>
      <c r="G61" s="804" t="n"/>
    </row>
    <row r="62" hidden="1" outlineLevel="1" ht="31" customHeight="1" s="254">
      <c r="A62" s="825" t="inlineStr">
        <is>
          <t>Site protection and traffic control (days)</t>
        </is>
      </c>
      <c r="B62" s="849">
        <f>IF(Existing!$B$5="Greenfield — new service",0,Existing!$B$182)</f>
        <v/>
      </c>
      <c r="C62" s="825" t="inlineStr">
        <is>
          <t>The Existing tab section H</t>
        </is>
      </c>
      <c r="D62" s="804" t="n"/>
      <c r="E62" s="804" t="n"/>
      <c r="F62" s="804" t="n"/>
      <c r="G62" s="804" t="n"/>
    </row>
    <row r="63" hidden="1" outlineLevel="1" ht="16" customHeight="1" s="254">
      <c r="A63" s="811" t="n"/>
      <c r="B63" s="804" t="n"/>
      <c r="C63" s="804" t="n"/>
      <c r="D63" s="804" t="n"/>
      <c r="E63" s="804" t="n"/>
      <c r="F63" s="804" t="n"/>
      <c r="G63" s="804" t="n"/>
    </row>
    <row r="64" hidden="1" outlineLevel="1" ht="43.5" customHeight="1" s="254">
      <c r="A64" s="794" t="inlineStr">
        <is>
          <t>Removal crew days — INSIDE the crew days above</t>
        </is>
      </c>
      <c r="B64" s="822">
        <f>IF(Existing!$B$5="Greenfield — new service",0,ROUND(N(Existing!$B$174)*0.5+N(Existing!$B$175)*0.75,0))</f>
        <v/>
      </c>
      <c r="C64" s="816" t="inlineStr">
        <is>
          <t>ADVISORY ONLY. Removal overlaps the installation and is NEVER added to the crew days on the schedule above — a model that added them inflated labour by twelve days on a fifteen-day job. Use it to check the day count covers both.</t>
        </is>
      </c>
    </row>
    <row r="65" hidden="1" outlineLevel="1" ht="31" customHeight="1" s="254">
      <c r="A65" s="794" t="inlineStr">
        <is>
          <t>Do the crew days leave room for the installation?</t>
        </is>
      </c>
      <c r="B65" s="822">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816" t="inlineStr">
        <is>
          <t>Removal is inside the crew days, so the crew days have to be big enough for the removal AND the installation.</t>
        </is>
      </c>
      <c r="F65" s="804" t="n"/>
      <c r="G65" s="804" t="n"/>
    </row>
    <row r="66" hidden="1" outlineLevel="1" ht="16" customHeight="1" s="254">
      <c r="A66" s="794" t="inlineStr">
        <is>
          <t>Construction scope profile</t>
        </is>
      </c>
      <c r="B66" s="822">
        <f>IF(Existing!$B$5="Greenfield — add load to existing service","GREENFIELD SITE WORKS ON AN EXISTING SERVICE — pads, trench and conduit from the existing switchgear; no service or transformer work",IF(Existing!$B$5="Greenfield — new service","GREENFIELD — full site works",IF(Existing!$B$17="RETAIN","PAD-AND-CHARGER SWAP — demolition, new pads, reinstatement and protection. No trenching, no paving beyond the pads.","PARTIAL — trenching required for the elements marked REPLACE")))</f>
        <v/>
      </c>
      <c r="C66" s="299" t="n"/>
      <c r="D66" s="804" t="n"/>
      <c r="E66" s="804" t="n"/>
      <c r="F66" s="804" t="n"/>
      <c r="G66" s="804" t="n"/>
    </row>
    <row r="67" hidden="1" outlineLevel="1" ht="31" customHeight="1" s="254">
      <c r="A67" s="794" t="inlineStr">
        <is>
          <t>Does the site stay live during the works?</t>
        </is>
      </c>
      <c r="B67" s="822">
        <f>IF(Existing!$B$181="Yes","PHASED PROGRAMME REQUIRED — temporary charging is not in the standard scope and must be priced separately",IF(Existing!$B$181="No","OK — the site can go dark during the works","not yet answered"))</f>
        <v/>
      </c>
      <c r="C67" s="299" t="n"/>
      <c r="D67" s="804" t="n"/>
      <c r="E67" s="804" t="n"/>
      <c r="F67" s="804" t="n"/>
      <c r="G67" s="804" t="n"/>
    </row>
    <row r="68" hidden="1" outlineLevel="1" ht="31" customHeight="1" s="254">
      <c r="A68" s="794" t="inlineStr">
        <is>
          <t>Removal scope on a greenfield project?</t>
        </is>
      </c>
      <c r="B68" s="892">
        <f>IF(AND(LEFT(Existing!$B$5,10)="Greenfield",N(Existing!$B$174)+N(Existing!$B$175)+N(Existing!$B$176)+N(Existing!$B$177)+N(Existing!$B$178)&gt;0),"ERROR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purpose.",IF(LEFT(Existing!$B$5,10)="Greenfield","OK — greenfield, and no removal scope has been entered","OK — replacement project, removal scope is priced"))</f>
        <v/>
      </c>
      <c r="F68" s="804" t="n"/>
      <c r="G68" s="804" t="n"/>
    </row>
    <row r="69" hidden="1" outlineLevel="1" ht="31" customHeight="1" s="254">
      <c r="A69" s="823"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hidden="1" outlineLevel="1" ht="16" customHeight="1" s="254">
      <c r="A70" s="811" t="n"/>
      <c r="B70" s="804" t="n"/>
      <c r="C70" s="804" t="n"/>
      <c r="D70" s="804" t="n"/>
      <c r="E70" s="804" t="n"/>
      <c r="F70" s="804" t="n"/>
      <c r="G70" s="804" t="n"/>
    </row>
    <row r="71" ht="19.75" customHeight="1" s="254">
      <c r="A71" s="798" t="inlineStr">
        <is>
          <t>MARKUPS — WHAT TURNS COST INTO PRICE</t>
        </is>
      </c>
    </row>
    <row r="72" ht="43.5" customHeight="1" s="254">
      <c r="A72" s="781" t="inlineStr">
        <is>
          <t>Markup on materials</t>
        </is>
      </c>
      <c r="B72" s="893" t="n">
        <v>0.2</v>
      </c>
      <c r="C72" s="792" t="inlineStr">
        <is>
          <t>Applies to switchgear, conductor, conduit, site works and construction rentals — everything priced from a rate rather than from a crew day. Set at 20%, matching the house markup on labour cost.</t>
        </is>
      </c>
    </row>
    <row r="73" ht="31" customHeight="1" s="254">
      <c r="A73" s="781" t="inlineStr">
        <is>
          <t>Markup on labour</t>
        </is>
      </c>
      <c r="B73" s="894">
        <f>$B$8</f>
        <v/>
      </c>
      <c r="C73" s="792" t="inlineStr">
        <is>
          <t>Shown here for comparison only — the labour markup is still entered in the Labour block at the top of this tab. One input, one place.</t>
        </is>
      </c>
    </row>
    <row r="74" ht="16" customHeight="1" s="254">
      <c r="A74" s="811" t="n"/>
      <c r="B74" s="804" t="n"/>
      <c r="C74" s="804" t="n"/>
      <c r="D74" s="804" t="n"/>
      <c r="E74" s="804" t="n"/>
      <c r="F74" s="804" t="n"/>
      <c r="G74" s="804" t="n"/>
    </row>
    <row r="75" ht="43.5" customHeight="1" s="254">
      <c r="A75" s="792"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ht="16" customHeight="1" s="254">
      <c r="A76" s="811" t="n"/>
      <c r="B76" s="804" t="n"/>
      <c r="C76" s="804" t="n"/>
      <c r="D76" s="804" t="n"/>
      <c r="E76" s="804" t="n"/>
      <c r="F76" s="804" t="n"/>
      <c r="G76" s="804" t="n"/>
    </row>
    <row r="77" ht="33.5" customHeight="1" s="254">
      <c r="A77" s="798" t="inlineStr">
        <is>
          <t>UTILITY AND THIRD-PARTY FEES — PASS-THROUGH</t>
        </is>
      </c>
      <c r="B77" s="804" t="n"/>
      <c r="C77" s="804" t="n"/>
      <c r="D77" s="804" t="n"/>
      <c r="E77" s="804" t="n"/>
      <c r="F77" s="804" t="n"/>
      <c r="G77" s="804" t="n"/>
    </row>
    <row r="78" ht="43.5" customHeight="1" s="254">
      <c r="A78" s="792"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ht="16" customHeight="1" s="254">
      <c r="A79" s="811" t="n"/>
      <c r="B79" s="804" t="n"/>
      <c r="C79" s="804" t="n"/>
      <c r="D79" s="804" t="n"/>
      <c r="E79" s="804" t="n"/>
      <c r="F79" s="804" t="n"/>
      <c r="G79" s="804" t="n"/>
    </row>
    <row r="80" ht="16" customHeight="1" s="254">
      <c r="A80" s="801" t="inlineStr">
        <is>
          <t>Fee</t>
        </is>
      </c>
      <c r="B80" s="801" t="inlineStr">
        <is>
          <t>Quantity</t>
        </is>
      </c>
      <c r="C80" s="801" t="inlineStr">
        <is>
          <t>Basis</t>
        </is>
      </c>
      <c r="D80" s="801" t="inlineStr">
        <is>
          <t>Unit cost</t>
        </is>
      </c>
      <c r="E80" s="801" t="inlineStr">
        <is>
          <t>Include?</t>
        </is>
      </c>
      <c r="F80" s="804" t="n"/>
      <c r="G80" s="804" t="n"/>
    </row>
    <row r="81" ht="16" customHeight="1" s="254">
      <c r="A81" s="888" t="inlineStr">
        <is>
          <t>Permit and plan-check fees</t>
        </is>
      </c>
      <c r="B81" s="818" t="n">
        <v>0</v>
      </c>
      <c r="C81" s="792" t="inlineStr">
        <is>
          <t>AHJ — verify locally</t>
        </is>
      </c>
      <c r="D81" s="889" t="n">
        <v>4000</v>
      </c>
      <c r="E81" s="799" t="inlineStr">
        <is>
          <t>Y</t>
        </is>
      </c>
      <c r="F81" s="804" t="n"/>
      <c r="G81" s="804" t="n"/>
    </row>
    <row r="82" ht="16" customHeight="1" s="254">
      <c r="A82" s="888" t="inlineStr">
        <is>
          <t>Utility contract fees</t>
        </is>
      </c>
      <c r="B82" s="818" t="n">
        <v>0</v>
      </c>
      <c r="C82" s="792" t="inlineStr">
        <is>
          <t>Application and contract</t>
        </is>
      </c>
      <c r="D82" s="889" t="n">
        <v>3500</v>
      </c>
      <c r="E82" s="799" t="inlineStr">
        <is>
          <t>Y</t>
        </is>
      </c>
      <c r="F82" s="804" t="n"/>
      <c r="G82" s="804" t="n"/>
    </row>
    <row r="83" ht="31" customHeight="1" s="254">
      <c r="A83" s="888" t="inlineStr">
        <is>
          <t>Utility interconnection design and application fee</t>
        </is>
      </c>
      <c r="B83" s="818" t="n">
        <v>0</v>
      </c>
      <c r="C83" s="814" t="inlineStr">
        <is>
          <t>Entered on the Electrical tab — this row reads it. Pass-through at cost.</t>
        </is>
      </c>
      <c r="D83" s="895">
        <f>Electrical!$B$191</f>
        <v/>
      </c>
      <c r="E83" s="799" t="inlineStr">
        <is>
          <t>Y</t>
        </is>
      </c>
      <c r="F83" s="804" t="n"/>
      <c r="G83" s="804" t="n"/>
    </row>
    <row r="84" ht="43.5" customHeight="1" s="254">
      <c r="A84" s="888" t="inlineStr">
        <is>
          <t>Utility line-extension contribution, if any</t>
        </is>
      </c>
      <c r="B84" s="818" t="n">
        <v>0</v>
      </c>
      <c r="C84" s="814" t="inlineStr">
        <is>
          <t>Whatever the serving utility charges the customer toward extending distribution or service. Zero until they say otherwise.</t>
        </is>
      </c>
      <c r="D84" s="895">
        <f>Electrical!$B$194</f>
        <v/>
      </c>
      <c r="E84" s="799" t="inlineStr">
        <is>
          <t>Y</t>
        </is>
      </c>
      <c r="F84" s="804" t="n"/>
      <c r="G84" s="804" t="n"/>
    </row>
    <row r="85" ht="16" customHeight="1" s="254">
      <c r="A85" s="888" t="inlineStr">
        <is>
          <t>Fire department plan review</t>
        </is>
      </c>
      <c r="B85" s="818" t="n">
        <v>0</v>
      </c>
      <c r="C85" s="792" t="inlineStr">
        <is>
          <t>Fire district — common on DCFC sites</t>
        </is>
      </c>
      <c r="D85" s="889" t="n">
        <v>0</v>
      </c>
      <c r="E85" s="799" t="inlineStr">
        <is>
          <t>Y</t>
        </is>
      </c>
      <c r="F85" s="804" t="n"/>
      <c r="G85" s="804" t="n"/>
    </row>
    <row r="86" ht="31" customHeight="1" s="254">
      <c r="A86" s="888" t="inlineStr">
        <is>
          <t>Encroachment / street-opening permit</t>
        </is>
      </c>
      <c r="B86" s="818" t="n">
        <v>0</v>
      </c>
      <c r="C86" s="792" t="inlineStr">
        <is>
          <t>Municipal, when trenching leaves the property</t>
        </is>
      </c>
      <c r="D86" s="889" t="n">
        <v>0</v>
      </c>
      <c r="E86" s="799" t="inlineStr">
        <is>
          <t>Y</t>
        </is>
      </c>
      <c r="F86" s="804" t="n"/>
      <c r="G86" s="804" t="n"/>
    </row>
    <row r="87" ht="16" customHeight="1" s="254">
      <c r="A87" s="888" t="inlineStr">
        <is>
          <t>Electrical inspection fees</t>
        </is>
      </c>
      <c r="B87" s="818" t="n">
        <v>0</v>
      </c>
      <c r="C87" s="792" t="inlineStr">
        <is>
          <t>AHJ inspection, separate from plan check</t>
        </is>
      </c>
      <c r="D87" s="889" t="n">
        <v>0</v>
      </c>
      <c r="E87" s="799" t="inlineStr">
        <is>
          <t>Y</t>
        </is>
      </c>
      <c r="F87" s="804" t="n"/>
      <c r="G87" s="804" t="n"/>
    </row>
    <row r="88" ht="31" customHeight="1" s="254">
      <c r="A88" s="888" t="inlineStr">
        <is>
          <t>Meter and service connection fee</t>
        </is>
      </c>
      <c r="B88" s="818" t="n">
        <v>0</v>
      </c>
      <c r="C88" s="792" t="inlineStr">
        <is>
          <t>Utility, if charged separately from Rule 29</t>
        </is>
      </c>
      <c r="D88" s="889" t="n">
        <v>0</v>
      </c>
      <c r="E88" s="799" t="inlineStr">
        <is>
          <t>Y</t>
        </is>
      </c>
      <c r="F88" s="804" t="n"/>
      <c r="G88" s="804" t="n"/>
    </row>
    <row r="89" ht="31" customHeight="1" s="254">
      <c r="A89" s="896" t="inlineStr">
        <is>
          <t>Utility and third-party fees total</t>
        </is>
      </c>
      <c r="B89" s="851">
        <f>SUMPRODUCT($B$81:$B$88,$D$81:$D$88)</f>
        <v/>
      </c>
      <c r="C89" s="792" t="inlineStr">
        <is>
          <t>Billed to the client at exactly this figure. No markup, no discount, its own line on the bid.</t>
        </is>
      </c>
      <c r="E89" s="804" t="n"/>
      <c r="F89" s="804" t="n"/>
      <c r="G89" s="804" t="n"/>
    </row>
    <row r="90" ht="16" customHeight="1" s="254">
      <c r="A90" s="811" t="n"/>
      <c r="B90" s="804" t="n"/>
      <c r="C90" s="804" t="n"/>
      <c r="D90" s="804" t="n"/>
      <c r="E90" s="804" t="n"/>
      <c r="F90" s="804" t="n"/>
      <c r="G90" s="804" t="n"/>
    </row>
    <row r="91" ht="16" customHeight="1" s="254">
      <c r="A91" s="896" t="inlineStr">
        <is>
          <t>Any fee left in the site-works table?</t>
        </is>
      </c>
      <c r="B91" s="897">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17">
    <mergeCell ref="C8:G8"/>
    <mergeCell ref="C73:G73"/>
    <mergeCell ref="C35:G35"/>
    <mergeCell ref="C65:E65"/>
    <mergeCell ref="A1:F1"/>
    <mergeCell ref="A55:G55"/>
    <mergeCell ref="B67:C67"/>
    <mergeCell ref="B68:E68"/>
    <mergeCell ref="A69:G69"/>
    <mergeCell ref="C72:G72"/>
    <mergeCell ref="A78:G78"/>
    <mergeCell ref="B66:C66"/>
    <mergeCell ref="C89:D89"/>
    <mergeCell ref="A71:G71"/>
    <mergeCell ref="B91:G91"/>
    <mergeCell ref="C64:G64"/>
    <mergeCell ref="A75:G75"/>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10" activeCellId="0" sqref="B10"/>
    </sheetView>
  </sheetViews>
  <sheetFormatPr baseColWidth="8" defaultColWidth="8.66796875" defaultRowHeight="14.25" zeroHeight="0" outlineLevelRow="0"/>
  <cols>
    <col width="36" customWidth="1" style="253" min="1" max="1"/>
    <col width="30" customWidth="1" style="253" min="2" max="2"/>
    <col width="56" customWidth="1" style="253" min="3" max="3"/>
    <col width="9" customWidth="1" style="253" min="4" max="6"/>
    <col width="9" customWidth="1" style="254" min="5" max="5"/>
    <col width="9" customWidth="1" style="254" min="6" max="6"/>
  </cols>
  <sheetData>
    <row r="1" ht="26" customHeight="1" s="254">
      <c r="A1" s="790" t="inlineStr">
        <is>
          <t>5 · COMMERCIAL TERMS</t>
        </is>
      </c>
    </row>
    <row r="2" ht="31" customHeight="1" s="254">
      <c r="A2" s="792" t="inlineStr">
        <is>
          <t>Discounts, financing and the service and network term.</t>
        </is>
      </c>
      <c r="B2" s="804" t="n"/>
      <c r="C2" s="804" t="n"/>
      <c r="D2" s="804" t="n"/>
      <c r="E2" s="804" t="n"/>
      <c r="F2" s="804" t="n"/>
    </row>
    <row r="3" ht="16" customHeight="1" s="254">
      <c r="A3" s="811" t="n"/>
      <c r="B3" s="804" t="n"/>
      <c r="C3" s="804" t="n"/>
      <c r="D3" s="804" t="n"/>
      <c r="E3" s="804" t="n"/>
      <c r="F3" s="804" t="n"/>
    </row>
    <row r="4" ht="33.5" customHeight="1" s="254">
      <c r="A4" s="798" t="inlineStr">
        <is>
          <t>Discounts applied to customer price</t>
        </is>
      </c>
      <c r="B4" s="804" t="n"/>
      <c r="C4" s="804" t="n"/>
      <c r="D4" s="804" t="n"/>
      <c r="E4" s="804" t="n"/>
      <c r="F4" s="804" t="n"/>
    </row>
    <row r="5" ht="16" customHeight="1" s="254">
      <c r="A5" s="781" t="inlineStr">
        <is>
          <t>Charger hardware discount</t>
        </is>
      </c>
      <c r="B5" s="893" t="n">
        <v>0.07000000000000001</v>
      </c>
      <c r="C5" s="804" t="n"/>
      <c r="D5" s="804" t="n"/>
      <c r="E5" s="804" t="n"/>
      <c r="F5" s="804" t="n"/>
    </row>
    <row r="6" ht="16" customHeight="1" s="254">
      <c r="A6" s="781" t="inlineStr">
        <is>
          <t>Service and warranty discount</t>
        </is>
      </c>
      <c r="B6" s="893" t="n">
        <v>0.07000000000000001</v>
      </c>
      <c r="C6" s="804" t="n"/>
      <c r="D6" s="804" t="n"/>
      <c r="E6" s="804" t="n"/>
      <c r="F6" s="804" t="n"/>
    </row>
    <row r="7" ht="16" customHeight="1" s="254">
      <c r="A7" s="781" t="inlineStr">
        <is>
          <t>EVOLV and commissioning discount</t>
        </is>
      </c>
      <c r="B7" s="893" t="n">
        <v>0</v>
      </c>
      <c r="C7" s="804" t="n"/>
      <c r="D7" s="804" t="n"/>
      <c r="E7" s="804" t="n"/>
      <c r="F7" s="804" t="n"/>
    </row>
    <row r="8" ht="43.5" customHeight="1" s="254">
      <c r="A8" s="781" t="inlineStr">
        <is>
          <t>Labour and in-house services discount</t>
        </is>
      </c>
      <c r="B8" s="893" t="n">
        <v>0.07000000000000001</v>
      </c>
      <c r="C8" s="814" t="inlineStr">
        <is>
          <t>Applies ONLY to work ZIE performs: construction labour, construction project management, and design and engineering. It may never be applied to materials, to equipment rentals, or to any third-party or utility fee.</t>
        </is>
      </c>
    </row>
    <row r="9" ht="16" customHeight="1" s="254">
      <c r="A9" s="781" t="inlineStr">
        <is>
          <t>Sales tax rate</t>
        </is>
      </c>
      <c r="B9" s="898" t="n">
        <v>0.0725</v>
      </c>
      <c r="C9" s="792" t="inlineStr">
        <is>
          <t>Applied to the DISCOUNTED equipment price</t>
        </is>
      </c>
      <c r="D9" s="804" t="n"/>
      <c r="E9" s="804" t="n"/>
      <c r="F9" s="804" t="n"/>
    </row>
    <row r="10" ht="16" customHeight="1" s="254">
      <c r="A10" s="811" t="n"/>
      <c r="B10" s="804" t="n"/>
      <c r="C10" s="804" t="n"/>
      <c r="D10" s="804" t="n"/>
      <c r="E10" s="804" t="n"/>
      <c r="F10" s="804" t="n"/>
    </row>
    <row r="11" ht="19.75" customHeight="1" s="254">
      <c r="A11" s="798" t="inlineStr">
        <is>
          <t>Service, warranty and network</t>
        </is>
      </c>
      <c r="B11" s="804" t="n"/>
      <c r="C11" s="804" t="n"/>
      <c r="D11" s="804" t="n"/>
      <c r="E11" s="804" t="n"/>
      <c r="F11" s="804" t="n"/>
    </row>
    <row r="12" ht="16" customHeight="1" s="254">
      <c r="A12" s="781" t="inlineStr">
        <is>
          <t>Contract length (years)</t>
        </is>
      </c>
      <c r="B12" s="817" t="n">
        <v>5</v>
      </c>
      <c r="C12" s="792" t="inlineStr">
        <is>
          <t>Years of service included in the price</t>
        </is>
      </c>
      <c r="D12" s="804" t="n"/>
      <c r="E12" s="804" t="n"/>
      <c r="F12" s="804" t="n"/>
    </row>
    <row r="13" ht="16" customHeight="1" s="254">
      <c r="A13" s="781" t="inlineStr">
        <is>
          <t>In-warranty years</t>
        </is>
      </c>
      <c r="B13" s="819" t="n">
        <v>2</v>
      </c>
      <c r="C13" s="792" t="inlineStr">
        <is>
          <t>Years billed at the in-warranty rate</t>
        </is>
      </c>
      <c r="D13" s="804" t="n"/>
      <c r="E13" s="804" t="n"/>
      <c r="F13" s="804" t="n"/>
    </row>
    <row r="14" ht="16" customHeight="1" s="254">
      <c r="A14" s="781" t="inlineStr">
        <is>
          <t>EVOLV network fee per port per month</t>
        </is>
      </c>
      <c r="B14" s="833" t="n">
        <v>39.99</v>
      </c>
      <c r="C14" s="804" t="n"/>
      <c r="D14" s="804" t="n"/>
      <c r="E14" s="804" t="n"/>
      <c r="F14" s="804" t="n"/>
    </row>
    <row r="15" ht="16" customHeight="1" s="254">
      <c r="A15" s="781" t="inlineStr">
        <is>
          <t>EVOLV annual cost</t>
        </is>
      </c>
      <c r="B15" s="851">
        <f>Equipment!B22*B14*12</f>
        <v/>
      </c>
      <c r="C15" s="792" t="inlineStr">
        <is>
          <t>Ports x rate x 12 — ports, never cabinets</t>
        </is>
      </c>
      <c r="D15" s="804" t="n"/>
      <c r="E15" s="804" t="n"/>
      <c r="F15" s="804" t="n"/>
    </row>
    <row r="16" ht="16" customHeight="1" s="254">
      <c r="A16" s="781" t="inlineStr">
        <is>
          <t>EVOLV cost across contract</t>
        </is>
      </c>
      <c r="B16" s="897">
        <f>B15*B12</f>
        <v/>
      </c>
      <c r="C16" s="804" t="n"/>
      <c r="D16" s="804" t="n"/>
      <c r="E16" s="804" t="n"/>
      <c r="F16" s="804" t="n"/>
    </row>
    <row r="17" ht="93.5" customHeight="1" s="254">
      <c r="A17" s="781" t="inlineStr">
        <is>
          <t>Renew service after the contract?</t>
        </is>
      </c>
      <c r="B17" s="899" t="inlineStr">
        <is>
          <t>Yes</t>
        </is>
      </c>
      <c r="C17" s="811"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c r="D17" s="804" t="n"/>
      <c r="E17" s="804" t="n"/>
      <c r="F17" s="804" t="n"/>
    </row>
    <row r="18" ht="19.75" customHeight="1" s="254">
      <c r="A18" s="798" t="inlineStr">
        <is>
          <t>Financing</t>
        </is>
      </c>
      <c r="B18" s="804" t="n"/>
      <c r="C18" s="804" t="n"/>
      <c r="D18" s="804" t="n"/>
      <c r="E18" s="804" t="n"/>
      <c r="F18" s="804" t="n"/>
    </row>
    <row r="19" ht="16" customHeight="1" s="254">
      <c r="A19" s="781" t="inlineStr">
        <is>
          <t>Financing offered?</t>
        </is>
      </c>
      <c r="B19" s="799" t="inlineStr">
        <is>
          <t>Yes</t>
        </is>
      </c>
      <c r="C19" s="804" t="n"/>
      <c r="D19" s="804" t="n"/>
      <c r="E19" s="804" t="n"/>
      <c r="F19" s="804" t="n"/>
    </row>
    <row r="20" ht="16" customHeight="1" s="254">
      <c r="A20" s="781" t="inlineStr">
        <is>
          <t>Lender</t>
        </is>
      </c>
      <c r="B20" s="799" t="inlineStr">
        <is>
          <t>De Lage Landen</t>
        </is>
      </c>
      <c r="C20" s="804" t="n"/>
      <c r="D20" s="804" t="n"/>
      <c r="E20" s="804" t="n"/>
      <c r="F20" s="804" t="n"/>
    </row>
    <row r="21" ht="16" customHeight="1" s="254">
      <c r="A21" s="781" t="inlineStr">
        <is>
          <t>Annual interest rate</t>
        </is>
      </c>
      <c r="B21" s="898" t="n">
        <v>0.0839</v>
      </c>
      <c r="C21" s="804" t="n"/>
      <c r="D21" s="804" t="n"/>
      <c r="E21" s="804" t="n"/>
      <c r="F21" s="804" t="n"/>
    </row>
    <row r="22" ht="16" customHeight="1" s="254">
      <c r="A22" s="781" t="inlineStr">
        <is>
          <t>Term (years)</t>
        </is>
      </c>
      <c r="B22" s="817" t="n">
        <v>5</v>
      </c>
      <c r="C22" s="804" t="n"/>
      <c r="D22" s="804" t="n"/>
      <c r="E22" s="804" t="n"/>
      <c r="F22" s="804" t="n"/>
    </row>
    <row r="23" ht="16" customHeight="1" s="254">
      <c r="A23" s="781" t="inlineStr">
        <is>
          <t>Payments per year</t>
        </is>
      </c>
      <c r="B23" s="819" t="n">
        <v>12</v>
      </c>
      <c r="C23" s="804" t="n"/>
      <c r="D23" s="804" t="n"/>
      <c r="E23" s="804" t="n"/>
      <c r="F23" s="804" t="n"/>
    </row>
    <row r="24" ht="16" customHeight="1" s="254">
      <c r="A24" s="781" t="inlineStr">
        <is>
          <t>Down payment</t>
        </is>
      </c>
      <c r="B24" s="900" t="n">
        <v>0</v>
      </c>
      <c r="C24" s="804" t="n"/>
      <c r="D24" s="804" t="n"/>
      <c r="E24" s="804" t="n"/>
      <c r="F24" s="804" t="n"/>
    </row>
    <row r="25" ht="16" customHeight="1" s="254">
      <c r="A25" s="781" t="inlineStr">
        <is>
          <t>Financing start date</t>
        </is>
      </c>
      <c r="B25" s="799" t="n"/>
      <c r="C25" s="804" t="n"/>
      <c r="D25" s="804" t="n"/>
      <c r="E25" s="804" t="n"/>
      <c r="F25" s="804" t="n"/>
    </row>
    <row r="26" ht="16" customHeight="1" s="254">
      <c r="A26" s="811" t="n"/>
      <c r="B26" s="804" t="n"/>
      <c r="C26" s="804" t="n"/>
      <c r="D26" s="804" t="n"/>
      <c r="E26" s="804" t="n"/>
      <c r="F26" s="804" t="n"/>
    </row>
    <row r="27" ht="19.75" customHeight="1" s="254">
      <c r="A27" s="798" t="inlineStr">
        <is>
          <t>Analysis horizon</t>
        </is>
      </c>
      <c r="B27" s="804" t="n"/>
      <c r="C27" s="804" t="n"/>
      <c r="D27" s="804" t="n"/>
      <c r="E27" s="804" t="n"/>
      <c r="F27" s="804" t="n"/>
    </row>
    <row r="28" ht="16" customHeight="1" s="254">
      <c r="A28" s="781" t="inlineStr">
        <is>
          <t>Model horizon (years)</t>
        </is>
      </c>
      <c r="B28" s="817" t="n">
        <v>10</v>
      </c>
      <c r="C28" s="792" t="inlineStr">
        <is>
          <t>Use 10 — the carbon credit runs ten years</t>
        </is>
      </c>
      <c r="D28" s="804" t="n"/>
      <c r="E28" s="804" t="n"/>
      <c r="F28" s="804" t="n"/>
    </row>
    <row r="29" ht="16" customHeight="1" s="254">
      <c r="A29" s="781" t="inlineStr">
        <is>
          <t>Discount rate for NPV</t>
        </is>
      </c>
      <c r="B29" s="898" t="n">
        <v>0.0839</v>
      </c>
      <c r="C29" s="792" t="inlineStr">
        <is>
          <t>Default: the financing rate</t>
        </is>
      </c>
      <c r="D29" s="804" t="n"/>
      <c r="E29" s="804" t="n"/>
      <c r="F29" s="804" t="n"/>
    </row>
  </sheetData>
  <sheetProtection selectLockedCells="0" selectUnlockedCells="0" sheet="1" objects="0" insertRows="1" insertHyperlinks="1" autoFilter="1" scenarios="0" formatColumns="0" deleteColumns="1" insertColumns="1" pivotTables="1" deleteRows="1" formatCells="0" formatRows="0" sort="1"/>
  <mergeCells count="2">
    <mergeCell ref="C8:F8"/>
    <mergeCell ref="A1:F1"/>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2E7D5B"/>
    <outlinePr summaryBelow="1" summaryRight="1"/>
    <pageSetUpPr fitToPage="1"/>
  </sheetPr>
  <dimension ref="A1:H48"/>
  <sheetViews>
    <sheetView showGridLines="0" tabSelected="0" zoomScale="100" workbookViewId="0">
      <pane ySplit="4" topLeftCell="A5" activePane="bottomLeft" state="frozen"/>
      <selection pane="bottomLeft" activeCell="A1" sqref="A1"/>
    </sheetView>
  </sheetViews>
  <sheetFormatPr baseColWidth="8" defaultRowHeight="15"/>
  <cols>
    <col width="36" customWidth="1" style="254" min="1" max="1"/>
    <col width="16" customWidth="1" style="254" min="2" max="2"/>
    <col width="10" customWidth="1" style="254" min="3" max="3"/>
    <col width="14" customWidth="1" style="254" min="4" max="4"/>
    <col width="16" customWidth="1" style="254" min="5" max="5"/>
    <col width="38" customWidth="1" style="254" min="6" max="6"/>
    <col width="9" customWidth="1" style="254" min="7" max="7"/>
    <col width="9" customWidth="1" style="254" min="8" max="8"/>
  </cols>
  <sheetData>
    <row r="1" ht="26" customHeight="1" s="254">
      <c r="A1" s="805" t="inlineStr">
        <is>
          <t>5B · PRICE BUILD-UP — what the Commercial tab's discounts do to every line (auto)</t>
        </is>
      </c>
      <c r="G1" s="804" t="n"/>
      <c r="H1" s="804" t="n"/>
    </row>
    <row r="2" ht="43.5" customHeight="1" s="254">
      <c r="A2" s="792" t="inlineStr">
        <is>
          <t>Nothing on this tab is typed. Every line is computed from the same cells the model engine reads, the way the model's cost build-up computes it, so what you see here is the customer price the model will print. Discounts reach only what Zero Impact Energy performs or sells: materials, rentals and third-party fees are never discounted.</t>
        </is>
      </c>
      <c r="G2" s="804" t="n"/>
      <c r="H2" s="804" t="n"/>
    </row>
    <row r="3" ht="16" customHeight="1" s="254">
      <c r="A3" s="811" t="n"/>
      <c r="B3" s="804" t="n"/>
      <c r="C3" s="804" t="n"/>
      <c r="D3" s="804" t="n"/>
      <c r="E3" s="804" t="n"/>
      <c r="F3" s="804" t="n"/>
      <c r="G3" s="804" t="n"/>
      <c r="H3" s="804" t="n"/>
    </row>
    <row r="4" ht="31" customHeight="1" s="254">
      <c r="A4" s="806" t="inlineStr">
        <is>
          <t>Line</t>
        </is>
      </c>
      <c r="B4" s="806" t="inlineStr">
        <is>
          <t>List ($)</t>
        </is>
      </c>
      <c r="C4" s="806" t="inlineStr">
        <is>
          <t>Discount</t>
        </is>
      </c>
      <c r="D4" s="806" t="inlineStr">
        <is>
          <t>Discount ($)</t>
        </is>
      </c>
      <c r="E4" s="806" t="inlineStr">
        <is>
          <t>Customer price ($)</t>
        </is>
      </c>
      <c r="F4" s="806" t="inlineStr">
        <is>
          <t>Basis</t>
        </is>
      </c>
      <c r="G4" s="804" t="n"/>
      <c r="H4" s="804" t="n"/>
    </row>
    <row r="5" ht="31" customHeight="1" s="254">
      <c r="A5" s="876" t="inlineStr">
        <is>
          <t>Charger hardware</t>
        </is>
      </c>
      <c r="B5" s="885">
        <f>Equipment!$B$24</f>
        <v/>
      </c>
      <c r="C5" s="901">
        <f>Commercial!$B$5</f>
        <v/>
      </c>
      <c r="D5" s="867">
        <f>$B5-$E5</f>
        <v/>
      </c>
      <c r="E5" s="885">
        <f>Equipment!$B$25</f>
        <v/>
      </c>
      <c r="F5" s="902" t="inlineStr">
        <is>
          <t>Equipment schedule at price-book list; the discount is the Commercial tab's.</t>
        </is>
      </c>
      <c r="G5" s="804" t="n"/>
      <c r="H5" s="804" t="n"/>
    </row>
    <row r="6" ht="31" customHeight="1" s="254">
      <c r="A6" s="876" t="inlineStr">
        <is>
          <t>Sales tax on equipment</t>
        </is>
      </c>
      <c r="B6" s="885">
        <f>Equipment!$B$25*Commercial!$B$9</f>
        <v/>
      </c>
      <c r="C6" s="903" t="n">
        <v>0</v>
      </c>
      <c r="D6" s="867">
        <f>$B6-$E6</f>
        <v/>
      </c>
      <c r="E6" s="885">
        <f>$B6*(1-$C6)</f>
        <v/>
      </c>
      <c r="F6" s="902" t="inlineStr">
        <is>
          <t>On the discounted equipment, not on list. Collected and remitted; no margin.</t>
        </is>
      </c>
      <c r="G6" s="804" t="n"/>
      <c r="H6" s="804" t="n"/>
    </row>
    <row r="7" ht="31" customHeight="1" s="254">
      <c r="A7" s="876" t="inlineStr">
        <is>
          <t>Service and extended warranty</t>
        </is>
      </c>
      <c r="B7" s="885">
        <f>$B$40</f>
        <v/>
      </c>
      <c r="C7" s="901">
        <f>Commercial!$B$6</f>
        <v/>
      </c>
      <c r="D7" s="867">
        <f>$B7-$E7</f>
        <v/>
      </c>
      <c r="E7" s="885">
        <f>$B7*(1-$C7)</f>
        <v/>
      </c>
      <c r="F7" s="902" t="inlineStr">
        <is>
          <t>From the detail block below: price-book class rates x units x contract years.</t>
        </is>
      </c>
      <c r="G7" s="804" t="n"/>
      <c r="H7" s="804" t="n"/>
    </row>
    <row r="8" ht="31" customHeight="1" s="254">
      <c r="A8" s="876" t="inlineStr">
        <is>
          <t>EVOLV network and commissioning</t>
        </is>
      </c>
      <c r="B8" s="885">
        <f>Equipment!$B$22*Commercial!$B$14*12*Commercial!$B$12</f>
        <v/>
      </c>
      <c r="C8" s="901">
        <f>Commercial!$B$7</f>
        <v/>
      </c>
      <c r="D8" s="867">
        <f>$B8-$E8</f>
        <v/>
      </c>
      <c r="E8" s="885">
        <f>$B8*(1-$C8)</f>
        <v/>
      </c>
      <c r="F8" s="902" t="inlineStr">
        <is>
          <t>Ports x fee per port per month x 12 x contract years.</t>
        </is>
      </c>
      <c r="G8" s="804" t="n"/>
      <c r="H8" s="804" t="n"/>
    </row>
    <row r="9" ht="43.5" customHeight="1" s="254">
      <c r="A9" s="876" t="inlineStr">
        <is>
          <t>Main switchgear and distribution</t>
        </is>
      </c>
      <c r="B9" s="885">
        <f>Electrical!$B$178*(1+Construction!$B$72)</f>
        <v/>
      </c>
      <c r="C9" s="903" t="n">
        <v>0</v>
      </c>
      <c r="D9" s="867">
        <f>$B9-$E9</f>
        <v/>
      </c>
      <c r="E9" s="885">
        <f>$B9*(1-$C9)</f>
        <v/>
      </c>
      <c r="F9" s="902" t="inlineStr">
        <is>
          <t>The distribution schedule on the Electrical tab, plus the materials markup. Not discounted.</t>
        </is>
      </c>
      <c r="G9" s="804" t="n"/>
      <c r="H9" s="804" t="n"/>
    </row>
    <row r="10" ht="81" customHeight="1" s="254">
      <c r="A10" s="876" t="inlineStr">
        <is>
          <t>Wire, conduit and peripherals</t>
        </is>
      </c>
      <c r="B10" s="885">
        <f>(Electrical!$B$86+Electrical!$B$128+Electrical!$B$256)*(1+Construction!$B$72)</f>
        <v/>
      </c>
      <c r="C10" s="903" t="n">
        <v>0</v>
      </c>
      <c r="D10" s="867">
        <f>$B10-$E10</f>
        <v/>
      </c>
      <c r="E10" s="885">
        <f>$B10*(1-$C10)</f>
        <v/>
      </c>
      <c r="F10" s="902" t="inlineStr">
        <is>
          <t>Charger runs, dispenser runs and the distribution feeders between the items on the schedule, at RefData rates, plus the materials markup. Not discounted. A service feeder Zero Impact Energy provides is priced by the model on its own line.</t>
        </is>
      </c>
      <c r="G10" s="804" t="n"/>
      <c r="H10" s="804" t="n"/>
    </row>
    <row r="11" ht="43.5" customHeight="1" s="254">
      <c r="A11" s="876" t="inlineStr">
        <is>
          <t>Site works</t>
        </is>
      </c>
      <c r="B11" s="885">
        <f>SUMPRODUCT(--(Construction!$E$14:$E$27="Y"),Construction!$B$14:$B$27,Construction!$D$14:$D$27)*(1+Construction!$B$72)</f>
        <v/>
      </c>
      <c r="C11" s="903" t="n">
        <v>0</v>
      </c>
      <c r="D11" s="867">
        <f>$B11-$E11</f>
        <v/>
      </c>
      <c r="E11" s="885">
        <f>$B11*(1-$C11)</f>
        <v/>
      </c>
      <c r="F11" s="902" t="inlineStr">
        <is>
          <t>Included site-works items, quantity x unit cost, plus the materials markup. Not discounted.</t>
        </is>
      </c>
      <c r="G11" s="804" t="n"/>
      <c r="H11" s="804" t="n"/>
    </row>
    <row r="12" ht="43.5" customHeight="1" s="254">
      <c r="A12" s="876" t="inlineStr">
        <is>
          <t>Construction equipment rentals</t>
        </is>
      </c>
      <c r="B12" s="885">
        <f>IF(N(Overrides!$B$15)&gt;0,N(Overrides!$B$15),SUMPRODUCT(--(Construction!$E$39:$E$52="Y"),Construction!$B$39:$B$52,Construction!$C$39:$C$52,Construction!$D$39:$D$52))*(1+Construction!$B$72)</f>
        <v/>
      </c>
      <c r="C12" s="903" t="n">
        <v>0</v>
      </c>
      <c r="D12" s="867">
        <f>$B12-$E12</f>
        <v/>
      </c>
      <c r="E12" s="885">
        <f>$B12*(1-$C12)</f>
        <v/>
      </c>
      <c r="F12" s="902" t="inlineStr">
        <is>
          <t>Included rentals, qty x unit x days, plus the materials markup — or the override register's figure. Not discounted.</t>
        </is>
      </c>
      <c r="G12" s="804" t="n"/>
      <c r="H12" s="804" t="n"/>
    </row>
    <row r="13" ht="43.5" customHeight="1" s="254">
      <c r="A13" s="876" t="inlineStr">
        <is>
          <t>Design and engineering</t>
        </is>
      </c>
      <c r="B13" s="885">
        <f>IF(N(Overrides!$B$16)&gt;0,N(Overrides!$B$16),Construction!$B$35)</f>
        <v/>
      </c>
      <c r="C13" s="901">
        <f>Commercial!$B$8</f>
        <v/>
      </c>
      <c r="D13" s="867">
        <f>$B13-$E13</f>
        <v/>
      </c>
      <c r="E13" s="885">
        <f>$B13*(1-$C13)</f>
        <v/>
      </c>
      <c r="F13" s="902" t="inlineStr">
        <is>
          <t>Drawing sets and PM hours at the intake rates, or the override. In-house, so the labour discount applies.</t>
        </is>
      </c>
      <c r="G13" s="804" t="n"/>
      <c r="H13" s="804" t="n"/>
    </row>
    <row r="14" ht="31" customHeight="1" s="254">
      <c r="A14" s="876" t="inlineStr">
        <is>
          <t>Labour</t>
        </is>
      </c>
      <c r="B14" s="885">
        <f>Construction!$B$9</f>
        <v/>
      </c>
      <c r="C14" s="901">
        <f>Commercial!$B$8</f>
        <v/>
      </c>
      <c r="D14" s="867">
        <f>$B14-$E14</f>
        <v/>
      </c>
      <c r="E14" s="885">
        <f>$B14*(1-$C14)</f>
        <v/>
      </c>
      <c r="F14" s="902" t="inlineStr">
        <is>
          <t>Crew days x rate x contingency x markup. The labour discount applies.</t>
        </is>
      </c>
      <c r="G14" s="804" t="n"/>
      <c r="H14" s="804" t="n"/>
    </row>
    <row r="15" ht="31" customHeight="1" s="254">
      <c r="A15" s="876" t="inlineStr">
        <is>
          <t>Construction project management</t>
        </is>
      </c>
      <c r="B15" s="885">
        <f>$B$14*Construction!$B$10</f>
        <v/>
      </c>
      <c r="C15" s="901">
        <f>Commercial!$B$8</f>
        <v/>
      </c>
      <c r="D15" s="867">
        <f>$B15-$E15</f>
        <v/>
      </c>
      <c r="E15" s="885">
        <f>$B15*(1-$C15)</f>
        <v/>
      </c>
      <c r="F15" s="902" t="inlineStr">
        <is>
          <t>A percentage of labour. The labour discount applies.</t>
        </is>
      </c>
      <c r="G15" s="804" t="n"/>
      <c r="H15" s="804" t="n"/>
    </row>
    <row r="16" ht="31" customHeight="1" s="254">
      <c r="A16" s="876" t="inlineStr">
        <is>
          <t>Utility and third-party fees</t>
        </is>
      </c>
      <c r="B16" s="885">
        <f>Construction!$B$89</f>
        <v/>
      </c>
      <c r="C16" s="903" t="n">
        <v>0</v>
      </c>
      <c r="D16" s="867">
        <f>$B16-$E16</f>
        <v/>
      </c>
      <c r="E16" s="885">
        <f>$B16*(1-$C16)</f>
        <v/>
      </c>
      <c r="F16" s="902" t="inlineStr">
        <is>
          <t>Paid to others, billed at cost. No markup, no discount.</t>
        </is>
      </c>
      <c r="G16" s="804" t="n"/>
      <c r="H16" s="804" t="n"/>
    </row>
    <row r="17" ht="31" customHeight="1" s="254">
      <c r="A17" s="876" t="inlineStr">
        <is>
          <t>Additional or unforeseen scope</t>
        </is>
      </c>
      <c r="B17" s="885">
        <f>N(Overrides!$B$18)</f>
        <v/>
      </c>
      <c r="C17" s="903" t="n">
        <v>0</v>
      </c>
      <c r="D17" s="867">
        <f>$B17-$E17</f>
        <v/>
      </c>
      <c r="E17" s="885">
        <f>$B17*(1-$C17)</f>
        <v/>
      </c>
      <c r="F17" s="902" t="inlineStr">
        <is>
          <t>From the override register; billed at cost.</t>
        </is>
      </c>
      <c r="G17" s="804" t="n"/>
      <c r="H17" s="804" t="n"/>
    </row>
    <row r="18" ht="31" customHeight="1" s="254">
      <c r="A18" s="876" t="inlineStr">
        <is>
          <t>Utility line-extension contribution</t>
        </is>
      </c>
      <c r="B18" s="885">
        <f>N(Overrides!$B$17)</f>
        <v/>
      </c>
      <c r="C18" s="903" t="n">
        <v>0</v>
      </c>
      <c r="D18" s="867">
        <f>$B18-$E18</f>
        <v/>
      </c>
      <c r="E18" s="885">
        <f>$B18*(1-$C18)</f>
        <v/>
      </c>
      <c r="F18" s="902" t="inlineStr">
        <is>
          <t>From the override register; paid to the utility, billed at cost.</t>
        </is>
      </c>
      <c r="G18" s="804" t="n"/>
      <c r="H18" s="804" t="n"/>
    </row>
    <row r="19" ht="16" customHeight="1" s="254">
      <c r="A19" s="811" t="n"/>
      <c r="B19" s="804" t="n"/>
      <c r="C19" s="804" t="n"/>
      <c r="D19" s="804" t="n"/>
      <c r="E19" s="804" t="n"/>
      <c r="F19" s="804" t="n"/>
      <c r="G19" s="804" t="n"/>
      <c r="H19" s="804" t="n"/>
    </row>
    <row r="20" ht="43.5" customHeight="1" s="254">
      <c r="A20" s="904" t="inlineStr">
        <is>
          <t>GRAND TOTAL</t>
        </is>
      </c>
      <c r="B20" s="905">
        <f>SUM($B$5:$B$18)</f>
        <v/>
      </c>
      <c r="C20" s="906" t="n"/>
      <c r="D20" s="905">
        <f>SUM($D$5:$D$18)</f>
        <v/>
      </c>
      <c r="E20" s="905">
        <f>SUM($E$5:$E$18)</f>
        <v/>
      </c>
      <c r="F20" s="907" t="inlineStr">
        <is>
          <t>List less discount equals the customer price. The model's price ties to column E.</t>
        </is>
      </c>
      <c r="G20" s="804" t="n"/>
      <c r="H20" s="804" t="n"/>
    </row>
    <row r="21" ht="16" customHeight="1" s="254">
      <c r="A21" s="781" t="inlineStr">
        <is>
          <t>Overall discount</t>
        </is>
      </c>
      <c r="B21" s="908">
        <f>IF(N($B$20)=0,0,$D$20/$B$20)</f>
        <v/>
      </c>
      <c r="C21" s="814" t="inlineStr">
        <is>
          <t>Discount dollars over list.</t>
        </is>
      </c>
      <c r="G21" s="804" t="n"/>
      <c r="H21" s="804" t="n"/>
    </row>
    <row r="22" ht="31" customHeight="1" s="254">
      <c r="A22" s="781" t="inlineStr">
        <is>
          <t>Already paid — down payment or milestone received</t>
        </is>
      </c>
      <c r="B22" s="870">
        <f>Commercial!$B$24</f>
        <v/>
      </c>
      <c r="C22" s="814" t="inlineStr">
        <is>
          <t>The Commercial tab's Down payment row: cash the client has already put in.</t>
        </is>
      </c>
      <c r="G22" s="804" t="n"/>
      <c r="H22" s="804" t="n"/>
    </row>
    <row r="23" ht="16" customHeight="1" s="254">
      <c r="A23" s="781" t="inlineStr">
        <is>
          <t>Balance to finance</t>
        </is>
      </c>
      <c r="B23" s="870">
        <f>$E$20-N(Commercial!$B$24)</f>
        <v/>
      </c>
      <c r="C23" s="814" t="inlineStr">
        <is>
          <t>Customer price less what is already paid; the loan is on this.</t>
        </is>
      </c>
      <c r="G23" s="804" t="n"/>
      <c r="H23" s="804" t="n"/>
    </row>
    <row r="24" ht="16" customHeight="1" s="254">
      <c r="A24" s="811" t="n"/>
      <c r="B24" s="804" t="n"/>
      <c r="C24" s="804" t="n"/>
      <c r="D24" s="804" t="n"/>
      <c r="E24" s="804" t="n"/>
      <c r="F24" s="804" t="n"/>
      <c r="G24" s="804" t="n"/>
      <c r="H24" s="804" t="n"/>
    </row>
    <row r="25" ht="19.75" customHeight="1" s="254">
      <c r="A25" s="798" t="inlineStr">
        <is>
          <t>Service and warranty — the class rates behind the line above</t>
        </is>
      </c>
    </row>
    <row r="26" ht="56" customHeight="1" s="254">
      <c r="A26" s="814" t="inlineStr">
        <is>
          <t>Each equipment line is matched to the price book's service table the way the engine matches it: by SKU, else by "DC-&lt;kW&gt;kW", and a Level 2 unit by "AC Charger - &lt;kW&gt; kW ... Single/Dual". Inside the included manufacturer term only the service rate is charged; after it, warranty plus service. DC units use the Commercial tab's in-warranty years; Level 2 units use the term the price book states for their class.</t>
        </is>
      </c>
      <c r="G26" s="804" t="n"/>
      <c r="H26" s="804" t="n"/>
    </row>
    <row r="27" ht="31" customHeight="1" s="254">
      <c r="A27" s="806" t="inlineStr">
        <is>
          <t>Equipment line</t>
        </is>
      </c>
      <c r="B27" s="806" t="inlineStr">
        <is>
          <t>Units</t>
        </is>
      </c>
      <c r="C27" s="806" t="inlineStr">
        <is>
          <t>Yrs in warranty</t>
        </is>
      </c>
      <c r="D27" s="806" t="inlineStr">
        <is>
          <t>Rate, in warranty ($/unit/yr)</t>
        </is>
      </c>
      <c r="E27" s="806" t="inlineStr">
        <is>
          <t>Rate after ($/unit/yr)</t>
        </is>
      </c>
      <c r="F27" s="806" t="inlineStr">
        <is>
          <t>Class matched · cost at list ($)</t>
        </is>
      </c>
      <c r="G27" s="804" t="n"/>
      <c r="H27" s="804" t="n"/>
    </row>
    <row r="28" ht="16" customHeight="1" s="254">
      <c r="A28" s="862">
        <f>IF(Equipment!$C$7="","","Line 1 · "&amp;Equipment!$C$7)</f>
        <v/>
      </c>
      <c r="B28" s="871">
        <f>IF(AND(Equipment!$C$7&lt;&gt;"",OR(OR(Equipment!$E$7="all_in_one",Equipment!$E$7="power_cabinet"),Equipment!$E$7="level_2")),N(Equipment!$I$7),0)</f>
        <v/>
      </c>
      <c r="C28" s="871">
        <f>IF($B28=0,0,IF(OR(Equipment!$E$7="all_in_one",Equipment!$E$7="power_cabinet"),N(Commercial!$B$13),IFERROR(VALUE(LEFT(INDEX(PriceBook!$G$97:$G$110,IFERROR(MATCH(Equipment!$C$7,PriceBook!$A$97:$A$110,0),IF(Equipment!$E$7="level_2",MATCH("AC Charger - "&amp;TEXT(Equipment!$F$7,"0.0")&amp;" kW*"&amp;IF(N(Equipment!$H$7)&gt;=2,"Dual","Single")&amp;"*",PriceBook!$A$97:$A$110,0),MATCH("DC-"&amp;TEXT(Equipment!$F$7,"0")&amp;"kW*",PriceBook!$A$97:$A$110,0)))),1)),0)))</f>
        <v/>
      </c>
      <c r="D28" s="909">
        <f>IF($B28=0,0,IFERROR(N(INDEX(PriceBook!$D$97:$D$110,IFERROR(MATCH(Equipment!$C$7,PriceBook!$A$97:$A$110,0),IF(Equipment!$E$7="level_2",MATCH("AC Charger - "&amp;TEXT(Equipment!$F$7,"0.0")&amp;" kW*"&amp;IF(N(Equipment!$H$7)&gt;=2,"Dual","Single")&amp;"*",PriceBook!$A$97:$A$110,0),MATCH("DC-"&amp;TEXT(Equipment!$F$7,"0")&amp;"kW*",PriceBook!$A$97:$A$110,0))))),0))</f>
        <v/>
      </c>
      <c r="E28" s="909">
        <f>IF($B28=0,0,IFERROR(N(INDEX(PriceBook!$E$97:$E$110,IFERROR(MATCH(Equipment!$C$7,PriceBook!$A$97:$A$110,0),IF(Equipment!$E$7="level_2",MATCH("AC Charger - "&amp;TEXT(Equipment!$F$7,"0.0")&amp;" kW*"&amp;IF(N(Equipment!$H$7)&gt;=2,"Dual","Single")&amp;"*",PriceBook!$A$97:$A$110,0),MATCH("DC-"&amp;TEXT(Equipment!$F$7,"0")&amp;"kW*",PriceBook!$A$97:$A$110,0))))),0))</f>
        <v/>
      </c>
      <c r="F28" s="863">
        <f>IF($B28=0,"",IFERROR(INDEX(PriceBook!$A$97:$A$110,IFERROR(MATCH(Equipment!$C$7,PriceBook!$A$97:$A$110,0),IF(Equipment!$E$7="level_2",MATCH("AC Charger - "&amp;TEXT(Equipment!$F$7,"0.0")&amp;" kW*"&amp;IF(N(Equipment!$H$7)&gt;=2,"Dual","Single")&amp;"*",PriceBook!$A$97:$A$110,0),MATCH("DC-"&amp;TEXT(Equipment!$F$7,"0")&amp;"kW*",PriceBook!$A$97:$A$110,0))))&amp;" · "&amp;TEXT($B28*(MIN(N(Commercial!$B$12),$C28)*$D28+MAX(0,N(Commercial!$B$12)-$C28)*$E28),"$#,##0.00"),"NO SERVICE CLASS IN THE PRICE BOOK FOR THIS SKU — the line is unpriced"))</f>
        <v/>
      </c>
      <c r="G28" s="804" t="n"/>
      <c r="H28" s="804" t="n"/>
    </row>
    <row r="29" ht="16" customHeight="1" s="254">
      <c r="A29" s="862">
        <f>IF(Equipment!$C$8="","","Line 2 · "&amp;Equipment!$C$8)</f>
        <v/>
      </c>
      <c r="B29" s="871">
        <f>IF(AND(Equipment!$C$8&lt;&gt;"",OR(OR(Equipment!$E$8="all_in_one",Equipment!$E$8="power_cabinet"),Equipment!$E$8="level_2")),N(Equipment!$I$8),0)</f>
        <v/>
      </c>
      <c r="C29" s="871">
        <f>IF($B29=0,0,IF(OR(Equipment!$E$8="all_in_one",Equipment!$E$8="power_cabinet"),N(Commercial!$B$13),IFERROR(VALUE(LEFT(INDEX(PriceBook!$G$97:$G$110,IFERROR(MATCH(Equipment!$C$8,PriceBook!$A$97:$A$110,0),IF(Equipment!$E$8="level_2",MATCH("AC Charger - "&amp;TEXT(Equipment!$F$8,"0.0")&amp;" kW*"&amp;IF(N(Equipment!$H$8)&gt;=2,"Dual","Single")&amp;"*",PriceBook!$A$97:$A$110,0),MATCH("DC-"&amp;TEXT(Equipment!$F$8,"0")&amp;"kW*",PriceBook!$A$97:$A$110,0)))),1)),0)))</f>
        <v/>
      </c>
      <c r="D29" s="909">
        <f>IF($B29=0,0,IFERROR(N(INDEX(PriceBook!$D$97:$D$110,IFERROR(MATCH(Equipment!$C$8,PriceBook!$A$97:$A$110,0),IF(Equipment!$E$8="level_2",MATCH("AC Charger - "&amp;TEXT(Equipment!$F$8,"0.0")&amp;" kW*"&amp;IF(N(Equipment!$H$8)&gt;=2,"Dual","Single")&amp;"*",PriceBook!$A$97:$A$110,0),MATCH("DC-"&amp;TEXT(Equipment!$F$8,"0")&amp;"kW*",PriceBook!$A$97:$A$110,0))))),0))</f>
        <v/>
      </c>
      <c r="E29" s="909">
        <f>IF($B29=0,0,IFERROR(N(INDEX(PriceBook!$E$97:$E$110,IFERROR(MATCH(Equipment!$C$8,PriceBook!$A$97:$A$110,0),IF(Equipment!$E$8="level_2",MATCH("AC Charger - "&amp;TEXT(Equipment!$F$8,"0.0")&amp;" kW*"&amp;IF(N(Equipment!$H$8)&gt;=2,"Dual","Single")&amp;"*",PriceBook!$A$97:$A$110,0),MATCH("DC-"&amp;TEXT(Equipment!$F$8,"0")&amp;"kW*",PriceBook!$A$97:$A$110,0))))),0))</f>
        <v/>
      </c>
      <c r="F29" s="863">
        <f>IF($B29=0,"",IFERROR(INDEX(PriceBook!$A$97:$A$110,IFERROR(MATCH(Equipment!$C$8,PriceBook!$A$97:$A$110,0),IF(Equipment!$E$8="level_2",MATCH("AC Charger - "&amp;TEXT(Equipment!$F$8,"0.0")&amp;" kW*"&amp;IF(N(Equipment!$H$8)&gt;=2,"Dual","Single")&amp;"*",PriceBook!$A$97:$A$110,0),MATCH("DC-"&amp;TEXT(Equipment!$F$8,"0")&amp;"kW*",PriceBook!$A$97:$A$110,0))))&amp;" · "&amp;TEXT($B29*(MIN(N(Commercial!$B$12),$C29)*$D29+MAX(0,N(Commercial!$B$12)-$C29)*$E29),"$#,##0.00"),"NO SERVICE CLASS IN THE PRICE BOOK FOR THIS SKU — the line is unpriced"))</f>
        <v/>
      </c>
      <c r="G29" s="804" t="n"/>
      <c r="H29" s="804" t="n"/>
    </row>
    <row r="30" ht="16" customHeight="1" s="254">
      <c r="A30" s="862">
        <f>IF(Equipment!$C$9="","","Line 3 · "&amp;Equipment!$C$9)</f>
        <v/>
      </c>
      <c r="B30" s="871">
        <f>IF(AND(Equipment!$C$9&lt;&gt;"",OR(OR(Equipment!$E$9="all_in_one",Equipment!$E$9="power_cabinet"),Equipment!$E$9="level_2")),N(Equipment!$I$9),0)</f>
        <v/>
      </c>
      <c r="C30" s="871">
        <f>IF($B30=0,0,IF(OR(Equipment!$E$9="all_in_one",Equipment!$E$9="power_cabinet"),N(Commercial!$B$13),IFERROR(VALUE(LEFT(INDEX(PriceBook!$G$97:$G$110,IFERROR(MATCH(Equipment!$C$9,PriceBook!$A$97:$A$110,0),IF(Equipment!$E$9="level_2",MATCH("AC Charger - "&amp;TEXT(Equipment!$F$9,"0.0")&amp;" kW*"&amp;IF(N(Equipment!$H$9)&gt;=2,"Dual","Single")&amp;"*",PriceBook!$A$97:$A$110,0),MATCH("DC-"&amp;TEXT(Equipment!$F$9,"0")&amp;"kW*",PriceBook!$A$97:$A$110,0)))),1)),0)))</f>
        <v/>
      </c>
      <c r="D30" s="909">
        <f>IF($B30=0,0,IFERROR(N(INDEX(PriceBook!$D$97:$D$110,IFERROR(MATCH(Equipment!$C$9,PriceBook!$A$97:$A$110,0),IF(Equipment!$E$9="level_2",MATCH("AC Charger - "&amp;TEXT(Equipment!$F$9,"0.0")&amp;" kW*"&amp;IF(N(Equipment!$H$9)&gt;=2,"Dual","Single")&amp;"*",PriceBook!$A$97:$A$110,0),MATCH("DC-"&amp;TEXT(Equipment!$F$9,"0")&amp;"kW*",PriceBook!$A$97:$A$110,0))))),0))</f>
        <v/>
      </c>
      <c r="E30" s="909">
        <f>IF($B30=0,0,IFERROR(N(INDEX(PriceBook!$E$97:$E$110,IFERROR(MATCH(Equipment!$C$9,PriceBook!$A$97:$A$110,0),IF(Equipment!$E$9="level_2",MATCH("AC Charger - "&amp;TEXT(Equipment!$F$9,"0.0")&amp;" kW*"&amp;IF(N(Equipment!$H$9)&gt;=2,"Dual","Single")&amp;"*",PriceBook!$A$97:$A$110,0),MATCH("DC-"&amp;TEXT(Equipment!$F$9,"0")&amp;"kW*",PriceBook!$A$97:$A$110,0))))),0))</f>
        <v/>
      </c>
      <c r="F30" s="863">
        <f>IF($B30=0,"",IFERROR(INDEX(PriceBook!$A$97:$A$110,IFERROR(MATCH(Equipment!$C$9,PriceBook!$A$97:$A$110,0),IF(Equipment!$E$9="level_2",MATCH("AC Charger - "&amp;TEXT(Equipment!$F$9,"0.0")&amp;" kW*"&amp;IF(N(Equipment!$H$9)&gt;=2,"Dual","Single")&amp;"*",PriceBook!$A$97:$A$110,0),MATCH("DC-"&amp;TEXT(Equipment!$F$9,"0")&amp;"kW*",PriceBook!$A$97:$A$110,0))))&amp;" · "&amp;TEXT($B30*(MIN(N(Commercial!$B$12),$C30)*$D30+MAX(0,N(Commercial!$B$12)-$C30)*$E30),"$#,##0.00"),"NO SERVICE CLASS IN THE PRICE BOOK FOR THIS SKU — the line is unpriced"))</f>
        <v/>
      </c>
      <c r="G30" s="804" t="n"/>
      <c r="H30" s="804" t="n"/>
    </row>
    <row r="31" ht="16" customHeight="1" s="254">
      <c r="A31" s="862">
        <f>IF(Equipment!$C$10="","","Line 4 · "&amp;Equipment!$C$10)</f>
        <v/>
      </c>
      <c r="B31" s="871">
        <f>IF(AND(Equipment!$C$10&lt;&gt;"",OR(OR(Equipment!$E$10="all_in_one",Equipment!$E$10="power_cabinet"),Equipment!$E$10="level_2")),N(Equipment!$I$10),0)</f>
        <v/>
      </c>
      <c r="C31" s="871">
        <f>IF($B31=0,0,IF(OR(Equipment!$E$10="all_in_one",Equipment!$E$10="power_cabinet"),N(Commercial!$B$13),IFERROR(VALUE(LEFT(INDEX(PriceBook!$G$97:$G$110,IFERROR(MATCH(Equipment!$C$10,PriceBook!$A$97:$A$110,0),IF(Equipment!$E$10="level_2",MATCH("AC Charger - "&amp;TEXT(Equipment!$F$10,"0.0")&amp;" kW*"&amp;IF(N(Equipment!$H$10)&gt;=2,"Dual","Single")&amp;"*",PriceBook!$A$97:$A$110,0),MATCH("DC-"&amp;TEXT(Equipment!$F$10,"0")&amp;"kW*",PriceBook!$A$97:$A$110,0)))),1)),0)))</f>
        <v/>
      </c>
      <c r="D31" s="909">
        <f>IF($B31=0,0,IFERROR(N(INDEX(PriceBook!$D$97:$D$110,IFERROR(MATCH(Equipment!$C$10,PriceBook!$A$97:$A$110,0),IF(Equipment!$E$10="level_2",MATCH("AC Charger - "&amp;TEXT(Equipment!$F$10,"0.0")&amp;" kW*"&amp;IF(N(Equipment!$H$10)&gt;=2,"Dual","Single")&amp;"*",PriceBook!$A$97:$A$110,0),MATCH("DC-"&amp;TEXT(Equipment!$F$10,"0")&amp;"kW*",PriceBook!$A$97:$A$110,0))))),0))</f>
        <v/>
      </c>
      <c r="E31" s="909">
        <f>IF($B31=0,0,IFERROR(N(INDEX(PriceBook!$E$97:$E$110,IFERROR(MATCH(Equipment!$C$10,PriceBook!$A$97:$A$110,0),IF(Equipment!$E$10="level_2",MATCH("AC Charger - "&amp;TEXT(Equipment!$F$10,"0.0")&amp;" kW*"&amp;IF(N(Equipment!$H$10)&gt;=2,"Dual","Single")&amp;"*",PriceBook!$A$97:$A$110,0),MATCH("DC-"&amp;TEXT(Equipment!$F$10,"0")&amp;"kW*",PriceBook!$A$97:$A$110,0))))),0))</f>
        <v/>
      </c>
      <c r="F31" s="863">
        <f>IF($B31=0,"",IFERROR(INDEX(PriceBook!$A$97:$A$110,IFERROR(MATCH(Equipment!$C$10,PriceBook!$A$97:$A$110,0),IF(Equipment!$E$10="level_2",MATCH("AC Charger - "&amp;TEXT(Equipment!$F$10,"0.0")&amp;" kW*"&amp;IF(N(Equipment!$H$10)&gt;=2,"Dual","Single")&amp;"*",PriceBook!$A$97:$A$110,0),MATCH("DC-"&amp;TEXT(Equipment!$F$10,"0")&amp;"kW*",PriceBook!$A$97:$A$110,0))))&amp;" · "&amp;TEXT($B31*(MIN(N(Commercial!$B$12),$C31)*$D31+MAX(0,N(Commercial!$B$12)-$C31)*$E31),"$#,##0.00"),"NO SERVICE CLASS IN THE PRICE BOOK FOR THIS SKU — the line is unpriced"))</f>
        <v/>
      </c>
      <c r="G31" s="804" t="n"/>
      <c r="H31" s="804" t="n"/>
    </row>
    <row r="32" ht="16" customHeight="1" s="254">
      <c r="A32" s="862">
        <f>IF(Equipment!$C$11="","","Line 5 · "&amp;Equipment!$C$11)</f>
        <v/>
      </c>
      <c r="B32" s="871">
        <f>IF(AND(Equipment!$C$11&lt;&gt;"",OR(OR(Equipment!$E$11="all_in_one",Equipment!$E$11="power_cabinet"),Equipment!$E$11="level_2")),N(Equipment!$I$11),0)</f>
        <v/>
      </c>
      <c r="C32" s="871">
        <f>IF($B32=0,0,IF(OR(Equipment!$E$11="all_in_one",Equipment!$E$11="power_cabinet"),N(Commercial!$B$13),IFERROR(VALUE(LEFT(INDEX(PriceBook!$G$97:$G$110,IFERROR(MATCH(Equipment!$C$11,PriceBook!$A$97:$A$110,0),IF(Equipment!$E$11="level_2",MATCH("AC Charger - "&amp;TEXT(Equipment!$F$11,"0.0")&amp;" kW*"&amp;IF(N(Equipment!$H$11)&gt;=2,"Dual","Single")&amp;"*",PriceBook!$A$97:$A$110,0),MATCH("DC-"&amp;TEXT(Equipment!$F$11,"0")&amp;"kW*",PriceBook!$A$97:$A$110,0)))),1)),0)))</f>
        <v/>
      </c>
      <c r="D32" s="909">
        <f>IF($B32=0,0,IFERROR(N(INDEX(PriceBook!$D$97:$D$110,IFERROR(MATCH(Equipment!$C$11,PriceBook!$A$97:$A$110,0),IF(Equipment!$E$11="level_2",MATCH("AC Charger - "&amp;TEXT(Equipment!$F$11,"0.0")&amp;" kW*"&amp;IF(N(Equipment!$H$11)&gt;=2,"Dual","Single")&amp;"*",PriceBook!$A$97:$A$110,0),MATCH("DC-"&amp;TEXT(Equipment!$F$11,"0")&amp;"kW*",PriceBook!$A$97:$A$110,0))))),0))</f>
        <v/>
      </c>
      <c r="E32" s="909">
        <f>IF($B32=0,0,IFERROR(N(INDEX(PriceBook!$E$97:$E$110,IFERROR(MATCH(Equipment!$C$11,PriceBook!$A$97:$A$110,0),IF(Equipment!$E$11="level_2",MATCH("AC Charger - "&amp;TEXT(Equipment!$F$11,"0.0")&amp;" kW*"&amp;IF(N(Equipment!$H$11)&gt;=2,"Dual","Single")&amp;"*",PriceBook!$A$97:$A$110,0),MATCH("DC-"&amp;TEXT(Equipment!$F$11,"0")&amp;"kW*",PriceBook!$A$97:$A$110,0))))),0))</f>
        <v/>
      </c>
      <c r="F32" s="863">
        <f>IF($B32=0,"",IFERROR(INDEX(PriceBook!$A$97:$A$110,IFERROR(MATCH(Equipment!$C$11,PriceBook!$A$97:$A$110,0),IF(Equipment!$E$11="level_2",MATCH("AC Charger - "&amp;TEXT(Equipment!$F$11,"0.0")&amp;" kW*"&amp;IF(N(Equipment!$H$11)&gt;=2,"Dual","Single")&amp;"*",PriceBook!$A$97:$A$110,0),MATCH("DC-"&amp;TEXT(Equipment!$F$11,"0")&amp;"kW*",PriceBook!$A$97:$A$110,0))))&amp;" · "&amp;TEXT($B32*(MIN(N(Commercial!$B$12),$C32)*$D32+MAX(0,N(Commercial!$B$12)-$C32)*$E32),"$#,##0.00"),"NO SERVICE CLASS IN THE PRICE BOOK FOR THIS SKU — the line is unpriced"))</f>
        <v/>
      </c>
      <c r="G32" s="804" t="n"/>
      <c r="H32" s="804" t="n"/>
    </row>
    <row r="33" ht="16" customHeight="1" s="254">
      <c r="A33" s="862">
        <f>IF(Equipment!$C$12="","","Line 6 · "&amp;Equipment!$C$12)</f>
        <v/>
      </c>
      <c r="B33" s="871">
        <f>IF(AND(Equipment!$C$12&lt;&gt;"",OR(OR(Equipment!$E$12="all_in_one",Equipment!$E$12="power_cabinet"),Equipment!$E$12="level_2")),N(Equipment!$I$12),0)</f>
        <v/>
      </c>
      <c r="C33" s="871">
        <f>IF($B33=0,0,IF(OR(Equipment!$E$12="all_in_one",Equipment!$E$12="power_cabinet"),N(Commercial!$B$13),IFERROR(VALUE(LEFT(INDEX(PriceBook!$G$97:$G$110,IFERROR(MATCH(Equipment!$C$12,PriceBook!$A$97:$A$110,0),IF(Equipment!$E$12="level_2",MATCH("AC Charger - "&amp;TEXT(Equipment!$F$12,"0.0")&amp;" kW*"&amp;IF(N(Equipment!$H$12)&gt;=2,"Dual","Single")&amp;"*",PriceBook!$A$97:$A$110,0),MATCH("DC-"&amp;TEXT(Equipment!$F$12,"0")&amp;"kW*",PriceBook!$A$97:$A$110,0)))),1)),0)))</f>
        <v/>
      </c>
      <c r="D33" s="909">
        <f>IF($B33=0,0,IFERROR(N(INDEX(PriceBook!$D$97:$D$110,IFERROR(MATCH(Equipment!$C$12,PriceBook!$A$97:$A$110,0),IF(Equipment!$E$12="level_2",MATCH("AC Charger - "&amp;TEXT(Equipment!$F$12,"0.0")&amp;" kW*"&amp;IF(N(Equipment!$H$12)&gt;=2,"Dual","Single")&amp;"*",PriceBook!$A$97:$A$110,0),MATCH("DC-"&amp;TEXT(Equipment!$F$12,"0")&amp;"kW*",PriceBook!$A$97:$A$110,0))))),0))</f>
        <v/>
      </c>
      <c r="E33" s="909">
        <f>IF($B33=0,0,IFERROR(N(INDEX(PriceBook!$E$97:$E$110,IFERROR(MATCH(Equipment!$C$12,PriceBook!$A$97:$A$110,0),IF(Equipment!$E$12="level_2",MATCH("AC Charger - "&amp;TEXT(Equipment!$F$12,"0.0")&amp;" kW*"&amp;IF(N(Equipment!$H$12)&gt;=2,"Dual","Single")&amp;"*",PriceBook!$A$97:$A$110,0),MATCH("DC-"&amp;TEXT(Equipment!$F$12,"0")&amp;"kW*",PriceBook!$A$97:$A$110,0))))),0))</f>
        <v/>
      </c>
      <c r="F33" s="863">
        <f>IF($B33=0,"",IFERROR(INDEX(PriceBook!$A$97:$A$110,IFERROR(MATCH(Equipment!$C$12,PriceBook!$A$97:$A$110,0),IF(Equipment!$E$12="level_2",MATCH("AC Charger - "&amp;TEXT(Equipment!$F$12,"0.0")&amp;" kW*"&amp;IF(N(Equipment!$H$12)&gt;=2,"Dual","Single")&amp;"*",PriceBook!$A$97:$A$110,0),MATCH("DC-"&amp;TEXT(Equipment!$F$12,"0")&amp;"kW*",PriceBook!$A$97:$A$110,0))))&amp;" · "&amp;TEXT($B33*(MIN(N(Commercial!$B$12),$C33)*$D33+MAX(0,N(Commercial!$B$12)-$C33)*$E33),"$#,##0.00"),"NO SERVICE CLASS IN THE PRICE BOOK FOR THIS SKU — the line is unpriced"))</f>
        <v/>
      </c>
      <c r="G33" s="804" t="n"/>
      <c r="H33" s="804" t="n"/>
    </row>
    <row r="34" ht="16" customHeight="1" s="254">
      <c r="A34" s="862">
        <f>IF(Equipment!$C$13="","","Line 7 · "&amp;Equipment!$C$13)</f>
        <v/>
      </c>
      <c r="B34" s="871">
        <f>IF(AND(Equipment!$C$13&lt;&gt;"",OR(OR(Equipment!$E$13="all_in_one",Equipment!$E$13="power_cabinet"),Equipment!$E$13="level_2")),N(Equipment!$I$13),0)</f>
        <v/>
      </c>
      <c r="C34" s="871">
        <f>IF($B34=0,0,IF(OR(Equipment!$E$13="all_in_one",Equipment!$E$13="power_cabinet"),N(Commercial!$B$13),IFERROR(VALUE(LEFT(INDEX(PriceBook!$G$97:$G$110,IFERROR(MATCH(Equipment!$C$13,PriceBook!$A$97:$A$110,0),IF(Equipment!$E$13="level_2",MATCH("AC Charger - "&amp;TEXT(Equipment!$F$13,"0.0")&amp;" kW*"&amp;IF(N(Equipment!$H$13)&gt;=2,"Dual","Single")&amp;"*",PriceBook!$A$97:$A$110,0),MATCH("DC-"&amp;TEXT(Equipment!$F$13,"0")&amp;"kW*",PriceBook!$A$97:$A$110,0)))),1)),0)))</f>
        <v/>
      </c>
      <c r="D34" s="909">
        <f>IF($B34=0,0,IFERROR(N(INDEX(PriceBook!$D$97:$D$110,IFERROR(MATCH(Equipment!$C$13,PriceBook!$A$97:$A$110,0),IF(Equipment!$E$13="level_2",MATCH("AC Charger - "&amp;TEXT(Equipment!$F$13,"0.0")&amp;" kW*"&amp;IF(N(Equipment!$H$13)&gt;=2,"Dual","Single")&amp;"*",PriceBook!$A$97:$A$110,0),MATCH("DC-"&amp;TEXT(Equipment!$F$13,"0")&amp;"kW*",PriceBook!$A$97:$A$110,0))))),0))</f>
        <v/>
      </c>
      <c r="E34" s="909">
        <f>IF($B34=0,0,IFERROR(N(INDEX(PriceBook!$E$97:$E$110,IFERROR(MATCH(Equipment!$C$13,PriceBook!$A$97:$A$110,0),IF(Equipment!$E$13="level_2",MATCH("AC Charger - "&amp;TEXT(Equipment!$F$13,"0.0")&amp;" kW*"&amp;IF(N(Equipment!$H$13)&gt;=2,"Dual","Single")&amp;"*",PriceBook!$A$97:$A$110,0),MATCH("DC-"&amp;TEXT(Equipment!$F$13,"0")&amp;"kW*",PriceBook!$A$97:$A$110,0))))),0))</f>
        <v/>
      </c>
      <c r="F34" s="863">
        <f>IF($B34=0,"",IFERROR(INDEX(PriceBook!$A$97:$A$110,IFERROR(MATCH(Equipment!$C$13,PriceBook!$A$97:$A$110,0),IF(Equipment!$E$13="level_2",MATCH("AC Charger - "&amp;TEXT(Equipment!$F$13,"0.0")&amp;" kW*"&amp;IF(N(Equipment!$H$13)&gt;=2,"Dual","Single")&amp;"*",PriceBook!$A$97:$A$110,0),MATCH("DC-"&amp;TEXT(Equipment!$F$13,"0")&amp;"kW*",PriceBook!$A$97:$A$110,0))))&amp;" · "&amp;TEXT($B34*(MIN(N(Commercial!$B$12),$C34)*$D34+MAX(0,N(Commercial!$B$12)-$C34)*$E34),"$#,##0.00"),"NO SERVICE CLASS IN THE PRICE BOOK FOR THIS SKU — the line is unpriced"))</f>
        <v/>
      </c>
      <c r="G34" s="804" t="n"/>
      <c r="H34" s="804" t="n"/>
    </row>
    <row r="35" ht="16" customHeight="1" s="254">
      <c r="A35" s="862">
        <f>IF(Equipment!$C$14="","","Line 8 · "&amp;Equipment!$C$14)</f>
        <v/>
      </c>
      <c r="B35" s="871">
        <f>IF(AND(Equipment!$C$14&lt;&gt;"",OR(OR(Equipment!$E$14="all_in_one",Equipment!$E$14="power_cabinet"),Equipment!$E$14="level_2")),N(Equipment!$I$14),0)</f>
        <v/>
      </c>
      <c r="C35" s="871">
        <f>IF($B35=0,0,IF(OR(Equipment!$E$14="all_in_one",Equipment!$E$14="power_cabinet"),N(Commercial!$B$13),IFERROR(VALUE(LEFT(INDEX(PriceBook!$G$97:$G$110,IFERROR(MATCH(Equipment!$C$14,PriceBook!$A$97:$A$110,0),IF(Equipment!$E$14="level_2",MATCH("AC Charger - "&amp;TEXT(Equipment!$F$14,"0.0")&amp;" kW*"&amp;IF(N(Equipment!$H$14)&gt;=2,"Dual","Single")&amp;"*",PriceBook!$A$97:$A$110,0),MATCH("DC-"&amp;TEXT(Equipment!$F$14,"0")&amp;"kW*",PriceBook!$A$97:$A$110,0)))),1)),0)))</f>
        <v/>
      </c>
      <c r="D35" s="909">
        <f>IF($B35=0,0,IFERROR(N(INDEX(PriceBook!$D$97:$D$110,IFERROR(MATCH(Equipment!$C$14,PriceBook!$A$97:$A$110,0),IF(Equipment!$E$14="level_2",MATCH("AC Charger - "&amp;TEXT(Equipment!$F$14,"0.0")&amp;" kW*"&amp;IF(N(Equipment!$H$14)&gt;=2,"Dual","Single")&amp;"*",PriceBook!$A$97:$A$110,0),MATCH("DC-"&amp;TEXT(Equipment!$F$14,"0")&amp;"kW*",PriceBook!$A$97:$A$110,0))))),0))</f>
        <v/>
      </c>
      <c r="E35" s="909">
        <f>IF($B35=0,0,IFERROR(N(INDEX(PriceBook!$E$97:$E$110,IFERROR(MATCH(Equipment!$C$14,PriceBook!$A$97:$A$110,0),IF(Equipment!$E$14="level_2",MATCH("AC Charger - "&amp;TEXT(Equipment!$F$14,"0.0")&amp;" kW*"&amp;IF(N(Equipment!$H$14)&gt;=2,"Dual","Single")&amp;"*",PriceBook!$A$97:$A$110,0),MATCH("DC-"&amp;TEXT(Equipment!$F$14,"0")&amp;"kW*",PriceBook!$A$97:$A$110,0))))),0))</f>
        <v/>
      </c>
      <c r="F35" s="863">
        <f>IF($B35=0,"",IFERROR(INDEX(PriceBook!$A$97:$A$110,IFERROR(MATCH(Equipment!$C$14,PriceBook!$A$97:$A$110,0),IF(Equipment!$E$14="level_2",MATCH("AC Charger - "&amp;TEXT(Equipment!$F$14,"0.0")&amp;" kW*"&amp;IF(N(Equipment!$H$14)&gt;=2,"Dual","Single")&amp;"*",PriceBook!$A$97:$A$110,0),MATCH("DC-"&amp;TEXT(Equipment!$F$14,"0")&amp;"kW*",PriceBook!$A$97:$A$110,0))))&amp;" · "&amp;TEXT($B35*(MIN(N(Commercial!$B$12),$C35)*$D35+MAX(0,N(Commercial!$B$12)-$C35)*$E35),"$#,##0.00"),"NO SERVICE CLASS IN THE PRICE BOOK FOR THIS SKU — the line is unpriced"))</f>
        <v/>
      </c>
      <c r="G35" s="804" t="n"/>
      <c r="H35" s="804" t="n"/>
    </row>
    <row r="36" ht="16" customHeight="1" s="254">
      <c r="A36" s="862">
        <f>IF(Equipment!$C$15="","","Line 9 · "&amp;Equipment!$C$15)</f>
        <v/>
      </c>
      <c r="B36" s="871">
        <f>IF(AND(Equipment!$C$15&lt;&gt;"",OR(OR(Equipment!$E$15="all_in_one",Equipment!$E$15="power_cabinet"),Equipment!$E$15="level_2")),N(Equipment!$I$15),0)</f>
        <v/>
      </c>
      <c r="C36" s="871">
        <f>IF($B36=0,0,IF(OR(Equipment!$E$15="all_in_one",Equipment!$E$15="power_cabinet"),N(Commercial!$B$13),IFERROR(VALUE(LEFT(INDEX(PriceBook!$G$97:$G$110,IFERROR(MATCH(Equipment!$C$15,PriceBook!$A$97:$A$110,0),IF(Equipment!$E$15="level_2",MATCH("AC Charger - "&amp;TEXT(Equipment!$F$15,"0.0")&amp;" kW*"&amp;IF(N(Equipment!$H$15)&gt;=2,"Dual","Single")&amp;"*",PriceBook!$A$97:$A$110,0),MATCH("DC-"&amp;TEXT(Equipment!$F$15,"0")&amp;"kW*",PriceBook!$A$97:$A$110,0)))),1)),0)))</f>
        <v/>
      </c>
      <c r="D36" s="909">
        <f>IF($B36=0,0,IFERROR(N(INDEX(PriceBook!$D$97:$D$110,IFERROR(MATCH(Equipment!$C$15,PriceBook!$A$97:$A$110,0),IF(Equipment!$E$15="level_2",MATCH("AC Charger - "&amp;TEXT(Equipment!$F$15,"0.0")&amp;" kW*"&amp;IF(N(Equipment!$H$15)&gt;=2,"Dual","Single")&amp;"*",PriceBook!$A$97:$A$110,0),MATCH("DC-"&amp;TEXT(Equipment!$F$15,"0")&amp;"kW*",PriceBook!$A$97:$A$110,0))))),0))</f>
        <v/>
      </c>
      <c r="E36" s="909">
        <f>IF($B36=0,0,IFERROR(N(INDEX(PriceBook!$E$97:$E$110,IFERROR(MATCH(Equipment!$C$15,PriceBook!$A$97:$A$110,0),IF(Equipment!$E$15="level_2",MATCH("AC Charger - "&amp;TEXT(Equipment!$F$15,"0.0")&amp;" kW*"&amp;IF(N(Equipment!$H$15)&gt;=2,"Dual","Single")&amp;"*",PriceBook!$A$97:$A$110,0),MATCH("DC-"&amp;TEXT(Equipment!$F$15,"0")&amp;"kW*",PriceBook!$A$97:$A$110,0))))),0))</f>
        <v/>
      </c>
      <c r="F36" s="863">
        <f>IF($B36=0,"",IFERROR(INDEX(PriceBook!$A$97:$A$110,IFERROR(MATCH(Equipment!$C$15,PriceBook!$A$97:$A$110,0),IF(Equipment!$E$15="level_2",MATCH("AC Charger - "&amp;TEXT(Equipment!$F$15,"0.0")&amp;" kW*"&amp;IF(N(Equipment!$H$15)&gt;=2,"Dual","Single")&amp;"*",PriceBook!$A$97:$A$110,0),MATCH("DC-"&amp;TEXT(Equipment!$F$15,"0")&amp;"kW*",PriceBook!$A$97:$A$110,0))))&amp;" · "&amp;TEXT($B36*(MIN(N(Commercial!$B$12),$C36)*$D36+MAX(0,N(Commercial!$B$12)-$C36)*$E36),"$#,##0.00"),"NO SERVICE CLASS IN THE PRICE BOOK FOR THIS SKU — the line is unpriced"))</f>
        <v/>
      </c>
      <c r="G36" s="804" t="n"/>
      <c r="H36" s="804" t="n"/>
    </row>
    <row r="37" ht="16" customHeight="1" s="254">
      <c r="A37" s="862">
        <f>IF(Equipment!$C$16="","","Line 10 · "&amp;Equipment!$C$16)</f>
        <v/>
      </c>
      <c r="B37" s="871">
        <f>IF(AND(Equipment!$C$16&lt;&gt;"",OR(OR(Equipment!$E$16="all_in_one",Equipment!$E$16="power_cabinet"),Equipment!$E$16="level_2")),N(Equipment!$I$16),0)</f>
        <v/>
      </c>
      <c r="C37" s="871">
        <f>IF($B37=0,0,IF(OR(Equipment!$E$16="all_in_one",Equipment!$E$16="power_cabinet"),N(Commercial!$B$13),IFERROR(VALUE(LEFT(INDEX(PriceBook!$G$97:$G$110,IFERROR(MATCH(Equipment!$C$16,PriceBook!$A$97:$A$110,0),IF(Equipment!$E$16="level_2",MATCH("AC Charger - "&amp;TEXT(Equipment!$F$16,"0.0")&amp;" kW*"&amp;IF(N(Equipment!$H$16)&gt;=2,"Dual","Single")&amp;"*",PriceBook!$A$97:$A$110,0),MATCH("DC-"&amp;TEXT(Equipment!$F$16,"0")&amp;"kW*",PriceBook!$A$97:$A$110,0)))),1)),0)))</f>
        <v/>
      </c>
      <c r="D37" s="909">
        <f>IF($B37=0,0,IFERROR(N(INDEX(PriceBook!$D$97:$D$110,IFERROR(MATCH(Equipment!$C$16,PriceBook!$A$97:$A$110,0),IF(Equipment!$E$16="level_2",MATCH("AC Charger - "&amp;TEXT(Equipment!$F$16,"0.0")&amp;" kW*"&amp;IF(N(Equipment!$H$16)&gt;=2,"Dual","Single")&amp;"*",PriceBook!$A$97:$A$110,0),MATCH("DC-"&amp;TEXT(Equipment!$F$16,"0")&amp;"kW*",PriceBook!$A$97:$A$110,0))))),0))</f>
        <v/>
      </c>
      <c r="E37" s="909">
        <f>IF($B37=0,0,IFERROR(N(INDEX(PriceBook!$E$97:$E$110,IFERROR(MATCH(Equipment!$C$16,PriceBook!$A$97:$A$110,0),IF(Equipment!$E$16="level_2",MATCH("AC Charger - "&amp;TEXT(Equipment!$F$16,"0.0")&amp;" kW*"&amp;IF(N(Equipment!$H$16)&gt;=2,"Dual","Single")&amp;"*",PriceBook!$A$97:$A$110,0),MATCH("DC-"&amp;TEXT(Equipment!$F$16,"0")&amp;"kW*",PriceBook!$A$97:$A$110,0))))),0))</f>
        <v/>
      </c>
      <c r="F37" s="863">
        <f>IF($B37=0,"",IFERROR(INDEX(PriceBook!$A$97:$A$110,IFERROR(MATCH(Equipment!$C$16,PriceBook!$A$97:$A$110,0),IF(Equipment!$E$16="level_2",MATCH("AC Charger - "&amp;TEXT(Equipment!$F$16,"0.0")&amp;" kW*"&amp;IF(N(Equipment!$H$16)&gt;=2,"Dual","Single")&amp;"*",PriceBook!$A$97:$A$110,0),MATCH("DC-"&amp;TEXT(Equipment!$F$16,"0")&amp;"kW*",PriceBook!$A$97:$A$110,0))))&amp;" · "&amp;TEXT($B37*(MIN(N(Commercial!$B$12),$C37)*$D37+MAX(0,N(Commercial!$B$12)-$C37)*$E37),"$#,##0.00"),"NO SERVICE CLASS IN THE PRICE BOOK FOR THIS SKU — the line is unpriced"))</f>
        <v/>
      </c>
      <c r="G37" s="804" t="n"/>
      <c r="H37" s="804" t="n"/>
    </row>
    <row r="38" ht="16" customHeight="1" s="254">
      <c r="A38" s="862">
        <f>IF(Equipment!$C$17="","","Line 11 · "&amp;Equipment!$C$17)</f>
        <v/>
      </c>
      <c r="B38" s="871">
        <f>IF(AND(Equipment!$C$17&lt;&gt;"",OR(OR(Equipment!$E$17="all_in_one",Equipment!$E$17="power_cabinet"),Equipment!$E$17="level_2")),N(Equipment!$I$17),0)</f>
        <v/>
      </c>
      <c r="C38" s="871">
        <f>IF($B38=0,0,IF(OR(Equipment!$E$17="all_in_one",Equipment!$E$17="power_cabinet"),N(Commercial!$B$13),IFERROR(VALUE(LEFT(INDEX(PriceBook!$G$97:$G$110,IFERROR(MATCH(Equipment!$C$17,PriceBook!$A$97:$A$110,0),IF(Equipment!$E$17="level_2",MATCH("AC Charger - "&amp;TEXT(Equipment!$F$17,"0.0")&amp;" kW*"&amp;IF(N(Equipment!$H$17)&gt;=2,"Dual","Single")&amp;"*",PriceBook!$A$97:$A$110,0),MATCH("DC-"&amp;TEXT(Equipment!$F$17,"0")&amp;"kW*",PriceBook!$A$97:$A$110,0)))),1)),0)))</f>
        <v/>
      </c>
      <c r="D38" s="909">
        <f>IF($B38=0,0,IFERROR(N(INDEX(PriceBook!$D$97:$D$110,IFERROR(MATCH(Equipment!$C$17,PriceBook!$A$97:$A$110,0),IF(Equipment!$E$17="level_2",MATCH("AC Charger - "&amp;TEXT(Equipment!$F$17,"0.0")&amp;" kW*"&amp;IF(N(Equipment!$H$17)&gt;=2,"Dual","Single")&amp;"*",PriceBook!$A$97:$A$110,0),MATCH("DC-"&amp;TEXT(Equipment!$F$17,"0")&amp;"kW*",PriceBook!$A$97:$A$110,0))))),0))</f>
        <v/>
      </c>
      <c r="E38" s="909">
        <f>IF($B38=0,0,IFERROR(N(INDEX(PriceBook!$E$97:$E$110,IFERROR(MATCH(Equipment!$C$17,PriceBook!$A$97:$A$110,0),IF(Equipment!$E$17="level_2",MATCH("AC Charger - "&amp;TEXT(Equipment!$F$17,"0.0")&amp;" kW*"&amp;IF(N(Equipment!$H$17)&gt;=2,"Dual","Single")&amp;"*",PriceBook!$A$97:$A$110,0),MATCH("DC-"&amp;TEXT(Equipment!$F$17,"0")&amp;"kW*",PriceBook!$A$97:$A$110,0))))),0))</f>
        <v/>
      </c>
      <c r="F38" s="863">
        <f>IF($B38=0,"",IFERROR(INDEX(PriceBook!$A$97:$A$110,IFERROR(MATCH(Equipment!$C$17,PriceBook!$A$97:$A$110,0),IF(Equipment!$E$17="level_2",MATCH("AC Charger - "&amp;TEXT(Equipment!$F$17,"0.0")&amp;" kW*"&amp;IF(N(Equipment!$H$17)&gt;=2,"Dual","Single")&amp;"*",PriceBook!$A$97:$A$110,0),MATCH("DC-"&amp;TEXT(Equipment!$F$17,"0")&amp;"kW*",PriceBook!$A$97:$A$110,0))))&amp;" · "&amp;TEXT($B38*(MIN(N(Commercial!$B$12),$C38)*$D38+MAX(0,N(Commercial!$B$12)-$C38)*$E38),"$#,##0.00"),"NO SERVICE CLASS IN THE PRICE BOOK FOR THIS SKU — the line is unpriced"))</f>
        <v/>
      </c>
      <c r="G38" s="804" t="n"/>
      <c r="H38" s="804" t="n"/>
    </row>
    <row r="39" ht="16" customHeight="1" s="254">
      <c r="A39" s="862">
        <f>IF(Equipment!$C$18="","","Line 12 · "&amp;Equipment!$C$18)</f>
        <v/>
      </c>
      <c r="B39" s="871">
        <f>IF(AND(Equipment!$C$18&lt;&gt;"",OR(OR(Equipment!$E$18="all_in_one",Equipment!$E$18="power_cabinet"),Equipment!$E$18="level_2")),N(Equipment!$I$18),0)</f>
        <v/>
      </c>
      <c r="C39" s="871">
        <f>IF($B39=0,0,IF(OR(Equipment!$E$18="all_in_one",Equipment!$E$18="power_cabinet"),N(Commercial!$B$13),IFERROR(VALUE(LEFT(INDEX(PriceBook!$G$97:$G$110,IFERROR(MATCH(Equipment!$C$18,PriceBook!$A$97:$A$110,0),IF(Equipment!$E$18="level_2",MATCH("AC Charger - "&amp;TEXT(Equipment!$F$18,"0.0")&amp;" kW*"&amp;IF(N(Equipment!$H$18)&gt;=2,"Dual","Single")&amp;"*",PriceBook!$A$97:$A$110,0),MATCH("DC-"&amp;TEXT(Equipment!$F$18,"0")&amp;"kW*",PriceBook!$A$97:$A$110,0)))),1)),0)))</f>
        <v/>
      </c>
      <c r="D39" s="909">
        <f>IF($B39=0,0,IFERROR(N(INDEX(PriceBook!$D$97:$D$110,IFERROR(MATCH(Equipment!$C$18,PriceBook!$A$97:$A$110,0),IF(Equipment!$E$18="level_2",MATCH("AC Charger - "&amp;TEXT(Equipment!$F$18,"0.0")&amp;" kW*"&amp;IF(N(Equipment!$H$18)&gt;=2,"Dual","Single")&amp;"*",PriceBook!$A$97:$A$110,0),MATCH("DC-"&amp;TEXT(Equipment!$F$18,"0")&amp;"kW*",PriceBook!$A$97:$A$110,0))))),0))</f>
        <v/>
      </c>
      <c r="E39" s="909">
        <f>IF($B39=0,0,IFERROR(N(INDEX(PriceBook!$E$97:$E$110,IFERROR(MATCH(Equipment!$C$18,PriceBook!$A$97:$A$110,0),IF(Equipment!$E$18="level_2",MATCH("AC Charger - "&amp;TEXT(Equipment!$F$18,"0.0")&amp;" kW*"&amp;IF(N(Equipment!$H$18)&gt;=2,"Dual","Single")&amp;"*",PriceBook!$A$97:$A$110,0),MATCH("DC-"&amp;TEXT(Equipment!$F$18,"0")&amp;"kW*",PriceBook!$A$97:$A$110,0))))),0))</f>
        <v/>
      </c>
      <c r="F39" s="863">
        <f>IF($B39=0,"",IFERROR(INDEX(PriceBook!$A$97:$A$110,IFERROR(MATCH(Equipment!$C$18,PriceBook!$A$97:$A$110,0),IF(Equipment!$E$18="level_2",MATCH("AC Charger - "&amp;TEXT(Equipment!$F$18,"0.0")&amp;" kW*"&amp;IF(N(Equipment!$H$18)&gt;=2,"Dual","Single")&amp;"*",PriceBook!$A$97:$A$110,0),MATCH("DC-"&amp;TEXT(Equipment!$F$18,"0")&amp;"kW*",PriceBook!$A$97:$A$110,0))))&amp;" · "&amp;TEXT($B39*(MIN(N(Commercial!$B$12),$C39)*$D39+MAX(0,N(Commercial!$B$12)-$C39)*$E39),"$#,##0.00"),"NO SERVICE CLASS IN THE PRICE BOOK FOR THIS SKU — the line is unpriced"))</f>
        <v/>
      </c>
      <c r="G39" s="804" t="n"/>
      <c r="H39" s="804" t="n"/>
    </row>
    <row r="40" ht="31" customHeight="1" s="254">
      <c r="A40" s="904" t="inlineStr">
        <is>
          <t>Service and warranty at list, all lines</t>
        </is>
      </c>
      <c r="B40" s="905">
        <f>SUMPRODUCT($B$28:$B$39,(($C$28:$C$39&lt;Commercial!$B$12)*$C$28:$C$39+($C$28:$C$39&gt;=Commercial!$B$12)*Commercial!$B$12)*$D$28:$D$39+(($C$28:$C$39&lt;Commercial!$B$12)*(Commercial!$B$12-$C$28:$C$39))*$E$28:$E$39)</f>
        <v/>
      </c>
      <c r="C40" s="906" t="n"/>
      <c r="D40" s="906" t="n"/>
      <c r="E40" s="906" t="n"/>
      <c r="F40" s="910">
        <f>TEXT(Commercial!$B$12,"0")&amp;" contract year(s). The line above reads this figure."</f>
        <v/>
      </c>
      <c r="G40" s="804" t="n"/>
      <c r="H40" s="804" t="n"/>
    </row>
    <row r="41" ht="16" customHeight="1" s="254">
      <c r="A41" s="781" t="inlineStr">
        <is>
          <t>Every scheduled unit has a class?</t>
        </is>
      </c>
      <c r="B41" s="810">
        <f>IF(COUNTIF($F$28:$F$39,"NO SERVICE CLASS*")&gt;0,"NO — "&amp;COUNTIF($F$28:$F$39,"NO SERVICE CLASS*")&amp;" line(s) have no service class in the price book; the service line is short by them","OK — every charging unit matched a service class")</f>
        <v/>
      </c>
      <c r="C41" s="804" t="n"/>
      <c r="D41" s="804" t="n"/>
      <c r="E41" s="804" t="n"/>
      <c r="F41" s="804" t="n"/>
      <c r="G41" s="804" t="n"/>
      <c r="H41" s="804" t="n"/>
    </row>
    <row r="42" ht="16" customHeight="1" s="254">
      <c r="A42" s="811" t="n"/>
      <c r="B42" s="804" t="n"/>
      <c r="C42" s="804" t="n"/>
      <c r="D42" s="804" t="n"/>
      <c r="E42" s="804" t="n"/>
      <c r="F42" s="804" t="n"/>
      <c r="G42" s="804" t="n"/>
      <c r="H42" s="804" t="n"/>
    </row>
    <row r="43" ht="19.75" customHeight="1" s="254">
      <c r="A43" s="798" t="inlineStr">
        <is>
          <t>EVOLV network and commissioning — the platform fee behind the line above</t>
        </is>
      </c>
    </row>
    <row r="44" ht="16" customHeight="1" s="254">
      <c r="A44" s="781" t="inlineStr">
        <is>
          <t>Ports (connectors) on the schedule</t>
        </is>
      </c>
      <c r="B44" s="809">
        <f>Equipment!$B$22</f>
        <v/>
      </c>
      <c r="C44" s="814" t="inlineStr">
        <is>
          <t>The billing basis is ports, never cabinets.</t>
        </is>
      </c>
      <c r="G44" s="804" t="n"/>
      <c r="H44" s="804" t="n"/>
    </row>
    <row r="45" ht="16" customHeight="1" s="254">
      <c r="A45" s="781" t="inlineStr">
        <is>
          <t>Fee per port per month</t>
        </is>
      </c>
      <c r="B45" s="870">
        <f>Commercial!$B$14</f>
        <v/>
      </c>
      <c r="C45" s="804" t="n"/>
      <c r="D45" s="804" t="n"/>
      <c r="E45" s="804" t="n"/>
      <c r="F45" s="804" t="n"/>
      <c r="G45" s="804" t="n"/>
      <c r="H45" s="804" t="n"/>
    </row>
    <row r="46" ht="16" customHeight="1" s="254">
      <c r="A46" s="781" t="inlineStr">
        <is>
          <t>Contract years</t>
        </is>
      </c>
      <c r="B46" s="809">
        <f>Commercial!$B$12</f>
        <v/>
      </c>
      <c r="C46" s="804" t="n"/>
      <c r="D46" s="804" t="n"/>
      <c r="E46" s="804" t="n"/>
      <c r="F46" s="804" t="n"/>
      <c r="G46" s="804" t="n"/>
      <c r="H46" s="804" t="n"/>
    </row>
    <row r="47" ht="16" customHeight="1" s="254">
      <c r="A47" s="781" t="inlineStr">
        <is>
          <t>EVOLV across the contract, at list</t>
        </is>
      </c>
      <c r="B47" s="870">
        <f>$B$8</f>
        <v/>
      </c>
      <c r="C47" s="804" t="n"/>
      <c r="D47" s="804" t="n"/>
      <c r="E47" s="804" t="n"/>
      <c r="F47" s="804" t="n"/>
      <c r="G47" s="804" t="n"/>
      <c r="H47" s="804" t="n"/>
    </row>
    <row r="48" ht="16" customHeight="1" s="254">
      <c r="A48" s="781" t="inlineStr">
        <is>
          <t>Service feeder</t>
        </is>
      </c>
      <c r="B48" s="810">
        <f>IF(LEFT(Electrical!$B$155,7)="Utility","provided by the utility — nothing to price","PROVIDED BY ZERO IMPACT ENERGY — the model sizes and prices this run; it is not in the wire line above")</f>
        <v/>
      </c>
      <c r="C48" s="804" t="n"/>
      <c r="D48" s="804" t="n"/>
      <c r="E48" s="804" t="n"/>
      <c r="F48" s="804" t="n"/>
      <c r="G48" s="804" t="n"/>
      <c r="H48" s="804" t="n"/>
    </row>
  </sheetData>
  <sheetProtection selectLockedCells="0" selectUnlockedCells="0" sheet="1" objects="0" insertRows="1" insertHyperlinks="1" autoFilter="1" scenarios="0" formatColumns="0" deleteColumns="1" insertColumns="1" pivotTables="1" deleteRows="1" formatCells="1" formatRows="0" sort="1"/>
  <mergeCells count="9">
    <mergeCell ref="C22:F22"/>
    <mergeCell ref="A2:F2"/>
    <mergeCell ref="C23:F23"/>
    <mergeCell ref="A25:H25"/>
    <mergeCell ref="A43:H43"/>
    <mergeCell ref="A1:F1"/>
    <mergeCell ref="C21:F21"/>
    <mergeCell ref="A26:F26"/>
    <mergeCell ref="C44:F44"/>
  </mergeCells>
  <pageMargins left="0.75" right="0.75" top="1" bottom="1" header="0.5" footer="0.5"/>
  <pageSetup orientation="landscape" fitToHeight="0" fitToWidth="1"/>
</worksheet>
</file>

<file path=xl/worksheets/sheet12.xml><?xml version="1.0" encoding="utf-8"?>
<worksheet xmlns="http://schemas.openxmlformats.org/spreadsheetml/2006/main">
  <sheetPr filterMode="0">
    <tabColor rgb="002E7D5B"/>
    <outlinePr summaryBelow="0" summaryRight="1"/>
    <pageSetUpPr fitToPage="1"/>
  </sheetPr>
  <dimension ref="A1:G117"/>
  <sheetViews>
    <sheetView showFormulas="0" showGridLines="0" showRowColHeaders="1" showZeros="1" rightToLeft="0" tabSelected="0" showOutlineSymbols="1" defaultGridColor="1" view="normal" topLeftCell="A43" colorId="64" zoomScale="100" zoomScaleNormal="100" zoomScalePageLayoutView="100" workbookViewId="0">
      <pane xSplit="0" ySplit="2" topLeftCell="A3" activePane="bottomLeft" state="frozen"/>
      <selection pane="topLeft" activeCell="A43" activeCellId="0" sqref="A43"/>
      <selection pane="bottomLeft" activeCell="B59" activeCellId="0" sqref="B59"/>
    </sheetView>
  </sheetViews>
  <sheetFormatPr baseColWidth="8" defaultColWidth="8.66796875" defaultRowHeight="14.25" zeroHeight="0" outlineLevelRow="1"/>
  <cols>
    <col width="36" customWidth="1" style="253" min="1" max="1"/>
    <col width="24" customWidth="1" style="253" min="2" max="2"/>
    <col width="38" customWidth="1" style="253" min="3" max="3"/>
    <col width="24" customWidth="1" style="253" min="4" max="7"/>
    <col width="9" customWidth="1" style="254" min="5" max="5"/>
    <col width="9" customWidth="1" style="254" min="6" max="6"/>
    <col width="9" customWidth="1" style="254" min="7" max="7"/>
  </cols>
  <sheetData>
    <row r="1" ht="26" customHeight="1" s="254">
      <c r="A1" s="790" t="inlineStr">
        <is>
          <t>6 · REVENUE ASSUMPTIONS</t>
        </is>
      </c>
      <c r="G1" s="804" t="n"/>
    </row>
    <row r="2" ht="43.5" customHeight="1" s="254">
      <c r="A2" s="792" t="inlineStr">
        <is>
          <t>Every one of these will be challenged by the customer. Set them where you can defend them.</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Pricing</t>
        </is>
      </c>
      <c r="B4" s="804" t="n"/>
      <c r="C4" s="804" t="n"/>
      <c r="D4" s="804" t="n"/>
      <c r="E4" s="804" t="n"/>
      <c r="F4" s="804" t="n"/>
      <c r="G4" s="804" t="n"/>
    </row>
    <row r="5" ht="16" customHeight="1" s="254">
      <c r="A5" s="781" t="inlineStr">
        <is>
          <t>Retail price to driver ($/kWh)</t>
        </is>
      </c>
      <c r="B5" s="911" t="n">
        <v>0.65</v>
      </c>
      <c r="C5" s="804" t="n"/>
      <c r="D5" s="804" t="n"/>
      <c r="E5" s="804" t="n"/>
      <c r="F5" s="804" t="n"/>
      <c r="G5" s="804" t="n"/>
    </row>
    <row r="6" ht="31" customHeight="1" s="254">
      <c r="A6" s="781" t="inlineStr">
        <is>
          <t>Delivered energy cost — leave blank, now derived</t>
        </is>
      </c>
      <c r="B6" s="912">
        <f>IF(N($B$91)=0,"",$B$91)</f>
        <v/>
      </c>
      <c r="C6" s="814" t="inlineStr">
        <is>
          <t>Derived from the tariff block at the foot of this tab. Set the figures there.</t>
        </is>
      </c>
      <c r="E6" s="804" t="n"/>
      <c r="F6" s="804" t="n"/>
      <c r="G6" s="804" t="n"/>
    </row>
    <row r="7" ht="31" customHeight="1" s="254">
      <c r="A7" s="781" t="inlineStr">
        <is>
          <t>Utility subscription — leave blank, now derived</t>
        </is>
      </c>
      <c r="B7" s="913">
        <f>IF(N($B$95)=0,"",$B$95)</f>
        <v/>
      </c>
      <c r="C7" s="814" t="inlineStr">
        <is>
          <t>Customer charge plus demand charge, annualised, from the tariff block at the foot of this tab. On a demand schedule this is the largest number on the page.</t>
        </is>
      </c>
    </row>
    <row r="8" ht="16" customHeight="1" s="254">
      <c r="A8" s="781" t="inlineStr">
        <is>
          <t>Card processing fee (% of gross)</t>
        </is>
      </c>
      <c r="B8" s="887" t="n">
        <v>0.03</v>
      </c>
      <c r="C8" s="804" t="n"/>
      <c r="D8" s="804" t="n"/>
      <c r="E8" s="804" t="n"/>
      <c r="F8" s="804" t="n"/>
      <c r="G8" s="804" t="n"/>
    </row>
    <row r="9" ht="16" customHeight="1" s="254">
      <c r="A9" s="781" t="inlineStr">
        <is>
          <t>Idle fee revenue included?</t>
        </is>
      </c>
      <c r="B9" s="799" t="inlineStr">
        <is>
          <t>No</t>
        </is>
      </c>
      <c r="C9" s="792" t="inlineStr">
        <is>
          <t>Keep this No unless it is contracted</t>
        </is>
      </c>
      <c r="D9" s="804" t="n"/>
      <c r="E9" s="804" t="n"/>
      <c r="F9" s="804" t="n"/>
      <c r="G9" s="804" t="n"/>
    </row>
    <row r="10" ht="16" customHeight="1" s="254">
      <c r="A10" s="811" t="n"/>
      <c r="B10" s="804" t="n"/>
      <c r="C10" s="804" t="n"/>
      <c r="D10" s="804" t="n"/>
      <c r="E10" s="804" t="n"/>
      <c r="F10" s="804" t="n"/>
      <c r="G10" s="804" t="n"/>
    </row>
    <row r="11" ht="19.75" customHeight="1" s="254">
      <c r="A11" s="798" t="inlineStr">
        <is>
          <t>Utilisation — steady state</t>
        </is>
      </c>
      <c r="B11" s="804" t="n"/>
      <c r="C11" s="804" t="n"/>
      <c r="D11" s="804" t="n"/>
      <c r="E11" s="804" t="n"/>
      <c r="F11" s="804" t="n"/>
      <c r="G11" s="804" t="n"/>
    </row>
    <row r="12" ht="16" customHeight="1" s="254">
      <c r="A12" s="781" t="inlineStr">
        <is>
          <t>Hours per day the site is chargeable</t>
        </is>
      </c>
      <c r="B12" s="914">
        <f>Project!B22</f>
        <v/>
      </c>
      <c r="C12" s="792" t="inlineStr">
        <is>
          <t>From 1_Project</t>
        </is>
      </c>
      <c r="D12" s="804" t="n"/>
      <c r="E12" s="804" t="n"/>
      <c r="F12" s="804" t="n"/>
      <c r="G12" s="804" t="n"/>
    </row>
    <row r="13" ht="31" customHeight="1" s="254">
      <c r="A13" s="781" t="inlineStr">
        <is>
          <t>Stall occupancy (share of stalls used per day)</t>
        </is>
      </c>
      <c r="B13" s="887" t="n">
        <v>0.2</v>
      </c>
      <c r="C13" s="804" t="n"/>
      <c r="D13" s="804" t="n"/>
      <c r="E13" s="804" t="n"/>
      <c r="F13" s="804" t="n"/>
      <c r="G13" s="804" t="n"/>
    </row>
    <row r="14" ht="31" customHeight="1" s="254">
      <c r="A14" s="781" t="inlineStr">
        <is>
          <t>Charging hours per occupied stall, as share of open hours</t>
        </is>
      </c>
      <c r="B14" s="887" t="n">
        <v>0.25</v>
      </c>
      <c r="C14" s="804" t="n"/>
      <c r="D14" s="804" t="n"/>
      <c r="E14" s="804" t="n"/>
      <c r="F14" s="804" t="n"/>
      <c r="G14" s="804" t="n"/>
    </row>
    <row r="15" ht="16" customHeight="1" s="254">
      <c r="A15" s="781" t="inlineStr">
        <is>
          <t>Nameplate de-rate factor</t>
        </is>
      </c>
      <c r="B15" s="915" t="n">
        <v>0.98</v>
      </c>
      <c r="C15" s="792" t="inlineStr">
        <is>
          <t>Cabinet output vs label</t>
        </is>
      </c>
      <c r="D15" s="804" t="n"/>
      <c r="E15" s="804" t="n"/>
      <c r="F15" s="804" t="n"/>
      <c r="G15" s="804" t="n"/>
    </row>
    <row r="16" ht="31" customHeight="1" s="254">
      <c r="A16" s="781" t="inlineStr">
        <is>
          <t>Average delivered power, share of port rating</t>
        </is>
      </c>
      <c r="B16" s="893" t="n">
        <v>0.7</v>
      </c>
      <c r="C16" s="792" t="inlineStr">
        <is>
          <t>CHARGING-CURVE TAPER</t>
        </is>
      </c>
      <c r="D16" s="804" t="n"/>
      <c r="E16" s="804" t="n"/>
      <c r="F16" s="804" t="n"/>
      <c r="G16" s="804" t="n"/>
    </row>
    <row r="17" ht="16" customHeight="1" s="254">
      <c r="A17" s="811" t="n"/>
      <c r="B17" s="804" t="n"/>
      <c r="C17" s="804" t="n"/>
      <c r="D17" s="804" t="n"/>
      <c r="E17" s="804" t="n"/>
      <c r="F17" s="804" t="n"/>
      <c r="G17" s="804" t="n"/>
    </row>
    <row r="18" ht="19.75" customHeight="1" s="254">
      <c r="A18" s="798" t="inlineStr">
        <is>
          <t>Ramp and growth</t>
        </is>
      </c>
      <c r="B18" s="804" t="n"/>
      <c r="C18" s="804" t="n"/>
      <c r="D18" s="804" t="n"/>
      <c r="E18" s="804" t="n"/>
      <c r="F18" s="804" t="n"/>
      <c r="G18" s="804" t="n"/>
    </row>
    <row r="19" ht="16" customHeight="1" s="254">
      <c r="A19" s="781" t="inlineStr">
        <is>
          <t>Year 1 share of steady state</t>
        </is>
      </c>
      <c r="B19" s="893" t="n">
        <v>0.5</v>
      </c>
      <c r="C19" s="792" t="inlineStr">
        <is>
          <t>Greenfield sites take time to fill</t>
        </is>
      </c>
      <c r="D19" s="804" t="n"/>
      <c r="E19" s="804" t="n"/>
      <c r="F19" s="804" t="n"/>
      <c r="G19" s="804" t="n"/>
    </row>
    <row r="20" ht="16" customHeight="1" s="254">
      <c r="A20" s="781" t="inlineStr">
        <is>
          <t>Year 2 share of steady state</t>
        </is>
      </c>
      <c r="B20" s="893" t="n">
        <v>0.75</v>
      </c>
      <c r="C20" s="804" t="n"/>
      <c r="D20" s="804" t="n"/>
      <c r="E20" s="804" t="n"/>
      <c r="F20" s="804" t="n"/>
      <c r="G20" s="804" t="n"/>
    </row>
    <row r="21" ht="16" customHeight="1" s="254">
      <c r="A21" s="781" t="inlineStr">
        <is>
          <t>Year 3 share of steady state</t>
        </is>
      </c>
      <c r="B21" s="893" t="n">
        <v>1</v>
      </c>
      <c r="C21" s="804" t="n"/>
      <c r="D21" s="804" t="n"/>
      <c r="E21" s="804" t="n"/>
      <c r="F21" s="804" t="n"/>
      <c r="G21" s="804" t="n"/>
    </row>
    <row r="22" ht="16" customHeight="1" s="254">
      <c r="A22" s="781" t="inlineStr">
        <is>
          <t>Annual growth after ramp</t>
        </is>
      </c>
      <c r="B22" s="887" t="n">
        <v>0.06</v>
      </c>
      <c r="C22" s="792" t="inlineStr">
        <is>
          <t>Justify as a level, not a rate</t>
        </is>
      </c>
      <c r="D22" s="804" t="n"/>
      <c r="E22" s="804" t="n"/>
      <c r="F22" s="804" t="n"/>
      <c r="G22" s="804" t="n"/>
    </row>
    <row r="23" ht="16" customHeight="1" s="254">
      <c r="A23" s="811" t="n"/>
      <c r="B23" s="804" t="n"/>
      <c r="C23" s="804" t="n"/>
      <c r="D23" s="804" t="n"/>
      <c r="E23" s="804" t="n"/>
      <c r="F23" s="804" t="n"/>
      <c r="G23" s="804" t="n"/>
    </row>
    <row r="24" ht="47.25" customHeight="1" s="254">
      <c r="A24" s="798" t="inlineStr">
        <is>
          <t>Historical actuals — replacement sites only, leave blank for greenfield</t>
        </is>
      </c>
      <c r="B24" s="804" t="n"/>
      <c r="C24" s="804" t="n"/>
      <c r="D24" s="804" t="n"/>
      <c r="E24" s="804" t="n"/>
      <c r="F24" s="804" t="n"/>
      <c r="G24" s="804" t="n"/>
    </row>
    <row r="25" hidden="1" outlineLevel="1" ht="16" customHeight="1" s="254">
      <c r="A25" s="781" t="inlineStr">
        <is>
          <t>Months of history available</t>
        </is>
      </c>
      <c r="B25" s="819" t="n"/>
      <c r="C25" s="804" t="n"/>
      <c r="D25" s="804" t="n"/>
      <c r="E25" s="804" t="n"/>
      <c r="F25" s="804" t="n"/>
      <c r="G25" s="804" t="n"/>
    </row>
    <row r="26" hidden="1" outlineLevel="1" ht="16" customHeight="1" s="254">
      <c r="A26" s="781" t="inlineStr">
        <is>
          <t>Historical kWh dispensed per day</t>
        </is>
      </c>
      <c r="B26" s="916" t="n"/>
      <c r="C26" s="804" t="n"/>
      <c r="D26" s="804" t="n"/>
      <c r="E26" s="804" t="n"/>
      <c r="F26" s="804" t="n"/>
      <c r="G26" s="804" t="n"/>
    </row>
    <row r="27" hidden="1" outlineLevel="1" ht="16" customHeight="1" s="254">
      <c r="A27" s="781" t="inlineStr">
        <is>
          <t>Historical gross revenue per year</t>
        </is>
      </c>
      <c r="B27" s="900" t="n"/>
      <c r="C27" s="804" t="n"/>
      <c r="D27" s="804" t="n"/>
      <c r="E27" s="804" t="n"/>
      <c r="F27" s="804" t="n"/>
      <c r="G27" s="804" t="n"/>
    </row>
    <row r="28" hidden="1" outlineLevel="1" ht="16" customHeight="1" s="254">
      <c r="A28" s="781" t="inlineStr">
        <is>
          <t>Historical net profit per year</t>
        </is>
      </c>
      <c r="B28" s="900" t="n"/>
      <c r="C28" s="804" t="n"/>
      <c r="D28" s="804" t="n"/>
      <c r="E28" s="804" t="n"/>
      <c r="F28" s="804" t="n"/>
      <c r="G28" s="804" t="n"/>
    </row>
    <row r="29" hidden="1" outlineLevel="1" ht="16" customHeight="1" s="254">
      <c r="A29" s="781" t="inlineStr">
        <is>
          <t>Ports in service on an average day</t>
        </is>
      </c>
      <c r="B29" s="834" t="n"/>
      <c r="C29" s="804" t="n"/>
      <c r="D29" s="804" t="n"/>
      <c r="E29" s="804" t="n"/>
      <c r="F29" s="804" t="n"/>
      <c r="G29" s="804" t="n"/>
    </row>
    <row r="30" hidden="1" outlineLevel="1" ht="16" customHeight="1" s="254">
      <c r="A30" s="781" t="inlineStr">
        <is>
          <t>Share of sessions under 1 kWh</t>
        </is>
      </c>
      <c r="B30" s="839" t="n"/>
      <c r="C30" s="792" t="inlineStr">
        <is>
          <t>Failed-session rate</t>
        </is>
      </c>
      <c r="D30" s="804" t="n"/>
      <c r="E30" s="804" t="n"/>
      <c r="F30" s="804" t="n"/>
      <c r="G30" s="804" t="n"/>
    </row>
    <row r="31" hidden="1" outlineLevel="1" ht="16" customHeight="1" s="254">
      <c r="A31" s="811" t="n"/>
      <c r="B31" s="804" t="n"/>
      <c r="C31" s="804" t="n"/>
      <c r="D31" s="804" t="n"/>
      <c r="E31" s="804" t="n"/>
      <c r="F31" s="804" t="n"/>
      <c r="G31" s="804" t="n"/>
    </row>
    <row r="32" ht="33.5" customHeight="1" s="254">
      <c r="A32" s="798" t="inlineStr">
        <is>
          <t>Utility rate selection — drives the delivered energy cost</t>
        </is>
      </c>
      <c r="B32" s="804" t="n"/>
      <c r="C32" s="804" t="n"/>
      <c r="D32" s="804" t="n"/>
      <c r="E32" s="804" t="n"/>
      <c r="F32" s="804" t="n"/>
      <c r="G32" s="804" t="n"/>
    </row>
    <row r="33" ht="16" customHeight="1" s="254">
      <c r="A33" s="792" t="inlineStr">
        <is>
          <t>Pick the utility and schedule and the model derives $/kWh and the subscription from the tariff. No blended guess required.</t>
        </is>
      </c>
      <c r="F33" s="804" t="n"/>
      <c r="G33" s="804" t="n"/>
    </row>
    <row r="34" ht="16" customHeight="1" s="254">
      <c r="A34" s="811" t="n"/>
      <c r="B34" s="804" t="n"/>
      <c r="C34" s="804" t="n"/>
      <c r="D34" s="804" t="n"/>
      <c r="E34" s="804" t="n"/>
      <c r="F34" s="804" t="n"/>
      <c r="G34" s="804" t="n"/>
    </row>
    <row r="35" ht="16" customHeight="1" s="254">
      <c r="A35" s="781" t="inlineStr">
        <is>
          <t>Utility</t>
        </is>
      </c>
      <c r="B35" s="917">
        <f>IF(Project!$B$26="","",Project!$B$26)</f>
        <v/>
      </c>
      <c r="C35" s="814" t="inlineStr">
        <is>
          <t>Reads the utility named on the Project tab. Set it there.</t>
        </is>
      </c>
      <c r="E35" s="804" t="n"/>
      <c r="F35" s="804" t="n"/>
      <c r="G35" s="804" t="n"/>
    </row>
    <row r="36" ht="31" customHeight="1" s="254">
      <c r="A36" s="781" t="inlineStr">
        <is>
          <t>Rate schedule</t>
        </is>
      </c>
      <c r="B36" s="807" t="n"/>
      <c r="C36" s="814" t="inlineStr">
        <is>
          <t>Pick the schedule this site will actually take. The list is on the Utilities tab under RATE SCHEDULE PICKER; add the schedule there first if it is not on it.</t>
        </is>
      </c>
    </row>
    <row r="37" ht="31" customHeight="1" s="254">
      <c r="A37" s="781" t="inlineStr">
        <is>
          <t>Service voltage level</t>
        </is>
      </c>
      <c r="B37" s="807" t="n"/>
      <c r="C37" s="814" t="inlineStr">
        <is>
          <t>Secondary or primary. On schedules that price them differently this changes the rate.</t>
        </is>
      </c>
      <c r="E37" s="804" t="n"/>
      <c r="F37" s="804" t="n"/>
      <c r="G37" s="804" t="n"/>
    </row>
    <row r="38" ht="31" customHeight="1" s="254">
      <c r="A38" s="781" t="inlineStr">
        <is>
          <t>Share of energy dispensed on-peak</t>
        </is>
      </c>
      <c r="B38" s="887" t="n"/>
      <c r="C38" s="814" t="inlineStr">
        <is>
          <t>Only if the schedule has time-of-use periods, and then from ITS periods — not from a remembered 4-9 pm peak. Leave all three blank on a flat schedule.</t>
        </is>
      </c>
    </row>
    <row r="39" ht="16" customHeight="1" s="254">
      <c r="A39" s="781" t="inlineStr">
        <is>
          <t>Share off-peak</t>
        </is>
      </c>
      <c r="B39" s="887" t="n"/>
      <c r="C39" s="804" t="n"/>
      <c r="D39" s="804" t="n"/>
      <c r="E39" s="804" t="n"/>
      <c r="F39" s="804" t="n"/>
      <c r="G39" s="804" t="n"/>
    </row>
    <row r="40" ht="16" customHeight="1" s="254">
      <c r="A40" s="781" t="inlineStr">
        <is>
          <t>Share super off-peak</t>
        </is>
      </c>
      <c r="B40" s="887" t="n"/>
      <c r="C40" s="814" t="inlineStr">
        <is>
          <t>The three shares must sum to 100% where they are used at all.</t>
        </is>
      </c>
      <c r="E40" s="804" t="n"/>
      <c r="F40" s="804" t="n"/>
      <c r="G40" s="804" t="n"/>
    </row>
    <row r="41" ht="31" customHeight="1" s="254">
      <c r="A41" s="781" t="inlineStr">
        <is>
          <t>Expected peak concurrency (ports drawing at once)</t>
        </is>
      </c>
      <c r="B41" s="918">
        <f>IF(OR(N($B$117)=0,N($B$52)=0),"",ROUNDUP($B$117*$B$52,0))</f>
        <v/>
      </c>
      <c r="C41" s="814" t="inlineStr">
        <is>
          <t>DERIVED, not typed. Average concurrent positions across both streams (the block at the foot of this tab) times the peak-to-average factor below.</t>
        </is>
      </c>
    </row>
    <row r="42" ht="68.5" customHeight="1" s="254">
      <c r="A42" s="781" t="inlineStr">
        <is>
          <t>Subscribed kW</t>
        </is>
      </c>
      <c r="B42" s="918">
        <f>IF(N($B$41)=0,"",IF($B$51="Subscribe at full nameplate",Equipment!$B$23,$B$41*IF(N($B$117)=0,0,($B$115*IF($B$54="Yes",$B$74,$B$75)+$B$116*IF($B$54="Yes",$B$108,$B$108*$B$15))/$B$117)*(1+N($B$53))))</f>
        <v/>
      </c>
      <c r="C42" s="814"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row>
    <row r="43" ht="16" customHeight="1" s="254">
      <c r="A43" s="811" t="n"/>
      <c r="B43" s="804" t="n"/>
      <c r="C43" s="804" t="n"/>
      <c r="D43" s="804" t="n"/>
      <c r="E43" s="804" t="n"/>
      <c r="F43" s="804" t="n"/>
      <c r="G43" s="804" t="n"/>
    </row>
    <row r="44" ht="19.75" customHeight="1" s="254">
      <c r="A44" s="798" t="inlineStr">
        <is>
          <t>Market benchmarking</t>
        </is>
      </c>
      <c r="B44" s="804" t="n"/>
      <c r="C44" s="804" t="n"/>
      <c r="D44" s="804" t="n"/>
      <c r="E44" s="804" t="n"/>
      <c r="F44" s="804" t="n"/>
      <c r="G44" s="804" t="n"/>
    </row>
    <row r="45" ht="43.5" customHeight="1" s="254">
      <c r="A45" s="781" t="inlineStr">
        <is>
          <t>State for benchmarking</t>
        </is>
      </c>
      <c r="B45" s="807" t="n"/>
      <c r="C45" s="814" t="inlineStr">
        <is>
          <t>REQUIRED. Pick the market this projection should be tested against — the list is on RefData under MARKET BENCHMARKS. There is no default: this used to say California on every project regardless of where the site was.</t>
        </is>
      </c>
    </row>
    <row r="46" ht="31" customHeight="1" s="254">
      <c r="A46" s="781" t="inlineStr">
        <is>
          <t>Expected site factor (% of the state average port)</t>
        </is>
      </c>
      <c r="B46" s="887" t="n"/>
      <c r="C46" s="792" t="inlineStr">
        <is>
          <t>Leave blank and the model derives it from your utilisation inputs</t>
        </is>
      </c>
      <c r="E46" s="804" t="n"/>
      <c r="F46" s="804" t="n"/>
      <c r="G46" s="804" t="n"/>
    </row>
    <row r="47" ht="16" customHeight="1" s="254">
      <c r="A47" s="811" t="n"/>
      <c r="B47" s="804" t="n"/>
      <c r="C47" s="804" t="n"/>
      <c r="D47" s="804" t="n"/>
      <c r="E47" s="804" t="n"/>
      <c r="F47" s="804" t="n"/>
      <c r="G47" s="804" t="n"/>
    </row>
    <row r="48" ht="33.5" customHeight="1" s="254">
      <c r="A48" s="798" t="inlineStr">
        <is>
          <t>Demand subscription — how it should ramp</t>
        </is>
      </c>
      <c r="B48" s="804" t="n"/>
      <c r="C48" s="804" t="n"/>
      <c r="D48" s="804" t="n"/>
      <c r="E48" s="804" t="n"/>
      <c r="F48" s="804" t="n"/>
      <c r="G48" s="804" t="n"/>
    </row>
    <row r="49" ht="31" customHeight="1" s="254">
      <c r="A49" s="792" t="inlineStr">
        <is>
          <t>Demand charges are set by simultaneous draw, not annual energy. A site that fills gradually should not carry a full-nameplate subscription from day one.</t>
        </is>
      </c>
      <c r="F49" s="804" t="n"/>
      <c r="G49" s="804" t="n"/>
    </row>
    <row r="50" ht="16" customHeight="1" s="254">
      <c r="A50" s="811" t="n"/>
      <c r="B50" s="804" t="n"/>
      <c r="C50" s="804" t="n"/>
      <c r="D50" s="804" t="n"/>
      <c r="E50" s="804" t="n"/>
      <c r="F50" s="804" t="n"/>
      <c r="G50" s="804" t="n"/>
    </row>
    <row r="51" ht="31" customHeight="1" s="254">
      <c r="A51" s="781" t="inlineStr">
        <is>
          <t>Subscription policy</t>
        </is>
      </c>
      <c r="B51" s="807" t="inlineStr">
        <is>
          <t>Ramped to projected demand</t>
        </is>
      </c>
      <c r="C51" s="804" t="n"/>
      <c r="D51" s="804" t="n"/>
      <c r="E51" s="804" t="n"/>
      <c r="F51" s="804" t="n"/>
      <c r="G51" s="804" t="n"/>
    </row>
    <row r="52" ht="31" customHeight="1" s="254">
      <c r="A52" s="781" t="inlineStr">
        <is>
          <t>Peak-to-average concurrency factor</t>
        </is>
      </c>
      <c r="B52" s="919" t="n">
        <v>4</v>
      </c>
      <c r="C52" s="792" t="inlineStr">
        <is>
          <t>Ratio of peak simultaneous draw to the daily average</t>
        </is>
      </c>
      <c r="D52" s="804" t="n"/>
      <c r="E52" s="804" t="n"/>
      <c r="F52" s="804" t="n"/>
      <c r="G52" s="804" t="n"/>
    </row>
    <row r="53" ht="31" customHeight="1" s="254">
      <c r="A53" s="781" t="inlineStr">
        <is>
          <t>Safety margin on subscribed kW</t>
        </is>
      </c>
      <c r="B53" s="887" t="n">
        <v>0.2</v>
      </c>
      <c r="C53" s="792" t="inlineStr">
        <is>
          <t>Headroom above projected peak before overage bites</t>
        </is>
      </c>
      <c r="D53" s="804" t="n"/>
      <c r="E53" s="804" t="n"/>
      <c r="F53" s="804" t="n"/>
      <c r="G53" s="804" t="n"/>
    </row>
    <row r="54" ht="31" customHeight="1" s="254">
      <c r="A54" s="781" t="inlineStr">
        <is>
          <t>Size demand on full port rating?</t>
        </is>
      </c>
      <c r="B54" s="807" t="inlineStr">
        <is>
          <t>Yes</t>
        </is>
      </c>
      <c r="C54" s="792" t="inlineStr">
        <is>
          <t>A vehicle at the start of a session draws full power</t>
        </is>
      </c>
      <c r="D54" s="804" t="n"/>
      <c r="E54" s="804" t="n"/>
      <c r="F54" s="804" t="n"/>
      <c r="G54" s="804" t="n"/>
    </row>
    <row r="55" ht="31" customHeight="1" s="254">
      <c r="A55" s="781" t="inlineStr">
        <is>
          <t>Interval data available from the utility?</t>
        </is>
      </c>
      <c r="B55" s="807" t="n"/>
      <c r="C55" s="792" t="inlineStr">
        <is>
          <t>Lets the subscription be trued up after two quarters</t>
        </is>
      </c>
      <c r="D55" s="804" t="n"/>
      <c r="E55" s="804" t="n"/>
      <c r="F55" s="804" t="n"/>
      <c r="G55" s="804" t="n"/>
    </row>
    <row r="56" ht="81" customHeight="1" s="254">
      <c r="A56" s="781" t="inlineStr">
        <is>
          <t>Annual tariff escalation</t>
        </is>
      </c>
      <c r="B56" s="887" t="n">
        <v>0</v>
      </c>
      <c r="C56" s="792" t="inlineStr">
        <is>
          <t>Applied to the demand and block rates year by year in the model. Zero holds the tariff flat for the whole horizon, which no utility has ever done — enter the utility's adopted or proposed path where there is one.</t>
        </is>
      </c>
      <c r="D56" s="804" t="n"/>
      <c r="E56" s="804" t="n"/>
      <c r="F56" s="804" t="n"/>
      <c r="G56" s="804" t="n"/>
    </row>
    <row r="57" ht="33.5" customHeight="1" s="254">
      <c r="A57" s="798" t="inlineStr">
        <is>
          <t>Revenue basis — greenfield benchmark or historical actuals</t>
        </is>
      </c>
      <c r="B57" s="804" t="n"/>
      <c r="C57" s="804" t="n"/>
      <c r="D57" s="804" t="n"/>
      <c r="E57" s="804" t="n"/>
      <c r="F57" s="804" t="n"/>
      <c r="G57" s="804" t="n"/>
    </row>
    <row r="58" hidden="1" outlineLevel="1" ht="31" customHeight="1" s="254">
      <c r="A58" s="816"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idden="1" outlineLevel="1" ht="31" customHeight="1" s="254">
      <c r="A59" s="781" t="inlineStr">
        <is>
          <t>Revenue basis</t>
        </is>
      </c>
      <c r="B59" s="807" t="inlineStr">
        <is>
          <t>Market benchmark — greenfield</t>
        </is>
      </c>
      <c r="C59" s="816" t="inlineStr">
        <is>
          <t>Switch to historical actuals on any site with twelve or more months of usable data.</t>
        </is>
      </c>
      <c r="E59" s="804" t="n"/>
      <c r="F59" s="804" t="n"/>
      <c r="G59" s="804" t="n"/>
    </row>
    <row r="60" hidden="1" outlineLevel="1" ht="16" customHeight="1" s="254">
      <c r="A60" s="811" t="n"/>
      <c r="B60" s="804" t="n"/>
      <c r="C60" s="804" t="n"/>
      <c r="D60" s="804" t="n"/>
      <c r="E60" s="804" t="n"/>
      <c r="F60" s="804" t="n"/>
      <c r="G60" s="804" t="n"/>
    </row>
    <row r="61" hidden="1" outlineLevel="1" ht="16" customHeight="1" s="254">
      <c r="A61" s="781" t="inlineStr">
        <is>
          <t>Months of history available</t>
        </is>
      </c>
      <c r="B61" s="826">
        <f>Existing!$B$104</f>
        <v/>
      </c>
      <c r="C61" s="816" t="inlineStr">
        <is>
          <t>From the Existing tab section E.</t>
        </is>
      </c>
      <c r="D61" s="804" t="n"/>
      <c r="E61" s="804" t="n"/>
      <c r="F61" s="804" t="n"/>
      <c r="G61" s="804" t="n"/>
    </row>
    <row r="62" hidden="1" outlineLevel="1" ht="16" customHeight="1" s="254">
      <c r="A62" s="781" t="inlineStr">
        <is>
          <t>Historical kWh per year</t>
        </is>
      </c>
      <c r="B62" s="826">
        <f>Existing!$B$112</f>
        <v/>
      </c>
      <c r="C62" s="804" t="n"/>
      <c r="D62" s="804" t="n"/>
      <c r="E62" s="804" t="n"/>
      <c r="F62" s="804" t="n"/>
      <c r="G62" s="804" t="n"/>
    </row>
    <row r="63" hidden="1" outlineLevel="1" ht="16" customHeight="1" s="254">
      <c r="A63" s="781" t="inlineStr">
        <is>
          <t>Combined uplift multiple</t>
        </is>
      </c>
      <c r="B63" s="920">
        <f>Existing!$B$155</f>
        <v/>
      </c>
      <c r="C63" s="804" t="n"/>
      <c r="D63" s="804" t="n"/>
      <c r="E63" s="804" t="n"/>
      <c r="F63" s="804" t="n"/>
      <c r="G63" s="804" t="n"/>
    </row>
    <row r="64" hidden="1" outlineLevel="1" ht="31" customHeight="1" s="254">
      <c r="A64" s="794" t="inlineStr">
        <is>
          <t>Projected kWh per year — replacement basis</t>
        </is>
      </c>
      <c r="B64" s="828">
        <f>Existing!$B$156</f>
        <v/>
      </c>
      <c r="C64" s="816" t="inlineStr">
        <is>
          <t>History times the stated uplifts. This is what the model uses when the basis above is set to historical actuals.</t>
        </is>
      </c>
      <c r="E64" s="804" t="n"/>
      <c r="F64" s="804" t="n"/>
      <c r="G64" s="804" t="n"/>
    </row>
    <row r="65" hidden="1" outlineLevel="1" ht="16" customHeight="1" s="254">
      <c r="A65" s="811" t="n"/>
      <c r="B65" s="804" t="n"/>
      <c r="C65" s="804" t="n"/>
      <c r="D65" s="804" t="n"/>
      <c r="E65" s="804" t="n"/>
      <c r="F65" s="804" t="n"/>
      <c r="G65" s="804" t="n"/>
    </row>
    <row r="66" hidden="1" outlineLevel="1" ht="31" customHeight="1" s="254">
      <c r="A66" s="794" t="inlineStr">
        <is>
          <t>Which basis is in force?</t>
        </is>
      </c>
      <c r="B66" s="822">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816" t="inlineStr">
        <is>
          <t>A replacement site running on market benchmarks is throwing away its best evidence.</t>
        </is>
      </c>
    </row>
    <row r="67" hidden="1" outlineLevel="1" ht="31" customHeight="1" s="254">
      <c r="A67" s="794" t="inlineStr">
        <is>
          <t>Historical price against the proposed price</t>
        </is>
      </c>
      <c r="B67" s="822">
        <f>IF(Existing!$B$116=0,"no history entered","History "&amp;TEXT(Existing!$B$116,"$0.000")&amp;" vs proposed "&amp;TEXT($B$5,"$0.000")&amp;" — "&amp;TEXT(IF(Existing!$B$116=0,0,$B$5/Existing!$B$116-1),"+0.0%;-0.0%"))</f>
        <v/>
      </c>
      <c r="C67" s="299" t="n"/>
      <c r="D67" s="816" t="inlineStr">
        <is>
          <t>A large price increase on a site with a settled driver base is a demand risk, not a revenue gain.</t>
        </is>
      </c>
    </row>
    <row r="68" hidden="1" outlineLevel="1" ht="31" customHeight="1" s="254">
      <c r="A68" s="794" t="inlineStr">
        <is>
          <t>Historical delivered cost against the tariff estimate</t>
        </is>
      </c>
      <c r="B68" s="822">
        <f>IF(Existing!$B$117=0,"no history entered","Twelve months of billing says "&amp;TEXT(Existing!$B$117,"$0.0000")&amp;" all-in. Use it in preference to any tariff estimate.")</f>
        <v/>
      </c>
      <c r="C68" s="299" t="n"/>
      <c r="D68" s="816" t="inlineStr">
        <is>
          <t>Actual billing beats a tariff lookup every time. This is the number to carry into the model.</t>
        </is>
      </c>
    </row>
    <row r="69" hidden="1" outlineLevel="1" ht="16" customHeight="1" s="254">
      <c r="A69" s="811" t="n"/>
      <c r="B69" s="804" t="n"/>
      <c r="C69" s="804" t="n"/>
      <c r="D69" s="804" t="n"/>
      <c r="E69" s="804" t="n"/>
      <c r="F69" s="804" t="n"/>
      <c r="G69" s="804" t="n"/>
    </row>
    <row r="70" hidden="1" outlineLevel="1" ht="43.5" customHeight="1" s="254">
      <c r="A70" s="823"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hidden="1" outlineLevel="1" ht="16" customHeight="1" s="254">
      <c r="A71" s="811" t="n"/>
      <c r="B71" s="804" t="n"/>
      <c r="C71" s="804" t="n"/>
      <c r="D71" s="804" t="n"/>
      <c r="E71" s="804" t="n"/>
      <c r="F71" s="804" t="n"/>
      <c r="G71" s="804" t="n"/>
    </row>
    <row r="72" ht="33.5" customHeight="1" s="254">
      <c r="A72" s="798" t="inlineStr">
        <is>
          <t>STEADY-STATE PROJECTION — the greenfield basis, computed here</t>
        </is>
      </c>
      <c r="B72" s="804" t="n"/>
      <c r="C72" s="804" t="n"/>
      <c r="D72" s="804" t="n"/>
      <c r="E72" s="804" t="n"/>
      <c r="F72" s="804" t="n"/>
      <c r="G72" s="804" t="n"/>
    </row>
    <row r="73" hidden="1" outlineLevel="1" ht="31" customHeight="1" s="254">
      <c r="A73" s="921" t="inlineStr">
        <is>
          <t>The model used to compute this downstream, which meant nothing on this sheet could test it. It is computed here so the market cross-check on the Existing tab has something to read on a site with no history.</t>
        </is>
      </c>
      <c r="E73" s="804" t="n"/>
      <c r="F73" s="804" t="n"/>
      <c r="G73" s="804" t="n"/>
    </row>
    <row r="74" hidden="1" outlineLevel="1" ht="43.5" customHeight="1" s="254">
      <c r="A74" s="781" t="inlineStr">
        <is>
          <t>Power per position (kW)</t>
        </is>
      </c>
      <c r="B74" s="922">
        <f>IF(N(Equipment!$B$22-$B$107)=0,0,Equipment!$B$26/(Equipment!$B$22-$B$107))</f>
        <v/>
      </c>
      <c r="C74" s="814" t="inlineStr">
        <is>
          <t>DC positions only: DC output over DC connectors. Level 2 has its own block at the foot of this tab.</t>
        </is>
      </c>
      <c r="D74" s="804" t="n"/>
      <c r="E74" s="804" t="n"/>
      <c r="F74" s="804" t="n"/>
      <c r="G74" s="804" t="n"/>
    </row>
    <row r="75" hidden="1" outlineLevel="1" ht="16" customHeight="1" s="254">
      <c r="A75" s="781" t="inlineStr">
        <is>
          <t>Average delivered power (kW)</t>
        </is>
      </c>
      <c r="B75" s="922">
        <f>$B$74*$B$15*$B$16</f>
        <v/>
      </c>
      <c r="C75" s="814" t="inlineStr">
        <is>
          <t>De-rated, then tapered</t>
        </is>
      </c>
      <c r="D75" s="804" t="n"/>
      <c r="E75" s="804" t="n"/>
      <c r="F75" s="804" t="n"/>
      <c r="G75" s="804" t="n"/>
    </row>
    <row r="76" hidden="1" outlineLevel="1" ht="16" customHeight="1" s="254">
      <c r="A76" s="781" t="inlineStr">
        <is>
          <t>Charging stall-hours per day</t>
        </is>
      </c>
      <c r="B76" s="923">
        <f>(Equipment!$B$22-$B$107)*$B$13*$B$12*$B$14</f>
        <v/>
      </c>
      <c r="C76" s="814" t="inlineStr">
        <is>
          <t>DC positions only.</t>
        </is>
      </c>
      <c r="D76" s="804" t="n"/>
      <c r="E76" s="804" t="n"/>
      <c r="F76" s="804" t="n"/>
      <c r="G76" s="804" t="n"/>
    </row>
    <row r="77" hidden="1" outlineLevel="1" ht="31" customHeight="1" s="254">
      <c r="A77" s="781" t="inlineStr">
        <is>
          <t>Steady-state kWh per day</t>
        </is>
      </c>
      <c r="B77" s="918">
        <f>$B$76*$B$75+$B$112</f>
        <v/>
      </c>
      <c r="C77" s="814" t="inlineStr">
        <is>
          <t>DC stream plus the Level 2 stream from the block at the foot of this tab.</t>
        </is>
      </c>
      <c r="D77" s="804" t="n"/>
      <c r="E77" s="804" t="n"/>
      <c r="F77" s="804" t="n"/>
      <c r="G77" s="804" t="n"/>
    </row>
    <row r="78" hidden="1" outlineLevel="1" ht="16" customHeight="1" s="254">
      <c r="A78" s="781" t="inlineStr">
        <is>
          <t>Steady-state kWh per year</t>
        </is>
      </c>
      <c r="B78" s="918">
        <f>$B$77*365</f>
        <v/>
      </c>
      <c r="C78" s="804" t="n"/>
      <c r="D78" s="804" t="n"/>
      <c r="E78" s="804" t="n"/>
      <c r="F78" s="804" t="n"/>
      <c r="G78" s="804" t="n"/>
    </row>
    <row r="79" hidden="1" outlineLevel="1" ht="16" customHeight="1" s="254">
      <c r="A79" s="811" t="n"/>
      <c r="B79" s="804" t="n"/>
      <c r="C79" s="804" t="n"/>
      <c r="D79" s="804" t="n"/>
      <c r="E79" s="804" t="n"/>
      <c r="F79" s="804" t="n"/>
      <c r="G79" s="804" t="n"/>
    </row>
    <row r="80" ht="33.5" customHeight="1" s="254">
      <c r="A80" s="798" t="inlineStr">
        <is>
          <t>Tariff provenance and rate-entry checks</t>
        </is>
      </c>
      <c r="B80" s="804" t="n"/>
      <c r="C80" s="804" t="n"/>
      <c r="D80" s="804" t="n"/>
      <c r="E80" s="804" t="n"/>
      <c r="F80" s="804" t="n"/>
      <c r="G80" s="804" t="n"/>
    </row>
    <row r="81" ht="31" customHeight="1" s="254">
      <c r="A81" s="814" t="inlineStr">
        <is>
          <t>Every revenue figure in the model rests on the rate figures above. This block records how much weight they can carry, and the proposal prints it at the point of use rather than in a risk register nobody reads.</t>
        </is>
      </c>
    </row>
    <row r="82" ht="31" customHeight="1" s="254">
      <c r="A82" s="781" t="inlineStr">
        <is>
          <t>Source of the rate figures</t>
        </is>
      </c>
      <c r="B82" s="807" t="n"/>
      <c r="C82" s="814" t="inlineStr">
        <is>
          <t>Where each $/kWh and fixed charge came from — a filed tariff sheet, a rate insert, a bill, or a phone call. Name it. The proposal prints this.</t>
        </is>
      </c>
    </row>
    <row r="83" ht="31" customHeight="1" s="254">
      <c r="A83" s="781" t="inlineStr">
        <is>
          <t>Verified against the filed tariff sheets?</t>
        </is>
      </c>
      <c r="B83" s="807" t="n"/>
      <c r="C83" s="814" t="inlineStr">
        <is>
          <t>Yes / No. "No" is a perfectly good answer and the proposal will say so at the point of use; what is not acceptable is nobody knowing.</t>
        </is>
      </c>
    </row>
    <row r="84" ht="16" customHeight="1" s="254">
      <c r="A84" s="781" t="inlineStr">
        <is>
          <t>Verified by / date</t>
        </is>
      </c>
      <c r="B84" s="807" t="n"/>
      <c r="C84" s="814" t="inlineStr">
        <is>
          <t>Who checked it, and when.</t>
        </is>
      </c>
      <c r="D84" s="804" t="n"/>
      <c r="E84" s="804" t="n"/>
      <c r="F84" s="804" t="n"/>
      <c r="G84" s="804" t="n"/>
    </row>
    <row r="85" ht="43.5" customHeight="1" s="254">
      <c r="A85" s="781" t="inlineStr">
        <is>
          <t>Demand-schedule eligibility threshold</t>
        </is>
      </c>
      <c r="B85" s="807" t="n"/>
      <c r="C85" s="814" t="inlineStr">
        <is>
          <t>If this utility moves a customer onto a demand schedule above some monthly consumption, record the threshold and its units here. Leave blank if unknown — blank prints as unconfirmed, which is honest. A figure typed from memory is not.</t>
        </is>
      </c>
    </row>
    <row r="86" ht="31" customHeight="1" s="254">
      <c r="A86" s="781" t="inlineStr">
        <is>
          <t>Would this site cross that threshold?</t>
        </is>
      </c>
      <c r="B86" s="807" t="n"/>
      <c r="C86" s="814" t="inlineStr">
        <is>
          <t>Against the steady-state projection at the foot of this tab. If yes, the tariff behind every revenue figure in the model is the wrong one.</t>
        </is>
      </c>
    </row>
    <row r="87" ht="31" customHeight="1" s="254">
      <c r="A87" s="781" t="inlineStr">
        <is>
          <t>Time-of-use shares entered?</t>
        </is>
      </c>
      <c r="B87" s="830">
        <f>IF(COUNT($B$38:$B$40)=0,"none entered — correct on a flat schedule",IF(ROUND(SUM($B$38:$B$40),4)&lt;&gt;1,"THE THREE SHARES DO NOT SUM TO 100%","ok"))</f>
        <v/>
      </c>
      <c r="C87" s="814" t="inlineStr">
        <is>
          <t>Blank on a flat schedule is the right answer. A split that does not sum to 100% is not.</t>
        </is>
      </c>
      <c r="E87" s="804" t="n"/>
      <c r="F87" s="804" t="n"/>
      <c r="G87" s="804" t="n"/>
    </row>
    <row r="88" ht="16" customHeight="1" s="254">
      <c r="A88" s="811" t="n"/>
      <c r="B88" s="804" t="n"/>
      <c r="C88" s="804" t="n"/>
      <c r="D88" s="804" t="n"/>
      <c r="E88" s="804" t="n"/>
      <c r="F88" s="804" t="n"/>
      <c r="G88" s="804" t="n"/>
    </row>
    <row r="89" ht="33.5" customHeight="1" s="254">
      <c r="A89" s="798" t="inlineStr">
        <is>
          <t>Tariff figures — the bill, decomposed</t>
        </is>
      </c>
      <c r="B89" s="804" t="n"/>
      <c r="C89" s="804" t="n"/>
      <c r="D89" s="804" t="n"/>
      <c r="E89" s="804" t="n"/>
      <c r="F89" s="804" t="n"/>
      <c r="G89" s="804" t="n"/>
    </row>
    <row r="90" hidden="1" outlineLevel="1" ht="31" customHeight="1" s="254">
      <c r="A90" s="814" t="inlineStr">
        <is>
          <t>One row per component of the bill, so a demand charge cannot hide inside a blended cents-per-kWh figure. Take them from the schedule row in the RateLibrary tab.</t>
        </is>
      </c>
    </row>
    <row r="91" hidden="1" outlineLevel="1" ht="31" customHeight="1" s="254">
      <c r="A91" s="781" t="inlineStr">
        <is>
          <t>Volumetric energy cost ($/kWh)</t>
        </is>
      </c>
      <c r="B91" s="924" t="n"/>
      <c r="C91" s="814" t="inlineStr">
        <is>
          <t>The per-kWh charge on the chosen schedule, before fixed and demand charges.</t>
        </is>
      </c>
      <c r="E91" s="804" t="n"/>
      <c r="F91" s="804" t="n"/>
      <c r="G91" s="804" t="n"/>
    </row>
    <row r="92" hidden="1" outlineLevel="1" ht="16" customHeight="1" s="254">
      <c r="A92" s="781" t="inlineStr">
        <is>
          <t>Customer charge ($/month)</t>
        </is>
      </c>
      <c r="B92" s="925" t="n"/>
      <c r="C92" s="814" t="inlineStr">
        <is>
          <t>The fixed monthly meter charge.</t>
        </is>
      </c>
      <c r="D92" s="804" t="n"/>
      <c r="E92" s="804" t="n"/>
      <c r="F92" s="804" t="n"/>
      <c r="G92" s="804" t="n"/>
    </row>
    <row r="93" hidden="1" outlineLevel="1" ht="31" customHeight="1" s="254">
      <c r="A93" s="781" t="inlineStr">
        <is>
          <t>Demand charge ($/kW-month)</t>
        </is>
      </c>
      <c r="B93" s="925" t="n"/>
      <c r="C93" s="814" t="inlineStr">
        <is>
          <t>Zero on a schedule with no demand charge. This is the figure that decides whether a fast charging site works: at low load factor a demand charge can cost more than all the energy.</t>
        </is>
      </c>
    </row>
    <row r="94" hidden="1" outlineLevel="1" ht="31" customHeight="1" s="254">
      <c r="A94" s="781" t="inlineStr">
        <is>
          <t>Billing demand assumed (kW)</t>
        </is>
      </c>
      <c r="B94" s="831" t="n"/>
      <c r="C94" s="814" t="inlineStr">
        <is>
          <t>What the meter will see as the monthly maximum. Full nameplate unless load management caps it. Every kW here costs the demand charge above, twelve times a year.</t>
        </is>
      </c>
    </row>
    <row r="95" hidden="1" outlineLevel="1" ht="56" customHeight="1" s="254">
      <c r="A95" s="781" t="inlineStr">
        <is>
          <t>Annual fixed and demand cost ($/yr)</t>
        </is>
      </c>
      <c r="B95" s="926">
        <f>12*(N($B$92)+N($B$93)*N($B$94))+N($B$102)</f>
        <v/>
      </c>
      <c r="C95" s="814"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row>
    <row r="96" hidden="1" outlineLevel="1" ht="16" customHeight="1" s="254">
      <c r="A96" s="811" t="n"/>
      <c r="B96" s="804" t="n"/>
      <c r="C96" s="804" t="n"/>
      <c r="D96" s="804" t="n"/>
      <c r="E96" s="804" t="n"/>
      <c r="F96" s="804" t="n"/>
      <c r="G96" s="804" t="n"/>
    </row>
    <row r="97" ht="31" customHeight="1" s="254">
      <c r="A97" s="802" t="inlineStr">
        <is>
          <t>DEMAND SUBSCRIPTION — WHAT THE RAMP ABOVE COSTS</t>
        </is>
      </c>
      <c r="B97" s="804" t="n"/>
      <c r="C97" s="804" t="n"/>
      <c r="D97" s="804" t="n"/>
      <c r="E97" s="804" t="n"/>
      <c r="F97" s="804" t="n"/>
      <c r="G97" s="804" t="n"/>
    </row>
    <row r="98" hidden="1" outlineLevel="1" ht="43.5" customHeight="1" s="254">
      <c r="A98" s="814"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idden="1" outlineLevel="1" ht="43.5" customHeight="1" s="254">
      <c r="A99" s="781" t="inlineStr">
        <is>
          <t>Subscription block size (kW)</t>
        </is>
      </c>
      <c r="B99" s="918">
        <f>IFERROR(SUMIFS(RateLibrary!$J$5:$J$74,RateLibrary!$A$5:$A$74,$B$35,RateLibrary!$B$5:$B$74,$B$36),0)</f>
        <v/>
      </c>
      <c r="C99" s="814" t="inlineStr">
        <is>
          <t>From the rate library row for this utility and schedule. Zero means the library has no block size for it — not that the schedule has no blocks.</t>
        </is>
      </c>
      <c r="E99" s="804" t="n"/>
      <c r="F99" s="804" t="n"/>
      <c r="G99" s="804" t="n"/>
    </row>
    <row r="100" hidden="1" outlineLevel="1" ht="31" customHeight="1" s="254">
      <c r="A100" s="781" t="inlineStr">
        <is>
          <t>Subscription block price ($/block/month)</t>
        </is>
      </c>
      <c r="B100" s="913">
        <f>IFERROR(SUMIFS(RateLibrary!$K$5:$K$74,RateLibrary!$A$5:$A$74,$B$35,RateLibrary!$B$5:$B$74,$B$36),0)</f>
        <v/>
      </c>
      <c r="C100" s="814" t="inlineStr">
        <is>
          <t>From the same library row.</t>
        </is>
      </c>
      <c r="D100" s="804" t="n"/>
      <c r="E100" s="804" t="n"/>
      <c r="F100" s="804" t="n"/>
      <c r="G100" s="804" t="n"/>
    </row>
    <row r="101" hidden="1" outlineLevel="1" ht="31" customHeight="1" s="254">
      <c r="A101" s="781" t="inlineStr">
        <is>
          <t>Blocks subscribed</t>
        </is>
      </c>
      <c r="B101" s="918">
        <f>IF(OR(N($B$99)=0,N($B$42)=0),0,ROUNDUP($B$42/$B$99,0))</f>
        <v/>
      </c>
      <c r="C101" s="814" t="inlineStr">
        <is>
          <t>Subscribed kW over the block size, rounded up.</t>
        </is>
      </c>
      <c r="D101" s="804" t="n"/>
      <c r="E101" s="804" t="n"/>
      <c r="F101" s="804" t="n"/>
      <c r="G101" s="804" t="n"/>
    </row>
    <row r="102" hidden="1" outlineLevel="1" ht="31" customHeight="1" s="254">
      <c r="A102" s="781" t="inlineStr">
        <is>
          <t>Subscription cost ($/yr)</t>
        </is>
      </c>
      <c r="B102" s="913">
        <f>N($B$101)*N($B$100)*12</f>
        <v/>
      </c>
      <c r="C102" s="814" t="inlineStr">
        <is>
          <t>Blocks times the block price times twelve. This is the line that decides whether a high-capacity, low-utilisation site works.</t>
        </is>
      </c>
      <c r="E102" s="804" t="n"/>
      <c r="F102" s="804" t="n"/>
      <c r="G102" s="804" t="n"/>
    </row>
    <row r="103" hidden="1" outlineLevel="1" ht="43.5" customHeight="1" s="254">
      <c r="A103" s="781" t="inlineStr">
        <is>
          <t>Subscription cost basis</t>
        </is>
      </c>
      <c r="B103" s="927">
        <f>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814" t="inlineStr">
        <is>
          <t>If this reads UNPRICED, check the rate library row for the schedule named above BEFORE asking the utility for figures — a lookup pointing at the wrong cell returns zero exactly the same way a missing library row does.</t>
        </is>
      </c>
      <c r="F103" s="804" t="n"/>
      <c r="G103" s="804" t="n"/>
    </row>
    <row r="104" hidden="1" outlineLevel="1" ht="16" customHeight="1" s="254">
      <c r="A104" s="811" t="n"/>
      <c r="B104" s="804" t="n"/>
      <c r="C104" s="804" t="n"/>
      <c r="D104" s="804" t="n"/>
      <c r="E104" s="804" t="n"/>
      <c r="F104" s="804" t="n"/>
      <c r="G104" s="804" t="n"/>
    </row>
    <row r="105" ht="33.5" customHeight="1" s="254">
      <c r="A105" s="798" t="inlineStr">
        <is>
          <t>LEVEL 2 STREAM — on its own physics</t>
        </is>
      </c>
      <c r="B105" s="804" t="n"/>
      <c r="C105" s="804" t="n"/>
      <c r="D105" s="804" t="n"/>
      <c r="E105" s="804" t="n"/>
      <c r="F105" s="804" t="n"/>
      <c r="G105" s="804" t="n"/>
    </row>
    <row r="106" ht="68.5" customHeight="1" s="254">
      <c r="A106" s="921" t="inlineStr">
        <is>
          <t>A Level 2 port is not a slow DC port. It delivers a constant current for as long as a vehicle is plugged in, dwell is hours rather than minutes, and the public benchmark is energy per port per day, not time utilisation. So the Level 2 stream is projected here from kWh per port per day — the state benchmark on RefData unless a site figure overrides it — and added to the DC projection above, which now runs over DC positions only. The utilisation rows at the top of this tab (occupancy, charging share, taper) apply to DC positions and do not touch this block.</t>
        </is>
      </c>
      <c r="E106" s="804" t="n"/>
      <c r="F106" s="804" t="n"/>
      <c r="G106" s="804" t="n"/>
    </row>
    <row r="107" ht="31" customHeight="1" s="254">
      <c r="A107" s="781" t="inlineStr">
        <is>
          <t>Level 2 positions</t>
        </is>
      </c>
      <c r="B107" s="918">
        <f>SUMPRODUCT((Equipment!$E$7:$E$18="level_2")*Equipment!$H$7:$H$18*Equipment!$I$7:$I$18)</f>
        <v/>
      </c>
      <c r="C107" s="814" t="inlineStr">
        <is>
          <t>Connectors on Level 2 units, from the Equipment tab.</t>
        </is>
      </c>
      <c r="D107" s="804" t="n"/>
      <c r="E107" s="804" t="n"/>
      <c r="F107" s="804" t="n"/>
      <c r="G107" s="804" t="n"/>
    </row>
    <row r="108" ht="43.5" customHeight="1" s="254">
      <c r="A108" s="781" t="inlineStr">
        <is>
          <t>Power per Level 2 position (kW)</t>
        </is>
      </c>
      <c r="B108" s="923">
        <f>IF(N($B$107)=0,0,SUMPRODUCT((Equipment!$E$7:$E$18="level_2")*Equipment!$G$7:$G$18*Equipment!$I$7:$I$18)/$B$107)</f>
        <v/>
      </c>
      <c r="C108" s="814" t="inlineStr">
        <is>
          <t>AC input at the Level 2 supply voltage stated on the Equipment tab, per connector.</t>
        </is>
      </c>
      <c r="D108" s="804" t="n"/>
      <c r="E108" s="804" t="n"/>
      <c r="F108" s="804" t="n"/>
      <c r="G108" s="804" t="n"/>
    </row>
    <row r="109" ht="56" customHeight="1" s="254">
      <c r="A109" s="781" t="inlineStr">
        <is>
          <t>Benchmark Level 2 kWh per port per day</t>
        </is>
      </c>
      <c r="B109" s="923">
        <f>IF($B$45="",0,IFERROR(INDEX(BM_L2_KWH,MATCH($B$45,BM_L2_STATE,0)),0))</f>
        <v/>
      </c>
      <c r="C109" s="814" t="inlineStr">
        <is>
          <t>From the Level 2 market table on RefData for the state chosen above. Zero means no state was chosen or the state has no Level 2 row.</t>
        </is>
      </c>
      <c r="D109" s="804" t="n"/>
      <c r="E109" s="804" t="n"/>
      <c r="F109" s="804" t="n"/>
      <c r="G109" s="804" t="n"/>
    </row>
    <row r="110" ht="81" customHeight="1" s="254">
      <c r="A110" s="781" t="inlineStr">
        <is>
          <t>Level 2 kWh per port per day — site override</t>
        </is>
      </c>
      <c r="B110" s="928" t="n"/>
      <c r="C110" s="814" t="inlineStr">
        <is>
          <t>Leave blank to project at the benchmark. Enter a figure only with a reason the proposal can print: metered history on this site, or a host type with overnight dwell. The row below says which is in force.</t>
        </is>
      </c>
      <c r="D110" s="804" t="n"/>
      <c r="E110" s="804" t="n"/>
      <c r="F110" s="804" t="n"/>
      <c r="G110" s="804" t="n"/>
    </row>
    <row r="111" ht="16" customHeight="1" s="254">
      <c r="A111" s="781" t="inlineStr">
        <is>
          <t>Level 2 kWh per port per day in force</t>
        </is>
      </c>
      <c r="B111" s="923">
        <f>IF(N($B$110)&gt;0,$B$110,$B$109)</f>
        <v/>
      </c>
      <c r="C111" s="929" t="inlineStr"/>
      <c r="D111" s="804" t="n"/>
      <c r="E111" s="804" t="n"/>
      <c r="F111" s="804" t="n"/>
      <c r="G111" s="804" t="n"/>
    </row>
    <row r="112" ht="43.5" customHeight="1" s="254">
      <c r="A112" s="781" t="inlineStr">
        <is>
          <t>Level 2 kWh per day</t>
        </is>
      </c>
      <c r="B112" s="918">
        <f>$B$107*$B$111</f>
        <v/>
      </c>
      <c r="C112" s="814" t="inlineStr">
        <is>
          <t>Site total. The model engine reads this row; the Carbon tab derives the consumption credit from it.</t>
        </is>
      </c>
      <c r="D112" s="804" t="n"/>
      <c r="E112" s="804" t="n"/>
      <c r="F112" s="804" t="n"/>
      <c r="G112" s="804" t="n"/>
    </row>
    <row r="113" ht="31" customHeight="1" s="254">
      <c r="A113" s="781" t="inlineStr">
        <is>
          <t>Level 2 site factor against the benchmark</t>
        </is>
      </c>
      <c r="B113" s="930">
        <f>IF(N($B$109)=0,0,$B$111/$B$109)</f>
        <v/>
      </c>
      <c r="C113" s="814" t="inlineStr">
        <is>
          <t>Above 100% means this site is assumed to beat the average public Level 2 port.</t>
        </is>
      </c>
      <c r="D113" s="804" t="n"/>
      <c r="E113" s="804" t="n"/>
      <c r="F113" s="804" t="n"/>
      <c r="G113" s="804" t="n"/>
    </row>
    <row r="114" ht="16" customHeight="1" s="254">
      <c r="A114" s="781" t="inlineStr">
        <is>
          <t>Level 2 basis</t>
        </is>
      </c>
      <c r="B114" s="927">
        <f>IF(N($B$107)=0,"n/a — no Level 2 positions on the schedule",IF(N($B$109)=0,"NO BENCHMARK — choose a state above with a Level 2 row on RefData",IF(N($B$110)=0,"BENCHMARK — "&amp;TEXT($B$111,"0.00")&amp;" kWh per port per day, the "&amp;$B$45&amp;" Level 2 figure",IF($B$113&gt;1.5,"ABOVE BENCHMARK by "&amp;TEXT($B$113-1,"0%")&amp;" — the override needs metered history behind it",IF($B$113&lt;0.5,"BELOW BENCHMARK at "&amp;TEXT($B$113,"0%")&amp;" of the state figure — say why in the proposal","OVERRIDE — "&amp;TEXT($B$113,"0%")&amp;" of the benchmark; state the reason")))))</f>
        <v/>
      </c>
      <c r="C114" s="929" t="n"/>
      <c r="D114" s="804" t="n"/>
      <c r="E114" s="804" t="n"/>
      <c r="F114" s="804" t="n"/>
      <c r="G114" s="804" t="n"/>
    </row>
    <row r="115" ht="31" customHeight="1" s="254">
      <c r="A115" s="781" t="inlineStr">
        <is>
          <t>Average concurrent DC positions</t>
        </is>
      </c>
      <c r="B115" s="923">
        <f>$B$76/24</f>
        <v/>
      </c>
      <c r="C115" s="814" t="inlineStr">
        <is>
          <t>DC charging stall-hours over twenty-four hours.</t>
        </is>
      </c>
      <c r="D115" s="804" t="n"/>
      <c r="E115" s="804" t="n"/>
      <c r="F115" s="804" t="n"/>
      <c r="G115" s="804" t="n"/>
    </row>
    <row r="116" ht="31" customHeight="1" s="254">
      <c r="A116" s="781" t="inlineStr">
        <is>
          <t>Average concurrent Level 2 positions</t>
        </is>
      </c>
      <c r="B116" s="923">
        <f>IF(N($B$108)*N($B$15)=0,0,$B$112/(24*$B$108*$B$15))</f>
        <v/>
      </c>
      <c r="C116" s="814" t="inlineStr">
        <is>
          <t>Level 2 kWh per day over twenty-four hours of de-rated Level 2 power.</t>
        </is>
      </c>
      <c r="D116" s="804" t="n"/>
      <c r="E116" s="804" t="n"/>
      <c r="F116" s="804" t="n"/>
      <c r="G116" s="804" t="n"/>
    </row>
    <row r="117" ht="31" customHeight="1" s="254">
      <c r="A117" s="781" t="inlineStr">
        <is>
          <t>Average concurrent positions, all streams</t>
        </is>
      </c>
      <c r="B117" s="923">
        <f>$B$115+$B$116</f>
        <v/>
      </c>
      <c r="C117" s="814" t="inlineStr">
        <is>
          <t>What the peak-to-average factor above is applied to.</t>
        </is>
      </c>
      <c r="D117" s="804" t="n"/>
      <c r="E117" s="804" t="n"/>
      <c r="F117" s="804" t="n"/>
      <c r="G117" s="804" t="n"/>
    </row>
  </sheetData>
  <sheetProtection selectLockedCells="0" selectUnlockedCells="0" sheet="1" objects="0" insertRows="1" insertHyperlinks="1" autoFilter="1" scenarios="0" formatColumns="0" deleteColumns="1" insertColumns="1" pivotTables="1" deleteRows="1" formatCells="0" formatRows="0" sort="1"/>
  <mergeCells count="41">
    <mergeCell ref="C83:G83"/>
    <mergeCell ref="C6:D6"/>
    <mergeCell ref="A106:D106"/>
    <mergeCell ref="C86:G86"/>
    <mergeCell ref="C42:G42"/>
    <mergeCell ref="A49:E49"/>
    <mergeCell ref="D68:G68"/>
    <mergeCell ref="B66:C66"/>
    <mergeCell ref="C45:G45"/>
    <mergeCell ref="D67:G67"/>
    <mergeCell ref="A81:G81"/>
    <mergeCell ref="C64:D64"/>
    <mergeCell ref="C35:D35"/>
    <mergeCell ref="A58:G58"/>
    <mergeCell ref="C85:G85"/>
    <mergeCell ref="B67:C67"/>
    <mergeCell ref="C94:G94"/>
    <mergeCell ref="C99:D99"/>
    <mergeCell ref="C41:G41"/>
    <mergeCell ref="C93:G93"/>
    <mergeCell ref="A73:D73"/>
    <mergeCell ref="C40:D40"/>
    <mergeCell ref="A98:G98"/>
    <mergeCell ref="C59:D59"/>
    <mergeCell ref="C46:D46"/>
    <mergeCell ref="A70:G70"/>
    <mergeCell ref="C95:G95"/>
    <mergeCell ref="A33:E33"/>
    <mergeCell ref="C36:G36"/>
    <mergeCell ref="A90:G90"/>
    <mergeCell ref="C91:D91"/>
    <mergeCell ref="C7:G7"/>
    <mergeCell ref="B68:C68"/>
    <mergeCell ref="C82:G82"/>
    <mergeCell ref="C38:G38"/>
    <mergeCell ref="D66:G66"/>
    <mergeCell ref="A1:F1"/>
    <mergeCell ref="C37:D37"/>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filterMode="0">
    <tabColor rgb="002E7D5B"/>
    <outlinePr summaryBelow="0" summaryRight="1"/>
    <pageSetUpPr fitToPage="1"/>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27" activeCellId="0" sqref="B27"/>
    </sheetView>
  </sheetViews>
  <sheetFormatPr baseColWidth="8" defaultColWidth="8.66796875" defaultRowHeight="14.25" zeroHeight="0" outlineLevelRow="1"/>
  <cols>
    <col width="36" customWidth="1" style="253" min="1" max="1"/>
    <col width="30" customWidth="1" style="253" min="2" max="2"/>
    <col width="54" customWidth="1" style="253" min="3" max="3"/>
    <col width="9" customWidth="1" style="253" min="4" max="6"/>
    <col width="9" customWidth="1" style="254" min="5" max="5"/>
    <col width="9" customWidth="1" style="254" min="6" max="6"/>
  </cols>
  <sheetData>
    <row r="1" ht="26" customHeight="1" s="254">
      <c r="A1" s="790" t="inlineStr">
        <is>
          <t>7 · CARBON CREDITS AND INCENTIVES</t>
        </is>
      </c>
    </row>
    <row r="2" ht="43.5" customHeight="1" s="254">
      <c r="A2" s="792" t="inlineStr">
        <is>
          <t>The FCI capacity credit is usually the most reliable revenue in the model. Treat its inputs accordingly.</t>
        </is>
      </c>
      <c r="B2" s="804" t="n"/>
      <c r="C2" s="804" t="n"/>
      <c r="D2" s="804" t="n"/>
      <c r="E2" s="804" t="n"/>
      <c r="F2" s="804" t="n"/>
    </row>
    <row r="3" ht="16" customHeight="1" s="254">
      <c r="A3" s="811" t="n"/>
      <c r="B3" s="804" t="n"/>
      <c r="C3" s="804" t="n"/>
      <c r="D3" s="804" t="n"/>
      <c r="E3" s="804" t="n"/>
      <c r="F3" s="804" t="n"/>
    </row>
    <row r="4" ht="19.75" customHeight="1" s="254">
      <c r="A4" s="798" t="inlineStr">
        <is>
          <t>LCFS / FCI capacity credit</t>
        </is>
      </c>
      <c r="B4" s="804" t="n"/>
      <c r="C4" s="804" t="n"/>
      <c r="D4" s="804" t="n"/>
      <c r="E4" s="804" t="n"/>
      <c r="F4" s="804" t="n"/>
    </row>
    <row r="5" ht="31" customHeight="1" s="254">
      <c r="A5" s="781" t="inlineStr">
        <is>
          <t>Site qualifies for FCI capacity credits?</t>
        </is>
      </c>
      <c r="B5" s="799" t="n"/>
      <c r="C5" s="792" t="inlineStr">
        <is>
          <t>Yes / No / Pending</t>
        </is>
      </c>
      <c r="D5" s="804" t="n"/>
      <c r="E5" s="804" t="n"/>
      <c r="F5" s="804" t="n"/>
    </row>
    <row r="6" ht="16" customHeight="1" s="254">
      <c r="A6" s="781" t="inlineStr">
        <is>
          <t>Permit clears the 1 Jan 2022 test?</t>
        </is>
      </c>
      <c r="B6" s="799" t="n"/>
      <c r="C6" s="792" t="inlineStr">
        <is>
          <t>Yes / No</t>
        </is>
      </c>
      <c r="D6" s="804" t="n"/>
      <c r="E6" s="804" t="n"/>
      <c r="F6" s="804" t="n"/>
    </row>
    <row r="7" ht="16" customHeight="1" s="254">
      <c r="A7" s="781" t="inlineStr">
        <is>
          <t>Application filed?</t>
        </is>
      </c>
      <c r="B7" s="799" t="n"/>
      <c r="C7" s="792" t="inlineStr">
        <is>
          <t>Yes / No — with date</t>
        </is>
      </c>
      <c r="D7" s="804" t="n"/>
      <c r="E7" s="804" t="n"/>
      <c r="F7" s="804" t="n"/>
    </row>
    <row r="8" ht="16" customHeight="1" s="254">
      <c r="A8" s="781" t="inlineStr">
        <is>
          <t>Registered aggregator</t>
        </is>
      </c>
      <c r="B8" s="799" t="n"/>
      <c r="C8" s="804" t="n"/>
      <c r="D8" s="804" t="n"/>
      <c r="E8" s="804" t="n"/>
      <c r="F8" s="804" t="n"/>
    </row>
    <row r="9" ht="31" customHeight="1" s="254">
      <c r="A9" s="781" t="inlineStr">
        <is>
          <t>Aggregator share of credit value</t>
        </is>
      </c>
      <c r="B9" s="887" t="n">
        <v>0.05</v>
      </c>
      <c r="C9" s="792" t="inlineStr">
        <is>
          <t>Third-party administrator. Not our scope — a deduction from proceeds, disclosed as a cost.</t>
        </is>
      </c>
      <c r="E9" s="804" t="n"/>
      <c r="F9" s="804" t="n"/>
    </row>
    <row r="10" ht="16" customHeight="1" s="254">
      <c r="A10" s="781" t="inlineStr">
        <is>
          <t>FCI credit rate ($/kW/yr)</t>
        </is>
      </c>
      <c r="B10" s="931" t="n">
        <v>71.66670000000001</v>
      </c>
      <c r="C10" s="792" t="inlineStr">
        <is>
          <t>Confirm with the aggregator in writing</t>
        </is>
      </c>
      <c r="D10" s="804" t="n"/>
      <c r="E10" s="804" t="n"/>
      <c r="F10" s="804" t="n"/>
    </row>
    <row r="11" ht="16" customHeight="1" s="254">
      <c r="A11" s="781" t="inlineStr">
        <is>
          <t>Crediting period (years)</t>
        </is>
      </c>
      <c r="B11" s="817" t="n">
        <v>10</v>
      </c>
      <c r="C11" s="804" t="n"/>
      <c r="D11" s="804" t="n"/>
      <c r="E11" s="804" t="n"/>
      <c r="F11" s="804" t="n"/>
    </row>
    <row r="12" ht="31" customHeight="1" s="254">
      <c r="A12" s="781" t="inlineStr">
        <is>
          <t>Gross capacity credit per year</t>
        </is>
      </c>
      <c r="B12" s="851">
        <f>Equipment!$B$26*B10</f>
        <v/>
      </c>
      <c r="C12" s="792" t="inlineStr">
        <is>
          <t>DC fast-charging capacity only — the FCI credit does not pay on Level 2.</t>
        </is>
      </c>
      <c r="E12" s="804" t="n"/>
      <c r="F12" s="804" t="n"/>
    </row>
    <row r="13" ht="16" customHeight="1" s="254">
      <c r="A13" s="781" t="inlineStr">
        <is>
          <t>Net of aggregator share, per year</t>
        </is>
      </c>
      <c r="B13" s="851">
        <f>B12*(1-B9)</f>
        <v/>
      </c>
      <c r="C13" s="804" t="n"/>
      <c r="D13" s="804" t="n"/>
      <c r="E13" s="804" t="n"/>
      <c r="F13" s="804" t="n"/>
    </row>
    <row r="14" ht="16" customHeight="1" s="254">
      <c r="A14" s="781" t="inlineStr">
        <is>
          <t>Gross across crediting period</t>
        </is>
      </c>
      <c r="B14" s="851">
        <f>B12*B11</f>
        <v/>
      </c>
      <c r="C14" s="804" t="n"/>
      <c r="D14" s="804" t="n"/>
      <c r="E14" s="804" t="n"/>
      <c r="F14" s="804" t="n"/>
    </row>
    <row r="15" ht="16" customHeight="1" s="254">
      <c r="A15" s="811" t="n"/>
      <c r="B15" s="804" t="n"/>
      <c r="C15" s="804" t="n"/>
      <c r="D15" s="804" t="n"/>
      <c r="E15" s="804" t="n"/>
      <c r="F15" s="804" t="n"/>
    </row>
    <row r="16" ht="19.75" customHeight="1" s="254">
      <c r="A16" s="798" t="inlineStr">
        <is>
          <t>Consumption credits (Level 2)</t>
        </is>
      </c>
      <c r="B16" s="804" t="n"/>
      <c r="C16" s="804" t="n"/>
      <c r="D16" s="804" t="n"/>
      <c r="E16" s="804" t="n"/>
      <c r="F16" s="804" t="n"/>
    </row>
    <row r="17" ht="106" customHeight="1" s="254">
      <c r="A17" s="781" t="inlineStr">
        <is>
          <t>L2 consumption credit ($/kWh)</t>
        </is>
      </c>
      <c r="B17" s="932" t="n">
        <v>0.04</v>
      </c>
      <c r="C17" s="792" t="inlineStr">
        <is>
          <t>The LCFS credit a Level 2 site earns on energy dispensed, per kWh. Default derived as (gasoline CI standard 76 gCO2e/MJ x EER 3.4 − grid CI 80) x 3.6 MJ/kWh = 0.00064 t/kWh, at the Q1 2026 average credit price of $63/t = $0.040/kWh; $0.035–0.048 across $55–75/t. CONFIRM WITH THE AGGREGATOR IN WRITING before it is printed — the standard tightens every year and the credit price moves. The previous default of $0.0045 was an order of magnitude low.</t>
        </is>
      </c>
      <c r="D17" s="804" t="n"/>
      <c r="E17" s="804" t="n"/>
      <c r="F17" s="804" t="n"/>
    </row>
    <row r="18" ht="43.5" customHeight="1" s="254">
      <c r="A18" s="781" t="inlineStr">
        <is>
          <t>Site-total L2 kWh per day</t>
        </is>
      </c>
      <c r="B18" s="933">
        <f>Revenue!$B$112</f>
        <v/>
      </c>
      <c r="C18" s="792" t="inlineStr">
        <is>
          <t>Derived from the Level 2 stream on the Revenue tab. It used to be typed here as well, and on the first all-Level-2 site it was left blank.</t>
        </is>
      </c>
      <c r="D18" s="804" t="n"/>
      <c r="E18" s="804" t="n"/>
      <c r="F18" s="804" t="n"/>
    </row>
    <row r="19" ht="16" customHeight="1" s="254">
      <c r="A19" s="811" t="n"/>
      <c r="B19" s="804" t="n"/>
      <c r="C19" s="804" t="n"/>
      <c r="D19" s="804" t="n"/>
      <c r="E19" s="804" t="n"/>
      <c r="F19" s="804" t="n"/>
    </row>
    <row r="20" ht="19.75" customHeight="1" s="254">
      <c r="A20" s="798" t="inlineStr">
        <is>
          <t>Cap test</t>
        </is>
      </c>
      <c r="B20" s="804" t="n"/>
      <c r="C20" s="804" t="n"/>
      <c r="D20" s="804" t="n"/>
      <c r="E20" s="804" t="n"/>
      <c r="F20" s="804" t="n"/>
    </row>
    <row r="21" hidden="1" outlineLevel="1" ht="16" customHeight="1" s="254">
      <c r="A21" s="781" t="inlineStr">
        <is>
          <t>Cap multiple of net capex</t>
        </is>
      </c>
      <c r="B21" s="919" t="n">
        <v>1.5</v>
      </c>
      <c r="C21" s="792" t="inlineStr">
        <is>
          <t>FCI revenue stops at this multiple</t>
        </is>
      </c>
      <c r="D21" s="804" t="n"/>
      <c r="E21" s="804" t="n"/>
      <c r="F21" s="804" t="n"/>
    </row>
    <row r="22" hidden="1" outlineLevel="1" ht="16" customHeight="1" s="254">
      <c r="A22" s="781" t="inlineStr">
        <is>
          <t>Grants or rebates awarded</t>
        </is>
      </c>
      <c r="B22" s="934" t="n">
        <v>0</v>
      </c>
      <c r="C22" s="792" t="inlineStr">
        <is>
          <t>Reduces net capex and therefore the cap</t>
        </is>
      </c>
      <c r="D22" s="804" t="n"/>
      <c r="E22" s="804" t="n"/>
      <c r="F22" s="804" t="n"/>
    </row>
    <row r="23" hidden="1" outlineLevel="1" ht="16" customHeight="1" s="254">
      <c r="A23" s="811" t="n"/>
      <c r="B23" s="804" t="n"/>
      <c r="C23" s="804" t="n"/>
      <c r="D23" s="804" t="n"/>
      <c r="E23" s="804" t="n"/>
      <c r="F23" s="804" t="n"/>
    </row>
    <row r="24" ht="19.75" customHeight="1" s="254">
      <c r="A24" s="798" t="inlineStr">
        <is>
          <t>Federal and state incentives</t>
        </is>
      </c>
      <c r="B24" s="804" t="n"/>
      <c r="C24" s="804" t="n"/>
      <c r="D24" s="804" t="n"/>
      <c r="E24" s="804" t="n"/>
      <c r="F24" s="804" t="n"/>
    </row>
    <row r="25" ht="16" customHeight="1" s="254">
      <c r="A25" s="781" t="inlineStr">
        <is>
          <t>Federal ITC claimed?</t>
        </is>
      </c>
      <c r="B25" s="799" t="inlineStr">
        <is>
          <t>No</t>
        </is>
      </c>
      <c r="C25" s="792" t="inlineStr">
        <is>
          <t>Sec 30C ended for property in service after 30 Jun 2026</t>
        </is>
      </c>
      <c r="D25" s="804" t="n"/>
      <c r="E25" s="804" t="n"/>
      <c r="F25" s="804" t="n"/>
    </row>
    <row r="26" ht="16" customHeight="1" s="254">
      <c r="A26" s="781" t="inlineStr">
        <is>
          <t>State programme evaluated</t>
        </is>
      </c>
      <c r="B26" s="799" t="n"/>
      <c r="C26" s="792" t="inlineStr">
        <is>
          <t>e.g. Fast Charge California — name it even if it does not qualify</t>
        </is>
      </c>
      <c r="E26" s="804" t="n"/>
      <c r="F26" s="804" t="n"/>
    </row>
    <row r="27" ht="16" customHeight="1" s="254">
      <c r="A27" s="781" t="inlineStr">
        <is>
          <t>State programme outcome</t>
        </is>
      </c>
      <c r="B27" s="799" t="n"/>
      <c r="C27" s="792" t="inlineStr">
        <is>
          <t>Qualifies / Does not qualify / Applied — with the reason</t>
        </is>
      </c>
      <c r="E27" s="804" t="n"/>
      <c r="F27" s="804" t="n"/>
    </row>
    <row r="28" ht="16" customHeight="1" s="254">
      <c r="A28" s="811" t="n"/>
      <c r="B28" s="804" t="n"/>
      <c r="C28" s="804" t="n"/>
      <c r="D28" s="804" t="n"/>
      <c r="E28" s="804" t="n"/>
      <c r="F28" s="804" t="n"/>
    </row>
    <row r="29" ht="19.75" customHeight="1" s="254">
      <c r="A29" s="798" t="inlineStr">
        <is>
          <t>Level 2 credit and consistency</t>
        </is>
      </c>
      <c r="B29" s="804" t="n"/>
      <c r="C29" s="804" t="n"/>
      <c r="D29" s="804" t="n"/>
      <c r="E29" s="804" t="n"/>
      <c r="F29" s="804" t="n"/>
    </row>
    <row r="30" hidden="1" outlineLevel="1" ht="16" customHeight="1" s="254">
      <c r="A30" s="781" t="inlineStr">
        <is>
          <t>Level 2 credit per year (gross)</t>
        </is>
      </c>
      <c r="B30" s="935">
        <f>$B$17*$B$18*365</f>
        <v/>
      </c>
      <c r="C30" s="936" t="inlineStr"/>
      <c r="D30" s="804" t="n"/>
      <c r="E30" s="804" t="n"/>
      <c r="F30" s="804" t="n"/>
    </row>
    <row r="31" hidden="1" outlineLevel="1" ht="31" customHeight="1" s="254">
      <c r="A31" s="781" t="inlineStr">
        <is>
          <t>Level 2 credit per year, net of aggregator share</t>
        </is>
      </c>
      <c r="B31" s="935">
        <f>$B$30*(1-$B$9)</f>
        <v/>
      </c>
      <c r="C31" s="936" t="inlineStr"/>
      <c r="D31" s="804" t="n"/>
      <c r="E31" s="804" t="n"/>
      <c r="F31" s="804" t="n"/>
    </row>
    <row r="32" hidden="1" outlineLevel="1" ht="43.5" customHeight="1" s="254">
      <c r="A32" s="781" t="inlineStr">
        <is>
          <t>FCI answer against the equipment</t>
        </is>
      </c>
      <c r="B32" s="937">
        <f>IF(AND(LOWER(TRIM($B$5))="yes",N(Equipment!$B$26)=0),"CONFLICT — Yes on a site with no DC fast-charging capacity. The FCI pathway pays on DC only; a Level 2 site earns the consumption credit above and nothing else. Set this to No.",IF(AND(LOWER(TRIM($B$5))="no",N(Equipment!$B$26)&gt;0),"CHECK — No on a site with "&amp;TEXT(Equipment!$B$26,"#,##0")&amp;" kW of DC fast-charging capacity. Confirm the disqualification is real.","OK — the FCI answer matches the equipment on the schedule"))</f>
        <v/>
      </c>
      <c r="C32" s="792" t="inlineStr">
        <is>
          <t>The capacity credit is issued on installed DC fast-charging capacity. Level 2 does not qualify, and a Yes here on a Level 2 site used to produce a silent $0.</t>
        </is>
      </c>
      <c r="D32" s="804" t="n"/>
      <c r="E32" s="804" t="n"/>
      <c r="F32" s="804" t="n"/>
    </row>
  </sheetData>
  <sheetProtection selectLockedCells="0" selectUnlockedCells="0" sheet="1" objects="0" insertRows="1" insertHyperlinks="1" autoFilter="1" scenarios="0" formatColumns="0" deleteColumns="1" insertColumns="1" pivotTables="1" deleteRows="1" formatCells="0" formatRows="0" sort="1"/>
  <mergeCells count="5">
    <mergeCell ref="C12:D12"/>
    <mergeCell ref="A1:F1"/>
    <mergeCell ref="C27:D27"/>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1" activeCellId="0" sqref="B31"/>
    </sheetView>
  </sheetViews>
  <sheetFormatPr baseColWidth="8" defaultColWidth="8.66796875" defaultRowHeight="14.25" zeroHeight="0" outlineLevelRow="0"/>
  <cols>
    <col width="36" customWidth="1" style="253" min="1" max="1"/>
    <col width="30" customWidth="1" style="253" min="2" max="2"/>
    <col width="50" customWidth="1" style="253" min="3" max="3"/>
    <col width="24" customWidth="1" style="253" min="4" max="5"/>
    <col width="9" customWidth="1" style="254" min="5" max="5"/>
  </cols>
  <sheetData>
    <row r="1" ht="26" customHeight="1" s="254">
      <c r="A1" s="790" t="inlineStr">
        <is>
          <t>8 · DEAL STRUCTURE (OPTIONAL)</t>
        </is>
      </c>
    </row>
    <row r="2" ht="56" customHeight="1" s="254">
      <c r="A2" s="792" t="inlineStr">
        <is>
          <t>Leave every knob at zero for a straight sale. Fill them in only when we are trading price for a share of the upside.</t>
        </is>
      </c>
      <c r="B2" s="804" t="n"/>
      <c r="C2" s="804" t="n"/>
      <c r="D2" s="804" t="n"/>
      <c r="E2" s="804" t="n"/>
    </row>
    <row r="3" ht="16" customHeight="1" s="254">
      <c r="A3" s="811" t="n"/>
      <c r="B3" s="804" t="n"/>
      <c r="C3" s="804" t="n"/>
      <c r="D3" s="804" t="n"/>
      <c r="E3" s="804" t="n"/>
    </row>
    <row r="4" ht="16" customHeight="1" s="254">
      <c r="A4" s="781" t="inlineStr">
        <is>
          <t>•</t>
        </is>
      </c>
      <c r="B4" s="781" t="inlineStr">
        <is>
          <t>This tab is optional. Zero everywhere means a conventional sale and the model runs exactly as it does today.</t>
        </is>
      </c>
    </row>
    <row r="5" ht="31" customHeight="1" s="254">
      <c r="A5" s="781" t="inlineStr">
        <is>
          <t>•</t>
        </is>
      </c>
      <c r="B5" s="781" t="inlineStr">
        <is>
          <t>Use it when we want to lower the client's price in return for keeping part of the carbon credit or the charging revenue.</t>
        </is>
      </c>
    </row>
    <row r="6" ht="31" customHeight="1" s="254">
      <c r="A6" s="781" t="inlineStr">
        <is>
          <t>•</t>
        </is>
      </c>
      <c r="B6" s="781" t="inlineStr">
        <is>
          <t>The model reports both sides — what the client nets and what we net on the capital we put in — so a structure can be judged before it is offered.</t>
        </is>
      </c>
    </row>
    <row r="7" ht="16" customHeight="1" s="254">
      <c r="A7" s="811" t="n"/>
      <c r="B7" s="804" t="n"/>
      <c r="C7" s="804" t="n"/>
      <c r="D7" s="804" t="n"/>
      <c r="E7" s="804" t="n"/>
    </row>
    <row r="8" ht="19.75" customHeight="1" s="254">
      <c r="A8" s="798" t="inlineStr">
        <is>
          <t>What we keep</t>
        </is>
      </c>
      <c r="B8" s="804" t="n"/>
      <c r="C8" s="804" t="n"/>
      <c r="D8" s="804" t="n"/>
      <c r="E8" s="804" t="n"/>
    </row>
    <row r="9" ht="16" customHeight="1" s="254">
      <c r="A9" s="781" t="inlineStr">
        <is>
          <t>Structure name</t>
        </is>
      </c>
      <c r="B9" s="799" t="inlineStr">
        <is>
          <t>Base case — no share</t>
        </is>
      </c>
      <c r="C9" s="792" t="inlineStr">
        <is>
          <t>A label so a reader knows which structure this is</t>
        </is>
      </c>
      <c r="D9" s="804" t="n"/>
      <c r="E9" s="804" t="n"/>
    </row>
    <row r="10" ht="16" customHeight="1" s="254">
      <c r="A10" s="781" t="inlineStr">
        <is>
          <t>Our share of the net carbon credit</t>
        </is>
      </c>
      <c r="B10" s="887" t="n">
        <v>0</v>
      </c>
      <c r="C10" s="792" t="inlineStr">
        <is>
          <t>0% = client keeps all of it</t>
        </is>
      </c>
      <c r="D10" s="804" t="n"/>
      <c r="E10" s="804" t="n"/>
    </row>
    <row r="11" ht="16" customHeight="1" s="254">
      <c r="A11" s="781" t="inlineStr">
        <is>
          <t>Our share of charging revenue</t>
        </is>
      </c>
      <c r="B11" s="887" t="n">
        <v>0</v>
      </c>
      <c r="C11" s="792" t="inlineStr">
        <is>
          <t>0% = client keeps all of it</t>
        </is>
      </c>
      <c r="D11" s="804" t="n"/>
      <c r="E11" s="804" t="n"/>
    </row>
    <row r="12" ht="16" customHeight="1" s="254">
      <c r="A12" s="781" t="inlineStr">
        <is>
          <t>Revenue share is taken on</t>
        </is>
      </c>
      <c r="B12" s="799" t="inlineStr">
        <is>
          <t>Net charging profit</t>
        </is>
      </c>
      <c r="C12" s="792" t="inlineStr">
        <is>
          <t>Net charging profit / Gross revenue</t>
        </is>
      </c>
      <c r="D12" s="804" t="n"/>
      <c r="E12" s="804" t="n"/>
    </row>
    <row r="13" ht="16" customHeight="1" s="254">
      <c r="A13" s="781" t="inlineStr">
        <is>
          <t>Share runs for (years)</t>
        </is>
      </c>
      <c r="B13" s="831" t="n">
        <v>10</v>
      </c>
      <c r="C13" s="792" t="inlineStr">
        <is>
          <t>Cannot exceed the model horizon</t>
        </is>
      </c>
      <c r="D13" s="804" t="n"/>
      <c r="E13" s="804" t="n"/>
    </row>
    <row r="14" ht="16" customHeight="1" s="254">
      <c r="A14" s="811" t="n"/>
      <c r="B14" s="804" t="n"/>
      <c r="C14" s="804" t="n"/>
      <c r="D14" s="804" t="n"/>
      <c r="E14" s="804" t="n"/>
    </row>
    <row r="15" ht="19.75" customHeight="1" s="254">
      <c r="A15" s="798" t="inlineStr">
        <is>
          <t>What we give in return</t>
        </is>
      </c>
      <c r="B15" s="804" t="n"/>
      <c r="C15" s="804" t="n"/>
      <c r="D15" s="804" t="n"/>
      <c r="E15" s="804" t="n"/>
    </row>
    <row r="16" ht="16" customHeight="1" s="254">
      <c r="A16" s="781" t="inlineStr">
        <is>
          <t>Extra discount on charger hardware</t>
        </is>
      </c>
      <c r="B16" s="887" t="n">
        <v>0</v>
      </c>
      <c r="C16" s="792" t="inlineStr">
        <is>
          <t>On top of the discount already in the base price</t>
        </is>
      </c>
      <c r="D16" s="804" t="n"/>
      <c r="E16" s="804" t="n"/>
    </row>
    <row r="17" ht="31" customHeight="1" s="254">
      <c r="A17" s="781" t="inlineStr">
        <is>
          <t>Extra discount on electrical and construction</t>
        </is>
      </c>
      <c r="B17" s="887" t="n">
        <v>0</v>
      </c>
      <c r="C17" s="804" t="n"/>
      <c r="D17" s="804" t="n"/>
      <c r="E17" s="804" t="n"/>
    </row>
    <row r="18" ht="31" customHeight="1" s="254">
      <c r="A18" s="781" t="inlineStr">
        <is>
          <t>Extra discount on service, warranty and network</t>
        </is>
      </c>
      <c r="B18" s="887" t="n">
        <v>0</v>
      </c>
      <c r="C18" s="804" t="n"/>
      <c r="D18" s="804" t="n"/>
      <c r="E18" s="804" t="n"/>
    </row>
    <row r="19" ht="16" customHeight="1" s="254">
      <c r="A19" s="781" t="inlineStr">
        <is>
          <t>Direct capital contribution</t>
        </is>
      </c>
      <c r="B19" s="925" t="n">
        <v>0</v>
      </c>
      <c r="C19" s="792" t="inlineStr">
        <is>
          <t>Cash or hardware we fund outright</t>
        </is>
      </c>
      <c r="D19" s="804" t="n"/>
      <c r="E19" s="804" t="n"/>
    </row>
    <row r="20" ht="16" customHeight="1" s="254">
      <c r="A20" s="811" t="n"/>
      <c r="B20" s="804" t="n"/>
      <c r="C20" s="804" t="n"/>
      <c r="D20" s="804" t="n"/>
      <c r="E20" s="804" t="n"/>
    </row>
    <row r="21" ht="33.5" customHeight="1" s="254">
      <c r="A21" s="798" t="inlineStr">
        <is>
          <t>Guard rails — the model will report against these</t>
        </is>
      </c>
      <c r="B21" s="804" t="n"/>
      <c r="C21" s="804" t="n"/>
      <c r="D21" s="804" t="n"/>
      <c r="E21" s="804" t="n"/>
    </row>
    <row r="22" ht="16" customHeight="1" s="254">
      <c r="A22" s="781" t="inlineStr">
        <is>
          <t>Minimum acceptable client NPV</t>
        </is>
      </c>
      <c r="B22" s="925" t="n">
        <v>0</v>
      </c>
      <c r="C22" s="792" t="inlineStr">
        <is>
          <t>Below this the structure is not worth offering</t>
        </is>
      </c>
      <c r="D22" s="804" t="n"/>
      <c r="E22" s="804" t="n"/>
    </row>
    <row r="23" ht="31" customHeight="1" s="254">
      <c r="A23" s="781" t="inlineStr">
        <is>
          <t>Minimum acceptable return on our capital</t>
        </is>
      </c>
      <c r="B23" s="938" t="n">
        <v>2</v>
      </c>
      <c r="C23" s="792" t="inlineStr">
        <is>
          <t>Multiple of what we contribute</t>
        </is>
      </c>
      <c r="D23" s="804" t="n"/>
      <c r="E23" s="804" t="n"/>
    </row>
    <row r="24" ht="16" customHeight="1" s="254">
      <c r="A24" s="781" t="inlineStr">
        <is>
          <t>Maximum capital we will contribute</t>
        </is>
      </c>
      <c r="B24" s="807" t="n">
        <v>0</v>
      </c>
      <c r="C24" s="792" t="inlineStr">
        <is>
          <t>Hard ceiling on our exposure</t>
        </is>
      </c>
      <c r="D24" s="804" t="n"/>
      <c r="E24" s="804" t="n"/>
    </row>
    <row r="25" ht="68.5" customHeight="1" s="254">
      <c r="A25" s="781" t="inlineStr">
        <is>
          <t>Price position</t>
        </is>
      </c>
      <c r="B25" s="807" t="n"/>
      <c r="C25" s="792" t="inlineStr">
        <is>
          <t>What we are doing about the guard rails above, and what would change it. A price held on judgement with no written release trigger is a price that quietly drifts — name the evidence or the event that would move it.</t>
        </is>
      </c>
      <c r="D25" s="804" t="n"/>
      <c r="E25" s="804" t="n"/>
    </row>
    <row r="26" ht="33.5" customHeight="1" s="254">
      <c r="A26" s="798" t="inlineStr">
        <is>
          <t>Scope of supply — which lines do we provide?</t>
        </is>
      </c>
      <c r="B26" s="804" t="n"/>
      <c r="C26" s="804" t="n"/>
      <c r="D26" s="804" t="n"/>
      <c r="E26" s="804" t="n"/>
    </row>
    <row r="27" ht="31" customHeight="1" s="254">
      <c r="A27" s="792" t="inlineStr">
        <is>
          <t>Default is all of them, which is the base case. Mark a line "By others" when a third party supplies it — it leaves our contract but stays in the client's project.</t>
        </is>
      </c>
    </row>
    <row r="28" ht="16" customHeight="1" s="254">
      <c r="A28" s="811" t="n"/>
      <c r="B28" s="804" t="n"/>
      <c r="C28" s="804" t="n"/>
      <c r="D28" s="804" t="n"/>
      <c r="E28" s="804" t="n"/>
    </row>
    <row r="29" ht="16" customHeight="1" s="254">
      <c r="A29" s="801" t="inlineStr">
        <is>
          <t>Service line</t>
        </is>
      </c>
      <c r="B29" s="801" t="inlineStr">
        <is>
          <t>Who provides it</t>
        </is>
      </c>
      <c r="C29" s="801" t="inlineStr">
        <is>
          <t>Third party name</t>
        </is>
      </c>
      <c r="D29" s="801" t="inlineStr">
        <is>
          <t>Notes</t>
        </is>
      </c>
      <c r="E29" s="804" t="n"/>
    </row>
    <row r="30" ht="31" customHeight="1" s="254">
      <c r="A30" s="888" t="inlineStr">
        <is>
          <t>Charger hardware — procurement and sale</t>
        </is>
      </c>
      <c r="B30" s="807" t="inlineStr">
        <is>
          <t>We provide</t>
        </is>
      </c>
      <c r="C30" s="799" t="n"/>
      <c r="D30" s="799" t="n"/>
      <c r="E30" s="804" t="n"/>
    </row>
    <row r="31" ht="16" customHeight="1" s="254">
      <c r="A31" s="888" t="inlineStr">
        <is>
          <t>Extended warranty and O&amp;M service</t>
        </is>
      </c>
      <c r="B31" s="807" t="inlineStr">
        <is>
          <t>We provide</t>
        </is>
      </c>
      <c r="C31" s="799" t="n"/>
      <c r="D31" s="799" t="n"/>
      <c r="E31" s="804" t="n"/>
    </row>
    <row r="32" ht="16" customHeight="1" s="254">
      <c r="A32" s="888" t="inlineStr">
        <is>
          <t>EVOLV platform and commissioning</t>
        </is>
      </c>
      <c r="B32" s="807" t="inlineStr">
        <is>
          <t>We provide</t>
        </is>
      </c>
      <c r="C32" s="799" t="n"/>
      <c r="D32" s="799" t="n"/>
      <c r="E32" s="804" t="n"/>
    </row>
    <row r="33" ht="16" customHeight="1" s="254">
      <c r="A33" s="888" t="inlineStr">
        <is>
          <t>Sales tax on chargers</t>
        </is>
      </c>
      <c r="B33" s="807" t="inlineStr">
        <is>
          <t>We provide</t>
        </is>
      </c>
      <c r="C33" s="799" t="n"/>
      <c r="D33" s="799" t="n"/>
      <c r="E33" s="804" t="n"/>
    </row>
    <row r="34" ht="16" customHeight="1" s="254">
      <c r="A34" s="888" t="inlineStr">
        <is>
          <t>Design and engineering</t>
        </is>
      </c>
      <c r="B34" s="807" t="inlineStr">
        <is>
          <t>We provide</t>
        </is>
      </c>
      <c r="C34" s="799" t="n"/>
      <c r="D34" s="799" t="n"/>
      <c r="E34" s="804" t="n"/>
    </row>
    <row r="35" ht="31" customHeight="1" s="254">
      <c r="A35" s="888" t="inlineStr">
        <is>
          <t>Construction — all-inclusive (materials, equipment, labour)</t>
        </is>
      </c>
      <c r="B35" s="807" t="inlineStr">
        <is>
          <t>We provide</t>
        </is>
      </c>
      <c r="C35" s="799" t="n"/>
      <c r="D35" s="799" t="n"/>
      <c r="E35" s="804" t="n"/>
    </row>
    <row r="36" ht="16" customHeight="1" s="254">
      <c r="A36" s="888" t="inlineStr">
        <is>
          <t>Utility interconnection management</t>
        </is>
      </c>
      <c r="B36" s="807" t="inlineStr">
        <is>
          <t>We provide</t>
        </is>
      </c>
      <c r="C36" s="799" t="n"/>
      <c r="D36" s="799" t="n"/>
      <c r="E36" s="804" t="n"/>
    </row>
    <row r="37" ht="16" customHeight="1" s="254">
      <c r="A37" s="792" t="inlineStr">
        <is>
          <t>Carbon credit administration is NOT one of our lines — a third-party aggregator takes a share of proceeds. See 7_Carbon.</t>
        </is>
      </c>
      <c r="E37" s="804" t="n"/>
    </row>
    <row r="38" ht="31" customHeight="1" s="254">
      <c r="A38" s="811" t="n"/>
      <c r="B38" s="792" t="inlineStr">
        <is>
          <t>Handing a line to a third party removes its price and its margin. The model shows what each one is worth before you offer it.</t>
        </is>
      </c>
    </row>
    <row r="39" ht="16" customHeight="1" s="254">
      <c r="A39" s="811" t="n"/>
      <c r="B39" s="804" t="n"/>
      <c r="C39" s="804" t="n"/>
      <c r="D39" s="804" t="n"/>
      <c r="E39" s="804" t="n"/>
    </row>
    <row r="40" ht="19.75" customHeight="1" s="254">
      <c r="A40" s="798" t="inlineStr">
        <is>
          <t>Financing basis</t>
        </is>
      </c>
      <c r="B40" s="804" t="n"/>
      <c r="C40" s="804" t="n"/>
      <c r="D40" s="804" t="n"/>
      <c r="E40" s="804" t="n"/>
    </row>
    <row r="41" ht="16" customHeight="1" s="254">
      <c r="A41" s="781" t="inlineStr">
        <is>
          <t>Client finances</t>
        </is>
      </c>
      <c r="B41" s="807" t="inlineStr">
        <is>
          <t>Whole project</t>
        </is>
      </c>
      <c r="C41" s="792" t="inlineStr">
        <is>
          <t>Whether the facility covers third-party scope too</t>
        </is>
      </c>
      <c r="D41" s="804" t="n"/>
      <c r="E41" s="804" t="n"/>
    </row>
  </sheetData>
  <sheetProtection selectLockedCells="0" selectUnlockedCells="0" sheet="1" objects="0" insertRows="1" insertHyperlinks="1" autoFilter="1" scenarios="0" formatColumns="0" deleteColumns="1" insertColumns="1" pivotTables="1" deleteRows="1" formatCells="0" formatRows="0" sort="1"/>
  <mergeCells count="7">
    <mergeCell ref="A37:D37"/>
    <mergeCell ref="B4:E4"/>
    <mergeCell ref="B6:E6"/>
    <mergeCell ref="B38:E38"/>
    <mergeCell ref="A1:E1"/>
    <mergeCell ref="B5:E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D15" activeCellId="0" sqref="D15"/>
    </sheetView>
  </sheetViews>
  <sheetFormatPr baseColWidth="8" defaultColWidth="8.66796875" defaultRowHeight="14.25" zeroHeight="0" outlineLevelRow="0"/>
  <cols>
    <col width="38" customWidth="1" style="253" min="1" max="1"/>
    <col width="24" customWidth="1" style="253" min="2" max="4"/>
    <col width="12" customWidth="1" style="254" min="3" max="3"/>
    <col width="60" customWidth="1" style="254" min="4" max="4"/>
  </cols>
  <sheetData>
    <row r="1" ht="26" customHeight="1" s="254">
      <c r="A1" s="790" t="inlineStr">
        <is>
          <t>9 · OVERRIDE REGISTER</t>
        </is>
      </c>
    </row>
    <row r="2" ht="16" customHeight="1" s="254">
      <c r="A2" s="792" t="inlineStr">
        <is>
          <t>The escape hatch. Force any derived value here when you know better than the engine — a quote, a fee schedule, a field measurement.</t>
        </is>
      </c>
    </row>
    <row r="3" ht="16" customHeight="1" s="254">
      <c r="A3" s="811" t="n"/>
      <c r="B3" s="804" t="n"/>
      <c r="C3" s="804" t="n"/>
      <c r="D3" s="804" t="n"/>
    </row>
    <row r="4" ht="31" customHeight="1" s="254">
      <c r="A4" s="781" t="inlineStr">
        <is>
          <t>•</t>
        </is>
      </c>
      <c r="B4" s="781" t="inlineStr">
        <is>
          <t>Leave a row blank and the engine uses its own computed number. Fill it in and the engine uses yours, everywhere.</t>
        </is>
      </c>
    </row>
    <row r="5" ht="31" customHeight="1" s="254">
      <c r="A5" s="781" t="inlineStr">
        <is>
          <t>•</t>
        </is>
      </c>
      <c r="B5" s="781" t="inlineStr">
        <is>
          <t>Every override is reported on the model summary, so a reviewer can always see that the model was touched and exactly where.</t>
        </is>
      </c>
    </row>
    <row r="6" ht="31" customHeight="1" s="254">
      <c r="A6" s="781" t="inlineStr">
        <is>
          <t>•</t>
        </is>
      </c>
      <c r="B6" s="781" t="inlineStr">
        <is>
          <t>Put the reason in the last column. An override with no reason is indistinguishable from a typo six months later.</t>
        </is>
      </c>
    </row>
    <row r="7" ht="16" customHeight="1" s="254">
      <c r="A7" s="811" t="n"/>
      <c r="B7" s="804" t="n"/>
      <c r="C7" s="804" t="n"/>
      <c r="D7" s="804" t="n"/>
    </row>
    <row r="8" ht="16" customHeight="1" s="254">
      <c r="A8" s="801" t="inlineStr">
        <is>
          <t>Value</t>
        </is>
      </c>
      <c r="B8" s="801" t="inlineStr">
        <is>
          <t>Override</t>
        </is>
      </c>
      <c r="C8" s="801" t="inlineStr">
        <is>
          <t>Units</t>
        </is>
      </c>
      <c r="D8" s="801" t="inlineStr">
        <is>
          <t>Why — quote, fee schedule, measurement</t>
        </is>
      </c>
    </row>
    <row r="9" ht="31" customHeight="1" s="254">
      <c r="A9" s="888" t="inlineStr">
        <is>
          <t>Wires, conduits and peripherals (before uplift)</t>
        </is>
      </c>
      <c r="B9" s="833" t="n"/>
      <c r="C9" s="939" t="inlineStr">
        <is>
          <t>$</t>
        </is>
      </c>
      <c r="D9" s="799" t="n"/>
    </row>
    <row r="10" ht="43.5" customHeight="1" s="254">
      <c r="A10" s="888" t="inlineStr">
        <is>
          <t>Switchgear and distribution (before uplift)</t>
        </is>
      </c>
      <c r="B10" s="833" t="n"/>
      <c r="C10" s="939" t="inlineStr">
        <is>
          <t>$</t>
        </is>
      </c>
      <c r="D10" s="797" t="inlineStr">
        <is>
          <t>Vendor quote for the switchboard, before markup. Use this when the board is quoted rather than taken from the RefData frame schedule.</t>
        </is>
      </c>
    </row>
    <row r="11" ht="16" customHeight="1" s="254">
      <c r="A11" s="888" t="inlineStr">
        <is>
          <t>Site works (before uplift)</t>
        </is>
      </c>
      <c r="B11" s="833" t="n"/>
      <c r="C11" s="939" t="inlineStr">
        <is>
          <t>$</t>
        </is>
      </c>
      <c r="D11" s="799" t="n"/>
    </row>
    <row r="12" ht="16" customHeight="1" s="254">
      <c r="A12" s="888" t="inlineStr">
        <is>
          <t>Dump, waste and freight (before uplift)</t>
        </is>
      </c>
      <c r="B12" s="833" t="n"/>
      <c r="C12" s="939" t="inlineStr">
        <is>
          <t>$</t>
        </is>
      </c>
      <c r="D12" s="799" t="n"/>
    </row>
    <row r="13" ht="16" customHeight="1" s="254">
      <c r="A13" s="888" t="inlineStr">
        <is>
          <t>Permits and plan check (before uplift)</t>
        </is>
      </c>
      <c r="B13" s="833" t="n"/>
      <c r="C13" s="939" t="inlineStr">
        <is>
          <t>$</t>
        </is>
      </c>
      <c r="D13" s="799" t="n"/>
    </row>
    <row r="14" ht="31" customHeight="1" s="254">
      <c r="A14" s="888" t="inlineStr">
        <is>
          <t>Utility application and contract fees (before uplift)</t>
        </is>
      </c>
      <c r="B14" s="833" t="n"/>
      <c r="C14" s="939" t="inlineStr">
        <is>
          <t>$</t>
        </is>
      </c>
      <c r="D14" s="799" t="n"/>
    </row>
    <row r="15" ht="31" customHeight="1" s="254">
      <c r="A15" s="888" t="inlineStr">
        <is>
          <t>Construction equipment rentals (before uplift)</t>
        </is>
      </c>
      <c r="B15" s="833" t="n"/>
      <c r="C15" s="939" t="inlineStr">
        <is>
          <t>$</t>
        </is>
      </c>
      <c r="D15" s="799" t="n"/>
    </row>
    <row r="16" ht="16" customHeight="1" s="254">
      <c r="A16" s="888" t="inlineStr">
        <is>
          <t>Design and engineering</t>
        </is>
      </c>
      <c r="B16" s="833" t="n"/>
      <c r="C16" s="939" t="inlineStr">
        <is>
          <t>$</t>
        </is>
      </c>
      <c r="D16" s="799" t="n"/>
    </row>
    <row r="17" ht="31" customHeight="1" s="254">
      <c r="A17" s="888" t="inlineStr">
        <is>
          <t>Utility line-extension contribution (if any)</t>
        </is>
      </c>
      <c r="B17" s="833" t="n"/>
      <c r="C17" s="939" t="inlineStr">
        <is>
          <t>$</t>
        </is>
      </c>
      <c r="D17" s="799" t="inlineStr">
        <is>
          <t>Leave blank and it is excluded by name in the proposal. Fill it in only when PG&amp;E returns a design that requires it.</t>
        </is>
      </c>
    </row>
    <row r="18" ht="16" customHeight="1" s="254">
      <c r="A18" s="888" t="inlineStr">
        <is>
          <t>Additional or unforeseen scope</t>
        </is>
      </c>
      <c r="B18" s="833" t="n"/>
      <c r="C18" s="939" t="inlineStr">
        <is>
          <t>$</t>
        </is>
      </c>
      <c r="D18" s="799" t="n"/>
    </row>
    <row r="19" ht="16" customHeight="1" s="254">
      <c r="A19" s="888" t="inlineStr">
        <is>
          <t>Standard frame (A)</t>
        </is>
      </c>
      <c r="B19" s="818" t="n"/>
      <c r="C19" s="939" t="inlineStr">
        <is>
          <t>amps</t>
        </is>
      </c>
      <c r="D19" s="799" t="n"/>
    </row>
    <row r="20" ht="16" customHeight="1" s="254">
      <c r="A20" s="888" t="inlineStr">
        <is>
          <t>Branch breaker per cabinet (A)</t>
        </is>
      </c>
      <c r="B20" s="818" t="n"/>
      <c r="C20" s="939" t="inlineStr">
        <is>
          <t>amps</t>
        </is>
      </c>
      <c r="D20" s="799" t="n"/>
    </row>
    <row r="21" ht="16" customHeight="1" s="254">
      <c r="A21" s="888" t="inlineStr">
        <is>
          <t>Crew days on site</t>
        </is>
      </c>
      <c r="B21" s="818" t="n"/>
      <c r="C21" s="939" t="inlineStr">
        <is>
          <t>days</t>
        </is>
      </c>
      <c r="D21" s="799" t="n"/>
    </row>
    <row r="22" ht="16" customHeight="1" s="254">
      <c r="A22" s="888" t="inlineStr">
        <is>
          <t>Steady-state kWh per day</t>
        </is>
      </c>
      <c r="B22" s="818" t="n"/>
      <c r="C22" s="939" t="inlineStr">
        <is>
          <t>kWh</t>
        </is>
      </c>
      <c r="D22" s="799" t="n"/>
    </row>
    <row r="23" ht="16" customHeight="1" s="254">
      <c r="A23" s="888" t="inlineStr">
        <is>
          <t>Gross capacity credit per year</t>
        </is>
      </c>
      <c r="B23" s="833" t="n"/>
      <c r="C23" s="939" t="inlineStr">
        <is>
          <t>$</t>
        </is>
      </c>
      <c r="D23" s="799" t="n"/>
    </row>
    <row r="24" ht="16" customHeight="1" s="254">
      <c r="A24" s="888" t="inlineStr">
        <is>
          <t>Monthly loan payment</t>
        </is>
      </c>
      <c r="B24" s="833" t="n"/>
      <c r="C24" s="939" t="inlineStr">
        <is>
          <t>$</t>
        </is>
      </c>
      <c r="D24" s="799" t="n"/>
    </row>
    <row r="25" ht="16" customHeight="1" s="254">
      <c r="A25" s="888" t="inlineStr">
        <is>
          <t>Hardware MSRP each</t>
        </is>
      </c>
      <c r="B25" s="833" t="n"/>
      <c r="C25" s="939" t="inlineStr">
        <is>
          <t>$</t>
        </is>
      </c>
      <c r="D25" s="799" t="n"/>
    </row>
    <row r="26" ht="16" customHeight="1" s="254">
      <c r="A26" s="888" t="inlineStr">
        <is>
          <t>Retail price to driver</t>
        </is>
      </c>
      <c r="B26" s="834" t="n"/>
      <c r="C26" s="939" t="inlineStr">
        <is>
          <t>$/kWh</t>
        </is>
      </c>
      <c r="D26" s="799" t="n"/>
    </row>
    <row r="27" ht="16" customHeight="1" s="254">
      <c r="A27" s="888" t="inlineStr">
        <is>
          <t>Delivered energy cost</t>
        </is>
      </c>
      <c r="B27" s="834" t="n"/>
      <c r="C27" s="939" t="inlineStr">
        <is>
          <t>$/kWh</t>
        </is>
      </c>
      <c r="D27" s="799" t="n"/>
    </row>
    <row r="28" ht="16" customHeight="1" s="254">
      <c r="A28" s="888" t="inlineStr">
        <is>
          <t>Utility demand / subscription</t>
        </is>
      </c>
      <c r="B28" s="834" t="n"/>
      <c r="C28" s="939" t="inlineStr">
        <is>
          <t>$/yr</t>
        </is>
      </c>
      <c r="D28" s="799"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B1" colorId="64" zoomScale="100" zoomScaleNormal="100" zoomScalePageLayoutView="100" workbookViewId="0">
      <pane xSplit="0" ySplit="2" topLeftCell="A3" activePane="bottomLeft" state="frozen"/>
      <selection pane="topLeft" activeCell="B1" activeCellId="0" sqref="B1"/>
      <selection pane="bottomLeft" activeCell="A110" activeCellId="0" sqref="A110"/>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21"/>
    <col width="13" customWidth="1" style="254" min="12" max="12"/>
    <col width="13" customWidth="1" style="254" min="13" max="13"/>
    <col width="13" customWidth="1" style="254" min="14" max="14"/>
    <col width="13" customWidth="1" style="254" min="15" max="15"/>
    <col width="13" customWidth="1" style="254" min="16" max="16"/>
    <col width="13" customWidth="1" style="254" min="17" max="17"/>
    <col width="13" customWidth="1" style="254" min="18" max="18"/>
    <col width="13" customWidth="1" style="254" min="19" max="19"/>
    <col width="13" customWidth="1" style="254" min="20" max="20"/>
    <col width="13" customWidth="1" style="254" min="21" max="21"/>
    <col width="9" customWidth="1" style="253" min="22" max="22"/>
    <col width="20" customWidth="1" style="253" min="23" max="23"/>
    <col width="13" customWidth="1" style="253" min="24" max="25"/>
    <col width="13" customWidth="1" style="254" min="25" max="25"/>
    <col width="9" customWidth="1" style="253" min="26" max="29"/>
    <col width="13" customWidth="1" style="254" min="27" max="27"/>
    <col width="13" customWidth="1" style="254" min="28" max="28"/>
    <col width="13" customWidth="1" style="254" min="29" max="29"/>
    <col width="25" customWidth="1" style="253" min="30" max="30"/>
    <col width="13" customWidth="1" style="253" min="31" max="31"/>
    <col width="9" customWidth="1" style="253" min="32" max="32"/>
    <col width="24" customWidth="1" style="253" min="33" max="33"/>
  </cols>
  <sheetData>
    <row r="1" ht="31.5" customHeight="1" s="254">
      <c r="A1" s="439" t="inlineStr">
        <is>
          <t>Category</t>
        </is>
      </c>
      <c r="B1" s="399" t="n"/>
      <c r="C1" s="399" t="n"/>
      <c r="D1" s="399" t="n"/>
      <c r="E1" s="399" t="n"/>
      <c r="F1" s="400" t="n"/>
      <c r="I1" s="358" t="inlineStr">
        <is>
          <t>CONNECTORS</t>
        </is>
      </c>
      <c r="J1" s="358" t="inlineStr">
        <is>
          <t>HOW THE COUNT WAS DECIDED</t>
        </is>
      </c>
      <c r="K1" s="440" t="inlineStr">
        <is>
          <t>SKU INDEX — built from the categories above; the capacity dropdown on 2_Equipment resolves against these columns</t>
        </is>
      </c>
    </row>
    <row r="2" ht="19.5" customHeight="1" s="254">
      <c r="A2" s="263" t="inlineStr">
        <is>
          <t>_L2</t>
        </is>
      </c>
      <c r="B2" s="263" t="inlineStr">
        <is>
          <t>CTX-R40-240-1</t>
        </is>
      </c>
      <c r="C2" s="263" t="inlineStr">
        <is>
          <t>40A Single Home Charger</t>
        </is>
      </c>
      <c r="D2" s="441" t="n">
        <v>605</v>
      </c>
      <c r="E2" s="442" t="n"/>
      <c r="F2" s="443" t="n"/>
      <c r="I2" s="444" t="n">
        <v>1</v>
      </c>
      <c r="J2" s="445" t="inlineStr">
        <is>
          <t>description says Single</t>
        </is>
      </c>
      <c r="K2" s="446" t="inlineStr">
        <is>
          <t>Level 2 AC</t>
        </is>
      </c>
      <c r="L2" s="447" t="inlineStr">
        <is>
          <t>30 kW DC</t>
        </is>
      </c>
      <c r="M2" s="447" t="inlineStr">
        <is>
          <t>60 kW DC</t>
        </is>
      </c>
      <c r="N2" s="447" t="inlineStr">
        <is>
          <t>120 kW DC</t>
        </is>
      </c>
      <c r="O2" s="447" t="inlineStr">
        <is>
          <t>160 kW DC</t>
        </is>
      </c>
      <c r="P2" s="447" t="inlineStr">
        <is>
          <t>180 kW DC</t>
        </is>
      </c>
      <c r="Q2" s="447" t="inlineStr">
        <is>
          <t>240 kW DC</t>
        </is>
      </c>
      <c r="R2" s="447" t="inlineStr">
        <is>
          <t>360 kW DC</t>
        </is>
      </c>
      <c r="S2" s="447" t="inlineStr">
        <is>
          <t>V2G</t>
        </is>
      </c>
      <c r="T2" s="447" t="inlineStr">
        <is>
          <t>Distributed system</t>
        </is>
      </c>
      <c r="U2" s="447" t="inlineStr">
        <is>
          <t>Accessory</t>
        </is>
      </c>
      <c r="W2" s="448" t="inlineStr">
        <is>
          <t>CAPACITY</t>
        </is>
      </c>
      <c r="X2" s="448" t="inlineStr">
        <is>
          <t>RATED kW</t>
        </is>
      </c>
      <c r="Y2" s="448" t="inlineStr">
        <is>
          <t>PER PORT</t>
        </is>
      </c>
      <c r="AD2" s="448" t="inlineStr">
        <is>
          <t>ROLE BY SKU</t>
        </is>
      </c>
      <c r="AE2" s="448" t="inlineStr">
        <is>
          <t>ROLE</t>
        </is>
      </c>
      <c r="AG2" s="449" t="inlineStr">
        <is>
          <t>DISPENSERS</t>
        </is>
      </c>
    </row>
    <row r="3" ht="15" customHeight="1" s="254">
      <c r="A3" s="263" t="inlineStr">
        <is>
          <t>_L2</t>
        </is>
      </c>
      <c r="B3" s="263" t="inlineStr">
        <is>
          <t>CTX-R48-240-1</t>
        </is>
      </c>
      <c r="C3" s="263" t="inlineStr">
        <is>
          <t>48A Single Home Charger</t>
        </is>
      </c>
      <c r="D3" s="441" t="n">
        <v>605</v>
      </c>
      <c r="E3" s="442" t="n"/>
      <c r="F3" s="443" t="n"/>
      <c r="I3" s="444" t="n">
        <v>1</v>
      </c>
      <c r="J3" s="445" t="inlineStr">
        <is>
          <t>description says Single</t>
        </is>
      </c>
      <c r="K3" s="450" t="inlineStr">
        <is>
          <t>CTX-R40-240-1</t>
        </is>
      </c>
      <c r="L3" s="450" t="inlineStr">
        <is>
          <t>TP5-30-480-1</t>
        </is>
      </c>
      <c r="M3" s="450" t="inlineStr">
        <is>
          <t>TP5-60-480-1</t>
        </is>
      </c>
      <c r="N3" s="450" t="inlineStr">
        <is>
          <t>TP5-120-480-1</t>
        </is>
      </c>
      <c r="O3" s="450" t="inlineStr">
        <is>
          <t>TP5-160-480-1</t>
        </is>
      </c>
      <c r="P3" s="450" t="inlineStr">
        <is>
          <t>TP5-180-480-1</t>
        </is>
      </c>
      <c r="Q3" s="450" t="inlineStr">
        <is>
          <t>TP5-240-480-2-300</t>
        </is>
      </c>
      <c r="R3" s="450" t="inlineStr">
        <is>
          <t>TP5-360-480-1-300</t>
        </is>
      </c>
      <c r="S3" s="450" t="inlineStr">
        <is>
          <t>CTX-V2G-20-480-1</t>
        </is>
      </c>
      <c r="T3" s="450" t="inlineStr">
        <is>
          <t>CTX-DSPB-360</t>
        </is>
      </c>
      <c r="U3" s="450" t="inlineStr">
        <is>
          <t>CTX-FLUXPED</t>
        </is>
      </c>
      <c r="W3" s="276" t="inlineStr">
        <is>
          <t>Level 2 AC</t>
        </is>
      </c>
      <c r="X3" s="444" t="n">
        <v>7.2</v>
      </c>
      <c r="Y3" s="444" t="n">
        <v>1</v>
      </c>
      <c r="AD3" s="451" t="inlineStr">
        <is>
          <t>CTX-R40-240-1</t>
        </is>
      </c>
      <c r="AE3" s="452" t="inlineStr">
        <is>
          <t>level_2</t>
        </is>
      </c>
      <c r="AG3" s="453" t="inlineStr">
        <is>
          <t>CTX-DST-2-300</t>
        </is>
      </c>
    </row>
    <row r="4" ht="15" customHeight="1" s="254">
      <c r="A4" s="263" t="inlineStr">
        <is>
          <t>_L2</t>
        </is>
      </c>
      <c r="B4" s="263" t="inlineStr">
        <is>
          <t>CTX-C32-240-1</t>
        </is>
      </c>
      <c r="C4" s="263" t="inlineStr">
        <is>
          <t>32A Single Commercial L2 Charger</t>
        </is>
      </c>
      <c r="D4" s="441" t="n">
        <v>1402.5</v>
      </c>
      <c r="E4" s="442" t="n"/>
      <c r="F4" s="443" t="n"/>
      <c r="I4" s="444" t="n">
        <v>1</v>
      </c>
      <c r="J4" s="445" t="inlineStr">
        <is>
          <t>description says Single</t>
        </is>
      </c>
      <c r="K4" s="450" t="inlineStr">
        <is>
          <t>CTX-R48-240-1</t>
        </is>
      </c>
      <c r="L4" s="450" t="inlineStr">
        <is>
          <t>TP5-30-480-3</t>
        </is>
      </c>
      <c r="M4" s="450" t="inlineStr">
        <is>
          <t>TP5-60-480-2</t>
        </is>
      </c>
      <c r="N4" s="450" t="inlineStr">
        <is>
          <t>TP5-120-480-2</t>
        </is>
      </c>
      <c r="O4" s="450" t="inlineStr">
        <is>
          <t>TP5-160-480-2</t>
        </is>
      </c>
      <c r="P4" s="450" t="inlineStr">
        <is>
          <t>TP5-180-480-2</t>
        </is>
      </c>
      <c r="Q4" s="450" t="inlineStr">
        <is>
          <t>TP5-240-480-2-400</t>
        </is>
      </c>
      <c r="R4" s="450" t="inlineStr">
        <is>
          <t>TP5-360-480-2-300</t>
        </is>
      </c>
      <c r="S4" s="450" t="inlineStr">
        <is>
          <t>CTX-V2G-30-480-1</t>
        </is>
      </c>
      <c r="T4" s="450" t="inlineStr">
        <is>
          <t>CTX-DSPB-480</t>
        </is>
      </c>
      <c r="U4" s="450" t="inlineStr">
        <is>
          <t>CTX-FLUXWAL-CMS-1</t>
        </is>
      </c>
      <c r="W4" s="276" t="inlineStr">
        <is>
          <t>30 kW DC</t>
        </is>
      </c>
      <c r="X4" s="444" t="n">
        <v>30</v>
      </c>
      <c r="Y4" s="444" t="n">
        <v>0</v>
      </c>
      <c r="AD4" s="451" t="inlineStr">
        <is>
          <t>CTX-R48-240-1</t>
        </is>
      </c>
      <c r="AE4" s="452" t="inlineStr">
        <is>
          <t>level_2</t>
        </is>
      </c>
      <c r="AG4" s="453" t="inlineStr">
        <is>
          <t>CTX-DST-HPC-2-500/300</t>
        </is>
      </c>
    </row>
    <row r="5" ht="15" customHeight="1" s="254">
      <c r="A5" s="263" t="inlineStr">
        <is>
          <t>_L2</t>
        </is>
      </c>
      <c r="B5" s="263" t="inlineStr">
        <is>
          <t>CTX-C48-240-1</t>
        </is>
      </c>
      <c r="C5" s="263" t="inlineStr">
        <is>
          <t>48A Single Commercial L2 Charger (18' Cable with Modem)</t>
        </is>
      </c>
      <c r="D5" s="441" t="n">
        <v>1402.5</v>
      </c>
      <c r="E5" s="442" t="n"/>
      <c r="F5" s="443" t="n"/>
      <c r="I5" s="444" t="n">
        <v>1</v>
      </c>
      <c r="J5" s="445" t="inlineStr">
        <is>
          <t>description says Single</t>
        </is>
      </c>
      <c r="K5" s="450" t="inlineStr">
        <is>
          <t>CTX-C32-240-1</t>
        </is>
      </c>
      <c r="M5" s="450" t="inlineStr">
        <is>
          <t>TP5-60-480-3</t>
        </is>
      </c>
      <c r="N5" s="450" t="inlineStr">
        <is>
          <t>TP5-120-480-2-300</t>
        </is>
      </c>
      <c r="O5" s="450" t="inlineStr">
        <is>
          <t>TP5-160-480-3</t>
        </is>
      </c>
      <c r="P5" s="450" t="inlineStr">
        <is>
          <t>TP5-180-480-2-300</t>
        </is>
      </c>
      <c r="Q5" s="450" t="inlineStr">
        <is>
          <t>HPC-240-480-1</t>
        </is>
      </c>
      <c r="R5" s="450" t="inlineStr">
        <is>
          <t>TP5-360-480-3-300</t>
        </is>
      </c>
      <c r="S5" s="450" t="inlineStr">
        <is>
          <t>CTX-V2G-40-480-1</t>
        </is>
      </c>
      <c r="T5" s="450" t="inlineStr">
        <is>
          <t>CTX-DSPB-1280</t>
        </is>
      </c>
      <c r="U5" s="450" t="inlineStr">
        <is>
          <t>CTX-FLUXPED-CMS-1</t>
        </is>
      </c>
      <c r="W5" s="276" t="inlineStr">
        <is>
          <t>60 kW DC</t>
        </is>
      </c>
      <c r="X5" s="444" t="n">
        <v>60</v>
      </c>
      <c r="Y5" s="444" t="n">
        <v>0</v>
      </c>
      <c r="AD5" s="451" t="inlineStr">
        <is>
          <t>CTX-C32-240-1</t>
        </is>
      </c>
      <c r="AE5" s="452" t="inlineStr">
        <is>
          <t>level_2</t>
        </is>
      </c>
    </row>
    <row r="6" ht="15" customHeight="1" s="254">
      <c r="A6" s="263" t="inlineStr">
        <is>
          <t>_L2</t>
        </is>
      </c>
      <c r="B6" s="263" t="inlineStr">
        <is>
          <t>CTX-C80-240-1</t>
        </is>
      </c>
      <c r="C6" s="263" t="inlineStr">
        <is>
          <t>80A Single Commercial L2 Charger (18' Cable with Modem)</t>
        </is>
      </c>
      <c r="D6" s="441" t="n">
        <v>1650</v>
      </c>
      <c r="E6" s="442" t="n"/>
      <c r="F6" s="443" t="n"/>
      <c r="I6" s="444" t="n">
        <v>1</v>
      </c>
      <c r="J6" s="445" t="inlineStr">
        <is>
          <t>description says Single</t>
        </is>
      </c>
      <c r="K6" s="450" t="inlineStr">
        <is>
          <t>CTX-C48-240-1</t>
        </is>
      </c>
      <c r="M6" s="450" t="inlineStr">
        <is>
          <t>TP5-60-480-4</t>
        </is>
      </c>
      <c r="N6" s="450" t="inlineStr">
        <is>
          <t>TP5-120-480-3-300</t>
        </is>
      </c>
      <c r="O6" s="450" t="inlineStr">
        <is>
          <t>TP5-160-480-2-300</t>
        </is>
      </c>
      <c r="P6" s="450" t="inlineStr">
        <is>
          <t>TP5-180-480-3-300</t>
        </is>
      </c>
      <c r="Q6" s="450" t="inlineStr">
        <is>
          <t>HPC-240-480-2</t>
        </is>
      </c>
      <c r="R6" s="450" t="inlineStr">
        <is>
          <t>TP5-360-480-4-300</t>
        </is>
      </c>
      <c r="S6" s="450" t="inlineStr">
        <is>
          <t>CTX-V2G-60-480-1</t>
        </is>
      </c>
      <c r="T6" s="450" t="inlineStr">
        <is>
          <t>CTX-DST-2-300</t>
        </is>
      </c>
      <c r="U6" s="450" t="inlineStr">
        <is>
          <t>CTX-FLUXPED-CMS-2</t>
        </is>
      </c>
      <c r="W6" s="276" t="inlineStr">
        <is>
          <t>120 kW DC</t>
        </is>
      </c>
      <c r="X6" s="444" t="n">
        <v>120</v>
      </c>
      <c r="Y6" s="444" t="n">
        <v>0</v>
      </c>
      <c r="AD6" s="451" t="inlineStr">
        <is>
          <t>CTX-C48-240-1</t>
        </is>
      </c>
      <c r="AE6" s="452" t="inlineStr">
        <is>
          <t>level_2</t>
        </is>
      </c>
    </row>
    <row r="7" ht="15" customHeight="1" s="254">
      <c r="A7" s="263" t="inlineStr">
        <is>
          <t>_L2</t>
        </is>
      </c>
      <c r="B7" s="263" t="inlineStr">
        <is>
          <t>CTX-C40-240-2</t>
        </is>
      </c>
      <c r="C7" s="263" t="inlineStr">
        <is>
          <t>40A Dual Commercial L2 Charger (18' Cable with Modem)</t>
        </is>
      </c>
      <c r="D7" s="441" t="n">
        <v>1952.5</v>
      </c>
      <c r="E7" s="442" t="n"/>
      <c r="F7" s="443" t="n"/>
      <c r="I7" s="444" t="n">
        <v>2</v>
      </c>
      <c r="J7" s="445" t="inlineStr">
        <is>
          <t>description says Dual</t>
        </is>
      </c>
      <c r="K7" s="450" t="inlineStr">
        <is>
          <t>CTX-C80-240-1</t>
        </is>
      </c>
      <c r="M7" s="450" t="inlineStr">
        <is>
          <t>CTX-AiO-60-2-200</t>
        </is>
      </c>
      <c r="N7" s="450" t="inlineStr">
        <is>
          <t>CTX-AiO-120-2-350</t>
        </is>
      </c>
      <c r="O7" s="450" t="inlineStr">
        <is>
          <t>HPC-160-480-1</t>
        </is>
      </c>
      <c r="P7" s="450" t="inlineStr">
        <is>
          <t>TP5-180-480-2-300-CL20</t>
        </is>
      </c>
      <c r="Q7" s="450" t="inlineStr">
        <is>
          <t>CTX-AiO-240-2-300</t>
        </is>
      </c>
      <c r="R7" s="450" t="inlineStr">
        <is>
          <t>HPC-360-480-1</t>
        </is>
      </c>
      <c r="T7" s="450" t="inlineStr">
        <is>
          <t>CTX-DST-HPC-2-500/300</t>
        </is>
      </c>
      <c r="U7" s="450" t="inlineStr">
        <is>
          <t>CTX-FLUXPED-SBS</t>
        </is>
      </c>
      <c r="W7" s="276" t="inlineStr">
        <is>
          <t>160 kW DC</t>
        </is>
      </c>
      <c r="X7" s="444" t="n">
        <v>160</v>
      </c>
      <c r="Y7" s="444" t="n">
        <v>0</v>
      </c>
      <c r="AD7" s="451" t="inlineStr">
        <is>
          <t>CTX-C80-240-1</t>
        </is>
      </c>
      <c r="AE7" s="452" t="inlineStr">
        <is>
          <t>level_2</t>
        </is>
      </c>
    </row>
    <row r="8" ht="15" customHeight="1" s="254">
      <c r="A8" s="263" t="inlineStr">
        <is>
          <t>_L2</t>
        </is>
      </c>
      <c r="B8" s="263" t="inlineStr">
        <is>
          <t>CTX-C80-240-2</t>
        </is>
      </c>
      <c r="C8" s="263" t="inlineStr">
        <is>
          <t>80A Dual Commercial L2 Charger (18' Cable with Modem)</t>
        </is>
      </c>
      <c r="D8" s="441" t="n">
        <v>2194.5</v>
      </c>
      <c r="E8" s="442" t="n"/>
      <c r="F8" s="443" t="n"/>
      <c r="I8" s="444" t="n">
        <v>2</v>
      </c>
      <c r="J8" s="445" t="inlineStr">
        <is>
          <t>description says Dual</t>
        </is>
      </c>
      <c r="K8" s="450" t="inlineStr">
        <is>
          <t>CTX-C40-240-2</t>
        </is>
      </c>
      <c r="M8" s="450" t="inlineStr">
        <is>
          <t>CTX-AiO-60-3-200</t>
        </is>
      </c>
      <c r="N8" s="450" t="inlineStr">
        <is>
          <t>CTX-AiO-120-3-350</t>
        </is>
      </c>
      <c r="O8" s="450" t="inlineStr">
        <is>
          <t>HPC-160-480-2</t>
        </is>
      </c>
      <c r="P8" s="450" t="inlineStr">
        <is>
          <t>TP5-180-480-2-BAA</t>
        </is>
      </c>
      <c r="Q8" s="450" t="inlineStr">
        <is>
          <t>CTX-AiO-240-3-300</t>
        </is>
      </c>
      <c r="R8" s="450" t="inlineStr">
        <is>
          <t>HPC-360-480-2</t>
        </is>
      </c>
      <c r="W8" s="276" t="inlineStr">
        <is>
          <t>180 kW DC</t>
        </is>
      </c>
      <c r="X8" s="444" t="n">
        <v>180</v>
      </c>
      <c r="Y8" s="444" t="n">
        <v>0</v>
      </c>
      <c r="AD8" s="451" t="inlineStr">
        <is>
          <t>CTX-C40-240-2</t>
        </is>
      </c>
      <c r="AE8" s="452" t="inlineStr">
        <is>
          <t>level_2</t>
        </is>
      </c>
    </row>
    <row r="9" ht="15" customHeight="1" s="254">
      <c r="A9" s="263" t="inlineStr">
        <is>
          <t>_L2</t>
        </is>
      </c>
      <c r="B9" s="263" t="inlineStr">
        <is>
          <t>CTX-C80-240-1-ISO</t>
        </is>
      </c>
      <c r="C9" s="263" t="inlineStr">
        <is>
          <t>80A Single Commercial L2 Charger (18' Cable with Modem)</t>
        </is>
      </c>
      <c r="D9" s="441" t="n">
        <v>2255</v>
      </c>
      <c r="E9" s="442" t="n"/>
      <c r="F9" s="443" t="n"/>
      <c r="I9" s="444" t="n">
        <v>1</v>
      </c>
      <c r="J9" s="445" t="inlineStr">
        <is>
          <t>description says Single</t>
        </is>
      </c>
      <c r="K9" s="450" t="inlineStr">
        <is>
          <t>CTX-C80-240-2</t>
        </is>
      </c>
      <c r="M9" s="450" t="inlineStr">
        <is>
          <t>CTX-AiO-60-4-200</t>
        </is>
      </c>
      <c r="N9" s="450" t="inlineStr">
        <is>
          <t>CTX-AiO-120-4-350</t>
        </is>
      </c>
      <c r="O9" s="450" t="inlineStr">
        <is>
          <t>CTX-AiO-160-2-350</t>
        </is>
      </c>
      <c r="P9" s="450" t="inlineStr">
        <is>
          <t>TP5-180-480-3-BAA</t>
        </is>
      </c>
      <c r="Q9" s="450" t="inlineStr">
        <is>
          <t>CTX-AiO-240-4-300</t>
        </is>
      </c>
      <c r="R9" s="450" t="inlineStr">
        <is>
          <t>HPC-360-480-3</t>
        </is>
      </c>
      <c r="W9" s="276" t="inlineStr">
        <is>
          <t>240 kW DC</t>
        </is>
      </c>
      <c r="X9" s="444" t="n">
        <v>240</v>
      </c>
      <c r="Y9" s="444" t="n">
        <v>0</v>
      </c>
      <c r="AD9" s="451" t="inlineStr">
        <is>
          <t>CTX-C80-240-2</t>
        </is>
      </c>
      <c r="AE9" s="452" t="inlineStr">
        <is>
          <t>level_2</t>
        </is>
      </c>
    </row>
    <row r="10" ht="15" customHeight="1" s="254">
      <c r="A10" s="263" t="inlineStr">
        <is>
          <t>_L2</t>
        </is>
      </c>
      <c r="B10" s="263" t="inlineStr">
        <is>
          <t>CTX-C40-240-2-ISO</t>
        </is>
      </c>
      <c r="C10" s="263" t="inlineStr">
        <is>
          <t>40A Dual Commercial L2 Charger (18' Cable with Modem)</t>
        </is>
      </c>
      <c r="D10" s="441" t="n">
        <v>2530</v>
      </c>
      <c r="E10" s="442" t="n"/>
      <c r="F10" s="443" t="n"/>
      <c r="I10" s="444" t="n">
        <v>2</v>
      </c>
      <c r="J10" s="445" t="inlineStr">
        <is>
          <t>description says Dual</t>
        </is>
      </c>
      <c r="K10" s="450" t="inlineStr">
        <is>
          <t>CTX-C80-240-1-ISO</t>
        </is>
      </c>
      <c r="M10" s="450" t="inlineStr">
        <is>
          <t>TP5-60-480-2-BAA</t>
        </is>
      </c>
      <c r="N10" s="450" t="inlineStr">
        <is>
          <t>CTX-AiO-120-5-350</t>
        </is>
      </c>
      <c r="O10" s="450" t="inlineStr">
        <is>
          <t>CTX-AiO-160-3-350</t>
        </is>
      </c>
      <c r="P10" s="450" t="inlineStr">
        <is>
          <t>TP5-180-480-4-BAA</t>
        </is>
      </c>
      <c r="Q10" s="450" t="inlineStr">
        <is>
          <t>CTX-AiO-240-5-300</t>
        </is>
      </c>
      <c r="R10" s="450" t="inlineStr">
        <is>
          <t>HPC-360-480-4</t>
        </is>
      </c>
      <c r="W10" s="276" t="inlineStr">
        <is>
          <t>360 kW DC</t>
        </is>
      </c>
      <c r="X10" s="444" t="n">
        <v>360</v>
      </c>
      <c r="Y10" s="444" t="n">
        <v>0</v>
      </c>
      <c r="AD10" s="451" t="inlineStr">
        <is>
          <t>CTX-C80-240-1-ISO</t>
        </is>
      </c>
      <c r="AE10" s="452" t="inlineStr">
        <is>
          <t>level_2</t>
        </is>
      </c>
    </row>
    <row r="11" ht="15" customHeight="1" s="254">
      <c r="A11" s="263" t="inlineStr">
        <is>
          <t>_L2</t>
        </is>
      </c>
      <c r="B11" s="263" t="inlineStr">
        <is>
          <t>CTX-C80-240-2-ISO</t>
        </is>
      </c>
      <c r="C11" s="263" t="inlineStr">
        <is>
          <t>80A Dual Commercial L2 Charger (18' Cable with Modem)</t>
        </is>
      </c>
      <c r="D11" s="441" t="n">
        <v>2805</v>
      </c>
      <c r="E11" s="442" t="n"/>
      <c r="F11" s="443" t="n"/>
      <c r="I11" s="444" t="n">
        <v>2</v>
      </c>
      <c r="J11" s="445" t="inlineStr">
        <is>
          <t>description says Dual</t>
        </is>
      </c>
      <c r="K11" s="450" t="inlineStr">
        <is>
          <t>CTX-C40-240-2-ISO</t>
        </is>
      </c>
      <c r="M11" s="450" t="inlineStr">
        <is>
          <t>TP5-60-480-3-BAA</t>
        </is>
      </c>
      <c r="N11" s="450" t="inlineStr">
        <is>
          <t>CTX-AiO-120-6-350</t>
        </is>
      </c>
      <c r="O11" s="450" t="inlineStr">
        <is>
          <t>CTX-AiO-160-4-350</t>
        </is>
      </c>
      <c r="P11" s="450" t="inlineStr">
        <is>
          <t>HPC-180-480-2-BAA</t>
        </is>
      </c>
      <c r="R11" s="450" t="inlineStr">
        <is>
          <t>TP5-360-480-2-BAA</t>
        </is>
      </c>
      <c r="W11" s="276" t="inlineStr">
        <is>
          <t>V2G</t>
        </is>
      </c>
      <c r="X11" s="444" t="n">
        <v>0</v>
      </c>
      <c r="Y11" s="444" t="n">
        <v>0</v>
      </c>
      <c r="AD11" s="451" t="inlineStr">
        <is>
          <t>CTX-C40-240-2-ISO</t>
        </is>
      </c>
      <c r="AE11" s="452" t="inlineStr">
        <is>
          <t>level_2</t>
        </is>
      </c>
    </row>
    <row r="12" ht="31.5" customHeight="1" s="254">
      <c r="A12" s="263" t="inlineStr">
        <is>
          <t>_kW30</t>
        </is>
      </c>
      <c r="B12" s="263" t="inlineStr">
        <is>
          <t>TP5-30-480-1</t>
        </is>
      </c>
      <c r="C12" s="271" t="inlineStr">
        <is>
          <t>Gen2 30kW DCFC Wall Mount - 100 Amps / 1000VDC with CCS1 (~16ft)</t>
        </is>
      </c>
      <c r="D12" s="441" t="n">
        <v>13750</v>
      </c>
      <c r="E12" s="454" t="n">
        <v>30</v>
      </c>
      <c r="F12" s="443" t="n"/>
      <c r="I12" s="444" t="n">
        <v>1</v>
      </c>
      <c r="J12" s="445" t="inlineStr">
        <is>
          <t>connectors named in the description</t>
        </is>
      </c>
      <c r="K12" s="450" t="inlineStr">
        <is>
          <t>CTX-C80-240-2-ISO</t>
        </is>
      </c>
      <c r="M12" s="450" t="inlineStr">
        <is>
          <t>TP5-60-480-4-BAA</t>
        </is>
      </c>
      <c r="N12" s="450" t="inlineStr">
        <is>
          <t>TP5-120-480-2-300-BAA</t>
        </is>
      </c>
      <c r="O12" s="450" t="inlineStr">
        <is>
          <t>CTX-AiO-160-5-350</t>
        </is>
      </c>
      <c r="P12" s="450" t="inlineStr">
        <is>
          <t>HPC-180-480-3-BAA</t>
        </is>
      </c>
      <c r="R12" s="450" t="inlineStr">
        <is>
          <t>TP5-360-480-3-BAA</t>
        </is>
      </c>
      <c r="W12" s="276" t="inlineStr">
        <is>
          <t>Distributed system</t>
        </is>
      </c>
      <c r="X12" s="444" t="n">
        <v>0</v>
      </c>
      <c r="Y12" s="444" t="n">
        <v>0</v>
      </c>
      <c r="AD12" s="451" t="inlineStr">
        <is>
          <t>CTX-C80-240-2-ISO</t>
        </is>
      </c>
      <c r="AE12" s="452" t="inlineStr">
        <is>
          <t>level_2</t>
        </is>
      </c>
    </row>
    <row r="13" ht="31.5" customHeight="1" s="254">
      <c r="A13" s="263" t="inlineStr">
        <is>
          <t>_kW30</t>
        </is>
      </c>
      <c r="B13" s="263" t="inlineStr">
        <is>
          <t>TP5-30-480-3</t>
        </is>
      </c>
      <c r="C13" s="271" t="inlineStr">
        <is>
          <t>Gen 2Gen 30kW DCFC Wall Mount - 200 Amps / 1000VDC with NACS (~16ft)</t>
        </is>
      </c>
      <c r="D13" s="441" t="n">
        <v>13750</v>
      </c>
      <c r="E13" s="454" t="n">
        <v>30</v>
      </c>
      <c r="F13" s="443" t="n"/>
      <c r="I13" s="444" t="n">
        <v>1</v>
      </c>
      <c r="J13" s="445" t="inlineStr">
        <is>
          <t>connectors named in the description</t>
        </is>
      </c>
      <c r="N13" s="450" t="inlineStr">
        <is>
          <t>TP5-120-480-3-300-BAA</t>
        </is>
      </c>
      <c r="O13" s="450" t="inlineStr">
        <is>
          <t>CTX-AiO-160-6-350</t>
        </is>
      </c>
      <c r="P13" s="450" t="inlineStr">
        <is>
          <t>HPC-180-480-4-BAA</t>
        </is>
      </c>
      <c r="R13" s="450" t="inlineStr">
        <is>
          <t>TP5-360-480-4-BAA</t>
        </is>
      </c>
      <c r="W13" s="276" t="inlineStr">
        <is>
          <t>Accessory</t>
        </is>
      </c>
      <c r="X13" s="444" t="n">
        <v>0</v>
      </c>
      <c r="Y13" s="444" t="n">
        <v>0</v>
      </c>
      <c r="AD13" s="451" t="inlineStr">
        <is>
          <t>TP5-30-480-1</t>
        </is>
      </c>
      <c r="AE13" s="452" t="inlineStr">
        <is>
          <t>all_in_one</t>
        </is>
      </c>
    </row>
    <row r="14" ht="31.5" customHeight="1" s="254">
      <c r="A14" s="263" t="inlineStr">
        <is>
          <t>_kW60</t>
        </is>
      </c>
      <c r="B14" s="263" t="inlineStr">
        <is>
          <t>TP5-60-480-1</t>
        </is>
      </c>
      <c r="C14" s="271" t="inlineStr">
        <is>
          <t xml:space="preserve">60kW DCFC - 200 Amps / 1000VDC with CCS1 &amp; NACS(~16ft) ; 4G Modem </t>
        </is>
      </c>
      <c r="D14" s="441" t="n">
        <v>28500</v>
      </c>
      <c r="E14" s="454" t="n">
        <v>60</v>
      </c>
      <c r="F14" s="443" t="n"/>
      <c r="I14" s="444" t="n">
        <v>2</v>
      </c>
      <c r="J14" s="445" t="inlineStr">
        <is>
          <t>connectors named in the description</t>
        </is>
      </c>
      <c r="N14" s="450" t="inlineStr">
        <is>
          <t>TP5-120-480-4-300-BAA</t>
        </is>
      </c>
      <c r="R14" s="450" t="inlineStr">
        <is>
          <t>HPC-360-480-2-BAA</t>
        </is>
      </c>
      <c r="AD14" s="451" t="inlineStr">
        <is>
          <t>TP5-30-480-3</t>
        </is>
      </c>
      <c r="AE14" s="452" t="inlineStr">
        <is>
          <t>all_in_one</t>
        </is>
      </c>
    </row>
    <row r="15" ht="31.5" customHeight="1" s="254">
      <c r="A15" s="263" t="inlineStr">
        <is>
          <t>_kW60</t>
        </is>
      </c>
      <c r="B15" s="263" t="inlineStr">
        <is>
          <t>TP5-60-480-2</t>
        </is>
      </c>
      <c r="C15" s="271" t="inlineStr">
        <is>
          <t xml:space="preserve">60kW DCFC - 200 Amps / 1000VDC with CCS1 &amp; CCS1(~16ft) ; 4G Modem </t>
        </is>
      </c>
      <c r="D15" s="441" t="n">
        <v>28500</v>
      </c>
      <c r="E15" s="454" t="n">
        <v>60</v>
      </c>
      <c r="F15" s="443" t="n"/>
      <c r="I15" s="444" t="n">
        <v>2</v>
      </c>
      <c r="J15" s="445" t="inlineStr">
        <is>
          <t>connectors named in the description</t>
        </is>
      </c>
      <c r="R15" s="450" t="inlineStr">
        <is>
          <t>HPC-360-480-3-BAA</t>
        </is>
      </c>
      <c r="AD15" s="451" t="inlineStr">
        <is>
          <t>TP5-60-480-1</t>
        </is>
      </c>
      <c r="AE15" s="452" t="inlineStr">
        <is>
          <t>all_in_one</t>
        </is>
      </c>
    </row>
    <row r="16" ht="31.5" customHeight="1" s="254">
      <c r="A16" s="263" t="inlineStr">
        <is>
          <t>_kW60</t>
        </is>
      </c>
      <c r="B16" s="263" t="inlineStr">
        <is>
          <t>TP5-60-480-3</t>
        </is>
      </c>
      <c r="C16" s="271" t="inlineStr">
        <is>
          <t xml:space="preserve">60kW DCFC - 200 Amps / 1000VDC with CCS1 &amp; NACS(~16ft) ; 4G Modem </t>
        </is>
      </c>
      <c r="D16" s="441" t="n">
        <v>28500</v>
      </c>
      <c r="E16" s="454" t="n">
        <v>60</v>
      </c>
      <c r="F16" s="443" t="n"/>
      <c r="I16" s="444" t="n">
        <v>2</v>
      </c>
      <c r="J16" s="445" t="inlineStr">
        <is>
          <t>connectors named in the description</t>
        </is>
      </c>
      <c r="R16" s="450" t="inlineStr">
        <is>
          <t>HPC-360-480-4-BAA</t>
        </is>
      </c>
      <c r="AD16" s="451" t="inlineStr">
        <is>
          <t>TP5-60-480-2</t>
        </is>
      </c>
      <c r="AE16" s="452" t="inlineStr">
        <is>
          <t>all_in_one</t>
        </is>
      </c>
    </row>
    <row r="17" ht="31.5" customHeight="1" s="254">
      <c r="A17" s="263" t="inlineStr">
        <is>
          <t>_kW60</t>
        </is>
      </c>
      <c r="B17" s="263" t="inlineStr">
        <is>
          <t>TP5-60-480-4</t>
        </is>
      </c>
      <c r="C17" s="271" t="inlineStr">
        <is>
          <t xml:space="preserve">60kW DCFC - 200 Amps / 1000VDC with NACS &amp; NACS(~16ft) ; 4G Modem </t>
        </is>
      </c>
      <c r="D17" s="441" t="n">
        <v>28500</v>
      </c>
      <c r="E17" s="454" t="n">
        <v>60</v>
      </c>
      <c r="F17" s="443" t="n"/>
      <c r="I17" s="444" t="n">
        <v>2</v>
      </c>
      <c r="J17" s="445" t="inlineStr">
        <is>
          <t>connectors named in the description</t>
        </is>
      </c>
      <c r="AD17" s="451" t="inlineStr">
        <is>
          <t>TP5-60-480-3</t>
        </is>
      </c>
      <c r="AE17" s="452" t="inlineStr">
        <is>
          <t>all_in_one</t>
        </is>
      </c>
    </row>
    <row r="18" ht="31.5" customHeight="1" s="254">
      <c r="A18" s="263" t="inlineStr">
        <is>
          <t>_kW60</t>
        </is>
      </c>
      <c r="B18" s="263" t="inlineStr">
        <is>
          <t>CTX-AiO-60-2-200</t>
        </is>
      </c>
      <c r="C18" s="271" t="inlineStr">
        <is>
          <t xml:space="preserve">Gen 2 60kW DCFC - 200 Amps / 1000VDC with CCS1 &amp; CCS1(~16ft) ; 4G Modem </t>
        </is>
      </c>
      <c r="D18" s="441" t="n">
        <v>31350</v>
      </c>
      <c r="E18" s="454" t="n">
        <v>60</v>
      </c>
      <c r="F18" s="443" t="n"/>
      <c r="I18" s="444" t="n">
        <v>2</v>
      </c>
      <c r="J18" s="445" t="inlineStr">
        <is>
          <t>connectors named in the description</t>
        </is>
      </c>
      <c r="AD18" s="451" t="inlineStr">
        <is>
          <t>TP5-60-480-4</t>
        </is>
      </c>
      <c r="AE18" s="452" t="inlineStr">
        <is>
          <t>all_in_one</t>
        </is>
      </c>
    </row>
    <row r="19" ht="31.5" customHeight="1" s="254">
      <c r="A19" s="263" t="inlineStr">
        <is>
          <t>_kW60</t>
        </is>
      </c>
      <c r="B19" s="263" t="inlineStr">
        <is>
          <t>CTX-AiO-60-3-200</t>
        </is>
      </c>
      <c r="C19" s="271" t="inlineStr">
        <is>
          <t xml:space="preserve">Gen 2 60kW DCFC - 200 Amps / 1000VDC with CCS1 &amp; NACS(~16ft) ; 4G Modem </t>
        </is>
      </c>
      <c r="D19" s="441" t="n">
        <v>31350</v>
      </c>
      <c r="E19" s="454" t="n">
        <v>60</v>
      </c>
      <c r="F19" s="443" t="n"/>
      <c r="I19" s="444" t="n">
        <v>2</v>
      </c>
      <c r="J19" s="445" t="inlineStr">
        <is>
          <t>connectors named in the description</t>
        </is>
      </c>
      <c r="AD19" s="451" t="inlineStr">
        <is>
          <t>CTX-AiO-60-2-200</t>
        </is>
      </c>
      <c r="AE19" s="452" t="inlineStr">
        <is>
          <t>all_in_one</t>
        </is>
      </c>
    </row>
    <row r="20" ht="31.5" customHeight="1" s="254">
      <c r="A20" s="263" t="inlineStr">
        <is>
          <t>_kW60</t>
        </is>
      </c>
      <c r="B20" s="263" t="inlineStr">
        <is>
          <t>CTX-AiO-60-4-200</t>
        </is>
      </c>
      <c r="C20" s="271" t="inlineStr">
        <is>
          <t xml:space="preserve">Gen 2 60kW DCFC - 200 Amps / 1000VDC with NACS &amp; NACS(~16ft) ; 4G Modem </t>
        </is>
      </c>
      <c r="D20" s="441" t="n">
        <v>31350</v>
      </c>
      <c r="E20" s="454" t="n">
        <v>60</v>
      </c>
      <c r="F20" s="443" t="n"/>
      <c r="I20" s="444" t="n">
        <v>2</v>
      </c>
      <c r="J20" s="445" t="inlineStr">
        <is>
          <t>connectors named in the description</t>
        </is>
      </c>
      <c r="AD20" s="451" t="inlineStr">
        <is>
          <t>CTX-AiO-60-3-200</t>
        </is>
      </c>
      <c r="AE20" s="452" t="inlineStr">
        <is>
          <t>all_in_one</t>
        </is>
      </c>
    </row>
    <row r="21" ht="43.5" customHeight="1" s="254">
      <c r="A21" s="263" t="inlineStr">
        <is>
          <t>_kW120</t>
        </is>
      </c>
      <c r="B21" s="263" t="inlineStr">
        <is>
          <t>TP5-120-480-1</t>
        </is>
      </c>
      <c r="C21" s="271" t="inlineStr">
        <is>
          <t xml:space="preserve">120kW DCFC All In One Charger - 200 Amps / 1000VDC with CCS1 &amp; NACS(~16ft) ; Can charge 2 cars simultaneously with 60kW each ; 4G Modem </t>
        </is>
      </c>
      <c r="D21" s="441" t="n">
        <v>54000</v>
      </c>
      <c r="E21" s="454" t="n">
        <v>120</v>
      </c>
      <c r="F21" s="443" t="n"/>
      <c r="I21" s="444" t="n">
        <v>2</v>
      </c>
      <c r="J21" s="445" t="inlineStr">
        <is>
          <t>connectors named in the description</t>
        </is>
      </c>
      <c r="AD21" s="451" t="inlineStr">
        <is>
          <t>CTX-AiO-60-4-200</t>
        </is>
      </c>
      <c r="AE21" s="452" t="inlineStr">
        <is>
          <t>all_in_one</t>
        </is>
      </c>
    </row>
    <row r="22" ht="43.5" customHeight="1" s="254">
      <c r="A22" s="263" t="inlineStr">
        <is>
          <t>_kW120</t>
        </is>
      </c>
      <c r="B22" s="263" t="inlineStr">
        <is>
          <t>TP5-120-480-2</t>
        </is>
      </c>
      <c r="C22" s="271" t="inlineStr">
        <is>
          <t xml:space="preserve">120kW DCFC All In One Charger - 200 Amps / 1000VDC with CCS1 &amp; CCS1(~16ft); Can charge 2 cars simultaneously with 60kW each ; 4G Modem </t>
        </is>
      </c>
      <c r="D22" s="441" t="n">
        <v>54000</v>
      </c>
      <c r="E22" s="454" t="n">
        <v>120</v>
      </c>
      <c r="F22" s="443" t="n"/>
      <c r="I22" s="444" t="n">
        <v>2</v>
      </c>
      <c r="J22" s="445" t="inlineStr">
        <is>
          <t>connectors named in the description</t>
        </is>
      </c>
      <c r="AD22" s="451" t="inlineStr">
        <is>
          <t>TP5-120-480-1</t>
        </is>
      </c>
      <c r="AE22" s="452" t="inlineStr">
        <is>
          <t>all_in_one</t>
        </is>
      </c>
    </row>
    <row r="23" ht="43.5" customHeight="1" s="254">
      <c r="A23" s="263" t="inlineStr">
        <is>
          <t>_kW120</t>
        </is>
      </c>
      <c r="B23" s="263" t="inlineStr">
        <is>
          <t>TP5-120-480-2-300</t>
        </is>
      </c>
      <c r="C23" s="271" t="inlineStr">
        <is>
          <t xml:space="preserve">120kW DCFC All In One Charger - 350A Cable / 1000VDC with CCS1 &amp; CCS1(~16ft); Can charge 2 cars simultaneously with 60kW each ; 4G Modem </t>
        </is>
      </c>
      <c r="D23" s="441" t="n">
        <v>54000</v>
      </c>
      <c r="E23" s="454" t="n">
        <v>120</v>
      </c>
      <c r="F23" s="443" t="n"/>
      <c r="I23" s="444" t="n">
        <v>2</v>
      </c>
      <c r="J23" s="445" t="inlineStr">
        <is>
          <t>connectors named in the description</t>
        </is>
      </c>
      <c r="AD23" s="451" t="inlineStr">
        <is>
          <t>TP5-120-480-2</t>
        </is>
      </c>
      <c r="AE23" s="452" t="inlineStr">
        <is>
          <t>all_in_one</t>
        </is>
      </c>
    </row>
    <row r="24" ht="43.5" customHeight="1" s="254">
      <c r="A24" s="263" t="inlineStr">
        <is>
          <t>_kW120</t>
        </is>
      </c>
      <c r="B24" s="263" t="inlineStr">
        <is>
          <t>TP5-120-480-3-300</t>
        </is>
      </c>
      <c r="C24" s="271" t="inlineStr">
        <is>
          <t xml:space="preserve">120kW DCFC All In One Charger - 1000VDC, Cables: 350A CCS1 &amp; 400A NACS (~16ft); Can charge 2 cars simultaneously with 60kW each ; 4G Modem </t>
        </is>
      </c>
      <c r="D24" s="441" t="n">
        <v>54000</v>
      </c>
      <c r="E24" s="454" t="n">
        <v>120</v>
      </c>
      <c r="F24" s="443" t="n"/>
      <c r="I24" s="444" t="n">
        <v>2</v>
      </c>
      <c r="J24" s="445" t="inlineStr">
        <is>
          <t>manual — description does not state the count</t>
        </is>
      </c>
      <c r="AD24" s="451" t="inlineStr">
        <is>
          <t>TP5-120-480-2-300</t>
        </is>
      </c>
      <c r="AE24" s="452" t="inlineStr">
        <is>
          <t>all_in_one</t>
        </is>
      </c>
    </row>
    <row r="25" ht="31.5" customHeight="1" s="254">
      <c r="A25" s="263" t="inlineStr">
        <is>
          <t>_kW120</t>
        </is>
      </c>
      <c r="B25" s="263" t="inlineStr">
        <is>
          <t>CTX-AiO-120-2-350</t>
        </is>
      </c>
      <c r="C25" s="271" t="inlineStr">
        <is>
          <t>Gen3 120kW CCS1 350A + CCS1 350A ; Cable Management + CC</t>
        </is>
      </c>
      <c r="D25" s="441" t="n">
        <v>59400</v>
      </c>
      <c r="E25" s="454" t="n">
        <v>120</v>
      </c>
      <c r="F25" s="443" t="n"/>
      <c r="I25" s="444" t="n">
        <v>2</v>
      </c>
      <c r="J25" s="445" t="inlineStr">
        <is>
          <t>connectors named in the description</t>
        </is>
      </c>
      <c r="AD25" s="451" t="inlineStr">
        <is>
          <t>TP5-120-480-3-300</t>
        </is>
      </c>
      <c r="AE25" s="452" t="inlineStr">
        <is>
          <t>all_in_one</t>
        </is>
      </c>
    </row>
    <row r="26" ht="31.5" customHeight="1" s="254">
      <c r="A26" s="263" t="inlineStr">
        <is>
          <t>_kW120</t>
        </is>
      </c>
      <c r="B26" s="263" t="inlineStr">
        <is>
          <t>CTX-AiO-120-3-350</t>
        </is>
      </c>
      <c r="C26" s="271" t="inlineStr">
        <is>
          <t>Gen3 120kW CCS1 350A + NACS 350A   ; Cable Management + CC</t>
        </is>
      </c>
      <c r="D26" s="441" t="n">
        <v>59400</v>
      </c>
      <c r="E26" s="454" t="n">
        <v>120</v>
      </c>
      <c r="F26" s="443" t="n"/>
      <c r="I26" s="444" t="n">
        <v>2</v>
      </c>
      <c r="J26" s="445" t="inlineStr">
        <is>
          <t>connectors named in the description</t>
        </is>
      </c>
      <c r="AD26" s="451" t="inlineStr">
        <is>
          <t>CTX-AiO-120-2-350</t>
        </is>
      </c>
      <c r="AE26" s="452" t="inlineStr">
        <is>
          <t>all_in_one</t>
        </is>
      </c>
    </row>
    <row r="27" ht="31.5" customHeight="1" s="254">
      <c r="A27" s="263" t="inlineStr">
        <is>
          <t>_kW120</t>
        </is>
      </c>
      <c r="B27" s="263" t="inlineStr">
        <is>
          <t>CTX-AiO-120-4-350</t>
        </is>
      </c>
      <c r="C27" s="271" t="inlineStr">
        <is>
          <t>Gen3 120kW NACS 350A + NACS 350A  ; Cable Management + CC</t>
        </is>
      </c>
      <c r="D27" s="441" t="n">
        <v>59400</v>
      </c>
      <c r="E27" s="454" t="n">
        <v>120</v>
      </c>
      <c r="F27" s="443" t="n"/>
      <c r="I27" s="444" t="n">
        <v>2</v>
      </c>
      <c r="J27" s="445" t="inlineStr">
        <is>
          <t>connectors named in the description</t>
        </is>
      </c>
      <c r="AD27" s="451" t="inlineStr">
        <is>
          <t>CTX-AiO-120-3-350</t>
        </is>
      </c>
      <c r="AE27" s="452" t="inlineStr">
        <is>
          <t>all_in_one</t>
        </is>
      </c>
    </row>
    <row r="28" ht="15" customHeight="1" s="254">
      <c r="A28" s="263" t="inlineStr">
        <is>
          <t>_kW120</t>
        </is>
      </c>
      <c r="B28" s="263" t="inlineStr">
        <is>
          <t>CTX-AiO-120-5-350</t>
        </is>
      </c>
      <c r="C28" s="263" t="inlineStr">
        <is>
          <t>Gen3 120kW Single CCS1 350A  ; Cable Management + CC</t>
        </is>
      </c>
      <c r="D28" s="441" t="n">
        <v>59400</v>
      </c>
      <c r="E28" s="454" t="n">
        <v>120</v>
      </c>
      <c r="F28" s="443" t="n"/>
      <c r="I28" s="444" t="n">
        <v>1</v>
      </c>
      <c r="J28" s="445" t="inlineStr">
        <is>
          <t>description says Single</t>
        </is>
      </c>
      <c r="AD28" s="451" t="inlineStr">
        <is>
          <t>CTX-AiO-120-4-350</t>
        </is>
      </c>
      <c r="AE28" s="452" t="inlineStr">
        <is>
          <t>all_in_one</t>
        </is>
      </c>
    </row>
    <row r="29" ht="15" customHeight="1" s="254">
      <c r="A29" s="263" t="inlineStr">
        <is>
          <t>_kW120</t>
        </is>
      </c>
      <c r="B29" s="263" t="inlineStr">
        <is>
          <t>CTX-AiO-120-6-350</t>
        </is>
      </c>
      <c r="C29" s="263" t="inlineStr">
        <is>
          <t>Gen3 120kW Single NACS 350A  ; Cable Management + CC</t>
        </is>
      </c>
      <c r="D29" s="441" t="n">
        <v>59400</v>
      </c>
      <c r="E29" s="454" t="n">
        <v>120</v>
      </c>
      <c r="F29" s="443" t="n"/>
      <c r="I29" s="444" t="n">
        <v>1</v>
      </c>
      <c r="J29" s="445" t="inlineStr">
        <is>
          <t>description says Single</t>
        </is>
      </c>
      <c r="AD29" s="451" t="inlineStr">
        <is>
          <t>CTX-AiO-120-5-350</t>
        </is>
      </c>
      <c r="AE29" s="452" t="inlineStr">
        <is>
          <t>all_in_one</t>
        </is>
      </c>
    </row>
    <row r="30" ht="55.5" customHeight="1" s="254">
      <c r="A30" s="263" t="inlineStr">
        <is>
          <t>_kW160</t>
        </is>
      </c>
      <c r="B30" s="263" t="inlineStr">
        <is>
          <t>TP5-160-480-1</t>
        </is>
      </c>
      <c r="C30" s="271" t="inlineStr">
        <is>
          <t>160kW DCFC All In One Charger - 200 Amps / 1000VDC with CCS1 &amp; NACS(~16ft); It can dispense 200A on single connector and can charge 2 cars simultaneously with 80kW eac</t>
        </is>
      </c>
      <c r="D30" s="441" t="n">
        <v>57000</v>
      </c>
      <c r="E30" s="454" t="n">
        <v>160</v>
      </c>
      <c r="F30" s="443" t="n"/>
      <c r="I30" s="444" t="n">
        <v>1</v>
      </c>
      <c r="J30" s="445" t="inlineStr">
        <is>
          <t>description says Single</t>
        </is>
      </c>
      <c r="AD30" s="451" t="inlineStr">
        <is>
          <t>CTX-AiO-120-6-350</t>
        </is>
      </c>
      <c r="AE30" s="452" t="inlineStr">
        <is>
          <t>all_in_one</t>
        </is>
      </c>
    </row>
    <row r="31" ht="55.5" customHeight="1" s="254">
      <c r="A31" s="263" t="inlineStr">
        <is>
          <t>_kW160</t>
        </is>
      </c>
      <c r="B31" s="263" t="inlineStr">
        <is>
          <t>TP5-160-480-2</t>
        </is>
      </c>
      <c r="C31" s="271" t="inlineStr">
        <is>
          <t>160kW DCFC All In One Charger - 200 Amps / 1000VDC with CCS1 &amp; CCS1(~16ft); It can dispense 200A on single connector and can charge 2 cars simultaneously with 80kW each ;</t>
        </is>
      </c>
      <c r="D31" s="441" t="n">
        <v>57000</v>
      </c>
      <c r="E31" s="454" t="n">
        <v>160</v>
      </c>
      <c r="F31" s="443" t="n"/>
      <c r="I31" s="444" t="n">
        <v>1</v>
      </c>
      <c r="J31" s="445" t="inlineStr">
        <is>
          <t>description says Single</t>
        </is>
      </c>
      <c r="AD31" s="451" t="inlineStr">
        <is>
          <t>TP5-160-480-1</t>
        </is>
      </c>
      <c r="AE31" s="452" t="inlineStr">
        <is>
          <t>all_in_one</t>
        </is>
      </c>
    </row>
    <row r="32" ht="55.5" customHeight="1" s="254">
      <c r="A32" s="263" t="inlineStr">
        <is>
          <t>_kW160</t>
        </is>
      </c>
      <c r="B32" s="263" t="inlineStr">
        <is>
          <t>TP5-160-480-3</t>
        </is>
      </c>
      <c r="C32" s="271" t="inlineStr">
        <is>
          <t xml:space="preserve">160kW DCFC All In One Charger - 200 Amps / 1000VDC with CCS1 &amp; NACS (~16ft); It can dispense 200A on single connector and can charge 2 cars simultaneously with 80kW each </t>
        </is>
      </c>
      <c r="D32" s="441" t="n">
        <v>57000</v>
      </c>
      <c r="E32" s="454" t="n">
        <v>160</v>
      </c>
      <c r="F32" s="443" t="n"/>
      <c r="I32" s="444" t="n">
        <v>1</v>
      </c>
      <c r="J32" s="445" t="inlineStr">
        <is>
          <t>description says Single</t>
        </is>
      </c>
      <c r="AD32" s="451" t="inlineStr">
        <is>
          <t>TP5-160-480-2</t>
        </is>
      </c>
      <c r="AE32" s="452" t="inlineStr">
        <is>
          <t>all_in_one</t>
        </is>
      </c>
    </row>
    <row r="33" ht="43.5" customHeight="1" s="254">
      <c r="A33" s="263" t="inlineStr">
        <is>
          <t>_kW160</t>
        </is>
      </c>
      <c r="B33" s="263" t="inlineStr">
        <is>
          <t>TP5-160-480-2-300</t>
        </is>
      </c>
      <c r="C33" s="271" t="inlineStr">
        <is>
          <t>160kW DCFC All In One Charger - 350A Cable / 1000VDC with CCS1 &amp; CCS1(~16ft); Can charge 2 cars simultaneously with 80kW each ; 4G Modem</t>
        </is>
      </c>
      <c r="D33" s="441" t="n">
        <v>57000</v>
      </c>
      <c r="E33" s="454" t="n">
        <v>160</v>
      </c>
      <c r="F33" s="443" t="n"/>
      <c r="I33" s="444" t="n">
        <v>2</v>
      </c>
      <c r="J33" s="445" t="inlineStr">
        <is>
          <t>connectors named in the description</t>
        </is>
      </c>
      <c r="AD33" s="451" t="inlineStr">
        <is>
          <t>TP5-160-480-3</t>
        </is>
      </c>
      <c r="AE33" s="452" t="inlineStr">
        <is>
          <t>all_in_one</t>
        </is>
      </c>
    </row>
    <row r="34" ht="55.5" customHeight="1" s="254">
      <c r="A34" s="263" t="inlineStr">
        <is>
          <t>_kW160</t>
        </is>
      </c>
      <c r="B34" s="263" t="inlineStr">
        <is>
          <t>HPC-160-480-1</t>
        </is>
      </c>
      <c r="C34" s="271" t="inlineStr">
        <is>
          <t xml:space="preserve">160kW HPC All In One Charger - 400 Amps / 1000VDC with Liquid Cooled Connector for CCS1(~14ft) &amp; NACS(~16ft) ; It can deliver 400A on the CCS coonnector. Can charge 2 </t>
        </is>
      </c>
      <c r="D34" s="441" t="n">
        <v>68000</v>
      </c>
      <c r="E34" s="454" t="n">
        <v>160</v>
      </c>
      <c r="F34" s="443" t="n"/>
      <c r="I34" s="444" t="n">
        <v>2</v>
      </c>
      <c r="J34" s="445" t="inlineStr">
        <is>
          <t>connectors named in the description</t>
        </is>
      </c>
      <c r="AD34" s="451" t="inlineStr">
        <is>
          <t>TP5-160-480-2-300</t>
        </is>
      </c>
      <c r="AE34" s="452" t="inlineStr">
        <is>
          <t>all_in_one</t>
        </is>
      </c>
    </row>
    <row r="35" ht="55.5" customHeight="1" s="254">
      <c r="A35" s="263" t="inlineStr">
        <is>
          <t>_kW160</t>
        </is>
      </c>
      <c r="B35" s="263" t="inlineStr">
        <is>
          <t>HPC-160-480-2</t>
        </is>
      </c>
      <c r="C35" s="271" t="inlineStr">
        <is>
          <t>160kW HPC All In One Charger - 400 Amps / 1000VDC with Liquid Cooled Connector for CCS1(~14ft) &amp; NACS(~16ft) ; It can deliver 400A on the CCS coonnector. Also can char</t>
        </is>
      </c>
      <c r="D35" s="441" t="n">
        <v>70000</v>
      </c>
      <c r="E35" s="454" t="n">
        <v>160</v>
      </c>
      <c r="F35" s="443" t="n"/>
      <c r="I35" s="444" t="n">
        <v>2</v>
      </c>
      <c r="J35" s="445" t="inlineStr">
        <is>
          <t>connectors named in the description</t>
        </is>
      </c>
      <c r="AD35" s="451" t="inlineStr">
        <is>
          <t>HPC-160-480-1</t>
        </is>
      </c>
      <c r="AE35" s="452" t="inlineStr">
        <is>
          <t>all_in_one</t>
        </is>
      </c>
    </row>
    <row r="36" ht="31.5" customHeight="1" s="254">
      <c r="A36" s="263" t="inlineStr">
        <is>
          <t>_kW160</t>
        </is>
      </c>
      <c r="B36" s="263" t="inlineStr">
        <is>
          <t>CTX-AiO-160-2-350</t>
        </is>
      </c>
      <c r="C36" s="271" t="inlineStr">
        <is>
          <t>Gen3 160kW CCS1 350A + CCS1 350A ; Cable Management + CC</t>
        </is>
      </c>
      <c r="D36" s="441" t="n">
        <v>68200</v>
      </c>
      <c r="E36" s="454" t="n">
        <v>160</v>
      </c>
      <c r="F36" s="443" t="n"/>
      <c r="I36" s="444" t="n">
        <v>2</v>
      </c>
      <c r="J36" s="445" t="inlineStr">
        <is>
          <t>connectors named in the description</t>
        </is>
      </c>
      <c r="AD36" s="451" t="inlineStr">
        <is>
          <t>HPC-160-480-2</t>
        </is>
      </c>
      <c r="AE36" s="452" t="inlineStr">
        <is>
          <t>all_in_one</t>
        </is>
      </c>
    </row>
    <row r="37" ht="31.5" customHeight="1" s="254">
      <c r="A37" s="263" t="inlineStr">
        <is>
          <t>_kW160</t>
        </is>
      </c>
      <c r="B37" s="263" t="inlineStr">
        <is>
          <t>CTX-AiO-160-3-350</t>
        </is>
      </c>
      <c r="C37" s="271" t="inlineStr">
        <is>
          <t>Gen3 160kW CCS1 350A + NACS 350A   ; Cable Management + CC</t>
        </is>
      </c>
      <c r="D37" s="441" t="n">
        <v>68200</v>
      </c>
      <c r="E37" s="454" t="n">
        <v>160</v>
      </c>
      <c r="F37" s="443" t="n"/>
      <c r="I37" s="444" t="n">
        <v>2</v>
      </c>
      <c r="J37" s="445" t="inlineStr">
        <is>
          <t>connectors named in the description</t>
        </is>
      </c>
      <c r="AD37" s="451" t="inlineStr">
        <is>
          <t>CTX-AiO-160-2-350</t>
        </is>
      </c>
      <c r="AE37" s="452" t="inlineStr">
        <is>
          <t>all_in_one</t>
        </is>
      </c>
    </row>
    <row r="38" ht="31.5" customHeight="1" s="254">
      <c r="A38" s="263" t="inlineStr">
        <is>
          <t>_kW160</t>
        </is>
      </c>
      <c r="B38" s="263" t="inlineStr">
        <is>
          <t>CTX-AiO-160-4-350</t>
        </is>
      </c>
      <c r="C38" s="271" t="inlineStr">
        <is>
          <t>Gen3 160kW NACS 350A + NACS 350A  ; Cable Management + CC</t>
        </is>
      </c>
      <c r="D38" s="441" t="n">
        <v>68200</v>
      </c>
      <c r="E38" s="454" t="n">
        <v>160</v>
      </c>
      <c r="F38" s="443" t="n"/>
      <c r="I38" s="444" t="n">
        <v>2</v>
      </c>
      <c r="J38" s="445" t="inlineStr">
        <is>
          <t>connectors named in the description</t>
        </is>
      </c>
      <c r="AD38" s="451" t="inlineStr">
        <is>
          <t>CTX-AiO-160-3-350</t>
        </is>
      </c>
      <c r="AE38" s="452" t="inlineStr">
        <is>
          <t>all_in_one</t>
        </is>
      </c>
    </row>
    <row r="39" ht="15" customHeight="1" s="254">
      <c r="A39" s="263" t="inlineStr">
        <is>
          <t>_kW160</t>
        </is>
      </c>
      <c r="B39" s="263" t="inlineStr">
        <is>
          <t>CTX-AiO-160-5-350</t>
        </is>
      </c>
      <c r="C39" s="263" t="inlineStr">
        <is>
          <t>Gen3 160kW Single CCS1 350A  ; Cable Management + CC</t>
        </is>
      </c>
      <c r="D39" s="441" t="n">
        <v>68200</v>
      </c>
      <c r="E39" s="454" t="n">
        <v>160</v>
      </c>
      <c r="F39" s="443" t="n"/>
      <c r="I39" s="444" t="n">
        <v>1</v>
      </c>
      <c r="J39" s="445" t="inlineStr">
        <is>
          <t>description says Single</t>
        </is>
      </c>
      <c r="AD39" s="451" t="inlineStr">
        <is>
          <t>CTX-AiO-160-4-350</t>
        </is>
      </c>
      <c r="AE39" s="452" t="inlineStr">
        <is>
          <t>all_in_one</t>
        </is>
      </c>
    </row>
    <row r="40" ht="15" customHeight="1" s="254">
      <c r="A40" s="263" t="inlineStr">
        <is>
          <t>_kW160</t>
        </is>
      </c>
      <c r="B40" s="263" t="inlineStr">
        <is>
          <t>CTX-AiO-160-6-350</t>
        </is>
      </c>
      <c r="C40" s="263" t="inlineStr">
        <is>
          <t>Gen3 160kW Single NACS 350A  ; Cable Management + CC</t>
        </is>
      </c>
      <c r="D40" s="441" t="n">
        <v>68200</v>
      </c>
      <c r="E40" s="454" t="n">
        <v>160</v>
      </c>
      <c r="F40" s="443" t="n"/>
      <c r="I40" s="444" t="n">
        <v>1</v>
      </c>
      <c r="J40" s="445" t="inlineStr">
        <is>
          <t>description says Single</t>
        </is>
      </c>
      <c r="AD40" s="451" t="inlineStr">
        <is>
          <t>CTX-AiO-160-5-350</t>
        </is>
      </c>
      <c r="AE40" s="452" t="inlineStr">
        <is>
          <t>all_in_one</t>
        </is>
      </c>
    </row>
    <row r="41" ht="55.5" customHeight="1" s="254">
      <c r="A41" s="263" t="inlineStr">
        <is>
          <t>_kW180</t>
        </is>
      </c>
      <c r="B41" s="263" t="inlineStr">
        <is>
          <t>TP5-180-480-1</t>
        </is>
      </c>
      <c r="C41" s="271" t="inlineStr">
        <is>
          <t>180kW DCFC All In One Charger - 200 Amps / 1000VDC with CCS1 &amp; NACS(~16ft); Can charge 2 cars simultaneously with 90kW each or 120kW on CCS1 and 60kW on NACS; 4G Mo</t>
        </is>
      </c>
      <c r="D41" s="441" t="n">
        <v>62000</v>
      </c>
      <c r="E41" s="454" t="n">
        <v>180</v>
      </c>
      <c r="F41" s="443" t="n"/>
      <c r="I41" s="444" t="n">
        <v>2</v>
      </c>
      <c r="J41" s="445" t="inlineStr">
        <is>
          <t>connectors named in the description</t>
        </is>
      </c>
      <c r="AD41" s="451" t="inlineStr">
        <is>
          <t>CTX-AiO-160-6-350</t>
        </is>
      </c>
      <c r="AE41" s="452" t="inlineStr">
        <is>
          <t>all_in_one</t>
        </is>
      </c>
    </row>
    <row r="42" ht="43.5" customHeight="1" s="254">
      <c r="A42" s="263" t="inlineStr">
        <is>
          <t>_kW180</t>
        </is>
      </c>
      <c r="B42" s="263" t="inlineStr">
        <is>
          <t>TP5-180-480-2</t>
        </is>
      </c>
      <c r="C42" s="271" t="inlineStr">
        <is>
          <t xml:space="preserve">180kW DCFC All In One Charger - 200 Amps / 1000VDC with CCS1 &amp; CCS1(~16ft); Can charge 2 cars simultaneously with 90kW each ; 4G Modem </t>
        </is>
      </c>
      <c r="D42" s="441" t="n">
        <v>62000</v>
      </c>
      <c r="E42" s="454" t="n">
        <v>180</v>
      </c>
      <c r="F42" s="443" t="n"/>
      <c r="I42" s="444" t="n">
        <v>2</v>
      </c>
      <c r="J42" s="445" t="inlineStr">
        <is>
          <t>connectors named in the description</t>
        </is>
      </c>
      <c r="AD42" s="451" t="inlineStr">
        <is>
          <t>TP5-180-480-1</t>
        </is>
      </c>
      <c r="AE42" s="452" t="inlineStr">
        <is>
          <t>all_in_one</t>
        </is>
      </c>
    </row>
    <row r="43" ht="43.5" customHeight="1" s="254">
      <c r="A43" s="263" t="inlineStr">
        <is>
          <t>_kW180</t>
        </is>
      </c>
      <c r="B43" s="263" t="inlineStr">
        <is>
          <t>TP5-180-480-2-300</t>
        </is>
      </c>
      <c r="C43" s="271" t="inlineStr">
        <is>
          <t xml:space="preserve">180kW DCFC All In One Charger - 350A Cable / 1000VDC with CCS1 &amp; CCS1(~16ft); Can charge 2 cars simultaneously with 90kW each ; 4G Modem </t>
        </is>
      </c>
      <c r="D43" s="441" t="n">
        <v>62000</v>
      </c>
      <c r="E43" s="454" t="n">
        <v>180</v>
      </c>
      <c r="F43" s="443" t="n"/>
      <c r="I43" s="444" t="n">
        <v>2</v>
      </c>
      <c r="J43" s="445" t="inlineStr">
        <is>
          <t>connectors named in the description</t>
        </is>
      </c>
      <c r="AD43" s="451" t="inlineStr">
        <is>
          <t>TP5-180-480-2</t>
        </is>
      </c>
      <c r="AE43" s="452" t="inlineStr">
        <is>
          <t>all_in_one</t>
        </is>
      </c>
    </row>
    <row r="44" ht="43.5" customHeight="1" s="254">
      <c r="A44" s="263" t="inlineStr">
        <is>
          <t>_kW180</t>
        </is>
      </c>
      <c r="B44" s="263" t="inlineStr">
        <is>
          <t>TP5-180-480-3-300</t>
        </is>
      </c>
      <c r="C44" s="271" t="inlineStr">
        <is>
          <t xml:space="preserve">180kW DCFC All In One Charger - 1000VDC, Cables: 350A CCS1 &amp; 400A NACS (~16ft); Can charge 2 cars simultaneously with 90kW each ; 4G Modem </t>
        </is>
      </c>
      <c r="D44" s="441" t="n">
        <v>62000</v>
      </c>
      <c r="E44" s="454" t="n">
        <v>180</v>
      </c>
      <c r="F44" s="443" t="n"/>
      <c r="I44" s="444" t="n">
        <v>2</v>
      </c>
      <c r="J44" s="445" t="inlineStr">
        <is>
          <t>manual — description does not state the count</t>
        </is>
      </c>
      <c r="AD44" s="451" t="inlineStr">
        <is>
          <t>TP5-180-480-2-300</t>
        </is>
      </c>
      <c r="AE44" s="452" t="inlineStr">
        <is>
          <t>all_in_one</t>
        </is>
      </c>
    </row>
    <row r="45" ht="43.5" customHeight="1" s="254">
      <c r="A45" s="263" t="inlineStr">
        <is>
          <t>_kW180</t>
        </is>
      </c>
      <c r="B45" s="263" t="inlineStr">
        <is>
          <t>TP5-180-480-2-300-CL20</t>
        </is>
      </c>
      <c r="C45" s="271" t="inlineStr">
        <is>
          <t xml:space="preserve">180kW DCFC All In One Charger - 350A Cable / 1000VDC with CCS1 &amp; CCS1(~20ft); Can charge 2 cars simultaneously with 90kW each ; 4G Modem </t>
        </is>
      </c>
      <c r="D45" s="441" t="n">
        <v>62000</v>
      </c>
      <c r="E45" s="454" t="n">
        <v>180</v>
      </c>
      <c r="F45" s="443" t="n"/>
      <c r="I45" s="444" t="n">
        <v>2</v>
      </c>
      <c r="J45" s="445" t="inlineStr">
        <is>
          <t>connectors named in the description</t>
        </is>
      </c>
      <c r="AD45" s="451" t="inlineStr">
        <is>
          <t>TP5-180-480-3-300</t>
        </is>
      </c>
      <c r="AE45" s="452" t="inlineStr">
        <is>
          <t>all_in_one</t>
        </is>
      </c>
    </row>
    <row r="46" ht="43.5" customHeight="1" s="254">
      <c r="A46" s="263" t="inlineStr">
        <is>
          <t>_kW240</t>
        </is>
      </c>
      <c r="B46" s="263" t="inlineStr">
        <is>
          <t>TP5-240-480-2-300</t>
        </is>
      </c>
      <c r="C46" s="271" t="inlineStr">
        <is>
          <t xml:space="preserve">240kW DCFC All In One Charger - 350A Cable / 1000VDC Dual CCS1 ; Can charge 2 cars simultaneously with 120kW each ; 4G Modem </t>
        </is>
      </c>
      <c r="D46" s="441" t="n">
        <v>80000</v>
      </c>
      <c r="E46" s="454" t="n">
        <v>240</v>
      </c>
      <c r="F46" s="443" t="n"/>
      <c r="I46" s="444" t="n">
        <v>2</v>
      </c>
      <c r="J46" s="445" t="inlineStr">
        <is>
          <t>description says Dual</t>
        </is>
      </c>
      <c r="AD46" s="451" t="inlineStr">
        <is>
          <t>TP5-180-480-2-300-CL20</t>
        </is>
      </c>
      <c r="AE46" s="452" t="inlineStr">
        <is>
          <t>all_in_one</t>
        </is>
      </c>
    </row>
    <row r="47" ht="43.5" customHeight="1" s="254">
      <c r="A47" s="263" t="inlineStr">
        <is>
          <t>_kW240</t>
        </is>
      </c>
      <c r="B47" s="263" t="inlineStr">
        <is>
          <t>TP5-240-480-2-400</t>
        </is>
      </c>
      <c r="C47" s="271" t="inlineStr">
        <is>
          <t xml:space="preserve">240kW DCFC All In One Charger - 1000VDC, Cables: 350A CCS1 &amp; 400A NACS; Can charge 2 cars simultaneously with 120kW each ; 4G Modem </t>
        </is>
      </c>
      <c r="D47" s="441" t="n">
        <v>80000</v>
      </c>
      <c r="E47" s="454" t="n">
        <v>240</v>
      </c>
      <c r="F47" s="443" t="n"/>
      <c r="I47" s="444" t="n">
        <v>2</v>
      </c>
      <c r="J47" s="445" t="inlineStr">
        <is>
          <t>manual — description does not state the count</t>
        </is>
      </c>
      <c r="AD47" s="451" t="inlineStr">
        <is>
          <t>TP5-240-480-2-300</t>
        </is>
      </c>
      <c r="AE47" s="452" t="inlineStr">
        <is>
          <t>all_in_one</t>
        </is>
      </c>
    </row>
    <row r="48" ht="55.5" customHeight="1" s="254">
      <c r="A48" s="263" t="inlineStr">
        <is>
          <t>_kW240</t>
        </is>
      </c>
      <c r="B48" s="263" t="inlineStr">
        <is>
          <t>HPC-240-480-1</t>
        </is>
      </c>
      <c r="C48" s="271" t="inlineStr">
        <is>
          <t>240kW HPC All In One Charger - 500 Amps / 1000VDC with Liquid Cooled Connector for CCS1 &amp; NACS(~14ft) ; Can deliver 500A on CCS coonnector. Can charge 2 cars simultane</t>
        </is>
      </c>
      <c r="D48" s="441" t="n">
        <v>98000</v>
      </c>
      <c r="E48" s="454" t="n">
        <v>240</v>
      </c>
      <c r="F48" s="443" t="n"/>
      <c r="I48" s="444" t="n">
        <v>2</v>
      </c>
      <c r="J48" s="445" t="inlineStr">
        <is>
          <t>connectors named in the description</t>
        </is>
      </c>
      <c r="AD48" s="451" t="inlineStr">
        <is>
          <t>TP5-240-480-2-400</t>
        </is>
      </c>
      <c r="AE48" s="452" t="inlineStr">
        <is>
          <t>all_in_one</t>
        </is>
      </c>
    </row>
    <row r="49" ht="55.5" customHeight="1" s="254">
      <c r="A49" s="263" t="inlineStr">
        <is>
          <t>_kW240</t>
        </is>
      </c>
      <c r="B49" s="263" t="inlineStr">
        <is>
          <t>HPC-240-480-2</t>
        </is>
      </c>
      <c r="C49" s="271" t="inlineStr">
        <is>
          <t>240kW HPC All In One Charger - 500 Amps / 1000VDC with Liquid Cooled Connector for Dual CCS1 ; Can deliver 450A on one CCS coonnector and 250A on each connector if used s</t>
        </is>
      </c>
      <c r="D49" s="441" t="n">
        <v>98000</v>
      </c>
      <c r="E49" s="454" t="n">
        <v>240</v>
      </c>
      <c r="F49" s="443" t="n"/>
      <c r="I49" s="444" t="n">
        <v>2</v>
      </c>
      <c r="J49" s="445" t="inlineStr">
        <is>
          <t>description says Dual</t>
        </is>
      </c>
      <c r="AD49" s="451" t="inlineStr">
        <is>
          <t>HPC-240-480-1</t>
        </is>
      </c>
      <c r="AE49" s="452" t="inlineStr">
        <is>
          <t>all_in_one</t>
        </is>
      </c>
    </row>
    <row r="50" ht="15" customHeight="1" s="254">
      <c r="A50" s="263" t="inlineStr">
        <is>
          <t>_kW240</t>
        </is>
      </c>
      <c r="B50" s="263" t="inlineStr">
        <is>
          <t>CTX-AiO-240-2-300</t>
        </is>
      </c>
      <c r="C50" s="263" t="inlineStr">
        <is>
          <t>Gen3 240kW CCS1 350A + CCS1 350A; Cable Management + CC</t>
        </is>
      </c>
      <c r="D50" s="441" t="n">
        <v>88000</v>
      </c>
      <c r="E50" s="454" t="n">
        <v>240</v>
      </c>
      <c r="F50" s="443" t="n"/>
      <c r="I50" s="444" t="n">
        <v>2</v>
      </c>
      <c r="J50" s="445" t="inlineStr">
        <is>
          <t>connectors named in the description</t>
        </is>
      </c>
      <c r="AD50" s="451" t="inlineStr">
        <is>
          <t>HPC-240-480-2</t>
        </is>
      </c>
      <c r="AE50" s="452" t="inlineStr">
        <is>
          <t>all_in_one</t>
        </is>
      </c>
    </row>
    <row r="51" ht="15" customHeight="1" s="254">
      <c r="A51" s="263" t="inlineStr">
        <is>
          <t>_kW240</t>
        </is>
      </c>
      <c r="B51" s="263" t="inlineStr">
        <is>
          <t>CTX-AiO-240-3-300</t>
        </is>
      </c>
      <c r="C51" s="263" t="inlineStr">
        <is>
          <t>Gen3 240kW CCS1 350A + NACS 350A; Cable Management + CC</t>
        </is>
      </c>
      <c r="D51" s="441" t="n">
        <v>88000</v>
      </c>
      <c r="E51" s="454" t="n">
        <v>240</v>
      </c>
      <c r="F51" s="443" t="n"/>
      <c r="I51" s="444" t="n">
        <v>2</v>
      </c>
      <c r="J51" s="445" t="inlineStr">
        <is>
          <t>connectors named in the description</t>
        </is>
      </c>
      <c r="AD51" s="451" t="inlineStr">
        <is>
          <t>CTX-AiO-240-2-300</t>
        </is>
      </c>
      <c r="AE51" s="452" t="inlineStr">
        <is>
          <t>all_in_one</t>
        </is>
      </c>
    </row>
    <row r="52" ht="15" customHeight="1" s="254">
      <c r="A52" s="263" t="inlineStr">
        <is>
          <t>_kW240</t>
        </is>
      </c>
      <c r="B52" s="263" t="inlineStr">
        <is>
          <t>CTX-AiO-240-4-300</t>
        </is>
      </c>
      <c r="C52" s="263" t="inlineStr">
        <is>
          <t>Gen3 240kW NACS 350A + NACS 350A; Cable Management + CC</t>
        </is>
      </c>
      <c r="D52" s="441" t="n">
        <v>88000</v>
      </c>
      <c r="E52" s="454" t="n">
        <v>240</v>
      </c>
      <c r="F52" s="443" t="n"/>
      <c r="I52" s="444" t="n">
        <v>2</v>
      </c>
      <c r="J52" s="445" t="inlineStr">
        <is>
          <t>connectors named in the description</t>
        </is>
      </c>
      <c r="AD52" s="451" t="inlineStr">
        <is>
          <t>CTX-AiO-240-3-300</t>
        </is>
      </c>
      <c r="AE52" s="452" t="inlineStr">
        <is>
          <t>all_in_one</t>
        </is>
      </c>
    </row>
    <row r="53" ht="15" customHeight="1" s="254">
      <c r="A53" s="263" t="inlineStr">
        <is>
          <t>_kW240</t>
        </is>
      </c>
      <c r="B53" s="263" t="inlineStr">
        <is>
          <t>CTX-AiO-240-5-300</t>
        </is>
      </c>
      <c r="C53" s="263" t="inlineStr">
        <is>
          <t>Gen3 240kW Single CCS1 350A; Cable Management + CC</t>
        </is>
      </c>
      <c r="D53" s="441" t="n">
        <v>88000</v>
      </c>
      <c r="E53" s="454" t="n">
        <v>240</v>
      </c>
      <c r="F53" s="443" t="n"/>
      <c r="I53" s="444" t="n">
        <v>1</v>
      </c>
      <c r="J53" s="445" t="inlineStr">
        <is>
          <t>description says Single</t>
        </is>
      </c>
      <c r="AD53" s="451" t="inlineStr">
        <is>
          <t>CTX-AiO-240-4-300</t>
        </is>
      </c>
      <c r="AE53" s="452" t="inlineStr">
        <is>
          <t>all_in_one</t>
        </is>
      </c>
    </row>
    <row r="54" ht="43.5" customHeight="1" s="254">
      <c r="A54" s="263" t="inlineStr">
        <is>
          <t>_kW360</t>
        </is>
      </c>
      <c r="B54" s="263" t="inlineStr">
        <is>
          <t>TP5-360-480-1-300</t>
        </is>
      </c>
      <c r="C54" s="271" t="inlineStr">
        <is>
          <t xml:space="preserve">360kW DCFC All In One Charger - 1000VDC, Cables: 350A CCS1 &amp; NACS ;  Can charge 2 cars simultaneously with 180kW each ; 4G Modem </t>
        </is>
      </c>
      <c r="D54" s="441" t="n">
        <v>99000</v>
      </c>
      <c r="E54" s="454" t="n">
        <v>360</v>
      </c>
      <c r="F54" s="443" t="n"/>
      <c r="I54" s="444" t="n">
        <v>2</v>
      </c>
      <c r="J54" s="445" t="inlineStr">
        <is>
          <t>manual — description does not state the count</t>
        </is>
      </c>
      <c r="AD54" s="451" t="inlineStr">
        <is>
          <t>CTX-AiO-240-5-300</t>
        </is>
      </c>
      <c r="AE54" s="452" t="inlineStr">
        <is>
          <t>all_in_one</t>
        </is>
      </c>
    </row>
    <row r="55" ht="43.5" customHeight="1" s="254">
      <c r="A55" s="263" t="inlineStr">
        <is>
          <t>_kW360</t>
        </is>
      </c>
      <c r="B55" s="263" t="inlineStr">
        <is>
          <t>TP5-360-480-2-300</t>
        </is>
      </c>
      <c r="C55" s="271" t="inlineStr">
        <is>
          <t xml:space="preserve">360kW DCFC All In One Charger - 350A Cable / 1000VDC Dual CCS1 ;  Can charge 2 cars simultaneously with 180kW each ; 4G Modem </t>
        </is>
      </c>
      <c r="D55" s="441" t="n">
        <v>99000</v>
      </c>
      <c r="E55" s="454" t="n">
        <v>360</v>
      </c>
      <c r="F55" s="443" t="n"/>
      <c r="I55" s="444" t="n">
        <v>2</v>
      </c>
      <c r="J55" s="445" t="inlineStr">
        <is>
          <t>description says Dual</t>
        </is>
      </c>
      <c r="AD55" s="451" t="inlineStr">
        <is>
          <t>TP5-360-480-1-300</t>
        </is>
      </c>
      <c r="AE55" s="452" t="inlineStr">
        <is>
          <t>all_in_one</t>
        </is>
      </c>
    </row>
    <row r="56" ht="43.5" customHeight="1" s="254">
      <c r="A56" s="263" t="inlineStr">
        <is>
          <t>_kW360</t>
        </is>
      </c>
      <c r="B56" s="263" t="inlineStr">
        <is>
          <t>TP5-360-480-3-300</t>
        </is>
      </c>
      <c r="C56" s="271" t="inlineStr">
        <is>
          <t xml:space="preserve">360kW DCFC All In One Charger - 1000VDC, Cables: 350A CCS1 &amp; 400A NACS ;  Can charge 2 cars simultaneously with 180kW each ; 4G Modem </t>
        </is>
      </c>
      <c r="D56" s="441" t="n">
        <v>99000</v>
      </c>
      <c r="E56" s="454" t="n">
        <v>360</v>
      </c>
      <c r="F56" s="443" t="n"/>
      <c r="I56" s="444" t="n">
        <v>2</v>
      </c>
      <c r="J56" s="445" t="inlineStr">
        <is>
          <t>manual — description does not state the count</t>
        </is>
      </c>
      <c r="AD56" s="451" t="inlineStr">
        <is>
          <t>TP5-360-480-2-300</t>
        </is>
      </c>
      <c r="AE56" s="452" t="inlineStr">
        <is>
          <t>all_in_one</t>
        </is>
      </c>
    </row>
    <row r="57" ht="43.5" customHeight="1" s="254">
      <c r="A57" s="263" t="inlineStr">
        <is>
          <t>_kW360</t>
        </is>
      </c>
      <c r="B57" s="263" t="inlineStr">
        <is>
          <t>TP5-360-480-4-300</t>
        </is>
      </c>
      <c r="C57" s="271" t="inlineStr">
        <is>
          <t xml:space="preserve">360kW DCFC All In One Charger - 1000VDC, Cables: 400A NACS / 400A NACS ;  Can charge 2 cars simultaneously with 180kW each ; 4G Modem </t>
        </is>
      </c>
      <c r="D57" s="441" t="n">
        <v>99000</v>
      </c>
      <c r="E57" s="454" t="n">
        <v>360</v>
      </c>
      <c r="F57" s="443" t="n"/>
      <c r="I57" s="444" t="n">
        <v>2</v>
      </c>
      <c r="J57" s="445" t="inlineStr">
        <is>
          <t>manual — description does not state the count</t>
        </is>
      </c>
      <c r="AD57" s="451" t="inlineStr">
        <is>
          <t>TP5-360-480-3-300</t>
        </is>
      </c>
      <c r="AE57" s="452" t="inlineStr">
        <is>
          <t>all_in_one</t>
        </is>
      </c>
    </row>
    <row r="58" ht="55.5" customHeight="1" s="254">
      <c r="A58" s="263" t="inlineStr">
        <is>
          <t>_kW360</t>
        </is>
      </c>
      <c r="B58" s="263" t="inlineStr">
        <is>
          <t>HPC-360-480-1</t>
        </is>
      </c>
      <c r="C58" s="271" t="inlineStr">
        <is>
          <t>360kW HPC All In One Charger - 500 Amps / 1000VDC with Liquid Cooled Connector for CCS1 &amp; NACS(~14ft) ; Can deliver 500A on CCS coonnector. Can charge 2 cars simultane</t>
        </is>
      </c>
      <c r="D58" s="441" t="n">
        <v>110000</v>
      </c>
      <c r="E58" s="454" t="n">
        <v>360</v>
      </c>
      <c r="F58" s="443" t="n"/>
      <c r="I58" s="444" t="n">
        <v>2</v>
      </c>
      <c r="J58" s="445" t="inlineStr">
        <is>
          <t>connectors named in the description</t>
        </is>
      </c>
      <c r="AD58" s="451" t="inlineStr">
        <is>
          <t>TP5-360-480-4-300</t>
        </is>
      </c>
      <c r="AE58" s="452" t="inlineStr">
        <is>
          <t>all_in_one</t>
        </is>
      </c>
    </row>
    <row r="59" ht="55.5" customHeight="1" s="254">
      <c r="A59" s="263" t="inlineStr">
        <is>
          <t>_kW360</t>
        </is>
      </c>
      <c r="B59" s="263" t="inlineStr">
        <is>
          <t>HPC-360-480-2</t>
        </is>
      </c>
      <c r="C59" s="271" t="inlineStr">
        <is>
          <t>360kW HPC All In One Charger - 500 Amps / 1000VDC with Liquid Cooled Connector for Dual CCS1 ; Can deliver 500A on one CCS coonnector and 400A on each connector if used s</t>
        </is>
      </c>
      <c r="D59" s="441" t="n">
        <v>110000</v>
      </c>
      <c r="E59" s="454" t="n">
        <v>360</v>
      </c>
      <c r="F59" s="443" t="n"/>
      <c r="I59" s="444" t="n">
        <v>2</v>
      </c>
      <c r="J59" s="445" t="inlineStr">
        <is>
          <t>description says Dual</t>
        </is>
      </c>
      <c r="AD59" s="451" t="inlineStr">
        <is>
          <t>HPC-360-480-1</t>
        </is>
      </c>
      <c r="AE59" s="452" t="inlineStr">
        <is>
          <t>all_in_one</t>
        </is>
      </c>
    </row>
    <row r="60" ht="55.5" customHeight="1" s="254">
      <c r="A60" s="263" t="inlineStr">
        <is>
          <t>_kW360</t>
        </is>
      </c>
      <c r="B60" s="263" t="inlineStr">
        <is>
          <t>HPC-360-480-3</t>
        </is>
      </c>
      <c r="C60" s="271" t="inlineStr">
        <is>
          <t xml:space="preserve">360kW HPC All In One Charger - 500 Amps / 1000VDC with Liquid Cooled Connector for CCS1 &amp; NACS ; Can deliver 500A on CCS coonnector. Can charge 2 cars simultaneously; 4G </t>
        </is>
      </c>
      <c r="D60" s="441" t="n">
        <v>110000</v>
      </c>
      <c r="E60" s="454" t="n">
        <v>360</v>
      </c>
      <c r="F60" s="443" t="n"/>
      <c r="I60" s="444" t="n">
        <v>2</v>
      </c>
      <c r="J60" s="445" t="inlineStr">
        <is>
          <t>connectors named in the description</t>
        </is>
      </c>
      <c r="AD60" s="451" t="inlineStr">
        <is>
          <t>HPC-360-480-2</t>
        </is>
      </c>
      <c r="AE60" s="452" t="inlineStr">
        <is>
          <t>all_in_one</t>
        </is>
      </c>
    </row>
    <row r="61" ht="55.5" customHeight="1" s="254">
      <c r="A61" s="263" t="inlineStr">
        <is>
          <t>_kW360</t>
        </is>
      </c>
      <c r="B61" s="263" t="inlineStr">
        <is>
          <t>HPC-360-480-4</t>
        </is>
      </c>
      <c r="C61" s="271" t="inlineStr">
        <is>
          <t xml:space="preserve">360kW HPC All In One Charger - 500 Amps / 1000VDC with Liquid Cooled Connector for NACS / NACS ; Can deliver 500A on CCS coonnector. Can charge 2 cars simultaneously; 4G </t>
        </is>
      </c>
      <c r="D61" s="441" t="n">
        <v>110000</v>
      </c>
      <c r="E61" s="454" t="n">
        <v>360</v>
      </c>
      <c r="F61" s="443" t="n"/>
      <c r="I61" s="444" t="n">
        <v>2</v>
      </c>
      <c r="J61" s="445" t="inlineStr">
        <is>
          <t>connectors named in the description</t>
        </is>
      </c>
      <c r="AD61" s="451" t="inlineStr">
        <is>
          <t>HPC-360-480-3</t>
        </is>
      </c>
      <c r="AE61" s="452" t="inlineStr">
        <is>
          <t>all_in_one</t>
        </is>
      </c>
    </row>
    <row r="62" ht="15" customHeight="1" s="254">
      <c r="A62" s="263" t="inlineStr">
        <is>
          <t>_Distributed_System</t>
        </is>
      </c>
      <c r="B62" s="263" t="inlineStr">
        <is>
          <t>CTX-DSPB-360</t>
        </is>
      </c>
      <c r="C62" s="263" t="inlineStr">
        <is>
          <t>360kW Tower</t>
        </is>
      </c>
      <c r="D62" s="441" t="n">
        <v>81400</v>
      </c>
      <c r="E62" s="454" t="n">
        <v>360</v>
      </c>
      <c r="F62" s="443" t="n"/>
      <c r="J62" s="445" t="inlineStr">
        <is>
          <t>distributed system — the architecture table holds this</t>
        </is>
      </c>
      <c r="AD62" s="451" t="inlineStr">
        <is>
          <t>HPC-360-480-4</t>
        </is>
      </c>
      <c r="AE62" s="452" t="inlineStr">
        <is>
          <t>all_in_one</t>
        </is>
      </c>
    </row>
    <row r="63" ht="15" customHeight="1" s="254">
      <c r="A63" s="263" t="inlineStr">
        <is>
          <t>_Distributed_System</t>
        </is>
      </c>
      <c r="B63" s="263" t="inlineStr">
        <is>
          <t>CTX-DSPB-480</t>
        </is>
      </c>
      <c r="C63" s="263" t="inlineStr">
        <is>
          <t>480kW Tower</t>
        </is>
      </c>
      <c r="D63" s="441" t="n">
        <v>90200</v>
      </c>
      <c r="E63" s="454" t="n">
        <v>480</v>
      </c>
      <c r="F63" s="443" t="n"/>
      <c r="J63" s="445" t="inlineStr">
        <is>
          <t>distributed system — the architecture table holds this</t>
        </is>
      </c>
      <c r="AD63" s="451" t="inlineStr">
        <is>
          <t>CTX-DSPB-360</t>
        </is>
      </c>
      <c r="AE63" s="452" t="inlineStr">
        <is>
          <t>power_cabinet</t>
        </is>
      </c>
    </row>
    <row r="64" ht="15" customHeight="1" s="254">
      <c r="A64" s="263" t="inlineStr">
        <is>
          <t>_Distributed_System</t>
        </is>
      </c>
      <c r="B64" s="263" t="inlineStr">
        <is>
          <t>CTX-DSPB-1280</t>
        </is>
      </c>
      <c r="C64" s="263" t="inlineStr">
        <is>
          <t>1,280kW Tower</t>
        </is>
      </c>
      <c r="D64" s="441" t="n">
        <v>225000</v>
      </c>
      <c r="E64" s="454" t="n">
        <v>1280</v>
      </c>
      <c r="F64" s="443" t="n"/>
      <c r="J64" s="445" t="inlineStr">
        <is>
          <t>distributed system — the architecture table holds this</t>
        </is>
      </c>
      <c r="AD64" s="451" t="inlineStr">
        <is>
          <t>CTX-DSPB-480</t>
        </is>
      </c>
      <c r="AE64" s="452" t="inlineStr">
        <is>
          <t>power_cabinet</t>
        </is>
      </c>
    </row>
    <row r="65" ht="15" customHeight="1" s="254">
      <c r="A65" s="263" t="inlineStr">
        <is>
          <t>_Distributed_System</t>
        </is>
      </c>
      <c r="B65" s="263" t="inlineStr">
        <is>
          <t>CTX-DST-2-300</t>
        </is>
      </c>
      <c r="C65" s="263" t="inlineStr">
        <is>
          <t>Dispenser 300/300</t>
        </is>
      </c>
      <c r="D65" s="441" t="n">
        <v>35200</v>
      </c>
      <c r="E65" s="442" t="n"/>
      <c r="F65" s="443" t="n"/>
      <c r="J65" s="445" t="inlineStr">
        <is>
          <t>distributed system — the architecture table holds this</t>
        </is>
      </c>
      <c r="AD65" s="451" t="inlineStr">
        <is>
          <t>CTX-DSPB-1280</t>
        </is>
      </c>
      <c r="AE65" s="452" t="inlineStr">
        <is>
          <t>power_cabinet</t>
        </is>
      </c>
    </row>
    <row r="66" ht="15" customHeight="1" s="254">
      <c r="A66" s="263" t="inlineStr">
        <is>
          <t>_Distributed_System</t>
        </is>
      </c>
      <c r="B66" s="263" t="inlineStr">
        <is>
          <t>CTX-DST-HPC-2-500/300</t>
        </is>
      </c>
      <c r="C66" s="263" t="inlineStr">
        <is>
          <t>Dispenser 500/300</t>
        </is>
      </c>
      <c r="D66" s="441" t="n">
        <v>49500</v>
      </c>
      <c r="E66" s="442" t="n"/>
      <c r="F66" s="443" t="n"/>
      <c r="J66" s="445" t="inlineStr">
        <is>
          <t>distributed system — the architecture table holds this</t>
        </is>
      </c>
      <c r="AD66" s="451" t="inlineStr">
        <is>
          <t>CTX-DST-2-300</t>
        </is>
      </c>
      <c r="AE66" s="452" t="inlineStr">
        <is>
          <t>dispenser</t>
        </is>
      </c>
    </row>
    <row r="67" ht="43.5" customHeight="1" s="254">
      <c r="A67" s="263" t="inlineStr">
        <is>
          <t>_Buy_America</t>
        </is>
      </c>
      <c r="B67" s="263" t="inlineStr">
        <is>
          <t>TP5-60-480-2-BAA</t>
        </is>
      </c>
      <c r="C67" s="271" t="inlineStr">
        <is>
          <t xml:space="preserve">Buy America NEVI Compliant, Assembled in CA, USA 60kW DCFC - 140 Amps / 1000VDC with CCS1 &amp; CCS1(~16ft) ; 4G Modem </t>
        </is>
      </c>
      <c r="D67" s="441" t="n">
        <v>68200</v>
      </c>
      <c r="E67" s="442" t="n"/>
      <c r="F67" s="443" t="n"/>
      <c r="I67" s="444" t="n">
        <v>2</v>
      </c>
      <c r="J67" s="445" t="inlineStr">
        <is>
          <t>connectors named in the description</t>
        </is>
      </c>
      <c r="AD67" s="451" t="inlineStr">
        <is>
          <t>CTX-DST-HPC-2-500/300</t>
        </is>
      </c>
      <c r="AE67" s="452" t="inlineStr">
        <is>
          <t>dispenser</t>
        </is>
      </c>
    </row>
    <row r="68" ht="43.6" customHeight="1" s="254">
      <c r="A68" s="263" t="inlineStr">
        <is>
          <t>_Buy_America</t>
        </is>
      </c>
      <c r="B68" s="263" t="inlineStr">
        <is>
          <t>TP5-60-480-3-BAA</t>
        </is>
      </c>
      <c r="C68" s="271" t="inlineStr">
        <is>
          <t xml:space="preserve">Buy America NEVI Compliant, Assembled in CA, USA 60kW DCFC - 140 Amps / 1000VDC with CCS1 &amp; NACS ; 4G Modem </t>
        </is>
      </c>
      <c r="D68" s="441" t="n">
        <v>68200</v>
      </c>
      <c r="E68" s="442" t="n"/>
      <c r="F68" s="443" t="n"/>
      <c r="I68" s="444" t="n">
        <v>2</v>
      </c>
      <c r="J68" s="445" t="inlineStr">
        <is>
          <t>connectors named in the description</t>
        </is>
      </c>
      <c r="AD68" s="451" t="inlineStr">
        <is>
          <t>TP5-60-480-2-BAA</t>
        </is>
      </c>
      <c r="AE68" s="452" t="inlineStr">
        <is>
          <t>all_in_one</t>
        </is>
      </c>
    </row>
    <row r="69" ht="43.6" customHeight="1" s="254">
      <c r="A69" s="263" t="inlineStr">
        <is>
          <t>_Buy_America</t>
        </is>
      </c>
      <c r="B69" s="263" t="inlineStr">
        <is>
          <t>TP5-60-480-4-BAA</t>
        </is>
      </c>
      <c r="C69" s="271" t="inlineStr">
        <is>
          <t xml:space="preserve">Buy America NEVI Compliant, Assembled in CA, USA 60kW DCFC - 140 Amps / 1000VDC with NACS &amp; NACS ; 4G Modem </t>
        </is>
      </c>
      <c r="D69" s="441" t="n">
        <v>68200</v>
      </c>
      <c r="E69" s="442" t="n"/>
      <c r="F69" s="443" t="n"/>
      <c r="I69" s="444" t="n">
        <v>2</v>
      </c>
      <c r="J69" s="445" t="inlineStr">
        <is>
          <t>connectors named in the description</t>
        </is>
      </c>
      <c r="AD69" s="451" t="inlineStr">
        <is>
          <t>TP5-60-480-3-BAA</t>
        </is>
      </c>
      <c r="AE69" s="452" t="inlineStr">
        <is>
          <t>all_in_one</t>
        </is>
      </c>
    </row>
    <row r="70" ht="55.5" customHeight="1" s="254">
      <c r="A70" s="263" t="inlineStr">
        <is>
          <t>_Buy_America</t>
        </is>
      </c>
      <c r="B70" s="263" t="inlineStr">
        <is>
          <t>TP5-120-480-2-300-BAA</t>
        </is>
      </c>
      <c r="C70" s="271" t="inlineStr">
        <is>
          <t xml:space="preserve">Buy America NEVI Compliant, Assembled in CA, USA 120kW DCFC All In One Charger - 350A Cable / 1000VDC with CCS1 &amp; CCS1(~16ft); Can charge 2 cars simultaneously with 60kW </t>
        </is>
      </c>
      <c r="D70" s="441" t="n">
        <v>75900</v>
      </c>
      <c r="E70" s="442" t="n"/>
      <c r="F70" s="443" t="n"/>
      <c r="I70" s="444" t="n">
        <v>2</v>
      </c>
      <c r="J70" s="445" t="inlineStr">
        <is>
          <t>connectors named in the description</t>
        </is>
      </c>
      <c r="AD70" s="451" t="inlineStr">
        <is>
          <t>TP5-60-480-4-BAA</t>
        </is>
      </c>
      <c r="AE70" s="452" t="inlineStr">
        <is>
          <t>all_in_one</t>
        </is>
      </c>
    </row>
    <row r="71" ht="55.5" customHeight="1" s="254">
      <c r="A71" s="263" t="inlineStr">
        <is>
          <t>_Buy_America</t>
        </is>
      </c>
      <c r="B71" s="263" t="inlineStr">
        <is>
          <t>TP5-120-480-3-300-BAA</t>
        </is>
      </c>
      <c r="C71" s="271" t="inlineStr">
        <is>
          <t xml:space="preserve">Buy America NEVI Compliant, Assembled in CA, USA 120kW DCFC All In One Charger - 350A Cable / 1000VDC with CCS1 &amp; NACS; Can charge 2 cars simultaneously with 60kW each ; </t>
        </is>
      </c>
      <c r="D71" s="441" t="n">
        <v>75900</v>
      </c>
      <c r="E71" s="442" t="n"/>
      <c r="F71" s="443" t="n"/>
      <c r="I71" s="444" t="n">
        <v>2</v>
      </c>
      <c r="J71" s="445" t="inlineStr">
        <is>
          <t>connectors named in the description</t>
        </is>
      </c>
      <c r="AD71" s="451" t="inlineStr">
        <is>
          <t>TP5-120-480-2-300-BAA</t>
        </is>
      </c>
      <c r="AE71" s="452" t="inlineStr">
        <is>
          <t>all_in_one</t>
        </is>
      </c>
    </row>
    <row r="72" ht="55.5" customHeight="1" s="254">
      <c r="A72" s="263" t="inlineStr">
        <is>
          <t>_Buy_America</t>
        </is>
      </c>
      <c r="B72" s="263" t="inlineStr">
        <is>
          <t>TP5-120-480-4-300-BAA</t>
        </is>
      </c>
      <c r="C72" s="271" t="inlineStr">
        <is>
          <t xml:space="preserve">Buy America NEVI Compliant, Assembled in CA, USA 120kW DCFC All In One Charger - 350A Cable / 1000VDC with NACS &amp; NACS(~16ft); Can charge 2 cars simultaneously with 60kW </t>
        </is>
      </c>
      <c r="D72" s="441" t="n">
        <v>75900</v>
      </c>
      <c r="E72" s="442" t="n"/>
      <c r="F72" s="443" t="n"/>
      <c r="I72" s="444" t="n">
        <v>2</v>
      </c>
      <c r="J72" s="445" t="inlineStr">
        <is>
          <t>connectors named in the description</t>
        </is>
      </c>
      <c r="AD72" s="451" t="inlineStr">
        <is>
          <t>TP5-120-480-3-300-BAA</t>
        </is>
      </c>
      <c r="AE72" s="452" t="inlineStr">
        <is>
          <t>all_in_one</t>
        </is>
      </c>
    </row>
    <row r="73" ht="55.5" customHeight="1" s="254">
      <c r="A73" s="263" t="inlineStr">
        <is>
          <t>_Buy_America</t>
        </is>
      </c>
      <c r="B73" s="263" t="inlineStr">
        <is>
          <t>TP5-180-480-2-BAA</t>
        </is>
      </c>
      <c r="C73" s="271" t="inlineStr">
        <is>
          <t xml:space="preserve">Buy America NEVI Compliant, Assembled in CA, USA 180kW Air Cooled 350A Cable (BAA) CCS1 / CCS1 1000VDC Connector for Dual CCS1; Can deliver 350A on one CCS conector. Set </t>
        </is>
      </c>
      <c r="D73" s="441" t="n">
        <v>82500</v>
      </c>
      <c r="E73" s="442" t="n"/>
      <c r="F73" s="443" t="n"/>
      <c r="I73" s="444" t="n">
        <v>2</v>
      </c>
      <c r="J73" s="445" t="inlineStr">
        <is>
          <t>description says Dual</t>
        </is>
      </c>
      <c r="AD73" s="451" t="inlineStr">
        <is>
          <t>TP5-120-480-4-300-BAA</t>
        </is>
      </c>
      <c r="AE73" s="452" t="inlineStr">
        <is>
          <t>all_in_one</t>
        </is>
      </c>
    </row>
    <row r="74" ht="55.5" customHeight="1" s="254">
      <c r="A74" s="263" t="inlineStr">
        <is>
          <t>_Buy_America</t>
        </is>
      </c>
      <c r="B74" s="263" t="inlineStr">
        <is>
          <t>TP5-180-480-3-BAA</t>
        </is>
      </c>
      <c r="C74" s="271" t="inlineStr">
        <is>
          <t>Buy America NEVI Compliant, Assembled in CA, USA 180kW Air Cooled 350A Cable (BAA)  CCS1 / NACS 1000VDC Connector for Dual CCS1; Can deliver 350A on one CCS conector. Set</t>
        </is>
      </c>
      <c r="D74" s="441" t="n">
        <v>82500</v>
      </c>
      <c r="E74" s="442" t="n"/>
      <c r="F74" s="443" t="n"/>
      <c r="I74" s="444" t="n">
        <v>2</v>
      </c>
      <c r="J74" s="445" t="inlineStr">
        <is>
          <t>description says Dual</t>
        </is>
      </c>
      <c r="AD74" s="451" t="inlineStr">
        <is>
          <t>TP5-180-480-2-BAA</t>
        </is>
      </c>
      <c r="AE74" s="452" t="inlineStr">
        <is>
          <t>all_in_one</t>
        </is>
      </c>
    </row>
    <row r="75" ht="55.5" customHeight="1" s="254">
      <c r="A75" s="263" t="inlineStr">
        <is>
          <t>_Buy_America</t>
        </is>
      </c>
      <c r="B75" s="263" t="inlineStr">
        <is>
          <t>TP5-180-480-4-BAA</t>
        </is>
      </c>
      <c r="C75" s="271" t="inlineStr">
        <is>
          <t xml:space="preserve">Buy America NEVI Compliant, Assembled in CA, USA 180kW Air Cooled 350A Cable (BAA) NACS / NACS 1000VDC Connector for Dual CCS1; Can deliver 350A on one CCS conector. Set </t>
        </is>
      </c>
      <c r="D75" s="441" t="n">
        <v>82500</v>
      </c>
      <c r="E75" s="442" t="n"/>
      <c r="F75" s="443" t="n"/>
      <c r="I75" s="444" t="n">
        <v>2</v>
      </c>
      <c r="J75" s="445" t="inlineStr">
        <is>
          <t>description says Dual</t>
        </is>
      </c>
      <c r="AD75" s="451" t="inlineStr">
        <is>
          <t>TP5-180-480-3-BAA</t>
        </is>
      </c>
      <c r="AE75" s="452" t="inlineStr">
        <is>
          <t>all_in_one</t>
        </is>
      </c>
    </row>
    <row r="76" ht="55.5" customHeight="1" s="254">
      <c r="A76" s="263" t="inlineStr">
        <is>
          <t>_Buy_America</t>
        </is>
      </c>
      <c r="B76" s="263" t="inlineStr">
        <is>
          <t>HPC-180-480-2-BAA</t>
        </is>
      </c>
      <c r="C76" s="271" t="inlineStr">
        <is>
          <t>Buy America NEVI Compliant, Assembled in CA, USA 180kW Liquid Cooled (BAA) Dual CCS1 500 Amps / 1000VDC with Liquid Cooled Connector for Dual CCS1 ; Can deliver 450A on o</t>
        </is>
      </c>
      <c r="D76" s="441" t="n">
        <v>82500</v>
      </c>
      <c r="E76" s="442" t="n"/>
      <c r="F76" s="443" t="n"/>
      <c r="I76" s="444" t="n">
        <v>2</v>
      </c>
      <c r="J76" s="445" t="inlineStr">
        <is>
          <t>description says Dual</t>
        </is>
      </c>
      <c r="AD76" s="451" t="inlineStr">
        <is>
          <t>TP5-180-480-4-BAA</t>
        </is>
      </c>
      <c r="AE76" s="452" t="inlineStr">
        <is>
          <t>all_in_one</t>
        </is>
      </c>
    </row>
    <row r="77" ht="55.5" customHeight="1" s="254">
      <c r="A77" s="263" t="inlineStr">
        <is>
          <t>_Buy_America</t>
        </is>
      </c>
      <c r="B77" s="263" t="inlineStr">
        <is>
          <t>HPC-180-480-3-BAA</t>
        </is>
      </c>
      <c r="C77" s="271" t="inlineStr">
        <is>
          <t>Buy America NEVI Compliant, Assembled in CA, USA 180kW Liquid Cooled (BAA) CCS1 / NACS 1000VDC with Liquid Cooled Connector for Dual CCS1 ; Can deliver 450A on one CCS co</t>
        </is>
      </c>
      <c r="D77" s="441" t="n">
        <v>82500</v>
      </c>
      <c r="E77" s="442" t="n"/>
      <c r="F77" s="443" t="n"/>
      <c r="I77" s="444" t="n">
        <v>2</v>
      </c>
      <c r="J77" s="445" t="inlineStr">
        <is>
          <t>description says Dual</t>
        </is>
      </c>
      <c r="AD77" s="451" t="inlineStr">
        <is>
          <t>HPC-180-480-2-BAA</t>
        </is>
      </c>
      <c r="AE77" s="452" t="inlineStr">
        <is>
          <t>all_in_one</t>
        </is>
      </c>
    </row>
    <row r="78" ht="55.5" customHeight="1" s="254">
      <c r="A78" s="263" t="inlineStr">
        <is>
          <t>_Buy_America</t>
        </is>
      </c>
      <c r="B78" s="263" t="inlineStr">
        <is>
          <t>HPC-180-480-4-BAA</t>
        </is>
      </c>
      <c r="C78" s="271" t="inlineStr">
        <is>
          <t>Buy America NEVI Compliant, Assembled in CA, USA 180kW Liquid Cooled (BAA) NACS /NACS 1000VDC with Liquid Cooled Connector for Dual CCS1 ; Can deliver 450A on one CCS con</t>
        </is>
      </c>
      <c r="D78" s="441" t="n">
        <v>82500</v>
      </c>
      <c r="E78" s="442" t="n"/>
      <c r="F78" s="443" t="n"/>
      <c r="I78" s="444" t="n">
        <v>2</v>
      </c>
      <c r="J78" s="445" t="inlineStr">
        <is>
          <t>description says Dual</t>
        </is>
      </c>
      <c r="AD78" s="451" t="inlineStr">
        <is>
          <t>HPC-180-480-3-BAA</t>
        </is>
      </c>
      <c r="AE78" s="452" t="inlineStr">
        <is>
          <t>all_in_one</t>
        </is>
      </c>
    </row>
    <row r="79" ht="55.5" customHeight="1" s="254">
      <c r="A79" s="263" t="inlineStr">
        <is>
          <t>_Buy_America</t>
        </is>
      </c>
      <c r="B79" s="263" t="inlineStr">
        <is>
          <t>TP5-360-480-2-BAA</t>
        </is>
      </c>
      <c r="C79" s="271" t="inlineStr">
        <is>
          <t>Buy America NEVI Compliant 360kW Air Cooled 350A Cable (BAA) Dual CCS1 / 1000VDC Connector for Dual CCS1 ; Can deliver 350A on one CCS connector and 350A on each connecto</t>
        </is>
      </c>
      <c r="D79" s="441" t="n">
        <v>138600</v>
      </c>
      <c r="E79" s="442" t="n"/>
      <c r="F79" s="443" t="n"/>
      <c r="I79" s="444" t="n">
        <v>2</v>
      </c>
      <c r="J79" s="445" t="inlineStr">
        <is>
          <t>description says Dual</t>
        </is>
      </c>
      <c r="AD79" s="451" t="inlineStr">
        <is>
          <t>HPC-180-480-4-BAA</t>
        </is>
      </c>
      <c r="AE79" s="452" t="inlineStr">
        <is>
          <t>all_in_one</t>
        </is>
      </c>
    </row>
    <row r="80" ht="55.5" customHeight="1" s="254">
      <c r="A80" s="263" t="inlineStr">
        <is>
          <t>_Buy_America</t>
        </is>
      </c>
      <c r="B80" s="263" t="inlineStr">
        <is>
          <t>TP5-360-480-3-BAA</t>
        </is>
      </c>
      <c r="C80" s="271" t="inlineStr">
        <is>
          <t>Buy America NEVI Compliant 360kW Air Cooled 350A Cable (BAA) Dual CCS1 / 1000VDC Connector for CCS1/NACS ; Can deliver 350A on one CCS connector and 350A on each connecto</t>
        </is>
      </c>
      <c r="D80" s="441" t="n">
        <v>138600</v>
      </c>
      <c r="E80" s="442" t="n"/>
      <c r="F80" s="443" t="n"/>
      <c r="I80" s="444" t="n">
        <v>2</v>
      </c>
      <c r="J80" s="445" t="inlineStr">
        <is>
          <t>description says Dual</t>
        </is>
      </c>
      <c r="AD80" s="451" t="inlineStr">
        <is>
          <t>TP5-360-480-2-BAA</t>
        </is>
      </c>
      <c r="AE80" s="452" t="inlineStr">
        <is>
          <t>all_in_one</t>
        </is>
      </c>
    </row>
    <row r="81" ht="55.5" customHeight="1" s="254">
      <c r="A81" s="263" t="inlineStr">
        <is>
          <t>_Buy_America</t>
        </is>
      </c>
      <c r="B81" s="263" t="inlineStr">
        <is>
          <t>TP5-360-480-4-BAA</t>
        </is>
      </c>
      <c r="C81" s="271" t="inlineStr">
        <is>
          <t>Buy America NEVI Compliant 360kW Air Cooled 350A Cable (BAA) Dual CCS1 / 1000VDC Connector for NACS/NACS ; Can deliver 350A on one CCS connector and 350A on each connecto</t>
        </is>
      </c>
      <c r="D81" s="441" t="n">
        <v>138600</v>
      </c>
      <c r="E81" s="442" t="n"/>
      <c r="F81" s="443" t="n"/>
      <c r="I81" s="444" t="n">
        <v>2</v>
      </c>
      <c r="J81" s="445" t="inlineStr">
        <is>
          <t>description says Dual</t>
        </is>
      </c>
      <c r="AD81" s="451" t="inlineStr">
        <is>
          <t>TP5-360-480-3-BAA</t>
        </is>
      </c>
      <c r="AE81" s="452" t="inlineStr">
        <is>
          <t>all_in_one</t>
        </is>
      </c>
    </row>
    <row r="82" ht="55.5" customHeight="1" s="254">
      <c r="A82" s="263" t="inlineStr">
        <is>
          <t>_Buy_America</t>
        </is>
      </c>
      <c r="B82" s="263" t="inlineStr">
        <is>
          <t>HPC-360-480-2-BAA</t>
        </is>
      </c>
      <c r="C82" s="271" t="inlineStr">
        <is>
          <t>Buy America NEVI Compliant 360kW Liquid Cooled (BAA) 500 Amps / 1000VDC with Liquid Cooled Connector for Dual CCS1 ; Can deliver 500A on one CCS connector and 400A on eac</t>
        </is>
      </c>
      <c r="D82" s="441" t="n">
        <v>137500</v>
      </c>
      <c r="E82" s="442" t="n"/>
      <c r="F82" s="443" t="n"/>
      <c r="I82" s="444" t="n">
        <v>2</v>
      </c>
      <c r="J82" s="445" t="inlineStr">
        <is>
          <t>description says Dual</t>
        </is>
      </c>
      <c r="AD82" s="451" t="inlineStr">
        <is>
          <t>TP5-360-480-4-BAA</t>
        </is>
      </c>
      <c r="AE82" s="452" t="inlineStr">
        <is>
          <t>all_in_one</t>
        </is>
      </c>
    </row>
    <row r="83" ht="55.5" customHeight="1" s="254">
      <c r="A83" s="263" t="inlineStr">
        <is>
          <t>_Buy_America</t>
        </is>
      </c>
      <c r="B83" s="263" t="inlineStr">
        <is>
          <t>HPC-360-480-3-BAA</t>
        </is>
      </c>
      <c r="C83" s="271" t="inlineStr">
        <is>
          <t>Buy America NEVI Compliant 360kW Liquid Cooled (BAA) 500 Amps / 1000VDC with Liquid Cooled Connector for CCS1/NACS ; Can deliver 500A on one CCS connector and 400A on eac</t>
        </is>
      </c>
      <c r="D83" s="441" t="n">
        <v>137500</v>
      </c>
      <c r="E83" s="442" t="n"/>
      <c r="F83" s="443" t="n"/>
      <c r="I83" s="444" t="n">
        <v>2</v>
      </c>
      <c r="J83" s="445" t="inlineStr">
        <is>
          <t>connectors named in the description</t>
        </is>
      </c>
      <c r="AD83" s="451" t="inlineStr">
        <is>
          <t>HPC-360-480-2-BAA</t>
        </is>
      </c>
      <c r="AE83" s="452" t="inlineStr">
        <is>
          <t>all_in_one</t>
        </is>
      </c>
    </row>
    <row r="84" ht="55.5" customHeight="1" s="254">
      <c r="A84" s="263" t="inlineStr">
        <is>
          <t>_Buy_America</t>
        </is>
      </c>
      <c r="B84" s="263" t="inlineStr">
        <is>
          <t>HPC-360-480-4-BAA</t>
        </is>
      </c>
      <c r="C84" s="271" t="inlineStr">
        <is>
          <t>Buy America NEVI Compliant 360kW Liquid Cooled (BAA) 500 Amps / 1000VDC with Liquid Cooled Connector for NACS/NACS ; Can deliver 500A on one CCS connector and 400A on eac</t>
        </is>
      </c>
      <c r="D84" s="441" t="n">
        <v>137500</v>
      </c>
      <c r="E84" s="442" t="n"/>
      <c r="F84" s="443" t="n"/>
      <c r="I84" s="444" t="n">
        <v>2</v>
      </c>
      <c r="J84" s="445" t="inlineStr">
        <is>
          <t>connectors named in the description</t>
        </is>
      </c>
      <c r="AD84" s="451" t="inlineStr">
        <is>
          <t>HPC-360-480-3-BAA</t>
        </is>
      </c>
      <c r="AE84" s="452" t="inlineStr">
        <is>
          <t>all_in_one</t>
        </is>
      </c>
    </row>
    <row r="85" ht="15" customHeight="1" s="254">
      <c r="A85" s="263" t="inlineStr">
        <is>
          <t>_V2G</t>
        </is>
      </c>
      <c r="B85" s="263" t="inlineStr">
        <is>
          <t>CTX-V2G-20-480-1</t>
        </is>
      </c>
      <c r="C85" s="263" t="inlineStr">
        <is>
          <t>20kW V2G Charger</t>
        </is>
      </c>
      <c r="D85" s="441" t="n">
        <v>16700</v>
      </c>
      <c r="E85" s="442" t="n"/>
      <c r="F85" s="443" t="n"/>
      <c r="I85" s="444" t="n">
        <v>1</v>
      </c>
      <c r="J85" s="445" t="inlineStr">
        <is>
          <t>manual — description does not state the count</t>
        </is>
      </c>
      <c r="AD85" s="451" t="inlineStr">
        <is>
          <t>HPC-360-480-4-BAA</t>
        </is>
      </c>
      <c r="AE85" s="452" t="inlineStr">
        <is>
          <t>all_in_one</t>
        </is>
      </c>
    </row>
    <row r="86" ht="15" customHeight="1" s="254">
      <c r="A86" s="263" t="inlineStr">
        <is>
          <t>_V2G</t>
        </is>
      </c>
      <c r="B86" s="263" t="inlineStr">
        <is>
          <t>CTX-V2G-30-480-1</t>
        </is>
      </c>
      <c r="C86" s="263" t="inlineStr">
        <is>
          <t>30kW V2G Charger</t>
        </is>
      </c>
      <c r="D86" s="441" t="n">
        <v>23800</v>
      </c>
      <c r="E86" s="442" t="n"/>
      <c r="F86" s="443" t="n"/>
      <c r="I86" s="444" t="n">
        <v>1</v>
      </c>
      <c r="J86" s="445" t="inlineStr">
        <is>
          <t>manual — description does not state the count</t>
        </is>
      </c>
      <c r="AD86" s="451" t="inlineStr">
        <is>
          <t>CTX-V2G-20-480-1</t>
        </is>
      </c>
      <c r="AE86" s="452" t="inlineStr">
        <is>
          <t>all_in_one</t>
        </is>
      </c>
    </row>
    <row r="87" ht="15" customHeight="1" s="254">
      <c r="A87" s="263" t="inlineStr">
        <is>
          <t>_V2G</t>
        </is>
      </c>
      <c r="B87" s="263" t="inlineStr">
        <is>
          <t>CTX-V2G-40-480-1</t>
        </is>
      </c>
      <c r="C87" s="263" t="inlineStr">
        <is>
          <t>40kW V2G Charger</t>
        </is>
      </c>
      <c r="D87" s="441" t="n">
        <v>35900</v>
      </c>
      <c r="E87" s="442" t="n"/>
      <c r="F87" s="443" t="n"/>
      <c r="I87" s="444" t="n">
        <v>1</v>
      </c>
      <c r="J87" s="445" t="inlineStr">
        <is>
          <t>manual — description does not state the count</t>
        </is>
      </c>
      <c r="AD87" s="451" t="inlineStr">
        <is>
          <t>CTX-V2G-30-480-1</t>
        </is>
      </c>
      <c r="AE87" s="452" t="inlineStr">
        <is>
          <t>all_in_one</t>
        </is>
      </c>
    </row>
    <row r="88" ht="15" customHeight="1" s="254">
      <c r="A88" s="263" t="inlineStr">
        <is>
          <t>_V2G</t>
        </is>
      </c>
      <c r="B88" s="263" t="inlineStr">
        <is>
          <t>CTX-V2G-60-480-1</t>
        </is>
      </c>
      <c r="C88" s="263" t="inlineStr">
        <is>
          <t>60kW V2G Charger</t>
        </is>
      </c>
      <c r="D88" s="441" t="n">
        <v>50000</v>
      </c>
      <c r="E88" s="442" t="n"/>
      <c r="F88" s="443" t="n"/>
      <c r="I88" s="444" t="n">
        <v>1</v>
      </c>
      <c r="J88" s="445" t="inlineStr">
        <is>
          <t>manual — description does not state the count</t>
        </is>
      </c>
      <c r="AD88" s="451" t="inlineStr">
        <is>
          <t>CTX-V2G-40-480-1</t>
        </is>
      </c>
      <c r="AE88" s="452" t="inlineStr">
        <is>
          <t>all_in_one</t>
        </is>
      </c>
    </row>
    <row r="89" ht="15" customHeight="1" s="254">
      <c r="A89" s="263" t="inlineStr">
        <is>
          <t>_L2_Accessories</t>
        </is>
      </c>
      <c r="B89" s="263" t="inlineStr">
        <is>
          <t>CTX-FLUXPED</t>
        </is>
      </c>
      <c r="C89" s="263" t="inlineStr">
        <is>
          <t>Single Post (no Retraction)</t>
        </is>
      </c>
      <c r="D89" s="441" t="n">
        <v>412.5</v>
      </c>
      <c r="E89" s="442" t="n"/>
      <c r="F89" s="443" t="n"/>
      <c r="I89" s="444" t="n">
        <v>0</v>
      </c>
      <c r="J89" s="445" t="inlineStr">
        <is>
          <t>accessory — not a charging position</t>
        </is>
      </c>
      <c r="AD89" s="451" t="inlineStr">
        <is>
          <t>CTX-V2G-60-480-1</t>
        </is>
      </c>
      <c r="AE89" s="452" t="inlineStr">
        <is>
          <t>all_in_one</t>
        </is>
      </c>
    </row>
    <row r="90" ht="15" customHeight="1" s="254">
      <c r="A90" s="263" t="inlineStr">
        <is>
          <t>_L2_Accessories</t>
        </is>
      </c>
      <c r="B90" s="263" t="inlineStr">
        <is>
          <t>CTX-FLUXWAL-CMS-1</t>
        </is>
      </c>
      <c r="C90" s="263" t="inlineStr">
        <is>
          <t>Single Retractor (Wall)</t>
        </is>
      </c>
      <c r="D90" s="441" t="n">
        <v>275</v>
      </c>
      <c r="E90" s="442" t="n"/>
      <c r="F90" s="443" t="n"/>
      <c r="I90" s="444" t="n">
        <v>0</v>
      </c>
      <c r="J90" s="445" t="inlineStr">
        <is>
          <t>accessory — not a charging position</t>
        </is>
      </c>
      <c r="AD90" s="451" t="inlineStr">
        <is>
          <t>CTX-FLUXPED</t>
        </is>
      </c>
      <c r="AE90" s="452" t="inlineStr">
        <is>
          <t>accessory</t>
        </is>
      </c>
    </row>
    <row r="91" ht="15" customHeight="1" s="254">
      <c r="A91" s="263" t="inlineStr">
        <is>
          <t>_L2_Accessories</t>
        </is>
      </c>
      <c r="B91" s="263" t="inlineStr">
        <is>
          <t>CTX-FLUXPED-CMS-1</t>
        </is>
      </c>
      <c r="C91" s="263" t="inlineStr">
        <is>
          <t>Single Retractor post</t>
        </is>
      </c>
      <c r="D91" s="441" t="n">
        <v>412.5</v>
      </c>
      <c r="E91" s="442" t="n"/>
      <c r="F91" s="443" t="n"/>
      <c r="I91" s="444" t="n">
        <v>0</v>
      </c>
      <c r="J91" s="445" t="inlineStr">
        <is>
          <t>accessory — not a charging position</t>
        </is>
      </c>
      <c r="AD91" s="451" t="inlineStr">
        <is>
          <t>CTX-FLUXWAL-CMS-1</t>
        </is>
      </c>
      <c r="AE91" s="452" t="inlineStr">
        <is>
          <t>accessory</t>
        </is>
      </c>
    </row>
    <row r="92" ht="15" customHeight="1" s="254">
      <c r="A92" s="263" t="inlineStr">
        <is>
          <t>_L2_Accessories</t>
        </is>
      </c>
      <c r="B92" s="263" t="inlineStr">
        <is>
          <t>CTX-FLUXPED-CMS-2</t>
        </is>
      </c>
      <c r="C92" s="263" t="inlineStr">
        <is>
          <t>Dual Retractor (Post)</t>
        </is>
      </c>
      <c r="D92" s="441" t="n">
        <v>632.5</v>
      </c>
      <c r="E92" s="442" t="n"/>
      <c r="F92" s="443" t="n"/>
      <c r="I92" s="444" t="n">
        <v>0</v>
      </c>
      <c r="J92" s="445" t="inlineStr">
        <is>
          <t>accessory — not a charging position</t>
        </is>
      </c>
      <c r="AD92" s="451" t="inlineStr">
        <is>
          <t>CTX-FLUXPED-CMS-1</t>
        </is>
      </c>
      <c r="AE92" s="452" t="inlineStr">
        <is>
          <t>accessory</t>
        </is>
      </c>
    </row>
    <row r="93" ht="15" customHeight="1" s="254">
      <c r="A93" s="263" t="inlineStr">
        <is>
          <t>_L2_Accessories</t>
        </is>
      </c>
      <c r="B93" s="263" t="inlineStr">
        <is>
          <t>CTX-FLUXPED-SBS</t>
        </is>
      </c>
      <c r="C93" s="263" t="inlineStr">
        <is>
          <t>Side By Side Bracket</t>
        </is>
      </c>
      <c r="D93" s="441" t="n">
        <v>137.5</v>
      </c>
      <c r="E93" s="442" t="n"/>
      <c r="F93" s="443" t="n"/>
      <c r="I93" s="444" t="n">
        <v>0</v>
      </c>
      <c r="J93" s="445" t="inlineStr">
        <is>
          <t>accessory — not a charging position</t>
        </is>
      </c>
      <c r="AD93" s="451" t="inlineStr">
        <is>
          <t>CTX-FLUXPED-CMS-2</t>
        </is>
      </c>
      <c r="AE93" s="452" t="inlineStr">
        <is>
          <t>accessory</t>
        </is>
      </c>
    </row>
    <row r="94" ht="15" customHeight="1" s="254">
      <c r="AD94" s="451" t="inlineStr">
        <is>
          <t>CTX-FLUXPED-SBS</t>
        </is>
      </c>
      <c r="AE94" s="452" t="inlineStr">
        <is>
          <t>accessory</t>
        </is>
      </c>
    </row>
    <row r="95" ht="15" customHeight="1" s="254">
      <c r="A95" s="262" t="inlineStr">
        <is>
          <t>SERVICE AND WARRANTY RATES PER CABINET PER YEAR</t>
        </is>
      </c>
    </row>
    <row r="96" ht="26.44" customHeight="1" s="254">
      <c r="A96" s="268" t="inlineStr">
        <is>
          <t>Class</t>
        </is>
      </c>
      <c r="B96" s="439" t="n"/>
      <c r="C96" s="268" t="inlineStr">
        <is>
          <t>Yearly warranty</t>
        </is>
      </c>
      <c r="D96" s="268" t="inlineStr">
        <is>
          <t>In-warranty service</t>
        </is>
      </c>
      <c r="E96" s="268" t="inlineStr">
        <is>
          <t>Warranty + service, year 3+</t>
        </is>
      </c>
      <c r="F96" s="268" t="inlineStr">
        <is>
          <t>Out-of-warranty service</t>
        </is>
      </c>
      <c r="G96" s="447" t="inlineStr">
        <is>
          <t>Included manufacturer warranty</t>
        </is>
      </c>
    </row>
    <row r="97" ht="15" customHeight="1" s="254">
      <c r="A97" s="263" t="inlineStr">
        <is>
          <t>AC Charger - 7.2 kW UP80J-PMP Single</t>
        </is>
      </c>
      <c r="C97" s="441" t="n">
        <v>416</v>
      </c>
      <c r="D97" s="441" t="n">
        <v>320.11</v>
      </c>
      <c r="E97" s="441" t="n">
        <v>736.11</v>
      </c>
      <c r="F97" s="455" t="inlineStr">
        <is>
          <t>NOT OFFERED</t>
        </is>
      </c>
      <c r="G97" s="324" t="inlineStr">
        <is>
          <t>1 year, parts only</t>
        </is>
      </c>
    </row>
    <row r="98" ht="15" customHeight="1" s="254">
      <c r="A98" s="263" t="inlineStr">
        <is>
          <t>AC Charger - 2 x 7.2 kW UP160J-PMP Dual</t>
        </is>
      </c>
      <c r="C98" s="441" t="n">
        <v>416</v>
      </c>
      <c r="D98" s="441" t="n">
        <v>320.11</v>
      </c>
      <c r="E98" s="441" t="n">
        <v>736.11</v>
      </c>
      <c r="F98" s="455" t="inlineStr">
        <is>
          <t>NOT OFFERED</t>
        </is>
      </c>
      <c r="G98" s="324" t="inlineStr">
        <is>
          <t>1 year, parts only</t>
        </is>
      </c>
    </row>
    <row r="99" ht="15" customHeight="1" s="254">
      <c r="A99" s="263" t="inlineStr">
        <is>
          <t>AC Charger - 7.2 kW UP80J-WMP Single</t>
        </is>
      </c>
      <c r="C99" s="441" t="n">
        <v>416</v>
      </c>
      <c r="D99" s="441" t="n">
        <v>320.11</v>
      </c>
      <c r="E99" s="441" t="n">
        <v>736.11</v>
      </c>
      <c r="F99" s="455" t="inlineStr">
        <is>
          <t>NOT OFFERED</t>
        </is>
      </c>
      <c r="G99" s="324" t="inlineStr">
        <is>
          <t>1 year, parts only</t>
        </is>
      </c>
    </row>
    <row r="100" ht="15" customHeight="1" s="254">
      <c r="A100" s="263" t="inlineStr">
        <is>
          <t>AC Charger - 2 x 7.2 kW UP160J-WMP Dual</t>
        </is>
      </c>
      <c r="C100" s="441" t="n">
        <v>416</v>
      </c>
      <c r="D100" s="441" t="n">
        <v>320.11</v>
      </c>
      <c r="E100" s="441" t="n">
        <v>736.11</v>
      </c>
      <c r="F100" s="455" t="inlineStr">
        <is>
          <t>NOT OFFERED</t>
        </is>
      </c>
      <c r="G100" s="324" t="inlineStr">
        <is>
          <t>1 year, parts only</t>
        </is>
      </c>
    </row>
    <row r="101" ht="15" customHeight="1" s="254">
      <c r="A101" s="263" t="inlineStr">
        <is>
          <t>DC-60kW CCS1 + NACS</t>
        </is>
      </c>
      <c r="C101" s="441" t="n">
        <v>962.84</v>
      </c>
      <c r="D101" s="441" t="n">
        <v>1476.36</v>
      </c>
      <c r="E101" s="441" t="n">
        <v>2439.2</v>
      </c>
      <c r="F101" s="455" t="inlineStr">
        <is>
          <t>NOT OFFERED</t>
        </is>
      </c>
      <c r="G101" s="324" t="inlineStr">
        <is>
          <t>2 years, parts only</t>
        </is>
      </c>
    </row>
    <row r="102" ht="15" customHeight="1" s="254">
      <c r="A102" s="263" t="inlineStr">
        <is>
          <t>DC-120kW CCS1 + NACS</t>
        </is>
      </c>
      <c r="C102" s="441" t="n">
        <v>1196.91</v>
      </c>
      <c r="D102" s="441" t="n">
        <v>1616.76</v>
      </c>
      <c r="E102" s="441" t="n">
        <v>2813.67</v>
      </c>
      <c r="F102" s="455" t="inlineStr">
        <is>
          <t>NOT OFFERED</t>
        </is>
      </c>
      <c r="G102" s="324" t="inlineStr">
        <is>
          <t>2 years, parts only</t>
        </is>
      </c>
    </row>
    <row r="103" ht="15" customHeight="1" s="254">
      <c r="A103" s="263" t="inlineStr">
        <is>
          <t>DC-160kW CCS1 + NACS</t>
        </is>
      </c>
      <c r="C103" s="441" t="n">
        <v>1428.57</v>
      </c>
      <c r="D103" s="441" t="n">
        <v>1879.2</v>
      </c>
      <c r="E103" s="441" t="n">
        <v>3307.77</v>
      </c>
      <c r="F103" s="455" t="inlineStr">
        <is>
          <t>NOT OFFERED</t>
        </is>
      </c>
      <c r="G103" s="324" t="inlineStr">
        <is>
          <t>2 years, parts only</t>
        </is>
      </c>
    </row>
    <row r="104" ht="15" customHeight="1" s="254">
      <c r="A104" s="263" t="inlineStr">
        <is>
          <t>DC-180KW</t>
        </is>
      </c>
      <c r="C104" s="441" t="n">
        <v>1856.844</v>
      </c>
      <c r="D104" s="441" t="n">
        <v>2708.64</v>
      </c>
      <c r="E104" s="441" t="n">
        <v>4565.484</v>
      </c>
      <c r="F104" s="455" t="inlineStr">
        <is>
          <t>NOT OFFERED</t>
        </is>
      </c>
      <c r="G104" s="324" t="inlineStr">
        <is>
          <t>2 years, parts only</t>
        </is>
      </c>
    </row>
    <row r="105" ht="15" customHeight="1" s="254">
      <c r="A105" s="263" t="inlineStr">
        <is>
          <t>DC-240KW</t>
        </is>
      </c>
      <c r="C105" s="441" t="n">
        <v>2708.64</v>
      </c>
      <c r="D105" s="441" t="n">
        <v>6478.754</v>
      </c>
      <c r="E105" s="441" t="n">
        <v>9187.394</v>
      </c>
      <c r="F105" s="455" t="inlineStr">
        <is>
          <t>NOT OFFERED</t>
        </is>
      </c>
      <c r="G105" s="324" t="inlineStr">
        <is>
          <t>2 years, parts only</t>
        </is>
      </c>
    </row>
    <row r="106" ht="15" customHeight="1" s="254">
      <c r="A106" s="263" t="inlineStr">
        <is>
          <t>DC-360kW CCS1 + CCS1</t>
        </is>
      </c>
      <c r="C106" s="441" t="n">
        <v>4051.08</v>
      </c>
      <c r="D106" s="441" t="n">
        <v>4898.88</v>
      </c>
      <c r="E106" s="441" t="n">
        <v>8949.959999999999</v>
      </c>
      <c r="F106" s="455" t="inlineStr">
        <is>
          <t>NOT OFFERED</t>
        </is>
      </c>
      <c r="G106" s="324" t="inlineStr">
        <is>
          <t>2 years, parts only</t>
        </is>
      </c>
    </row>
    <row r="107" ht="15" customHeight="1" s="254">
      <c r="A107" s="263" t="inlineStr">
        <is>
          <t>CTX-DSPB-360</t>
        </is>
      </c>
      <c r="B107" s="456" t="n"/>
      <c r="C107" s="441">
        <f>C106+(C106*25%)</f>
        <v/>
      </c>
      <c r="D107" s="441">
        <f>D106+(D106*25%)</f>
        <v/>
      </c>
      <c r="E107" s="441">
        <f>D107+C107</f>
        <v/>
      </c>
      <c r="F107" s="455" t="inlineStr">
        <is>
          <t>NOT OFFERED</t>
        </is>
      </c>
      <c r="G107" s="324" t="inlineStr">
        <is>
          <t>2 years, parts only</t>
        </is>
      </c>
    </row>
    <row r="108" ht="15" customHeight="1" s="254">
      <c r="A108" s="263" t="inlineStr">
        <is>
          <t>CTX-DSPB-480</t>
        </is>
      </c>
      <c r="B108" s="456" t="n"/>
      <c r="C108" s="441">
        <f>C107+(C107*30%)</f>
        <v/>
      </c>
      <c r="D108" s="441">
        <f>D107+(D107*25%)</f>
        <v/>
      </c>
      <c r="E108" s="441">
        <f>D108+C108</f>
        <v/>
      </c>
      <c r="F108" s="455" t="inlineStr">
        <is>
          <t>NOT OFFERED</t>
        </is>
      </c>
      <c r="G108" s="324" t="inlineStr">
        <is>
          <t>2 years, parts only</t>
        </is>
      </c>
    </row>
    <row r="109" ht="15" customHeight="1" s="254">
      <c r="A109" s="263" t="inlineStr">
        <is>
          <t>CTX-DSPB-1280</t>
        </is>
      </c>
      <c r="B109" s="456" t="n"/>
      <c r="C109" s="441">
        <f>C108+(C108*50%)</f>
        <v/>
      </c>
      <c r="D109" s="441">
        <f>D108+(D108*25%)</f>
        <v/>
      </c>
      <c r="E109" s="441">
        <f>D109+C109</f>
        <v/>
      </c>
      <c r="F109" s="455" t="inlineStr">
        <is>
          <t>NOT OFFERED</t>
        </is>
      </c>
      <c r="G109" s="324" t="inlineStr">
        <is>
          <t>2 years, parts only</t>
        </is>
      </c>
    </row>
    <row r="110" ht="14.25" customHeight="1" s="254">
      <c r="A110" s="263" t="inlineStr">
        <is>
          <t>CTX-DST-2-300/CTX-DST-HPC-2-500/300</t>
        </is>
      </c>
      <c r="C110" s="441" t="n">
        <v>962.84</v>
      </c>
      <c r="D110" s="441" t="n">
        <v>1476.36</v>
      </c>
      <c r="E110" s="441">
        <f>D110+C110</f>
        <v/>
      </c>
    </row>
    <row r="111" ht="27.76" customHeight="1" s="254">
      <c r="A111" s="457"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row>
    <row r="112" ht="19.5" customHeight="1" s="254">
      <c r="A112" s="285" t="inlineStr">
        <is>
          <t>The year-3+ rate is the yearly warranty plus the in-warranty service rate. Extending the warranty does not change what service costs; it adds back the warranty the manufacturer previously gave.</t>
        </is>
      </c>
    </row>
    <row r="114" ht="14.25" customHeight="1" s="254">
      <c r="E114" s="458" t="n"/>
    </row>
    <row r="115" ht="33.04000000000001" customHeight="1" s="254">
      <c r="A115" s="335" t="inlineStr">
        <is>
          <t>EQUIPMENT ARCHITECTURE — what each SKU is, not just what it costs</t>
        </is>
      </c>
    </row>
    <row r="116" ht="19.5" customHeight="1" s="254">
      <c r="A116" s="285" t="inlineStr">
        <is>
          <t>A power cabinet takes AC and produces DC and has no connectors. A dispenser has the connectors and no power of its own. An all-in-one is both in one enclosure. The role decides whether a row adds load, ports, both or neither — see 2_Equipment.</t>
        </is>
      </c>
    </row>
    <row r="117" ht="26.44" customHeight="1" s="254">
      <c r="A117" s="351" t="inlineStr">
        <is>
          <t>SKU</t>
        </is>
      </c>
      <c r="B117" s="352" t="inlineStr">
        <is>
          <t>Role</t>
        </is>
      </c>
      <c r="C117" s="351" t="inlineStr">
        <is>
          <t>DC output kW</t>
        </is>
      </c>
      <c r="D117" s="352" t="inlineStr">
        <is>
          <t>AC input kW</t>
        </is>
      </c>
      <c r="E117" s="352" t="inlineStr">
        <is>
          <t>AC input circuits</t>
        </is>
      </c>
      <c r="F117" s="352" t="inlineStr">
        <is>
          <t>AC FLA total</t>
        </is>
      </c>
      <c r="G117" s="352" t="inlineStr">
        <is>
          <t>DC outputs / connectors</t>
        </is>
      </c>
      <c r="H117" s="352" t="inlineStr">
        <is>
          <t>Max dual dispensers</t>
        </is>
      </c>
      <c r="I117" s="351" t="inlineStr">
        <is>
          <t>Source and confidence</t>
        </is>
      </c>
    </row>
    <row r="118" ht="19.5" customHeight="1" s="254">
      <c r="A118" s="459" t="inlineStr">
        <is>
          <t>CTX-DSPB-360</t>
        </is>
      </c>
      <c r="B118" s="460" t="inlineStr">
        <is>
          <t>Power cabinet — no connectors</t>
        </is>
      </c>
      <c r="C118" s="461" t="n">
        <v>360</v>
      </c>
      <c r="D118" s="461" t="n">
        <v>393</v>
      </c>
      <c r="E118" s="461" t="n">
        <v>2</v>
      </c>
      <c r="F118" s="461" t="n">
        <v>472.7</v>
      </c>
      <c r="G118" s="461" t="n">
        <v>6</v>
      </c>
      <c r="H118" s="461" t="n">
        <v>3</v>
      </c>
      <c r="I118" s="462" t="inlineStr">
        <is>
          <t>DERIVED — AC input, circuit count and the 3-dispenser limit extrapolated from the published 480 kW cabinet. Confirm all three with Chargetronix before sizing service.</t>
        </is>
      </c>
      <c r="J118" s="299" t="n"/>
      <c r="K118" s="299" t="n"/>
      <c r="L118" s="299" t="n"/>
      <c r="M118" s="299" t="n"/>
      <c r="N118" s="299" t="n"/>
      <c r="O118" s="299" t="n"/>
      <c r="P118" s="299" t="n"/>
      <c r="Q118" s="299" t="n"/>
    </row>
    <row r="119" ht="25.12" customHeight="1" s="254">
      <c r="A119" s="459" t="inlineStr">
        <is>
          <t>CTX-DSPB-480</t>
        </is>
      </c>
      <c r="B119" s="460" t="inlineStr">
        <is>
          <t>Power cabinet — no connectors</t>
        </is>
      </c>
      <c r="C119" s="461" t="n">
        <v>480</v>
      </c>
      <c r="D119" s="461" t="n">
        <v>524</v>
      </c>
      <c r="E119" s="461" t="n">
        <v>2</v>
      </c>
      <c r="F119" s="461" t="n">
        <v>630.3</v>
      </c>
      <c r="G119" s="461" t="n">
        <v>6</v>
      </c>
      <c r="H119" s="461" t="n">
        <v>3</v>
      </c>
      <c r="I119" s="463" t="inlineStr">
        <is>
          <t>PUBLISHED — 480 VAC +/-10%, 3P+PE, 2 input circuits at 315 A each, input power 524 kW, output 480 kW, 200-1000 VDC, 500 A per channel, 1,600 A system, up to 6 DC outputs, dynamic power sharing in 40 kW increments. Takes UP TO 3 DUAL DISPENSERS (6 connectors).</t>
        </is>
      </c>
      <c r="J119" s="299" t="n"/>
      <c r="K119" s="299" t="n"/>
      <c r="L119" s="299" t="n"/>
      <c r="M119" s="299" t="n"/>
      <c r="N119" s="299" t="n"/>
      <c r="O119" s="299" t="n"/>
      <c r="P119" s="299" t="n"/>
      <c r="Q119" s="299" t="n"/>
    </row>
    <row r="120" ht="19.5" customHeight="1" s="254">
      <c r="A120" s="459" t="inlineStr">
        <is>
          <t>CTX-DSPB-1280</t>
        </is>
      </c>
      <c r="B120" s="460" t="inlineStr">
        <is>
          <t>Power cabinet — no connectors</t>
        </is>
      </c>
      <c r="C120" s="461" t="n">
        <v>1280</v>
      </c>
      <c r="D120" s="461" t="n">
        <v>1397.3</v>
      </c>
      <c r="E120" s="461" t="n">
        <v>6</v>
      </c>
      <c r="F120" s="461" t="n">
        <v>1680.7</v>
      </c>
      <c r="G120" s="461" t="n">
        <v>16</v>
      </c>
      <c r="H120" s="461" t="n">
        <v>8</v>
      </c>
      <c r="I120" s="462" t="inlineStr">
        <is>
          <t>PART PUBLISHED — 1,280 kW output, 480 VAC, 200-1000 VDC, 500 A per output, 4,267 A total, 16 connectors max — so UP TO 8 DUAL DISPENSERS. AC input power and circuit count are DERIVED; confirm with Chargetronix before sizing service.</t>
        </is>
      </c>
      <c r="J120" s="299" t="n"/>
      <c r="K120" s="299" t="n"/>
      <c r="L120" s="299" t="n"/>
      <c r="M120" s="299" t="n"/>
      <c r="N120" s="299" t="n"/>
      <c r="O120" s="299" t="n"/>
      <c r="P120" s="299" t="n"/>
      <c r="Q120" s="299" t="n"/>
    </row>
    <row r="121" ht="19.5" customHeight="1" s="254">
      <c r="A121" s="459" t="inlineStr">
        <is>
          <t>CTX-DST-2-300</t>
        </is>
      </c>
      <c r="B121" s="460" t="inlineStr">
        <is>
          <t>Dispenser — connectors only</t>
        </is>
      </c>
      <c r="C121" s="461" t="n">
        <v>0</v>
      </c>
      <c r="D121" s="461" t="n">
        <v>0</v>
      </c>
      <c r="E121" s="461" t="n">
        <v>0</v>
      </c>
      <c r="F121" s="461" t="n">
        <v>0</v>
      </c>
      <c r="G121" s="461" t="n">
        <v>2</v>
      </c>
      <c r="H121" s="461" t="n">
        <v>0</v>
      </c>
      <c r="I121" s="463" t="inlineStr">
        <is>
          <t>PUBLISHED — 2 connectors CCS1/NACS, 200-1000 V, up to 2 input circuits per dispenser, load sharing across 2 EVs, 5 m cable, 15 in touchscreen, 241 kg.</t>
        </is>
      </c>
      <c r="J121" s="299" t="n"/>
      <c r="K121" s="299" t="n"/>
      <c r="L121" s="299" t="n"/>
      <c r="M121" s="299" t="n"/>
      <c r="N121" s="299" t="n"/>
      <c r="O121" s="299" t="n"/>
      <c r="P121" s="299" t="n"/>
      <c r="Q121" s="299" t="n"/>
    </row>
    <row r="122" ht="19.5" customHeight="1" s="254">
      <c r="A122" s="459" t="inlineStr">
        <is>
          <t>CTX-DST-HPC-2-500/300</t>
        </is>
      </c>
      <c r="B122" s="460" t="inlineStr">
        <is>
          <t>Dispenser — connectors only</t>
        </is>
      </c>
      <c r="C122" s="461" t="n">
        <v>0</v>
      </c>
      <c r="D122" s="461" t="n">
        <v>0</v>
      </c>
      <c r="E122" s="461" t="n">
        <v>0</v>
      </c>
      <c r="F122" s="461" t="n">
        <v>0</v>
      </c>
      <c r="G122" s="461" t="n">
        <v>2</v>
      </c>
      <c r="H122" s="461" t="n">
        <v>0</v>
      </c>
      <c r="I122" s="464" t="inlineStr">
        <is>
          <t>PUBLISHED — liquid-cooled connector rated 500 A, air-cooled 200/350 A boost to 400 A.</t>
        </is>
      </c>
      <c r="J122" s="299" t="n"/>
    </row>
    <row r="124" ht="19.5" customHeight="1" s="254">
      <c r="A124" s="465" t="inlineStr">
        <is>
          <t>MISSING FROM THE PRICE BOOK — Nexus Fleet Dispenser</t>
        </is>
      </c>
      <c r="C124" s="338" t="inlineStr">
        <is>
          <t>single connector, CCS1/NACS air cooled 200/350 A, 50 kg, 5 m or 7 m cable, no user interface — in the published range but absent from the price book, so it cannot be quoted.</t>
        </is>
      </c>
    </row>
  </sheetData>
  <sheetProtection selectLockedCells="0" selectUnlockedCells="0" sheet="1" objects="0" insertRows="1" insertHyperlinks="1" autoFilter="1" scenarios="0" formatColumns="0" deleteColumns="1" insertColumns="1" pivotTables="1" deleteRows="1" formatCells="0" formatRows="0" sort="1"/>
  <mergeCells count="11">
    <mergeCell ref="A111:G111"/>
    <mergeCell ref="C124:I124"/>
    <mergeCell ref="A1:F1"/>
    <mergeCell ref="I118:Q118"/>
    <mergeCell ref="I119:Q119"/>
    <mergeCell ref="I120:Q120"/>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7.xml><?xml version="1.0" encoding="utf-8"?>
<worksheet xmlns="http://schemas.openxmlformats.org/spreadsheetml/2006/main">
  <sheetPr filterMode="0">
    <tabColor rgb="007A7A7A"/>
    <outlinePr summaryBelow="1" summaryRight="1"/>
    <pageSetUpPr fitToPage="1"/>
  </sheetPr>
  <dimension ref="A1:G22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8" customWidth="1" style="253" min="2" max="2"/>
    <col width="24" customWidth="1" style="253" min="3" max="3"/>
    <col width="60" customWidth="1" style="253" min="4" max="4"/>
    <col width="14" customWidth="1" style="253" min="5" max="5"/>
    <col width="12" customWidth="1" style="253" min="6" max="6"/>
    <col width="9" customWidth="1" style="253" min="7" max="7"/>
  </cols>
  <sheetData>
    <row r="1" ht="25.5" customHeight="1" s="254">
      <c r="A1" s="255" t="inlineStr">
        <is>
          <t>REFERENCE DATA</t>
        </is>
      </c>
    </row>
    <row r="2" ht="31.5" customHeight="1" s="254">
      <c r="A2" s="265" t="inlineStr">
        <is>
          <t>Lookup tables used by the electrical checks and the costing engine.</t>
        </is>
      </c>
    </row>
    <row r="3" ht="15" customHeight="1" s="254">
      <c r="A3" s="466" t="inlineStr">
        <is>
          <t>Amps required</t>
        </is>
      </c>
      <c r="B3" s="466" t="inlineStr">
        <is>
          <t>Standard frame</t>
        </is>
      </c>
      <c r="D3" s="466" t="inlineStr">
        <is>
          <t>Charger kW</t>
        </is>
      </c>
      <c r="E3" s="466" t="inlineStr">
        <is>
          <t>Design amps</t>
        </is>
      </c>
      <c r="F3" s="466" t="inlineStr">
        <is>
          <t>Breaker A</t>
        </is>
      </c>
    </row>
    <row r="4" ht="15" customHeight="1" s="254">
      <c r="A4" s="454" t="n">
        <v>0</v>
      </c>
      <c r="B4" s="454" t="n">
        <v>400</v>
      </c>
      <c r="D4" s="454" t="n">
        <v>30</v>
      </c>
      <c r="E4" s="454" t="n">
        <v>40</v>
      </c>
      <c r="F4" s="454" t="n">
        <v>50</v>
      </c>
    </row>
    <row r="5" ht="15" customHeight="1" s="254">
      <c r="A5" s="454" t="n">
        <v>400</v>
      </c>
      <c r="B5" s="454" t="n">
        <v>600</v>
      </c>
      <c r="D5" s="454" t="n">
        <v>50</v>
      </c>
      <c r="E5" s="454" t="n">
        <v>72</v>
      </c>
      <c r="F5" s="454" t="n">
        <v>100</v>
      </c>
    </row>
    <row r="6" ht="15" customHeight="1" s="254">
      <c r="A6" s="454" t="n">
        <v>600</v>
      </c>
      <c r="B6" s="454" t="n">
        <v>800</v>
      </c>
      <c r="D6" s="454" t="n">
        <v>60</v>
      </c>
      <c r="E6" s="454" t="n">
        <v>80</v>
      </c>
      <c r="F6" s="454" t="n">
        <v>100</v>
      </c>
    </row>
    <row r="7" ht="15" customHeight="1" s="254">
      <c r="A7" s="454" t="n">
        <v>800</v>
      </c>
      <c r="B7" s="454" t="n">
        <v>1000</v>
      </c>
      <c r="D7" s="454" t="n">
        <v>100</v>
      </c>
      <c r="E7" s="454" t="n">
        <v>130</v>
      </c>
      <c r="F7" s="454" t="n">
        <v>200</v>
      </c>
    </row>
    <row r="8" ht="15" customHeight="1" s="254">
      <c r="A8" s="454" t="n">
        <v>1000</v>
      </c>
      <c r="B8" s="454" t="n">
        <v>1200</v>
      </c>
      <c r="D8" s="454" t="n">
        <v>120</v>
      </c>
      <c r="E8" s="454" t="n">
        <v>160</v>
      </c>
      <c r="F8" s="454" t="n">
        <v>200</v>
      </c>
    </row>
    <row r="9" ht="15" customHeight="1" s="254">
      <c r="A9" s="454" t="n">
        <v>1200</v>
      </c>
      <c r="B9" s="454" t="n">
        <v>1600</v>
      </c>
      <c r="D9" s="454" t="n">
        <v>160</v>
      </c>
      <c r="E9" s="454" t="n">
        <v>215</v>
      </c>
      <c r="F9" s="454" t="n">
        <v>300</v>
      </c>
    </row>
    <row r="10" ht="15" customHeight="1" s="254">
      <c r="A10" s="454" t="n">
        <v>1600</v>
      </c>
      <c r="B10" s="454" t="n">
        <v>2000</v>
      </c>
      <c r="D10" s="454" t="n">
        <v>180</v>
      </c>
      <c r="E10" s="454" t="n">
        <v>240</v>
      </c>
      <c r="F10" s="454" t="n">
        <v>300</v>
      </c>
    </row>
    <row r="11" ht="15" customHeight="1" s="254">
      <c r="A11" s="454" t="n">
        <v>2000</v>
      </c>
      <c r="B11" s="454" t="n">
        <v>2500</v>
      </c>
      <c r="D11" s="454" t="n">
        <v>200</v>
      </c>
      <c r="E11" s="454" t="n">
        <v>265</v>
      </c>
      <c r="F11" s="454" t="n">
        <v>335</v>
      </c>
    </row>
    <row r="12" ht="15" customHeight="1" s="254">
      <c r="A12" s="454" t="n">
        <v>2500</v>
      </c>
      <c r="B12" s="454" t="n">
        <v>3200</v>
      </c>
      <c r="D12" s="454" t="n">
        <v>240</v>
      </c>
      <c r="E12" s="454" t="n">
        <v>320</v>
      </c>
      <c r="F12" s="454" t="n">
        <v>400</v>
      </c>
    </row>
    <row r="13" ht="15" customHeight="1" s="254">
      <c r="A13" s="454" t="n">
        <v>3200</v>
      </c>
      <c r="B13" s="454" t="n">
        <v>4000</v>
      </c>
      <c r="D13" s="454" t="n">
        <v>275</v>
      </c>
      <c r="E13" s="454" t="n">
        <v>385</v>
      </c>
      <c r="F13" s="454" t="n">
        <v>500</v>
      </c>
    </row>
    <row r="14" ht="15" customHeight="1" s="254">
      <c r="A14" s="454" t="n">
        <v>4000</v>
      </c>
      <c r="B14" s="454" t="n">
        <v>5000</v>
      </c>
      <c r="D14" s="454" t="n">
        <v>300</v>
      </c>
      <c r="E14" s="454" t="n">
        <v>400</v>
      </c>
      <c r="F14" s="454" t="n">
        <v>500</v>
      </c>
    </row>
    <row r="15" ht="15" customHeight="1" s="254">
      <c r="A15" s="454" t="n">
        <v>5000</v>
      </c>
      <c r="B15" s="454" t="n">
        <v>6000</v>
      </c>
      <c r="D15" s="454" t="n">
        <v>360</v>
      </c>
      <c r="E15" s="454" t="n">
        <v>480</v>
      </c>
      <c r="F15" s="454" t="n">
        <v>600</v>
      </c>
    </row>
    <row r="16" ht="15" customHeight="1" s="254">
      <c r="A16" s="454" t="n">
        <v>6000</v>
      </c>
      <c r="B16" s="454" t="n">
        <v>10000</v>
      </c>
    </row>
    <row r="17" s="254"/>
    <row r="18" ht="15" customHeight="1" s="254">
      <c r="A18" s="262" t="inlineStr">
        <is>
          <t>480V SWITCHGEAR AND BREAKER PRICES</t>
        </is>
      </c>
    </row>
    <row r="19" ht="15" customHeight="1" s="254">
      <c r="A19" s="268" t="inlineStr">
        <is>
          <t>Item</t>
        </is>
      </c>
      <c r="B19" s="268" t="inlineStr">
        <is>
          <t>Size</t>
        </is>
      </c>
      <c r="C19" s="268" t="inlineStr">
        <is>
          <t>Cost</t>
        </is>
      </c>
    </row>
    <row r="20" ht="15" customHeight="1" s="254">
      <c r="A20" s="263" t="inlineStr">
        <is>
          <t>Main</t>
        </is>
      </c>
      <c r="B20" s="263" t="inlineStr">
        <is>
          <t>400A</t>
        </is>
      </c>
      <c r="C20" s="441" t="n">
        <v>20426.82</v>
      </c>
    </row>
    <row r="21" ht="15" customHeight="1" s="254">
      <c r="A21" s="263" t="inlineStr">
        <is>
          <t>Main</t>
        </is>
      </c>
      <c r="B21" s="263" t="inlineStr">
        <is>
          <t>800A</t>
        </is>
      </c>
      <c r="C21" s="441" t="n">
        <v>31187</v>
      </c>
    </row>
    <row r="22" ht="15" customHeight="1" s="254">
      <c r="A22" s="263" t="inlineStr">
        <is>
          <t>Main</t>
        </is>
      </c>
      <c r="B22" s="263" t="inlineStr">
        <is>
          <t>1000A</t>
        </is>
      </c>
      <c r="C22" s="441" t="n">
        <v>36812.5</v>
      </c>
    </row>
    <row r="23" ht="15" customHeight="1" s="254">
      <c r="A23" s="263" t="inlineStr">
        <is>
          <t>Main</t>
        </is>
      </c>
      <c r="B23" s="263" t="inlineStr">
        <is>
          <t>1200A</t>
        </is>
      </c>
      <c r="C23" s="441" t="n">
        <v>43292.68</v>
      </c>
    </row>
    <row r="24" ht="15" customHeight="1" s="254">
      <c r="A24" s="263" t="inlineStr">
        <is>
          <t>Main</t>
        </is>
      </c>
      <c r="B24" s="263" t="inlineStr">
        <is>
          <t>1600A</t>
        </is>
      </c>
      <c r="C24" s="441" t="n">
        <v>56750</v>
      </c>
    </row>
    <row r="25" ht="15" customHeight="1" s="254">
      <c r="A25" s="263" t="inlineStr">
        <is>
          <t>Main</t>
        </is>
      </c>
      <c r="B25" s="263" t="inlineStr">
        <is>
          <t>2000A</t>
        </is>
      </c>
      <c r="C25" s="441" t="n">
        <v>60000</v>
      </c>
    </row>
    <row r="26" ht="15" customHeight="1" s="254">
      <c r="A26" s="263" t="inlineStr">
        <is>
          <t>Main</t>
        </is>
      </c>
      <c r="B26" s="263" t="inlineStr">
        <is>
          <t>2500A</t>
        </is>
      </c>
      <c r="C26" s="441" t="n">
        <v>58540</v>
      </c>
    </row>
    <row r="27" ht="15" customHeight="1" s="254">
      <c r="A27" s="263" t="inlineStr">
        <is>
          <t>Main</t>
        </is>
      </c>
      <c r="B27" s="263" t="inlineStr">
        <is>
          <t>3000A</t>
        </is>
      </c>
      <c r="C27" s="441" t="n">
        <v>65000</v>
      </c>
    </row>
    <row r="28" ht="15" customHeight="1" s="254">
      <c r="A28" s="263" t="inlineStr">
        <is>
          <t>Main</t>
        </is>
      </c>
      <c r="B28" s="263" t="inlineStr">
        <is>
          <t>4000A</t>
        </is>
      </c>
      <c r="C28" s="441" t="n">
        <v>67500</v>
      </c>
    </row>
    <row r="29" ht="15" customHeight="1" s="254">
      <c r="A29" s="263" t="inlineStr">
        <is>
          <t>Main</t>
        </is>
      </c>
      <c r="B29" s="263" t="inlineStr">
        <is>
          <t>5000A</t>
        </is>
      </c>
      <c r="C29" s="441" t="n">
        <v>70000</v>
      </c>
    </row>
    <row r="30" ht="15" customHeight="1" s="254">
      <c r="A30" s="263" t="inlineStr">
        <is>
          <t>main breakers</t>
        </is>
      </c>
      <c r="B30" s="263" t="inlineStr">
        <is>
          <t>110A</t>
        </is>
      </c>
      <c r="C30" s="441" t="n">
        <v>650</v>
      </c>
    </row>
    <row r="31" ht="15" customHeight="1" s="254">
      <c r="A31" s="263" t="inlineStr">
        <is>
          <t>main breakers</t>
        </is>
      </c>
      <c r="B31" s="263" t="inlineStr">
        <is>
          <t>125A</t>
        </is>
      </c>
      <c r="C31" s="441" t="n">
        <v>700</v>
      </c>
    </row>
    <row r="32" ht="15" customHeight="1" s="254">
      <c r="A32" s="263" t="inlineStr">
        <is>
          <t>main breakers</t>
        </is>
      </c>
      <c r="B32" s="263" t="inlineStr">
        <is>
          <t>250A</t>
        </is>
      </c>
      <c r="C32" s="441" t="n">
        <v>1100</v>
      </c>
    </row>
    <row r="33" ht="15" customHeight="1" s="254">
      <c r="A33" s="263" t="inlineStr">
        <is>
          <t>main breakers</t>
        </is>
      </c>
      <c r="B33" s="263" t="inlineStr">
        <is>
          <t>3000A</t>
        </is>
      </c>
      <c r="C33" s="441" t="n">
        <v>32500</v>
      </c>
    </row>
    <row r="34" ht="15" customHeight="1" s="254">
      <c r="A34" s="263" t="inlineStr">
        <is>
          <t>breakers</t>
        </is>
      </c>
      <c r="B34" s="263" t="inlineStr">
        <is>
          <t>100A</t>
        </is>
      </c>
      <c r="C34" s="441" t="n">
        <v>580</v>
      </c>
    </row>
    <row r="35" ht="15" customHeight="1" s="254">
      <c r="A35" s="263" t="inlineStr">
        <is>
          <t>breakers</t>
        </is>
      </c>
      <c r="B35" s="263" t="inlineStr">
        <is>
          <t>200A</t>
        </is>
      </c>
      <c r="C35" s="441" t="n">
        <v>900</v>
      </c>
    </row>
    <row r="36" ht="15" customHeight="1" s="254">
      <c r="A36" s="263" t="inlineStr">
        <is>
          <t>breakers</t>
        </is>
      </c>
      <c r="B36" s="263" t="inlineStr">
        <is>
          <t>300A</t>
        </is>
      </c>
      <c r="C36" s="441" t="n">
        <v>1450</v>
      </c>
    </row>
    <row r="37" ht="15" customHeight="1" s="254">
      <c r="A37" s="263" t="inlineStr">
        <is>
          <t>breakers</t>
        </is>
      </c>
      <c r="B37" s="263" t="inlineStr">
        <is>
          <t>500A</t>
        </is>
      </c>
      <c r="C37" s="441" t="n">
        <v>3100</v>
      </c>
    </row>
    <row r="38" ht="15" customHeight="1" s="254">
      <c r="A38" s="263" t="inlineStr">
        <is>
          <t>breakers</t>
        </is>
      </c>
      <c r="B38" s="263" t="inlineStr">
        <is>
          <t>600A</t>
        </is>
      </c>
      <c r="C38" s="441" t="n">
        <v>3700</v>
      </c>
    </row>
    <row r="39" ht="14.25" customHeight="1" s="254">
      <c r="A39" s="263" t="inlineStr">
        <is>
          <t>disconnects</t>
        </is>
      </c>
      <c r="B39" s="263" t="inlineStr">
        <is>
          <t>500A</t>
        </is>
      </c>
      <c r="C39" s="441" t="n">
        <v>4000</v>
      </c>
    </row>
    <row r="40" ht="15" customHeight="1" s="254">
      <c r="A40" s="262" t="inlineStr">
        <is>
          <t>CONDUCTOR AND CONDUIT — $ PER FOOT</t>
        </is>
      </c>
    </row>
    <row r="41" ht="15" customHeight="1" s="254">
      <c r="A41" s="268" t="inlineStr">
        <is>
          <t>Wire size</t>
        </is>
      </c>
      <c r="B41" s="268" t="inlineStr">
        <is>
          <t>Copper $/ft</t>
        </is>
      </c>
      <c r="C41" s="268" t="inlineStr">
        <is>
          <t>Aluminium $/ft</t>
        </is>
      </c>
      <c r="D41" s="268" t="inlineStr">
        <is>
          <t>Conduit size</t>
        </is>
      </c>
      <c r="E41" s="268" t="inlineStr">
        <is>
          <t>PVC $/ft</t>
        </is>
      </c>
    </row>
    <row r="42" ht="15" customHeight="1" s="254">
      <c r="A42" s="263" t="inlineStr">
        <is>
          <t>10 AWG</t>
        </is>
      </c>
      <c r="B42" s="467" t="n">
        <v>0.30329</v>
      </c>
      <c r="C42" s="467" t="n">
        <v>0.28</v>
      </c>
      <c r="D42" s="263" t="inlineStr">
        <is>
          <t>(1/2")</t>
        </is>
      </c>
      <c r="E42" s="467" t="n">
        <v>0.2445</v>
      </c>
    </row>
    <row r="43" ht="15" customHeight="1" s="254">
      <c r="A43" s="263" t="inlineStr">
        <is>
          <t>8 AWG</t>
        </is>
      </c>
      <c r="B43" s="467" t="n">
        <v>0.56613</v>
      </c>
      <c r="D43" s="263" t="inlineStr">
        <is>
          <t>(3/4")</t>
        </is>
      </c>
      <c r="E43" s="467" t="n">
        <v>0.2912</v>
      </c>
    </row>
    <row r="44" ht="15" customHeight="1" s="254">
      <c r="A44" s="263" t="inlineStr">
        <is>
          <t>6 AWG</t>
        </is>
      </c>
      <c r="B44" s="467" t="n">
        <v>0.87104</v>
      </c>
      <c r="C44" s="467" t="n">
        <v>0.30636</v>
      </c>
      <c r="D44" s="263" t="inlineStr">
        <is>
          <t>(1")</t>
        </is>
      </c>
      <c r="E44" s="467" t="n">
        <v>0.4698</v>
      </c>
    </row>
    <row r="45" ht="15" customHeight="1" s="254">
      <c r="A45" s="263" t="inlineStr">
        <is>
          <t>4 AWG</t>
        </is>
      </c>
      <c r="B45" s="467" t="n">
        <v>1.33293</v>
      </c>
      <c r="C45" s="467" t="n">
        <v>0.37998</v>
      </c>
      <c r="D45" s="263" t="inlineStr">
        <is>
          <t>(1 1/4")</t>
        </is>
      </c>
      <c r="E45" s="467" t="n">
        <v>0.6155</v>
      </c>
    </row>
    <row r="46" ht="15" customHeight="1" s="254">
      <c r="A46" s="263" t="inlineStr">
        <is>
          <t>2 AWG</t>
        </is>
      </c>
      <c r="B46" s="467" t="n">
        <v>2.1044</v>
      </c>
      <c r="C46" s="467" t="n">
        <v>0.36681</v>
      </c>
      <c r="D46" s="263" t="inlineStr">
        <is>
          <t>(1 1/2")</t>
        </is>
      </c>
      <c r="E46" s="467" t="n">
        <v>0.7129</v>
      </c>
    </row>
    <row r="47" ht="15" customHeight="1" s="254">
      <c r="A47" s="263" t="inlineStr">
        <is>
          <t>1 AWG</t>
        </is>
      </c>
      <c r="B47" s="467" t="n">
        <v>2.39833</v>
      </c>
      <c r="C47" s="467" t="n">
        <v>0.4821</v>
      </c>
      <c r="D47" s="263" t="inlineStr">
        <is>
          <t>(2")</t>
        </is>
      </c>
      <c r="E47" s="467" t="n">
        <v>0.8897</v>
      </c>
    </row>
    <row r="48" ht="15" customHeight="1" s="254">
      <c r="A48" s="263" t="inlineStr">
        <is>
          <t>1 /0</t>
        </is>
      </c>
      <c r="B48" s="467" t="n">
        <v>2.95304</v>
      </c>
      <c r="C48" s="467" t="n">
        <v>0.66733</v>
      </c>
      <c r="D48" s="263" t="inlineStr">
        <is>
          <t>(2 1/2")</t>
        </is>
      </c>
      <c r="E48" s="467" t="n">
        <v>1.396</v>
      </c>
    </row>
    <row r="49" ht="15" customHeight="1" s="254">
      <c r="A49" s="263" t="inlineStr">
        <is>
          <t>2 /0</t>
        </is>
      </c>
      <c r="B49" s="467" t="n">
        <v>3.63758</v>
      </c>
      <c r="C49" s="467" t="n">
        <v>0.75045</v>
      </c>
      <c r="D49" s="263" t="inlineStr">
        <is>
          <t xml:space="preserve">(3") </t>
        </is>
      </c>
      <c r="E49" s="467" t="n">
        <v>1.7033</v>
      </c>
    </row>
    <row r="50" ht="15" customHeight="1" s="254">
      <c r="A50" s="263" t="inlineStr">
        <is>
          <t>3 /0</t>
        </is>
      </c>
      <c r="B50" s="467" t="n">
        <v>4.5658</v>
      </c>
      <c r="C50" s="467" t="n">
        <v>0.88701</v>
      </c>
      <c r="D50" s="263" t="inlineStr">
        <is>
          <t>(3  1/2")</t>
        </is>
      </c>
      <c r="E50" s="467" t="n">
        <v>2.25</v>
      </c>
    </row>
    <row r="51" ht="15" customHeight="1" s="254">
      <c r="A51" s="263" t="inlineStr">
        <is>
          <t>4 /0</t>
        </is>
      </c>
      <c r="B51" s="467" t="n">
        <v>5.73045</v>
      </c>
      <c r="C51" s="467" t="n">
        <v>1.09956</v>
      </c>
      <c r="D51" s="263" t="inlineStr">
        <is>
          <t>(4")</t>
        </is>
      </c>
      <c r="E51" s="467" t="n">
        <v>2.3164</v>
      </c>
    </row>
    <row r="52" ht="15" customHeight="1" s="254">
      <c r="A52" s="263" t="inlineStr">
        <is>
          <t>250 KCMIL</t>
        </is>
      </c>
      <c r="B52" s="467" t="n">
        <v>6.64016</v>
      </c>
      <c r="C52" s="467" t="n">
        <v>1.2278</v>
      </c>
      <c r="D52" s="263" t="inlineStr">
        <is>
          <t>(5")</t>
        </is>
      </c>
      <c r="E52" s="467" t="n">
        <v>3.3106</v>
      </c>
    </row>
    <row r="53" ht="15" customHeight="1" s="254">
      <c r="A53" s="263" t="inlineStr">
        <is>
          <t>300 KCMIL</t>
        </is>
      </c>
      <c r="B53" s="467" t="n">
        <v>7.9632</v>
      </c>
      <c r="C53" s="467" t="n">
        <v>1.49616</v>
      </c>
    </row>
    <row r="54" ht="15" customHeight="1" s="254">
      <c r="A54" s="263" t="inlineStr">
        <is>
          <t>350 KCMIL</t>
        </is>
      </c>
      <c r="B54" s="467" t="n">
        <v>9.324159999999999</v>
      </c>
      <c r="C54" s="467" t="n">
        <v>2.06137</v>
      </c>
    </row>
    <row r="55" ht="15" customHeight="1" s="254">
      <c r="A55" s="263" t="inlineStr">
        <is>
          <t>400 KCMIL</t>
        </is>
      </c>
      <c r="B55" s="467" t="n">
        <v>10.60671</v>
      </c>
      <c r="C55" s="467" t="n">
        <v>2.10412</v>
      </c>
    </row>
    <row r="56" ht="15" customHeight="1" s="254">
      <c r="A56" s="263" t="inlineStr">
        <is>
          <t>450 KCMIL</t>
        </is>
      </c>
      <c r="B56" s="467" t="n">
        <v>11.334</v>
      </c>
      <c r="C56" s="467" t="n">
        <v>2.7204</v>
      </c>
    </row>
    <row r="57" ht="15" customHeight="1" s="254">
      <c r="A57" s="263" t="inlineStr">
        <is>
          <t>500 KCMIL</t>
        </is>
      </c>
      <c r="B57" s="467" t="n">
        <v>13.30059</v>
      </c>
      <c r="C57" s="467" t="n">
        <v>2.7204</v>
      </c>
    </row>
    <row r="58" ht="15" customHeight="1" s="254">
      <c r="A58" s="263" t="inlineStr">
        <is>
          <t>600 KCMIL</t>
        </is>
      </c>
      <c r="B58" s="467" t="n">
        <v>16.57382</v>
      </c>
      <c r="C58" s="467" t="n">
        <v>2.7204</v>
      </c>
    </row>
    <row r="59" ht="15" customHeight="1" s="254">
      <c r="A59" s="263" t="inlineStr">
        <is>
          <t>750 KCMIL</t>
        </is>
      </c>
      <c r="B59" s="467" t="n">
        <v>25.921</v>
      </c>
      <c r="C59" s="467" t="n">
        <v>4.809</v>
      </c>
    </row>
    <row r="60" ht="15" customHeight="1" s="254">
      <c r="A60" s="263" t="inlineStr">
        <is>
          <t>1000 KCMIL</t>
        </is>
      </c>
      <c r="B60" s="467" t="n">
        <v>34.398</v>
      </c>
      <c r="C60" s="467" t="n">
        <v>7.566</v>
      </c>
    </row>
    <row r="61" s="254"/>
    <row r="62" s="254"/>
    <row r="63" ht="14.25" customHeight="1" s="254">
      <c r="A63" s="345" t="inlineStr">
        <is>
          <t>CONDUCTOR AMPACITY — NEC Table 310.16</t>
        </is>
      </c>
    </row>
    <row r="64" ht="26.44" customHeight="1" s="254">
      <c r="A64" s="349"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4.25" customHeight="1" s="254">
      <c r="A65" s="468" t="inlineStr">
        <is>
          <t>Size</t>
        </is>
      </c>
      <c r="B65" s="468" t="inlineStr">
        <is>
          <t>Cu-60</t>
        </is>
      </c>
      <c r="C65" s="468" t="inlineStr">
        <is>
          <t>Cu-75</t>
        </is>
      </c>
      <c r="D65" s="468" t="inlineStr">
        <is>
          <t>Cu-90</t>
        </is>
      </c>
      <c r="E65" s="468" t="inlineStr">
        <is>
          <t>Al-60</t>
        </is>
      </c>
      <c r="F65" s="468" t="inlineStr">
        <is>
          <t>Al-75</t>
        </is>
      </c>
      <c r="G65" s="468" t="inlineStr">
        <is>
          <t>Al-90</t>
        </is>
      </c>
    </row>
    <row r="66" ht="14.25" customHeight="1" s="254">
      <c r="A66" s="324" t="inlineStr">
        <is>
          <t>10 AWG</t>
        </is>
      </c>
      <c r="B66" s="354" t="n">
        <v>30</v>
      </c>
      <c r="C66" s="354" t="n">
        <v>35</v>
      </c>
      <c r="D66" s="354" t="n">
        <v>40</v>
      </c>
      <c r="E66" s="354" t="n">
        <v>25</v>
      </c>
      <c r="F66" s="354" t="n">
        <v>30</v>
      </c>
      <c r="G66" s="354" t="n">
        <v>35</v>
      </c>
    </row>
    <row r="67" ht="14.25" customHeight="1" s="254">
      <c r="A67" s="324" t="inlineStr">
        <is>
          <t>8 AWG</t>
        </is>
      </c>
      <c r="B67" s="354" t="n">
        <v>40</v>
      </c>
      <c r="C67" s="354" t="n">
        <v>50</v>
      </c>
      <c r="D67" s="354" t="n">
        <v>55</v>
      </c>
      <c r="E67" s="354" t="n">
        <v>35</v>
      </c>
      <c r="F67" s="354" t="n">
        <v>40</v>
      </c>
      <c r="G67" s="354" t="n">
        <v>45</v>
      </c>
    </row>
    <row r="68" ht="14.25" customHeight="1" s="254">
      <c r="A68" s="324" t="inlineStr">
        <is>
          <t>6 AWG</t>
        </is>
      </c>
      <c r="B68" s="354" t="n">
        <v>55</v>
      </c>
      <c r="C68" s="354" t="n">
        <v>65</v>
      </c>
      <c r="D68" s="354" t="n">
        <v>75</v>
      </c>
      <c r="E68" s="354" t="n">
        <v>40</v>
      </c>
      <c r="F68" s="354" t="n">
        <v>50</v>
      </c>
      <c r="G68" s="354" t="n">
        <v>55</v>
      </c>
    </row>
    <row r="69" ht="14.25" customHeight="1" s="254">
      <c r="A69" s="324" t="inlineStr">
        <is>
          <t>4 AWG</t>
        </is>
      </c>
      <c r="B69" s="354" t="n">
        <v>70</v>
      </c>
      <c r="C69" s="354" t="n">
        <v>85</v>
      </c>
      <c r="D69" s="354" t="n">
        <v>95</v>
      </c>
      <c r="E69" s="354" t="n">
        <v>55</v>
      </c>
      <c r="F69" s="354" t="n">
        <v>65</v>
      </c>
      <c r="G69" s="354" t="n">
        <v>75</v>
      </c>
    </row>
    <row r="70" ht="14.25" customHeight="1" s="254">
      <c r="A70" s="324" t="inlineStr">
        <is>
          <t>2 AWG</t>
        </is>
      </c>
      <c r="B70" s="354" t="n">
        <v>95</v>
      </c>
      <c r="C70" s="354" t="n">
        <v>115</v>
      </c>
      <c r="D70" s="354" t="n">
        <v>130</v>
      </c>
      <c r="E70" s="354" t="n">
        <v>75</v>
      </c>
      <c r="F70" s="354" t="n">
        <v>90</v>
      </c>
      <c r="G70" s="354" t="n">
        <v>100</v>
      </c>
    </row>
    <row r="71" ht="14.25" customHeight="1" s="254">
      <c r="A71" s="324" t="inlineStr">
        <is>
          <t>1 AWG</t>
        </is>
      </c>
      <c r="B71" s="354" t="n">
        <v>110</v>
      </c>
      <c r="C71" s="354" t="n">
        <v>130</v>
      </c>
      <c r="D71" s="354" t="n">
        <v>145</v>
      </c>
      <c r="E71" s="354" t="n">
        <v>85</v>
      </c>
      <c r="F71" s="354" t="n">
        <v>100</v>
      </c>
      <c r="G71" s="354" t="n">
        <v>115</v>
      </c>
    </row>
    <row r="72" ht="14.25" customHeight="1" s="254">
      <c r="A72" s="324" t="inlineStr">
        <is>
          <t>1 /0</t>
        </is>
      </c>
      <c r="B72" s="354" t="n">
        <v>125</v>
      </c>
      <c r="C72" s="354" t="n">
        <v>150</v>
      </c>
      <c r="D72" s="354" t="n">
        <v>170</v>
      </c>
      <c r="E72" s="354" t="n">
        <v>100</v>
      </c>
      <c r="F72" s="354" t="n">
        <v>120</v>
      </c>
      <c r="G72" s="354" t="n">
        <v>135</v>
      </c>
    </row>
    <row r="73" ht="14.25" customHeight="1" s="254">
      <c r="A73" s="324" t="inlineStr">
        <is>
          <t>2 /0</t>
        </is>
      </c>
      <c r="B73" s="354" t="n">
        <v>145</v>
      </c>
      <c r="C73" s="354" t="n">
        <v>175</v>
      </c>
      <c r="D73" s="354" t="n">
        <v>195</v>
      </c>
      <c r="E73" s="354" t="n">
        <v>115</v>
      </c>
      <c r="F73" s="354" t="n">
        <v>135</v>
      </c>
      <c r="G73" s="354" t="n">
        <v>150</v>
      </c>
    </row>
    <row r="74" ht="14.25" customHeight="1" s="254">
      <c r="A74" s="324" t="inlineStr">
        <is>
          <t>3 /0</t>
        </is>
      </c>
      <c r="B74" s="354" t="n">
        <v>165</v>
      </c>
      <c r="C74" s="354" t="n">
        <v>200</v>
      </c>
      <c r="D74" s="354" t="n">
        <v>225</v>
      </c>
      <c r="E74" s="354" t="n">
        <v>130</v>
      </c>
      <c r="F74" s="354" t="n">
        <v>155</v>
      </c>
      <c r="G74" s="354" t="n">
        <v>175</v>
      </c>
    </row>
    <row r="75" ht="14.25" customHeight="1" s="254">
      <c r="A75" s="324" t="inlineStr">
        <is>
          <t>4 /0</t>
        </is>
      </c>
      <c r="B75" s="354" t="n">
        <v>195</v>
      </c>
      <c r="C75" s="354" t="n">
        <v>230</v>
      </c>
      <c r="D75" s="354" t="n">
        <v>260</v>
      </c>
      <c r="E75" s="354" t="n">
        <v>150</v>
      </c>
      <c r="F75" s="354" t="n">
        <v>180</v>
      </c>
      <c r="G75" s="354" t="n">
        <v>205</v>
      </c>
    </row>
    <row r="76" ht="14.25" customHeight="1" s="254">
      <c r="A76" s="324" t="inlineStr">
        <is>
          <t>250 KCMIL</t>
        </is>
      </c>
      <c r="B76" s="354" t="n">
        <v>215</v>
      </c>
      <c r="C76" s="354" t="n">
        <v>255</v>
      </c>
      <c r="D76" s="354" t="n">
        <v>290</v>
      </c>
      <c r="E76" s="354" t="n">
        <v>170</v>
      </c>
      <c r="F76" s="354" t="n">
        <v>205</v>
      </c>
      <c r="G76" s="354" t="n">
        <v>230</v>
      </c>
    </row>
    <row r="77" ht="14.25" customHeight="1" s="254">
      <c r="A77" s="324" t="inlineStr">
        <is>
          <t>300 KCMIL</t>
        </is>
      </c>
      <c r="B77" s="354" t="n">
        <v>240</v>
      </c>
      <c r="C77" s="354" t="n">
        <v>285</v>
      </c>
      <c r="D77" s="354" t="n">
        <v>320</v>
      </c>
      <c r="E77" s="354" t="n">
        <v>195</v>
      </c>
      <c r="F77" s="354" t="n">
        <v>230</v>
      </c>
      <c r="G77" s="354" t="n">
        <v>260</v>
      </c>
    </row>
    <row r="78" ht="14.25" customHeight="1" s="254">
      <c r="A78" s="324" t="inlineStr">
        <is>
          <t>350 KCMIL</t>
        </is>
      </c>
      <c r="B78" s="354" t="n">
        <v>260</v>
      </c>
      <c r="C78" s="354" t="n">
        <v>310</v>
      </c>
      <c r="D78" s="354" t="n">
        <v>350</v>
      </c>
      <c r="E78" s="354" t="n">
        <v>210</v>
      </c>
      <c r="F78" s="354" t="n">
        <v>250</v>
      </c>
      <c r="G78" s="354" t="n">
        <v>280</v>
      </c>
    </row>
    <row r="79" ht="14.25" customHeight="1" s="254">
      <c r="A79" s="324" t="inlineStr">
        <is>
          <t>400 KCMIL</t>
        </is>
      </c>
      <c r="B79" s="354" t="n">
        <v>280</v>
      </c>
      <c r="C79" s="354" t="n">
        <v>335</v>
      </c>
      <c r="D79" s="354" t="n">
        <v>380</v>
      </c>
      <c r="E79" s="354" t="n">
        <v>225</v>
      </c>
      <c r="F79" s="354" t="n">
        <v>270</v>
      </c>
      <c r="G79" s="354" t="n">
        <v>305</v>
      </c>
    </row>
    <row r="80" ht="14.25" customHeight="1" s="254">
      <c r="A80" s="324" t="inlineStr">
        <is>
          <t>450 KCMIL</t>
        </is>
      </c>
      <c r="B80" s="469" t="n"/>
      <c r="C80" s="469" t="n"/>
      <c r="D80" s="469" t="n"/>
      <c r="E80" s="469" t="n"/>
      <c r="F80" s="469" t="n"/>
      <c r="G80" s="469" t="n"/>
    </row>
    <row r="81" ht="14.25" customHeight="1" s="254">
      <c r="A81" s="324" t="inlineStr">
        <is>
          <t>500 KCMIL</t>
        </is>
      </c>
      <c r="B81" s="354" t="n">
        <v>320</v>
      </c>
      <c r="C81" s="354" t="n">
        <v>380</v>
      </c>
      <c r="D81" s="354" t="n">
        <v>430</v>
      </c>
      <c r="E81" s="354" t="n">
        <v>260</v>
      </c>
      <c r="F81" s="354" t="n">
        <v>310</v>
      </c>
      <c r="G81" s="354" t="n">
        <v>350</v>
      </c>
    </row>
    <row r="82" ht="14.25" customHeight="1" s="254">
      <c r="A82" s="324" t="inlineStr">
        <is>
          <t>600 KCMIL</t>
        </is>
      </c>
      <c r="B82" s="354" t="n">
        <v>350</v>
      </c>
      <c r="C82" s="354" t="n">
        <v>420</v>
      </c>
      <c r="D82" s="354" t="n">
        <v>475</v>
      </c>
      <c r="E82" s="354" t="n">
        <v>285</v>
      </c>
      <c r="F82" s="354" t="n">
        <v>340</v>
      </c>
      <c r="G82" s="354" t="n">
        <v>385</v>
      </c>
    </row>
    <row r="83" ht="14.25" customHeight="1" s="254">
      <c r="A83" s="324" t="inlineStr">
        <is>
          <t>750 KCMIL</t>
        </is>
      </c>
      <c r="B83" s="354" t="n">
        <v>400</v>
      </c>
      <c r="C83" s="354" t="n">
        <v>475</v>
      </c>
      <c r="D83" s="354" t="n">
        <v>535</v>
      </c>
      <c r="E83" s="354" t="n">
        <v>320</v>
      </c>
      <c r="F83" s="354" t="n">
        <v>385</v>
      </c>
      <c r="G83" s="354" t="n">
        <v>435</v>
      </c>
    </row>
    <row r="84" ht="14.25" customHeight="1" s="254">
      <c r="A84" s="324" t="inlineStr">
        <is>
          <t>1000 KCMIL</t>
        </is>
      </c>
      <c r="B84" s="354" t="n">
        <v>455</v>
      </c>
      <c r="C84" s="354" t="n">
        <v>545</v>
      </c>
      <c r="D84" s="354" t="n">
        <v>615</v>
      </c>
      <c r="E84" s="354" t="n">
        <v>375</v>
      </c>
      <c r="F84" s="354" t="n">
        <v>445</v>
      </c>
      <c r="G84" s="354" t="n">
        <v>500</v>
      </c>
    </row>
    <row r="85" s="254"/>
    <row r="86" s="254"/>
    <row r="87" ht="31.5" customHeight="1" s="254">
      <c r="A87" s="470" t="inlineStr">
        <is>
          <t>AMBIENT TEMPERATURE CORRECTION — NEC Table 310.15(B)(1)(1)</t>
        </is>
      </c>
    </row>
    <row r="88" ht="26.44" customHeight="1" s="254">
      <c r="A88" s="349"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row>
    <row r="89" ht="14.25" customHeight="1" s="254">
      <c r="A89" s="468" t="inlineStr">
        <is>
          <t>Up to C</t>
        </is>
      </c>
      <c r="B89" s="468" t="inlineStr">
        <is>
          <t>60</t>
        </is>
      </c>
      <c r="C89" s="468" t="inlineStr">
        <is>
          <t>75</t>
        </is>
      </c>
      <c r="D89" s="468" t="inlineStr">
        <is>
          <t>90</t>
        </is>
      </c>
    </row>
    <row r="90" ht="14.25" customHeight="1" s="254">
      <c r="A90" s="354" t="n">
        <v>10</v>
      </c>
      <c r="B90" s="471" t="n">
        <v>1.29</v>
      </c>
      <c r="C90" s="471" t="n">
        <v>1.2</v>
      </c>
      <c r="D90" s="471" t="n">
        <v>1.15</v>
      </c>
    </row>
    <row r="91" ht="14.25" customHeight="1" s="254">
      <c r="A91" s="354" t="n">
        <v>15</v>
      </c>
      <c r="B91" s="471" t="n">
        <v>1.22</v>
      </c>
      <c r="C91" s="471" t="n">
        <v>1.15</v>
      </c>
      <c r="D91" s="471" t="n">
        <v>1.12</v>
      </c>
    </row>
    <row r="92" ht="14.25" customHeight="1" s="254">
      <c r="A92" s="354" t="n">
        <v>20</v>
      </c>
      <c r="B92" s="471" t="n">
        <v>1.15</v>
      </c>
      <c r="C92" s="471" t="n">
        <v>1.11</v>
      </c>
      <c r="D92" s="471" t="n">
        <v>1.08</v>
      </c>
    </row>
    <row r="93" ht="14.25" customHeight="1" s="254">
      <c r="A93" s="354" t="n">
        <v>25</v>
      </c>
      <c r="B93" s="471" t="n">
        <v>1.08</v>
      </c>
      <c r="C93" s="471" t="n">
        <v>1.05</v>
      </c>
      <c r="D93" s="471" t="n">
        <v>1.04</v>
      </c>
    </row>
    <row r="94" ht="14.25" customHeight="1" s="254">
      <c r="A94" s="354" t="n">
        <v>30</v>
      </c>
      <c r="B94" s="471" t="n">
        <v>1</v>
      </c>
      <c r="C94" s="471" t="n">
        <v>1</v>
      </c>
      <c r="D94" s="471" t="n">
        <v>1</v>
      </c>
    </row>
    <row r="95" ht="14.25" customHeight="1" s="254">
      <c r="A95" s="354" t="n">
        <v>35</v>
      </c>
      <c r="B95" s="471" t="n">
        <v>0.91</v>
      </c>
      <c r="C95" s="471" t="n">
        <v>0.9399999999999999</v>
      </c>
      <c r="D95" s="471" t="n">
        <v>0.96</v>
      </c>
    </row>
    <row r="96" ht="14.25" customHeight="1" s="254">
      <c r="A96" s="354" t="n">
        <v>40</v>
      </c>
      <c r="B96" s="471" t="n">
        <v>0.82</v>
      </c>
      <c r="C96" s="471" t="n">
        <v>0.88</v>
      </c>
      <c r="D96" s="471" t="n">
        <v>0.91</v>
      </c>
    </row>
    <row r="97" ht="14.25" customHeight="1" s="254">
      <c r="A97" s="354" t="n">
        <v>45</v>
      </c>
      <c r="B97" s="471" t="n">
        <v>0.71</v>
      </c>
      <c r="C97" s="471" t="n">
        <v>0.82</v>
      </c>
      <c r="D97" s="471" t="n">
        <v>0.87</v>
      </c>
    </row>
    <row r="98" ht="14.25" customHeight="1" s="254">
      <c r="A98" s="354" t="n">
        <v>50</v>
      </c>
      <c r="B98" s="471" t="n">
        <v>0.58</v>
      </c>
      <c r="C98" s="471" t="n">
        <v>0.75</v>
      </c>
      <c r="D98" s="471" t="n">
        <v>0.82</v>
      </c>
    </row>
    <row r="99" ht="14.25" customHeight="1" s="254">
      <c r="A99" s="354" t="n">
        <v>55</v>
      </c>
      <c r="B99" s="471" t="n">
        <v>0.41</v>
      </c>
      <c r="C99" s="471" t="n">
        <v>0.67</v>
      </c>
      <c r="D99" s="471" t="n">
        <v>0.76</v>
      </c>
    </row>
    <row r="100" ht="14.25" customHeight="1" s="254">
      <c r="A100" s="354" t="n">
        <v>60</v>
      </c>
      <c r="B100" s="472" t="n"/>
      <c r="C100" s="471" t="n">
        <v>0.58</v>
      </c>
      <c r="D100" s="471" t="n">
        <v>0.71</v>
      </c>
    </row>
    <row r="101" ht="14.25" customHeight="1" s="254">
      <c r="A101" s="354" t="n">
        <v>65</v>
      </c>
      <c r="B101" s="472" t="n"/>
      <c r="C101" s="471" t="n">
        <v>0.47</v>
      </c>
      <c r="D101" s="471" t="n">
        <v>0.65</v>
      </c>
    </row>
    <row r="102" ht="14.25" customHeight="1" s="254">
      <c r="A102" s="354" t="n">
        <v>70</v>
      </c>
      <c r="B102" s="472" t="n"/>
      <c r="C102" s="471" t="n">
        <v>0.33</v>
      </c>
      <c r="D102" s="471" t="n">
        <v>0.58</v>
      </c>
    </row>
    <row r="103" ht="14.25" customHeight="1" s="254">
      <c r="A103" s="354" t="n">
        <v>75</v>
      </c>
      <c r="B103" s="472" t="n"/>
      <c r="C103" s="472" t="n"/>
      <c r="D103" s="471" t="n">
        <v>0.5</v>
      </c>
    </row>
    <row r="104" ht="14.25" customHeight="1" s="254">
      <c r="A104" s="354" t="n">
        <v>80</v>
      </c>
      <c r="B104" s="472" t="n"/>
      <c r="C104" s="472" t="n"/>
      <c r="D104" s="471" t="n">
        <v>0.41</v>
      </c>
    </row>
    <row r="105" s="254"/>
    <row r="106" s="254"/>
    <row r="107" ht="14.25" customHeight="1" s="254">
      <c r="A107" s="345" t="inlineStr">
        <is>
          <t>CONDUCTOR IMPEDANCE — NEC Chapter 9 Table 9</t>
        </is>
      </c>
    </row>
    <row r="108" ht="48.88" customHeight="1" s="254">
      <c r="A108" s="374"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row>
    <row r="109" ht="14.25" customHeight="1" s="254">
      <c r="A109" s="468" t="inlineStr">
        <is>
          <t>Size</t>
        </is>
      </c>
      <c r="B109" s="468" t="inlineStr">
        <is>
          <t>Cu ohm/1000ft</t>
        </is>
      </c>
      <c r="C109" s="468" t="inlineStr">
        <is>
          <t>Al ohm/1000ft</t>
        </is>
      </c>
    </row>
    <row r="110" ht="14.25" customHeight="1" s="254">
      <c r="A110" s="324" t="inlineStr">
        <is>
          <t>10 AWG</t>
        </is>
      </c>
      <c r="B110" s="663" t="n">
        <v>1.2</v>
      </c>
      <c r="C110" s="664" t="n"/>
    </row>
    <row r="111" ht="14.25" customHeight="1" s="254">
      <c r="A111" s="324" t="inlineStr">
        <is>
          <t>8 AWG</t>
        </is>
      </c>
      <c r="B111" s="663" t="n">
        <v>0.78</v>
      </c>
      <c r="C111" s="664" t="n"/>
    </row>
    <row r="112" ht="14.25" customHeight="1" s="254">
      <c r="A112" s="324" t="inlineStr">
        <is>
          <t>6 AWG</t>
        </is>
      </c>
      <c r="B112" s="663" t="n">
        <v>0.49</v>
      </c>
      <c r="C112" s="663" t="n">
        <v>0.71</v>
      </c>
    </row>
    <row r="113" ht="14.25" customHeight="1" s="254">
      <c r="A113" s="324" t="inlineStr">
        <is>
          <t>4 AWG</t>
        </is>
      </c>
      <c r="B113" s="663" t="n">
        <v>0.31</v>
      </c>
      <c r="C113" s="663" t="n">
        <v>0.45</v>
      </c>
    </row>
    <row r="114" ht="14.25" customHeight="1" s="254">
      <c r="A114" s="324" t="inlineStr">
        <is>
          <t>2 AWG</t>
        </is>
      </c>
      <c r="B114" s="663" t="n">
        <v>0.19</v>
      </c>
      <c r="C114" s="663" t="n">
        <v>0.29</v>
      </c>
    </row>
    <row r="115" ht="14.25" customHeight="1" s="254">
      <c r="A115" s="324" t="inlineStr">
        <is>
          <t>1 AWG</t>
        </is>
      </c>
      <c r="B115" s="663" t="n">
        <v>0.15</v>
      </c>
      <c r="C115" s="663" t="n">
        <v>0.23</v>
      </c>
    </row>
    <row r="116" ht="14.25" customHeight="1" s="254">
      <c r="A116" s="324" t="inlineStr">
        <is>
          <t>1 /0</t>
        </is>
      </c>
      <c r="B116" s="663" t="n">
        <v>0.12</v>
      </c>
      <c r="C116" s="663" t="n">
        <v>0.19</v>
      </c>
    </row>
    <row r="117" ht="14.25" customHeight="1" s="254">
      <c r="A117" s="324" t="inlineStr">
        <is>
          <t>2 /0</t>
        </is>
      </c>
      <c r="B117" s="663" t="n">
        <v>0.1</v>
      </c>
      <c r="C117" s="663" t="n">
        <v>0.15</v>
      </c>
    </row>
    <row r="118" ht="14.25" customHeight="1" s="254">
      <c r="A118" s="324" t="inlineStr">
        <is>
          <t>3 /0</t>
        </is>
      </c>
      <c r="B118" s="663" t="n">
        <v>0.077</v>
      </c>
      <c r="C118" s="663" t="n">
        <v>0.12</v>
      </c>
    </row>
    <row r="119" ht="14.25" customHeight="1" s="254">
      <c r="A119" s="324" t="inlineStr">
        <is>
          <t>4 /0</t>
        </is>
      </c>
      <c r="B119" s="663" t="n">
        <v>0.062</v>
      </c>
      <c r="C119" s="663" t="n">
        <v>0.1</v>
      </c>
    </row>
    <row r="120" ht="14.25" customHeight="1" s="254">
      <c r="A120" s="324" t="inlineStr">
        <is>
          <t>250 KCMIL</t>
        </is>
      </c>
      <c r="B120" s="663" t="n">
        <v>0.052</v>
      </c>
      <c r="C120" s="663" t="n">
        <v>0.08500000000000001</v>
      </c>
    </row>
    <row r="121" ht="14.25" customHeight="1" s="254">
      <c r="A121" s="324" t="inlineStr">
        <is>
          <t>300 KCMIL</t>
        </is>
      </c>
      <c r="B121" s="663" t="n">
        <v>0.044</v>
      </c>
      <c r="C121" s="663" t="n">
        <v>0.07099999999999999</v>
      </c>
    </row>
    <row r="122" ht="14.25" customHeight="1" s="254">
      <c r="A122" s="324" t="inlineStr">
        <is>
          <t>350 KCMIL</t>
        </is>
      </c>
      <c r="B122" s="663" t="n">
        <v>0.038</v>
      </c>
      <c r="C122" s="663" t="n">
        <v>0.061</v>
      </c>
    </row>
    <row r="123" ht="14.25" customHeight="1" s="254">
      <c r="A123" s="324" t="inlineStr">
        <is>
          <t>400 KCMIL</t>
        </is>
      </c>
      <c r="B123" s="663" t="n">
        <v>0.033</v>
      </c>
      <c r="C123" s="663" t="n">
        <v>0.054</v>
      </c>
    </row>
    <row r="124" ht="14.25" customHeight="1" s="254">
      <c r="A124" s="324" t="inlineStr">
        <is>
          <t>450 KCMIL</t>
        </is>
      </c>
      <c r="B124" s="664" t="n"/>
      <c r="C124" s="664" t="n"/>
    </row>
    <row r="125" ht="14.25" customHeight="1" s="254">
      <c r="A125" s="324" t="inlineStr">
        <is>
          <t>500 KCMIL</t>
        </is>
      </c>
      <c r="B125" s="663" t="n">
        <v>0.027</v>
      </c>
      <c r="C125" s="663" t="n">
        <v>0.043</v>
      </c>
    </row>
    <row r="126" ht="14.25" customHeight="1" s="254">
      <c r="A126" s="324" t="inlineStr">
        <is>
          <t>600 KCMIL</t>
        </is>
      </c>
      <c r="B126" s="663" t="n">
        <v>0.023</v>
      </c>
      <c r="C126" s="663" t="n">
        <v>0.036</v>
      </c>
    </row>
    <row r="127" ht="14.25" customHeight="1" s="254">
      <c r="A127" s="324" t="inlineStr">
        <is>
          <t>750 KCMIL</t>
        </is>
      </c>
      <c r="B127" s="663" t="n">
        <v>0.019</v>
      </c>
      <c r="C127" s="663" t="n">
        <v>0.029</v>
      </c>
    </row>
    <row r="128" ht="14.25" customHeight="1" s="254">
      <c r="A128" s="324" t="inlineStr">
        <is>
          <t>1000 KCMIL</t>
        </is>
      </c>
      <c r="B128" s="663" t="n">
        <v>0.015</v>
      </c>
      <c r="C128" s="663" t="n">
        <v>0.023</v>
      </c>
    </row>
    <row r="129" s="254"/>
    <row r="130" s="254"/>
    <row r="131" ht="14.25" customHeight="1" s="254">
      <c r="A131" s="345" t="inlineStr">
        <is>
          <t>STANDARD OVERCURRENT DEVICE RATINGS — NEC 240.6(A)</t>
        </is>
      </c>
    </row>
    <row r="132" ht="14.25" customHeight="1" s="254">
      <c r="A132" s="354" t="n">
        <v>15</v>
      </c>
    </row>
    <row r="133" ht="14.25" customHeight="1" s="254">
      <c r="A133" s="354" t="n">
        <v>20</v>
      </c>
    </row>
    <row r="134" ht="14.25" customHeight="1" s="254">
      <c r="A134" s="354" t="n">
        <v>25</v>
      </c>
    </row>
    <row r="135" ht="14.25" customHeight="1" s="254">
      <c r="A135" s="354" t="n">
        <v>30</v>
      </c>
    </row>
    <row r="136" ht="14.25" customHeight="1" s="254">
      <c r="A136" s="354" t="n">
        <v>35</v>
      </c>
    </row>
    <row r="137" ht="14.25" customHeight="1" s="254">
      <c r="A137" s="354" t="n">
        <v>40</v>
      </c>
    </row>
    <row r="138" ht="14.25" customHeight="1" s="254">
      <c r="A138" s="354" t="n">
        <v>45</v>
      </c>
    </row>
    <row r="139" ht="14.25" customHeight="1" s="254">
      <c r="A139" s="354" t="n">
        <v>50</v>
      </c>
    </row>
    <row r="140" ht="14.25" customHeight="1" s="254">
      <c r="A140" s="354" t="n">
        <v>60</v>
      </c>
    </row>
    <row r="141" ht="14.25" customHeight="1" s="254">
      <c r="A141" s="354" t="n">
        <v>70</v>
      </c>
    </row>
    <row r="142" ht="14.25" customHeight="1" s="254">
      <c r="A142" s="354" t="n">
        <v>80</v>
      </c>
    </row>
    <row r="143" ht="14.25" customHeight="1" s="254">
      <c r="A143" s="354" t="n">
        <v>90</v>
      </c>
    </row>
    <row r="144" ht="14.25" customHeight="1" s="254">
      <c r="A144" s="354" t="n">
        <v>100</v>
      </c>
    </row>
    <row r="145" ht="14.25" customHeight="1" s="254">
      <c r="A145" s="354" t="n">
        <v>110</v>
      </c>
    </row>
    <row r="146" ht="14.25" customHeight="1" s="254">
      <c r="A146" s="354" t="n">
        <v>125</v>
      </c>
    </row>
    <row r="147" ht="14.25" customHeight="1" s="254">
      <c r="A147" s="354" t="n">
        <v>150</v>
      </c>
    </row>
    <row r="148" ht="14.25" customHeight="1" s="254">
      <c r="A148" s="354" t="n">
        <v>175</v>
      </c>
    </row>
    <row r="149" ht="14.25" customHeight="1" s="254">
      <c r="A149" s="354" t="n">
        <v>200</v>
      </c>
    </row>
    <row r="150" ht="14.25" customHeight="1" s="254">
      <c r="A150" s="354" t="n">
        <v>225</v>
      </c>
    </row>
    <row r="151" ht="14.25" customHeight="1" s="254">
      <c r="A151" s="354" t="n">
        <v>250</v>
      </c>
    </row>
    <row r="152" ht="14.25" customHeight="1" s="254">
      <c r="A152" s="354" t="n">
        <v>300</v>
      </c>
    </row>
    <row r="153" ht="14.25" customHeight="1" s="254">
      <c r="A153" s="354" t="n">
        <v>350</v>
      </c>
    </row>
    <row r="154" ht="14.25" customHeight="1" s="254">
      <c r="A154" s="354" t="n">
        <v>400</v>
      </c>
    </row>
    <row r="155" ht="14.25" customHeight="1" s="254">
      <c r="A155" s="354" t="n">
        <v>450</v>
      </c>
    </row>
    <row r="156" ht="14.25" customHeight="1" s="254">
      <c r="A156" s="354" t="n">
        <v>500</v>
      </c>
    </row>
    <row r="157" ht="14.25" customHeight="1" s="254">
      <c r="A157" s="354" t="n">
        <v>600</v>
      </c>
    </row>
    <row r="158" ht="14.25" customHeight="1" s="254">
      <c r="A158" s="354" t="n">
        <v>700</v>
      </c>
    </row>
    <row r="159" ht="14.25" customHeight="1" s="254">
      <c r="A159" s="354" t="n">
        <v>800</v>
      </c>
    </row>
    <row r="160" ht="14.25" customHeight="1" s="254">
      <c r="A160" s="354" t="n">
        <v>1000</v>
      </c>
    </row>
    <row r="161" ht="14.25" customHeight="1" s="254">
      <c r="A161" s="354" t="n">
        <v>1200</v>
      </c>
    </row>
    <row r="162" ht="14.25" customHeight="1" s="254">
      <c r="A162" s="354" t="n">
        <v>1600</v>
      </c>
    </row>
    <row r="163" ht="14.25" customHeight="1" s="254">
      <c r="A163" s="354" t="n">
        <v>2000</v>
      </c>
    </row>
    <row r="164" ht="14.25" customHeight="1" s="254">
      <c r="A164" s="354" t="n">
        <v>2500</v>
      </c>
    </row>
    <row r="165" ht="14.25" customHeight="1" s="254">
      <c r="A165" s="354" t="n">
        <v>3000</v>
      </c>
    </row>
    <row r="166" ht="14.25" customHeight="1" s="254">
      <c r="A166" s="354" t="n">
        <v>4000</v>
      </c>
    </row>
    <row r="167" ht="14.25" customHeight="1" s="254">
      <c r="A167" s="354" t="n">
        <v>5000</v>
      </c>
    </row>
    <row r="168" ht="14.25" customHeight="1" s="254">
      <c r="A168" s="354" t="n">
        <v>6000</v>
      </c>
    </row>
    <row r="169" s="254"/>
    <row r="170" ht="14.25" customHeight="1" s="254">
      <c r="A170" s="257" t="inlineStr">
        <is>
          <t>MARKET BENCHMARKS — DC fast charging by state</t>
        </is>
      </c>
    </row>
    <row r="171" ht="26.44" customHeight="1" s="254">
      <c r="A171" s="261" t="inlineStr">
        <is>
          <t>Source: Paren, US EV Fast Charging Report, Q2 2026. Port utilisation is time-based — the share of the day a port delivers energy. The intake and the model read the same rows.</t>
        </is>
      </c>
    </row>
    <row r="172" ht="14.25" customHeight="1" s="254">
      <c r="A172" s="358" t="inlineStr">
        <is>
          <t>State</t>
        </is>
      </c>
      <c r="B172" s="358" t="inlineStr">
        <is>
          <t>Port utilisation</t>
        </is>
      </c>
      <c r="C172" s="358" t="inlineStr">
        <is>
          <t>Price to driver $/kWh</t>
        </is>
      </c>
    </row>
    <row r="173" ht="14.25" customHeight="1" s="254">
      <c r="A173" s="276" t="inlineStr">
        <is>
          <t>United States (average)</t>
        </is>
      </c>
      <c r="B173" s="940" t="n">
        <v>0.1576</v>
      </c>
      <c r="C173" s="941" t="n">
        <v>0.538</v>
      </c>
    </row>
    <row r="174" ht="14.25" customHeight="1" s="254">
      <c r="A174" s="276" t="inlineStr">
        <is>
          <t>California</t>
        </is>
      </c>
      <c r="B174" s="940" t="n">
        <v>0.231</v>
      </c>
      <c r="C174" s="941" t="n">
        <v>0.606</v>
      </c>
    </row>
    <row r="175" ht="14.25" customHeight="1" s="254">
      <c r="A175" s="276" t="inlineStr">
        <is>
          <t>District of Columbia</t>
        </is>
      </c>
      <c r="B175" s="940" t="n">
        <v>0.297</v>
      </c>
      <c r="C175" s="477" t="n"/>
    </row>
    <row r="176" ht="14.25" customHeight="1" s="254">
      <c r="A176" s="276" t="inlineStr">
        <is>
          <t>Hawaii</t>
        </is>
      </c>
      <c r="B176" s="940" t="n">
        <v>0.287</v>
      </c>
      <c r="C176" s="941" t="n">
        <v>0.856</v>
      </c>
    </row>
    <row r="177" ht="14.25" customHeight="1" s="254">
      <c r="A177" s="276" t="inlineStr">
        <is>
          <t>Florida</t>
        </is>
      </c>
      <c r="B177" s="940" t="n">
        <v>0.201</v>
      </c>
      <c r="C177" s="477" t="n"/>
    </row>
    <row r="178" ht="14.25" customHeight="1" s="254">
      <c r="A178" s="276" t="inlineStr">
        <is>
          <t>Alaska</t>
        </is>
      </c>
      <c r="B178" s="940" t="n">
        <v>0.02</v>
      </c>
      <c r="C178" s="477" t="n"/>
    </row>
    <row r="179" ht="14.25" customHeight="1" s="254">
      <c r="A179" s="276" t="inlineStr">
        <is>
          <t>Nebraska</t>
        </is>
      </c>
      <c r="B179" s="478" t="n"/>
      <c r="C179" s="941" t="n">
        <v>0.428</v>
      </c>
    </row>
    <row r="180" s="254"/>
    <row r="181" ht="14.25" customHeight="1" s="254">
      <c r="A181" s="257" t="inlineStr">
        <is>
          <t>NEC 250.122 — EQUIPMENT GROUND BY OCPD</t>
        </is>
      </c>
    </row>
    <row r="182" ht="26.44" customHeight="1" s="254">
      <c r="A182" s="261" t="inlineStr">
        <is>
          <t>UNVERIFIED — transcribed from the project model's own table, not from the printed NEC page. The equipment ground is sized on the DEVICE, not the load. Check it before it goes to an inspector.</t>
        </is>
      </c>
    </row>
    <row r="183" ht="14.25" customHeight="1" s="254">
      <c r="A183" s="358" t="inlineStr">
        <is>
          <t>OCPD up to (A)</t>
        </is>
      </c>
      <c r="B183" s="358" t="inlineStr">
        <is>
          <t>Copper</t>
        </is>
      </c>
      <c r="C183" s="358" t="inlineStr">
        <is>
          <t>Aluminium</t>
        </is>
      </c>
    </row>
    <row r="184" ht="14.25" customHeight="1" s="254">
      <c r="A184" s="444" t="n">
        <v>15</v>
      </c>
      <c r="B184" s="276" t="inlineStr">
        <is>
          <t>14 AWG</t>
        </is>
      </c>
      <c r="C184" s="276" t="inlineStr">
        <is>
          <t>12 AWG</t>
        </is>
      </c>
    </row>
    <row r="185" ht="14.25" customHeight="1" s="254">
      <c r="A185" s="444" t="n">
        <v>20</v>
      </c>
      <c r="B185" s="276" t="inlineStr">
        <is>
          <t>12 AWG</t>
        </is>
      </c>
      <c r="C185" s="276" t="inlineStr">
        <is>
          <t>10 AWG</t>
        </is>
      </c>
    </row>
    <row r="186" ht="14.25" customHeight="1" s="254">
      <c r="A186" s="444" t="n">
        <v>60</v>
      </c>
      <c r="B186" s="276" t="inlineStr">
        <is>
          <t>10 AWG</t>
        </is>
      </c>
      <c r="C186" s="276" t="inlineStr">
        <is>
          <t>8 AWG</t>
        </is>
      </c>
    </row>
    <row r="187" ht="14.25" customHeight="1" s="254">
      <c r="A187" s="444" t="n">
        <v>100</v>
      </c>
      <c r="B187" s="276" t="inlineStr">
        <is>
          <t>8 AWG</t>
        </is>
      </c>
      <c r="C187" s="276" t="inlineStr">
        <is>
          <t>6 AWG</t>
        </is>
      </c>
    </row>
    <row r="188" ht="14.25" customHeight="1" s="254">
      <c r="A188" s="444" t="n">
        <v>200</v>
      </c>
      <c r="B188" s="276" t="inlineStr">
        <is>
          <t>6 AWG</t>
        </is>
      </c>
      <c r="C188" s="276" t="inlineStr">
        <is>
          <t>4 AWG</t>
        </is>
      </c>
    </row>
    <row r="189" ht="14.25" customHeight="1" s="254">
      <c r="A189" s="444" t="n">
        <v>300</v>
      </c>
      <c r="B189" s="276" t="inlineStr">
        <is>
          <t>4 AWG</t>
        </is>
      </c>
      <c r="C189" s="276" t="inlineStr">
        <is>
          <t>2 AWG</t>
        </is>
      </c>
    </row>
    <row r="190" ht="14.25" customHeight="1" s="254">
      <c r="A190" s="444" t="n">
        <v>400</v>
      </c>
      <c r="B190" s="276" t="inlineStr">
        <is>
          <t>3 AWG</t>
        </is>
      </c>
      <c r="C190" s="276" t="inlineStr">
        <is>
          <t>1 AWG</t>
        </is>
      </c>
    </row>
    <row r="191" ht="14.25" customHeight="1" s="254">
      <c r="A191" s="444" t="n">
        <v>500</v>
      </c>
      <c r="B191" s="276" t="inlineStr">
        <is>
          <t>2 AWG</t>
        </is>
      </c>
      <c r="C191" s="276" t="inlineStr">
        <is>
          <t>1 /0</t>
        </is>
      </c>
    </row>
    <row r="192" ht="14.25" customHeight="1" s="254">
      <c r="A192" s="444" t="n">
        <v>600</v>
      </c>
      <c r="B192" s="276" t="inlineStr">
        <is>
          <t>1 AWG</t>
        </is>
      </c>
      <c r="C192" s="276" t="inlineStr">
        <is>
          <t>2 /0</t>
        </is>
      </c>
    </row>
    <row r="193" ht="14.25" customHeight="1" s="254">
      <c r="A193" s="444" t="n">
        <v>800</v>
      </c>
      <c r="B193" s="276" t="inlineStr">
        <is>
          <t>1 /0</t>
        </is>
      </c>
      <c r="C193" s="276" t="inlineStr">
        <is>
          <t>3 /0</t>
        </is>
      </c>
    </row>
    <row r="194" ht="14.25" customHeight="1" s="254">
      <c r="A194" s="444" t="n">
        <v>1000</v>
      </c>
      <c r="B194" s="276" t="inlineStr">
        <is>
          <t>2 /0</t>
        </is>
      </c>
      <c r="C194" s="276" t="inlineStr">
        <is>
          <t>4 /0</t>
        </is>
      </c>
    </row>
    <row r="195" ht="14.25" customHeight="1" s="254">
      <c r="A195" s="444" t="n">
        <v>1200</v>
      </c>
      <c r="B195" s="276" t="inlineStr">
        <is>
          <t>3 /0</t>
        </is>
      </c>
      <c r="C195" s="276" t="inlineStr">
        <is>
          <t>250 KCMIL</t>
        </is>
      </c>
    </row>
    <row r="196" ht="14.25" customHeight="1" s="254">
      <c r="A196" s="444" t="n">
        <v>1600</v>
      </c>
      <c r="B196" s="276" t="inlineStr">
        <is>
          <t>4 /0</t>
        </is>
      </c>
      <c r="C196" s="276" t="inlineStr">
        <is>
          <t>350 KCMIL</t>
        </is>
      </c>
    </row>
    <row r="197" ht="14.25" customHeight="1" s="254">
      <c r="A197" s="444" t="n">
        <v>2000</v>
      </c>
      <c r="B197" s="276" t="inlineStr">
        <is>
          <t>250 KCMIL</t>
        </is>
      </c>
      <c r="C197" s="276" t="inlineStr">
        <is>
          <t>400 KCMIL</t>
        </is>
      </c>
    </row>
    <row r="198" ht="14.25" customHeight="1" s="254">
      <c r="A198" s="444" t="n">
        <v>2500</v>
      </c>
      <c r="B198" s="276" t="inlineStr">
        <is>
          <t>350 KCMIL</t>
        </is>
      </c>
      <c r="C198" s="276" t="inlineStr">
        <is>
          <t>600 KCMIL</t>
        </is>
      </c>
    </row>
    <row r="199" ht="14.25" customHeight="1" s="254">
      <c r="A199" s="444" t="n">
        <v>3000</v>
      </c>
      <c r="B199" s="276" t="inlineStr">
        <is>
          <t>400 KCMIL</t>
        </is>
      </c>
      <c r="C199" s="276" t="inlineStr">
        <is>
          <t>600 KCMIL</t>
        </is>
      </c>
    </row>
    <row r="200" ht="14.25" customHeight="1" s="254">
      <c r="A200" s="444" t="n">
        <v>4000</v>
      </c>
      <c r="B200" s="276" t="inlineStr">
        <is>
          <t>500 KCMIL</t>
        </is>
      </c>
      <c r="C200" s="276" t="inlineStr">
        <is>
          <t>750 KCMIL</t>
        </is>
      </c>
    </row>
    <row r="201" s="254"/>
    <row r="202">
      <c r="A202" s="257" t="inlineStr">
        <is>
          <t>MARKET BENCHMARKS — Level 2 by state</t>
        </is>
      </c>
    </row>
    <row r="203" s="254">
      <c r="A203" s="701" t="inlineStr">
        <is>
          <t>Source: ENERGY STAR Portfolio Manager technical reference for EV charging, drawing on Argonne's AFLEET dataset across retail, hospitality, workplace and multi-family sites: 4.63 sessions per port per week at 10.55 kWh a session, which is 6.98 kWh per port per day. No California-specific public Level 2 series is published the way Paren publishes DC; the California row carries the US figure and a price at the top of the 2026 public Level 2 band ($0.20–0.42/kWh non-member), which is where California networks sit. A hotel or casino host with overnight dwell should beat the figure; that is upside to state, not a reason to raise the benchmark.</t>
        </is>
      </c>
    </row>
    <row r="204">
      <c r="A204" s="358" t="inlineStr">
        <is>
          <t>State</t>
        </is>
      </c>
      <c r="B204" s="358" t="inlineStr">
        <is>
          <t>kWh per port per day</t>
        </is>
      </c>
      <c r="C204" s="358" t="inlineStr">
        <is>
          <t>Price to driver $/kWh</t>
        </is>
      </c>
      <c r="D204" s="358" t="inlineStr">
        <is>
          <t>Basis</t>
        </is>
      </c>
    </row>
    <row r="205" ht="76.60000000000001" customHeight="1" s="254">
      <c r="A205" s="276" t="inlineStr">
        <is>
          <t>United States (average)</t>
        </is>
      </c>
      <c r="B205" s="702" t="n">
        <v>6.98</v>
      </c>
      <c r="C205" s="707" t="n">
        <v>0.31</v>
      </c>
      <c r="D205" s="704" t="inlineStr">
        <is>
          <t>ENERGY STAR / Argonne AFLEET; price is the midpoint of the 2026 public band</t>
        </is>
      </c>
    </row>
    <row r="206" ht="91.12" customHeight="1" s="254">
      <c r="A206" s="276" t="inlineStr">
        <is>
          <t>California</t>
        </is>
      </c>
      <c r="B206" s="702" t="n">
        <v>6.98</v>
      </c>
      <c r="C206" s="707" t="n">
        <v>0.4</v>
      </c>
      <c r="D206" s="704" t="inlineStr">
        <is>
          <t>US figure applied — no state series published; price at the top of the 2026 band</t>
        </is>
      </c>
    </row>
    <row r="207" s="254"/>
    <row r="208">
      <c r="A208" s="257" t="inlineStr">
        <is>
          <t>CONDUIT BY CONDUCTOR — one set, Schedule 40 PVC at 40% fill</t>
        </is>
      </c>
    </row>
    <row r="209" s="254">
      <c r="A209" s="701" t="inlineStr">
        <is>
          <t>UNVERIFIED — read from NEC Chapter 9 Tables 1, 4 and 5 for THHN/THWN-2 and rounded up. The charger-run table on the Electrical tab picks from here; an override column on the run takes precedence. Three conductors plus an equipment ground for a three-phase run; two plus ground for a single-phase Level 2 circuit.</t>
        </is>
      </c>
    </row>
    <row r="210">
      <c r="A210" s="358" t="inlineStr">
        <is>
          <t>Conductor</t>
        </is>
      </c>
      <c r="B210" s="358" t="inlineStr">
        <is>
          <t>3 + ground</t>
        </is>
      </c>
      <c r="C210" s="358" t="inlineStr">
        <is>
          <t>2 + ground</t>
        </is>
      </c>
    </row>
    <row r="211">
      <c r="A211" s="276" t="inlineStr">
        <is>
          <t>10 AWG</t>
        </is>
      </c>
      <c r="B211" s="276" t="inlineStr">
        <is>
          <t>(3/4")</t>
        </is>
      </c>
      <c r="C211" s="276" t="inlineStr">
        <is>
          <t>(1/2")</t>
        </is>
      </c>
    </row>
    <row r="212">
      <c r="A212" s="276" t="inlineStr">
        <is>
          <t>8 AWG</t>
        </is>
      </c>
      <c r="B212" s="276" t="inlineStr">
        <is>
          <t>(3/4")</t>
        </is>
      </c>
      <c r="C212" s="276" t="inlineStr">
        <is>
          <t>(3/4")</t>
        </is>
      </c>
    </row>
    <row r="213">
      <c r="A213" s="276" t="inlineStr">
        <is>
          <t>6 AWG</t>
        </is>
      </c>
      <c r="B213" s="276" t="inlineStr">
        <is>
          <t>(1")</t>
        </is>
      </c>
      <c r="C213" s="276" t="inlineStr">
        <is>
          <t>(3/4")</t>
        </is>
      </c>
    </row>
    <row r="214">
      <c r="A214" s="276" t="inlineStr">
        <is>
          <t>4 AWG</t>
        </is>
      </c>
      <c r="B214" s="276" t="inlineStr">
        <is>
          <t>(1 1/4")</t>
        </is>
      </c>
      <c r="C214" s="276" t="inlineStr">
        <is>
          <t>(1")</t>
        </is>
      </c>
    </row>
    <row r="215">
      <c r="A215" s="276" t="inlineStr">
        <is>
          <t>2 AWG</t>
        </is>
      </c>
      <c r="B215" s="276" t="inlineStr">
        <is>
          <t>(1 1/4")</t>
        </is>
      </c>
      <c r="C215" s="276" t="inlineStr">
        <is>
          <t>(1")</t>
        </is>
      </c>
    </row>
    <row r="216">
      <c r="A216" s="276" t="inlineStr">
        <is>
          <t>1 AWG</t>
        </is>
      </c>
      <c r="B216" s="276" t="inlineStr">
        <is>
          <t>(1 1/2")</t>
        </is>
      </c>
      <c r="C216" s="276" t="inlineStr">
        <is>
          <t>(1 1/4")</t>
        </is>
      </c>
    </row>
    <row r="217">
      <c r="A217" s="276" t="inlineStr">
        <is>
          <t>1 /0</t>
        </is>
      </c>
      <c r="B217" s="276" t="inlineStr">
        <is>
          <t>(1 1/2")</t>
        </is>
      </c>
      <c r="C217" s="276" t="inlineStr">
        <is>
          <t>(1 1/4")</t>
        </is>
      </c>
    </row>
    <row r="218">
      <c r="A218" s="276" t="inlineStr">
        <is>
          <t>2 /0</t>
        </is>
      </c>
      <c r="B218" s="276" t="inlineStr">
        <is>
          <t>(2")</t>
        </is>
      </c>
      <c r="C218" s="276" t="inlineStr">
        <is>
          <t>(1 1/2")</t>
        </is>
      </c>
    </row>
    <row r="219">
      <c r="A219" s="276" t="inlineStr">
        <is>
          <t>3 /0</t>
        </is>
      </c>
      <c r="B219" s="276" t="inlineStr">
        <is>
          <t>(2")</t>
        </is>
      </c>
      <c r="C219" s="276" t="inlineStr">
        <is>
          <t>(1 1/2")</t>
        </is>
      </c>
    </row>
    <row r="220">
      <c r="A220" s="276" t="inlineStr">
        <is>
          <t>4 /0</t>
        </is>
      </c>
      <c r="B220" s="276" t="inlineStr">
        <is>
          <t>(2 1/2")</t>
        </is>
      </c>
      <c r="C220" s="276" t="inlineStr">
        <is>
          <t>(2")</t>
        </is>
      </c>
    </row>
    <row r="221">
      <c r="A221" s="276" t="inlineStr">
        <is>
          <t>250 KCMIL</t>
        </is>
      </c>
      <c r="B221" s="276" t="inlineStr">
        <is>
          <t>(2 1/2")</t>
        </is>
      </c>
      <c r="C221" s="276" t="inlineStr">
        <is>
          <t>(2")</t>
        </is>
      </c>
    </row>
    <row r="222">
      <c r="A222" s="276" t="inlineStr">
        <is>
          <t>300 KCMIL</t>
        </is>
      </c>
      <c r="B222" s="276" t="inlineStr">
        <is>
          <t xml:space="preserve">(3") </t>
        </is>
      </c>
      <c r="C222" s="276" t="inlineStr">
        <is>
          <t>(2 1/2")</t>
        </is>
      </c>
    </row>
    <row r="223">
      <c r="A223" s="276" t="inlineStr">
        <is>
          <t>350 KCMIL</t>
        </is>
      </c>
      <c r="B223" s="276" t="inlineStr">
        <is>
          <t xml:space="preserve">(3") </t>
        </is>
      </c>
      <c r="C223" s="276" t="inlineStr">
        <is>
          <t>(2 1/2")</t>
        </is>
      </c>
    </row>
    <row r="224">
      <c r="A224" s="276" t="inlineStr">
        <is>
          <t>400 KCMIL</t>
        </is>
      </c>
      <c r="B224" s="276" t="inlineStr">
        <is>
          <t xml:space="preserve">(3") </t>
        </is>
      </c>
      <c r="C224" s="276" t="inlineStr">
        <is>
          <t>(2 1/2")</t>
        </is>
      </c>
    </row>
    <row r="225">
      <c r="A225" s="276" t="inlineStr">
        <is>
          <t>500 KCMIL</t>
        </is>
      </c>
      <c r="B225" s="276" t="inlineStr">
        <is>
          <t>(3  1/2")</t>
        </is>
      </c>
      <c r="C225" s="276" t="inlineStr">
        <is>
          <t xml:space="preserve">(3") </t>
        </is>
      </c>
    </row>
    <row r="226">
      <c r="A226" s="276" t="inlineStr">
        <is>
          <t>600 KCMIL</t>
        </is>
      </c>
      <c r="B226" s="276" t="inlineStr">
        <is>
          <t>(4")</t>
        </is>
      </c>
      <c r="C226" s="276" t="inlineStr">
        <is>
          <t xml:space="preserve">(3") </t>
        </is>
      </c>
    </row>
    <row r="227">
      <c r="A227" s="276" t="inlineStr">
        <is>
          <t>750 KCMIL</t>
        </is>
      </c>
      <c r="B227" s="276" t="inlineStr">
        <is>
          <t>(4")</t>
        </is>
      </c>
      <c r="C227" s="276" t="inlineStr">
        <is>
          <t>(3  1/2")</t>
        </is>
      </c>
    </row>
    <row r="228">
      <c r="A228" s="276" t="inlineStr">
        <is>
          <t>1000 KCMIL</t>
        </is>
      </c>
      <c r="B228" s="276" t="inlineStr">
        <is>
          <t>(5")</t>
        </is>
      </c>
      <c r="C228" s="276" t="inlineStr">
        <is>
          <t>(4")</t>
        </is>
      </c>
    </row>
  </sheetData>
  <sheetProtection selectLockedCells="0" selectUnlockedCells="0" sheet="1" objects="0" insertRows="1" insertHyperlinks="1" autoFilter="1" scenarios="0" formatColumns="0" deleteColumns="1" insertColumns="1" pivotTables="1" deleteRows="1" formatCells="0" formatRows="0" sort="1"/>
  <mergeCells count="7">
    <mergeCell ref="A108:C108"/>
    <mergeCell ref="A88:D88"/>
    <mergeCell ref="A1:F1"/>
    <mergeCell ref="A171:G171"/>
    <mergeCell ref="A64:G64"/>
    <mergeCell ref="A182:G182"/>
    <mergeCell ref="A203:D203"/>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8.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7.25" customHeight="1" s="254">
      <c r="A1" s="291" t="inlineStr">
        <is>
          <t>CALIFORNIA ELECTRIC UTILITIES — DELIVERY</t>
        </is>
      </c>
    </row>
    <row r="2" ht="43.5" customHeight="1" s="254">
      <c r="A2" s="285"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row>
    <row r="3" s="254"/>
    <row r="4" ht="15" customHeight="1" s="254">
      <c r="A4" s="479" t="inlineStr">
        <is>
          <t>Utility</t>
        </is>
      </c>
      <c r="B4" s="479" t="inlineStr">
        <is>
          <t>Type</t>
        </is>
      </c>
      <c r="C4" s="479" t="inlineStr">
        <is>
          <t>Service territory</t>
        </is>
      </c>
      <c r="D4" s="479" t="inlineStr">
        <is>
          <t>EV rate status</t>
        </is>
      </c>
      <c r="E4" s="480" t="n"/>
      <c r="F4" s="481" t="inlineStr">
        <is>
          <t>DELIVERY UTILITY PICKER — what the Project tab offers</t>
        </is>
      </c>
      <c r="H4" s="543" t="inlineStr">
        <is>
          <t>RATE SCHEDULE PICKER — what the Revenue tab offers</t>
        </is>
      </c>
      <c r="J4" s="481" t="inlineStr">
        <is>
          <t>Utility (resolved)</t>
        </is>
      </c>
      <c r="K4" s="481" t="inlineStr">
        <is>
          <t>Type</t>
        </is>
      </c>
      <c r="L4" s="481" t="inlineStr">
        <is>
          <t>Service territory</t>
        </is>
      </c>
      <c r="M4" s="481" t="inlineStr">
        <is>
          <t>EV rate status</t>
        </is>
      </c>
      <c r="N4" s="481" t="inlineStr">
        <is>
          <t>State</t>
        </is>
      </c>
    </row>
    <row r="5" ht="19.5" customHeight="1" s="254">
      <c r="A5" s="298" t="inlineStr">
        <is>
          <t>PG&amp;E — Pacific Gas and Electric</t>
        </is>
      </c>
      <c r="B5" s="319" t="inlineStr">
        <is>
          <t>IOU</t>
        </is>
      </c>
      <c r="C5" s="356" t="inlineStr">
        <is>
          <t>Northern &amp; central CA, 47 counties</t>
        </is>
      </c>
      <c r="D5" s="482" t="inlineStr">
        <is>
          <t>EV rate: BEV-1 / BEV-2-S / BEV-2-P</t>
        </is>
      </c>
      <c r="F5" s="276" t="inlineStr">
        <is>
          <t>PG&amp;E — Pacific Gas and Electric</t>
        </is>
      </c>
      <c r="H5" s="543" t="inlineStr">
        <is>
          <t>BEV-1</t>
        </is>
      </c>
      <c r="J5" s="276" t="inlineStr">
        <is>
          <t>PG&amp;E — Pacific Gas and Electric</t>
        </is>
      </c>
      <c r="K5" s="276" t="inlineStr">
        <is>
          <t>IOU</t>
        </is>
      </c>
      <c r="L5" s="276" t="inlineStr">
        <is>
          <t>Northern &amp; central CA, 47 counties</t>
        </is>
      </c>
      <c r="M5" s="276" t="inlineStr">
        <is>
          <t>EV rate: BEV-1 / BEV-2-S / BEV-2-P</t>
        </is>
      </c>
      <c r="N5" s="276" t="inlineStr">
        <is>
          <t>California</t>
        </is>
      </c>
    </row>
    <row r="6" ht="19.5" customHeight="1" s="254">
      <c r="A6" s="298" t="inlineStr">
        <is>
          <t>SCE — Southern California Edison</t>
        </is>
      </c>
      <c r="B6" s="319" t="inlineStr">
        <is>
          <t>IOU</t>
        </is>
      </c>
      <c r="C6" s="356" t="inlineStr">
        <is>
          <t>Central &amp; southern CA, 15 counties</t>
        </is>
      </c>
      <c r="D6" s="482" t="inlineStr">
        <is>
          <t>EV rate: TOU-EV-7 / 8 / 9</t>
        </is>
      </c>
      <c r="F6" s="276" t="inlineStr">
        <is>
          <t>SCE — Southern California Edison</t>
        </is>
      </c>
      <c r="H6" s="543" t="inlineStr">
        <is>
          <t>BEV-2-S</t>
        </is>
      </c>
      <c r="J6" s="276" t="inlineStr">
        <is>
          <t>SCE — Southern California Edison</t>
        </is>
      </c>
      <c r="K6" s="276" t="inlineStr">
        <is>
          <t>IOU</t>
        </is>
      </c>
      <c r="L6" s="276" t="inlineStr">
        <is>
          <t>Central &amp; southern CA, 15 counties</t>
        </is>
      </c>
      <c r="M6" s="276" t="inlineStr">
        <is>
          <t>EV rate: TOU-EV-7 / 8 / 9</t>
        </is>
      </c>
      <c r="N6" s="276" t="inlineStr">
        <is>
          <t>California</t>
        </is>
      </c>
    </row>
    <row r="7" ht="19.5" customHeight="1" s="254">
      <c r="A7" s="298" t="inlineStr">
        <is>
          <t>SDG&amp;E — San Diego Gas &amp; Electric</t>
        </is>
      </c>
      <c r="B7" s="319" t="inlineStr">
        <is>
          <t>IOU</t>
        </is>
      </c>
      <c r="C7" s="356" t="inlineStr">
        <is>
          <t>San Diego Co. + southern Orange Co.</t>
        </is>
      </c>
      <c r="D7" s="482" t="inlineStr">
        <is>
          <t>EV rate: EV-HP</t>
        </is>
      </c>
      <c r="F7" s="276" t="inlineStr">
        <is>
          <t>SDG&amp;E — San Diego Gas &amp; Electric</t>
        </is>
      </c>
      <c r="H7" s="543" t="inlineStr">
        <is>
          <t>BEV-2-P</t>
        </is>
      </c>
      <c r="J7" s="276" t="inlineStr">
        <is>
          <t>SDG&amp;E — San Diego Gas &amp; Electric</t>
        </is>
      </c>
      <c r="K7" s="276" t="inlineStr">
        <is>
          <t>IOU</t>
        </is>
      </c>
      <c r="L7" s="276" t="inlineStr">
        <is>
          <t>San Diego Co. + southern Orange Co.</t>
        </is>
      </c>
      <c r="M7" s="276" t="inlineStr">
        <is>
          <t>EV rate: EV-HP</t>
        </is>
      </c>
      <c r="N7" s="276" t="inlineStr">
        <is>
          <t>California</t>
        </is>
      </c>
    </row>
    <row r="8" ht="19.5" customHeight="1" s="254">
      <c r="A8" s="298" t="inlineStr">
        <is>
          <t>Liberty Utilities (CalPeco Electric)</t>
        </is>
      </c>
      <c r="B8" s="319" t="inlineStr">
        <is>
          <t>IOU</t>
        </is>
      </c>
      <c r="C8" s="356" t="inlineStr">
        <is>
          <t>North Lake Tahoe &amp; eastern Sierra</t>
        </is>
      </c>
      <c r="D8" s="482" t="inlineStr">
        <is>
          <t>EV rate: TOU A-1/A-2/A-3 EV</t>
        </is>
      </c>
      <c r="F8" s="276" t="inlineStr">
        <is>
          <t>Liberty Utilities (CalPeco Electric)</t>
        </is>
      </c>
      <c r="H8" s="543" t="inlineStr">
        <is>
          <t>TOU-EV-7</t>
        </is>
      </c>
      <c r="J8" s="276" t="inlineStr">
        <is>
          <t>Liberty Utilities (CalPeco Electric)</t>
        </is>
      </c>
      <c r="K8" s="276" t="inlineStr">
        <is>
          <t>IOU</t>
        </is>
      </c>
      <c r="L8" s="276" t="inlineStr">
        <is>
          <t>North Lake Tahoe &amp; eastern Sierra</t>
        </is>
      </c>
      <c r="M8" s="276" t="inlineStr">
        <is>
          <t>EV rate: TOU A-1/A-2/A-3 EV</t>
        </is>
      </c>
      <c r="N8" s="276" t="inlineStr">
        <is>
          <t>California</t>
        </is>
      </c>
    </row>
    <row r="9" ht="19.5" customHeight="1" s="254">
      <c r="A9" s="298" t="inlineStr">
        <is>
          <t>Pacific Power (PacifiCorp)</t>
        </is>
      </c>
      <c r="B9" s="319" t="inlineStr">
        <is>
          <t>IOU</t>
        </is>
      </c>
      <c r="C9" s="356" t="inlineStr">
        <is>
          <t>Siskiyou, Modoc, Shasta, Del Norte</t>
        </is>
      </c>
      <c r="D9" s="483" t="inlineStr">
        <is>
          <t>NO commercial EV rate</t>
        </is>
      </c>
      <c r="F9" s="276" t="inlineStr">
        <is>
          <t>Pacific Power (PacifiCorp)</t>
        </is>
      </c>
      <c r="H9" s="543" t="inlineStr">
        <is>
          <t>TOU-EV-8</t>
        </is>
      </c>
      <c r="J9" s="276" t="inlineStr">
        <is>
          <t>Pacific Power (PacifiCorp)</t>
        </is>
      </c>
      <c r="K9" s="276" t="inlineStr">
        <is>
          <t>IOU</t>
        </is>
      </c>
      <c r="L9" s="276" t="inlineStr">
        <is>
          <t>Siskiyou, Modoc, Shasta, Del Norte</t>
        </is>
      </c>
      <c r="M9" s="276" t="inlineStr">
        <is>
          <t>NO commercial EV rate</t>
        </is>
      </c>
      <c r="N9" s="276" t="inlineStr">
        <is>
          <t>California</t>
        </is>
      </c>
    </row>
    <row r="10" ht="27.76" customHeight="1" s="254">
      <c r="A10" s="298" t="inlineStr">
        <is>
          <t>Bear Valley Electric Service (BVES)</t>
        </is>
      </c>
      <c r="B10" s="319" t="inlineStr">
        <is>
          <t>IOU</t>
        </is>
      </c>
      <c r="C10" s="356" t="inlineStr">
        <is>
          <t>Big Bear Lake, San Bernardino Co.</t>
        </is>
      </c>
      <c r="D10" s="482" t="inlineStr">
        <is>
          <t>EV rate: TOU-EV-2 / TOU-EV-3 (max 500 kW)</t>
        </is>
      </c>
      <c r="F10" s="276" t="inlineStr">
        <is>
          <t>Bear Valley Electric Service (BVES)</t>
        </is>
      </c>
      <c r="H10" s="543" t="inlineStr">
        <is>
          <t>TOU-EV-9</t>
        </is>
      </c>
      <c r="J10" s="276" t="inlineStr">
        <is>
          <t>Bear Valley Electric Service (BVES)</t>
        </is>
      </c>
      <c r="K10" s="276" t="inlineStr">
        <is>
          <t>IOU</t>
        </is>
      </c>
      <c r="L10" s="276" t="inlineStr">
        <is>
          <t>Big Bear Lake, San Bernardino Co.</t>
        </is>
      </c>
      <c r="M10" s="276" t="inlineStr">
        <is>
          <t>EV rate: TOU-EV-2 / TOU-EV-3 (max 500 kW)</t>
        </is>
      </c>
      <c r="N10" s="276" t="inlineStr">
        <is>
          <t>California</t>
        </is>
      </c>
    </row>
    <row r="11" ht="19.5" customHeight="1" s="254">
      <c r="A11" s="298" t="inlineStr">
        <is>
          <t>LADWP — Los Angeles Dept of Water &amp; Power</t>
        </is>
      </c>
      <c r="B11" s="319" t="inlineStr">
        <is>
          <t>POU</t>
        </is>
      </c>
      <c r="C11" s="356" t="inlineStr">
        <is>
          <t>City of Los Angeles + Owens Valley</t>
        </is>
      </c>
      <c r="D11" s="482" t="inlineStr">
        <is>
          <t>EV rate: EVA1 / EVA2 / EVA3 (pilot)</t>
        </is>
      </c>
      <c r="F11" s="276" t="inlineStr">
        <is>
          <t>LADWP — Los Angeles Dept of Water &amp; Power</t>
        </is>
      </c>
      <c r="H11" s="543" t="inlineStr">
        <is>
          <t>EV-HP &gt;150kW</t>
        </is>
      </c>
      <c r="J11" s="276" t="inlineStr">
        <is>
          <t>LADWP — Los Angeles Dept of Water &amp; Power</t>
        </is>
      </c>
      <c r="K11" s="276" t="inlineStr">
        <is>
          <t>POU</t>
        </is>
      </c>
      <c r="L11" s="276" t="inlineStr">
        <is>
          <t>City of Los Angeles + Owens Valley</t>
        </is>
      </c>
      <c r="M11" s="276" t="inlineStr">
        <is>
          <t>EV rate: EVA1 / EVA2 / EVA3 (pilot)</t>
        </is>
      </c>
      <c r="N11" s="276" t="inlineStr">
        <is>
          <t>California</t>
        </is>
      </c>
    </row>
    <row r="12" ht="29.08" customHeight="1" s="254">
      <c r="A12" s="298" t="inlineStr">
        <is>
          <t>SMUD — Sacramento Municipal Utility District</t>
        </is>
      </c>
      <c r="B12" s="319" t="inlineStr">
        <is>
          <t>POU</t>
        </is>
      </c>
      <c r="C12" s="356" t="inlineStr">
        <is>
          <t>Sacramento Co. + part of Placer Co.</t>
        </is>
      </c>
      <c r="D12" s="482" t="inlineStr">
        <is>
          <t>EV rate: EV_SR subscription</t>
        </is>
      </c>
      <c r="F12" s="276" t="inlineStr">
        <is>
          <t>SMUD — Sacramento Municipal Utility District</t>
        </is>
      </c>
      <c r="H12" s="543" t="inlineStr">
        <is>
          <t>EV-HP &lt;150kW</t>
        </is>
      </c>
      <c r="J12" s="276" t="inlineStr">
        <is>
          <t>SMUD — Sacramento Municipal Utility District</t>
        </is>
      </c>
      <c r="K12" s="276" t="inlineStr">
        <is>
          <t>POU</t>
        </is>
      </c>
      <c r="L12" s="276" t="inlineStr">
        <is>
          <t>Sacramento Co. + part of Placer Co.</t>
        </is>
      </c>
      <c r="M12" s="276" t="inlineStr">
        <is>
          <t>EV rate: EV_SR subscription</t>
        </is>
      </c>
      <c r="N12" s="276" t="inlineStr">
        <is>
          <t>California</t>
        </is>
      </c>
    </row>
    <row r="13" ht="27.76" customHeight="1" s="254">
      <c r="A13" s="298" t="inlineStr">
        <is>
          <t>IID — Imperial Irrigation District</t>
        </is>
      </c>
      <c r="B13" s="319" t="inlineStr">
        <is>
          <t>POU</t>
        </is>
      </c>
      <c r="C13" s="356" t="inlineStr">
        <is>
          <t>Imperial Co. + eastern Coachella Valley</t>
        </is>
      </c>
      <c r="D13" s="483" t="inlineStr">
        <is>
          <t>NO EV rate</t>
        </is>
      </c>
      <c r="F13" s="276" t="inlineStr">
        <is>
          <t>IID — Imperial Irrigation District</t>
        </is>
      </c>
      <c r="H13" s="543" t="inlineStr">
        <is>
          <t>UMERC Cg1 — General Secondary, three-phase</t>
        </is>
      </c>
      <c r="J13" s="276" t="inlineStr">
        <is>
          <t>IID — Imperial Irrigation District</t>
        </is>
      </c>
      <c r="K13" s="276" t="inlineStr">
        <is>
          <t>POU</t>
        </is>
      </c>
      <c r="L13" s="276" t="inlineStr">
        <is>
          <t>Imperial Co. + eastern Coachella Valley</t>
        </is>
      </c>
      <c r="M13" s="276" t="inlineStr">
        <is>
          <t>NO EV rate</t>
        </is>
      </c>
      <c r="N13" s="276" t="inlineStr">
        <is>
          <t>California</t>
        </is>
      </c>
    </row>
    <row r="14" ht="19.5" customHeight="1" s="254">
      <c r="A14" s="298" t="inlineStr">
        <is>
          <t>MID — Modesto Irrigation District</t>
        </is>
      </c>
      <c r="B14" s="319" t="inlineStr">
        <is>
          <t>POU</t>
        </is>
      </c>
      <c r="C14" s="356" t="inlineStr">
        <is>
          <t>Modesto &amp; Stanislaus Co.</t>
        </is>
      </c>
      <c r="D14" s="483" t="inlineStr">
        <is>
          <t>NO commercial EV rate</t>
        </is>
      </c>
      <c r="F14" s="276" t="inlineStr">
        <is>
          <t>MID — Modesto Irrigation District</t>
        </is>
      </c>
      <c r="H14" s="543" t="inlineStr">
        <is>
          <t>UMERC Cg5 — General Secondary Time-of-Use</t>
        </is>
      </c>
      <c r="J14" s="276" t="inlineStr">
        <is>
          <t>MID — Modesto Irrigation District</t>
        </is>
      </c>
      <c r="K14" s="276" t="inlineStr">
        <is>
          <t>POU</t>
        </is>
      </c>
      <c r="L14" s="276" t="inlineStr">
        <is>
          <t>Modesto &amp; Stanislaus Co.</t>
        </is>
      </c>
      <c r="M14" s="276" t="inlineStr">
        <is>
          <t>NO commercial EV rate</t>
        </is>
      </c>
      <c r="N14" s="276" t="inlineStr">
        <is>
          <t>California</t>
        </is>
      </c>
    </row>
    <row r="15" ht="27.76" customHeight="1" s="254">
      <c r="A15" s="298" t="inlineStr">
        <is>
          <t>Anaheim Public Utilities</t>
        </is>
      </c>
      <c r="B15" s="319" t="inlineStr">
        <is>
          <t>POU</t>
        </is>
      </c>
      <c r="C15" s="356" t="inlineStr">
        <is>
          <t>City of Anaheim, Orange Co.</t>
        </is>
      </c>
      <c r="D15" s="484" t="inlineStr">
        <is>
          <t>EV rate D-EV-2 CLOSED to new customers</t>
        </is>
      </c>
      <c r="F15" s="276" t="inlineStr">
        <is>
          <t>Anaheim Public Utilities</t>
        </is>
      </c>
      <c r="H15" s="543" t="inlineStr">
        <is>
          <t>UMERC Cg3 — General Secondary Demand TOU</t>
        </is>
      </c>
      <c r="J15" s="276" t="inlineStr">
        <is>
          <t>Anaheim Public Utilities</t>
        </is>
      </c>
      <c r="K15" s="276" t="inlineStr">
        <is>
          <t>POU</t>
        </is>
      </c>
      <c r="L15" s="276" t="inlineStr">
        <is>
          <t>City of Anaheim, Orange Co.</t>
        </is>
      </c>
      <c r="M15" s="276" t="inlineStr">
        <is>
          <t>EV rate D-EV-2 CLOSED to new customers</t>
        </is>
      </c>
      <c r="N15" s="276" t="inlineStr">
        <is>
          <t>California</t>
        </is>
      </c>
    </row>
    <row r="16" ht="19.5" customHeight="1" s="254">
      <c r="A16" s="298" t="inlineStr">
        <is>
          <t>Riverside Public Utilities</t>
        </is>
      </c>
      <c r="B16" s="319" t="inlineStr">
        <is>
          <t>POU</t>
        </is>
      </c>
      <c r="C16" s="356" t="inlineStr">
        <is>
          <t>City of Riverside</t>
        </is>
      </c>
      <c r="D16" s="484" t="inlineStr">
        <is>
          <t>EV rate SMEVC capped below 150 kW</t>
        </is>
      </c>
      <c r="F16" s="276" t="inlineStr">
        <is>
          <t>Riverside Public Utilities</t>
        </is>
      </c>
      <c r="H16" s="543" t="inlineStr">
        <is>
          <t>Manual</t>
        </is>
      </c>
      <c r="J16" s="276" t="inlineStr">
        <is>
          <t>Riverside Public Utilities</t>
        </is>
      </c>
      <c r="K16" s="276" t="inlineStr">
        <is>
          <t>POU</t>
        </is>
      </c>
      <c r="L16" s="276" t="inlineStr">
        <is>
          <t>City of Riverside</t>
        </is>
      </c>
      <c r="M16" s="276" t="inlineStr">
        <is>
          <t>EV rate SMEVC capped below 150 kW</t>
        </is>
      </c>
      <c r="N16" s="276" t="inlineStr">
        <is>
          <t>California</t>
        </is>
      </c>
    </row>
    <row r="17" ht="19.5" customHeight="1" s="254">
      <c r="A17" s="298" t="inlineStr">
        <is>
          <t>TID — Turlock Irrigation District</t>
        </is>
      </c>
      <c r="B17" s="319" t="inlineStr">
        <is>
          <t>POU</t>
        </is>
      </c>
      <c r="C17" s="356" t="inlineStr">
        <is>
          <t>Turlock; Stanislaus, Merced, Tuolumne</t>
        </is>
      </c>
      <c r="D17" s="483" t="inlineStr">
        <is>
          <t>NO EV rate</t>
        </is>
      </c>
      <c r="F17" s="276" t="inlineStr">
        <is>
          <t>TID — Turlock Irrigation District</t>
        </is>
      </c>
      <c r="H17" s="276" t="inlineStr">
        <is>
          <t>REU E2 — Small Commercial (no demand)</t>
        </is>
      </c>
      <c r="J17" s="276" t="inlineStr">
        <is>
          <t>TID — Turlock Irrigation District</t>
        </is>
      </c>
      <c r="K17" s="276" t="inlineStr">
        <is>
          <t>POU</t>
        </is>
      </c>
      <c r="L17" s="276" t="inlineStr">
        <is>
          <t>Turlock; Stanislaus, Merced, Tuolumne</t>
        </is>
      </c>
      <c r="M17" s="276" t="inlineStr">
        <is>
          <t>NO EV rate</t>
        </is>
      </c>
      <c r="N17" s="276" t="inlineStr">
        <is>
          <t>California</t>
        </is>
      </c>
    </row>
    <row r="18" ht="19.5" customHeight="1" s="254">
      <c r="A18" s="298" t="inlineStr">
        <is>
          <t>Glendale Water and Power</t>
        </is>
      </c>
      <c r="B18" s="319" t="inlineStr">
        <is>
          <t>POU</t>
        </is>
      </c>
      <c r="C18" s="356" t="inlineStr">
        <is>
          <t>City of Glendale, LA Co.</t>
        </is>
      </c>
      <c r="D18" s="483" t="inlineStr">
        <is>
          <t>NO commercial EV rate</t>
        </is>
      </c>
      <c r="F18" s="276" t="inlineStr">
        <is>
          <t>Glendale Water and Power</t>
        </is>
      </c>
      <c r="H18" s="276" t="inlineStr">
        <is>
          <t>REU E7/E8 — Large Commercial (demand)</t>
        </is>
      </c>
      <c r="J18" s="276" t="inlineStr">
        <is>
          <t>Glendale Water and Power</t>
        </is>
      </c>
      <c r="K18" s="276" t="inlineStr">
        <is>
          <t>POU</t>
        </is>
      </c>
      <c r="L18" s="276" t="inlineStr">
        <is>
          <t>City of Glendale, LA Co.</t>
        </is>
      </c>
      <c r="M18" s="276" t="inlineStr">
        <is>
          <t>NO commercial EV rate</t>
        </is>
      </c>
      <c r="N18" s="276" t="inlineStr">
        <is>
          <t>California</t>
        </is>
      </c>
    </row>
    <row r="19" ht="19.5" customHeight="1" s="254">
      <c r="A19" s="298" t="inlineStr">
        <is>
          <t>Roseville Electric Utility</t>
        </is>
      </c>
      <c r="B19" s="319" t="inlineStr">
        <is>
          <t>POU</t>
        </is>
      </c>
      <c r="C19" s="356" t="inlineStr">
        <is>
          <t>City of Roseville, Placer Co.</t>
        </is>
      </c>
      <c r="D19" s="483" t="inlineStr">
        <is>
          <t>NO commercial EV rate</t>
        </is>
      </c>
      <c r="F19" s="276" t="inlineStr">
        <is>
          <t>Roseville Electric Utility</t>
        </is>
      </c>
      <c r="J19" s="276" t="inlineStr">
        <is>
          <t>Roseville Electric Utility</t>
        </is>
      </c>
      <c r="K19" s="276" t="inlineStr">
        <is>
          <t>POU</t>
        </is>
      </c>
      <c r="L19" s="276" t="inlineStr">
        <is>
          <t>City of Roseville, Placer Co.</t>
        </is>
      </c>
      <c r="M19" s="276" t="inlineStr">
        <is>
          <t>NO commercial EV rate</t>
        </is>
      </c>
      <c r="N19" s="276" t="inlineStr">
        <is>
          <t>California</t>
        </is>
      </c>
    </row>
    <row r="20" ht="19.5" customHeight="1" s="254">
      <c r="A20" s="298" t="inlineStr">
        <is>
          <t>Pasadena Water and Power</t>
        </is>
      </c>
      <c r="B20" s="319" t="inlineStr">
        <is>
          <t>POU</t>
        </is>
      </c>
      <c r="C20" s="356" t="inlineStr">
        <is>
          <t>City of Pasadena, LA Co.</t>
        </is>
      </c>
      <c r="D20" s="483" t="inlineStr">
        <is>
          <t>NO commercial EV rate</t>
        </is>
      </c>
      <c r="F20" s="276" t="inlineStr">
        <is>
          <t>Pasadena Water and Power</t>
        </is>
      </c>
      <c r="J20" s="276" t="inlineStr">
        <is>
          <t>Pasadena Water and Power</t>
        </is>
      </c>
      <c r="K20" s="276" t="inlineStr">
        <is>
          <t>POU</t>
        </is>
      </c>
      <c r="L20" s="276" t="inlineStr">
        <is>
          <t>City of Pasadena, LA Co.</t>
        </is>
      </c>
      <c r="M20" s="276" t="inlineStr">
        <is>
          <t>NO commercial EV rate</t>
        </is>
      </c>
      <c r="N20" s="276" t="inlineStr">
        <is>
          <t>California</t>
        </is>
      </c>
    </row>
    <row r="21" ht="19.5" customHeight="1" s="254">
      <c r="A21" s="298" t="inlineStr">
        <is>
          <t>Silicon Valley Power (Santa Clara)</t>
        </is>
      </c>
      <c r="B21" s="319" t="inlineStr">
        <is>
          <t>POU</t>
        </is>
      </c>
      <c r="C21" s="356" t="inlineStr">
        <is>
          <t>City of Santa Clara</t>
        </is>
      </c>
      <c r="D21" s="483" t="inlineStr">
        <is>
          <t>NO EV rate — by policy</t>
        </is>
      </c>
      <c r="F21" s="276" t="inlineStr">
        <is>
          <t>Silicon Valley Power (Santa Clara)</t>
        </is>
      </c>
      <c r="J21" s="276" t="inlineStr">
        <is>
          <t>Silicon Valley Power (Santa Clara)</t>
        </is>
      </c>
      <c r="K21" s="276" t="inlineStr">
        <is>
          <t>POU</t>
        </is>
      </c>
      <c r="L21" s="276" t="inlineStr">
        <is>
          <t>City of Santa Clara</t>
        </is>
      </c>
      <c r="M21" s="276" t="inlineStr">
        <is>
          <t>NO EV rate — by policy</t>
        </is>
      </c>
      <c r="N21" s="276" t="inlineStr">
        <is>
          <t>California</t>
        </is>
      </c>
    </row>
    <row r="22" ht="19.5" customHeight="1" s="254">
      <c r="A22" s="298" t="inlineStr">
        <is>
          <t>Burbank Water and Power</t>
        </is>
      </c>
      <c r="B22" s="319" t="inlineStr">
        <is>
          <t>POU</t>
        </is>
      </c>
      <c r="C22" s="356" t="inlineStr">
        <is>
          <t>City of Burbank, LA Co.</t>
        </is>
      </c>
      <c r="D22" s="483" t="inlineStr">
        <is>
          <t>NO commercial EV rate</t>
        </is>
      </c>
      <c r="F22" s="276" t="inlineStr">
        <is>
          <t>Burbank Water and Power</t>
        </is>
      </c>
      <c r="J22" s="276" t="inlineStr">
        <is>
          <t>Burbank Water and Power</t>
        </is>
      </c>
      <c r="K22" s="276" t="inlineStr">
        <is>
          <t>POU</t>
        </is>
      </c>
      <c r="L22" s="276" t="inlineStr">
        <is>
          <t>City of Burbank, LA Co.</t>
        </is>
      </c>
      <c r="M22" s="276" t="inlineStr">
        <is>
          <t>NO commercial EV rate</t>
        </is>
      </c>
      <c r="N22" s="276" t="inlineStr">
        <is>
          <t>California</t>
        </is>
      </c>
    </row>
    <row r="23" ht="19.5" customHeight="1" s="254">
      <c r="A23" s="298" t="inlineStr">
        <is>
          <t>Redding Electric Utility</t>
        </is>
      </c>
      <c r="B23" s="319" t="inlineStr">
        <is>
          <t>POU</t>
        </is>
      </c>
      <c r="C23" s="356" t="inlineStr">
        <is>
          <t>City of Redding, Shasta Co.</t>
        </is>
      </c>
      <c r="D23" s="484" t="inlineStr">
        <is>
          <t>Not researched</t>
        </is>
      </c>
      <c r="F23" s="276" t="inlineStr">
        <is>
          <t>Redding Electric Utility</t>
        </is>
      </c>
      <c r="J23" s="276" t="inlineStr">
        <is>
          <t>Redding Electric Utility</t>
        </is>
      </c>
      <c r="K23" s="276" t="inlineStr">
        <is>
          <t>POU</t>
        </is>
      </c>
      <c r="L23" s="276" t="inlineStr">
        <is>
          <t>City of Redding, Shasta Co.</t>
        </is>
      </c>
      <c r="M23" s="276" t="inlineStr">
        <is>
          <t>Not researched</t>
        </is>
      </c>
      <c r="N23" s="276" t="inlineStr">
        <is>
          <t>California</t>
        </is>
      </c>
    </row>
    <row r="24" ht="19.5" customHeight="1" s="254">
      <c r="A24" s="298" t="inlineStr">
        <is>
          <t>Alameda Municipal Power</t>
        </is>
      </c>
      <c r="B24" s="319" t="inlineStr">
        <is>
          <t>POU</t>
        </is>
      </c>
      <c r="C24" s="356" t="inlineStr">
        <is>
          <t>City of Alameda</t>
        </is>
      </c>
      <c r="D24" s="483" t="inlineStr">
        <is>
          <t>NO commercial EV rate</t>
        </is>
      </c>
      <c r="F24" s="276" t="inlineStr">
        <is>
          <t>Alameda Municipal Power</t>
        </is>
      </c>
      <c r="J24" s="276" t="inlineStr">
        <is>
          <t>Alameda Municipal Power</t>
        </is>
      </c>
      <c r="K24" s="276" t="inlineStr">
        <is>
          <t>POU</t>
        </is>
      </c>
      <c r="L24" s="276" t="inlineStr">
        <is>
          <t>City of Alameda</t>
        </is>
      </c>
      <c r="M24" s="276" t="inlineStr">
        <is>
          <t>NO commercial EV rate</t>
        </is>
      </c>
      <c r="N24" s="276" t="inlineStr">
        <is>
          <t>California</t>
        </is>
      </c>
    </row>
    <row r="25" ht="19.5" customHeight="1" s="254">
      <c r="A25" s="298" t="inlineStr">
        <is>
          <t>City of Palo Alto Utilities</t>
        </is>
      </c>
      <c r="B25" s="319" t="inlineStr">
        <is>
          <t>POU</t>
        </is>
      </c>
      <c r="C25" s="356" t="inlineStr">
        <is>
          <t>City of Palo Alto</t>
        </is>
      </c>
      <c r="D25" s="483" t="inlineStr">
        <is>
          <t>NO commercial EV rate</t>
        </is>
      </c>
      <c r="F25" s="276" t="inlineStr">
        <is>
          <t>City of Palo Alto Utilities</t>
        </is>
      </c>
      <c r="J25" s="276" t="inlineStr">
        <is>
          <t>City of Palo Alto Utilities</t>
        </is>
      </c>
      <c r="K25" s="276" t="inlineStr">
        <is>
          <t>POU</t>
        </is>
      </c>
      <c r="L25" s="276" t="inlineStr">
        <is>
          <t>City of Palo Alto</t>
        </is>
      </c>
      <c r="M25" s="276" t="inlineStr">
        <is>
          <t>NO commercial EV rate</t>
        </is>
      </c>
      <c r="N25" s="276" t="inlineStr">
        <is>
          <t>California</t>
        </is>
      </c>
    </row>
    <row r="26" ht="19.5" customHeight="1" s="254">
      <c r="A26" s="298" t="inlineStr">
        <is>
          <t>Lodi Electric Utility</t>
        </is>
      </c>
      <c r="B26" s="319" t="inlineStr">
        <is>
          <t>POU</t>
        </is>
      </c>
      <c r="C26" s="356" t="inlineStr">
        <is>
          <t>City of Lodi, San Joaquin Co.</t>
        </is>
      </c>
      <c r="D26" s="484" t="inlineStr">
        <is>
          <t>Not researched</t>
        </is>
      </c>
      <c r="F26" s="276" t="inlineStr">
        <is>
          <t>Lodi Electric Utility</t>
        </is>
      </c>
      <c r="J26" s="276" t="inlineStr">
        <is>
          <t>Lodi Electric Utility</t>
        </is>
      </c>
      <c r="K26" s="276" t="inlineStr">
        <is>
          <t>POU</t>
        </is>
      </c>
      <c r="L26" s="276" t="inlineStr">
        <is>
          <t>City of Lodi, San Joaquin Co.</t>
        </is>
      </c>
      <c r="M26" s="276" t="inlineStr">
        <is>
          <t>Not researched</t>
        </is>
      </c>
      <c r="N26" s="276" t="inlineStr">
        <is>
          <t>California</t>
        </is>
      </c>
    </row>
    <row r="27" ht="19.5" customHeight="1" s="254">
      <c r="A27" s="298" t="inlineStr">
        <is>
          <t>Colton Public Utilities</t>
        </is>
      </c>
      <c r="B27" s="319" t="inlineStr">
        <is>
          <t>POU</t>
        </is>
      </c>
      <c r="C27" s="356" t="inlineStr">
        <is>
          <t>City of Colton, San Bernardino Co.</t>
        </is>
      </c>
      <c r="D27" s="484" t="inlineStr">
        <is>
          <t>EV rate page exists — obtain tariff</t>
        </is>
      </c>
      <c r="F27" s="276" t="inlineStr">
        <is>
          <t>Colton Public Utilities</t>
        </is>
      </c>
      <c r="J27" s="276" t="inlineStr">
        <is>
          <t>Colton Public Utilities</t>
        </is>
      </c>
      <c r="K27" s="276" t="inlineStr">
        <is>
          <t>POU</t>
        </is>
      </c>
      <c r="L27" s="276" t="inlineStr">
        <is>
          <t>City of Colton, San Bernardino Co.</t>
        </is>
      </c>
      <c r="M27" s="276" t="inlineStr">
        <is>
          <t>EV rate page exists — obtain tariff</t>
        </is>
      </c>
      <c r="N27" s="276" t="inlineStr">
        <is>
          <t>California</t>
        </is>
      </c>
    </row>
    <row r="28" ht="19.5" customHeight="1" s="254">
      <c r="A28" s="298" t="inlineStr">
        <is>
          <t>Azusa Light &amp; Water</t>
        </is>
      </c>
      <c r="B28" s="319" t="inlineStr">
        <is>
          <t>POU</t>
        </is>
      </c>
      <c r="C28" s="356" t="inlineStr">
        <is>
          <t>City of Azusa, LA Co.</t>
        </is>
      </c>
      <c r="D28" s="483" t="inlineStr">
        <is>
          <t>NO commercial EV rate</t>
        </is>
      </c>
      <c r="F28" s="276" t="inlineStr">
        <is>
          <t>Azusa Light &amp; Water</t>
        </is>
      </c>
      <c r="J28" s="276" t="inlineStr">
        <is>
          <t>Azusa Light &amp; Water</t>
        </is>
      </c>
      <c r="K28" s="276" t="inlineStr">
        <is>
          <t>POU</t>
        </is>
      </c>
      <c r="L28" s="276" t="inlineStr">
        <is>
          <t>City of Azusa, LA Co.</t>
        </is>
      </c>
      <c r="M28" s="276" t="inlineStr">
        <is>
          <t>NO commercial EV rate</t>
        </is>
      </c>
      <c r="N28" s="276" t="inlineStr">
        <is>
          <t>California</t>
        </is>
      </c>
    </row>
    <row r="29" ht="19.5" customHeight="1" s="254">
      <c r="A29" s="298" t="inlineStr">
        <is>
          <t>Lompoc Electric Division</t>
        </is>
      </c>
      <c r="B29" s="319" t="inlineStr">
        <is>
          <t>POU</t>
        </is>
      </c>
      <c r="C29" s="356" t="inlineStr">
        <is>
          <t>City of Lompoc, Santa Barbara Co.</t>
        </is>
      </c>
      <c r="D29" s="484" t="inlineStr">
        <is>
          <t>Not researched</t>
        </is>
      </c>
      <c r="F29" s="276" t="inlineStr">
        <is>
          <t>Lompoc Electric Division</t>
        </is>
      </c>
      <c r="J29" s="276" t="inlineStr">
        <is>
          <t>Lompoc Electric Division</t>
        </is>
      </c>
      <c r="K29" s="276" t="inlineStr">
        <is>
          <t>POU</t>
        </is>
      </c>
      <c r="L29" s="276" t="inlineStr">
        <is>
          <t>City of Lompoc, Santa Barbara Co.</t>
        </is>
      </c>
      <c r="M29" s="276" t="inlineStr">
        <is>
          <t>Not researched</t>
        </is>
      </c>
      <c r="N29" s="276" t="inlineStr">
        <is>
          <t>California</t>
        </is>
      </c>
    </row>
    <row r="30" ht="19.5" customHeight="1" s="254">
      <c r="A30" s="298" t="inlineStr">
        <is>
          <t>Truckee Donner PUD</t>
        </is>
      </c>
      <c r="B30" s="319" t="inlineStr">
        <is>
          <t>POU</t>
        </is>
      </c>
      <c r="C30" s="356" t="inlineStr">
        <is>
          <t>Truckee &amp; Donner, Nevada/Placer Co.</t>
        </is>
      </c>
      <c r="D30" s="484" t="inlineStr">
        <is>
          <t>Not researched</t>
        </is>
      </c>
      <c r="F30" s="276" t="inlineStr">
        <is>
          <t>Truckee Donner PUD</t>
        </is>
      </c>
      <c r="J30" s="276" t="inlineStr">
        <is>
          <t>Truckee Donner PUD</t>
        </is>
      </c>
      <c r="K30" s="276" t="inlineStr">
        <is>
          <t>POU</t>
        </is>
      </c>
      <c r="L30" s="276" t="inlineStr">
        <is>
          <t>Truckee &amp; Donner, Nevada/Placer Co.</t>
        </is>
      </c>
      <c r="M30" s="276" t="inlineStr">
        <is>
          <t>Not researched</t>
        </is>
      </c>
      <c r="N30" s="276" t="inlineStr">
        <is>
          <t>California</t>
        </is>
      </c>
    </row>
    <row r="31" ht="19.5" customHeight="1" s="254">
      <c r="A31" s="298" t="inlineStr">
        <is>
          <t>Banning Electric Utility</t>
        </is>
      </c>
      <c r="B31" s="319" t="inlineStr">
        <is>
          <t>POU</t>
        </is>
      </c>
      <c r="C31" s="356" t="inlineStr">
        <is>
          <t>City of Banning, Riverside Co.</t>
        </is>
      </c>
      <c r="D31" s="484" t="inlineStr">
        <is>
          <t>Not researched</t>
        </is>
      </c>
      <c r="F31" s="276" t="inlineStr">
        <is>
          <t>Banning Electric Utility</t>
        </is>
      </c>
      <c r="J31" s="276" t="inlineStr">
        <is>
          <t>Banning Electric Utility</t>
        </is>
      </c>
      <c r="K31" s="276" t="inlineStr">
        <is>
          <t>POU</t>
        </is>
      </c>
      <c r="L31" s="276" t="inlineStr">
        <is>
          <t>City of Banning, Riverside Co.</t>
        </is>
      </c>
      <c r="M31" s="276" t="inlineStr">
        <is>
          <t>Not researched</t>
        </is>
      </c>
      <c r="N31" s="276" t="inlineStr">
        <is>
          <t>California</t>
        </is>
      </c>
    </row>
    <row r="32" ht="19.5" customHeight="1" s="254">
      <c r="A32" s="298" t="inlineStr">
        <is>
          <t>Merced Irrigation District</t>
        </is>
      </c>
      <c r="B32" s="319" t="inlineStr">
        <is>
          <t>POU</t>
        </is>
      </c>
      <c r="C32" s="356" t="inlineStr">
        <is>
          <t>Merced County</t>
        </is>
      </c>
      <c r="D32" s="484" t="inlineStr">
        <is>
          <t>Not researched</t>
        </is>
      </c>
      <c r="F32" s="276" t="inlineStr">
        <is>
          <t>Merced Irrigation District</t>
        </is>
      </c>
      <c r="J32" s="276" t="inlineStr">
        <is>
          <t>Merced Irrigation District</t>
        </is>
      </c>
      <c r="K32" s="276" t="inlineStr">
        <is>
          <t>POU</t>
        </is>
      </c>
      <c r="L32" s="276" t="inlineStr">
        <is>
          <t>Merced County</t>
        </is>
      </c>
      <c r="M32" s="276" t="inlineStr">
        <is>
          <t>Not researched</t>
        </is>
      </c>
      <c r="N32" s="276" t="inlineStr">
        <is>
          <t>California</t>
        </is>
      </c>
    </row>
    <row r="33" ht="19.5" customHeight="1" s="254">
      <c r="A33" s="298" t="inlineStr">
        <is>
          <t>LMUD — Lassen Municipal Utility District</t>
        </is>
      </c>
      <c r="B33" s="319" t="inlineStr">
        <is>
          <t>POU</t>
        </is>
      </c>
      <c r="C33" s="356" t="inlineStr">
        <is>
          <t>Susanville &amp; Lassen Co.</t>
        </is>
      </c>
      <c r="D33" s="484" t="inlineStr">
        <is>
          <t>Not researched</t>
        </is>
      </c>
      <c r="F33" s="276" t="inlineStr">
        <is>
          <t>LMUD — Lassen Municipal Utility District</t>
        </is>
      </c>
      <c r="J33" s="276" t="inlineStr">
        <is>
          <t>LMUD — Lassen Municipal Utility District</t>
        </is>
      </c>
      <c r="K33" s="276" t="inlineStr">
        <is>
          <t>POU</t>
        </is>
      </c>
      <c r="L33" s="276" t="inlineStr">
        <is>
          <t>Susanville &amp; Lassen Co.</t>
        </is>
      </c>
      <c r="M33" s="276" t="inlineStr">
        <is>
          <t>Not researched</t>
        </is>
      </c>
      <c r="N33" s="276" t="inlineStr">
        <is>
          <t>California</t>
        </is>
      </c>
    </row>
    <row r="34" ht="19.5" customHeight="1" s="254">
      <c r="A34" s="298" t="inlineStr">
        <is>
          <t>Ukiah Electric Utility</t>
        </is>
      </c>
      <c r="B34" s="319" t="inlineStr">
        <is>
          <t>POU</t>
        </is>
      </c>
      <c r="C34" s="356" t="inlineStr">
        <is>
          <t>City of Ukiah, Mendocino Co.</t>
        </is>
      </c>
      <c r="D34" s="484" t="inlineStr">
        <is>
          <t>Not researched</t>
        </is>
      </c>
      <c r="F34" s="276" t="inlineStr">
        <is>
          <t>Ukiah Electric Utility</t>
        </is>
      </c>
      <c r="J34" s="276" t="inlineStr">
        <is>
          <t>Ukiah Electric Utility</t>
        </is>
      </c>
      <c r="K34" s="276" t="inlineStr">
        <is>
          <t>POU</t>
        </is>
      </c>
      <c r="L34" s="276" t="inlineStr">
        <is>
          <t>City of Ukiah, Mendocino Co.</t>
        </is>
      </c>
      <c r="M34" s="276" t="inlineStr">
        <is>
          <t>Not researched</t>
        </is>
      </c>
      <c r="N34" s="276" t="inlineStr">
        <is>
          <t>California</t>
        </is>
      </c>
    </row>
    <row r="35" ht="19.5" customHeight="1" s="254">
      <c r="A35" s="298" t="inlineStr">
        <is>
          <t>Trinity Public Utilities District</t>
        </is>
      </c>
      <c r="B35" s="319" t="inlineStr">
        <is>
          <t>POU</t>
        </is>
      </c>
      <c r="C35" s="356" t="inlineStr">
        <is>
          <t>Trinity County</t>
        </is>
      </c>
      <c r="D35" s="484" t="inlineStr">
        <is>
          <t>Not researched</t>
        </is>
      </c>
      <c r="F35" s="276" t="inlineStr">
        <is>
          <t>Trinity Public Utilities District</t>
        </is>
      </c>
      <c r="J35" s="276" t="inlineStr">
        <is>
          <t>Trinity Public Utilities District</t>
        </is>
      </c>
      <c r="K35" s="276" t="inlineStr">
        <is>
          <t>POU</t>
        </is>
      </c>
      <c r="L35" s="276" t="inlineStr">
        <is>
          <t>Trinity County</t>
        </is>
      </c>
      <c r="M35" s="276" t="inlineStr">
        <is>
          <t>Not researched</t>
        </is>
      </c>
      <c r="N35" s="276" t="inlineStr">
        <is>
          <t>California</t>
        </is>
      </c>
    </row>
    <row r="36" ht="19.5" customHeight="1" s="254">
      <c r="A36" s="298" t="inlineStr">
        <is>
          <t>Healdsburg Electric Department</t>
        </is>
      </c>
      <c r="B36" s="319" t="inlineStr">
        <is>
          <t>POU</t>
        </is>
      </c>
      <c r="C36" s="356" t="inlineStr">
        <is>
          <t>City of Healdsburg, Sonoma Co.</t>
        </is>
      </c>
      <c r="D36" s="484" t="inlineStr">
        <is>
          <t>Not researched</t>
        </is>
      </c>
      <c r="F36" s="276" t="inlineStr">
        <is>
          <t>Healdsburg Electric Department</t>
        </is>
      </c>
      <c r="J36" s="276" t="inlineStr">
        <is>
          <t>Healdsburg Electric Department</t>
        </is>
      </c>
      <c r="K36" s="276" t="inlineStr">
        <is>
          <t>POU</t>
        </is>
      </c>
      <c r="L36" s="276" t="inlineStr">
        <is>
          <t>City of Healdsburg, Sonoma Co.</t>
        </is>
      </c>
      <c r="M36" s="276" t="inlineStr">
        <is>
          <t>Not researched</t>
        </is>
      </c>
      <c r="N36" s="276" t="inlineStr">
        <is>
          <t>California</t>
        </is>
      </c>
    </row>
    <row r="37" ht="19.5" customHeight="1" s="254">
      <c r="A37" s="298" t="inlineStr">
        <is>
          <t>Shasta Lake Electric Utility</t>
        </is>
      </c>
      <c r="B37" s="319" t="inlineStr">
        <is>
          <t>POU</t>
        </is>
      </c>
      <c r="C37" s="356" t="inlineStr">
        <is>
          <t>City of Shasta Lake, Shasta Co.</t>
        </is>
      </c>
      <c r="D37" s="484" t="inlineStr">
        <is>
          <t>Not researched</t>
        </is>
      </c>
      <c r="F37" s="276" t="inlineStr">
        <is>
          <t>Shasta Lake Electric Utility</t>
        </is>
      </c>
      <c r="J37" s="276" t="inlineStr">
        <is>
          <t>Shasta Lake Electric Utility</t>
        </is>
      </c>
      <c r="K37" s="276" t="inlineStr">
        <is>
          <t>POU</t>
        </is>
      </c>
      <c r="L37" s="276" t="inlineStr">
        <is>
          <t>City of Shasta Lake, Shasta Co.</t>
        </is>
      </c>
      <c r="M37" s="276" t="inlineStr">
        <is>
          <t>Not researched</t>
        </is>
      </c>
      <c r="N37" s="276" t="inlineStr">
        <is>
          <t>California</t>
        </is>
      </c>
    </row>
    <row r="38" ht="27.76" customHeight="1" s="254">
      <c r="A38" s="298" t="inlineStr">
        <is>
          <t>Rancho Cucamonga Municipal Utility</t>
        </is>
      </c>
      <c r="B38" s="319" t="inlineStr">
        <is>
          <t>POU</t>
        </is>
      </c>
      <c r="C38" s="356" t="inlineStr">
        <is>
          <t>PARTIAL — newer development only; SCE serves the rest</t>
        </is>
      </c>
      <c r="D38" s="484" t="inlineStr">
        <is>
          <t>Not researched</t>
        </is>
      </c>
      <c r="F38" s="276" t="inlineStr">
        <is>
          <t>Rancho Cucamonga Municipal Utility</t>
        </is>
      </c>
      <c r="J38" s="276" t="inlineStr">
        <is>
          <t>Rancho Cucamonga Municipal Utility</t>
        </is>
      </c>
      <c r="K38" s="276" t="inlineStr">
        <is>
          <t>POU</t>
        </is>
      </c>
      <c r="L38" s="276" t="inlineStr">
        <is>
          <t>PARTIAL — newer development only; SCE serves the rest</t>
        </is>
      </c>
      <c r="M38" s="276" t="inlineStr">
        <is>
          <t>Not researched</t>
        </is>
      </c>
      <c r="N38" s="276" t="inlineStr">
        <is>
          <t>California</t>
        </is>
      </c>
    </row>
    <row r="39" ht="27.76" customHeight="1" s="254">
      <c r="A39" s="298" t="inlineStr">
        <is>
          <t>Moreno Valley Utility</t>
        </is>
      </c>
      <c r="B39" s="319" t="inlineStr">
        <is>
          <t>POU</t>
        </is>
      </c>
      <c r="C39" s="356" t="inlineStr">
        <is>
          <t>PARTIAL — post-2004 development only; SCE serves the rest</t>
        </is>
      </c>
      <c r="D39" s="484" t="inlineStr">
        <is>
          <t>Not researched</t>
        </is>
      </c>
      <c r="F39" s="276" t="inlineStr">
        <is>
          <t>Moreno Valley Utility</t>
        </is>
      </c>
      <c r="J39" s="276" t="inlineStr">
        <is>
          <t>Moreno Valley Utility</t>
        </is>
      </c>
      <c r="K39" s="276" t="inlineStr">
        <is>
          <t>POU</t>
        </is>
      </c>
      <c r="L39" s="485" t="inlineStr">
        <is>
          <t>PARTIAL — post-2004 development only; SCE serves the rest</t>
        </is>
      </c>
      <c r="M39" s="276" t="inlineStr">
        <is>
          <t>Not researched</t>
        </is>
      </c>
      <c r="N39" s="276" t="inlineStr">
        <is>
          <t>California</t>
        </is>
      </c>
    </row>
    <row r="40" ht="19.5" customHeight="1" s="254">
      <c r="A40" s="298" t="inlineStr">
        <is>
          <t>Gridley Electric Utility</t>
        </is>
      </c>
      <c r="B40" s="319" t="inlineStr">
        <is>
          <t>POU</t>
        </is>
      </c>
      <c r="C40" s="356" t="inlineStr">
        <is>
          <t>City of Gridley, Butte Co.</t>
        </is>
      </c>
      <c r="D40" s="484" t="inlineStr">
        <is>
          <t>Not researched</t>
        </is>
      </c>
      <c r="F40" s="276" t="inlineStr">
        <is>
          <t>Gridley Electric Utility</t>
        </is>
      </c>
      <c r="J40" s="276" t="inlineStr">
        <is>
          <t>Gridley Electric Utility</t>
        </is>
      </c>
      <c r="K40" s="276" t="inlineStr">
        <is>
          <t>POU</t>
        </is>
      </c>
      <c r="L40" s="276" t="inlineStr">
        <is>
          <t>City of Gridley, Butte Co.</t>
        </is>
      </c>
      <c r="M40" s="276" t="inlineStr">
        <is>
          <t>Not researched</t>
        </is>
      </c>
      <c r="N40" s="276" t="inlineStr">
        <is>
          <t>California</t>
        </is>
      </c>
    </row>
    <row r="41" ht="19.5" customHeight="1" s="254">
      <c r="A41" s="298" t="inlineStr">
        <is>
          <t>Needles Public Utility Authority</t>
        </is>
      </c>
      <c r="B41" s="319" t="inlineStr">
        <is>
          <t>POU</t>
        </is>
      </c>
      <c r="C41" s="356" t="inlineStr">
        <is>
          <t>City of Needles, San Bernardino Co.</t>
        </is>
      </c>
      <c r="D41" s="484" t="inlineStr">
        <is>
          <t>Not researched</t>
        </is>
      </c>
      <c r="F41" s="276" t="inlineStr">
        <is>
          <t>Needles Public Utility Authority</t>
        </is>
      </c>
      <c r="J41" s="276" t="inlineStr">
        <is>
          <t>Needles Public Utility Authority</t>
        </is>
      </c>
      <c r="K41" s="276" t="inlineStr">
        <is>
          <t>POU</t>
        </is>
      </c>
      <c r="L41" s="276" t="inlineStr">
        <is>
          <t>City of Needles, San Bernardino Co.</t>
        </is>
      </c>
      <c r="M41" s="276" t="inlineStr">
        <is>
          <t>Not researched</t>
        </is>
      </c>
      <c r="N41" s="276" t="inlineStr">
        <is>
          <t>California</t>
        </is>
      </c>
    </row>
    <row r="42" ht="19.5" customHeight="1" s="254">
      <c r="A42" s="298" t="inlineStr">
        <is>
          <t>Biggs Municipal Utilities</t>
        </is>
      </c>
      <c r="B42" s="319" t="inlineStr">
        <is>
          <t>POU</t>
        </is>
      </c>
      <c r="C42" s="356" t="inlineStr">
        <is>
          <t>City of Biggs, Butte Co.</t>
        </is>
      </c>
      <c r="D42" s="484" t="inlineStr">
        <is>
          <t>Not researched</t>
        </is>
      </c>
      <c r="F42" s="276" t="inlineStr">
        <is>
          <t>Biggs Municipal Utilities</t>
        </is>
      </c>
      <c r="J42" s="276" t="inlineStr">
        <is>
          <t>Biggs Municipal Utilities</t>
        </is>
      </c>
      <c r="K42" s="276" t="inlineStr">
        <is>
          <t>POU</t>
        </is>
      </c>
      <c r="L42" s="276" t="inlineStr">
        <is>
          <t>City of Biggs, Butte Co.</t>
        </is>
      </c>
      <c r="M42" s="276" t="inlineStr">
        <is>
          <t>Not researched</t>
        </is>
      </c>
      <c r="N42" s="276" t="inlineStr">
        <is>
          <t>California</t>
        </is>
      </c>
    </row>
    <row r="43" ht="27.76" customHeight="1" s="254">
      <c r="A43" s="298" t="inlineStr">
        <is>
          <t>Kirkwood Meadows PUD</t>
        </is>
      </c>
      <c r="B43" s="319" t="inlineStr">
        <is>
          <t>POU</t>
        </is>
      </c>
      <c r="C43" s="356" t="inlineStr">
        <is>
          <t>Kirkwood ski area, Alpine/Amador/El Dorado</t>
        </is>
      </c>
      <c r="D43" s="484" t="inlineStr">
        <is>
          <t>Not researched</t>
        </is>
      </c>
      <c r="F43" s="276" t="inlineStr">
        <is>
          <t>Kirkwood Meadows PUD</t>
        </is>
      </c>
      <c r="J43" s="276" t="inlineStr">
        <is>
          <t>Kirkwood Meadows PUD</t>
        </is>
      </c>
      <c r="K43" s="276" t="inlineStr">
        <is>
          <t>POU</t>
        </is>
      </c>
      <c r="L43" s="276" t="inlineStr">
        <is>
          <t>Kirkwood ski area, Alpine/Amador/El Dorado</t>
        </is>
      </c>
      <c r="M43" s="276" t="inlineStr">
        <is>
          <t>Not researched</t>
        </is>
      </c>
      <c r="N43" s="276" t="inlineStr">
        <is>
          <t>California</t>
        </is>
      </c>
    </row>
    <row r="44" ht="19.5" customHeight="1" s="254">
      <c r="A44" s="298" t="inlineStr">
        <is>
          <t>Shelter Cove Resort Improvement District</t>
        </is>
      </c>
      <c r="B44" s="319" t="inlineStr">
        <is>
          <t>POU</t>
        </is>
      </c>
      <c r="C44" s="356" t="inlineStr">
        <is>
          <t>Shelter Cove, Humboldt Co.</t>
        </is>
      </c>
      <c r="D44" s="484" t="inlineStr">
        <is>
          <t>Not researched</t>
        </is>
      </c>
      <c r="F44" s="276" t="inlineStr">
        <is>
          <t>Shelter Cove Resort Improvement District</t>
        </is>
      </c>
      <c r="J44" s="276" t="inlineStr">
        <is>
          <t>Shelter Cove Resort Improvement District</t>
        </is>
      </c>
      <c r="K44" s="276" t="inlineStr">
        <is>
          <t>POU</t>
        </is>
      </c>
      <c r="L44" s="276" t="inlineStr">
        <is>
          <t>Shelter Cove, Humboldt Co.</t>
        </is>
      </c>
      <c r="M44" s="276" t="inlineStr">
        <is>
          <t>Not researched</t>
        </is>
      </c>
      <c r="N44" s="276" t="inlineStr">
        <is>
          <t>California</t>
        </is>
      </c>
    </row>
    <row r="45" ht="27.76" customHeight="1" s="254">
      <c r="A45" s="298" t="inlineStr">
        <is>
          <t>Hetch Hetchy Power (SFPUC)</t>
        </is>
      </c>
      <c r="B45" s="319" t="inlineStr">
        <is>
          <t>POU</t>
        </is>
      </c>
      <c r="C45" s="356" t="inlineStr">
        <is>
          <t>SF municipal, SFO, Muni, new development</t>
        </is>
      </c>
      <c r="D45" s="484" t="inlineStr">
        <is>
          <t>Not researched</t>
        </is>
      </c>
      <c r="F45" s="276" t="inlineStr">
        <is>
          <t>Hetch Hetchy Power (SFPUC)</t>
        </is>
      </c>
      <c r="J45" s="276" t="inlineStr">
        <is>
          <t>Hetch Hetchy Power (SFPUC)</t>
        </is>
      </c>
      <c r="K45" s="276" t="inlineStr">
        <is>
          <t>POU</t>
        </is>
      </c>
      <c r="L45" s="276" t="inlineStr">
        <is>
          <t>SF municipal, SFO, Muni, new development</t>
        </is>
      </c>
      <c r="M45" s="276" t="inlineStr">
        <is>
          <t>Not researched</t>
        </is>
      </c>
      <c r="N45" s="276" t="inlineStr">
        <is>
          <t>California</t>
        </is>
      </c>
    </row>
    <row r="46" ht="19.5" customHeight="1" s="254">
      <c r="A46" s="298" t="inlineStr">
        <is>
          <t>City of Vernon (Vernon Public Utilities)</t>
        </is>
      </c>
      <c r="B46" s="319" t="inlineStr">
        <is>
          <t>POU</t>
        </is>
      </c>
      <c r="C46" s="356" t="inlineStr">
        <is>
          <t>Industrial city of Vernon, LA Co.</t>
        </is>
      </c>
      <c r="D46" s="484" t="inlineStr">
        <is>
          <t>Not researched</t>
        </is>
      </c>
      <c r="F46" s="276" t="inlineStr">
        <is>
          <t>City of Vernon (Vernon Public Utilities)</t>
        </is>
      </c>
      <c r="J46" s="276" t="inlineStr">
        <is>
          <t>City of Vernon (Vernon Public Utilities)</t>
        </is>
      </c>
      <c r="K46" s="276" t="inlineStr">
        <is>
          <t>POU</t>
        </is>
      </c>
      <c r="L46" s="276" t="inlineStr">
        <is>
          <t>Industrial city of Vernon, LA Co.</t>
        </is>
      </c>
      <c r="M46" s="276" t="inlineStr">
        <is>
          <t>Not researched</t>
        </is>
      </c>
      <c r="N46" s="276" t="inlineStr">
        <is>
          <t>California</t>
        </is>
      </c>
    </row>
    <row r="47" ht="27.76" customHeight="1" s="254">
      <c r="A47" s="298" t="inlineStr">
        <is>
          <t>Corona Department of Water &amp; Power</t>
        </is>
      </c>
      <c r="B47" s="319" t="inlineStr">
        <is>
          <t>POU</t>
        </is>
      </c>
      <c r="C47" s="356" t="inlineStr">
        <is>
          <t>PARTIAL — limited footprint; SCE serves most of Corona</t>
        </is>
      </c>
      <c r="D47" s="484" t="inlineStr">
        <is>
          <t>Not researched</t>
        </is>
      </c>
      <c r="F47" s="276" t="inlineStr">
        <is>
          <t>Corona Department of Water &amp; Power</t>
        </is>
      </c>
      <c r="J47" s="276" t="inlineStr">
        <is>
          <t>Corona Department of Water &amp; Power</t>
        </is>
      </c>
      <c r="K47" s="276" t="inlineStr">
        <is>
          <t>POU</t>
        </is>
      </c>
      <c r="L47" s="276" t="inlineStr">
        <is>
          <t>PARTIAL — limited footprint; SCE serves most of Corona</t>
        </is>
      </c>
      <c r="M47" s="276" t="inlineStr">
        <is>
          <t>Not researched</t>
        </is>
      </c>
      <c r="N47" s="276" t="inlineStr">
        <is>
          <t>California</t>
        </is>
      </c>
    </row>
    <row r="48" ht="27.76" customHeight="1" s="254">
      <c r="A48" s="298" t="inlineStr">
        <is>
          <t>Victorville Municipal Utilities Services</t>
        </is>
      </c>
      <c r="B48" s="319" t="inlineStr">
        <is>
          <t>POU</t>
        </is>
      </c>
      <c r="C48" s="356" t="inlineStr">
        <is>
          <t>SCLA &amp; industrial Victorville; SCE serves the rest</t>
        </is>
      </c>
      <c r="D48" s="484" t="inlineStr">
        <is>
          <t>Not researched</t>
        </is>
      </c>
      <c r="F48" s="276" t="inlineStr">
        <is>
          <t>Victorville Municipal Utilities Services</t>
        </is>
      </c>
      <c r="J48" s="276" t="inlineStr">
        <is>
          <t>Victorville Municipal Utilities Services</t>
        </is>
      </c>
      <c r="K48" s="276" t="inlineStr">
        <is>
          <t>POU</t>
        </is>
      </c>
      <c r="L48" s="276" t="inlineStr">
        <is>
          <t>SCLA &amp; industrial Victorville; SCE serves the rest</t>
        </is>
      </c>
      <c r="M48" s="276" t="inlineStr">
        <is>
          <t>Not researched</t>
        </is>
      </c>
      <c r="N48" s="276" t="inlineStr">
        <is>
          <t>California</t>
        </is>
      </c>
    </row>
    <row r="49" ht="19.5" customHeight="1" s="254">
      <c r="A49" s="298" t="inlineStr">
        <is>
          <t>Island Energy (Pittsburg Power Co.)</t>
        </is>
      </c>
      <c r="B49" s="319" t="inlineStr">
        <is>
          <t>POU</t>
        </is>
      </c>
      <c r="C49" s="356" t="inlineStr">
        <is>
          <t>Mare Island &amp; Pittsburg</t>
        </is>
      </c>
      <c r="D49" s="484" t="inlineStr">
        <is>
          <t>Not researched</t>
        </is>
      </c>
      <c r="F49" s="276" t="inlineStr">
        <is>
          <t>Island Energy (Pittsburg Power Co.)</t>
        </is>
      </c>
      <c r="J49" s="276" t="inlineStr">
        <is>
          <t>Island Energy (Pittsburg Power Co.)</t>
        </is>
      </c>
      <c r="K49" s="276" t="inlineStr">
        <is>
          <t>POU</t>
        </is>
      </c>
      <c r="L49" s="276" t="inlineStr">
        <is>
          <t>Mare Island &amp; Pittsburg</t>
        </is>
      </c>
      <c r="M49" s="276" t="inlineStr">
        <is>
          <t>Not researched</t>
        </is>
      </c>
      <c r="N49" s="276" t="inlineStr">
        <is>
          <t>California</t>
        </is>
      </c>
    </row>
    <row r="50" ht="19.5" customHeight="1" s="254">
      <c r="A50" s="298" t="inlineStr">
        <is>
          <t>Port of Oakland</t>
        </is>
      </c>
      <c r="B50" s="319" t="inlineStr">
        <is>
          <t>POU</t>
        </is>
      </c>
      <c r="C50" s="356" t="inlineStr">
        <is>
          <t>Port &amp; Oakland Airport tenants</t>
        </is>
      </c>
      <c r="D50" s="484" t="inlineStr">
        <is>
          <t>Not researched</t>
        </is>
      </c>
      <c r="F50" s="276" t="inlineStr">
        <is>
          <t>Port of Oakland</t>
        </is>
      </c>
      <c r="J50" s="276" t="inlineStr">
        <is>
          <t>Port of Oakland</t>
        </is>
      </c>
      <c r="K50" s="276" t="inlineStr">
        <is>
          <t>POU</t>
        </is>
      </c>
      <c r="L50" s="276" t="inlineStr">
        <is>
          <t>Port &amp; Oakland Airport tenants</t>
        </is>
      </c>
      <c r="M50" s="276" t="inlineStr">
        <is>
          <t>Not researched</t>
        </is>
      </c>
      <c r="N50" s="276" t="inlineStr">
        <is>
          <t>California</t>
        </is>
      </c>
    </row>
    <row r="51" ht="19.5" customHeight="1" s="254">
      <c r="A51" s="298" t="inlineStr">
        <is>
          <t>Port of Stockton</t>
        </is>
      </c>
      <c r="B51" s="319" t="inlineStr">
        <is>
          <t>POU</t>
        </is>
      </c>
      <c r="C51" s="356" t="inlineStr">
        <is>
          <t>Port tenants, San Joaquin Co.</t>
        </is>
      </c>
      <c r="D51" s="484" t="inlineStr">
        <is>
          <t>Not researched</t>
        </is>
      </c>
      <c r="F51" s="276" t="inlineStr">
        <is>
          <t>Port of Stockton</t>
        </is>
      </c>
      <c r="J51" s="276" t="inlineStr">
        <is>
          <t>Port of Stockton</t>
        </is>
      </c>
      <c r="K51" s="276" t="inlineStr">
        <is>
          <t>POU</t>
        </is>
      </c>
      <c r="L51" s="276" t="inlineStr">
        <is>
          <t>Port tenants, San Joaquin Co.</t>
        </is>
      </c>
      <c r="M51" s="276" t="inlineStr">
        <is>
          <t>Not researched</t>
        </is>
      </c>
      <c r="N51" s="276" t="inlineStr">
        <is>
          <t>California</t>
        </is>
      </c>
    </row>
    <row r="52" ht="19.5" customHeight="1" s="254">
      <c r="A52" s="298" t="inlineStr">
        <is>
          <t>City of Industry</t>
        </is>
      </c>
      <c r="B52" s="319" t="inlineStr">
        <is>
          <t>POU</t>
        </is>
      </c>
      <c r="C52" s="356" t="inlineStr">
        <is>
          <t>Industrial city, LA Co.</t>
        </is>
      </c>
      <c r="D52" s="484" t="inlineStr">
        <is>
          <t>Not researched</t>
        </is>
      </c>
      <c r="F52" s="276" t="inlineStr">
        <is>
          <t>City of Industry</t>
        </is>
      </c>
      <c r="J52" s="276" t="inlineStr">
        <is>
          <t>City of Industry</t>
        </is>
      </c>
      <c r="K52" s="276" t="inlineStr">
        <is>
          <t>POU</t>
        </is>
      </c>
      <c r="L52" s="276" t="inlineStr">
        <is>
          <t>Industrial city, LA Co.</t>
        </is>
      </c>
      <c r="M52" s="276" t="inlineStr">
        <is>
          <t>Not researched</t>
        </is>
      </c>
      <c r="N52" s="276" t="inlineStr">
        <is>
          <t>California</t>
        </is>
      </c>
    </row>
    <row r="53" ht="27.76" customHeight="1" s="254">
      <c r="A53" s="298" t="inlineStr">
        <is>
          <t>Cerritos Electric Utility</t>
        </is>
      </c>
      <c r="B53" s="319" t="inlineStr">
        <is>
          <t>POU</t>
        </is>
      </c>
      <c r="C53" s="356" t="inlineStr">
        <is>
          <t>Cerritos businesses — SCE still DELIVERS. Verify</t>
        </is>
      </c>
      <c r="D53" s="484" t="inlineStr">
        <is>
          <t>Verify delivery tariff with SCE</t>
        </is>
      </c>
      <c r="F53" s="276" t="inlineStr">
        <is>
          <t>Cerritos Electric Utility</t>
        </is>
      </c>
      <c r="J53" s="276" t="inlineStr">
        <is>
          <t>Cerritos Electric Utility</t>
        </is>
      </c>
      <c r="K53" s="276" t="inlineStr">
        <is>
          <t>POU</t>
        </is>
      </c>
      <c r="L53" s="276" t="inlineStr">
        <is>
          <t>Cerritos businesses — SCE still DELIVERS. Verify</t>
        </is>
      </c>
      <c r="M53" s="276" t="inlineStr">
        <is>
          <t>Verify delivery tariff with SCE</t>
        </is>
      </c>
      <c r="N53" s="276" t="inlineStr">
        <is>
          <t>California</t>
        </is>
      </c>
    </row>
    <row r="54" ht="19.5" customHeight="1" s="254">
      <c r="A54" s="298" t="inlineStr">
        <is>
          <t>Lathrop Irrigation District</t>
        </is>
      </c>
      <c r="B54" s="319" t="inlineStr">
        <is>
          <t>POU</t>
        </is>
      </c>
      <c r="C54" s="356" t="inlineStr">
        <is>
          <t>Parts of Lathrop, San Joaquin Co.</t>
        </is>
      </c>
      <c r="D54" s="484" t="inlineStr">
        <is>
          <t>Not researched</t>
        </is>
      </c>
      <c r="F54" s="276" t="inlineStr">
        <is>
          <t>Lathrop Irrigation District</t>
        </is>
      </c>
      <c r="J54" s="276" t="inlineStr">
        <is>
          <t>Lathrop Irrigation District</t>
        </is>
      </c>
      <c r="K54" s="276" t="inlineStr">
        <is>
          <t>POU</t>
        </is>
      </c>
      <c r="L54" s="276" t="inlineStr">
        <is>
          <t>Parts of Lathrop, San Joaquin Co.</t>
        </is>
      </c>
      <c r="M54" s="276" t="inlineStr">
        <is>
          <t>Not researched</t>
        </is>
      </c>
      <c r="N54" s="276" t="inlineStr">
        <is>
          <t>California</t>
        </is>
      </c>
    </row>
    <row r="55" ht="19.5" customHeight="1" s="254">
      <c r="A55" s="298" t="inlineStr">
        <is>
          <t>Aha Macav Power Service (Fort Mojave)</t>
        </is>
      </c>
      <c r="B55" s="319" t="inlineStr">
        <is>
          <t>Tribal</t>
        </is>
      </c>
      <c r="C55" s="356" t="inlineStr">
        <is>
          <t>Fort Mojave reservation near Needles</t>
        </is>
      </c>
      <c r="D55" s="484" t="inlineStr">
        <is>
          <t>Not researched</t>
        </is>
      </c>
      <c r="F55" s="276" t="inlineStr">
        <is>
          <t>Aha Macav Power Service (Fort Mojave)</t>
        </is>
      </c>
      <c r="J55" s="276" t="inlineStr">
        <is>
          <t>Aha Macav Power Service (Fort Mojave)</t>
        </is>
      </c>
      <c r="K55" s="276" t="inlineStr">
        <is>
          <t>Tribal</t>
        </is>
      </c>
      <c r="L55" s="276" t="inlineStr">
        <is>
          <t>Fort Mojave reservation near Needles</t>
        </is>
      </c>
      <c r="M55" s="276" t="inlineStr">
        <is>
          <t>Not researched</t>
        </is>
      </c>
      <c r="N55" s="276" t="inlineStr">
        <is>
          <t>California</t>
        </is>
      </c>
    </row>
    <row r="56" ht="19.5" customHeight="1" s="254">
      <c r="A56" s="298" t="inlineStr">
        <is>
          <t>Plumas-Sierra Rural Electric Cooperative</t>
        </is>
      </c>
      <c r="B56" s="319" t="inlineStr">
        <is>
          <t>Co-op</t>
        </is>
      </c>
      <c r="C56" s="356" t="inlineStr">
        <is>
          <t>Plumas, Lassen, Sierra counties</t>
        </is>
      </c>
      <c r="D56" s="484" t="inlineStr">
        <is>
          <t>Not researched</t>
        </is>
      </c>
      <c r="F56" s="276" t="inlineStr">
        <is>
          <t>Plumas-Sierra Rural Electric Cooperative</t>
        </is>
      </c>
      <c r="J56" s="276" t="inlineStr">
        <is>
          <t>Plumas-Sierra Rural Electric Cooperative</t>
        </is>
      </c>
      <c r="K56" s="276" t="inlineStr">
        <is>
          <t>Co-op</t>
        </is>
      </c>
      <c r="L56" s="276" t="inlineStr">
        <is>
          <t>Plumas, Lassen, Sierra counties</t>
        </is>
      </c>
      <c r="M56" s="276" t="inlineStr">
        <is>
          <t>Not researched</t>
        </is>
      </c>
      <c r="N56" s="276" t="inlineStr">
        <is>
          <t>California</t>
        </is>
      </c>
    </row>
    <row r="57" ht="27.76" customHeight="1" s="254">
      <c r="A57" s="298" t="inlineStr">
        <is>
          <t>Anza Electric Cooperative</t>
        </is>
      </c>
      <c r="B57" s="319" t="inlineStr">
        <is>
          <t>Co-op</t>
        </is>
      </c>
      <c r="C57" s="356" t="inlineStr">
        <is>
          <t>Anza, Aguanga, Garner Valley, Riverside Co.</t>
        </is>
      </c>
      <c r="D57" s="484" t="inlineStr">
        <is>
          <t>Not researched</t>
        </is>
      </c>
      <c r="F57" s="276" t="inlineStr">
        <is>
          <t>Anza Electric Cooperative</t>
        </is>
      </c>
      <c r="J57" s="276" t="inlineStr">
        <is>
          <t>Anza Electric Cooperative</t>
        </is>
      </c>
      <c r="K57" s="276" t="inlineStr">
        <is>
          <t>Co-op</t>
        </is>
      </c>
      <c r="L57" s="276" t="inlineStr">
        <is>
          <t>Anza, Aguanga, Garner Valley, Riverside Co.</t>
        </is>
      </c>
      <c r="M57" s="276" t="inlineStr">
        <is>
          <t>Not researched</t>
        </is>
      </c>
      <c r="N57" s="276" t="inlineStr">
        <is>
          <t>California</t>
        </is>
      </c>
    </row>
    <row r="58" ht="19.5" customHeight="1" s="254">
      <c r="A58" s="298" t="inlineStr">
        <is>
          <t>Surprise Valley Electrification Corp</t>
        </is>
      </c>
      <c r="B58" s="319" t="inlineStr">
        <is>
          <t>Co-op</t>
        </is>
      </c>
      <c r="C58" s="356" t="inlineStr">
        <is>
          <t>Modoc &amp; Lassen counties</t>
        </is>
      </c>
      <c r="D58" s="484" t="inlineStr">
        <is>
          <t>Not researched</t>
        </is>
      </c>
      <c r="F58" s="276" t="inlineStr">
        <is>
          <t>Surprise Valley Electrification Corp</t>
        </is>
      </c>
      <c r="J58" s="276" t="inlineStr">
        <is>
          <t>Surprise Valley Electrification Corp</t>
        </is>
      </c>
      <c r="K58" s="276" t="inlineStr">
        <is>
          <t>Co-op</t>
        </is>
      </c>
      <c r="L58" s="276" t="inlineStr">
        <is>
          <t>Modoc &amp; Lassen counties</t>
        </is>
      </c>
      <c r="M58" s="276" t="inlineStr">
        <is>
          <t>Not researched</t>
        </is>
      </c>
      <c r="N58" s="276" t="inlineStr">
        <is>
          <t>California</t>
        </is>
      </c>
    </row>
    <row r="59" ht="27.76" customHeight="1" s="254">
      <c r="A59" s="298" t="inlineStr">
        <is>
          <t>Valley Electric Association</t>
        </is>
      </c>
      <c r="B59" s="319" t="inlineStr">
        <is>
          <t>Co-op</t>
        </is>
      </c>
      <c r="C59" s="356" t="inlineStr">
        <is>
          <t>Sliver of eastern Inyo Co. (44 customers)</t>
        </is>
      </c>
      <c r="D59" s="484" t="inlineStr">
        <is>
          <t>Not researched</t>
        </is>
      </c>
      <c r="F59" s="276" t="inlineStr">
        <is>
          <t>Valley Electric Association</t>
        </is>
      </c>
      <c r="J59" s="276" t="inlineStr">
        <is>
          <t>Valley Electric Association</t>
        </is>
      </c>
      <c r="K59" s="276" t="inlineStr">
        <is>
          <t>Co-op</t>
        </is>
      </c>
      <c r="L59" s="276" t="inlineStr">
        <is>
          <t>Sliver of eastern Inyo Co. (44 customers)</t>
        </is>
      </c>
      <c r="M59" s="276" t="inlineStr">
        <is>
          <t>Not researched</t>
        </is>
      </c>
      <c r="N59" s="276" t="inlineStr">
        <is>
          <t>California</t>
        </is>
      </c>
    </row>
    <row r="60" ht="27.76" customHeight="1" s="254">
      <c r="A60" s="298" t="inlineStr">
        <is>
          <t>Other / not listed — enter manually</t>
        </is>
      </c>
      <c r="B60" s="319" t="inlineStr">
        <is>
          <t>Other</t>
        </is>
      </c>
      <c r="C60" s="486" t="n"/>
      <c r="D60" s="484" t="inlineStr">
        <is>
          <t>Enter the tariff manually on 9_Overrides</t>
        </is>
      </c>
      <c r="F60" s="276" t="inlineStr">
        <is>
          <t>DTE Electric Company</t>
        </is>
      </c>
      <c r="J60" s="276" t="inlineStr">
        <is>
          <t>DTE Electric Company</t>
        </is>
      </c>
      <c r="K60" s="276" t="inlineStr">
        <is>
          <t>IOU</t>
        </is>
      </c>
      <c r="L60" s="276" t="inlineStr">
        <is>
          <t>Southeast Michigan — Detroit, Ann Arbor, Port Huron</t>
        </is>
      </c>
      <c r="M60" s="276" t="inlineStr">
        <is>
          <t>Not researched here</t>
        </is>
      </c>
      <c r="N60" s="276" t="inlineStr">
        <is>
          <t>Michigan</t>
        </is>
      </c>
    </row>
    <row r="61" ht="14.25" customHeight="1" s="254">
      <c r="F61" s="276" t="inlineStr">
        <is>
          <t>Consumers Energy</t>
        </is>
      </c>
      <c r="J61" s="276" t="inlineStr">
        <is>
          <t>Consumers Energy</t>
        </is>
      </c>
      <c r="K61" s="276" t="inlineStr">
        <is>
          <t>IOU</t>
        </is>
      </c>
      <c r="L61" s="276" t="inlineStr">
        <is>
          <t>Most of the Lower Peninsula outside DTE</t>
        </is>
      </c>
      <c r="M61" s="276" t="inlineStr">
        <is>
          <t>Not researched here</t>
        </is>
      </c>
      <c r="N61" s="276" t="inlineStr">
        <is>
          <t>Michigan</t>
        </is>
      </c>
    </row>
    <row r="62" ht="14.25" customHeight="1" s="254">
      <c r="F62" s="276" t="inlineStr">
        <is>
          <t>Indiana Michigan Power (AEP)</t>
        </is>
      </c>
      <c r="J62" s="276" t="inlineStr">
        <is>
          <t>Indiana Michigan Power (AEP)</t>
        </is>
      </c>
      <c r="K62" s="276" t="inlineStr">
        <is>
          <t>IOU</t>
        </is>
      </c>
      <c r="L62" s="276" t="inlineStr">
        <is>
          <t>Southwest MI — Berrien, Cass, St Joseph</t>
        </is>
      </c>
      <c r="M62" s="276" t="inlineStr">
        <is>
          <t>Not researched here</t>
        </is>
      </c>
      <c r="N62" s="276" t="inlineStr">
        <is>
          <t>Michigan</t>
        </is>
      </c>
    </row>
    <row r="63" ht="15" customHeight="1" s="254">
      <c r="A63" s="262" t="inlineStr">
        <is>
          <t>COMMUNITY CHOICE AGGREGATORS — generation only</t>
        </is>
      </c>
      <c r="F63" s="276" t="inlineStr">
        <is>
          <t>UMERC — Upper Michigan Energy Resources (We Energies)</t>
        </is>
      </c>
      <c r="J63" s="276" t="inlineStr">
        <is>
          <t>UMERC — Upper Michigan Energy Resources (We Energies)</t>
        </is>
      </c>
      <c r="K63" s="276" t="inlineStr">
        <is>
          <t>IOU</t>
        </is>
      </c>
      <c r="L63" s="276" t="inlineStr">
        <is>
          <t>Upper Peninsula — Marquette, Menominee</t>
        </is>
      </c>
      <c r="M63" s="276" t="inlineStr">
        <is>
          <t>Not researched here</t>
        </is>
      </c>
      <c r="N63" s="276" t="inlineStr">
        <is>
          <t>Michigan</t>
        </is>
      </c>
    </row>
    <row r="64" ht="39.64" customHeight="1" s="254">
      <c r="A64" s="366"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276" t="inlineStr">
        <is>
          <t>UPPCO — Upper Peninsula Power Company</t>
        </is>
      </c>
      <c r="J64" s="276" t="inlineStr">
        <is>
          <t>UPPCO — Upper Peninsula Power Company</t>
        </is>
      </c>
      <c r="K64" s="276" t="inlineStr">
        <is>
          <t>IOU</t>
        </is>
      </c>
      <c r="L64" s="276" t="inlineStr">
        <is>
          <t>Upper Peninsula</t>
        </is>
      </c>
      <c r="M64" s="276" t="inlineStr">
        <is>
          <t>Not researched here</t>
        </is>
      </c>
      <c r="N64" s="276" t="inlineStr">
        <is>
          <t>Michigan</t>
        </is>
      </c>
    </row>
    <row r="65" ht="14.25" customHeight="1" s="254">
      <c r="F65" s="276" t="inlineStr">
        <is>
          <t>Northern States Power — Xcel</t>
        </is>
      </c>
      <c r="J65" s="276" t="inlineStr">
        <is>
          <t>Northern States Power — Xcel</t>
        </is>
      </c>
      <c r="K65" s="276" t="inlineStr">
        <is>
          <t>IOU</t>
        </is>
      </c>
      <c r="L65" s="276" t="inlineStr">
        <is>
          <t>Western Upper Peninsula</t>
        </is>
      </c>
      <c r="M65" s="276" t="inlineStr">
        <is>
          <t>Not researched here</t>
        </is>
      </c>
      <c r="N65" s="276" t="inlineStr">
        <is>
          <t>Michigan</t>
        </is>
      </c>
    </row>
    <row r="66" ht="15" customHeight="1" s="254">
      <c r="A66" s="479" t="inlineStr">
        <is>
          <t>Community choice aggregator</t>
        </is>
      </c>
      <c r="B66" s="480" t="n"/>
      <c r="C66" s="479" t="inlineStr">
        <is>
          <t>Delivery utility</t>
        </is>
      </c>
      <c r="D66" s="480" t="n"/>
      <c r="F66" s="276" t="inlineStr">
        <is>
          <t>Alpena Power Company</t>
        </is>
      </c>
      <c r="J66" s="276" t="inlineStr">
        <is>
          <t>Alpena Power Company</t>
        </is>
      </c>
      <c r="K66" s="276" t="inlineStr">
        <is>
          <t>IOU</t>
        </is>
      </c>
      <c r="L66" s="276" t="inlineStr">
        <is>
          <t>Alpena and surrounding townships</t>
        </is>
      </c>
      <c r="M66" s="276" t="inlineStr">
        <is>
          <t>Not researched here</t>
        </is>
      </c>
      <c r="N66" s="276" t="inlineStr">
        <is>
          <t>Michigan</t>
        </is>
      </c>
    </row>
    <row r="67" ht="15" customHeight="1" s="254">
      <c r="A67" s="296" t="inlineStr">
        <is>
          <t>None — bundled utility service</t>
        </is>
      </c>
      <c r="B67" s="487" t="n"/>
      <c r="C67" s="296" t="inlineStr">
        <is>
          <t>—</t>
        </is>
      </c>
      <c r="F67" s="276" t="inlineStr">
        <is>
          <t>Lansing Board of Water &amp; Light</t>
        </is>
      </c>
      <c r="J67" s="276" t="inlineStr">
        <is>
          <t>Lansing Board of Water &amp; Light</t>
        </is>
      </c>
      <c r="K67" s="276" t="inlineStr">
        <is>
          <t>POU</t>
        </is>
      </c>
      <c r="L67" s="276" t="inlineStr">
        <is>
          <t>Lansing and East Lansing</t>
        </is>
      </c>
      <c r="M67" s="276" t="inlineStr">
        <is>
          <t>Not researched here</t>
        </is>
      </c>
      <c r="N67" s="276" t="inlineStr">
        <is>
          <t>Michigan</t>
        </is>
      </c>
    </row>
    <row r="68" ht="15" customHeight="1" s="254">
      <c r="A68" s="296" t="inlineStr">
        <is>
          <t>Ava Community Energy (fmr East Bay CE)</t>
        </is>
      </c>
      <c r="B68" s="487" t="n"/>
      <c r="C68" s="296" t="inlineStr">
        <is>
          <t>PG&amp;E</t>
        </is>
      </c>
      <c r="F68" s="276" t="inlineStr">
        <is>
          <t>Holland Board of Public Works</t>
        </is>
      </c>
      <c r="J68" s="276" t="inlineStr">
        <is>
          <t>Holland Board of Public Works</t>
        </is>
      </c>
      <c r="K68" s="276" t="inlineStr">
        <is>
          <t>POU</t>
        </is>
      </c>
      <c r="L68" s="276" t="inlineStr">
        <is>
          <t>City of Holland</t>
        </is>
      </c>
      <c r="M68" s="276" t="inlineStr">
        <is>
          <t>Not researched here</t>
        </is>
      </c>
      <c r="N68" s="276" t="inlineStr">
        <is>
          <t>Michigan</t>
        </is>
      </c>
    </row>
    <row r="69" ht="15" customHeight="1" s="254">
      <c r="A69" s="296" t="inlineStr">
        <is>
          <t>Clean Power Alliance</t>
        </is>
      </c>
      <c r="B69" s="487" t="n"/>
      <c r="C69" s="296" t="inlineStr">
        <is>
          <t>SCE</t>
        </is>
      </c>
      <c r="F69" s="276" t="inlineStr">
        <is>
          <t>Traverse City Light &amp; Power</t>
        </is>
      </c>
      <c r="J69" s="276" t="inlineStr">
        <is>
          <t>Traverse City Light &amp; Power</t>
        </is>
      </c>
      <c r="K69" s="276" t="inlineStr">
        <is>
          <t>POU</t>
        </is>
      </c>
      <c r="L69" s="276" t="inlineStr">
        <is>
          <t>City of Traverse City</t>
        </is>
      </c>
      <c r="M69" s="276" t="inlineStr">
        <is>
          <t>Not researched here</t>
        </is>
      </c>
      <c r="N69" s="276" t="inlineStr">
        <is>
          <t>Michigan</t>
        </is>
      </c>
    </row>
    <row r="70" ht="15" customHeight="1" s="254">
      <c r="A70" s="296" t="inlineStr">
        <is>
          <t>Central Coast Community Energy (3CE)</t>
        </is>
      </c>
      <c r="B70" s="487" t="n"/>
      <c r="C70" s="296" t="inlineStr">
        <is>
          <t>PG&amp;E and SCE — depends on address</t>
        </is>
      </c>
      <c r="F70" s="276" t="inlineStr">
        <is>
          <t>Coldwater Board of Public Utilities</t>
        </is>
      </c>
      <c r="J70" s="276" t="inlineStr">
        <is>
          <t>Coldwater Board of Public Utilities</t>
        </is>
      </c>
      <c r="K70" s="276" t="inlineStr">
        <is>
          <t>POU</t>
        </is>
      </c>
      <c r="L70" s="276" t="inlineStr">
        <is>
          <t>City of Coldwater</t>
        </is>
      </c>
      <c r="M70" s="276" t="inlineStr">
        <is>
          <t>Not researched here</t>
        </is>
      </c>
      <c r="N70" s="276" t="inlineStr">
        <is>
          <t>Michigan</t>
        </is>
      </c>
    </row>
    <row r="71" ht="15" customHeight="1" s="254">
      <c r="A71" s="296" t="inlineStr">
        <is>
          <t>MCE</t>
        </is>
      </c>
      <c r="B71" s="487" t="n"/>
      <c r="C71" s="296" t="inlineStr">
        <is>
          <t>PG&amp;E</t>
        </is>
      </c>
      <c r="F71" s="276" t="inlineStr">
        <is>
          <t>Wyandotte Municipal Services</t>
        </is>
      </c>
      <c r="J71" s="276" t="inlineStr">
        <is>
          <t>Wyandotte Municipal Services</t>
        </is>
      </c>
      <c r="K71" s="276" t="inlineStr">
        <is>
          <t>POU</t>
        </is>
      </c>
      <c r="L71" s="276" t="inlineStr">
        <is>
          <t>City of Wyandotte</t>
        </is>
      </c>
      <c r="M71" s="276" t="inlineStr">
        <is>
          <t>Not researched here</t>
        </is>
      </c>
      <c r="N71" s="276" t="inlineStr">
        <is>
          <t>Michigan</t>
        </is>
      </c>
    </row>
    <row r="72" ht="15" customHeight="1" s="254">
      <c r="A72" s="296" t="inlineStr">
        <is>
          <t>San Diego Community Power</t>
        </is>
      </c>
      <c r="B72" s="487" t="n"/>
      <c r="C72" s="296" t="inlineStr">
        <is>
          <t>SDG&amp;E</t>
        </is>
      </c>
      <c r="F72" s="276" t="inlineStr">
        <is>
          <t>Cloverland Electric Cooperative</t>
        </is>
      </c>
      <c r="J72" s="276" t="inlineStr">
        <is>
          <t>Cloverland Electric Cooperative</t>
        </is>
      </c>
      <c r="K72" s="276" t="inlineStr">
        <is>
          <t>Co-op</t>
        </is>
      </c>
      <c r="L72" s="276" t="inlineStr">
        <is>
          <t>Eastern Upper Peninsula</t>
        </is>
      </c>
      <c r="M72" s="276" t="inlineStr">
        <is>
          <t>Not researched here</t>
        </is>
      </c>
      <c r="N72" s="276" t="inlineStr">
        <is>
          <t>Michigan</t>
        </is>
      </c>
    </row>
    <row r="73" ht="15" customHeight="1" s="254">
      <c r="A73" s="296" t="inlineStr">
        <is>
          <t>CleanPowerSF</t>
        </is>
      </c>
      <c r="B73" s="487" t="n"/>
      <c r="C73" s="296" t="inlineStr">
        <is>
          <t>PG&amp;E</t>
        </is>
      </c>
      <c r="F73" s="276" t="inlineStr">
        <is>
          <t>Great Lakes Energy</t>
        </is>
      </c>
      <c r="J73" s="276" t="inlineStr">
        <is>
          <t>Great Lakes Energy</t>
        </is>
      </c>
      <c r="K73" s="276" t="inlineStr">
        <is>
          <t>Co-op</t>
        </is>
      </c>
      <c r="L73" s="276" t="inlineStr">
        <is>
          <t>Northwest Lower Peninsula</t>
        </is>
      </c>
      <c r="M73" s="276" t="inlineStr">
        <is>
          <t>Not researched here</t>
        </is>
      </c>
      <c r="N73" s="276" t="inlineStr">
        <is>
          <t>Michigan</t>
        </is>
      </c>
    </row>
    <row r="74" ht="15" customHeight="1" s="254">
      <c r="A74" s="296" t="inlineStr">
        <is>
          <t>WestLight Energy (fmr Peninsula Clean Energy)</t>
        </is>
      </c>
      <c r="B74" s="487" t="n"/>
      <c r="C74" s="296" t="inlineStr">
        <is>
          <t>PG&amp;E</t>
        </is>
      </c>
      <c r="F74" s="276" t="inlineStr">
        <is>
          <t>Presque Isle Electric &amp; Gas Co-op</t>
        </is>
      </c>
      <c r="J74" s="276" t="inlineStr">
        <is>
          <t>Presque Isle Electric &amp; Gas Co-op</t>
        </is>
      </c>
      <c r="K74" s="276" t="inlineStr">
        <is>
          <t>Co-op</t>
        </is>
      </c>
      <c r="L74" s="276" t="inlineStr">
        <is>
          <t>Northeast Lower Peninsula</t>
        </is>
      </c>
      <c r="M74" s="276" t="inlineStr">
        <is>
          <t>Not researched here</t>
        </is>
      </c>
      <c r="N74" s="276" t="inlineStr">
        <is>
          <t>Michigan</t>
        </is>
      </c>
    </row>
    <row r="75" ht="15" customHeight="1" s="254">
      <c r="A75" s="296" t="inlineStr">
        <is>
          <t>San José Clean Energy</t>
        </is>
      </c>
      <c r="B75" s="487" t="n"/>
      <c r="C75" s="296" t="inlineStr">
        <is>
          <t>PG&amp;E</t>
        </is>
      </c>
      <c r="F75" s="276" t="inlineStr">
        <is>
          <t>HomeWorks Tri-County Electric</t>
        </is>
      </c>
      <c r="J75" s="276" t="inlineStr">
        <is>
          <t>HomeWorks Tri-County Electric</t>
        </is>
      </c>
      <c r="K75" s="276" t="inlineStr">
        <is>
          <t>Co-op</t>
        </is>
      </c>
      <c r="L75" s="276" t="inlineStr">
        <is>
          <t>Central Lower Peninsula</t>
        </is>
      </c>
      <c r="M75" s="276" t="inlineStr">
        <is>
          <t>Not researched here</t>
        </is>
      </c>
      <c r="N75" s="276" t="inlineStr">
        <is>
          <t>Michigan</t>
        </is>
      </c>
    </row>
    <row r="76" ht="15" customHeight="1" s="254">
      <c r="A76" s="296" t="inlineStr">
        <is>
          <t>Silicon Valley Clean Energy</t>
        </is>
      </c>
      <c r="B76" s="487" t="n"/>
      <c r="C76" s="296" t="inlineStr">
        <is>
          <t>PG&amp;E</t>
        </is>
      </c>
      <c r="F76" s="276" t="inlineStr">
        <is>
          <t>Midwest Energy &amp; Communications</t>
        </is>
      </c>
      <c r="J76" s="276" t="inlineStr">
        <is>
          <t>Midwest Energy &amp; Communications</t>
        </is>
      </c>
      <c r="K76" s="276" t="inlineStr">
        <is>
          <t>Co-op</t>
        </is>
      </c>
      <c r="L76" s="276" t="inlineStr">
        <is>
          <t>Southwest Lower Peninsula</t>
        </is>
      </c>
      <c r="M76" s="276" t="inlineStr">
        <is>
          <t>Not researched here</t>
        </is>
      </c>
      <c r="N76" s="276" t="inlineStr">
        <is>
          <t>Michigan</t>
        </is>
      </c>
    </row>
    <row r="77" ht="15" customHeight="1" s="254">
      <c r="A77" s="296" t="inlineStr">
        <is>
          <t>Clean Energy Alliance</t>
        </is>
      </c>
      <c r="B77" s="487" t="n"/>
      <c r="C77" s="296" t="inlineStr">
        <is>
          <t>SDG&amp;E</t>
        </is>
      </c>
      <c r="F77" s="276" t="inlineStr">
        <is>
          <t>Thumb Electric Cooperative</t>
        </is>
      </c>
      <c r="J77" s="276" t="inlineStr">
        <is>
          <t>Thumb Electric Cooperative</t>
        </is>
      </c>
      <c r="K77" s="276" t="inlineStr">
        <is>
          <t>Co-op</t>
        </is>
      </c>
      <c r="L77" s="276" t="inlineStr">
        <is>
          <t>The Thumb — Huron, Sanilac, Tuscola</t>
        </is>
      </c>
      <c r="M77" s="276" t="inlineStr">
        <is>
          <t>Not researched here</t>
        </is>
      </c>
      <c r="N77" s="276" t="inlineStr">
        <is>
          <t>Michigan</t>
        </is>
      </c>
    </row>
    <row r="78" ht="15" customHeight="1" s="254">
      <c r="A78" s="296" t="inlineStr">
        <is>
          <t>Sonoma Clean Power</t>
        </is>
      </c>
      <c r="B78" s="487" t="n"/>
      <c r="C78" s="296" t="inlineStr">
        <is>
          <t>PG&amp;E</t>
        </is>
      </c>
      <c r="F78" s="276" t="inlineStr">
        <is>
          <t>Other / not listed — enter manually</t>
        </is>
      </c>
      <c r="J78" s="276" t="inlineStr">
        <is>
          <t>Other / not listed — enter manually</t>
        </is>
      </c>
      <c r="K78" s="276" t="inlineStr">
        <is>
          <t>Other</t>
        </is>
      </c>
      <c r="L78" s="336" t="n"/>
      <c r="M78" s="276" t="inlineStr">
        <is>
          <t>Enter the tariff manually</t>
        </is>
      </c>
      <c r="N78" s="336" t="n"/>
    </row>
    <row r="79" ht="15" customHeight="1" s="254">
      <c r="A79" s="296" t="inlineStr">
        <is>
          <t>Orange County Power Authority</t>
        </is>
      </c>
      <c r="B79" s="487" t="n"/>
      <c r="C79" s="296" t="inlineStr">
        <is>
          <t>SCE</t>
        </is>
      </c>
    </row>
    <row r="80" ht="15" customHeight="1" s="254">
      <c r="A80" s="296" t="inlineStr">
        <is>
          <t>Pioneer Community Energy</t>
        </is>
      </c>
      <c r="B80" s="487" t="n"/>
      <c r="C80" s="296" t="inlineStr">
        <is>
          <t>PG&amp;E</t>
        </is>
      </c>
    </row>
    <row r="81" ht="15" customHeight="1" s="254">
      <c r="A81" s="296" t="inlineStr">
        <is>
          <t>Redwood Coast Energy Authority</t>
        </is>
      </c>
      <c r="B81" s="487" t="n"/>
      <c r="C81" s="296" t="inlineStr">
        <is>
          <t>PG&amp;E</t>
        </is>
      </c>
    </row>
    <row r="82" ht="15" customHeight="1" s="254">
      <c r="A82" s="296" t="inlineStr">
        <is>
          <t>Valley Clean Energy</t>
        </is>
      </c>
      <c r="B82" s="487" t="n"/>
      <c r="C82" s="296" t="inlineStr">
        <is>
          <t>PG&amp;E</t>
        </is>
      </c>
    </row>
    <row r="83" ht="15" customHeight="1" s="254">
      <c r="A83" s="296" t="inlineStr">
        <is>
          <t>Lancaster Energy</t>
        </is>
      </c>
      <c r="B83" s="487" t="n"/>
      <c r="C83" s="296" t="inlineStr">
        <is>
          <t>SCE</t>
        </is>
      </c>
    </row>
    <row r="84" ht="15" customHeight="1" s="254">
      <c r="A84" s="296" t="inlineStr">
        <is>
          <t>Desert Community Energy</t>
        </is>
      </c>
      <c r="B84" s="487" t="n"/>
      <c r="C84" s="296" t="inlineStr">
        <is>
          <t>SCE</t>
        </is>
      </c>
    </row>
    <row r="85" ht="15" customHeight="1" s="254">
      <c r="A85" s="296" t="inlineStr">
        <is>
          <t>Rancho Mirage Energy Authority</t>
        </is>
      </c>
      <c r="B85" s="487" t="n"/>
      <c r="C85" s="296" t="inlineStr">
        <is>
          <t>SCE</t>
        </is>
      </c>
    </row>
    <row r="86" ht="15" customHeight="1" s="254">
      <c r="A86" s="296" t="inlineStr">
        <is>
          <t>Apple Valley Choice Energy</t>
        </is>
      </c>
      <c r="B86" s="487" t="n"/>
      <c r="C86" s="296" t="inlineStr">
        <is>
          <t>SCE</t>
        </is>
      </c>
    </row>
    <row r="87" ht="15" customHeight="1" s="254">
      <c r="A87" s="296" t="inlineStr">
        <is>
          <t>Energy for Palmdale's Independent Choice</t>
        </is>
      </c>
      <c r="B87" s="487" t="n"/>
      <c r="C87" s="296" t="inlineStr">
        <is>
          <t>SCE</t>
        </is>
      </c>
    </row>
    <row r="88" ht="15" customHeight="1" s="254">
      <c r="A88" s="296" t="inlineStr">
        <is>
          <t>King City Community Power</t>
        </is>
      </c>
      <c r="B88" s="487" t="n"/>
      <c r="C88" s="296" t="inlineStr">
        <is>
          <t>PG&amp;E</t>
        </is>
      </c>
    </row>
    <row r="89" ht="15" customHeight="1" s="254">
      <c r="A89" s="296" t="inlineStr">
        <is>
          <t>Pico Rivera Innovative Municipal Energy</t>
        </is>
      </c>
      <c r="B89" s="487" t="n"/>
      <c r="C89" s="296" t="inlineStr">
        <is>
          <t>SCE</t>
        </is>
      </c>
    </row>
    <row r="90" ht="15" customHeight="1" s="254">
      <c r="A90" s="296" t="inlineStr">
        <is>
          <t>Pomona Choice Energy</t>
        </is>
      </c>
      <c r="B90" s="487" t="n"/>
      <c r="C90" s="296" t="inlineStr">
        <is>
          <t>SCE</t>
        </is>
      </c>
    </row>
    <row r="91" ht="15" customHeight="1" s="254">
      <c r="A91" s="296" t="inlineStr">
        <is>
          <t>San Jacinto Power</t>
        </is>
      </c>
      <c r="B91" s="487" t="n"/>
      <c r="C91" s="296" t="inlineStr">
        <is>
          <t>SCE</t>
        </is>
      </c>
    </row>
    <row r="92" ht="15" customHeight="1" s="254">
      <c r="A92" s="296" t="inlineStr">
        <is>
          <t>Santa Barbara Clean Energy</t>
        </is>
      </c>
      <c r="B92" s="487" t="n"/>
      <c r="C92" s="296" t="inlineStr">
        <is>
          <t>SCE</t>
        </is>
      </c>
    </row>
    <row r="93" ht="15" customHeight="1" s="254">
      <c r="A93" s="296" t="inlineStr">
        <is>
          <t>Direct Access ESP (Calpine, Constellation, Shell…)</t>
        </is>
      </c>
      <c r="B93" s="487" t="n"/>
      <c r="C93" s="296" t="inlineStr">
        <is>
          <t>Host IOU</t>
        </is>
      </c>
    </row>
    <row r="94" s="254"/>
    <row r="95" s="254"/>
    <row r="96" ht="17.25" customHeight="1" s="254">
      <c r="A96" s="488" t="inlineStr">
        <is>
          <t>MICHIGAN ELECTRIC UTILITIES — DELIVERY</t>
        </is>
      </c>
    </row>
    <row r="97" ht="19.5" customHeight="1" s="254">
      <c r="A97" s="279" t="inlineStr">
        <is>
          <t>Service territory in Michigan does not follow a mailing address in any obvious way. Confirm the serving utility against the site address before pricing anything that depends on it.</t>
        </is>
      </c>
    </row>
    <row r="98" s="254"/>
    <row r="99" ht="14.25" customHeight="1" s="254">
      <c r="A99" s="479" t="inlineStr">
        <is>
          <t>Utility</t>
        </is>
      </c>
      <c r="B99" s="479" t="inlineStr">
        <is>
          <t>Type</t>
        </is>
      </c>
      <c r="C99" s="479" t="inlineStr">
        <is>
          <t>Service territory</t>
        </is>
      </c>
    </row>
    <row r="100" ht="29.08" customHeight="1" s="254">
      <c r="A100" s="298" t="inlineStr">
        <is>
          <t>DTE Electric Company</t>
        </is>
      </c>
      <c r="B100" s="319" t="inlineStr">
        <is>
          <t>IOU</t>
        </is>
      </c>
      <c r="C100" s="319" t="inlineStr">
        <is>
          <t>Southeast Michigan — Detroit, Ann Arbor, Port Huron</t>
        </is>
      </c>
    </row>
    <row r="101" ht="29.08" customHeight="1" s="254">
      <c r="A101" s="298" t="inlineStr">
        <is>
          <t>Consumers Energy</t>
        </is>
      </c>
      <c r="B101" s="319" t="inlineStr">
        <is>
          <t>IOU</t>
        </is>
      </c>
      <c r="C101" s="319" t="inlineStr">
        <is>
          <t>Most of the Lower Peninsula outside DTE</t>
        </is>
      </c>
    </row>
    <row r="102" ht="29.08" customHeight="1" s="254">
      <c r="A102" s="298" t="inlineStr">
        <is>
          <t>Indiana Michigan Power (AEP)</t>
        </is>
      </c>
      <c r="B102" s="319" t="inlineStr">
        <is>
          <t>IOU</t>
        </is>
      </c>
      <c r="C102" s="319" t="inlineStr">
        <is>
          <t>Southwest MI — Berrien, Cass, St Joseph</t>
        </is>
      </c>
    </row>
    <row r="103" ht="29.08" customHeight="1" s="254">
      <c r="A103" s="298" t="inlineStr">
        <is>
          <t>UMERC — Upper Michigan Energy Resources (We Energies)</t>
        </is>
      </c>
      <c r="B103" s="319" t="inlineStr">
        <is>
          <t>IOU</t>
        </is>
      </c>
      <c r="C103" s="319" t="inlineStr">
        <is>
          <t>Upper Peninsula — Marquette, Menominee</t>
        </is>
      </c>
    </row>
    <row r="104" ht="19.5" customHeight="1" s="254">
      <c r="A104" s="298" t="inlineStr">
        <is>
          <t>UPPCO — Upper Peninsula Power Company</t>
        </is>
      </c>
      <c r="B104" s="319" t="inlineStr">
        <is>
          <t>IOU</t>
        </is>
      </c>
      <c r="C104" s="319" t="inlineStr">
        <is>
          <t>Upper Peninsula</t>
        </is>
      </c>
    </row>
    <row r="105" ht="19.5" customHeight="1" s="254">
      <c r="A105" s="298" t="inlineStr">
        <is>
          <t>Northern States Power — Xcel</t>
        </is>
      </c>
      <c r="B105" s="319" t="inlineStr">
        <is>
          <t>IOU</t>
        </is>
      </c>
      <c r="C105" s="319" t="inlineStr">
        <is>
          <t>Western Upper Peninsula</t>
        </is>
      </c>
    </row>
    <row r="106" ht="19.5" customHeight="1" s="254">
      <c r="A106" s="298" t="inlineStr">
        <is>
          <t>Alpena Power Company</t>
        </is>
      </c>
      <c r="B106" s="319" t="inlineStr">
        <is>
          <t>IOU</t>
        </is>
      </c>
      <c r="C106" s="319" t="inlineStr">
        <is>
          <t>Alpena and surrounding townships</t>
        </is>
      </c>
    </row>
    <row r="107" ht="19.5" customHeight="1" s="254">
      <c r="A107" s="298" t="inlineStr">
        <is>
          <t>Lansing Board of Water &amp; Light</t>
        </is>
      </c>
      <c r="B107" s="319" t="inlineStr">
        <is>
          <t>POU</t>
        </is>
      </c>
      <c r="C107" s="319" t="inlineStr">
        <is>
          <t>Lansing and East Lansing</t>
        </is>
      </c>
    </row>
    <row r="108" ht="19.5" customHeight="1" s="254">
      <c r="A108" s="298" t="inlineStr">
        <is>
          <t>Holland Board of Public Works</t>
        </is>
      </c>
      <c r="B108" s="319" t="inlineStr">
        <is>
          <t>POU</t>
        </is>
      </c>
      <c r="C108" s="319" t="inlineStr">
        <is>
          <t>City of Holland</t>
        </is>
      </c>
    </row>
    <row r="109" ht="19.5" customHeight="1" s="254">
      <c r="A109" s="298" t="inlineStr">
        <is>
          <t>Traverse City Light &amp; Power</t>
        </is>
      </c>
      <c r="B109" s="319" t="inlineStr">
        <is>
          <t>POU</t>
        </is>
      </c>
      <c r="C109" s="319" t="inlineStr">
        <is>
          <t>City of Traverse City</t>
        </is>
      </c>
    </row>
    <row r="110" ht="19.5" customHeight="1" s="254">
      <c r="A110" s="298" t="inlineStr">
        <is>
          <t>Coldwater Board of Public Utilities</t>
        </is>
      </c>
      <c r="B110" s="319" t="inlineStr">
        <is>
          <t>POU</t>
        </is>
      </c>
      <c r="C110" s="319" t="inlineStr">
        <is>
          <t>City of Coldwater</t>
        </is>
      </c>
    </row>
    <row r="111" ht="19.5" customHeight="1" s="254">
      <c r="A111" s="298" t="inlineStr">
        <is>
          <t>Wyandotte Municipal Services</t>
        </is>
      </c>
      <c r="B111" s="319" t="inlineStr">
        <is>
          <t>POU</t>
        </is>
      </c>
      <c r="C111" s="319" t="inlineStr">
        <is>
          <t>City of Wyandotte</t>
        </is>
      </c>
    </row>
    <row r="112" ht="19.5" customHeight="1" s="254">
      <c r="A112" s="298" t="inlineStr">
        <is>
          <t>Cloverland Electric Cooperative</t>
        </is>
      </c>
      <c r="B112" s="319" t="inlineStr">
        <is>
          <t>Co-op</t>
        </is>
      </c>
      <c r="C112" s="319" t="inlineStr">
        <is>
          <t>Eastern Upper Peninsula</t>
        </is>
      </c>
    </row>
    <row r="113" ht="19.5" customHeight="1" s="254">
      <c r="A113" s="298" t="inlineStr">
        <is>
          <t>Great Lakes Energy</t>
        </is>
      </c>
      <c r="B113" s="319" t="inlineStr">
        <is>
          <t>Co-op</t>
        </is>
      </c>
      <c r="C113" s="319" t="inlineStr">
        <is>
          <t>Northwest Lower Peninsula</t>
        </is>
      </c>
    </row>
    <row r="114" ht="19.5" customHeight="1" s="254">
      <c r="A114" s="298" t="inlineStr">
        <is>
          <t>Presque Isle Electric &amp; Gas Co-op</t>
        </is>
      </c>
      <c r="B114" s="319" t="inlineStr">
        <is>
          <t>Co-op</t>
        </is>
      </c>
      <c r="C114" s="319" t="inlineStr">
        <is>
          <t>Northeast Lower Peninsula</t>
        </is>
      </c>
    </row>
    <row r="115" ht="19.5" customHeight="1" s="254">
      <c r="A115" s="298" t="inlineStr">
        <is>
          <t>HomeWorks Tri-County Electric</t>
        </is>
      </c>
      <c r="B115" s="319" t="inlineStr">
        <is>
          <t>Co-op</t>
        </is>
      </c>
      <c r="C115" s="319" t="inlineStr">
        <is>
          <t>Central Lower Peninsula</t>
        </is>
      </c>
    </row>
    <row r="116" ht="19.5" customHeight="1" s="254">
      <c r="A116" s="298" t="inlineStr">
        <is>
          <t>Midwest Energy &amp; Communications</t>
        </is>
      </c>
      <c r="B116" s="319" t="inlineStr">
        <is>
          <t>Co-op</t>
        </is>
      </c>
      <c r="C116" s="319" t="inlineStr">
        <is>
          <t>Southwest Lower Peninsula</t>
        </is>
      </c>
    </row>
    <row r="117" ht="19.5" customHeight="1" s="254">
      <c r="A117" s="298" t="inlineStr">
        <is>
          <t>Thumb Electric Cooperative</t>
        </is>
      </c>
      <c r="B117" s="319" t="inlineStr">
        <is>
          <t>Co-op</t>
        </is>
      </c>
      <c r="C117" s="319" t="inlineStr">
        <is>
          <t>The Thumb — Huron, Sanilac, Tuscola</t>
        </is>
      </c>
    </row>
  </sheetData>
  <sheetProtection selectLockedCells="0" selectUnlockedCells="0" sheet="1" objects="0" insertRows="1" insertHyperlinks="1" autoFilter="1" scenarios="0" formatColumns="0" deleteColumns="1" insertColumns="1" pivotTables="1" deleteRows="1" formatCells="0" formatRows="0" sort="1"/>
  <mergeCells count="4">
    <mergeCell ref="A2:E2"/>
    <mergeCell ref="A64:E64"/>
    <mergeCell ref="A1:E1"/>
    <mergeCell ref="A97:H97"/>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9.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32" customWidth="1" style="253" min="2" max="2"/>
    <col width="54" customWidth="1" style="253" min="3" max="4"/>
    <col width="13" customWidth="1" style="254" min="4" max="4"/>
    <col width="9" customWidth="1" style="253" min="5" max="5"/>
    <col width="11" customWidth="1" style="253" min="6" max="9"/>
    <col width="13" customWidth="1" style="254" min="7" max="7"/>
    <col width="13" customWidth="1" style="254" min="8" max="8"/>
    <col width="13" customWidth="1" style="254" min="9" max="9"/>
    <col width="9" customWidth="1" style="253" min="10" max="10"/>
    <col width="11" customWidth="1" style="253" min="11" max="13"/>
    <col width="13" customWidth="1" style="254" min="12" max="12"/>
    <col width="13" customWidth="1" style="254" min="13" max="13"/>
    <col width="34" customWidth="1" style="253" min="14" max="16"/>
    <col width="13" customWidth="1" style="254" min="15" max="15"/>
    <col width="13" customWidth="1" style="254" min="16" max="16"/>
    <col width="11" customWidth="1" style="253" min="17" max="17"/>
    <col width="34" customWidth="1" style="253" min="18" max="18"/>
  </cols>
  <sheetData>
    <row r="1" ht="17.25" customHeight="1" s="254">
      <c r="A1" s="291" t="inlineStr">
        <is>
          <t>CALIFORNIA EVSE RATE LIBRARY</t>
        </is>
      </c>
    </row>
    <row r="2" ht="27.76" customHeight="1" s="254">
      <c r="A2" s="285"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t>
        </is>
      </c>
    </row>
    <row r="3" s="254"/>
    <row r="4" ht="26.44" customHeight="1" s="254">
      <c r="A4" s="351" t="inlineStr">
        <is>
          <t>Utility</t>
        </is>
      </c>
      <c r="B4" s="352" t="inlineStr">
        <is>
          <t>Schedule</t>
        </is>
      </c>
      <c r="C4" s="352" t="inlineStr">
        <is>
          <t>From kW</t>
        </is>
      </c>
      <c r="D4" s="351" t="inlineStr">
        <is>
          <t>To kW</t>
        </is>
      </c>
      <c r="E4" s="352" t="inlineStr">
        <is>
          <t>Voltage</t>
        </is>
      </c>
      <c r="F4" s="352" t="inlineStr">
        <is>
          <t>Peak $/kWh</t>
        </is>
      </c>
      <c r="G4" s="352" t="inlineStr">
        <is>
          <t>Off-peak $/kWh</t>
        </is>
      </c>
      <c r="H4" s="352" t="inlineStr">
        <is>
          <t>Super off $/kWh</t>
        </is>
      </c>
      <c r="I4" s="352" t="inlineStr">
        <is>
          <t>Demand $/kW-mo</t>
        </is>
      </c>
      <c r="J4" s="352" t="inlineStr">
        <is>
          <t>Block kW</t>
        </is>
      </c>
      <c r="K4" s="352" t="inlineStr">
        <is>
          <t>Block $/mo</t>
        </is>
      </c>
      <c r="L4" s="352" t="inlineStr">
        <is>
          <t>Overage $/kW</t>
        </is>
      </c>
      <c r="M4" s="352" t="inlineStr">
        <is>
          <t>Customer $/mo</t>
        </is>
      </c>
      <c r="N4" s="352" t="inlineStr">
        <is>
          <t>Seasons</t>
        </is>
      </c>
      <c r="O4" s="352" t="inlineStr">
        <is>
          <t>Time-of-use periods</t>
        </is>
      </c>
      <c r="P4" s="352" t="inlineStr">
        <is>
          <t>STATUS</t>
        </is>
      </c>
      <c r="Q4" s="352" t="inlineStr">
        <is>
          <t>Effective</t>
        </is>
      </c>
      <c r="R4" s="352" t="inlineStr">
        <is>
          <t>Source</t>
        </is>
      </c>
    </row>
    <row r="5" ht="31.5" customHeight="1" s="254">
      <c r="A5" s="489" t="inlineStr">
        <is>
          <t>PG&amp;E — Pacific Gas and Electric</t>
        </is>
      </c>
      <c r="B5" s="356" t="inlineStr">
        <is>
          <t>BEV-1</t>
        </is>
      </c>
      <c r="C5" s="490" t="n">
        <v>0</v>
      </c>
      <c r="D5" s="490" t="n">
        <v>100</v>
      </c>
      <c r="E5" s="356" t="inlineStr">
        <is>
          <t>Secondary</t>
        </is>
      </c>
      <c r="F5" s="491" t="n">
        <v>0.35711</v>
      </c>
      <c r="G5" s="491" t="n">
        <v>0.1651</v>
      </c>
      <c r="H5" s="491" t="n">
        <v>0.13844</v>
      </c>
      <c r="I5" s="377" t="n">
        <v>0</v>
      </c>
      <c r="J5" s="490" t="n">
        <v>10</v>
      </c>
      <c r="K5" s="377" t="n">
        <v>12.41</v>
      </c>
      <c r="L5" s="377" t="n">
        <v>2.48</v>
      </c>
      <c r="M5" s="377" t="n">
        <v>0</v>
      </c>
      <c r="N5" s="356" t="inlineStr">
        <is>
          <t>None — no seasonal variation</t>
        </is>
      </c>
      <c r="O5" s="356" t="inlineStr">
        <is>
          <t>Peak 4-9pm daily; Off 9pm-9am &amp; 2-4pm; Super off 9am-2pm — ALL YEAR</t>
        </is>
      </c>
      <c r="P5" s="492" t="inlineStr">
        <is>
          <t>VERIFIED</t>
        </is>
      </c>
      <c r="Q5" s="356" t="inlineStr">
        <is>
          <t>2026-03-01</t>
        </is>
      </c>
      <c r="R5" s="493" t="inlineStr">
        <is>
          <t>https://www.pge.com/tariffs/assets/pdf/tariffbook/ELEC_SCHEDS_BEV.pdf</t>
        </is>
      </c>
    </row>
    <row r="6" ht="31.5" customHeight="1" s="254">
      <c r="A6" s="489" t="inlineStr">
        <is>
          <t>PG&amp;E — Pacific Gas and Electric</t>
        </is>
      </c>
      <c r="B6" s="356" t="inlineStr">
        <is>
          <t>BEV-2-S</t>
        </is>
      </c>
      <c r="C6" s="490" t="n">
        <v>100</v>
      </c>
      <c r="D6" s="490" t="n">
        <v>99999</v>
      </c>
      <c r="E6" s="356" t="inlineStr">
        <is>
          <t>Secondary</t>
        </is>
      </c>
      <c r="F6" s="491" t="n">
        <v>0.36977</v>
      </c>
      <c r="G6" s="491" t="n">
        <v>0.15654</v>
      </c>
      <c r="H6" s="491" t="n">
        <v>0.13327</v>
      </c>
      <c r="I6" s="377" t="n">
        <v>0</v>
      </c>
      <c r="J6" s="490" t="n">
        <v>50</v>
      </c>
      <c r="K6" s="377" t="n">
        <v>95.56</v>
      </c>
      <c r="L6" s="377" t="n">
        <v>3.82</v>
      </c>
      <c r="M6" s="377" t="n">
        <v>0</v>
      </c>
      <c r="N6" s="356" t="inlineStr">
        <is>
          <t>None — no seasonal variation</t>
        </is>
      </c>
      <c r="O6" s="356" t="inlineStr">
        <is>
          <t>Peak 4-9pm daily; Off 9pm-9am &amp; 2-4pm; Super off 9am-2pm — ALL YEAR</t>
        </is>
      </c>
      <c r="P6" s="492" t="inlineStr">
        <is>
          <t>VERIFIED</t>
        </is>
      </c>
      <c r="Q6" s="356" t="inlineStr">
        <is>
          <t>2026-03-01</t>
        </is>
      </c>
      <c r="R6" s="493" t="inlineStr">
        <is>
          <t>https://www.pge.com/tariffs/assets/pdf/tariffbook/ELEC_SCHEDS_BEV.pdf</t>
        </is>
      </c>
    </row>
    <row r="7" ht="31.5" customHeight="1" s="254">
      <c r="A7" s="489" t="inlineStr">
        <is>
          <t>PG&amp;E — Pacific Gas and Electric</t>
        </is>
      </c>
      <c r="B7" s="356" t="inlineStr">
        <is>
          <t>BEV-2-P</t>
        </is>
      </c>
      <c r="C7" s="490" t="n">
        <v>100</v>
      </c>
      <c r="D7" s="490" t="n">
        <v>99999</v>
      </c>
      <c r="E7" s="356" t="inlineStr">
        <is>
          <t>Primary</t>
        </is>
      </c>
      <c r="F7" s="491" t="n">
        <v>0.36003</v>
      </c>
      <c r="G7" s="491" t="n">
        <v>0.15115</v>
      </c>
      <c r="H7" s="491" t="n">
        <v>0.12849</v>
      </c>
      <c r="I7" s="377" t="n">
        <v>0</v>
      </c>
      <c r="J7" s="490" t="n">
        <v>50</v>
      </c>
      <c r="K7" s="377" t="n">
        <v>85.98</v>
      </c>
      <c r="L7" s="377" t="n">
        <v>3.44</v>
      </c>
      <c r="M7" s="377" t="n">
        <v>0</v>
      </c>
      <c r="N7" s="356" t="inlineStr">
        <is>
          <t>None — no seasonal variation</t>
        </is>
      </c>
      <c r="O7" s="356" t="inlineStr">
        <is>
          <t>Peak 4-9pm daily; Off 9pm-9am &amp; 2-4pm; Super off 9am-2pm — ALL YEAR</t>
        </is>
      </c>
      <c r="P7" s="492" t="inlineStr">
        <is>
          <t>VERIFIED</t>
        </is>
      </c>
      <c r="Q7" s="356" t="inlineStr">
        <is>
          <t>2026-03-01</t>
        </is>
      </c>
      <c r="R7" s="493" t="inlineStr">
        <is>
          <t>https://www.pge.com/tariffs/assets/pdf/tariffbook/ELEC_SCHEDS_BEV.pdf</t>
        </is>
      </c>
    </row>
    <row r="8" ht="31.5" customHeight="1" s="254">
      <c r="A8" s="489" t="inlineStr">
        <is>
          <t>PG&amp;E — Pacific Gas and Electric</t>
        </is>
      </c>
      <c r="B8" s="356" t="inlineStr">
        <is>
          <t>B-20 (non-EV alternative)</t>
        </is>
      </c>
      <c r="C8" s="490" t="n">
        <v>1000</v>
      </c>
      <c r="D8" s="490" t="n">
        <v>99999</v>
      </c>
      <c r="E8" s="356" t="inlineStr">
        <is>
          <t>Secondary</t>
        </is>
      </c>
      <c r="F8" s="491" t="n">
        <v>0.17702</v>
      </c>
      <c r="G8" s="491" t="n">
        <v>0.11482</v>
      </c>
      <c r="H8" s="491" t="n">
        <v>0.05872</v>
      </c>
      <c r="I8" s="377" t="n">
        <v>80.43000000000001</v>
      </c>
      <c r="J8" s="490" t="n">
        <v>0</v>
      </c>
      <c r="K8" s="377" t="n">
        <v>0</v>
      </c>
      <c r="L8" s="377" t="n">
        <v>0</v>
      </c>
      <c r="M8" s="377" t="n">
        <v>3265</v>
      </c>
      <c r="N8" s="356" t="inlineStr">
        <is>
          <t>Summer Jun-Sep / Winter Oct-May</t>
        </is>
      </c>
      <c r="O8" s="356" t="inlineStr">
        <is>
          <t>Peak 4-9pm; Super off 9am-2pm MARCH-MAY ONLY</t>
        </is>
      </c>
      <c r="P8" s="494" t="inlineStr">
        <is>
          <t>PARTIAL</t>
        </is>
      </c>
      <c r="Q8" s="356" t="inlineStr">
        <is>
          <t>2026-03-01</t>
        </is>
      </c>
      <c r="R8" s="493" t="inlineStr">
        <is>
          <t>https://www.pge.com/tariffs/assets/pdf/tariffbook/ELEC_SCHEDS_B-20.pdf</t>
        </is>
      </c>
    </row>
    <row r="9" ht="55.5" customHeight="1" s="254">
      <c r="A9" s="489" t="inlineStr">
        <is>
          <t>SCE — Southern California Edison</t>
        </is>
      </c>
      <c r="B9" s="356" t="inlineStr">
        <is>
          <t>TOU-EV-7</t>
        </is>
      </c>
      <c r="C9" s="490" t="n">
        <v>0</v>
      </c>
      <c r="D9" s="490" t="n">
        <v>20</v>
      </c>
      <c r="E9" s="356" t="inlineStr">
        <is>
          <t>Secondary</t>
        </is>
      </c>
      <c r="F9" s="491" t="n">
        <v>0</v>
      </c>
      <c r="G9" s="491" t="n">
        <v>0</v>
      </c>
      <c r="H9" s="491" t="n">
        <v>0</v>
      </c>
      <c r="I9" s="377" t="n">
        <v>0</v>
      </c>
      <c r="J9" s="490" t="n">
        <v>0</v>
      </c>
      <c r="K9" s="377" t="n">
        <v>0</v>
      </c>
      <c r="L9" s="377" t="n">
        <v>0</v>
      </c>
      <c r="M9" s="377" t="n">
        <v>0</v>
      </c>
      <c r="N9" s="356" t="inlineStr">
        <is>
          <t>Summer Jun-Sep / Winter Oct-May</t>
        </is>
      </c>
      <c r="O9" s="356" t="inlineStr">
        <is>
          <t>On-peak 4-9pm summer weekdays</t>
        </is>
      </c>
      <c r="P9" s="495" t="inlineStr">
        <is>
          <t>NOT PUBLISHED</t>
        </is>
      </c>
      <c r="Q9" s="486" t="n"/>
      <c r="R9" s="493" t="inlineStr">
        <is>
          <t>https://www.sce.com/sites/default/files/custom-files/PDF_Files/TOU-EV-7_8_9_Rate_Fact_Sheet_072025_Accessible.pdf</t>
        </is>
      </c>
    </row>
    <row r="10" ht="55.5" customHeight="1" s="254">
      <c r="A10" s="489" t="inlineStr">
        <is>
          <t>SCE — Southern California Edison</t>
        </is>
      </c>
      <c r="B10" s="356" t="inlineStr">
        <is>
          <t>TOU-EV-8</t>
        </is>
      </c>
      <c r="C10" s="490" t="n">
        <v>20</v>
      </c>
      <c r="D10" s="490" t="n">
        <v>500</v>
      </c>
      <c r="E10" s="356" t="inlineStr">
        <is>
          <t>Secondary</t>
        </is>
      </c>
      <c r="F10" s="491" t="n">
        <v>0</v>
      </c>
      <c r="G10" s="491" t="n">
        <v>0</v>
      </c>
      <c r="H10" s="491" t="n">
        <v>0</v>
      </c>
      <c r="I10" s="377" t="n">
        <v>0</v>
      </c>
      <c r="J10" s="490" t="n">
        <v>0</v>
      </c>
      <c r="K10" s="377" t="n">
        <v>0</v>
      </c>
      <c r="L10" s="377" t="n">
        <v>0</v>
      </c>
      <c r="M10" s="377" t="n">
        <v>0</v>
      </c>
      <c r="N10" s="356" t="inlineStr">
        <is>
          <t>Summer Jun-Sep / Winter Oct-May</t>
        </is>
      </c>
      <c r="O10" s="356" t="inlineStr">
        <is>
          <t>On-peak 4-9pm summer weekdays</t>
        </is>
      </c>
      <c r="P10" s="495" t="inlineStr">
        <is>
          <t>NOT PUBLISHED</t>
        </is>
      </c>
      <c r="Q10" s="486" t="n"/>
      <c r="R10" s="493" t="inlineStr">
        <is>
          <t>https://www.sce.com/sites/default/files/custom-files/PDF_Files/TOU-EV-7_8_9_Rate_Fact_Sheet_072025_Accessible.pdf</t>
        </is>
      </c>
    </row>
    <row r="11" ht="27.76" customHeight="1" s="254">
      <c r="A11" s="489" t="inlineStr">
        <is>
          <t>SCE — Southern California Edison</t>
        </is>
      </c>
      <c r="B11" s="356" t="inlineStr">
        <is>
          <t>TOU-EV-9</t>
        </is>
      </c>
      <c r="C11" s="490" t="n">
        <v>500</v>
      </c>
      <c r="D11" s="490" t="n">
        <v>99999</v>
      </c>
      <c r="E11" s="356" t="inlineStr">
        <is>
          <t>Tiered by voltage</t>
        </is>
      </c>
      <c r="F11" s="491" t="n">
        <v>0</v>
      </c>
      <c r="G11" s="491" t="n">
        <v>0</v>
      </c>
      <c r="H11" s="491" t="n">
        <v>0</v>
      </c>
      <c r="I11" s="377" t="n">
        <v>0</v>
      </c>
      <c r="J11" s="490" t="n">
        <v>0</v>
      </c>
      <c r="K11" s="377" t="n">
        <v>0</v>
      </c>
      <c r="L11" s="377" t="n">
        <v>0</v>
      </c>
      <c r="M11" s="377" t="n">
        <v>0</v>
      </c>
      <c r="N11" s="356" t="inlineStr">
        <is>
          <t>Summer Jun-Sep / Winter Oct-May</t>
        </is>
      </c>
      <c r="O11" s="356" t="inlineStr">
        <is>
          <t>On-peak 4-9pm summer weekdays</t>
        </is>
      </c>
      <c r="P11" s="495" t="inlineStr">
        <is>
          <t>NOT PUBLISHED</t>
        </is>
      </c>
      <c r="Q11" s="486" t="n"/>
      <c r="R11" s="493" t="inlineStr">
        <is>
          <t>https://www.sce.com/sites/default/files/custom-files/PDF_Files/TOU-EV-7_8_9_Rate_Fact_Sheet_072025_Accessible.pdf</t>
        </is>
      </c>
    </row>
    <row r="12" ht="43.5" customHeight="1" s="254">
      <c r="A12" s="489" t="inlineStr">
        <is>
          <t>SDG&amp;E — San Diego Gas &amp; Electric</t>
        </is>
      </c>
      <c r="B12" s="356" t="inlineStr">
        <is>
          <t>EV-HP (&lt;=150 kW)</t>
        </is>
      </c>
      <c r="C12" s="490" t="n">
        <v>20</v>
      </c>
      <c r="D12" s="490" t="n">
        <v>150</v>
      </c>
      <c r="E12" s="356" t="inlineStr">
        <is>
          <t>Secondary</t>
        </is>
      </c>
      <c r="F12" s="491" t="n">
        <v>0.32882</v>
      </c>
      <c r="G12" s="491" t="n">
        <v>0.16295</v>
      </c>
      <c r="H12" s="491" t="n">
        <v>0.15307</v>
      </c>
      <c r="I12" s="377" t="n">
        <v>9.43</v>
      </c>
      <c r="J12" s="490" t="n">
        <v>10</v>
      </c>
      <c r="K12" s="377" t="n">
        <v>50.76</v>
      </c>
      <c r="L12" s="377" t="n">
        <v>0</v>
      </c>
      <c r="M12" s="377" t="n">
        <v>151.26</v>
      </c>
      <c r="N12" s="356" t="inlineStr">
        <is>
          <t>Summer Jun 1-Oct 31 / Winter Nov 1-May 31</t>
        </is>
      </c>
      <c r="O12" s="356" t="inlineStr">
        <is>
          <t>NOT PUBLISHED — obtain from the tariff sheet</t>
        </is>
      </c>
      <c r="P12" s="494" t="inlineStr">
        <is>
          <t>PARTIAL</t>
        </is>
      </c>
      <c r="Q12" s="356" t="inlineStr">
        <is>
          <t>2026-08-01</t>
        </is>
      </c>
      <c r="R12" s="493" t="inlineStr">
        <is>
          <t>https://www.sdge.com/sites/default/files/regulatory/Summary%20Table%20for%20Medium%20Comm%208-1-26.pdf</t>
        </is>
      </c>
    </row>
    <row r="13" ht="43.5" customHeight="1" s="254">
      <c r="A13" s="489" t="inlineStr">
        <is>
          <t>SDG&amp;E — San Diego Gas &amp; Electric</t>
        </is>
      </c>
      <c r="B13" s="356" t="inlineStr">
        <is>
          <t>EV-HP (&gt;150 kW)</t>
        </is>
      </c>
      <c r="C13" s="490" t="n">
        <v>150</v>
      </c>
      <c r="D13" s="490" t="n">
        <v>99999</v>
      </c>
      <c r="E13" s="356" t="inlineStr">
        <is>
          <t>Secondary</t>
        </is>
      </c>
      <c r="F13" s="491" t="n">
        <v>0.32882</v>
      </c>
      <c r="G13" s="491" t="n">
        <v>0.16295</v>
      </c>
      <c r="H13" s="491" t="n">
        <v>0.15307</v>
      </c>
      <c r="I13" s="377" t="n">
        <v>9.43</v>
      </c>
      <c r="J13" s="490" t="n">
        <v>25</v>
      </c>
      <c r="K13" s="377" t="n">
        <v>126.89</v>
      </c>
      <c r="L13" s="377" t="n">
        <v>0</v>
      </c>
      <c r="M13" s="377" t="n">
        <v>151.26</v>
      </c>
      <c r="N13" s="356" t="inlineStr">
        <is>
          <t>Summer Jun 1-Oct 31 / Winter Nov 1-May 31</t>
        </is>
      </c>
      <c r="O13" s="356" t="inlineStr">
        <is>
          <t>NOT PUBLISHED — obtain from the tariff sheet</t>
        </is>
      </c>
      <c r="P13" s="494" t="inlineStr">
        <is>
          <t>PARTIAL</t>
        </is>
      </c>
      <c r="Q13" s="356" t="inlineStr">
        <is>
          <t>2026-08-01</t>
        </is>
      </c>
      <c r="R13" s="493" t="inlineStr">
        <is>
          <t>https://www.sdge.com/sites/default/files/regulatory/Summary%20Table%20for%20Medium%20Comm%208-1-26.pdf</t>
        </is>
      </c>
    </row>
    <row r="14" ht="43.5" customHeight="1" s="254">
      <c r="A14" s="489" t="inlineStr">
        <is>
          <t>SDG&amp;E — San Diego Gas &amp; Electric</t>
        </is>
      </c>
      <c r="B14" s="356" t="inlineStr">
        <is>
          <t>EV-HP Primary (&gt;150 kW)</t>
        </is>
      </c>
      <c r="C14" s="490" t="n">
        <v>150</v>
      </c>
      <c r="D14" s="490" t="n">
        <v>99999</v>
      </c>
      <c r="E14" s="356" t="inlineStr">
        <is>
          <t>Primary</t>
        </is>
      </c>
      <c r="F14" s="491" t="n">
        <v>0.3055</v>
      </c>
      <c r="G14" s="491" t="n">
        <v>0.16257</v>
      </c>
      <c r="H14" s="491" t="n">
        <v>0.15283</v>
      </c>
      <c r="I14" s="377" t="n">
        <v>9.390000000000001</v>
      </c>
      <c r="J14" s="490" t="n">
        <v>25</v>
      </c>
      <c r="K14" s="377" t="n">
        <v>126.24</v>
      </c>
      <c r="L14" s="377" t="n">
        <v>0</v>
      </c>
      <c r="M14" s="377" t="n">
        <v>66.15000000000001</v>
      </c>
      <c r="N14" s="356" t="inlineStr">
        <is>
          <t>Summer Jun 1-Oct 31 / Winter Nov 1-May 31</t>
        </is>
      </c>
      <c r="O14" s="356" t="inlineStr">
        <is>
          <t>NOT PUBLISHED — obtain from the tariff sheet</t>
        </is>
      </c>
      <c r="P14" s="494" t="inlineStr">
        <is>
          <t>PARTIAL</t>
        </is>
      </c>
      <c r="Q14" s="356" t="inlineStr">
        <is>
          <t>2026-08-01</t>
        </is>
      </c>
      <c r="R14" s="493" t="inlineStr">
        <is>
          <t>https://www.sdge.com/sites/default/files/regulatory/Summary%20Table%20for%20Large%20Comm%208-1-26.pdf</t>
        </is>
      </c>
    </row>
    <row r="15" ht="55.5" customHeight="1" s="254">
      <c r="A15" s="489" t="inlineStr">
        <is>
          <t>Liberty Utilities (CalPeco Electric)</t>
        </is>
      </c>
      <c r="B15" s="356" t="inlineStr">
        <is>
          <t>TOU A-3 EV</t>
        </is>
      </c>
      <c r="C15" s="490" t="n">
        <v>200</v>
      </c>
      <c r="D15" s="490" t="n">
        <v>99999</v>
      </c>
      <c r="E15" s="356" t="inlineStr">
        <is>
          <t>All</t>
        </is>
      </c>
      <c r="F15" s="491" t="n">
        <v>0.52239</v>
      </c>
      <c r="G15" s="491" t="n">
        <v>0.30281</v>
      </c>
      <c r="H15" s="491" t="n">
        <v>0</v>
      </c>
      <c r="I15" s="377" t="n">
        <v>0</v>
      </c>
      <c r="J15" s="490" t="n">
        <v>0</v>
      </c>
      <c r="K15" s="377" t="n">
        <v>0</v>
      </c>
      <c r="L15" s="377" t="n">
        <v>0</v>
      </c>
      <c r="M15" s="377" t="n">
        <v>850.8099999999999</v>
      </c>
      <c r="N15" s="356" t="inlineStr">
        <is>
          <t>Summer / Winter — months NOT PUBLISHED</t>
        </is>
      </c>
      <c r="O15" s="356" t="inlineStr">
        <is>
          <t>NOT PUBLISHED — cross-referenced to Special Conditions</t>
        </is>
      </c>
      <c r="P15" s="494" t="inlineStr">
        <is>
          <t>PARTIAL</t>
        </is>
      </c>
      <c r="Q15" s="356" t="inlineStr">
        <is>
          <t>2026-06-01</t>
        </is>
      </c>
      <c r="R15" s="493" t="inlineStr">
        <is>
          <t>https://california.libertyutilities.com/uploads/CalPeco%20Tariffs/Schedule%20No.%20A-3%20TOU%20EV%20Large%20General%20Service.pdf</t>
        </is>
      </c>
    </row>
    <row r="16" ht="43.5" customHeight="1" s="254">
      <c r="A16" s="489" t="inlineStr">
        <is>
          <t>Liberty Utilities (CalPeco Electric)</t>
        </is>
      </c>
      <c r="B16" s="356" t="inlineStr">
        <is>
          <t>TOU A-2 EV</t>
        </is>
      </c>
      <c r="C16" s="490" t="n">
        <v>0</v>
      </c>
      <c r="D16" s="490" t="n">
        <v>200</v>
      </c>
      <c r="E16" s="356" t="inlineStr">
        <is>
          <t>All</t>
        </is>
      </c>
      <c r="F16" s="491" t="n">
        <v>0</v>
      </c>
      <c r="G16" s="491" t="n">
        <v>0</v>
      </c>
      <c r="H16" s="491" t="n">
        <v>0</v>
      </c>
      <c r="I16" s="377" t="n">
        <v>0</v>
      </c>
      <c r="J16" s="490" t="n">
        <v>0</v>
      </c>
      <c r="K16" s="377" t="n">
        <v>0</v>
      </c>
      <c r="L16" s="377" t="n">
        <v>0</v>
      </c>
      <c r="M16" s="377" t="n">
        <v>201.85</v>
      </c>
      <c r="N16" s="356" t="inlineStr">
        <is>
          <t>Summer / Winter — months NOT PUBLISHED</t>
        </is>
      </c>
      <c r="O16" s="356" t="inlineStr">
        <is>
          <t>NOT PUBLISHED</t>
        </is>
      </c>
      <c r="P16" s="494" t="inlineStr">
        <is>
          <t>PARTIAL</t>
        </is>
      </c>
      <c r="Q16" s="356" t="inlineStr">
        <is>
          <t>2026-06-01</t>
        </is>
      </c>
      <c r="R16" s="493" t="inlineStr">
        <is>
          <t>https://california.libertyutilities.com/uploads/CalPeco%20Tariffs/Schedule%20No%20A-2%20TOU%20EV.pdf</t>
        </is>
      </c>
    </row>
    <row r="17" ht="55.5" customHeight="1" s="254">
      <c r="A17" s="489" t="inlineStr">
        <is>
          <t>Pacific Power (PacifiCorp)</t>
        </is>
      </c>
      <c r="B17" s="356" t="inlineStr">
        <is>
          <t>AT-48 Large General TOU</t>
        </is>
      </c>
      <c r="C17" s="490" t="n">
        <v>500</v>
      </c>
      <c r="D17" s="490" t="n">
        <v>99999</v>
      </c>
      <c r="E17" s="356" t="inlineStr">
        <is>
          <t>Secondary</t>
        </is>
      </c>
      <c r="F17" s="491" t="n">
        <v>0.14448</v>
      </c>
      <c r="G17" s="491" t="n">
        <v>0.13419</v>
      </c>
      <c r="H17" s="491" t="n">
        <v>0</v>
      </c>
      <c r="I17" s="377" t="n">
        <v>13.45</v>
      </c>
      <c r="J17" s="490" t="n">
        <v>0</v>
      </c>
      <c r="K17" s="377" t="n">
        <v>0</v>
      </c>
      <c r="L17" s="377" t="n">
        <v>0</v>
      </c>
      <c r="M17" s="377" t="n">
        <v>842.62</v>
      </c>
      <c r="N17" s="356" t="inlineStr">
        <is>
          <t>None</t>
        </is>
      </c>
      <c r="O17" s="356" t="inlineStr">
        <is>
          <t>On-peak adder +0.858c; off-peak credit -0.171c</t>
        </is>
      </c>
      <c r="P17" s="492" t="inlineStr">
        <is>
          <t>VERIFIED</t>
        </is>
      </c>
      <c r="Q17" s="356" t="inlineStr">
        <is>
          <t>2026-07-10</t>
        </is>
      </c>
      <c r="R17" s="493" t="inlineStr">
        <is>
          <t>https://www.pacificpower.net/content/dam/pcorp/documents/en/pacificpower/rates-regulation/california/CA_Price_Summary.pdf</t>
        </is>
      </c>
    </row>
    <row r="18" ht="55.5" customHeight="1" s="254">
      <c r="A18" s="489" t="inlineStr">
        <is>
          <t>Pacific Power (PacifiCorp)</t>
        </is>
      </c>
      <c r="B18" s="356" t="inlineStr">
        <is>
          <t>A-32 General Service</t>
        </is>
      </c>
      <c r="C18" s="490" t="n">
        <v>20</v>
      </c>
      <c r="D18" s="490" t="n">
        <v>500</v>
      </c>
      <c r="E18" s="356" t="inlineStr">
        <is>
          <t>Secondary</t>
        </is>
      </c>
      <c r="F18" s="491" t="n">
        <v>0.20212</v>
      </c>
      <c r="G18" s="491" t="n">
        <v>0.20212</v>
      </c>
      <c r="H18" s="491" t="n">
        <v>0.20212</v>
      </c>
      <c r="I18" s="377" t="n">
        <v>8.5</v>
      </c>
      <c r="J18" s="490" t="n">
        <v>0</v>
      </c>
      <c r="K18" s="377" t="n">
        <v>0</v>
      </c>
      <c r="L18" s="377" t="n">
        <v>0</v>
      </c>
      <c r="M18" s="377" t="n">
        <v>30.54</v>
      </c>
      <c r="N18" s="356" t="inlineStr">
        <is>
          <t>None</t>
        </is>
      </c>
      <c r="O18" s="356" t="inlineStr">
        <is>
          <t>NO time-of-use differentiation at all</t>
        </is>
      </c>
      <c r="P18" s="492" t="inlineStr">
        <is>
          <t>VERIFIED</t>
        </is>
      </c>
      <c r="Q18" s="356" t="inlineStr">
        <is>
          <t>2026-06-08</t>
        </is>
      </c>
      <c r="R18" s="493" t="inlineStr">
        <is>
          <t>https://www.pacificpower.net/content/dam/pcorp/documents/en/pacificpower/rates-regulation/california/CA_Price_Summary.pdf</t>
        </is>
      </c>
    </row>
    <row r="19" ht="43.5" customHeight="1" s="254">
      <c r="A19" s="489" t="inlineStr">
        <is>
          <t>Bear Valley Electric Service (BVES)</t>
        </is>
      </c>
      <c r="B19" s="356" t="inlineStr">
        <is>
          <t>TOU-EV-3</t>
        </is>
      </c>
      <c r="C19" s="490" t="n">
        <v>20</v>
      </c>
      <c r="D19" s="490" t="n">
        <v>500</v>
      </c>
      <c r="E19" s="356" t="inlineStr">
        <is>
          <t>All</t>
        </is>
      </c>
      <c r="F19" s="491" t="n">
        <v>0.46315</v>
      </c>
      <c r="G19" s="491" t="n">
        <v>0.37417</v>
      </c>
      <c r="H19" s="491" t="n">
        <v>0.26005</v>
      </c>
      <c r="I19" s="377" t="n">
        <v>9.5</v>
      </c>
      <c r="J19" s="490" t="n">
        <v>0</v>
      </c>
      <c r="K19" s="377" t="n">
        <v>0</v>
      </c>
      <c r="L19" s="377" t="n">
        <v>0</v>
      </c>
      <c r="M19" s="377" t="n">
        <v>0</v>
      </c>
      <c r="N19" s="356" t="inlineStr">
        <is>
          <t>Summer / Winter — months NOT PUBLISHED</t>
        </is>
      </c>
      <c r="O19" s="356" t="inlineStr">
        <is>
          <t>NOT PUBLISHED</t>
        </is>
      </c>
      <c r="P19" s="494" t="inlineStr">
        <is>
          <t>PARTIAL</t>
        </is>
      </c>
      <c r="Q19" s="356" t="inlineStr">
        <is>
          <t>2026-09-01</t>
        </is>
      </c>
      <c r="R19" s="493" t="inlineStr">
        <is>
          <t>https://www.bvesinc.com/assets/documents/rates/8-24-26-549-e/schedule-no-tou-ev-3.pdf</t>
        </is>
      </c>
    </row>
    <row r="20" ht="43.5" customHeight="1" s="254">
      <c r="A20" s="489" t="inlineStr">
        <is>
          <t>SMUD — Sacramento Municipal Utility District</t>
        </is>
      </c>
      <c r="B20" s="356" t="inlineStr">
        <is>
          <t>EV_SR tier EV3 (&gt;20% util)</t>
        </is>
      </c>
      <c r="C20" s="490" t="n">
        <v>20</v>
      </c>
      <c r="D20" s="490" t="n">
        <v>99999</v>
      </c>
      <c r="E20" s="356" t="inlineStr">
        <is>
          <t>Secondary</t>
        </is>
      </c>
      <c r="F20" s="491" t="n">
        <v>0.2151</v>
      </c>
      <c r="G20" s="491" t="n">
        <v>0.089</v>
      </c>
      <c r="H20" s="491" t="n">
        <v>0.0638</v>
      </c>
      <c r="I20" s="377" t="n">
        <v>0</v>
      </c>
      <c r="J20" s="490" t="n">
        <v>25</v>
      </c>
      <c r="K20" s="377" t="n">
        <v>333</v>
      </c>
      <c r="L20" s="377" t="n">
        <v>0</v>
      </c>
      <c r="M20" s="377" t="n">
        <v>0</v>
      </c>
      <c r="N20" s="356" t="inlineStr">
        <is>
          <t>Summer Jun 1-Sep 30 / Non-summer Oct 1-May 31</t>
        </is>
      </c>
      <c r="O20" s="356" t="inlineStr">
        <is>
          <t>Peak 4-9pm weekdays; off-peak saver 9am-4pm non-summer</t>
        </is>
      </c>
      <c r="P20" s="492" t="inlineStr">
        <is>
          <t>VERIFIED</t>
        </is>
      </c>
      <c r="Q20" s="356" t="inlineStr">
        <is>
          <t>2026-01-01</t>
        </is>
      </c>
      <c r="R20" s="493" t="inlineStr">
        <is>
          <t>https://www.smud.org/-/media/Documents/Rate-Information/Rates/EV-Pilot-Tariff.ashx</t>
        </is>
      </c>
    </row>
    <row r="21" ht="43.5" customHeight="1" s="254">
      <c r="A21" s="489" t="inlineStr">
        <is>
          <t>SMUD — Sacramento Municipal Utility District</t>
        </is>
      </c>
      <c r="B21" s="356" t="inlineStr">
        <is>
          <t>EV_SR tier EV2 (10-20% util)</t>
        </is>
      </c>
      <c r="C21" s="490" t="n">
        <v>20</v>
      </c>
      <c r="D21" s="490" t="n">
        <v>99999</v>
      </c>
      <c r="E21" s="356" t="inlineStr">
        <is>
          <t>Secondary</t>
        </is>
      </c>
      <c r="F21" s="491" t="n">
        <v>0.2669</v>
      </c>
      <c r="G21" s="491" t="n">
        <v>0.1088</v>
      </c>
      <c r="H21" s="491" t="n">
        <v>0.0658</v>
      </c>
      <c r="I21" s="377" t="n">
        <v>0</v>
      </c>
      <c r="J21" s="490" t="n">
        <v>25</v>
      </c>
      <c r="K21" s="377" t="n">
        <v>264</v>
      </c>
      <c r="L21" s="377" t="n">
        <v>0</v>
      </c>
      <c r="M21" s="377" t="n">
        <v>0</v>
      </c>
      <c r="N21" s="356" t="inlineStr">
        <is>
          <t>Summer Jun 1-Sep 30 / Non-summer Oct 1-May 31</t>
        </is>
      </c>
      <c r="O21" s="356" t="inlineStr">
        <is>
          <t>Peak 4-9pm weekdays; off-peak saver 9am-4pm non-summer</t>
        </is>
      </c>
      <c r="P21" s="492" t="inlineStr">
        <is>
          <t>VERIFIED</t>
        </is>
      </c>
      <c r="Q21" s="356" t="inlineStr">
        <is>
          <t>2026-01-01</t>
        </is>
      </c>
      <c r="R21" s="493" t="inlineStr">
        <is>
          <t>https://www.smud.org/-/media/Documents/Rate-Information/Rates/EV-Pilot-Tariff.ashx</t>
        </is>
      </c>
    </row>
    <row r="22" ht="43.5" customHeight="1" s="254">
      <c r="A22" s="489" t="inlineStr">
        <is>
          <t>SMUD — Sacramento Municipal Utility District</t>
        </is>
      </c>
      <c r="B22" s="356" t="inlineStr">
        <is>
          <t>EV_SR tier EV1 (&lt;10% util)</t>
        </is>
      </c>
      <c r="C22" s="490" t="n">
        <v>20</v>
      </c>
      <c r="D22" s="490" t="n">
        <v>99999</v>
      </c>
      <c r="E22" s="356" t="inlineStr">
        <is>
          <t>Secondary</t>
        </is>
      </c>
      <c r="F22" s="491" t="n">
        <v>0.5198</v>
      </c>
      <c r="G22" s="491" t="n">
        <v>0.2051</v>
      </c>
      <c r="H22" s="491" t="n">
        <v>0.115</v>
      </c>
      <c r="I22" s="377" t="n">
        <v>0</v>
      </c>
      <c r="J22" s="490" t="n">
        <v>25</v>
      </c>
      <c r="K22" s="377" t="n">
        <v>120</v>
      </c>
      <c r="L22" s="377" t="n">
        <v>0</v>
      </c>
      <c r="M22" s="377" t="n">
        <v>0</v>
      </c>
      <c r="N22" s="356" t="inlineStr">
        <is>
          <t>Summer Jun 1-Sep 30 / Non-summer Oct 1-May 31</t>
        </is>
      </c>
      <c r="O22" s="356" t="inlineStr">
        <is>
          <t>Peak 4-9pm weekdays; off-peak saver 9am-4pm non-summer</t>
        </is>
      </c>
      <c r="P22" s="492" t="inlineStr">
        <is>
          <t>VERIFIED</t>
        </is>
      </c>
      <c r="Q22" s="356" t="inlineStr">
        <is>
          <t>2026-01-01</t>
        </is>
      </c>
      <c r="R22" s="493" t="inlineStr">
        <is>
          <t>https://www.smud.org/-/media/Documents/Rate-Information/Rates/EV-Pilot-Tariff.ashx</t>
        </is>
      </c>
    </row>
    <row r="23" ht="43.5" customHeight="1" s="254">
      <c r="A23" s="489" t="inlineStr">
        <is>
          <t>SMUD — Sacramento Municipal Utility District</t>
        </is>
      </c>
      <c r="B23" s="356" t="inlineStr">
        <is>
          <t>CI-TOD4 (non-EV alternative)</t>
        </is>
      </c>
      <c r="C23" s="490" t="n">
        <v>1000</v>
      </c>
      <c r="D23" s="490" t="n">
        <v>99999</v>
      </c>
      <c r="E23" s="356" t="inlineStr">
        <is>
          <t>Secondary</t>
        </is>
      </c>
      <c r="F23" s="491" t="n">
        <v>0.2438</v>
      </c>
      <c r="G23" s="491" t="n">
        <v>0.1186</v>
      </c>
      <c r="H23" s="491" t="n">
        <v>0.0788</v>
      </c>
      <c r="I23" s="377" t="n">
        <v>17.66</v>
      </c>
      <c r="J23" s="490" t="n">
        <v>0</v>
      </c>
      <c r="K23" s="377" t="n">
        <v>0</v>
      </c>
      <c r="L23" s="377" t="n">
        <v>0</v>
      </c>
      <c r="M23" s="377" t="n">
        <v>4014.3</v>
      </c>
      <c r="N23" s="356" t="inlineStr">
        <is>
          <t>Summer Jun 1-Sep 30 / Non-summer Oct 1-May 31</t>
        </is>
      </c>
      <c r="O23" s="356" t="inlineStr">
        <is>
          <t>Peak 4-9pm weekdays</t>
        </is>
      </c>
      <c r="P23" s="492" t="inlineStr">
        <is>
          <t>VERIFIED</t>
        </is>
      </c>
      <c r="Q23" s="356" t="inlineStr">
        <is>
          <t>2026-01-01</t>
        </is>
      </c>
      <c r="R23" s="493" t="inlineStr">
        <is>
          <t>https://www.smud.org/-/media/Documents/Rate-Information/Rates/CI-TOD4.ashx</t>
        </is>
      </c>
    </row>
    <row r="24" ht="43.5" customHeight="1" s="254">
      <c r="A24" s="489" t="inlineStr">
        <is>
          <t>LADWP — Los Angeles Dept of Water &amp; Power</t>
        </is>
      </c>
      <c r="B24" s="356" t="inlineStr">
        <is>
          <t>A-2 (2009 base rates)</t>
        </is>
      </c>
      <c r="C24" s="490" t="n">
        <v>30</v>
      </c>
      <c r="D24" s="490" t="n">
        <v>99999</v>
      </c>
      <c r="E24" s="356" t="inlineStr">
        <is>
          <t>4.8 kV</t>
        </is>
      </c>
      <c r="F24" s="491" t="n">
        <v>0.04679</v>
      </c>
      <c r="G24" s="491" t="n">
        <v>0.01879</v>
      </c>
      <c r="H24" s="491" t="n">
        <v>0</v>
      </c>
      <c r="I24" s="377" t="n">
        <v>14</v>
      </c>
      <c r="J24" s="490" t="n">
        <v>0</v>
      </c>
      <c r="K24" s="377" t="n">
        <v>0</v>
      </c>
      <c r="L24" s="377" t="n">
        <v>0</v>
      </c>
      <c r="M24" s="377" t="n">
        <v>25</v>
      </c>
      <c r="N24" s="356" t="inlineStr">
        <is>
          <t>High Jun-Sep / Low Oct-May</t>
        </is>
      </c>
      <c r="O24" s="356" t="inlineStr">
        <is>
          <t>NOT PUBLISHED</t>
        </is>
      </c>
      <c r="P24" s="494" t="inlineStr">
        <is>
          <t>PARTIAL</t>
        </is>
      </c>
      <c r="Q24" s="356" t="inlineStr">
        <is>
          <t>2009-07-01</t>
        </is>
      </c>
      <c r="R24" s="493" t="inlineStr">
        <is>
          <t>https://www.ladwp.com/sites/default/files/documents/LADWP_Electric_Rates.pdf</t>
        </is>
      </c>
    </row>
    <row r="25" ht="43.5" customHeight="1" s="254">
      <c r="A25" s="489" t="inlineStr">
        <is>
          <t>IID — Imperial Irrigation District</t>
        </is>
      </c>
      <c r="B25" s="356" t="inlineStr">
        <is>
          <t>TOU-GL</t>
        </is>
      </c>
      <c r="C25" s="490" t="n">
        <v>100</v>
      </c>
      <c r="D25" s="490" t="n">
        <v>99999</v>
      </c>
      <c r="E25" s="356" t="inlineStr">
        <is>
          <t>All</t>
        </is>
      </c>
      <c r="F25" s="491" t="n">
        <v>0.2873</v>
      </c>
      <c r="G25" s="491" t="n">
        <v>0.08210000000000001</v>
      </c>
      <c r="H25" s="491" t="n">
        <v>0</v>
      </c>
      <c r="I25" s="377" t="n">
        <v>13</v>
      </c>
      <c r="J25" s="490" t="n">
        <v>0</v>
      </c>
      <c r="K25" s="377" t="n">
        <v>0</v>
      </c>
      <c r="L25" s="377" t="n">
        <v>0</v>
      </c>
      <c r="M25" s="377" t="n">
        <v>140</v>
      </c>
      <c r="N25" s="356" t="inlineStr">
        <is>
          <t>Summer May-Oct / Winter Nov-Apr</t>
        </is>
      </c>
      <c r="O25" s="356" t="inlineStr">
        <is>
          <t>Summer on-peak 4-9pm M-F; winter 5-9am &amp; 5-9pm M-F</t>
        </is>
      </c>
      <c r="P25" s="492" t="inlineStr">
        <is>
          <t>VERIFIED</t>
        </is>
      </c>
      <c r="Q25" s="356" t="inlineStr">
        <is>
          <t>2026-01-01</t>
        </is>
      </c>
      <c r="R25" s="493" t="inlineStr">
        <is>
          <t>https://www.iid.com/home/showpublisheddocument/22777/638738285500970000</t>
        </is>
      </c>
    </row>
    <row r="26" ht="43.5" customHeight="1" s="254">
      <c r="A26" s="489" t="inlineStr">
        <is>
          <t>Silicon Valley Power (Santa Clara)</t>
        </is>
      </c>
      <c r="B26" s="356" t="inlineStr">
        <is>
          <t>CB-1 TOU</t>
        </is>
      </c>
      <c r="C26" s="490" t="n">
        <v>0</v>
      </c>
      <c r="D26" s="490" t="n">
        <v>4000</v>
      </c>
      <c r="E26" s="356" t="inlineStr">
        <is>
          <t>Secondary</t>
        </is>
      </c>
      <c r="F26" s="491" t="n">
        <v>0.1849</v>
      </c>
      <c r="G26" s="491" t="n">
        <v>0.14217</v>
      </c>
      <c r="H26" s="491" t="n">
        <v>0</v>
      </c>
      <c r="I26" s="377" t="n">
        <v>12.14</v>
      </c>
      <c r="J26" s="490" t="n">
        <v>0</v>
      </c>
      <c r="K26" s="377" t="n">
        <v>0</v>
      </c>
      <c r="L26" s="377" t="n">
        <v>0</v>
      </c>
      <c r="M26" s="377" t="n">
        <v>100.45</v>
      </c>
      <c r="N26" s="356" t="inlineStr">
        <is>
          <t>None</t>
        </is>
      </c>
      <c r="O26" s="356" t="inlineStr">
        <is>
          <t>Peak 6am-10pm Mon-Sat — 16-hour, 6-day window</t>
        </is>
      </c>
      <c r="P26" s="492" t="inlineStr">
        <is>
          <t>VERIFIED</t>
        </is>
      </c>
      <c r="Q26" s="356" t="inlineStr">
        <is>
          <t>2026-01-01</t>
        </is>
      </c>
      <c r="R26" s="493" t="inlineStr">
        <is>
          <t>https://www.siliconvalleypower.com/home/showpublisheddocument/6251/639032065160570000</t>
        </is>
      </c>
    </row>
    <row r="27" ht="67.5" customHeight="1" s="254">
      <c r="A27" s="489" t="inlineStr">
        <is>
          <t>Riverside Public Utilities</t>
        </is>
      </c>
      <c r="B27" s="356" t="inlineStr">
        <is>
          <t>TOU Large General &amp; Industrial</t>
        </is>
      </c>
      <c r="C27" s="490" t="n">
        <v>150</v>
      </c>
      <c r="D27" s="490" t="n">
        <v>99999</v>
      </c>
      <c r="E27" s="356" t="inlineStr">
        <is>
          <t>All</t>
        </is>
      </c>
      <c r="F27" s="491" t="n">
        <v>0.1295</v>
      </c>
      <c r="G27" s="491" t="n">
        <v>0.0907</v>
      </c>
      <c r="H27" s="491" t="n">
        <v>0</v>
      </c>
      <c r="I27" s="377" t="n">
        <v>14.12</v>
      </c>
      <c r="J27" s="490" t="n">
        <v>0</v>
      </c>
      <c r="K27" s="377" t="n">
        <v>0</v>
      </c>
      <c r="L27" s="377" t="n">
        <v>0</v>
      </c>
      <c r="M27" s="377" t="n">
        <v>742.28</v>
      </c>
      <c r="N27" s="356" t="inlineStr">
        <is>
          <t>Summer Jun 1-Sep 30 / Winter Oct 1-May 31</t>
        </is>
      </c>
      <c r="O27" s="356" t="inlineStr">
        <is>
          <t>Summer on-peak 12-6pm wkdy; winter on-peak 5-9pm wkdy</t>
        </is>
      </c>
      <c r="P27" s="492" t="inlineStr">
        <is>
          <t>VERIFIED</t>
        </is>
      </c>
      <c r="Q27" s="356" t="inlineStr">
        <is>
          <t>2026-01-01</t>
        </is>
      </c>
      <c r="R27" s="493" t="inlineStr">
        <is>
          <t>https://www.riversideca.gov/utilities/sites/riversideca.gov.utilities/files/pdf/rates-electric/2024/Electric%20Schedule%20TOU%20-%20Effective%2001-1-24%20Final.pdf</t>
        </is>
      </c>
    </row>
    <row r="28" ht="79.5" customHeight="1" s="254">
      <c r="A28" s="489" t="inlineStr">
        <is>
          <t>Anaheim Public Utilities</t>
        </is>
      </c>
      <c r="B28" s="356" t="inlineStr">
        <is>
          <t>Anaheim Schedule TOU</t>
        </is>
      </c>
      <c r="C28" s="490" t="n">
        <v>500</v>
      </c>
      <c r="D28" s="490" t="n">
        <v>99999</v>
      </c>
      <c r="E28" s="356" t="inlineStr">
        <is>
          <t>&lt;=50 kV</t>
        </is>
      </c>
      <c r="F28" s="491" t="n">
        <v>0.148</v>
      </c>
      <c r="G28" s="491" t="n">
        <v>0.07870000000000001</v>
      </c>
      <c r="H28" s="491" t="n">
        <v>0</v>
      </c>
      <c r="I28" s="377" t="n">
        <v>24.34</v>
      </c>
      <c r="J28" s="490" t="n">
        <v>0</v>
      </c>
      <c r="K28" s="377" t="n">
        <v>0</v>
      </c>
      <c r="L28" s="377" t="n">
        <v>0</v>
      </c>
      <c r="M28" s="377" t="n">
        <v>342.12</v>
      </c>
      <c r="N28" s="356" t="inlineStr">
        <is>
          <t>Summer Jul 1-Nov 1 / Winter Nov 1-Jul 1</t>
        </is>
      </c>
      <c r="O28" s="356" t="inlineStr">
        <is>
          <t>Summer on-peak 4-9pm wkdy; mid-peak 12-4pm &amp; 9-11pm</t>
        </is>
      </c>
      <c r="P28" s="492" t="inlineStr">
        <is>
          <t>VERIFIED</t>
        </is>
      </c>
      <c r="Q28" s="356" t="inlineStr">
        <is>
          <t>2023-04-03</t>
        </is>
      </c>
      <c r="R28" s="493" t="inlineStr">
        <is>
          <t>https://local.anaheim.net/docs_agend/questys_pub/40932/40962/40963/41099/41102/2.%20Current%20Electric%20Rates,%20Rules%20and%20Regulations%20Rate%20Schedules%20and%20Rule%20Nos.%2026%20and%202941102.pdf</t>
        </is>
      </c>
    </row>
    <row r="29" ht="55.5" customHeight="1" s="254">
      <c r="A29" s="489" t="inlineStr">
        <is>
          <t>Glendale Water and Power</t>
        </is>
      </c>
      <c r="B29" s="356" t="inlineStr">
        <is>
          <t>PC-1-B TOU</t>
        </is>
      </c>
      <c r="C29" s="490" t="n">
        <v>500</v>
      </c>
      <c r="D29" s="490" t="n">
        <v>99999</v>
      </c>
      <c r="E29" s="356" t="inlineStr">
        <is>
          <t>All</t>
        </is>
      </c>
      <c r="F29" s="491" t="n">
        <v>0.3892</v>
      </c>
      <c r="G29" s="491" t="n">
        <v>0.1384</v>
      </c>
      <c r="H29" s="491" t="n">
        <v>0</v>
      </c>
      <c r="I29" s="377" t="n">
        <v>28.3</v>
      </c>
      <c r="J29" s="490" t="n">
        <v>0</v>
      </c>
      <c r="K29" s="377" t="n">
        <v>0</v>
      </c>
      <c r="L29" s="377" t="n">
        <v>0</v>
      </c>
      <c r="M29" s="377" t="n">
        <v>0</v>
      </c>
      <c r="N29" s="356" t="inlineStr">
        <is>
          <t>High Jul-Oct / Low Nov-Jun</t>
        </is>
      </c>
      <c r="O29" s="356" t="inlineStr">
        <is>
          <t>NOT PUBLISHED — note charge is per kW per DAY</t>
        </is>
      </c>
      <c r="P29" s="494" t="inlineStr">
        <is>
          <t>PARTIAL</t>
        </is>
      </c>
      <c r="Q29" s="356" t="inlineStr">
        <is>
          <t>2024-01-01</t>
        </is>
      </c>
      <c r="R29" s="493" t="inlineStr">
        <is>
          <t>https://www.glendaleca.gov/government/departments/glendale-water-and-power/rates/large-business-pc-1-electric-rates</t>
        </is>
      </c>
    </row>
    <row r="30" ht="55.5" customHeight="1" s="254">
      <c r="A30" s="489" t="inlineStr">
        <is>
          <t>Burbank Water and Power</t>
        </is>
      </c>
      <c r="B30" s="356" t="inlineStr">
        <is>
          <t>XL-TOU</t>
        </is>
      </c>
      <c r="C30" s="490" t="n">
        <v>1000</v>
      </c>
      <c r="D30" s="490" t="n">
        <v>99999</v>
      </c>
      <c r="E30" s="356" t="inlineStr">
        <is>
          <t>All</t>
        </is>
      </c>
      <c r="F30" s="491" t="n">
        <v>0.2131</v>
      </c>
      <c r="G30" s="491" t="n">
        <v>0.0896</v>
      </c>
      <c r="H30" s="491" t="n">
        <v>0</v>
      </c>
      <c r="I30" s="377" t="n">
        <v>20</v>
      </c>
      <c r="J30" s="490" t="n">
        <v>0</v>
      </c>
      <c r="K30" s="377" t="n">
        <v>0</v>
      </c>
      <c r="L30" s="377" t="n">
        <v>0</v>
      </c>
      <c r="M30" s="377" t="n">
        <v>0</v>
      </c>
      <c r="N30" s="356" t="inlineStr">
        <is>
          <t>Summer / Winter</t>
        </is>
      </c>
      <c r="O30" s="356" t="inlineStr">
        <is>
          <t>NOT PUBLISHED — demand billed per kVA not kW</t>
        </is>
      </c>
      <c r="P30" s="494" t="inlineStr">
        <is>
          <t>PARTIAL</t>
        </is>
      </c>
      <c r="Q30" s="356" t="inlineStr">
        <is>
          <t>2026-01-01</t>
        </is>
      </c>
      <c r="R30" s="493" t="inlineStr">
        <is>
          <t>https://www.burbankwaterandpower.com/documents/d/guest/Summary-of-Electric-Rates-by-Customer-Type_Commercial_all</t>
        </is>
      </c>
    </row>
    <row r="31" ht="43.5" customHeight="1" s="254">
      <c r="A31" s="489" t="inlineStr">
        <is>
          <t>Pasadena Water and Power</t>
        </is>
      </c>
      <c r="B31" s="356" t="inlineStr">
        <is>
          <t>L-1 Secondary</t>
        </is>
      </c>
      <c r="C31" s="490" t="n">
        <v>0</v>
      </c>
      <c r="D31" s="490" t="n">
        <v>99999</v>
      </c>
      <c r="E31" s="356" t="inlineStr">
        <is>
          <t>Secondary</t>
        </is>
      </c>
      <c r="F31" s="491" t="n">
        <v>0.13409</v>
      </c>
      <c r="G31" s="491" t="n">
        <v>0.12489</v>
      </c>
      <c r="H31" s="491" t="n">
        <v>0</v>
      </c>
      <c r="I31" s="377" t="n">
        <v>18.76</v>
      </c>
      <c r="J31" s="490" t="n">
        <v>0</v>
      </c>
      <c r="K31" s="377" t="n">
        <v>0</v>
      </c>
      <c r="L31" s="377" t="n">
        <v>0</v>
      </c>
      <c r="M31" s="377" t="n">
        <v>1500</v>
      </c>
      <c r="N31" s="356" t="inlineStr">
        <is>
          <t>Summer / Winter</t>
        </is>
      </c>
      <c r="O31" s="356" t="inlineStr">
        <is>
          <t>NOT PUBLISHED</t>
        </is>
      </c>
      <c r="P31" s="494" t="inlineStr">
        <is>
          <t>PARTIAL</t>
        </is>
      </c>
      <c r="Q31" s="356" t="inlineStr">
        <is>
          <t>2025-10-01</t>
        </is>
      </c>
      <c r="R31" s="493" t="inlineStr">
        <is>
          <t>https://pwp.cityofpasadena.net/wp-content/uploads/2025/09/Summary-Rates-2025_10.pdf</t>
        </is>
      </c>
    </row>
    <row r="32" ht="31.5" customHeight="1" s="254">
      <c r="A32" s="489" t="inlineStr">
        <is>
          <t>Roseville Electric Utility</t>
        </is>
      </c>
      <c r="B32" s="356" t="inlineStr">
        <is>
          <t>GS-4</t>
        </is>
      </c>
      <c r="C32" s="490" t="n">
        <v>1000</v>
      </c>
      <c r="D32" s="490" t="n">
        <v>99999</v>
      </c>
      <c r="E32" s="356" t="inlineStr">
        <is>
          <t>All</t>
        </is>
      </c>
      <c r="F32" s="491" t="n">
        <v>0.1969</v>
      </c>
      <c r="G32" s="491" t="n">
        <v>0.095</v>
      </c>
      <c r="H32" s="491" t="n">
        <v>0</v>
      </c>
      <c r="I32" s="377" t="n">
        <v>11.51</v>
      </c>
      <c r="J32" s="490" t="n">
        <v>0</v>
      </c>
      <c r="K32" s="377" t="n">
        <v>0</v>
      </c>
      <c r="L32" s="377" t="n">
        <v>0</v>
      </c>
      <c r="M32" s="377" t="n">
        <v>0</v>
      </c>
      <c r="N32" s="356" t="inlineStr">
        <is>
          <t>Summer / Winter</t>
        </is>
      </c>
      <c r="O32" s="356" t="inlineStr">
        <is>
          <t>NOT PUBLISHED</t>
        </is>
      </c>
      <c r="P32" s="494" t="inlineStr">
        <is>
          <t>PARTIAL</t>
        </is>
      </c>
      <c r="Q32" s="356" t="inlineStr">
        <is>
          <t>2026-07-01</t>
        </is>
      </c>
      <c r="R32" s="493" t="inlineStr">
        <is>
          <t>https://www.roseville.ca.gov/electric_utility/rates/index.php</t>
        </is>
      </c>
    </row>
    <row r="33" ht="67.5" customHeight="1" s="254">
      <c r="A33" s="489" t="inlineStr">
        <is>
          <t>City of Palo Alto Utilities</t>
        </is>
      </c>
      <c r="B33" s="356" t="inlineStr">
        <is>
          <t>E-7</t>
        </is>
      </c>
      <c r="C33" s="490" t="n">
        <v>1000</v>
      </c>
      <c r="D33" s="490" t="n">
        <v>99999</v>
      </c>
      <c r="E33" s="356" t="inlineStr">
        <is>
          <t>All</t>
        </is>
      </c>
      <c r="F33" s="491" t="n">
        <v>0.20068</v>
      </c>
      <c r="G33" s="491" t="n">
        <v>0.12834</v>
      </c>
      <c r="H33" s="491" t="n">
        <v>0.08</v>
      </c>
      <c r="I33" s="377" t="n">
        <v>47.54</v>
      </c>
      <c r="J33" s="490" t="n">
        <v>0</v>
      </c>
      <c r="K33" s="377" t="n">
        <v>0</v>
      </c>
      <c r="L33" s="377" t="n">
        <v>0</v>
      </c>
      <c r="M33" s="377" t="n">
        <v>604</v>
      </c>
      <c r="N33" s="356" t="inlineStr">
        <is>
          <t>Summer / Winter</t>
        </is>
      </c>
      <c r="O33" s="356" t="inlineStr">
        <is>
          <t>NOT PUBLISHED — two demand charges stack</t>
        </is>
      </c>
      <c r="P33" s="494" t="inlineStr">
        <is>
          <t>PARTIAL</t>
        </is>
      </c>
      <c r="Q33" s="356" t="inlineStr">
        <is>
          <t>2026-07-01</t>
        </is>
      </c>
      <c r="R33" s="493" t="inlineStr">
        <is>
          <t>https://www.cityofpaloalto.org/files/assets/public/v/5/utilities/rates-schedules-for-utilities/commercial-utility-rates/e-7-tou-effective-2025-07-01.pdf</t>
        </is>
      </c>
    </row>
    <row r="34" ht="43.5" customHeight="1" s="254">
      <c r="A34" s="489" t="inlineStr">
        <is>
          <t>TID — Turlock Irrigation District</t>
        </is>
      </c>
      <c r="B34" s="356" t="inlineStr">
        <is>
          <t>Schedule HT</t>
        </is>
      </c>
      <c r="C34" s="490" t="n">
        <v>500</v>
      </c>
      <c r="D34" s="490" t="n">
        <v>2999</v>
      </c>
      <c r="E34" s="356" t="inlineStr">
        <is>
          <t>All</t>
        </is>
      </c>
      <c r="F34" s="491" t="n">
        <v>0.1464</v>
      </c>
      <c r="G34" s="491" t="n">
        <v>0.0892</v>
      </c>
      <c r="H34" s="491" t="n">
        <v>0</v>
      </c>
      <c r="I34" s="377" t="n">
        <v>16</v>
      </c>
      <c r="J34" s="490" t="n">
        <v>0</v>
      </c>
      <c r="K34" s="377" t="n">
        <v>0</v>
      </c>
      <c r="L34" s="377" t="n">
        <v>0</v>
      </c>
      <c r="M34" s="377" t="n">
        <v>300</v>
      </c>
      <c r="N34" s="356" t="inlineStr">
        <is>
          <t>Summer / Winter</t>
        </is>
      </c>
      <c r="O34" s="356" t="inlineStr">
        <is>
          <t>On-peak 12pm-9pm Mon-Fri</t>
        </is>
      </c>
      <c r="P34" s="492" t="inlineStr">
        <is>
          <t>VERIFIED</t>
        </is>
      </c>
      <c r="Q34" s="356" t="inlineStr">
        <is>
          <t>2026-01-01</t>
        </is>
      </c>
      <c r="R34" s="493" t="inlineStr">
        <is>
          <t>https://www.tid.org/wp-content/uploads/2024/10/HT-Rate-Tariff-Effective-2025.pdf</t>
        </is>
      </c>
    </row>
    <row r="35" ht="43.5" customHeight="1" s="254">
      <c r="A35" s="489" t="inlineStr">
        <is>
          <t>Alameda Municipal Power</t>
        </is>
      </c>
      <c r="B35" s="356" t="inlineStr">
        <is>
          <t>Schedule A-3</t>
        </is>
      </c>
      <c r="C35" s="490" t="n">
        <v>500</v>
      </c>
      <c r="D35" s="490" t="n">
        <v>4000</v>
      </c>
      <c r="E35" s="356" t="inlineStr">
        <is>
          <t>All</t>
        </is>
      </c>
      <c r="F35" s="491" t="n">
        <v>0.14673</v>
      </c>
      <c r="G35" s="491" t="n">
        <v>0.14673</v>
      </c>
      <c r="H35" s="491" t="n">
        <v>0.14673</v>
      </c>
      <c r="I35" s="377" t="n">
        <v>17.96</v>
      </c>
      <c r="J35" s="490" t="n">
        <v>0</v>
      </c>
      <c r="K35" s="377" t="n">
        <v>0</v>
      </c>
      <c r="L35" s="377" t="n">
        <v>0</v>
      </c>
      <c r="M35" s="377" t="n">
        <v>573.6</v>
      </c>
      <c r="N35" s="356" t="inlineStr">
        <is>
          <t>None</t>
        </is>
      </c>
      <c r="O35" s="356" t="inlineStr">
        <is>
          <t>Flat, non-TOU</t>
        </is>
      </c>
      <c r="P35" s="492" t="inlineStr">
        <is>
          <t>VERIFIED</t>
        </is>
      </c>
      <c r="Q35" s="356" t="inlineStr">
        <is>
          <t>2025-07-01</t>
        </is>
      </c>
      <c r="R35" s="493" t="inlineStr">
        <is>
          <t>https://www.alamedamp.com/DocumentCenter/View/1477/A3-Rate-Schedule-Effective-2025-7-1</t>
        </is>
      </c>
    </row>
    <row r="36" ht="43.5" customHeight="1" s="254">
      <c r="A36" s="489" t="inlineStr">
        <is>
          <t>Azusa Light &amp; Water</t>
        </is>
      </c>
      <c r="B36" s="356" t="inlineStr">
        <is>
          <t>Azusa Schedule TOU</t>
        </is>
      </c>
      <c r="C36" s="490" t="n">
        <v>200</v>
      </c>
      <c r="D36" s="490" t="n">
        <v>99999</v>
      </c>
      <c r="E36" s="356" t="inlineStr">
        <is>
          <t>All</t>
        </is>
      </c>
      <c r="F36" s="491" t="n">
        <v>0.15455</v>
      </c>
      <c r="G36" s="491" t="n">
        <v>0.07026</v>
      </c>
      <c r="H36" s="491" t="n">
        <v>0</v>
      </c>
      <c r="I36" s="377" t="n">
        <v>12.01</v>
      </c>
      <c r="J36" s="490" t="n">
        <v>0</v>
      </c>
      <c r="K36" s="377" t="n">
        <v>0</v>
      </c>
      <c r="L36" s="377" t="n">
        <v>0</v>
      </c>
      <c r="M36" s="377" t="n">
        <v>42.15</v>
      </c>
      <c r="N36" s="356" t="inlineStr">
        <is>
          <t>Summer / Winter</t>
        </is>
      </c>
      <c r="O36" s="356" t="inlineStr">
        <is>
          <t>Off-peak demand charge is ZERO</t>
        </is>
      </c>
      <c r="P36" s="492" t="inlineStr">
        <is>
          <t>VERIFIED</t>
        </is>
      </c>
      <c r="Q36" s="356" t="inlineStr">
        <is>
          <t>2026-06-01</t>
        </is>
      </c>
      <c r="R36" s="493" t="inlineStr">
        <is>
          <t>https://azusaca.gov/DocumentCenter/View/50568/Rules-and-Regulations-6-1-2026</t>
        </is>
      </c>
    </row>
    <row r="37" ht="67.5" customHeight="1" s="254">
      <c r="A37" s="489" t="inlineStr">
        <is>
          <t>SCE — Southern California Edison</t>
        </is>
      </c>
      <c r="B37" s="356" t="inlineStr">
        <is>
          <t>TOU-EV-9 PLACEHOLDER &lt;2kV</t>
        </is>
      </c>
      <c r="C37" s="490" t="n">
        <v>500</v>
      </c>
      <c r="D37" s="490" t="n">
        <v>99999</v>
      </c>
      <c r="E37" s="356" t="inlineStr">
        <is>
          <t>Below 2 kV</t>
        </is>
      </c>
      <c r="F37" s="491" t="n">
        <v>0.52398</v>
      </c>
      <c r="G37" s="491" t="n">
        <v>0.13292</v>
      </c>
      <c r="H37" s="491" t="n">
        <v>0.08666</v>
      </c>
      <c r="I37" s="377" t="n">
        <v>0</v>
      </c>
      <c r="J37" s="490" t="n">
        <v>0</v>
      </c>
      <c r="K37" s="377" t="n">
        <v>0</v>
      </c>
      <c r="L37" s="377" t="n">
        <v>0</v>
      </c>
      <c r="M37" s="377" t="n">
        <v>701.42</v>
      </c>
      <c r="N37" s="356" t="inlineStr">
        <is>
          <t>Summer Jun-Sep / Winter Oct-May</t>
        </is>
      </c>
      <c r="O37" s="356" t="inlineStr">
        <is>
          <t>Summer on-peak 4-9pm wkdy. Winter period boundaries DISPUTED between sources</t>
        </is>
      </c>
      <c r="P37" s="496" t="inlineStr">
        <is>
          <t>PLACEHOLDER 2021 VINTAGE</t>
        </is>
      </c>
      <c r="Q37" s="356" t="inlineStr">
        <is>
          <t>2021-10-01</t>
        </is>
      </c>
      <c r="R37" s="493" t="inlineStr">
        <is>
          <t>https://www.cpuc.ca.gov/-/media/cpuc-website/divisions/energy-division/documents/transportation-electrification/sce-ev-rates-updated-oct-2021.pdf</t>
        </is>
      </c>
    </row>
    <row r="38" ht="67.5" customHeight="1" s="254">
      <c r="A38" s="489" t="inlineStr">
        <is>
          <t>SCE — Southern California Edison</t>
        </is>
      </c>
      <c r="B38" s="356" t="inlineStr">
        <is>
          <t>TOU-EV-9 PLACEHOLDER 2-50kV</t>
        </is>
      </c>
      <c r="C38" s="490" t="n">
        <v>500</v>
      </c>
      <c r="D38" s="490" t="n">
        <v>99999</v>
      </c>
      <c r="E38" s="356" t="inlineStr">
        <is>
          <t>2-50 kV</t>
        </is>
      </c>
      <c r="F38" s="491" t="n">
        <v>0.48076</v>
      </c>
      <c r="G38" s="491" t="n">
        <v>0.12201</v>
      </c>
      <c r="H38" s="491" t="n">
        <v>0.08198999999999999</v>
      </c>
      <c r="I38" s="377" t="n">
        <v>0</v>
      </c>
      <c r="J38" s="490" t="n">
        <v>0</v>
      </c>
      <c r="K38" s="377" t="n">
        <v>0</v>
      </c>
      <c r="L38" s="377" t="n">
        <v>0</v>
      </c>
      <c r="M38" s="377" t="n">
        <v>373.12</v>
      </c>
      <c r="N38" s="356" t="inlineStr">
        <is>
          <t>Summer Jun-Sep / Winter Oct-May</t>
        </is>
      </c>
      <c r="O38" s="356" t="inlineStr">
        <is>
          <t>Summer on-peak 4-9pm wkdy</t>
        </is>
      </c>
      <c r="P38" s="496" t="inlineStr">
        <is>
          <t>PLACEHOLDER 2021 VINTAGE</t>
        </is>
      </c>
      <c r="Q38" s="356" t="inlineStr">
        <is>
          <t>2021-10-01</t>
        </is>
      </c>
      <c r="R38" s="493" t="inlineStr">
        <is>
          <t>https://www.cpuc.ca.gov/-/media/cpuc-website/divisions/energy-division/documents/transportation-electrification/sce-ev-rates-updated-oct-2021.pdf</t>
        </is>
      </c>
    </row>
    <row r="39" ht="67.5" customHeight="1" s="254">
      <c r="A39" s="489" t="inlineStr">
        <is>
          <t>SCE — Southern California Edison</t>
        </is>
      </c>
      <c r="B39" s="356" t="inlineStr">
        <is>
          <t>TOU-EV-8 PLACEHOLDER</t>
        </is>
      </c>
      <c r="C39" s="490" t="n">
        <v>20</v>
      </c>
      <c r="D39" s="490" t="n">
        <v>500</v>
      </c>
      <c r="E39" s="356" t="inlineStr">
        <is>
          <t>Secondary</t>
        </is>
      </c>
      <c r="F39" s="491" t="n">
        <v>0.59521</v>
      </c>
      <c r="G39" s="491" t="n">
        <v>0.15808</v>
      </c>
      <c r="H39" s="491" t="n">
        <v>0.09772</v>
      </c>
      <c r="I39" s="377" t="n">
        <v>0</v>
      </c>
      <c r="J39" s="490" t="n">
        <v>0</v>
      </c>
      <c r="K39" s="377" t="n">
        <v>0</v>
      </c>
      <c r="L39" s="377" t="n">
        <v>0</v>
      </c>
      <c r="M39" s="377" t="n">
        <v>194.05</v>
      </c>
      <c r="N39" s="356" t="inlineStr">
        <is>
          <t>Summer Jun-Sep / Winter Oct-May</t>
        </is>
      </c>
      <c r="O39" s="356" t="inlineStr">
        <is>
          <t>Summer on-peak 4-9pm wkdy</t>
        </is>
      </c>
      <c r="P39" s="496" t="inlineStr">
        <is>
          <t>PLACEHOLDER 2021 VINTAGE</t>
        </is>
      </c>
      <c r="Q39" s="356" t="inlineStr">
        <is>
          <t>2021-10-01</t>
        </is>
      </c>
      <c r="R39" s="493" t="inlineStr">
        <is>
          <t>https://www.cpuc.ca.gov/-/media/cpuc-website/divisions/energy-division/documents/transportation-electrification/sce-ev-rates-updated-oct-2021.pdf</t>
        </is>
      </c>
    </row>
    <row r="40" ht="27.76" customHeight="1" s="254">
      <c r="A40" s="489" t="inlineStr">
        <is>
          <t>Redding Electric Utility</t>
        </is>
      </c>
      <c r="B40" s="356" t="inlineStr">
        <is>
          <t>E2 — Small Commercial (no demand charge)</t>
        </is>
      </c>
      <c r="C40" s="490" t="n">
        <v>0</v>
      </c>
      <c r="D40" s="490" t="n">
        <v>75</v>
      </c>
      <c r="E40" s="356" t="inlineStr">
        <is>
          <t>Secondary</t>
        </is>
      </c>
      <c r="F40" s="491" t="n">
        <v>0.1649</v>
      </c>
      <c r="G40" s="491" t="n">
        <v>0.1649</v>
      </c>
      <c r="H40" s="491" t="n">
        <v>0.1649</v>
      </c>
      <c r="I40" s="377" t="n">
        <v>0</v>
      </c>
      <c r="J40" s="490" t="n">
        <v>0</v>
      </c>
      <c r="K40" s="377" t="n">
        <v>0</v>
      </c>
      <c r="L40" s="377" t="n">
        <v>0</v>
      </c>
      <c r="M40" s="377" t="n">
        <v>70</v>
      </c>
      <c r="N40" s="356" t="inlineStr">
        <is>
          <t>None — flat all year</t>
        </is>
      </c>
      <c r="O40" s="356" t="inlineStr">
        <is>
          <t>None — REU publishes no commercial time-of-use rate</t>
        </is>
      </c>
      <c r="P40" s="492" t="inlineStr">
        <is>
          <t>UNVERIFIED — third-party summary</t>
        </is>
      </c>
      <c r="Q40" s="356" t="inlineStr">
        <is>
          <t>2025-01-01</t>
        </is>
      </c>
      <c r="R40"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115.5" customHeight="1" s="254">
      <c r="A41" s="489" t="inlineStr">
        <is>
          <t>Redding Electric Utility</t>
        </is>
      </c>
      <c r="B41" s="356" t="inlineStr">
        <is>
          <t>E7/E8 — Large Commercial (demand)</t>
        </is>
      </c>
      <c r="C41" s="490" t="n">
        <v>25</v>
      </c>
      <c r="D41" s="490" t="n">
        <v>99999</v>
      </c>
      <c r="E41" s="356" t="inlineStr">
        <is>
          <t>Secondary</t>
        </is>
      </c>
      <c r="F41" s="491" t="n">
        <v>0.1086</v>
      </c>
      <c r="G41" s="491" t="n">
        <v>0.1086</v>
      </c>
      <c r="H41" s="491" t="n">
        <v>0.1086</v>
      </c>
      <c r="I41" s="377" t="n">
        <v>21.5</v>
      </c>
      <c r="J41" s="490" t="n">
        <v>0</v>
      </c>
      <c r="K41" s="377" t="n">
        <v>0</v>
      </c>
      <c r="L41" s="377" t="n">
        <v>0</v>
      </c>
      <c r="M41" s="377" t="n">
        <v>95</v>
      </c>
      <c r="N41" s="356" t="inlineStr">
        <is>
          <t>None — flat all year</t>
        </is>
      </c>
      <c r="O41" s="356" t="inlineStr">
        <is>
          <t>None — no time-of-use. Demand is set by the highest 15-minute interval in the month</t>
        </is>
      </c>
      <c r="P41" s="492" t="inlineStr">
        <is>
          <t>UNVERIFIED — third-party summary</t>
        </is>
      </c>
      <c r="Q41" s="356" t="inlineStr">
        <is>
          <t>2025-01-01</t>
        </is>
      </c>
      <c r="R41"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4">
      <c r="A42" s="262" t="n"/>
    </row>
    <row r="43" ht="15" customHeight="1" s="254">
      <c r="A43" s="497" t="n"/>
    </row>
    <row r="44" ht="15" customHeight="1" s="254">
      <c r="A44" s="479" t="n"/>
      <c r="B44" s="479" t="n"/>
      <c r="C44" s="479" t="n"/>
      <c r="D44" s="479" t="n"/>
    </row>
    <row r="45" ht="19.5" customHeight="1" s="254">
      <c r="A45" s="324" t="n"/>
      <c r="B45" s="324" t="n"/>
      <c r="C45" s="498" t="n"/>
      <c r="D45" s="486" t="n"/>
    </row>
    <row r="46" ht="19.5" customHeight="1" s="254">
      <c r="A46" s="324" t="n"/>
      <c r="B46" s="324" t="n"/>
      <c r="C46" s="499" t="n"/>
      <c r="D46" s="486" t="n"/>
    </row>
    <row r="47" ht="19.5" customHeight="1" s="254">
      <c r="A47" s="324" t="n"/>
      <c r="B47" s="324" t="n"/>
      <c r="C47" s="499" t="n"/>
      <c r="D47" s="486" t="n"/>
    </row>
    <row r="48" ht="19.5" customHeight="1" s="254">
      <c r="A48" s="324" t="n"/>
      <c r="B48" s="324" t="n"/>
      <c r="C48" s="499" t="n"/>
      <c r="D48" s="486" t="n"/>
    </row>
    <row r="49" ht="19.5" customHeight="1" s="254">
      <c r="A49" s="324" t="n"/>
      <c r="B49" s="324" t="n"/>
      <c r="C49" s="500" t="n"/>
      <c r="D49" s="486" t="n"/>
    </row>
    <row r="50" ht="19.5" customHeight="1" s="254">
      <c r="A50" s="324" t="n"/>
      <c r="B50" s="324" t="n"/>
      <c r="C50" s="500" t="n"/>
      <c r="D50" s="486" t="n"/>
    </row>
    <row r="51" ht="19.5" customHeight="1" s="254">
      <c r="A51" s="324" t="n"/>
      <c r="B51" s="324" t="n"/>
      <c r="C51" s="499" t="n"/>
      <c r="D51" s="486" t="n"/>
    </row>
    <row r="52" ht="19.5" customHeight="1" s="254">
      <c r="A52" s="324" t="n"/>
      <c r="B52" s="324" t="n"/>
      <c r="C52" s="498" t="n"/>
      <c r="D52" s="486" t="n"/>
    </row>
    <row r="53" ht="19.5" customHeight="1" s="254">
      <c r="A53" s="324" t="n"/>
      <c r="B53" s="324" t="n"/>
      <c r="C53" s="498" t="n"/>
      <c r="D53" s="486" t="n"/>
    </row>
    <row r="54" ht="19.5" customHeight="1" s="254">
      <c r="A54" s="324" t="n"/>
      <c r="B54" s="324" t="n"/>
      <c r="C54" s="500" t="n"/>
      <c r="D54" s="486" t="n"/>
    </row>
    <row r="55" ht="19.5" customHeight="1" s="254">
      <c r="A55" s="324" t="n"/>
      <c r="B55" s="324" t="n"/>
      <c r="C55" s="498" t="n"/>
      <c r="D55" s="486" t="n"/>
    </row>
    <row r="60" ht="14.25" customHeight="1" s="254">
      <c r="A60" s="262" t="inlineStr">
        <is>
          <t>UTILITY EV CHARGING REBATE AND MAKE-READY PROGRAMMES</t>
        </is>
      </c>
    </row>
    <row r="61" ht="19.5" customHeight="1" s="254">
      <c r="A61" s="285" t="inlineStr">
        <is>
          <t>Incentives are separate cash flows, not tariff changes. Never model one as a rate reduction, and never bank one that is closed or waitlisted.</t>
        </is>
      </c>
    </row>
    <row r="62" ht="14.25" customHeight="1" s="254">
      <c r="A62" s="479" t="inlineStr">
        <is>
          <t>Utility</t>
        </is>
      </c>
      <c r="B62" s="479" t="inlineStr">
        <is>
          <t>Programme</t>
        </is>
      </c>
      <c r="C62" s="479" t="inlineStr">
        <is>
          <t>Status</t>
        </is>
      </c>
      <c r="D62" s="479" t="inlineStr">
        <is>
          <t>Amounts</t>
        </is>
      </c>
    </row>
    <row r="63" ht="19.5" customHeight="1" s="254">
      <c r="A63" s="324" t="inlineStr">
        <is>
          <t>LADWP</t>
        </is>
      </c>
      <c r="B63" s="324" t="inlineStr">
        <is>
          <t>Commercial EV Charger Rebate</t>
        </is>
      </c>
      <c r="C63" s="498" t="inlineStr">
        <is>
          <t>CLOSED — reopening Oct 2026</t>
        </is>
      </c>
      <c r="D63" s="486" t="inlineStr">
        <is>
          <t>DCFC $20k (50-149kW) / $55k (150-274kW) / $100k (275kW+); +25% in DACs; $2m cap per premises</t>
        </is>
      </c>
      <c r="E63" s="299" t="n"/>
      <c r="F63" s="299" t="n"/>
      <c r="G63" s="299" t="n"/>
      <c r="H63" s="299" t="n"/>
      <c r="I63" s="299" t="n"/>
      <c r="J63" s="299" t="n"/>
      <c r="K63" s="299" t="n"/>
      <c r="L63" s="299" t="n"/>
      <c r="M63" s="299" t="n"/>
      <c r="N63" s="299" t="n"/>
      <c r="O63" s="299" t="n"/>
      <c r="P63" s="299" t="n"/>
      <c r="Q63" s="299" t="n"/>
      <c r="R63" s="299" t="n"/>
    </row>
    <row r="64" ht="19.5" customHeight="1" s="254">
      <c r="A64" s="324" t="inlineStr">
        <is>
          <t>SMUD</t>
        </is>
      </c>
      <c r="B64" s="324" t="inlineStr">
        <is>
          <t>Commercial EV Program</t>
        </is>
      </c>
      <c r="C64" s="499" t="inlineStr">
        <is>
          <t>OPEN — first come first served</t>
        </is>
      </c>
      <c r="D64" s="486" t="inlineStr">
        <is>
          <t>DCFC $7.5k/handle &lt;50kW; $15k 50-149.9kW; $30k &gt;=150kW. Make-ready: panel $1k, transformer $5k, storage $100/kWh</t>
        </is>
      </c>
      <c r="E64" s="299" t="n"/>
      <c r="F64" s="299" t="n"/>
      <c r="G64" s="299" t="n"/>
      <c r="H64" s="299" t="n"/>
      <c r="I64" s="299" t="n"/>
      <c r="J64" s="299" t="n"/>
      <c r="K64" s="299" t="n"/>
      <c r="L64" s="299" t="n"/>
      <c r="M64" s="299" t="n"/>
      <c r="N64" s="299" t="n"/>
      <c r="O64" s="299" t="n"/>
      <c r="P64" s="299" t="n"/>
      <c r="Q64" s="299" t="n"/>
      <c r="R64" s="299" t="n"/>
    </row>
    <row r="65" ht="19.5" customHeight="1" s="254">
      <c r="A65" s="324" t="inlineStr">
        <is>
          <t>Riverside Public Utilities</t>
        </is>
      </c>
      <c r="B65" s="324" t="inlineStr">
        <is>
          <t>Electrify Riverside</t>
        </is>
      </c>
      <c r="C65" s="499" t="inlineStr">
        <is>
          <t>OPEN — first come first served</t>
        </is>
      </c>
      <c r="D65" s="486" t="inlineStr">
        <is>
          <t>Up to $10k per DC fast charger; infrastructure 50% of cost up to $50k</t>
        </is>
      </c>
      <c r="E65" s="299" t="n"/>
      <c r="F65" s="299" t="n"/>
      <c r="G65" s="299" t="n"/>
      <c r="H65" s="299" t="n"/>
      <c r="I65" s="299" t="n"/>
      <c r="J65" s="299" t="n"/>
      <c r="K65" s="299" t="n"/>
      <c r="L65" s="299" t="n"/>
      <c r="M65" s="299" t="n"/>
      <c r="N65" s="299" t="n"/>
      <c r="O65" s="299" t="n"/>
      <c r="P65" s="299" t="n"/>
      <c r="Q65" s="299" t="n"/>
      <c r="R65" s="299" t="n"/>
    </row>
    <row r="66" ht="19.5" customHeight="1" s="254">
      <c r="A66" s="324" t="inlineStr">
        <is>
          <t>Glendale Water and Power</t>
        </is>
      </c>
      <c r="B66" s="324" t="inlineStr">
        <is>
          <t>Commercial EV charger rebate</t>
        </is>
      </c>
      <c r="C66" s="499" t="inlineStr">
        <is>
          <t>OPEN</t>
        </is>
      </c>
      <c r="D66" s="486" t="inlineStr">
        <is>
          <t>Lesser of $50k or 50%; up to $75k/75% for DCFC &gt;=50kW, DACs, public access</t>
        </is>
      </c>
      <c r="E66" s="299" t="n"/>
      <c r="F66" s="299" t="n"/>
      <c r="G66" s="299" t="n"/>
      <c r="H66" s="299" t="n"/>
      <c r="I66" s="299" t="n"/>
      <c r="J66" s="299" t="n"/>
      <c r="K66" s="299" t="n"/>
      <c r="L66" s="299" t="n"/>
      <c r="M66" s="299" t="n"/>
      <c r="N66" s="299" t="n"/>
      <c r="O66" s="299" t="n"/>
      <c r="P66" s="299" t="n"/>
      <c r="Q66" s="299" t="n"/>
      <c r="R66" s="299" t="n"/>
    </row>
    <row r="67" ht="19.5" customHeight="1" s="254">
      <c r="A67" s="324" t="inlineStr">
        <is>
          <t>Burbank Water and Power</t>
        </is>
      </c>
      <c r="B67" s="324" t="inlineStr">
        <is>
          <t>Commercial EV charging rebate</t>
        </is>
      </c>
      <c r="C67" s="500" t="inlineStr">
        <is>
          <t>Status not stated</t>
        </is>
      </c>
      <c r="D67" s="486" t="inlineStr">
        <is>
          <t>DCFC $5k-$10k/port; $10k-$20k for DAC/public/MFH. Cap $200k or 40 ports</t>
        </is>
      </c>
      <c r="E67" s="299" t="n"/>
      <c r="F67" s="299" t="n"/>
      <c r="G67" s="299" t="n"/>
      <c r="H67" s="299" t="n"/>
      <c r="I67" s="299" t="n"/>
      <c r="J67" s="299" t="n"/>
      <c r="K67" s="299" t="n"/>
      <c r="L67" s="299" t="n"/>
      <c r="M67" s="299" t="n"/>
      <c r="N67" s="299" t="n"/>
      <c r="O67" s="299" t="n"/>
      <c r="P67" s="299" t="n"/>
      <c r="Q67" s="299" t="n"/>
      <c r="R67" s="299" t="n"/>
    </row>
    <row r="68" ht="19.5" customHeight="1" s="254">
      <c r="A68" s="324" t="inlineStr">
        <is>
          <t>Pasadena Water and Power</t>
        </is>
      </c>
      <c r="B68" s="324" t="inlineStr">
        <is>
          <t>Commercial charger rebate</t>
        </is>
      </c>
      <c r="C68" s="500" t="inlineStr">
        <is>
          <t>'Limited time' — status not stated</t>
        </is>
      </c>
      <c r="D68" s="486" t="inlineStr">
        <is>
          <t>$4,000 per L2; DCFC double, up to $8,000 per charger</t>
        </is>
      </c>
      <c r="E68" s="299" t="n"/>
      <c r="F68" s="299" t="n"/>
      <c r="G68" s="299" t="n"/>
      <c r="H68" s="299" t="n"/>
      <c r="I68" s="299" t="n"/>
      <c r="J68" s="299" t="n"/>
      <c r="K68" s="299" t="n"/>
      <c r="L68" s="299" t="n"/>
      <c r="M68" s="299" t="n"/>
      <c r="N68" s="299" t="n"/>
      <c r="O68" s="299" t="n"/>
      <c r="P68" s="299" t="n"/>
      <c r="Q68" s="299" t="n"/>
      <c r="R68" s="299" t="n"/>
    </row>
    <row r="69" ht="19.5" customHeight="1" s="254">
      <c r="A69" s="324" t="inlineStr">
        <is>
          <t>Roseville Electric Utility</t>
        </is>
      </c>
      <c r="B69" s="324" t="inlineStr">
        <is>
          <t>Charge Ahead</t>
        </is>
      </c>
      <c r="C69" s="499" t="inlineStr">
        <is>
          <t>OPEN — but DCFC is non-profit &amp; multifamily ONLY</t>
        </is>
      </c>
      <c r="D69" s="486" t="inlineStr">
        <is>
          <t>DCFC $20k/unit (not available to commercial); transformer $5k, panel $1k</t>
        </is>
      </c>
      <c r="E69" s="299" t="n"/>
      <c r="F69" s="299" t="n"/>
      <c r="G69" s="299" t="n"/>
      <c r="H69" s="299" t="n"/>
      <c r="I69" s="299" t="n"/>
      <c r="J69" s="299" t="n"/>
      <c r="K69" s="299" t="n"/>
      <c r="L69" s="299" t="n"/>
      <c r="M69" s="299" t="n"/>
      <c r="N69" s="299" t="n"/>
      <c r="O69" s="299" t="n"/>
      <c r="P69" s="299" t="n"/>
      <c r="Q69" s="299" t="n"/>
      <c r="R69" s="299" t="n"/>
    </row>
    <row r="70" ht="19.5" customHeight="1" s="254">
      <c r="A70" s="324" t="inlineStr">
        <is>
          <t>Silicon Valley Power</t>
        </is>
      </c>
      <c r="B70" s="324" t="inlineStr">
        <is>
          <t>MFH &amp; Commercial EV incentive</t>
        </is>
      </c>
      <c r="C70" s="498" t="inlineStr">
        <is>
          <t>CLOSED — fully subscribed</t>
        </is>
      </c>
      <c r="D70" s="486" t="inlineStr">
        <is>
          <t>Up to $150k/site but LEVEL 2 ONLY, no DCFC. Refers DCFC to CALeVIP</t>
        </is>
      </c>
      <c r="E70" s="299" t="n"/>
      <c r="F70" s="299" t="n"/>
      <c r="G70" s="299" t="n"/>
      <c r="H70" s="299" t="n"/>
      <c r="I70" s="299" t="n"/>
      <c r="J70" s="299" t="n"/>
      <c r="K70" s="299" t="n"/>
      <c r="L70" s="299" t="n"/>
      <c r="M70" s="299" t="n"/>
      <c r="N70" s="299" t="n"/>
      <c r="O70" s="299" t="n"/>
      <c r="P70" s="299" t="n"/>
      <c r="Q70" s="299" t="n"/>
      <c r="R70" s="299" t="n"/>
    </row>
    <row r="71" ht="19.5" customHeight="1" s="254">
      <c r="A71" s="324" t="inlineStr">
        <is>
          <t>City of Palo Alto Utilities</t>
        </is>
      </c>
      <c r="B71" s="324" t="inlineStr">
        <is>
          <t>EV charger programme</t>
        </is>
      </c>
      <c r="C71" s="498" t="inlineStr">
        <is>
          <t>Non-residential reservations CLOSED</t>
        </is>
      </c>
      <c r="D71" s="486" t="inlineStr">
        <is>
          <t>Level 2 only, no DCFC. MFH up to $8k/EVSE, $80k site cap</t>
        </is>
      </c>
      <c r="E71" s="299" t="n"/>
      <c r="F71" s="299" t="n"/>
      <c r="G71" s="299" t="n"/>
      <c r="H71" s="299" t="n"/>
      <c r="I71" s="299" t="n"/>
      <c r="J71" s="299" t="n"/>
      <c r="K71" s="299" t="n"/>
      <c r="L71" s="299" t="n"/>
      <c r="M71" s="299" t="n"/>
      <c r="N71" s="299" t="n"/>
      <c r="O71" s="299" t="n"/>
      <c r="P71" s="299" t="n"/>
      <c r="Q71" s="299" t="n"/>
      <c r="R71" s="299" t="n"/>
    </row>
    <row r="72" ht="19.5" customHeight="1" s="254">
      <c r="A72" s="324" t="inlineStr">
        <is>
          <t>IID</t>
        </is>
      </c>
      <c r="B72" s="324" t="inlineStr">
        <is>
          <t>(none found for commercial)</t>
        </is>
      </c>
      <c r="C72" s="500" t="inlineStr">
        <is>
          <t>—</t>
        </is>
      </c>
      <c r="D72" s="486" t="inlineStr">
        <is>
          <t>Residential Level 2 only, up to $500</t>
        </is>
      </c>
      <c r="E72" s="299" t="n"/>
      <c r="F72" s="299" t="n"/>
      <c r="G72" s="299" t="n"/>
      <c r="H72" s="299" t="n"/>
      <c r="I72" s="299" t="n"/>
      <c r="J72" s="299" t="n"/>
      <c r="K72" s="299" t="n"/>
      <c r="L72" s="299" t="n"/>
      <c r="M72" s="299" t="n"/>
      <c r="N72" s="299" t="n"/>
      <c r="O72" s="299" t="n"/>
      <c r="P72" s="299" t="n"/>
      <c r="Q72" s="299" t="n"/>
      <c r="R72" s="299" t="n"/>
    </row>
    <row r="73" ht="19.5" customHeight="1" s="254">
      <c r="A73" s="324" t="inlineStr">
        <is>
          <t>SCE</t>
        </is>
      </c>
      <c r="B73" s="324" t="inlineStr">
        <is>
          <t>Charge Ready</t>
        </is>
      </c>
      <c r="C73" s="498" t="inlineStr">
        <is>
          <t>CLOSED — agreements had to be signed by 31 Dec 2026</t>
        </is>
      </c>
      <c r="D73" s="486" t="inlineStr">
        <is>
          <t>Level 1 and 2 only; DCFC was never available</t>
        </is>
      </c>
      <c r="E73" s="299" t="n"/>
      <c r="F73" s="299" t="n"/>
      <c r="G73" s="299" t="n"/>
      <c r="H73" s="299" t="n"/>
      <c r="I73" s="299" t="n"/>
      <c r="J73" s="299" t="n"/>
      <c r="K73" s="299" t="n"/>
      <c r="L73" s="299" t="n"/>
      <c r="M73" s="299" t="n"/>
      <c r="N73" s="299" t="n"/>
      <c r="O73" s="299" t="n"/>
      <c r="P73" s="299" t="n"/>
      <c r="Q73" s="299" t="n"/>
      <c r="R73" s="299" t="n"/>
    </row>
    <row r="74" ht="27.76" customHeight="1" s="254">
      <c r="A74" s="324" t="inlineStr">
        <is>
          <t>Redding Electric Utility</t>
        </is>
      </c>
      <c r="B74" s="324" t="inlineStr">
        <is>
          <t>DC Fast Charger Rebate</t>
        </is>
      </c>
      <c r="C74" s="498" t="inlineStr">
        <is>
          <t>OPEN — verify funding before relying on it</t>
        </is>
      </c>
      <c r="D74" s="486" t="inlineStr">
        <is>
          <t>Up to $6,000 per DC fast charging station, maximum 4 stations per customer. Stations must be separately metered. THE CUSTOMER MUST ASSIGN LCFS CREDITS TO REU — which forecloses the FCI capacity credit on the Carbon tab. The two cannot both be taken.</t>
        </is>
      </c>
      <c r="E74" s="299" t="n"/>
      <c r="F74" s="299" t="n"/>
      <c r="G74" s="299" t="n"/>
      <c r="H74" s="299" t="n"/>
      <c r="I74" s="299" t="n"/>
      <c r="J74" s="299" t="n"/>
      <c r="K74" s="299" t="n"/>
      <c r="L74" s="299" t="n"/>
      <c r="M74" s="299" t="n"/>
      <c r="N74" s="299" t="n"/>
      <c r="O74" s="299" t="n"/>
      <c r="P74" s="299" t="n"/>
      <c r="Q74" s="299" t="n"/>
      <c r="R74" s="299" t="n"/>
    </row>
  </sheetData>
  <sheetProtection selectLockedCells="0" selectUnlockedCells="0" sheet="1" objects="0" insertRows="1" insertHyperlinks="1" autoFilter="1" scenarios="0" formatColumns="0" deleteColumns="1" insertColumns="1" pivotTables="1" deleteRows="1" formatCells="0" formatRows="0" sort="1"/>
  <mergeCells count="15">
    <mergeCell ref="D68:R68"/>
    <mergeCell ref="D69:R69"/>
    <mergeCell ref="D64:R64"/>
    <mergeCell ref="D63:R63"/>
    <mergeCell ref="D73:R73"/>
    <mergeCell ref="D72:R72"/>
    <mergeCell ref="A2:R2"/>
    <mergeCell ref="D67:R67"/>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2026-08-26T15:16:12Z</dcterms:created>
  <dcterms:modified xmlns:dcterms="http://purl.org/dc/terms/" xmlns:xsi="http://www.w3.org/2001/XMLSchema-instance" xsi:type="dcterms:W3CDTF">2026-09-15T00:19:42Z</dcterms:modified>
  <cp:revision>0</cp:revision>
</cp:coreProperties>
</file>