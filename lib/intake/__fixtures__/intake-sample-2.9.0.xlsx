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7" autoFilterDateGrouping="1"/>
  </bookViews>
  <sheets>
    <sheet name="Version" sheetId="1" state="visible" r:id="rId1"/>
    <sheet name="README" sheetId="2" state="visible" r:id="rId2"/>
    <sheet name="Project" sheetId="3" state="visible" r:id="rId3"/>
    <sheet name="Existing" sheetId="4" state="visible" r:id="rId4"/>
    <sheet name="Equipment" sheetId="5" state="visible" r:id="rId5"/>
    <sheet name="Electrical" sheetId="6" state="visible" r:id="rId6"/>
    <sheet name="Construction" sheetId="7" state="visible" r:id="rId7"/>
    <sheet name="Commercial" sheetId="8" state="visible" r:id="rId8"/>
    <sheet name="Revenue" sheetId="9" state="visible" r:id="rId9"/>
    <sheet name="Carbon" sheetId="10" state="visible" r:id="rId10"/>
    <sheet name="Deal_Structure" sheetId="11" state="visible" r:id="rId11"/>
    <sheet name="Overrides" sheetId="12" state="visible" r:id="rId12"/>
    <sheet name="PriceBook" sheetId="13" state="visible" r:id="rId13"/>
    <sheet name="RefData" sheetId="14" state="visible" r:id="rId14"/>
    <sheet name="Utilities" sheetId="15" state="visible" r:id="rId15"/>
    <sheet name="RateLibrary" sheetId="16" state="visible" r:id="rId16"/>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_xlnm.Print_Titles" localSheetId="0">'Version'!$17:$17</definedName>
    <definedName name="_xlnm.Print_Titles" localSheetId="1">'README'!$12:$12</definedName>
    <definedName name="_xlnm.Print_Titles" localSheetId="4">'Equipment'!$6:$6</definedName>
    <definedName name="_xlnm.Print_Titles" localSheetId="10">'Deal_Structure'!$29:$29</definedName>
    <definedName name="_xlnm.Print_Titles" localSheetId="11">'Overrides'!$8:$8</definedName>
  </definedNames>
  <calcPr calcId="124519" fullCalcOnLoad="1" refMode="A1" iterate="0" iterateCount="100" iterateDelta="0.0001"/>
</workbook>
</file>

<file path=xl/styles.xml><?xml version="1.0" encoding="utf-8"?>
<styleSheet xmlns="http://schemas.openxmlformats.org/spreadsheetml/2006/main">
  <numFmts count="19">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yyyy-mm-dd"/>
  </numFmts>
  <fonts count="4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s>
  <fills count="9">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s>
  <borders count="7">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1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7" fillId="0" borderId="0" applyAlignment="1" pivotButton="0" quotePrefix="0" xfId="0">
      <alignment horizontal="general" vertical="top" wrapTex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9" fillId="0" borderId="0" applyAlignment="1" pivotButton="0" quotePrefix="0" xfId="0">
      <alignment horizontal="general" vertical="top" wrapText="1"/>
    </xf>
    <xf numFmtId="0" fontId="15" fillId="0" borderId="0" applyAlignment="1" pivotButton="0" quotePrefix="0" xfId="0">
      <alignment horizontal="general" vertical="bottom"/>
    </xf>
    <xf numFmtId="0" fontId="8" fillId="0" borderId="0" applyAlignment="1" pivotButton="0" quotePrefix="0" xfId="0">
      <alignment horizontal="general" vertical="bottom"/>
    </xf>
    <xf numFmtId="0" fontId="17" fillId="0" borderId="0" applyAlignment="1" pivotButton="0" quotePrefix="0" xfId="0">
      <alignment horizontal="general" vertical="top" wrapTex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167" fontId="17" fillId="6" borderId="1" applyAlignment="1" pivotButton="0" quotePrefix="0" xfId="0">
      <alignment horizontal="righ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0" fontId="17" fillId="6" borderId="1" applyAlignment="1" pivotButton="0" quotePrefix="0" xfId="0">
      <alignment horizontal="left" vertical="center"/>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65" fontId="17" fillId="6" borderId="1" applyAlignment="1" pivotButton="0" quotePrefix="0" xfId="0">
      <alignment horizontal="right" vertical="center"/>
    </xf>
    <xf numFmtId="178"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13" fillId="0" borderId="2" applyAlignment="1" pivotButton="0" quotePrefix="0" xfId="0">
      <alignment horizontal="left" vertical="top" wrapText="1"/>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0" fillId="0" borderId="0" applyAlignment="1" pivotButton="0" quotePrefix="0" xfId="0">
      <alignment horizontal="left" vertical="center"/>
    </xf>
    <xf numFmtId="0" fontId="16" fillId="0" borderId="0" applyAlignment="1" pivotButton="0" quotePrefix="0" xfId="0">
      <alignment horizontal="general" vertical="bottom"/>
    </xf>
    <xf numFmtId="0" fontId="12" fillId="2" borderId="2" applyAlignment="1" pivotButton="0" quotePrefix="0" xfId="0">
      <alignment horizontal="left" vertical="center"/>
    </xf>
    <xf numFmtId="0" fontId="14" fillId="0" borderId="2" applyAlignment="1" pivotButton="0" quotePrefix="0" xfId="0">
      <alignment horizontal="left" vertical="center"/>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182" fontId="11" fillId="4"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34" authorId="0" shapeId="0">
      <text>
        <t>If Yes, confirm with the aggregator that capacity credits are still earned on full nameplate before relying on the carbon revenue.</t>
      </text>
    </comment>
    <comment ref="A41" authorId="0" shapeId="0">
      <text>
        <t>This is the number that must agree with the switchgear you price. If the costed gear is smaller than this, the estimate is wrong.</t>
      </text>
    </comment>
    <comment ref="B56" authorId="0" shapeId="0">
      <text>
        <t>Under Rule 29 PG&amp;E pays for the design, engineering, trenching, conduit, transformer and metering of the EV service extension. The customer bears this design fee, the applicant-side equipment, and any Rule 15/16 contribution.</t>
      </text>
    </comment>
    <comment ref="B57" authorId="0" shapeId="0">
      <text>
        <t>If PG&amp;E must extend or reinforce distribution, a Rule 15 allowance is calculated and any excess becomes a customer contribution. It cannot be established until the utility design is submitted and returned. Exclude it by name until then.</t>
      </text>
    </comment>
  </commentList>
</comments>
</file>

<file path=xl/comments/comment3.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4.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5.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6.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7.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filterMode="0">
    <tabColor rgb="FF0E7C82"/>
    <outlinePr summaryBelow="1" summaryRight="1"/>
    <pageSetUpPr fitToPage="1"/>
  </sheetPr>
  <dimension ref="A1:D46"/>
  <sheetViews>
    <sheetView showFormulas="0" showGridLines="0" showRowColHeaders="1" showZeros="1" rightToLeft="0" tabSelected="0" showOutlineSymbols="1" defaultGridColor="1" view="normal" topLeftCell="A1" colorId="64" zoomScale="50" zoomScaleNormal="50" zoomScalePageLayoutView="100" workbookViewId="0">
      <pane ySplit="2" topLeftCell="A3" activePane="bottomLeft" state="frozen"/>
      <selection pane="bottomLeft" activeCell="A1" activeCellId="0" sqref="A1"/>
      <selection pane="bottomLeft" activeCell="A1" activeCellId="0" sqref="A1"/>
    </sheetView>
  </sheetViews>
  <sheetFormatPr baseColWidth="8" defaultColWidth="8.66796875" defaultRowHeight="14.25" zeroHeight="0" outlineLevelRow="0"/>
  <cols>
    <col width="31" customWidth="1" style="251" min="1" max="1"/>
    <col width="22" customWidth="1" style="251" min="2" max="2"/>
    <col width="47" customWidth="1" style="251" min="3" max="3"/>
    <col width="9" customWidth="1" style="251" min="4" max="4"/>
  </cols>
  <sheetData>
    <row r="1" ht="25.5" customHeight="1" s="252">
      <c r="A1" s="253" t="inlineStr">
        <is>
          <t>DOCUMENT CONTROL</t>
        </is>
      </c>
    </row>
    <row r="2" ht="56" customHeight="1" s="252">
      <c r="A2" s="386" t="inlineStr">
        <is>
          <t>Hardcoded. These values identify which generation of the template a returned file came from — never make them formulas.</t>
        </is>
      </c>
    </row>
    <row r="4" ht="15" customHeight="1" s="252">
      <c r="A4" s="255" t="inlineStr">
        <is>
          <t>Template version</t>
        </is>
      </c>
      <c r="B4" s="256" t="inlineStr">
        <is>
          <t>2.9.0</t>
        </is>
      </c>
    </row>
    <row r="5" ht="15" customHeight="1" s="252">
      <c r="A5" s="255" t="inlineStr">
        <is>
          <t>Released</t>
        </is>
      </c>
      <c r="B5" s="257" t="inlineStr">
        <is>
          <t>2026-08-29</t>
        </is>
      </c>
    </row>
    <row r="6" ht="15" customHeight="1" s="252">
      <c r="A6" s="255" t="inlineStr">
        <is>
          <t>Template name</t>
        </is>
      </c>
      <c r="B6" s="257" t="inlineStr">
        <is>
          <t>EVSE Project Intake</t>
        </is>
      </c>
    </row>
    <row r="7" ht="15" customHeight="1" s="252">
      <c r="A7" s="255" t="inlineStr">
        <is>
          <t>Issued by</t>
        </is>
      </c>
      <c r="B7" s="257" t="inlineStr">
        <is>
          <t>Zero Impact Energy</t>
        </is>
      </c>
    </row>
    <row r="8" ht="44" customHeight="1" s="252">
      <c r="A8" s="255" t="inlineStr">
        <is>
          <t>Template content hash</t>
        </is>
      </c>
      <c r="B8" s="258" t="inlineStr">
        <is>
          <t>4aecae7d4b5f25a9</t>
        </is>
      </c>
      <c r="C8" s="367" t="inlineStr">
        <is>
          <t>The hash of the BLANK template this file was built from, frozen at its release. It does not change when you fill the sheet in.</t>
        </is>
      </c>
    </row>
    <row r="9" ht="15" customHeight="1" s="252">
      <c r="A9" s="502" t="inlineStr">
        <is>
          <t>Completed by — fill these in</t>
        </is>
      </c>
    </row>
    <row r="10" ht="20" customHeight="1" s="252">
      <c r="A10" s="261" t="inlineStr">
        <is>
          <t>This file version</t>
        </is>
      </c>
      <c r="B10" s="262" t="inlineStr">
        <is>
          <t>Rev A</t>
        </is>
      </c>
      <c r="C10" s="321" t="inlineStr">
        <is>
          <t>e.g. Rev A, Rev B — increment each time you send it back</t>
        </is>
      </c>
    </row>
    <row r="11" ht="15" customHeight="1" s="252">
      <c r="A11" s="261" t="inlineStr">
        <is>
          <t>Date completed</t>
        </is>
      </c>
      <c r="B11" s="512" t="n">
        <v>46267</v>
      </c>
    </row>
    <row r="12" ht="15" customHeight="1" s="252">
      <c r="A12" s="261" t="inlineStr">
        <is>
          <t>Completed by</t>
        </is>
      </c>
      <c r="B12" s="262" t="inlineStr">
        <is>
          <t>Test CPM</t>
        </is>
      </c>
    </row>
    <row r="13" ht="15" customHeight="1" s="252">
      <c r="A13" s="261" t="inlineStr">
        <is>
          <t>Project reference</t>
        </is>
      </c>
      <c r="B13" s="262" t="inlineStr">
        <is>
          <t>BW-TEST-001</t>
        </is>
      </c>
    </row>
    <row r="14" ht="15" customHeight="1" s="252">
      <c r="A14" s="261" t="inlineStr">
        <is>
          <t>Notes on this revision</t>
        </is>
      </c>
      <c r="B14" s="262" t="inlineStr">
        <is>
          <t>Fixture for the importer test</t>
        </is>
      </c>
      <c r="C14" s="264" t="inlineStr">
        <is>
          <t>What changed since the last version you sent</t>
        </is>
      </c>
    </row>
    <row r="15" ht="44" customHeight="1" s="252">
      <c r="A15" s="261" t="inlineStr">
        <is>
          <t>File content hash</t>
        </is>
      </c>
      <c r="B15" s="265" t="inlineStr">
        <is>
          <t>4aecae7d4b5f25a9</t>
        </is>
      </c>
      <c r="C15" s="367" t="inlineStr">
        <is>
          <t>A hash of THIS workbook. It changes every time someone edits it, and it is what a model records so you can tell whether the model was built from the file in front of you.</t>
        </is>
      </c>
    </row>
    <row r="16" ht="15" customHeight="1" s="252">
      <c r="A16" s="502" t="inlineStr">
        <is>
          <t>Changelog</t>
        </is>
      </c>
    </row>
    <row r="17" ht="15" customHeight="1" s="252">
      <c r="A17" s="266" t="inlineStr">
        <is>
          <t>Version</t>
        </is>
      </c>
      <c r="B17" s="266" t="inlineStr">
        <is>
          <t>Released</t>
        </is>
      </c>
      <c r="C17" s="266" t="inlineStr">
        <is>
          <t>What changed</t>
        </is>
      </c>
    </row>
    <row r="18" ht="44" customHeight="1" s="252">
      <c r="A18" s="258" t="inlineStr">
        <is>
          <t>1.0.0</t>
        </is>
      </c>
      <c r="B18" s="258" t="inlineStr">
        <is>
          <t>2026-08-26</t>
        </is>
      </c>
      <c r="C18" s="267" t="inlineStr">
        <is>
          <t>Initial release — project, equipment, electrical, construction, commercial, revenue and carbon intake with live consistency checks.</t>
        </is>
      </c>
    </row>
    <row r="19" ht="32" customHeight="1" s="252">
      <c r="A19" s="258" t="inlineStr">
        <is>
          <t>1.1.0</t>
        </is>
      </c>
      <c r="B19" s="258" t="inlineStr">
        <is>
          <t>2026-08-26</t>
        </is>
      </c>
      <c r="C19" s="267" t="inlineStr">
        <is>
          <t>Deal structure knobs and the override register. Base case unchanged at zero.</t>
        </is>
      </c>
    </row>
    <row r="20" ht="32" customHeight="1" s="252">
      <c r="A20" s="258" t="inlineStr">
        <is>
          <t>1.2.0</t>
        </is>
      </c>
      <c r="B20" s="258" t="inlineStr">
        <is>
          <t>2026-08-26</t>
        </is>
      </c>
      <c r="C20" s="267" t="inlineStr">
        <is>
          <t>PG&amp;E Rule 29 interconnection capture. Electrical materials costed independently of the EVSE price book.</t>
        </is>
      </c>
    </row>
    <row r="21" ht="32" customHeight="1" s="252">
      <c r="A21" s="258" t="inlineStr">
        <is>
          <t>1.3.0</t>
        </is>
      </c>
      <c r="B21" s="258" t="inlineStr">
        <is>
          <t>2026-08-26</t>
        </is>
      </c>
      <c r="C21" s="267" t="inlineStr">
        <is>
          <t>Utility rate engine across PG&amp;E, SCE and SDG&amp;E. Market benchmarks. Demand subscription ramps with concurrency.</t>
        </is>
      </c>
    </row>
    <row r="22" ht="44" customHeight="1" s="252">
      <c r="A22" s="258" t="inlineStr">
        <is>
          <t>1.4.0</t>
        </is>
      </c>
      <c r="B22" s="258" t="inlineStr">
        <is>
          <t>2026-08-26</t>
        </is>
      </c>
      <c r="C22" s="267" t="inlineStr">
        <is>
          <t>Scope of supply controls — each service line can be provided by us, by others, or not required. Document control added.</t>
        </is>
      </c>
    </row>
    <row r="23" ht="44" customHeight="1" s="252">
      <c r="A23" s="258" t="inlineStr">
        <is>
          <t>1.5.0</t>
        </is>
      </c>
      <c r="B23" s="258" t="inlineStr">
        <is>
          <t>2026-08-26</t>
        </is>
      </c>
      <c r="C23" s="267" t="inlineStr">
        <is>
          <t>Mixed-fleet fix — accessories no longer counted as charging units, and the placement check compares against DC cabinets only.</t>
        </is>
      </c>
    </row>
    <row r="24" ht="44" customHeight="1" s="252">
      <c r="A24" s="258" t="inlineStr">
        <is>
          <t>1.6.0</t>
        </is>
      </c>
      <c r="B24" s="258" t="inlineStr">
        <is>
          <t>2026-08-26</t>
        </is>
      </c>
      <c r="C24" s="267" t="inlineStr">
        <is>
          <t>Description was not recorded at the time. The change sits between the mixed-fleet fix (1.5.0) and the rip-and-replace capability (1.7.0).</t>
        </is>
      </c>
    </row>
    <row r="25" ht="80" customHeight="1" s="252">
      <c r="A25" s="258" t="inlineStr">
        <is>
          <t>1.7.0</t>
        </is>
      </c>
      <c r="B25" s="258" t="inlineStr">
        <is>
          <t>2026-08-26</t>
        </is>
      </c>
      <c r="C25" s="267"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row>
    <row r="26" ht="116" customHeight="1" s="252">
      <c r="A26" s="258" t="inlineStr">
        <is>
          <t>1.8.0</t>
        </is>
      </c>
      <c r="B26" s="258" t="inlineStr">
        <is>
          <t>2026-08-26</t>
        </is>
      </c>
      <c r="C26" s="267"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row>
    <row r="27" ht="92" customHeight="1" s="252">
      <c r="A27" s="258" t="inlineStr">
        <is>
          <t>1.9.0</t>
        </is>
      </c>
      <c r="B27" s="258" t="inlineStr">
        <is>
          <t>2026-08-27</t>
        </is>
      </c>
      <c r="C27" s="267"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row>
    <row r="28" ht="128" customHeight="1" s="252">
      <c r="A28" s="258" t="inlineStr">
        <is>
          <t>1.10.0</t>
        </is>
      </c>
      <c r="B28" s="258" t="inlineStr">
        <is>
          <t>2026-08-27</t>
        </is>
      </c>
      <c r="C28" s="267"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row>
    <row r="29" ht="152" customHeight="1" s="252">
      <c r="A29" s="258" t="inlineStr">
        <is>
          <t>1.11.0</t>
        </is>
      </c>
      <c r="B29" s="258" t="inlineStr">
        <is>
          <t>2026-08-27</t>
        </is>
      </c>
      <c r="C29" s="267"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row>
    <row r="30" ht="164" customHeight="1" s="252">
      <c r="A30" s="258" t="inlineStr">
        <is>
          <t>1.12.0</t>
        </is>
      </c>
      <c r="B30" s="258" t="inlineStr">
        <is>
          <t>2026-08-27</t>
        </is>
      </c>
      <c r="C30" s="267"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row>
    <row r="31" ht="80" customHeight="1" s="252">
      <c r="A31" s="258" t="inlineStr">
        <is>
          <t>1.12.1</t>
        </is>
      </c>
      <c r="B31" s="258" t="inlineStr">
        <is>
          <t>2026-08-27</t>
        </is>
      </c>
      <c r="C31" s="267"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row>
    <row r="32" ht="80" customHeight="1" s="252">
      <c r="A32" s="258" t="inlineStr">
        <is>
          <t>1.13.0</t>
        </is>
      </c>
      <c r="B32" s="258" t="inlineStr">
        <is>
          <t>2026-08-27</t>
        </is>
      </c>
      <c r="C32" s="267"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row>
    <row r="33" ht="152" customHeight="1" s="252">
      <c r="A33" s="258" t="inlineStr">
        <is>
          <t>1.14.0</t>
        </is>
      </c>
      <c r="B33" s="258" t="inlineStr">
        <is>
          <t>2026-08-27</t>
        </is>
      </c>
      <c r="C33" s="267"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row>
    <row r="34" ht="104" customHeight="1" s="252">
      <c r="A34" s="258" t="inlineStr">
        <is>
          <t>2.0.0</t>
        </is>
      </c>
      <c r="B34" s="258" t="inlineStr">
        <is>
          <t>2026-08-28</t>
        </is>
      </c>
      <c r="C34" s="267"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row>
    <row r="35" ht="188" customHeight="1" s="252">
      <c r="A35" s="258" t="inlineStr">
        <is>
          <t>2.1.0</t>
        </is>
      </c>
      <c r="B35" s="258" t="inlineStr">
        <is>
          <t>2026-08-28</t>
        </is>
      </c>
      <c r="C35" s="267"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row>
    <row r="36" ht="128" customHeight="1" s="252">
      <c r="A36" s="258" t="inlineStr">
        <is>
          <t>2.1.1</t>
        </is>
      </c>
      <c r="B36" s="258" t="inlineStr">
        <is>
          <t>2026-08-28</t>
        </is>
      </c>
      <c r="C36" s="267"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row>
    <row r="37" ht="56" customHeight="1" s="252">
      <c r="A37" s="258" t="inlineStr">
        <is>
          <t>2.1.2</t>
        </is>
      </c>
      <c r="B37" s="258" t="inlineStr">
        <is>
          <t>2026-08-28</t>
        </is>
      </c>
      <c r="C37" s="267" t="inlineStr">
        <is>
          <t>Removed a duplicate hash row this script had created by matching only the pre-rename label — two hashes for one workbook, inside the mechanism built to stop exactly that. Both scripts now accept either label.</t>
        </is>
      </c>
    </row>
    <row r="38" ht="200" customHeight="1" s="252">
      <c r="A38" s="258" t="inlineStr">
        <is>
          <t>2.2.0</t>
        </is>
      </c>
      <c r="B38" s="258" t="inlineStr">
        <is>
          <t>2026-08-28</t>
        </is>
      </c>
      <c r="C38" s="268"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row>
    <row r="39" ht="200" customHeight="1" s="252">
      <c r="A39" s="258" t="inlineStr">
        <is>
          <t>2.5.0</t>
        </is>
      </c>
      <c r="B39" s="258" t="inlineStr">
        <is>
          <t>2026-08-28</t>
        </is>
      </c>
      <c r="C39" s="268"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row>
    <row r="40" ht="200" customHeight="1" s="252">
      <c r="A40" s="258" t="inlineStr">
        <is>
          <t>2.6.0</t>
        </is>
      </c>
      <c r="B40" s="258" t="inlineStr">
        <is>
          <t>2026-08-28</t>
        </is>
      </c>
      <c r="C40" s="268"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row>
    <row r="41" ht="176" customHeight="1" s="252">
      <c r="A41" s="258" t="inlineStr">
        <is>
          <t>2.7.0</t>
        </is>
      </c>
      <c r="B41" s="258" t="inlineStr">
        <is>
          <t>2026-08-28</t>
        </is>
      </c>
      <c r="C41" s="268"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row>
    <row r="42" ht="176" customHeight="1" s="252">
      <c r="A42" s="258" t="inlineStr">
        <is>
          <t>2.7.1</t>
        </is>
      </c>
      <c r="B42" s="258" t="inlineStr">
        <is>
          <t>2026-08-28</t>
        </is>
      </c>
      <c r="C42" s="268"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row>
    <row r="43" ht="200" customHeight="1" s="252">
      <c r="A43" s="258" t="inlineStr">
        <is>
          <t>2.7.2</t>
        </is>
      </c>
      <c r="B43" s="258" t="inlineStr">
        <is>
          <t>2026-08-28</t>
        </is>
      </c>
      <c r="C43" s="268"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row>
    <row r="44" ht="152" customHeight="1" s="252">
      <c r="A44" s="258" t="inlineStr">
        <is>
          <t>2.8.0</t>
        </is>
      </c>
      <c r="B44" s="258" t="inlineStr">
        <is>
          <t>2026-08-29</t>
        </is>
      </c>
      <c r="C44" s="267"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row>
    <row r="45" ht="200" customHeight="1" s="252">
      <c r="A45" s="258" t="inlineStr">
        <is>
          <t>2.8.1</t>
        </is>
      </c>
      <c r="B45" s="258" t="inlineStr">
        <is>
          <t>2026-08-29</t>
        </is>
      </c>
      <c r="C45" s="267"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row>
    <row r="46" ht="164" customHeight="1" s="252">
      <c r="A46" s="258" t="inlineStr">
        <is>
          <t>2.9.0</t>
        </is>
      </c>
      <c r="B46" s="258" t="inlineStr">
        <is>
          <t>2026-08-29</t>
        </is>
      </c>
      <c r="C46" s="267"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row>
  </sheetData>
  <mergeCells count="33">
    <mergeCell ref="C34:D34"/>
    <mergeCell ref="C30:D30"/>
    <mergeCell ref="C24:D24"/>
    <mergeCell ref="C15:D15"/>
    <mergeCell ref="C33:D33"/>
    <mergeCell ref="C42:D42"/>
    <mergeCell ref="C45:D45"/>
    <mergeCell ref="C26:D26"/>
    <mergeCell ref="C35:D35"/>
    <mergeCell ref="C20:D20"/>
    <mergeCell ref="C29:D29"/>
    <mergeCell ref="C10:D10"/>
    <mergeCell ref="C25:D25"/>
    <mergeCell ref="C41:D41"/>
    <mergeCell ref="C44:D44"/>
    <mergeCell ref="C22:D22"/>
    <mergeCell ref="C40:D40"/>
    <mergeCell ref="C31:D31"/>
    <mergeCell ref="C43:D43"/>
    <mergeCell ref="C46:D46"/>
    <mergeCell ref="C21:D21"/>
    <mergeCell ref="C27:D27"/>
    <mergeCell ref="C36:D36"/>
    <mergeCell ref="C23:D23"/>
    <mergeCell ref="C39:D39"/>
    <mergeCell ref="C8:D8"/>
    <mergeCell ref="C32:D32"/>
    <mergeCell ref="C38:D38"/>
    <mergeCell ref="A1:C1"/>
    <mergeCell ref="C19:D19"/>
    <mergeCell ref="C37:D37"/>
    <mergeCell ref="C28:D28"/>
    <mergeCell ref="C18:D18"/>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A1:F50"/>
  <sheetViews>
    <sheetView showFormulas="0" showGridLines="0" showRowColHeaders="1" showZeros="1" rightToLeft="0" tabSelected="0" showOutlineSymbols="1" defaultGridColor="1" view="normal" topLeftCell="A1" colorId="64" zoomScale="50" zoomScaleNormal="50" zoomScalePageLayoutView="100" workbookViewId="0">
      <pane ySplit="2" topLeftCell="A3" activePane="bottomLeft" state="frozen"/>
      <selection pane="bottomLeft" activeCell="A1" activeCellId="0" sqref="A1"/>
      <selection pane="bottomLeft" activeCell="A1" activeCellId="0" sqref="A1"/>
    </sheetView>
  </sheetViews>
  <sheetFormatPr baseColWidth="8" defaultColWidth="8.66796875" defaultRowHeight="14.25" zeroHeight="0" outlineLevelRow="0"/>
  <cols>
    <col width="42" customWidth="1" style="251" min="1" max="2"/>
    <col width="52" customWidth="1" style="252" min="2" max="2"/>
    <col width="44" customWidth="1" style="251" min="3" max="3"/>
    <col width="9" customWidth="1" style="251" min="4" max="6"/>
    <col width="9" customWidth="1" style="252" min="5" max="5"/>
    <col width="9" customWidth="1" style="252" min="6" max="6"/>
  </cols>
  <sheetData>
    <row r="1" ht="25.5" customHeight="1" s="252">
      <c r="A1" s="253" t="inlineStr">
        <is>
          <t>EVSE PROJECT INTAKE</t>
        </is>
      </c>
    </row>
    <row r="2" ht="44" customHeight="1" s="252">
      <c r="A2" s="386" t="inlineStr">
        <is>
          <t>Zero Impact Energy — one form, one project. Fill the blue cells; everything else is derived.</t>
        </is>
      </c>
    </row>
    <row r="4" ht="15" customHeight="1" s="252">
      <c r="A4" s="502" t="inlineStr">
        <is>
          <t>How to use this workbook</t>
        </is>
      </c>
    </row>
    <row r="5" ht="32" customHeight="1" s="252">
      <c r="A5" s="261" t="inlineStr">
        <is>
          <t>•</t>
        </is>
      </c>
      <c r="B5" s="371" t="inlineStr">
        <is>
          <t>Fill in every BLUE cell you can. Leave a cell blank rather than guessing — a blank is a question we will ask; a guess becomes a number in a proposal.</t>
        </is>
      </c>
    </row>
    <row r="6" ht="32" customHeight="1" s="252">
      <c r="A6" s="261" t="inlineStr">
        <is>
          <t>•</t>
        </is>
      </c>
      <c r="B6" s="371" t="inlineStr">
        <is>
          <t>YELLOW cells are key commercial assumptions. They have sensible defaults, but they drive the return — change them deliberately, not by habit.</t>
        </is>
      </c>
    </row>
    <row r="7" ht="32" customHeight="1" s="252">
      <c r="A7" s="261" t="inlineStr">
        <is>
          <t>•</t>
        </is>
      </c>
      <c r="B7" s="371" t="inlineStr">
        <is>
          <t>GREEN cells are live checks. They recalculate as you type. If a green cell turns into a warning, the sheet is telling you two of your inputs disagree.</t>
        </is>
      </c>
    </row>
    <row r="8" ht="32" customHeight="1" s="252">
      <c r="A8" s="261" t="inlineStr">
        <is>
          <t>•</t>
        </is>
      </c>
      <c r="B8" s="371" t="inlineStr">
        <is>
          <t>GREY tabs (Lists, PriceBook, RefData) are reference data. Do not edit them unless prices have actually changed.</t>
        </is>
      </c>
    </row>
    <row r="9" ht="32" customHeight="1" s="252">
      <c r="A9" s="261" t="inlineStr">
        <is>
          <t>•</t>
        </is>
      </c>
      <c r="B9" s="371" t="inlineStr">
        <is>
          <t>When the form is complete, send the file back. Everything downstream — electrical sizing, materials, labour, revenue, carbon, financing, the proposal — is computed from these inputs alone.</t>
        </is>
      </c>
    </row>
    <row r="11" ht="15" customHeight="1" s="252">
      <c r="A11" s="502" t="inlineStr">
        <is>
          <t>Cell legend</t>
        </is>
      </c>
    </row>
    <row r="12" ht="20" customHeight="1" s="252">
      <c r="A12" s="270" t="inlineStr">
        <is>
          <t>Appearance</t>
        </is>
      </c>
      <c r="B12" s="271" t="inlineStr">
        <is>
          <t>Meaning</t>
        </is>
      </c>
      <c r="C12" s="270" t="inlineStr">
        <is>
          <t>What to do</t>
        </is>
      </c>
    </row>
    <row r="13" ht="15" customHeight="1" s="252">
      <c r="A13" s="272" t="inlineStr">
        <is>
          <t>Blue fill, blue text</t>
        </is>
      </c>
      <c r="B13" s="272" t="inlineStr">
        <is>
          <t>Human input</t>
        </is>
      </c>
      <c r="C13" s="272" t="inlineStr">
        <is>
          <t>Fill it in</t>
        </is>
      </c>
    </row>
    <row r="14" ht="15" customHeight="1" s="252">
      <c r="A14" s="257" t="inlineStr">
        <is>
          <t>Yellow fill, blue bold</t>
        </is>
      </c>
      <c r="B14" s="257" t="inlineStr">
        <is>
          <t>Key commercial assumption</t>
        </is>
      </c>
      <c r="C14" s="257" t="inlineStr">
        <is>
          <t>Review the default, change deliberately</t>
        </is>
      </c>
    </row>
    <row r="15" ht="15" customHeight="1" s="252">
      <c r="A15" s="272" t="inlineStr">
        <is>
          <t>Green fill, green text</t>
        </is>
      </c>
      <c r="B15" s="272" t="inlineStr">
        <is>
          <t>Live check / derived</t>
        </is>
      </c>
      <c r="C15" s="272" t="inlineStr">
        <is>
          <t>Read it — never type over it</t>
        </is>
      </c>
    </row>
    <row r="16" ht="15" customHeight="1" s="252">
      <c r="A16" s="257" t="inlineStr">
        <is>
          <t>Grey</t>
        </is>
      </c>
      <c r="B16" s="257" t="inlineStr">
        <is>
          <t>Reference data</t>
        </is>
      </c>
      <c r="C16" s="257" t="inlineStr">
        <is>
          <t>Leave alone</t>
        </is>
      </c>
    </row>
    <row r="18" ht="15" customHeight="1" s="252">
      <c r="A18" s="502" t="inlineStr">
        <is>
          <t>Tabs, in the order you should fill them</t>
        </is>
      </c>
    </row>
    <row r="19" ht="15" customHeight="1" s="252">
      <c r="A19" s="255" t="inlineStr">
        <is>
          <t>1_Project</t>
        </is>
      </c>
      <c r="B19" s="261" t="inlineStr">
        <is>
          <t>Who, where, which utility, and how the site is accessed</t>
        </is>
      </c>
    </row>
    <row r="20" ht="15" customHeight="1" s="252">
      <c r="A20" s="255" t="inlineStr">
        <is>
          <t>2_Equipment</t>
        </is>
      </c>
      <c r="B20" s="261" t="inlineStr">
        <is>
          <t>What is being sold — pick SKUs from the price book</t>
        </is>
      </c>
    </row>
    <row r="21" ht="20" customHeight="1" s="252">
      <c r="A21" s="255" t="inlineStr">
        <is>
          <t>3_Electrical</t>
        </is>
      </c>
      <c r="B21" s="371" t="inlineStr">
        <is>
          <t>Distances, wire, existing service. Drives every electrical cost.</t>
        </is>
      </c>
    </row>
    <row r="22" ht="15" customHeight="1" s="252">
      <c r="A22" s="255" t="inlineStr">
        <is>
          <t>4_Construction</t>
        </is>
      </c>
      <c r="B22" s="261" t="inlineStr">
        <is>
          <t>Site works, labour days, ADA, permits, rentals</t>
        </is>
      </c>
    </row>
    <row r="23" ht="15" customHeight="1" s="252">
      <c r="A23" s="255" t="inlineStr">
        <is>
          <t>5_Commercial</t>
        </is>
      </c>
      <c r="B23" s="261" t="inlineStr">
        <is>
          <t>Discounts, financing terms, service and network term</t>
        </is>
      </c>
    </row>
    <row r="24" ht="15" customHeight="1" s="252">
      <c r="A24" s="255" t="inlineStr">
        <is>
          <t>6_Revenue</t>
        </is>
      </c>
      <c r="B24" s="261" t="inlineStr">
        <is>
          <t>Pricing, utilisation, ramp and growth</t>
        </is>
      </c>
    </row>
    <row r="25" ht="15" customHeight="1" s="252">
      <c r="A25" s="255" t="inlineStr">
        <is>
          <t>7_Carbon</t>
        </is>
      </c>
      <c r="B25" s="261" t="inlineStr">
        <is>
          <t>FCI credit rate, aggregator, eligibility, grants</t>
        </is>
      </c>
    </row>
    <row r="27" ht="20" customHeight="1" s="252">
      <c r="A27" s="255" t="inlineStr">
        <is>
          <t>8_Deal_Structure</t>
        </is>
      </c>
      <c r="B27" s="371" t="inlineStr">
        <is>
          <t>Optional. Knobs for trading price against a share of credits or revenue.</t>
        </is>
      </c>
    </row>
    <row r="28" ht="20" customHeight="1" s="252">
      <c r="A28" s="255" t="inlineStr">
        <is>
          <t>9_Overrides</t>
        </is>
      </c>
      <c r="B28" s="371" t="inlineStr">
        <is>
          <t>Optional. Force any derived value when you have a quote or a measurement.</t>
        </is>
      </c>
    </row>
    <row r="30" ht="20" customHeight="1" s="252">
      <c r="A30" s="255" t="inlineStr">
        <is>
          <t>Version</t>
        </is>
      </c>
      <c r="B30" s="371" t="inlineStr">
        <is>
          <t>Template 1.4.0, released 2026-08-26 — see the Version tab</t>
        </is>
      </c>
    </row>
    <row r="32" ht="15" customHeight="1" s="252">
      <c r="A32" s="502" t="inlineStr">
        <is>
          <t>Replacement projects</t>
        </is>
      </c>
    </row>
    <row r="33" ht="32" customHeight="1" s="252">
      <c r="A33" s="261" t="inlineStr">
        <is>
          <t>•</t>
        </is>
      </c>
      <c r="B33" s="273" t="inlineStr">
        <is>
          <t>The Existing tab is the difference between a greenfield project and a charger swap. Complete it whenever the site already has charging equipment.</t>
        </is>
      </c>
    </row>
    <row r="34" ht="20" customHeight="1" s="252">
      <c r="A34" s="261" t="inlineStr">
        <is>
          <t>•</t>
        </is>
      </c>
      <c r="B34" s="273" t="inlineStr">
        <is>
          <t>Set the project type on the Existing tab section A first — every other check on that tab keys off it.</t>
        </is>
      </c>
    </row>
    <row r="35" ht="44" customHeight="1" s="252">
      <c r="A35" s="261" t="inlineStr">
        <is>
          <t>•</t>
        </is>
      </c>
      <c r="B35" s="273" t="inlineStr">
        <is>
          <t>Section B is the register that decides the cost. Marking the service, feeder, switchgear and conduit as RETAIN removes most of the electrical and civil scope; the Electrical and Construction tabs then tell you exactly which lines to zero.</t>
        </is>
      </c>
    </row>
    <row r="36" ht="44" customHeight="1" s="252">
      <c r="A36" s="261" t="inlineStr">
        <is>
          <t>•</t>
        </is>
      </c>
      <c r="B36" s="273" t="inlineStr">
        <is>
          <t>Section E is the most valuable page in the whole intake. Twelve months of metered history beats every market assumption on the Revenue tab, and twenty-four months beats twelve. Enter outage months as they happened — do not smooth them.</t>
        </is>
      </c>
    </row>
    <row r="37" ht="32" customHeight="1" s="252">
      <c r="A37" s="261" t="inlineStr">
        <is>
          <t>•</t>
        </is>
      </c>
      <c r="B37" s="273" t="inlineStr">
        <is>
          <t>Sections F and G turn the old installation into a projection: availability recovered, ports added, connector coverage widened and power increased, each with its own capture factor you can argue with.</t>
        </is>
      </c>
    </row>
    <row r="38" ht="20" customHeight="1" s="252">
      <c r="A38" s="261" t="inlineStr">
        <is>
          <t>•</t>
        </is>
      </c>
      <c r="B38" s="273" t="inlineStr">
        <is>
          <t>Section H is the removal scope. It is zero on a greenfield project and real money on a replacement.</t>
        </is>
      </c>
    </row>
    <row r="39" ht="32" customHeight="1" s="252">
      <c r="A39" s="261" t="inlineStr">
        <is>
          <t>•</t>
        </is>
      </c>
      <c r="B39" s="273" t="inlineStr">
        <is>
          <t>Set the revenue basis at the foot of the Revenue tab to "Historical actuals" on any replacement site with twelve or more months of data.</t>
        </is>
      </c>
    </row>
    <row r="41" ht="15" customHeight="1" s="252">
      <c r="A41" s="502" t="inlineStr">
        <is>
          <t>Choosing the utility</t>
        </is>
      </c>
    </row>
    <row r="42" ht="44" customHeight="1" s="252">
      <c r="A42" s="261" t="inlineStr">
        <is>
          <t>•</t>
        </is>
      </c>
      <c r="B42" s="273" t="inlineStr">
        <is>
          <t>Pick the DELIVERY utility on the Project tab — the one that owns the wires and sets the tariff. If the site buys generation from a community choice aggregator, still pick the delivery utility; the CCA is a separate field below it.</t>
        </is>
      </c>
    </row>
    <row r="43" ht="32" customHeight="1" s="252">
      <c r="A43" s="261" t="inlineStr">
        <is>
          <t>•</t>
        </is>
      </c>
      <c r="B43" s="273" t="inlineStr">
        <is>
          <t>A CCA changes only the generation cents per kWh. Eligibility, time-of-use periods, the demand subscription and every delivery charge stay with the utility. Build the bill from the delivery tariff and substitute one line.</t>
        </is>
      </c>
    </row>
    <row r="44" ht="44" customHeight="1" s="252">
      <c r="A44" s="261" t="inlineStr">
        <is>
          <t>•</t>
        </is>
      </c>
      <c r="B44" s="273" t="inlineStr">
        <is>
          <t>Rule 29 exists only at investor-owned utilities. A municipal utility, irrigation district or cooperative has its own line-extension policy and the cost split can be completely different — do not carry a Rule 29 allowance on a POU site.</t>
        </is>
      </c>
    </row>
    <row r="45" ht="44" customHeight="1" s="252">
      <c r="A45" s="261" t="inlineStr">
        <is>
          <t>•</t>
        </is>
      </c>
      <c r="B45" s="273"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row>
    <row r="46" ht="44" customHeight="1" s="252">
      <c r="A46" s="261" t="inlineStr">
        <is>
          <t>•</t>
        </is>
      </c>
      <c r="B46" s="273" t="inlineStr">
        <is>
          <t>Whether a utility has an EV tariff at all is often worth more than the cents per kWh. A site on a utility with no EV rate pays full demand charges on a general commercial schedule, which at low utilisation dominates the bill.</t>
        </is>
      </c>
    </row>
    <row r="48" ht="15" customHeight="1" s="252">
      <c r="A48" s="255" t="inlineStr">
        <is>
          <t>Returning this workbook</t>
        </is>
      </c>
    </row>
    <row r="49" ht="32" customHeight="1" s="252">
      <c r="A49" s="274" t="inlineStr">
        <is>
          <t>•</t>
        </is>
      </c>
      <c r="B49" s="367" t="inlineStr">
        <is>
          <t>Send the whole workbook back, not extracts. The version tab is how we know which generation of questions you answered.</t>
        </is>
      </c>
    </row>
    <row r="50" ht="32" customHeight="1" s="252">
      <c r="A50" s="274" t="inlineStr">
        <is>
          <t>•</t>
        </is>
      </c>
      <c r="B50" s="367" t="inlineStr">
        <is>
          <t>If you are returning a file built on an older template, say so in Notes — some fields will have moved.</t>
        </is>
      </c>
    </row>
    <row r="51" ht="33.75" customHeight="1" s="252"/>
    <row r="52" ht="33.75" customHeight="1" s="252"/>
    <row r="53" ht="33.75" customHeight="1" s="252"/>
    <row r="55" ht="15" customHeight="1" s="252"/>
    <row r="56" ht="33.75" customHeight="1" s="252"/>
    <row r="57" ht="33.75" customHeight="1" s="252"/>
    <row r="58" ht="33.75" customHeight="1" s="252"/>
    <row r="59" ht="33.75" customHeight="1" s="252"/>
    <row r="60" ht="33.75" customHeight="1" s="252"/>
    <row r="62" ht="15" customHeight="1" s="252"/>
    <row r="63" ht="33.75" customHeight="1" s="252"/>
    <row r="64" ht="33.75" customHeight="1" s="252"/>
    <row r="65" ht="33.75" customHeight="1" s="252"/>
    <row r="66" ht="33.75" customHeight="1" s="252"/>
    <row r="67" ht="33.75" customHeight="1" s="252"/>
  </sheetData>
  <mergeCells count="24">
    <mergeCell ref="B42:D42"/>
    <mergeCell ref="B7:F7"/>
    <mergeCell ref="B44:D44"/>
    <mergeCell ref="B27:C27"/>
    <mergeCell ref="B38:D38"/>
    <mergeCell ref="B34:D34"/>
    <mergeCell ref="B21:C21"/>
    <mergeCell ref="B37:D37"/>
    <mergeCell ref="B8:C8"/>
    <mergeCell ref="B33:D33"/>
    <mergeCell ref="B36:D36"/>
    <mergeCell ref="B45:D45"/>
    <mergeCell ref="B35:D35"/>
    <mergeCell ref="B28:C28"/>
    <mergeCell ref="B49:C49"/>
    <mergeCell ref="B9:F9"/>
    <mergeCell ref="B30:C30"/>
    <mergeCell ref="B6:F6"/>
    <mergeCell ref="B46:D46"/>
    <mergeCell ref="A1:F1"/>
    <mergeCell ref="B5:F5"/>
    <mergeCell ref="B50:C50"/>
    <mergeCell ref="B43:D43"/>
    <mergeCell ref="B39:D39"/>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1"/>
  </sheetPr>
  <dimension ref="A1:F49"/>
  <sheetViews>
    <sheetView showFormulas="0" showGridLines="0" showRowColHeaders="1" showZeros="1" rightToLeft="0" tabSelected="0" showOutlineSymbols="1" defaultGridColor="1" view="normal" topLeftCell="A1" colorId="64" zoomScale="50" zoomScaleNormal="50" zoomScalePageLayoutView="100" workbookViewId="0">
      <pane ySplit="2" topLeftCell="A3" activePane="bottomLeft" state="frozen"/>
      <selection pane="bottomLeft" activeCell="A1" activeCellId="0" sqref="A1"/>
      <selection pane="bottomLeft" activeCell="B34" activeCellId="0" sqref="B34"/>
    </sheetView>
  </sheetViews>
  <sheetFormatPr baseColWidth="8" defaultColWidth="8.66796875" defaultRowHeight="14.25" zeroHeight="0" outlineLevelRow="0"/>
  <cols>
    <col width="44" customWidth="1" style="251" min="1" max="1"/>
    <col width="17" customWidth="1" style="251" min="2" max="2"/>
    <col width="52" customWidth="1" style="251" min="3" max="3"/>
    <col width="9" customWidth="1" style="251" min="4" max="6"/>
    <col width="9" customWidth="1" style="252" min="5" max="5"/>
    <col width="9" customWidth="1" style="252" min="6" max="6"/>
  </cols>
  <sheetData>
    <row r="1" ht="25.5" customHeight="1" s="252">
      <c r="A1" s="253" t="inlineStr">
        <is>
          <t>1 · PROJECT AND SITE</t>
        </is>
      </c>
    </row>
    <row r="2" ht="13.5" customHeight="1" s="252">
      <c r="A2" s="264" t="inlineStr">
        <is>
          <t>Identity, location, utility and access policy.</t>
        </is>
      </c>
    </row>
    <row r="4" ht="15" customHeight="1" s="252">
      <c r="A4" s="502" t="inlineStr">
        <is>
          <t>Client</t>
        </is>
      </c>
    </row>
    <row r="5" ht="15" customHeight="1" s="252">
      <c r="A5" s="261" t="inlineStr">
        <is>
          <t>Client legal name</t>
        </is>
      </c>
      <c r="B5" s="262" t="inlineStr">
        <is>
          <t>Best Western Hawthorne</t>
        </is>
      </c>
      <c r="C5" s="264" t="inlineStr">
        <is>
          <t>As it will appear on the proposal</t>
        </is>
      </c>
    </row>
    <row r="6" ht="15" customHeight="1" s="252">
      <c r="A6" s="261" t="inlineStr">
        <is>
          <t>Client contact name</t>
        </is>
      </c>
      <c r="B6" s="262" t="inlineStr">
        <is>
          <t>Mohammad Noorali</t>
        </is>
      </c>
    </row>
    <row r="7" ht="15" customHeight="1" s="252">
      <c r="A7" s="261" t="inlineStr">
        <is>
          <t>Contact title</t>
        </is>
      </c>
      <c r="B7" s="262" t="inlineStr">
        <is>
          <t>General Manager</t>
        </is>
      </c>
    </row>
    <row r="8" ht="15" customHeight="1" s="252">
      <c r="A8" s="261" t="inlineStr">
        <is>
          <t>Contact email</t>
        </is>
      </c>
      <c r="B8" s="262" t="inlineStr">
        <is>
          <t>gm@example.com</t>
        </is>
      </c>
    </row>
    <row r="9" ht="15" customHeight="1" s="252">
      <c r="A9" s="261" t="inlineStr">
        <is>
          <t>Contact phone</t>
        </is>
      </c>
      <c r="B9" s="262" t="inlineStr">
        <is>
          <t>310-555-0100</t>
        </is>
      </c>
    </row>
    <row r="11" ht="15" customHeight="1" s="252">
      <c r="A11" s="502" t="inlineStr">
        <is>
          <t>Site</t>
        </is>
      </c>
    </row>
    <row r="12" ht="15" customHeight="1" s="252">
      <c r="A12" s="261" t="inlineStr">
        <is>
          <t>Site name</t>
        </is>
      </c>
      <c r="B12" s="262" t="inlineStr">
        <is>
          <t>Best Western Hawthorne</t>
        </is>
      </c>
    </row>
    <row r="13" ht="15" customHeight="1" s="252">
      <c r="A13" s="261" t="inlineStr">
        <is>
          <t>Street address</t>
        </is>
      </c>
      <c r="B13" s="262" t="inlineStr">
        <is>
          <t>15000 Hawthorn Blvd</t>
        </is>
      </c>
    </row>
    <row r="14" ht="15" customHeight="1" s="252">
      <c r="A14" s="261" t="inlineStr">
        <is>
          <t>City / State / ZIP</t>
        </is>
      </c>
      <c r="B14" s="262" t="inlineStr">
        <is>
          <t>Hawthorne, CA 90260</t>
        </is>
      </c>
    </row>
    <row r="15" ht="15" customHeight="1" s="252">
      <c r="A15" s="261" t="inlineStr">
        <is>
          <t>County</t>
        </is>
      </c>
      <c r="B15" s="262" t="inlineStr">
        <is>
          <t>Los Angeles</t>
        </is>
      </c>
    </row>
    <row r="16" ht="15" customHeight="1" s="252">
      <c r="A16" s="261" t="inlineStr">
        <is>
          <t>Property type</t>
        </is>
      </c>
      <c r="B16" s="262" t="inlineStr">
        <is>
          <t>Hotel</t>
        </is>
      </c>
      <c r="C16" s="264" t="inlineStr">
        <is>
          <t>Retail, dealership, fleet depot, hotel, grocery…</t>
        </is>
      </c>
    </row>
    <row r="17" ht="32" customHeight="1" s="252">
      <c r="A17" s="261" t="inlineStr">
        <is>
          <t>Project type</t>
        </is>
      </c>
      <c r="B17" s="275">
        <f>Existing!B5</f>
        <v/>
      </c>
      <c r="C17" s="276" t="inlineStr">
        <is>
          <t>Set this on the Existing tab. A replacement site must complete the Existing tab in full; a greenfield site leaves it blank.</t>
        </is>
      </c>
    </row>
    <row r="18" ht="20" customHeight="1" s="252">
      <c r="A18" s="261" t="inlineStr">
        <is>
          <t>Existing chargers on site?</t>
        </is>
      </c>
      <c r="B18" s="275">
        <f>IF(Existing!B43=0,"None",TEXT(Existing!B43,"0")&amp;" ports across "&amp;TEXT(Existing!B42,"0")&amp;" units — see the Existing tab")</f>
        <v/>
      </c>
      <c r="C18" s="299" t="inlineStr">
        <is>
          <t>Derived from the equipment schedule on the Existing tab.</t>
        </is>
      </c>
    </row>
    <row r="20" ht="15" customHeight="1" s="252">
      <c r="A20" s="502" t="inlineStr">
        <is>
          <t>Access and operating policy</t>
        </is>
      </c>
    </row>
    <row r="21" ht="15" customHeight="1" s="252">
      <c r="A21" s="261" t="inlineStr">
        <is>
          <t>Public access</t>
        </is>
      </c>
      <c r="B21" s="262" t="inlineStr">
        <is>
          <t>Public 24/7</t>
        </is>
      </c>
      <c r="C21" s="264" t="inlineStr">
        <is>
          <t>Public 24/7 / Public during business hours / Restricted</t>
        </is>
      </c>
    </row>
    <row r="22" ht="15" customHeight="1" s="252">
      <c r="A22" s="261" t="inlineStr">
        <is>
          <t>Hours open per day</t>
        </is>
      </c>
      <c r="B22" s="278" t="n">
        <v>24</v>
      </c>
      <c r="C22" s="264" t="inlineStr">
        <is>
          <t>CRITICAL: 24 unless access is genuinely gated</t>
        </is>
      </c>
    </row>
    <row r="23" ht="15" customHeight="1" s="252">
      <c r="A23" s="261" t="inlineStr">
        <is>
          <t>Days open per year</t>
        </is>
      </c>
      <c r="B23" s="278" t="n">
        <v>365</v>
      </c>
      <c r="C23" s="264" t="inlineStr">
        <is>
          <t>Use 365 unless the site closes seasonally</t>
        </is>
      </c>
    </row>
    <row r="25" ht="15" customHeight="1" s="252">
      <c r="A25" s="502" t="inlineStr">
        <is>
          <t>Utility</t>
        </is>
      </c>
    </row>
    <row r="26" ht="44" customHeight="1" s="252">
      <c r="A26" s="261" t="inlineStr">
        <is>
          <t>Electric utility (delivery)</t>
        </is>
      </c>
      <c r="B26" s="279" t="inlineStr">
        <is>
          <t>SCE — Southern California Edison</t>
        </is>
      </c>
      <c r="C26" s="276" t="inlineStr">
        <is>
          <t>Pick from the list. This is the utility that DELIVERS power and therefore sets the EV tariff — see the Utilities tab. If the site is served by a community choice aggregator, still pick the delivery utility here.</t>
        </is>
      </c>
    </row>
    <row r="27" ht="15" customHeight="1" s="252">
      <c r="A27" s="261" t="inlineStr">
        <is>
          <t>Current rate schedule</t>
        </is>
      </c>
      <c r="B27" s="262" t="inlineStr">
        <is>
          <t>TOU-GS-2</t>
        </is>
      </c>
      <c r="C27" s="264" t="inlineStr">
        <is>
          <t>From a recent bill</t>
        </is>
      </c>
    </row>
    <row r="28" ht="15" customHeight="1" s="252">
      <c r="A28" s="261" t="inlineStr">
        <is>
          <t>Existing service size (A)</t>
        </is>
      </c>
      <c r="B28" s="280" t="n">
        <v>800</v>
      </c>
      <c r="C28" s="264" t="inlineStr">
        <is>
          <t>Main service amperage today</t>
        </is>
      </c>
    </row>
    <row r="29" ht="15" customHeight="1" s="252">
      <c r="A29" s="261" t="inlineStr">
        <is>
          <t>Service voltage</t>
        </is>
      </c>
      <c r="B29" s="281" t="n">
        <v>480</v>
      </c>
      <c r="C29" s="264" t="inlineStr">
        <is>
          <t>Usually 480V 3-phase for DC fast charging</t>
        </is>
      </c>
    </row>
    <row r="30" ht="15" customHeight="1" s="252">
      <c r="A30" s="261" t="inlineStr">
        <is>
          <t>12 months of bills obtained?</t>
        </is>
      </c>
      <c r="B30" s="262" t="inlineStr">
        <is>
          <t>Yes</t>
        </is>
      </c>
      <c r="C30" s="264" t="inlineStr">
        <is>
          <t>Yes / No — needed to validate the energy cost</t>
        </is>
      </c>
    </row>
    <row r="32" ht="15" customHeight="1" s="252">
      <c r="A32" s="502" t="inlineStr">
        <is>
          <t>Commercial</t>
        </is>
      </c>
    </row>
    <row r="33" ht="15" customHeight="1" s="252">
      <c r="A33" s="261" t="inlineStr">
        <is>
          <t>Proposal date</t>
        </is>
      </c>
      <c r="B33" s="282" t="n">
        <v>46266</v>
      </c>
    </row>
    <row r="34" ht="15" customHeight="1" s="252">
      <c r="A34" s="261" t="inlineStr">
        <is>
          <t>Proposal validity (days)</t>
        </is>
      </c>
      <c r="B34" s="281" t="n">
        <v>30</v>
      </c>
    </row>
    <row r="35" ht="15" customHeight="1" s="252">
      <c r="A35" s="261" t="inlineStr">
        <is>
          <t>Prepared by</t>
        </is>
      </c>
      <c r="B35" s="262" t="inlineStr">
        <is>
          <t>Vatsal Patel</t>
        </is>
      </c>
    </row>
    <row r="36" ht="15" customHeight="1" s="252">
      <c r="A36" s="261" t="inlineStr">
        <is>
          <t>RSM / account owner</t>
        </is>
      </c>
      <c r="B36" s="262" t="inlineStr">
        <is>
          <t>Account Owner</t>
        </is>
      </c>
    </row>
    <row r="38" ht="15" customHeight="1" s="252"/>
    <row r="39" ht="15" customHeight="1" s="252">
      <c r="A39" s="502" t="inlineStr">
        <is>
          <t>Utility context — derived from the selection above</t>
        </is>
      </c>
    </row>
    <row r="40" ht="32" customHeight="1" s="252">
      <c r="A40" s="283" t="inlineStr">
        <is>
          <t>These read the Utilities and RateLibrary tabs. They tell you what tariff regime the site sits in before anyone opens a tariff book.</t>
        </is>
      </c>
    </row>
    <row r="41" ht="32" customHeight="1" s="252">
      <c r="A41" s="261" t="inlineStr">
        <is>
          <t>Utility type</t>
        </is>
      </c>
      <c r="B41" s="284">
        <f>IFERROR(INDEX(Utilities!$K$5:$K$78,MATCH($B$26,Utilities!$J$5:$J$78,0)),"")</f>
        <v/>
      </c>
      <c r="C41" s="276" t="inlineStr">
        <is>
          <t>IOU utilities are CPUC-regulated and follow Rule 29. POUs and co-ops set their own rules — no Rule 29, no PCIA, their own interconnection process.</t>
        </is>
      </c>
    </row>
    <row r="42" ht="42.75" customHeight="1" s="252">
      <c r="A42" s="261" t="inlineStr">
        <is>
          <t>Service territory</t>
        </is>
      </c>
      <c r="B42" s="284">
        <f>IFERROR(INDEX(Utilities!$L$5:$L$78,MATCH($B$26,Utilities!$J$5:$J$78,0)),"")</f>
        <v/>
      </c>
    </row>
    <row r="43" ht="44" customHeight="1" s="252">
      <c r="A43" s="261" t="inlineStr">
        <is>
          <t>EV rate status</t>
        </is>
      </c>
      <c r="B43" s="284">
        <f>IFERROR(INDEX(Utilities!$M$5:$M$78,MATCH($B$26,Utilities!$J$5:$J$78,0)),"")</f>
        <v/>
      </c>
      <c r="C43" s="276" t="inlineStr">
        <is>
          <t>Whether this utility publishes a commercial EV tariff at all. Where it does not, the site pays full demand charges on a general commercial schedule — usually the single largest difference between two otherwise identical sites.</t>
        </is>
      </c>
    </row>
    <row r="44" ht="32" customHeight="1" s="252">
      <c r="A44" s="261" t="inlineStr">
        <is>
          <t>Rate rows in the library</t>
        </is>
      </c>
      <c r="B44" s="284">
        <f>COUNTIF(RATE_UTIL,$B$26)</f>
        <v/>
      </c>
      <c r="C44" s="299" t="inlineStr">
        <is>
          <t>How many schedules the library carries for this utility. Zero means it has not been researched — obtain the tariff.</t>
        </is>
      </c>
    </row>
    <row r="45" ht="32" customHeight="1" s="252">
      <c r="A45" s="255" t="inlineStr">
        <is>
          <t>Best status in the library</t>
        </is>
      </c>
      <c r="B45" s="285">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299" t="inlineStr">
        <is>
          <t>Never price a project from a NOT PUBLISHED row. Get the tariff sheet or a written rate quotation.</t>
        </is>
      </c>
    </row>
    <row r="46" ht="32" customHeight="1" s="252">
      <c r="A46" s="261" t="inlineStr">
        <is>
          <t>Community choice aggregator, if any</t>
        </is>
      </c>
      <c r="B46" s="286" t="inlineStr">
        <is>
          <t>Clean Power Alliance</t>
        </is>
      </c>
      <c r="C46" s="276" t="inlineStr">
        <is>
          <t>A CCA changes ONLY the generation $/kWh. Eligibility, time-of-use periods, the demand subscription and every delivery charge stay with the utility above.</t>
        </is>
      </c>
    </row>
    <row r="47" ht="56" customHeight="1" s="252">
      <c r="A47" s="255" t="inlineStr">
        <is>
          <t>CCA delivery utility check</t>
        </is>
      </c>
      <c r="B47" s="285">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287"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t="32" customHeight="1" s="252">
      <c r="A48" s="255" t="inlineStr">
        <is>
          <t>Interconnection regime</t>
        </is>
      </c>
      <c r="B48" s="285">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287" t="inlineStr">
        <is>
          <t>Decides whether the Rule 29 questions on the Electrical tab are worth asking. Outside a California investor-owned utility they are not, and nothing reads them.</t>
        </is>
      </c>
    </row>
    <row r="49" ht="56" customHeight="1" s="252">
      <c r="A49" s="288" t="inlineStr">
        <is>
          <t>INTERCONNECTION IS THE SERVING UTILITY'S ANSWER, NOT OURS.  In California, PG&amp;E and SCE publish Electric Rule 29 and the interconnection block on the Electrical tab follows it. Everywhere else there is no equivalent and no general substitute — ask the utility what it requires and what it charges, and carry their figure as a pass-through fee. Do not price an interconnection from this template.</t>
        </is>
      </c>
    </row>
  </sheetData>
  <mergeCells count="13">
    <mergeCell ref="C48:F48"/>
    <mergeCell ref="A49:C49"/>
    <mergeCell ref="C17:F17"/>
    <mergeCell ref="C41:F41"/>
    <mergeCell ref="C26:F26"/>
    <mergeCell ref="A1:F1"/>
    <mergeCell ref="C43:F43"/>
    <mergeCell ref="A40:C40"/>
    <mergeCell ref="C46:F46"/>
    <mergeCell ref="C45:D45"/>
    <mergeCell ref="C44:D44"/>
    <mergeCell ref="C18:D18"/>
    <mergeCell ref="C47:F47"/>
  </mergeCells>
  <dataValidations count="2">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1"/>
  </sheetPr>
  <dimension ref="A1:G186"/>
  <sheetViews>
    <sheetView showFormulas="0" showGridLines="0" showRowColHeaders="1" showZeros="1" rightToLeft="0" tabSelected="0" showOutlineSymbols="1" defaultGridColor="1" view="normal" topLeftCell="A1" colorId="64" zoomScale="90" zoomScaleNormal="90" zoomScalePageLayoutView="100" workbookViewId="0">
      <pane ySplit="2" topLeftCell="A3" activePane="bottomLeft" state="frozen"/>
      <selection pane="bottomLeft" activeCell="A1" activeCellId="0" sqref="A1"/>
      <selection pane="bottomLeft" activeCell="C6" activeCellId="0" sqref="C6"/>
    </sheetView>
  </sheetViews>
  <sheetFormatPr baseColWidth="8" defaultColWidth="8.66796875" defaultRowHeight="14.25" zeroHeight="0" outlineLevelRow="0"/>
  <cols>
    <col width="44" customWidth="1" style="251" min="1" max="1"/>
    <col width="34" customWidth="1" style="251" min="2" max="2"/>
    <col width="52" customWidth="1" style="251" min="3" max="3"/>
    <col width="34" customWidth="1" style="251" min="4" max="7"/>
    <col width="34" customWidth="1" style="252" min="5" max="5"/>
    <col width="9" customWidth="1" style="252" min="6" max="6"/>
    <col width="9" customWidth="1" style="252" min="7" max="7"/>
  </cols>
  <sheetData>
    <row r="1" ht="17.25" customHeight="1" s="252">
      <c r="A1" s="289" t="inlineStr">
        <is>
          <t>1B · EXISTING INSTALLATION — RIP AND REPLACE</t>
        </is>
      </c>
    </row>
    <row r="2" ht="32" customHeight="1" s="252">
      <c r="A2" s="283" t="inlineStr">
        <is>
          <t>Complete this tab only when the site already has charging equipment. On a greenfield site leave it blank and the model ignores it entirely. On a replacement site this tab is the most valuable page in the intake, because it replaces market assumptions with the site's own operating history.</t>
        </is>
      </c>
    </row>
    <row r="4" ht="15" customHeight="1" s="252">
      <c r="A4" s="502" t="inlineStr">
        <is>
          <t>A · Project type</t>
        </is>
      </c>
    </row>
    <row r="5" ht="32" customHeight="1" s="252">
      <c r="A5" s="261" t="inlineStr">
        <is>
          <t>Project type</t>
        </is>
      </c>
      <c r="B5" s="290" t="inlineStr">
        <is>
          <t>Rip and replace — reuse infrastructure</t>
        </is>
      </c>
      <c r="C5" s="276" t="inlineStr">
        <is>
          <t>Greenfield builds everything. Rip and replace swaps the chargers and reuses the electrical infrastructure. Replace and expand does both — new chargers plus added capacity.</t>
        </is>
      </c>
    </row>
    <row r="6" ht="20" customHeight="1" s="252">
      <c r="A6" s="261" t="inlineStr">
        <is>
          <t>Age of the existing installation (years)</t>
        </is>
      </c>
      <c r="B6" s="291" t="n">
        <v>7</v>
      </c>
      <c r="C6" s="299" t="inlineStr">
        <is>
          <t>Drives whether the existing conductors and gear are worth reusing.</t>
        </is>
      </c>
    </row>
    <row r="7" ht="32" customHeight="1" s="252">
      <c r="A7" s="261" t="inlineStr">
        <is>
          <t>Reason for replacement</t>
        </is>
      </c>
      <c r="B7" s="286" t="inlineStr">
        <is>
          <t>End of life and unreliable</t>
        </is>
      </c>
      <c r="C7" s="299" t="inlineStr">
        <is>
          <t>End of life, unreliability, obsolete connectors, insufficient power, or a commercial decision.</t>
        </is>
      </c>
    </row>
    <row r="8" ht="20" customHeight="1" s="252">
      <c r="A8" s="261" t="inlineStr">
        <is>
          <t>Who owns the existing equipment?</t>
        </is>
      </c>
      <c r="B8" s="286" t="inlineStr">
        <is>
          <t>Client</t>
        </is>
      </c>
      <c r="C8" s="299" t="inlineStr">
        <is>
          <t>If a third party owns it, removal and disposal need their agreement.</t>
        </is>
      </c>
    </row>
    <row r="10" ht="15" customHeight="1" s="252">
      <c r="A10" s="502" t="inlineStr">
        <is>
          <t>B · What is retained and what is replaced</t>
        </is>
      </c>
    </row>
    <row r="11" ht="32" customHeight="1" s="252">
      <c r="A11" s="283" t="inlineStr">
        <is>
          <t>This register is the whole commercial difference between a greenfield project and a replacement. Every line marked RETAIN removes cost from the electrical and construction scope. Every line marked REPLACE puts it back. Answer honestly — a conductor that is retained on paper and re-pulled in the field is a change order.</t>
        </is>
      </c>
    </row>
    <row r="12" ht="20" customHeight="1" s="252">
      <c r="A12" s="292" t="inlineStr">
        <is>
          <t>Element</t>
        </is>
      </c>
      <c r="B12" s="292" t="inlineStr">
        <is>
          <t>Decision</t>
        </is>
      </c>
      <c r="C12" s="292" t="inlineStr">
        <is>
          <t>Basis for the decision</t>
        </is>
      </c>
      <c r="D12" s="293" t="n"/>
      <c r="E12" s="293" t="n"/>
      <c r="F12" s="293" t="n"/>
      <c r="G12" s="293" t="n"/>
    </row>
    <row r="13" ht="20" customHeight="1" s="252">
      <c r="A13" s="294" t="inlineStr">
        <is>
          <t>Utility service and meter</t>
        </is>
      </c>
      <c r="B13" s="295" t="inlineStr">
        <is>
          <t>RETAIN</t>
        </is>
      </c>
      <c r="C13" s="372" t="inlineStr">
        <is>
          <t>Existing service stays. No Rule 29 application, no new meter.</t>
        </is>
      </c>
      <c r="D13" s="297" t="n"/>
    </row>
    <row r="14" ht="20" customHeight="1" s="252">
      <c r="A14" s="294" t="inlineStr">
        <is>
          <t>Service feeder to switchgear</t>
        </is>
      </c>
      <c r="B14" s="295" t="inlineStr">
        <is>
          <t>RETAIN</t>
        </is>
      </c>
      <c r="C14" s="372" t="inlineStr">
        <is>
          <t>Conductor from the point of delivery to the switchboard.</t>
        </is>
      </c>
      <c r="D14" s="297" t="n"/>
    </row>
    <row r="15" ht="15" customHeight="1" s="252">
      <c r="A15" s="294" t="inlineStr">
        <is>
          <t>Main distribution switchgear</t>
        </is>
      </c>
      <c r="B15" s="295" t="inlineStr">
        <is>
          <t>REPLACE</t>
        </is>
      </c>
      <c r="C15" s="294" t="inlineStr">
        <is>
          <t>Switchboard, main breaker and metering section.</t>
        </is>
      </c>
    </row>
    <row r="16" ht="20" customHeight="1" s="252">
      <c r="A16" s="294" t="inlineStr">
        <is>
          <t>Branch conductors to each charger</t>
        </is>
      </c>
      <c r="B16" s="295" t="inlineStr">
        <is>
          <t>RETAIN</t>
        </is>
      </c>
      <c r="C16" s="372" t="inlineStr">
        <is>
          <t>The feeders from switchgear to cabinet. The single largest reuse saving.</t>
        </is>
      </c>
      <c r="D16" s="297" t="n"/>
    </row>
    <row r="17" ht="20" customHeight="1" s="252">
      <c r="A17" s="294" t="inlineStr">
        <is>
          <t>Conduit and trench</t>
        </is>
      </c>
      <c r="B17" s="295" t="inlineStr">
        <is>
          <t>RETAIN</t>
        </is>
      </c>
      <c r="C17" s="372" t="inlineStr">
        <is>
          <t>Existing conduit reused; no re-trenching if the new cabinets land on the same pads.</t>
        </is>
      </c>
      <c r="D17" s="297" t="n"/>
    </row>
    <row r="18" ht="20" customHeight="1" s="252">
      <c r="A18" s="294" t="inlineStr">
        <is>
          <t>Branch breakers</t>
        </is>
      </c>
      <c r="B18" s="295" t="inlineStr">
        <is>
          <t>REPLACE</t>
        </is>
      </c>
      <c r="C18" s="372" t="inlineStr">
        <is>
          <t>Sized to the new cabinet, not the old one. Usually cheap and always worth replacing.</t>
        </is>
      </c>
      <c r="D18" s="297" t="n"/>
    </row>
    <row r="19" ht="20" customHeight="1" s="252">
      <c r="A19" s="294" t="inlineStr">
        <is>
          <t>Concrete pads</t>
        </is>
      </c>
      <c r="B19" s="295" t="inlineStr">
        <is>
          <t>REPLACE</t>
        </is>
      </c>
      <c r="C19" s="372" t="inlineStr">
        <is>
          <t>New cabinets rarely match the old footprint or anchor pattern.</t>
        </is>
      </c>
      <c r="D19" s="297" t="n"/>
    </row>
    <row r="20" ht="15" customHeight="1" s="252">
      <c r="A20" s="294" t="inlineStr">
        <is>
          <t>Bollards and equipment protection</t>
        </is>
      </c>
      <c r="B20" s="295" t="inlineStr">
        <is>
          <t>REPLACE</t>
        </is>
      </c>
      <c r="C20" s="294" t="inlineStr">
        <is>
          <t>Usually disturbed by pad removal.</t>
        </is>
      </c>
    </row>
    <row r="21" ht="15" customHeight="1" s="252">
      <c r="A21" s="294" t="inlineStr">
        <is>
          <t>Paving and striping</t>
        </is>
      </c>
      <c r="B21" s="295" t="inlineStr">
        <is>
          <t>PARTIAL</t>
        </is>
      </c>
      <c r="C21" s="294" t="inlineStr">
        <is>
          <t>Reinstatement around the new pads only.</t>
        </is>
      </c>
    </row>
    <row r="22" ht="15" customHeight="1" s="252">
      <c r="A22" s="294" t="inlineStr">
        <is>
          <t>ADA stalls and route</t>
        </is>
      </c>
      <c r="B22" s="295" t="inlineStr">
        <is>
          <t>RETAIN</t>
        </is>
      </c>
      <c r="C22" s="294" t="inlineStr">
        <is>
          <t>Reused if the layout is unchanged and still compliant.</t>
        </is>
      </c>
    </row>
    <row r="23" ht="20" customHeight="1" s="252">
      <c r="A23" s="294" t="inlineStr">
        <is>
          <t>Signage</t>
        </is>
      </c>
      <c r="B23" s="295" t="inlineStr">
        <is>
          <t>REPLACE</t>
        </is>
      </c>
      <c r="C23" s="372" t="inlineStr">
        <is>
          <t>Network branding, pricing and connector types all change.</t>
        </is>
      </c>
      <c r="D23" s="297" t="n"/>
    </row>
    <row r="24" ht="15" customHeight="1" s="252">
      <c r="A24" s="294" t="inlineStr">
        <is>
          <t>Network and payment hardware</t>
        </is>
      </c>
      <c r="B24" s="295" t="inlineStr">
        <is>
          <t>REPLACE</t>
        </is>
      </c>
      <c r="C24" s="294" t="inlineStr">
        <is>
          <t>Integrated in the new cabinets.</t>
        </is>
      </c>
    </row>
    <row r="26" ht="20" customHeight="1" s="252">
      <c r="A26" s="261" t="inlineStr">
        <is>
          <t>Elements retained</t>
        </is>
      </c>
      <c r="B26" s="298">
        <f>COUNTIF($B$13:$B$24,"RETAIN")</f>
        <v/>
      </c>
      <c r="C26" s="299" t="inlineStr">
        <is>
          <t>Of 12 in the register.</t>
        </is>
      </c>
    </row>
    <row r="27" ht="15" customHeight="1" s="252">
      <c r="A27" s="261" t="inlineStr">
        <is>
          <t>Elements replaced</t>
        </is>
      </c>
      <c r="B27" s="298">
        <f>COUNTIF($B$13:$B$24,"REPLACE")+COUNTIF($B$13:$B$24,"PARTIAL")</f>
        <v/>
      </c>
    </row>
    <row r="28" ht="32" customHeight="1" s="252">
      <c r="A28" s="255" t="inlineStr">
        <is>
          <t>Scope profile</t>
        </is>
      </c>
      <c r="B28" s="300">
        <f>IF($B$13="RETAIN",IF($B$14="RETAIN","Infrastructure reuse — no new service, no new feeder","Service retained, feeder replaced"),"New or upgraded service — price this as greenfield electrical")</f>
        <v/>
      </c>
      <c r="C28" s="297" t="n"/>
      <c r="D28" s="299" t="inlineStr">
        <is>
          <t>What the retained register implies for the electrical scope on the Electrical tab.</t>
        </is>
      </c>
    </row>
    <row r="30" ht="15" customHeight="1" s="252">
      <c r="A30" s="502" t="inlineStr">
        <is>
          <t>C · Existing equipment being removed</t>
        </is>
      </c>
    </row>
    <row r="31" ht="20" customHeight="1" s="252">
      <c r="A31" s="283" t="inlineStr">
        <is>
          <t>One row per existing cabinet or unit. This drives the demolition, disconnection and disposal scope on the Construction tab, and the port comparison in section F.</t>
        </is>
      </c>
    </row>
    <row r="32" ht="20" customHeight="1" s="252">
      <c r="A32" s="292" t="inlineStr">
        <is>
          <t>Make and model</t>
        </is>
      </c>
      <c r="B32" s="292" t="inlineStr">
        <is>
          <t>Rating kW</t>
        </is>
      </c>
      <c r="C32" s="292" t="inlineStr">
        <is>
          <t>Ports</t>
        </is>
      </c>
      <c r="D32" s="292" t="inlineStr">
        <is>
          <t>Connectors</t>
        </is>
      </c>
      <c r="E32" s="292" t="inlineStr">
        <is>
          <t>Qty</t>
        </is>
      </c>
      <c r="F32" s="301" t="inlineStr">
        <is>
          <t>Year installed</t>
        </is>
      </c>
      <c r="G32" s="301" t="inlineStr">
        <is>
          <t>Working?</t>
        </is>
      </c>
    </row>
    <row r="33" ht="15" customHeight="1" s="252">
      <c r="A33" s="295" t="inlineStr">
        <is>
          <t>ABB Terra 54</t>
        </is>
      </c>
      <c r="B33" s="302" t="n">
        <v>50</v>
      </c>
      <c r="C33" s="302" t="n">
        <v>2</v>
      </c>
      <c r="D33" s="295" t="inlineStr">
        <is>
          <t>CCS1 / CHAdeMO</t>
        </is>
      </c>
      <c r="E33" s="302" t="n">
        <v>2</v>
      </c>
      <c r="F33" s="303" t="n">
        <v>2018</v>
      </c>
      <c r="G33" s="295" t="inlineStr">
        <is>
          <t>Working</t>
        </is>
      </c>
    </row>
    <row r="34" ht="15" customHeight="1" s="252">
      <c r="A34" s="295" t="inlineStr">
        <is>
          <t>ChargePoint Express 250</t>
        </is>
      </c>
      <c r="B34" s="302" t="n">
        <v>62.5</v>
      </c>
      <c r="C34" s="302" t="n">
        <v>1</v>
      </c>
      <c r="D34" s="295" t="inlineStr">
        <is>
          <t>CCS1</t>
        </is>
      </c>
      <c r="E34" s="302" t="n">
        <v>2</v>
      </c>
      <c r="F34" s="303" t="n">
        <v>2019</v>
      </c>
      <c r="G34" s="295" t="inlineStr">
        <is>
          <t>Failed</t>
        </is>
      </c>
    </row>
    <row r="35" ht="15" customHeight="1" s="252">
      <c r="A35" s="295" t="n"/>
      <c r="B35" s="302" t="n"/>
      <c r="C35" s="302" t="n"/>
      <c r="D35" s="295" t="n"/>
      <c r="E35" s="302" t="n"/>
      <c r="F35" s="303" t="n"/>
      <c r="G35" s="295" t="n"/>
    </row>
    <row r="36" ht="15" customHeight="1" s="252">
      <c r="A36" s="295" t="n"/>
      <c r="B36" s="302" t="n"/>
      <c r="C36" s="302" t="n"/>
      <c r="D36" s="295" t="n"/>
      <c r="E36" s="302" t="n"/>
      <c r="F36" s="303" t="n"/>
      <c r="G36" s="295" t="n"/>
    </row>
    <row r="37" ht="15" customHeight="1" s="252">
      <c r="A37" s="295" t="n"/>
      <c r="B37" s="302" t="n"/>
      <c r="C37" s="302" t="n"/>
      <c r="D37" s="295" t="n"/>
      <c r="E37" s="302" t="n"/>
      <c r="F37" s="303" t="n"/>
      <c r="G37" s="295" t="n"/>
    </row>
    <row r="38" ht="15" customHeight="1" s="252">
      <c r="A38" s="295" t="n"/>
      <c r="B38" s="302" t="n"/>
      <c r="C38" s="302" t="n"/>
      <c r="D38" s="295" t="n"/>
      <c r="E38" s="302" t="n"/>
      <c r="F38" s="303" t="n"/>
      <c r="G38" s="295" t="n"/>
    </row>
    <row r="39" ht="15" customHeight="1" s="252">
      <c r="A39" s="295" t="n"/>
      <c r="B39" s="302" t="n"/>
      <c r="C39" s="302" t="n"/>
      <c r="D39" s="295" t="n"/>
      <c r="E39" s="302" t="n"/>
      <c r="F39" s="303" t="n"/>
      <c r="G39" s="295" t="n"/>
    </row>
    <row r="40" ht="15" customHeight="1" s="252">
      <c r="A40" s="295" t="n"/>
      <c r="B40" s="302" t="n"/>
      <c r="C40" s="302" t="n"/>
      <c r="D40" s="295" t="n"/>
      <c r="E40" s="302" t="n"/>
      <c r="F40" s="303" t="n"/>
      <c r="G40" s="295" t="n"/>
    </row>
    <row r="42" ht="20" customHeight="1" s="252">
      <c r="A42" s="255" t="inlineStr">
        <is>
          <t>Existing units on site</t>
        </is>
      </c>
      <c r="B42" s="304">
        <f>SUM($E$33:$E$40)</f>
        <v/>
      </c>
      <c r="C42" s="299" t="inlineStr">
        <is>
          <t>Cabinets or standalone units to be removed.</t>
        </is>
      </c>
    </row>
    <row r="43" ht="20" customHeight="1" s="252">
      <c r="A43" s="255" t="inlineStr">
        <is>
          <t>Existing ports on site</t>
        </is>
      </c>
      <c r="B43" s="304">
        <f>SUMPRODUCT($C$33:$C$40,$E$33:$E$40)</f>
        <v/>
      </c>
      <c r="C43" s="299" t="inlineStr">
        <is>
          <t>Ports the site presents today.</t>
        </is>
      </c>
    </row>
    <row r="44" ht="32" customHeight="1" s="252">
      <c r="A44" s="255" t="inlineStr">
        <is>
          <t>Existing connected load (kW)</t>
        </is>
      </c>
      <c r="B44" s="305">
        <f>SUMPRODUCT($B$33:$B$40,$E$33:$E$40)</f>
        <v/>
      </c>
      <c r="C44" s="299" t="inlineStr">
        <is>
          <t>The load the existing service was sized for. Compare against the new load on the Electrical tab.</t>
        </is>
      </c>
    </row>
    <row r="45" ht="32" customHeight="1" s="252">
      <c r="A45" s="255" t="inlineStr">
        <is>
          <t>Units fully working</t>
        </is>
      </c>
      <c r="B45" s="304">
        <f>SUMIF($G$33:$G$40,"Working",$E$33:$E$40)</f>
        <v/>
      </c>
      <c r="C45" s="299" t="inlineStr">
        <is>
          <t>Quantity, not row count. The gap against units on site is the availability the new equipment recovers.</t>
        </is>
      </c>
    </row>
    <row r="46" ht="20" customHeight="1" s="252">
      <c r="A46" s="261" t="inlineStr">
        <is>
          <t>Units failed or intermittent</t>
        </is>
      </c>
      <c r="B46" s="298">
        <f>SUMIF($G$33:$G$40,"Failed",$E$33:$E$40)+SUMIF($G$33:$G$40,"Intermittent",$E$33:$E$40)</f>
        <v/>
      </c>
      <c r="C46" s="299" t="inlineStr">
        <is>
          <t>What the replacement is actually fixing.</t>
        </is>
      </c>
    </row>
    <row r="47" ht="32" customHeight="1" s="252">
      <c r="A47" s="261" t="inlineStr">
        <is>
          <t>Units of unknown condition</t>
        </is>
      </c>
      <c r="B47" s="265">
        <f>SUMIF($G$33:$G$40,"Unknown",$E$33:$E$40)</f>
        <v/>
      </c>
      <c r="C47" s="287" t="inlineStr">
        <is>
          <t>The availability uplift on the revenue projection is built from what was working and what was not. Anything in this row is a projection input nobody has established yet.</t>
        </is>
      </c>
    </row>
    <row r="48" ht="15" customHeight="1" s="252">
      <c r="A48" s="502" t="inlineStr">
        <is>
          <t>D · Existing electrical infrastructure</t>
        </is>
      </c>
    </row>
    <row r="49" ht="20" customHeight="1" s="252">
      <c r="A49" s="283" t="inlineStr">
        <is>
          <t>What is already in the ground. Where a line is being retained, this is what the new design has to work with; where it is being replaced, this is what has to come out.</t>
        </is>
      </c>
    </row>
    <row r="50" ht="20" customHeight="1" s="252">
      <c r="A50" s="261" t="inlineStr">
        <is>
          <t>Existing service size (A)</t>
        </is>
      </c>
      <c r="B50" s="306" t="n">
        <v>800</v>
      </c>
      <c r="C50" s="299" t="inlineStr">
        <is>
          <t>From the meter panel or the utility bill.</t>
        </is>
      </c>
    </row>
    <row r="51" ht="20" customHeight="1" s="252">
      <c r="A51" s="261" t="inlineStr">
        <is>
          <t>Existing service voltage</t>
        </is>
      </c>
      <c r="B51" s="291" t="n">
        <v>480</v>
      </c>
      <c r="C51" s="299" t="inlineStr">
        <is>
          <t>480V three-phase for most DC sites.</t>
        </is>
      </c>
    </row>
    <row r="52" ht="20" customHeight="1" s="252">
      <c r="A52" s="261" t="inlineStr">
        <is>
          <t>Spare capacity in the existing gear (A)</t>
        </is>
      </c>
      <c r="B52" s="291" t="n">
        <v>200</v>
      </c>
      <c r="C52" s="299" t="inlineStr">
        <is>
          <t>What is available for the new equipment without an upgrade.</t>
        </is>
      </c>
    </row>
    <row r="53" ht="20" customHeight="1" s="252">
      <c r="A53" s="261" t="inlineStr">
        <is>
          <t>Existing switchgear frame (A)</t>
        </is>
      </c>
      <c r="B53" s="291" t="n">
        <v>800</v>
      </c>
      <c r="C53" s="299" t="inlineStr">
        <is>
          <t>The main breaker frame size.</t>
        </is>
      </c>
    </row>
    <row r="54" ht="20" customHeight="1" s="252">
      <c r="A54" s="261" t="inlineStr">
        <is>
          <t>Existing branch conductor size</t>
        </is>
      </c>
      <c r="B54" s="286" t="inlineStr">
        <is>
          <t>250 KCMIL Cu</t>
        </is>
      </c>
      <c r="C54" s="299" t="inlineStr">
        <is>
          <t>e.g. 250 KCMIL Cu. Determines whether it can carry the new cabinet.</t>
        </is>
      </c>
    </row>
    <row r="55" ht="20" customHeight="1" s="252">
      <c r="A55" s="261" t="inlineStr">
        <is>
          <t>Average branch run length (ft)</t>
        </is>
      </c>
      <c r="B55" s="291" t="n">
        <v>120</v>
      </c>
      <c r="C55" s="299" t="inlineStr">
        <is>
          <t>Switchgear to cabinet, per position.</t>
        </is>
      </c>
    </row>
    <row r="56" ht="20" customHeight="1" s="252">
      <c r="A56" s="261" t="inlineStr">
        <is>
          <t>Existing conduit size and type</t>
        </is>
      </c>
      <c r="B56" s="286" t="inlineStr">
        <is>
          <t>2-1/2 in PVC</t>
        </is>
      </c>
      <c r="C56" s="299" t="inlineStr">
        <is>
          <t>e.g. 2-1/2 in PVC. Determines whether a larger conductor could be pulled if needed.</t>
        </is>
      </c>
    </row>
    <row r="57" ht="20" customHeight="1" s="252">
      <c r="A57" s="261" t="inlineStr">
        <is>
          <t>Existing rate schedule</t>
        </is>
      </c>
      <c r="B57" s="286" t="inlineStr">
        <is>
          <t>TOU-GS-2</t>
        </is>
      </c>
      <c r="C57" s="299" t="inlineStr">
        <is>
          <t>The tariff the site is billed on today.</t>
        </is>
      </c>
    </row>
    <row r="58" ht="20" customHeight="1" s="252">
      <c r="A58" s="261" t="inlineStr">
        <is>
          <t>Separately metered for EV today?</t>
        </is>
      </c>
      <c r="B58" s="286" t="inlineStr">
        <is>
          <t>No</t>
        </is>
      </c>
      <c r="C58" s="299" t="inlineStr">
        <is>
          <t>If not, a separate EV meter may be needed to reach the EV tariff.</t>
        </is>
      </c>
    </row>
    <row r="60" ht="44" customHeight="1" s="252">
      <c r="A60" s="255" t="inlineStr">
        <is>
          <t>Does the existing service carry the new load?</t>
        </is>
      </c>
      <c r="B60" s="300">
        <f>IF(LEFT($B$5,10)="Greenfield","n/a — greenfield, there is no existing service",IF(OR(NOT(ISNUMBER($B$50)),NOT(ISNUMBER($B$51)),N(Electrical!$B$38)=0),"enter the existing service size and voltage as NUMBERS, and the new equipment",IF(N(Electrical!$B$38)*1000/($B$51*SQRT(3))*1.25&lt;=$B$50,"OK — the existing service covers the new load at 125%","UPGRADE NEEDED — "&amp;TEXT(N(Electrical!$B$38)*1000/($B$51*SQRT(3))*1.25,"#,##0")&amp;" A required against a "&amp;TEXT($B$50,"#,##0")&amp;" A service")))</f>
        <v/>
      </c>
      <c r="C60" s="297" t="n"/>
      <c r="D60" s="287" t="inlineStr">
        <is>
          <t>Stands down on a greenfield project, and asks for a NUMBER rather than a non-empty cell — "N/A" typed here used to reach a division and return #VALUE! on a site with no existing service at all.</t>
        </is>
      </c>
    </row>
    <row r="61" ht="44" customHeight="1" s="252">
      <c r="A61" s="255" t="inlineStr">
        <is>
          <t>Does the existing switchgear carry the new load?</t>
        </is>
      </c>
      <c r="B61" s="300">
        <f>IF(LEFT($B$5,10)="Greenfield","n/a — greenfield, there is no existing gear",IF(OR(NOT(ISNUMBER($B$53)),NOT(ISNUMBER($B$51)),N(Equipment!B23)=0),"enter the existing frame as a NUMBER and the new equipment",IF($B$53&gt;=Equipment!B23*1000/($B$51*SQRT(3))*1.25,"OK — existing frame is adequate","UNDERSIZED — the existing frame does not cover the new load at 125%")))</f>
        <v/>
      </c>
      <c r="C61" s="297" t="n"/>
      <c r="D61" s="287" t="inlineStr">
        <is>
          <t>Stands down on a greenfield project, and asks for a NUMBER rather than a non-empty cell — "N/A" typed here used to reach a division and return #VALUE! on a site with no existing service at all.</t>
        </is>
      </c>
    </row>
    <row r="62" ht="32" customHeight="1" s="252">
      <c r="A62" s="255" t="inlineStr">
        <is>
          <t>Load change from the existing installation</t>
        </is>
      </c>
      <c r="B62" s="300">
        <f>IF(OR($B$44=0,N(Equipment!B23)=0),"enter the existing equipment and the new equipment",TEXT(Equipment!B23-$B$44,"+#,##0;-#,##0")&amp;" kW ("&amp;TEXT(Equipment!B23/$B$44-1,"+0%;-0%")&amp;") against the existing "&amp;TEXT($B$44,"#,##0")&amp;" kW")</f>
        <v/>
      </c>
      <c r="C62" s="297" t="n"/>
      <c r="D62" s="299" t="inlineStr">
        <is>
          <t>A replacement that raises connected load is the case where reuse assumptions break.</t>
        </is>
      </c>
    </row>
    <row r="64" ht="15" customHeight="1" s="252">
      <c r="A64" s="502" t="inlineStr">
        <is>
          <t>E · Historical usage and billing</t>
        </is>
      </c>
    </row>
    <row r="65" ht="32" customHeight="1" s="252">
      <c r="A65" s="283"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32" customHeight="1" s="252">
      <c r="A66" s="292" t="inlineStr">
        <is>
          <t>Month (YYYY-MM)</t>
        </is>
      </c>
      <c r="B66" s="292" t="inlineStr">
        <is>
          <t>kWh dispensed</t>
        </is>
      </c>
      <c r="C66" s="292" t="inlineStr">
        <is>
          <t>Gross revenue</t>
        </is>
      </c>
      <c r="D66" s="292" t="inlineStr">
        <is>
          <t>Sessions</t>
        </is>
      </c>
      <c r="E66" s="292" t="inlineStr">
        <is>
          <t>Utility cost</t>
        </is>
      </c>
      <c r="F66" s="301" t="inlineStr">
        <is>
          <t>Ports working</t>
        </is>
      </c>
      <c r="G66" s="301" t="inlineStr">
        <is>
          <t>Note / outage</t>
        </is>
      </c>
    </row>
    <row r="67" ht="15" customHeight="1" s="252">
      <c r="A67" s="295" t="inlineStr">
        <is>
          <t>2025-09</t>
        </is>
      </c>
      <c r="B67" s="302" t="n">
        <v>9800</v>
      </c>
      <c r="C67" s="307" t="n">
        <v>5390</v>
      </c>
      <c r="D67" s="302" t="n">
        <v>306</v>
      </c>
      <c r="E67" s="307" t="n">
        <v>2744</v>
      </c>
      <c r="F67" s="308" t="n">
        <v>4</v>
      </c>
      <c r="G67" s="295" t="n"/>
    </row>
    <row r="68" ht="15" customHeight="1" s="252">
      <c r="A68" s="295" t="inlineStr">
        <is>
          <t>2025-10</t>
        </is>
      </c>
      <c r="B68" s="302" t="n">
        <v>10200</v>
      </c>
      <c r="C68" s="307" t="n">
        <v>5610</v>
      </c>
      <c r="D68" s="302" t="n">
        <v>319</v>
      </c>
      <c r="E68" s="307" t="n">
        <v>2856</v>
      </c>
      <c r="F68" s="308" t="n">
        <v>4</v>
      </c>
      <c r="G68" s="295" t="n"/>
    </row>
    <row r="69" ht="15" customHeight="1" s="252">
      <c r="A69" s="295" t="inlineStr">
        <is>
          <t>2025-11</t>
        </is>
      </c>
      <c r="B69" s="302" t="n">
        <v>9900</v>
      </c>
      <c r="C69" s="307" t="n">
        <v>5445</v>
      </c>
      <c r="D69" s="302" t="n">
        <v>309</v>
      </c>
      <c r="E69" s="307" t="n">
        <v>2772</v>
      </c>
      <c r="F69" s="308" t="n">
        <v>3</v>
      </c>
      <c r="G69" s="295" t="inlineStr">
        <is>
          <t>Two units down all month</t>
        </is>
      </c>
    </row>
    <row r="70" ht="15" customHeight="1" s="252">
      <c r="A70" s="295" t="inlineStr">
        <is>
          <t>2025-12</t>
        </is>
      </c>
      <c r="B70" s="302" t="n">
        <v>11500</v>
      </c>
      <c r="C70" s="307" t="n">
        <v>6325</v>
      </c>
      <c r="D70" s="302" t="n">
        <v>359</v>
      </c>
      <c r="E70" s="307" t="n">
        <v>3220</v>
      </c>
      <c r="F70" s="308" t="n">
        <v>3</v>
      </c>
      <c r="G70" s="295" t="n"/>
    </row>
    <row r="71" ht="15" customHeight="1" s="252">
      <c r="A71" s="295" t="inlineStr">
        <is>
          <t>2026-01</t>
        </is>
      </c>
      <c r="B71" s="302" t="n">
        <v>12000</v>
      </c>
      <c r="C71" s="307" t="n">
        <v>6600</v>
      </c>
      <c r="D71" s="302" t="n">
        <v>375</v>
      </c>
      <c r="E71" s="307" t="n">
        <v>3360</v>
      </c>
      <c r="F71" s="308" t="n">
        <v>3</v>
      </c>
      <c r="G71" s="295" t="n"/>
    </row>
    <row r="72" ht="15" customHeight="1" s="252">
      <c r="A72" s="295" t="inlineStr">
        <is>
          <t>2026-02</t>
        </is>
      </c>
      <c r="B72" s="302" t="n">
        <v>11800</v>
      </c>
      <c r="C72" s="307" t="n">
        <v>6490</v>
      </c>
      <c r="D72" s="302" t="n">
        <v>369</v>
      </c>
      <c r="E72" s="307" t="n">
        <v>3304</v>
      </c>
      <c r="F72" s="308" t="n">
        <v>4</v>
      </c>
      <c r="G72" s="295" t="n"/>
    </row>
    <row r="73" ht="15" customHeight="1" s="252">
      <c r="A73" s="295" t="inlineStr">
        <is>
          <t>2026-03</t>
        </is>
      </c>
      <c r="B73" s="302" t="n">
        <v>12500</v>
      </c>
      <c r="C73" s="307" t="n">
        <v>6875</v>
      </c>
      <c r="D73" s="302" t="n">
        <v>391</v>
      </c>
      <c r="E73" s="307" t="n">
        <v>3500</v>
      </c>
      <c r="F73" s="308" t="n">
        <v>3</v>
      </c>
      <c r="G73" s="295" t="n"/>
    </row>
    <row r="74" ht="15" customHeight="1" s="252">
      <c r="A74" s="295" t="inlineStr">
        <is>
          <t>2026-04</t>
        </is>
      </c>
      <c r="B74" s="302" t="n">
        <v>13100</v>
      </c>
      <c r="C74" s="307" t="n">
        <v>7205</v>
      </c>
      <c r="D74" s="302" t="n">
        <v>409</v>
      </c>
      <c r="E74" s="307" t="n">
        <v>3668</v>
      </c>
      <c r="F74" s="308" t="n">
        <v>3</v>
      </c>
      <c r="G74" s="295" t="n"/>
    </row>
    <row r="75" ht="15" customHeight="1" s="252">
      <c r="A75" s="295" t="inlineStr">
        <is>
          <t>2026-05</t>
        </is>
      </c>
      <c r="B75" s="302" t="n">
        <v>12800</v>
      </c>
      <c r="C75" s="307" t="n">
        <v>7040</v>
      </c>
      <c r="D75" s="302" t="n">
        <v>400</v>
      </c>
      <c r="E75" s="307" t="n">
        <v>3584</v>
      </c>
      <c r="F75" s="308" t="n">
        <v>3</v>
      </c>
      <c r="G75" s="295" t="n"/>
    </row>
    <row r="76" ht="15" customHeight="1" s="252">
      <c r="A76" s="295" t="inlineStr">
        <is>
          <t>2026-06</t>
        </is>
      </c>
      <c r="B76" s="302" t="n">
        <v>13400</v>
      </c>
      <c r="C76" s="307" t="n">
        <v>7370</v>
      </c>
      <c r="D76" s="302" t="n">
        <v>419</v>
      </c>
      <c r="E76" s="307" t="n">
        <v>3752</v>
      </c>
      <c r="F76" s="308" t="n">
        <v>4</v>
      </c>
      <c r="G76" s="295" t="n"/>
    </row>
    <row r="77" ht="15" customHeight="1" s="252">
      <c r="A77" s="295" t="inlineStr">
        <is>
          <t>2026-07</t>
        </is>
      </c>
      <c r="B77" s="302" t="n">
        <v>13900</v>
      </c>
      <c r="C77" s="307" t="n">
        <v>7645</v>
      </c>
      <c r="D77" s="302" t="n">
        <v>434</v>
      </c>
      <c r="E77" s="307" t="n">
        <v>3892</v>
      </c>
      <c r="F77" s="308" t="n">
        <v>4</v>
      </c>
      <c r="G77" s="295" t="n"/>
    </row>
    <row r="78" ht="15" customHeight="1" s="252">
      <c r="A78" s="295" t="inlineStr">
        <is>
          <t>2026-08</t>
        </is>
      </c>
      <c r="B78" s="302" t="n">
        <v>14100</v>
      </c>
      <c r="C78" s="307" t="n">
        <v>7755</v>
      </c>
      <c r="D78" s="302" t="n">
        <v>441</v>
      </c>
      <c r="E78" s="307" t="n">
        <v>3948</v>
      </c>
      <c r="F78" s="308" t="n">
        <v>4</v>
      </c>
      <c r="G78" s="295" t="n"/>
    </row>
    <row r="79" ht="15" customHeight="1" s="252">
      <c r="A79" s="295" t="n"/>
      <c r="B79" s="302" t="n"/>
      <c r="C79" s="307" t="n"/>
      <c r="D79" s="302" t="n"/>
      <c r="E79" s="307" t="n"/>
      <c r="F79" s="308" t="n"/>
      <c r="G79" s="295" t="n"/>
    </row>
    <row r="80" ht="15" customHeight="1" s="252">
      <c r="A80" s="295" t="n"/>
      <c r="B80" s="302" t="n"/>
      <c r="C80" s="307" t="n"/>
      <c r="D80" s="302" t="n"/>
      <c r="E80" s="307" t="n"/>
      <c r="F80" s="308" t="n"/>
      <c r="G80" s="295" t="n"/>
    </row>
    <row r="81" ht="15" customHeight="1" s="252">
      <c r="A81" s="295" t="n"/>
      <c r="B81" s="302" t="n"/>
      <c r="C81" s="307" t="n"/>
      <c r="D81" s="302" t="n"/>
      <c r="E81" s="307" t="n"/>
      <c r="F81" s="308" t="n"/>
      <c r="G81" s="295" t="n"/>
    </row>
    <row r="82" ht="15" customHeight="1" s="252">
      <c r="A82" s="295" t="n"/>
      <c r="B82" s="302" t="n"/>
      <c r="C82" s="307" t="n"/>
      <c r="D82" s="302" t="n"/>
      <c r="E82" s="307" t="n"/>
      <c r="F82" s="308" t="n"/>
      <c r="G82" s="295" t="n"/>
    </row>
    <row r="83" ht="15" customHeight="1" s="252">
      <c r="A83" s="295" t="n"/>
      <c r="B83" s="302" t="n"/>
      <c r="C83" s="307" t="n"/>
      <c r="D83" s="302" t="n"/>
      <c r="E83" s="307" t="n"/>
      <c r="F83" s="308" t="n"/>
      <c r="G83" s="295" t="n"/>
    </row>
    <row r="84" ht="15" customHeight="1" s="252">
      <c r="A84" s="295" t="n"/>
      <c r="B84" s="302" t="n"/>
      <c r="C84" s="307" t="n"/>
      <c r="D84" s="302" t="n"/>
      <c r="E84" s="307" t="n"/>
      <c r="F84" s="308" t="n"/>
      <c r="G84" s="295" t="n"/>
    </row>
    <row r="85" ht="15" customHeight="1" s="252">
      <c r="A85" s="295" t="n"/>
      <c r="B85" s="302" t="n"/>
      <c r="C85" s="307" t="n"/>
      <c r="D85" s="302" t="n"/>
      <c r="E85" s="307" t="n"/>
      <c r="F85" s="308" t="n"/>
      <c r="G85" s="295" t="n"/>
    </row>
    <row r="86" ht="15" customHeight="1" s="252">
      <c r="A86" s="295" t="n"/>
      <c r="B86" s="302" t="n"/>
      <c r="C86" s="307" t="n"/>
      <c r="D86" s="302" t="n"/>
      <c r="E86" s="307" t="n"/>
      <c r="F86" s="308" t="n"/>
      <c r="G86" s="295" t="n"/>
    </row>
    <row r="87" ht="15" customHeight="1" s="252">
      <c r="A87" s="295" t="n"/>
      <c r="B87" s="302" t="n"/>
      <c r="C87" s="307" t="n"/>
      <c r="D87" s="302" t="n"/>
      <c r="E87" s="307" t="n"/>
      <c r="F87" s="308" t="n"/>
      <c r="G87" s="295" t="n"/>
    </row>
    <row r="88" ht="15" customHeight="1" s="252">
      <c r="A88" s="295" t="n"/>
      <c r="B88" s="302" t="n"/>
      <c r="C88" s="307" t="n"/>
      <c r="D88" s="302" t="n"/>
      <c r="E88" s="307" t="n"/>
      <c r="F88" s="308" t="n"/>
      <c r="G88" s="295" t="n"/>
    </row>
    <row r="89" ht="15" customHeight="1" s="252">
      <c r="A89" s="295" t="n"/>
      <c r="B89" s="302" t="n"/>
      <c r="C89" s="307" t="n"/>
      <c r="D89" s="302" t="n"/>
      <c r="E89" s="307" t="n"/>
      <c r="F89" s="308" t="n"/>
      <c r="G89" s="295" t="n"/>
    </row>
    <row r="90" ht="15" customHeight="1" s="252">
      <c r="A90" s="295" t="n"/>
      <c r="B90" s="302" t="n"/>
      <c r="C90" s="307" t="n"/>
      <c r="D90" s="302" t="n"/>
      <c r="E90" s="307" t="n"/>
      <c r="F90" s="308" t="n"/>
      <c r="G90" s="295" t="n"/>
    </row>
    <row r="91" ht="15" customHeight="1" s="252">
      <c r="A91" s="295" t="n"/>
      <c r="B91" s="302" t="n"/>
      <c r="C91" s="307" t="n"/>
      <c r="D91" s="302" t="n"/>
      <c r="E91" s="307" t="n"/>
      <c r="F91" s="308" t="n"/>
      <c r="G91" s="295" t="n"/>
    </row>
    <row r="92" ht="15" customHeight="1" s="252">
      <c r="A92" s="295" t="n"/>
      <c r="B92" s="302" t="n"/>
      <c r="C92" s="307" t="n"/>
      <c r="D92" s="302" t="n"/>
      <c r="E92" s="307" t="n"/>
      <c r="F92" s="308" t="n"/>
      <c r="G92" s="295" t="n"/>
    </row>
    <row r="93" ht="15" customHeight="1" s="252">
      <c r="A93" s="295" t="n"/>
      <c r="B93" s="302" t="n"/>
      <c r="C93" s="307" t="n"/>
      <c r="D93" s="302" t="n"/>
      <c r="E93" s="307" t="n"/>
      <c r="F93" s="308" t="n"/>
      <c r="G93" s="295" t="n"/>
    </row>
    <row r="94" ht="15" customHeight="1" s="252">
      <c r="A94" s="295" t="n"/>
      <c r="B94" s="302" t="n"/>
      <c r="C94" s="307" t="n"/>
      <c r="D94" s="302" t="n"/>
      <c r="E94" s="307" t="n"/>
      <c r="F94" s="308" t="n"/>
      <c r="G94" s="295" t="n"/>
    </row>
    <row r="95" ht="15" customHeight="1" s="252">
      <c r="A95" s="295" t="n"/>
      <c r="B95" s="302" t="n"/>
      <c r="C95" s="307" t="n"/>
      <c r="D95" s="302" t="n"/>
      <c r="E95" s="307" t="n"/>
      <c r="F95" s="308" t="n"/>
      <c r="G95" s="295" t="n"/>
    </row>
    <row r="96" ht="15" customHeight="1" s="252">
      <c r="A96" s="295" t="n"/>
      <c r="B96" s="302" t="n"/>
      <c r="C96" s="307" t="n"/>
      <c r="D96" s="302" t="n"/>
      <c r="E96" s="307" t="n"/>
      <c r="F96" s="308" t="n"/>
      <c r="G96" s="295" t="n"/>
    </row>
    <row r="97" ht="15" customHeight="1" s="252">
      <c r="A97" s="295" t="n"/>
      <c r="B97" s="302" t="n"/>
      <c r="C97" s="307" t="n"/>
      <c r="D97" s="302" t="n"/>
      <c r="E97" s="307" t="n"/>
      <c r="F97" s="308" t="n"/>
      <c r="G97" s="295" t="n"/>
    </row>
    <row r="98" ht="15" customHeight="1" s="252">
      <c r="A98" s="295" t="n"/>
      <c r="B98" s="302" t="n"/>
      <c r="C98" s="307" t="n"/>
      <c r="D98" s="302" t="n"/>
      <c r="E98" s="307" t="n"/>
      <c r="F98" s="308" t="n"/>
      <c r="G98" s="295" t="n"/>
    </row>
    <row r="99" ht="15" customHeight="1" s="252">
      <c r="A99" s="295" t="n"/>
      <c r="B99" s="302" t="n"/>
      <c r="C99" s="307" t="n"/>
      <c r="D99" s="302" t="n"/>
      <c r="E99" s="307" t="n"/>
      <c r="F99" s="308" t="n"/>
      <c r="G99" s="295" t="n"/>
    </row>
    <row r="100" ht="15" customHeight="1" s="252">
      <c r="A100" s="295" t="n"/>
      <c r="B100" s="302" t="n"/>
      <c r="C100" s="307" t="n"/>
      <c r="D100" s="302" t="n"/>
      <c r="E100" s="307" t="n"/>
      <c r="F100" s="308" t="n"/>
      <c r="G100" s="295" t="n"/>
    </row>
    <row r="101" ht="15" customHeight="1" s="252">
      <c r="A101" s="295" t="n"/>
      <c r="B101" s="302" t="n"/>
      <c r="C101" s="307" t="n"/>
      <c r="D101" s="302" t="n"/>
      <c r="E101" s="307" t="n"/>
      <c r="F101" s="308" t="n"/>
      <c r="G101" s="295" t="n"/>
    </row>
    <row r="102" ht="15" customHeight="1" s="252">
      <c r="A102" s="295" t="n"/>
      <c r="B102" s="302" t="n"/>
      <c r="C102" s="307" t="n"/>
      <c r="D102" s="302" t="n"/>
      <c r="E102" s="307" t="n"/>
      <c r="F102" s="308" t="n"/>
      <c r="G102" s="295" t="n"/>
    </row>
    <row r="104" ht="20" customHeight="1" s="252">
      <c r="A104" s="255" t="inlineStr">
        <is>
          <t>Months with data</t>
        </is>
      </c>
      <c r="B104" s="304">
        <f>COUNT($B$67:$B$102)</f>
        <v/>
      </c>
      <c r="C104" s="299" t="inlineStr">
        <is>
          <t>Twelve is the minimum for a credible run rate; twenty-four is better.</t>
        </is>
      </c>
    </row>
    <row r="105" ht="15" customHeight="1" s="252">
      <c r="A105" s="255" t="inlineStr">
        <is>
          <t>Total kWh dispensed</t>
        </is>
      </c>
      <c r="B105" s="304">
        <f>SUM($B$67:$B$102)</f>
        <v/>
      </c>
    </row>
    <row r="106" ht="15" customHeight="1" s="252">
      <c r="A106" s="255" t="inlineStr">
        <is>
          <t>Total gross revenue</t>
        </is>
      </c>
      <c r="B106" s="309">
        <f>SUM($C$67:$C$102)</f>
        <v/>
      </c>
    </row>
    <row r="107" ht="15" customHeight="1" s="252">
      <c r="A107" s="255" t="inlineStr">
        <is>
          <t>Total sessions</t>
        </is>
      </c>
      <c r="B107" s="304">
        <f>SUM($D$67:$D$102)</f>
        <v/>
      </c>
    </row>
    <row r="108" ht="15" customHeight="1" s="252">
      <c r="A108" s="255" t="inlineStr">
        <is>
          <t>Total utility cost</t>
        </is>
      </c>
      <c r="B108" s="309">
        <f>SUM($E$67:$E$102)</f>
        <v/>
      </c>
    </row>
    <row r="110" ht="15" customHeight="1" s="252">
      <c r="A110" s="255" t="inlineStr">
        <is>
          <t>Average kWh per month</t>
        </is>
      </c>
      <c r="B110" s="304">
        <f>IFERROR(SUM($B$67:$B$102)/COUNT($B$67:$B$102),0)</f>
        <v/>
      </c>
    </row>
    <row r="111" ht="20" customHeight="1" s="252">
      <c r="A111" s="255" t="inlineStr">
        <is>
          <t>Average kWh per day</t>
        </is>
      </c>
      <c r="B111" s="305">
        <f>IFERROR(SUM($B$67:$B$102)/COUNT($B$67:$B$102)*12/365,0)</f>
        <v/>
      </c>
      <c r="C111" s="299" t="inlineStr">
        <is>
          <t>The historical daily run rate. This is the number the new projection is built from.</t>
        </is>
      </c>
    </row>
    <row r="112" ht="15" customHeight="1" s="252">
      <c r="A112" s="255" t="inlineStr">
        <is>
          <t>Historical kWh per year</t>
        </is>
      </c>
      <c r="B112" s="304">
        <f>IFERROR(SUM($B$67:$B$102)/COUNT($B$67:$B$102)*12,0)</f>
        <v/>
      </c>
    </row>
    <row r="113" ht="15" customHeight="1" s="252">
      <c r="A113" s="255" t="inlineStr">
        <is>
          <t>Historical gross revenue per year</t>
        </is>
      </c>
      <c r="B113" s="309">
        <f>IFERROR(SUM($C$67:$C$102)/COUNT($C$67:$C$102)*12,0)</f>
        <v/>
      </c>
    </row>
    <row r="114" ht="15" customHeight="1" s="252">
      <c r="A114" s="255" t="inlineStr">
        <is>
          <t>Historical utility cost per year</t>
        </is>
      </c>
      <c r="B114" s="309">
        <f>IFERROR(SUM($E$67:$E$102)/COUNT($E$67:$E$102)*12,0)</f>
        <v/>
      </c>
    </row>
    <row r="115" ht="15" customHeight="1" s="252">
      <c r="A115" s="255" t="inlineStr">
        <is>
          <t>Historical net before card fees</t>
        </is>
      </c>
      <c r="B115" s="309">
        <f>$B$113-$B$114</f>
        <v/>
      </c>
    </row>
    <row r="116" ht="20" customHeight="1" s="252">
      <c r="A116" s="255" t="inlineStr">
        <is>
          <t>Implied retail price $/kWh</t>
        </is>
      </c>
      <c r="B116" s="310">
        <f>IFERROR(SUM($C$67:$C$102)/SUM($B$67:$B$102),0)</f>
        <v/>
      </c>
      <c r="C116" s="299" t="inlineStr">
        <is>
          <t>What drivers actually paid. Compare against the price proposed on the Revenue tab.</t>
        </is>
      </c>
    </row>
    <row r="117" ht="20" customHeight="1" s="252">
      <c r="A117" s="255" t="inlineStr">
        <is>
          <t>Implied delivered cost $/kWh</t>
        </is>
      </c>
      <c r="B117" s="310">
        <f>IFERROR(SUM($E$67:$E$102)/SUM($B$67:$B$102),0)</f>
        <v/>
      </c>
      <c r="C117" s="299" t="inlineStr">
        <is>
          <t>What the utility actually charged, all-in. Far better than any tariff estimate.</t>
        </is>
      </c>
    </row>
    <row r="118" ht="20" customHeight="1" s="252">
      <c r="A118" s="255" t="inlineStr">
        <is>
          <t>Average kWh per session</t>
        </is>
      </c>
      <c r="B118" s="305">
        <f>IFERROR(SUM($B$67:$B$102)/SUM($D$67:$D$102),0)</f>
        <v/>
      </c>
      <c r="C118" s="299" t="inlineStr">
        <is>
          <t>Typically 25 to 55 kWh on DC. A low figure suggests failed or abandoned sessions.</t>
        </is>
      </c>
    </row>
    <row r="119" ht="32" customHeight="1" s="252">
      <c r="A119" s="255" t="inlineStr">
        <is>
          <t>Average ports working</t>
        </is>
      </c>
      <c r="B119" s="305">
        <f>IFERROR(AVERAGE($F$67:$F$102),0)</f>
        <v/>
      </c>
      <c r="C119" s="299" t="inlineStr">
        <is>
          <t>Against the ports installed. The gap between them is the availability the new equipment recovers.</t>
        </is>
      </c>
    </row>
    <row r="120" ht="20" customHeight="1" s="252">
      <c r="A120" s="255" t="inlineStr">
        <is>
          <t>Historical availability</t>
        </is>
      </c>
      <c r="B120" s="311">
        <f>IFERROR(AVERAGE($F$67:$F$102)/$B$43,0)</f>
        <v/>
      </c>
      <c r="C120" s="299" t="inlineStr">
        <is>
          <t>Ports working as a share of ports installed. This is the recovery opportunity, quantified.</t>
        </is>
      </c>
    </row>
    <row r="122" ht="32" customHeight="1" s="252">
      <c r="A122" s="288"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4" ht="15" customHeight="1" s="252">
      <c r="A124" s="502" t="inlineStr">
        <is>
          <t>F · Port expansion and connector coverage</t>
        </is>
      </c>
    </row>
    <row r="125" ht="20" customHeight="1" s="252">
      <c r="A125" s="283" t="inlineStr">
        <is>
          <t>What the new equipment adds over the old. Each uplift below is stated separately so it can be challenged individually rather than hidden inside one optimistic growth rate.</t>
        </is>
      </c>
    </row>
    <row r="126" ht="15" customHeight="1" s="252">
      <c r="A126" s="261" t="inlineStr">
        <is>
          <t>Existing ports</t>
        </is>
      </c>
      <c r="B126" s="298">
        <f>$B$43</f>
        <v/>
      </c>
    </row>
    <row r="127" ht="20" customHeight="1" s="252">
      <c r="A127" s="261" t="inlineStr">
        <is>
          <t>New ports</t>
        </is>
      </c>
      <c r="B127" s="298">
        <f>N(Equipment!B22)</f>
        <v/>
      </c>
      <c r="C127" s="299" t="inlineStr">
        <is>
          <t>From the Equipment tab. Dual-port cabinets present two positions each.</t>
        </is>
      </c>
    </row>
    <row r="128" ht="32" customHeight="1" s="252">
      <c r="A128" s="255" t="inlineStr">
        <is>
          <t>Port count multiple</t>
        </is>
      </c>
      <c r="B128" s="312">
        <f>IF(OR($B$43=0,N(Equipment!B22)=0),1,Equipment!B22/$B$43)</f>
        <v/>
      </c>
      <c r="C128" s="299" t="inlineStr">
        <is>
          <t>More positions means more simultaneous vehicles, not proportionally more energy — see the capture factor below.</t>
        </is>
      </c>
    </row>
    <row r="130" ht="20" customHeight="1" s="252">
      <c r="A130" s="292" t="inlineStr">
        <is>
          <t>Connector</t>
        </is>
      </c>
      <c r="B130" s="292" t="inlineStr">
        <is>
          <t>On the existing equipment</t>
        </is>
      </c>
      <c r="C130" s="292" t="inlineStr">
        <is>
          <t>On the new equipment</t>
        </is>
      </c>
      <c r="D130" s="292" t="inlineStr">
        <is>
          <t>Share of the California fleet</t>
        </is>
      </c>
      <c r="E130" s="293" t="n"/>
      <c r="F130" s="293" t="n"/>
      <c r="G130" s="293" t="n"/>
    </row>
    <row r="131" ht="15" customHeight="1" s="252">
      <c r="A131" s="294" t="inlineStr">
        <is>
          <t>NACS / Tesla</t>
        </is>
      </c>
      <c r="B131" s="295" t="inlineStr">
        <is>
          <t>No</t>
        </is>
      </c>
      <c r="C131" s="295" t="inlineStr">
        <is>
          <t>Yes</t>
        </is>
      </c>
      <c r="D131" s="313" t="n">
        <v>0.55</v>
      </c>
    </row>
    <row r="132" ht="15" customHeight="1" s="252">
      <c r="A132" s="294" t="inlineStr">
        <is>
          <t>CCS1</t>
        </is>
      </c>
      <c r="B132" s="295" t="inlineStr">
        <is>
          <t>Yes</t>
        </is>
      </c>
      <c r="C132" s="295" t="inlineStr">
        <is>
          <t>Yes</t>
        </is>
      </c>
      <c r="D132" s="313" t="n">
        <v>0.4</v>
      </c>
    </row>
    <row r="133" ht="15" customHeight="1" s="252">
      <c r="A133" s="294" t="inlineStr">
        <is>
          <t>CHAdeMO</t>
        </is>
      </c>
      <c r="B133" s="295" t="inlineStr">
        <is>
          <t>Yes</t>
        </is>
      </c>
      <c r="C133" s="295" t="inlineStr">
        <is>
          <t>No</t>
        </is>
      </c>
      <c r="D133" s="313" t="n">
        <v>0.03</v>
      </c>
    </row>
    <row r="134" ht="15" customHeight="1" s="252">
      <c r="A134" s="294" t="inlineStr">
        <is>
          <t>J1772 (Level 2)</t>
        </is>
      </c>
      <c r="B134" s="295" t="inlineStr">
        <is>
          <t>No</t>
        </is>
      </c>
      <c r="C134" s="295" t="inlineStr">
        <is>
          <t>Yes</t>
        </is>
      </c>
      <c r="D134" s="313" t="n">
        <v>0.02</v>
      </c>
    </row>
    <row r="136" ht="20" customHeight="1" s="252">
      <c r="A136" s="283" t="inlineStr">
        <is>
          <t>Enter the share of the local fleet each connector reaches. Tesla vehicles are the largest single population in California, so a site that could not serve them natively was turning away a large share of passing demand.</t>
        </is>
      </c>
    </row>
    <row r="137" ht="20" customHeight="1" s="252">
      <c r="A137" s="261" t="inlineStr">
        <is>
          <t>Fleet coverage today</t>
        </is>
      </c>
      <c r="B137" s="314">
        <f>SUMIF($B$131:$B$134,"Yes",$D$131:$D$134)</f>
        <v/>
      </c>
      <c r="C137" s="299" t="inlineStr">
        <is>
          <t>Share of the fleet the existing connectors serve natively.</t>
        </is>
      </c>
    </row>
    <row r="138" ht="15" customHeight="1" s="252">
      <c r="A138" s="261" t="inlineStr">
        <is>
          <t>Fleet coverage after replacement</t>
        </is>
      </c>
      <c r="B138" s="314">
        <f>SUMIF($C$131:$C$134,"Yes",$D$131:$D$134)</f>
        <v/>
      </c>
    </row>
    <row r="139" ht="32" customHeight="1" s="252">
      <c r="A139" s="255" t="inlineStr">
        <is>
          <t>Coverage multiple</t>
        </is>
      </c>
      <c r="B139" s="312">
        <f>IFERROR($B$138/$B$137,1)</f>
        <v/>
      </c>
      <c r="C139" s="299" t="inlineStr">
        <is>
          <t>Adding NACS to a CCS-only site is the single largest addressable-market change available on a replacement project.</t>
        </is>
      </c>
    </row>
    <row r="141" ht="32" customHeight="1" s="252">
      <c r="A141" s="261" t="inlineStr">
        <is>
          <t>Existing power per position (kW)</t>
        </is>
      </c>
      <c r="B141" s="315">
        <f>IFERROR(SUMPRODUCT(--($B$33:$B$40&gt;=30),$B$33:$B$40,$E$33:$E$40)/SUMPRODUCT(--($B$33:$B$40&gt;=30),$C$33:$C$40,$E$33:$E$40),0)</f>
        <v/>
      </c>
      <c r="C141" s="299" t="inlineStr">
        <is>
          <t>DC positions only. Blending Level 2 into this average understates the old power and inflates the uplift.</t>
        </is>
      </c>
    </row>
    <row r="142" ht="15" customHeight="1" s="252">
      <c r="A142" s="261" t="inlineStr">
        <is>
          <t>New power per position (kW)</t>
        </is>
      </c>
      <c r="B142" s="315">
        <f>IF(N(Equipment!B22)=0,0,Equipment!B23/Equipment!B22)</f>
        <v/>
      </c>
    </row>
    <row r="143" ht="32" customHeight="1" s="252">
      <c r="A143" s="255" t="inlineStr">
        <is>
          <t>Power multiple</t>
        </is>
      </c>
      <c r="B143" s="312">
        <f>IF(OR($B$141=0,$B$142=0),1,MIN(2,$B$142/$B$141))</f>
        <v/>
      </c>
      <c r="C143" s="276" t="inlineStr">
        <is>
          <t>Capped at 2.00x. Faster charging frees the stall sooner, but beyond roughly double the constraint stops being how fast the hardware charges and becomes how many vehicles arrive. Raising the cap does not make demand appear.</t>
        </is>
      </c>
    </row>
    <row r="145" ht="15" customHeight="1" s="252">
      <c r="A145" s="502" t="inlineStr">
        <is>
          <t>G · Projected baseline — history plus stated uplifts</t>
        </is>
      </c>
    </row>
    <row r="146" ht="32" customHeight="1" s="252">
      <c r="A146" s="283"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20" customHeight="1" s="252">
      <c r="A147" s="261" t="inlineStr">
        <is>
          <t>Historical kWh per year</t>
        </is>
      </c>
      <c r="B147" s="298">
        <f>$B$112</f>
        <v/>
      </c>
      <c r="C147" s="299" t="inlineStr">
        <is>
          <t>From section E. The starting point.</t>
        </is>
      </c>
    </row>
    <row r="149" ht="20" customHeight="1" s="252">
      <c r="A149" s="292" t="inlineStr">
        <is>
          <t>Uplift</t>
        </is>
      </c>
      <c r="B149" s="292" t="inlineStr">
        <is>
          <t>Theoretical multiple</t>
        </is>
      </c>
      <c r="C149" s="292" t="inlineStr">
        <is>
          <t>Capture factor</t>
        </is>
      </c>
      <c r="D149" s="292" t="inlineStr">
        <is>
          <t>Applied multiple</t>
        </is>
      </c>
      <c r="E149" s="292" t="inlineStr">
        <is>
          <t>Basis</t>
        </is>
      </c>
      <c r="F149" s="293" t="n"/>
      <c r="G149" s="293" t="n"/>
    </row>
    <row r="150" ht="44" customHeight="1" s="252">
      <c r="A150" s="294" t="inlineStr">
        <is>
          <t>Availability recovered</t>
        </is>
      </c>
      <c r="B150" s="316">
        <f>IFERROR(1/$B$120,1)</f>
        <v/>
      </c>
      <c r="C150" s="317" t="n">
        <v>0.85</v>
      </c>
      <c r="D150" s="316">
        <f>1+($B$150-1)*$C$150</f>
        <v/>
      </c>
      <c r="E150" s="486" t="inlineStr">
        <is>
          <t>Ports that were dark now work. The most defensible uplift on the list — the demand was already there and was turned away.</t>
        </is>
      </c>
      <c r="F150" s="297" t="n"/>
      <c r="G150" s="297" t="n"/>
    </row>
    <row r="151" ht="44" customHeight="1" s="252">
      <c r="A151" s="294" t="inlineStr">
        <is>
          <t>Ports added</t>
        </is>
      </c>
      <c r="B151" s="316">
        <f>$B$128</f>
        <v/>
      </c>
      <c r="C151" s="317" t="n">
        <v>0.4</v>
      </c>
      <c r="D151" s="316">
        <f>1+($B$151-1)*$C$151</f>
        <v/>
      </c>
      <c r="E151" s="372" t="inlineStr">
        <is>
          <t>More positions capture more simultaneous arrivals, but a second position does not double demand — it shortens the queue.</t>
        </is>
      </c>
      <c r="F151" s="297" t="n"/>
      <c r="G151" s="297" t="n"/>
    </row>
    <row r="152" ht="44" customHeight="1" s="252">
      <c r="A152" s="294" t="inlineStr">
        <is>
          <t>Connector coverage widened</t>
        </is>
      </c>
      <c r="B152" s="316">
        <f>$B$139</f>
        <v/>
      </c>
      <c r="C152" s="317" t="n">
        <v>0.5</v>
      </c>
      <c r="D152" s="316">
        <f>1+($B$152-1)*$C$152</f>
        <v/>
      </c>
      <c r="E152" s="486" t="inlineStr">
        <is>
          <t>Vehicles that could not charge here now can. Capture is below one because some of those drivers were already served nearby.</t>
        </is>
      </c>
      <c r="F152" s="297" t="n"/>
      <c r="G152" s="297" t="n"/>
    </row>
    <row r="153" ht="32" customHeight="1" s="252">
      <c r="A153" s="294" t="inlineStr">
        <is>
          <t>Higher delivered power</t>
        </is>
      </c>
      <c r="B153" s="316">
        <f>$B$143</f>
        <v/>
      </c>
      <c r="C153" s="317" t="n">
        <v>0.25</v>
      </c>
      <c r="D153" s="316">
        <f>1+($B$153-1)*$C$153</f>
        <v/>
      </c>
      <c r="E153" s="372" t="inlineStr">
        <is>
          <t>Faster sessions free the stall sooner. Only converts to energy where demand is waiting for a stall.</t>
        </is>
      </c>
      <c r="F153" s="297" t="n"/>
      <c r="G153" s="297" t="n"/>
    </row>
    <row r="155" ht="32" customHeight="1" s="252">
      <c r="A155" s="255" t="inlineStr">
        <is>
          <t>Combined uplift multiple</t>
        </is>
      </c>
      <c r="B155" s="312">
        <f>$D$150*$D$151*$D$152*$D$153</f>
        <v/>
      </c>
      <c r="C155" s="299" t="inlineStr">
        <is>
          <t>The four applied multiples compounded. Sense-check it against the site factor on the Revenue tab.</t>
        </is>
      </c>
    </row>
    <row r="156" ht="32" customHeight="1" s="252">
      <c r="A156" s="255" t="inlineStr">
        <is>
          <t>Projected kWh per year at steady state</t>
        </is>
      </c>
      <c r="B156" s="304">
        <f>$B$147*$B$155</f>
        <v/>
      </c>
      <c r="C156" s="299" t="inlineStr">
        <is>
          <t>History times the combined uplift. This is what the Revenue tab should use instead of the market benchmark.</t>
        </is>
      </c>
    </row>
    <row r="157" ht="15" customHeight="1" s="252">
      <c r="A157" s="255" t="inlineStr">
        <is>
          <t>Projected kWh per day</t>
        </is>
      </c>
      <c r="B157" s="305">
        <f>$B$156/365</f>
        <v/>
      </c>
    </row>
    <row r="159" ht="32" customHeight="1" s="252">
      <c r="A159" s="255" t="inlineStr">
        <is>
          <t>Sanity check against capacity</t>
        </is>
      </c>
      <c r="B159" s="300">
        <f>IF(OR($B$156=0,N(Equipment!B23)=0),"enter history and the new equipment",IF($B$156/365/(24*Equipment!B23*0.7)&gt;0.35,"TOO HIGH — the projection implies more than 35% port-time utilisation. Reduce a capture factor.","OK — implies "&amp;TEXT($B$156/365/(24*Equipment!B23*0.7),"0.0%")&amp;" port-time utilisation"))</f>
        <v/>
      </c>
      <c r="C159" s="297" t="n"/>
      <c r="D159" s="299" t="inlineStr">
        <is>
          <t>Stops an optimistic stack of uplifts producing a number the hardware cannot physically deliver.</t>
        </is>
      </c>
    </row>
    <row r="160" ht="20" customHeight="1" s="252">
      <c r="A160" s="255" t="inlineStr">
        <is>
          <t>Projection against history</t>
        </is>
      </c>
      <c r="B160" s="300">
        <f>IF($B$147=0,"enter history",TEXT($B$155,"0.00")&amp;"x the historical run rate — "&amp;TEXT($B$156-$B$147,"+#,##0;-#,##0")&amp;" kWh a year")</f>
        <v/>
      </c>
      <c r="C160" s="297" t="n"/>
    </row>
    <row r="162" ht="15" customHeight="1" s="252">
      <c r="A162" s="502" t="inlineStr">
        <is>
          <t>Cross-check against the market</t>
        </is>
      </c>
    </row>
    <row r="163" ht="20" customHeight="1" s="252">
      <c r="A163" s="283" t="inlineStr">
        <is>
          <t>The capacity check above asks whether the hardware could physically deliver the projection. This asks whether the market would. Both have to pass, and the market one is usually the binding constraint.</t>
        </is>
      </c>
    </row>
    <row r="164" ht="32" customHeight="1" s="252">
      <c r="A164" s="261" t="inlineStr">
        <is>
          <t>Implied port-time utilisation</t>
        </is>
      </c>
      <c r="B164" s="314">
        <f>IF(N(Equipment!$B$26)=0,0,IF(LEFT(Revenue!$B$59,10)="Historical",N($B$156),N(Revenue!$B$78))/365/(24*Equipment!$B$26*0.7))</f>
        <v/>
      </c>
      <c r="C164" s="276" t="inlineStr">
        <is>
          <t>Share of the day each position delivers energy, at whichever projection is in force — history where history exists, the greenfield basis otherwise.</t>
        </is>
      </c>
    </row>
    <row r="165" ht="32" customHeight="1" s="252">
      <c r="A165" s="261" t="inlineStr">
        <is>
          <t>Benchmark port utilisation</t>
        </is>
      </c>
      <c r="B165" s="314">
        <f>IF(Revenue!$B$45="",0,IFERROR(INDEX(BM_UTIL,MATCH(Revenue!$B$45,BM_STATE,0)),0))</f>
        <v/>
      </c>
      <c r="C165" s="287" t="inlineStr">
        <is>
          <t>Looked up from the market chosen on the Revenue tab. Zero means no market was chosen, or the one chosen is not in the table — and the verdict below says so rather than grading against nothing.</t>
        </is>
      </c>
    </row>
    <row r="166" ht="20" customHeight="1" s="252">
      <c r="A166" s="261" t="inlineStr">
        <is>
          <t>Projection as a share of the state average</t>
        </is>
      </c>
      <c r="B166" s="314">
        <f>IF(N($B$165)=0,0,N($B$164)/N($B$165))</f>
        <v/>
      </c>
      <c r="C166" s="299" t="inlineStr">
        <is>
          <t>Above 100% means the projection assumes this site beats the average Californian port.</t>
        </is>
      </c>
    </row>
    <row r="167" ht="32" customHeight="1" s="252">
      <c r="A167" s="255" t="inlineStr">
        <is>
          <t>Market plausibility</t>
        </is>
      </c>
      <c r="B167" s="300">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7" t="n"/>
      <c r="D167" s="299" t="inlineStr">
        <is>
          <t>A replacement can transform a site, but it cannot make it beat the market without a reason you can name.</t>
        </is>
      </c>
    </row>
    <row r="168" ht="20" customHeight="1" s="252">
      <c r="A168" s="265" t="inlineStr">
        <is>
          <t>Market the benchmark is for</t>
        </is>
      </c>
      <c r="B168" s="319">
        <f>IF(Revenue!$B$45="","NO MARKET CHOSEN — set it on the Revenue tab",Revenue!$B$45)</f>
        <v/>
      </c>
      <c r="C168" s="367" t="inlineStr">
        <is>
          <t>Reads the Revenue tab. It is not a second place to type a market.</t>
        </is>
      </c>
    </row>
    <row r="169" ht="32" customHeight="1" s="252">
      <c r="A169" s="288"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1" ht="15" customHeight="1" s="252">
      <c r="A171" s="502" t="inlineStr">
        <is>
          <t>H · Removal, disposal and site protection</t>
        </is>
      </c>
    </row>
    <row r="172" ht="20" customHeight="1" s="252">
      <c r="A172" s="283" t="inlineStr">
        <is>
          <t>What it costs to take the old installation out. This is real scope on a replacement project and zero on a greenfield one.</t>
        </is>
      </c>
    </row>
    <row r="173" ht="20" customHeight="1" s="252">
      <c r="A173" s="292" t="inlineStr">
        <is>
          <t>Item</t>
        </is>
      </c>
      <c r="B173" s="292" t="inlineStr">
        <is>
          <t>Quantity</t>
        </is>
      </c>
      <c r="C173" s="292" t="inlineStr">
        <is>
          <t>Note</t>
        </is>
      </c>
      <c r="D173" s="293" t="n"/>
      <c r="E173" s="293" t="n"/>
      <c r="F173" s="293" t="n"/>
      <c r="G173" s="293" t="n"/>
    </row>
    <row r="174" ht="15" customHeight="1" s="252">
      <c r="A174" s="294" t="inlineStr">
        <is>
          <t>Cabinets to disconnect and remove (ea)</t>
        </is>
      </c>
      <c r="B174" s="302" t="n">
        <v>4</v>
      </c>
      <c r="C174" s="294" t="inlineStr">
        <is>
          <t>Includes de-energising, lockout and terminations</t>
        </is>
      </c>
    </row>
    <row r="175" ht="15" customHeight="1" s="252">
      <c r="A175" s="294" t="inlineStr">
        <is>
          <t>Concrete pads to break out (ea)</t>
        </is>
      </c>
      <c r="B175" s="302" t="n">
        <v>4</v>
      </c>
      <c r="C175" s="294" t="inlineStr">
        <is>
          <t>Saw-cut, break, remove and dispose</t>
        </is>
      </c>
    </row>
    <row r="176" ht="15" customHeight="1" s="252">
      <c r="A176" s="294" t="inlineStr">
        <is>
          <t>Bollards to remove (ea)</t>
        </is>
      </c>
      <c r="B176" s="302" t="n">
        <v>8</v>
      </c>
      <c r="C176" s="320" t="n"/>
    </row>
    <row r="177" ht="15" customHeight="1" s="252">
      <c r="A177" s="294" t="inlineStr">
        <is>
          <t>Signage to remove (ea)</t>
        </is>
      </c>
      <c r="B177" s="302" t="n">
        <v>4</v>
      </c>
      <c r="C177" s="320" t="n"/>
    </row>
    <row r="178" ht="15" customHeight="1" s="252">
      <c r="A178" s="294" t="inlineStr">
        <is>
          <t>Disposal loads (ea)</t>
        </is>
      </c>
      <c r="B178" s="302" t="n">
        <v>2</v>
      </c>
      <c r="C178" s="294" t="inlineStr">
        <is>
          <t>Concrete and steel to a licensed facility</t>
        </is>
      </c>
    </row>
    <row r="179" ht="15" customHeight="1" s="252">
      <c r="A179" s="294" t="inlineStr">
        <is>
          <t>Equipment recycling or resale?</t>
        </is>
      </c>
      <c r="B179" s="295" t="inlineStr">
        <is>
          <t>Yes</t>
        </is>
      </c>
      <c r="C179" s="294" t="inlineStr">
        <is>
          <t>Working units may carry salvage value</t>
        </is>
      </c>
    </row>
    <row r="180" ht="20" customHeight="1" s="252">
      <c r="A180" s="294" t="inlineStr">
        <is>
          <t>Hazardous material identified?</t>
        </is>
      </c>
      <c r="B180" s="295" t="inlineStr">
        <is>
          <t>No</t>
        </is>
      </c>
      <c r="C180" s="372" t="inlineStr">
        <is>
          <t>Older units may contain fluids requiring special handling</t>
        </is>
      </c>
      <c r="D180" s="297" t="n"/>
    </row>
    <row r="181" ht="15" customHeight="1" s="252">
      <c r="A181" s="294" t="inlineStr">
        <is>
          <t>Temporary charging required during works?</t>
        </is>
      </c>
      <c r="B181" s="295" t="inlineStr">
        <is>
          <t>No</t>
        </is>
      </c>
      <c r="C181" s="294" t="inlineStr">
        <is>
          <t>If the site cannot go dark, this is a separate cost</t>
        </is>
      </c>
    </row>
    <row r="182" ht="15" customHeight="1" s="252">
      <c r="A182" s="294" t="inlineStr">
        <is>
          <t>Site protection and traffic control (days)</t>
        </is>
      </c>
      <c r="B182" s="302" t="n">
        <v>5</v>
      </c>
      <c r="C182" s="294" t="inlineStr">
        <is>
          <t>Barriers, cones and signage around a live customer lot</t>
        </is>
      </c>
    </row>
    <row r="184" ht="20" customHeight="1" s="252">
      <c r="A184" s="261" t="inlineStr">
        <is>
          <t>•</t>
        </is>
      </c>
      <c r="B184" s="273" t="inlineStr">
        <is>
          <t>Removal, disposal and pad replacement are entered on the Construction tab as quantities like any other construction line. This section is where the quantities come from.</t>
        </is>
      </c>
    </row>
    <row r="185" ht="20" customHeight="1" s="252">
      <c r="A185" s="261" t="inlineStr">
        <is>
          <t>•</t>
        </is>
      </c>
      <c r="B185" s="273" t="inlineStr">
        <is>
          <t>A site that must keep charging during the works needs a phased programme and possibly temporary units. That is not in the standard scope and should be priced separately.</t>
        </is>
      </c>
    </row>
    <row r="186" ht="32" customHeight="1" s="252">
      <c r="A186" s="261" t="inlineStr">
        <is>
          <t>•</t>
        </is>
      </c>
      <c r="B186" s="273" t="inlineStr">
        <is>
          <t>Working units removed from service can carry salvage value. Where the client wants that credited, it belongs on the Overrides tab as an override, not buried in the construction estimate.</t>
        </is>
      </c>
    </row>
  </sheetData>
  <mergeCells count="71">
    <mergeCell ref="B62:C62"/>
    <mergeCell ref="C6:D6"/>
    <mergeCell ref="C166:D166"/>
    <mergeCell ref="A122:G122"/>
    <mergeCell ref="C104:D104"/>
    <mergeCell ref="C58:D58"/>
    <mergeCell ref="C156:D156"/>
    <mergeCell ref="B159:C159"/>
    <mergeCell ref="C45:D45"/>
    <mergeCell ref="C5:G5"/>
    <mergeCell ref="C14:D14"/>
    <mergeCell ref="C116:D116"/>
    <mergeCell ref="A125:G125"/>
    <mergeCell ref="C141:D141"/>
    <mergeCell ref="D159:E159"/>
    <mergeCell ref="C128:D128"/>
    <mergeCell ref="B167:C167"/>
    <mergeCell ref="C16:D16"/>
    <mergeCell ref="C54:D54"/>
    <mergeCell ref="A31:G31"/>
    <mergeCell ref="C47:G47"/>
    <mergeCell ref="C143:G143"/>
    <mergeCell ref="B186:G186"/>
    <mergeCell ref="D60:G60"/>
    <mergeCell ref="C117:D117"/>
    <mergeCell ref="B61:C61"/>
    <mergeCell ref="C137:D137"/>
    <mergeCell ref="D167:F167"/>
    <mergeCell ref="C44:D44"/>
    <mergeCell ref="B60:C60"/>
    <mergeCell ref="C168:D168"/>
    <mergeCell ref="C127:D127"/>
    <mergeCell ref="C164:G164"/>
    <mergeCell ref="C180:D180"/>
    <mergeCell ref="C118:D118"/>
    <mergeCell ref="A11:G11"/>
    <mergeCell ref="A49:G49"/>
    <mergeCell ref="C56:D56"/>
    <mergeCell ref="A169:G169"/>
    <mergeCell ref="A1:G1"/>
    <mergeCell ref="C139:D139"/>
    <mergeCell ref="A146:G146"/>
    <mergeCell ref="C120:D120"/>
    <mergeCell ref="B28:C28"/>
    <mergeCell ref="D28:E28"/>
    <mergeCell ref="A172:G172"/>
    <mergeCell ref="D62:E62"/>
    <mergeCell ref="C119:D119"/>
    <mergeCell ref="C52:D52"/>
    <mergeCell ref="A65:G65"/>
    <mergeCell ref="C23:D23"/>
    <mergeCell ref="C17:D17"/>
    <mergeCell ref="C8:D8"/>
    <mergeCell ref="B185:G185"/>
    <mergeCell ref="D61:G61"/>
    <mergeCell ref="C7:D7"/>
    <mergeCell ref="E151:G151"/>
    <mergeCell ref="A136:G136"/>
    <mergeCell ref="E150:G150"/>
    <mergeCell ref="C165:G165"/>
    <mergeCell ref="C19:D19"/>
    <mergeCell ref="A163:G163"/>
    <mergeCell ref="B184:G184"/>
    <mergeCell ref="B160:C160"/>
    <mergeCell ref="C155:D155"/>
    <mergeCell ref="A2:G2"/>
    <mergeCell ref="C13:D13"/>
    <mergeCell ref="C111:D111"/>
    <mergeCell ref="C18:D18"/>
    <mergeCell ref="E153:G153"/>
    <mergeCell ref="E152:G152"/>
  </mergeCells>
  <dataValidations count="8">
    <dataValidation sqref="B5" showDropDown="0" showInputMessage="0" showErrorMessage="0" allowBlank="1" promptTitle="Choose one" prompt="Pick from the list" type="list" errorStyle="stop" operator="between">
      <formula1>"Greenfield — new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outlinePr summaryBelow="1" summaryRight="1"/>
    <pageSetUpPr fitToPage="1"/>
  </sheetPr>
  <dimension ref="A1:P55"/>
  <sheetViews>
    <sheetView showFormulas="0" showGridLines="0" showRowColHeaders="1" showZeros="1" rightToLeft="0" tabSelected="0" showOutlineSymbols="1" defaultGridColor="1" view="normal" topLeftCell="D1" colorId="64" zoomScale="100" zoomScaleNormal="100" zoomScalePageLayoutView="100" workbookViewId="0">
      <pane ySplit="6" topLeftCell="A7" activePane="bottomLeft" state="frozen"/>
      <selection pane="bottomLeft" activeCell="D1" activeCellId="0" sqref="D1"/>
      <selection pane="bottomLeft" activeCell="K7" activeCellId="0" sqref="K7"/>
    </sheetView>
  </sheetViews>
  <sheetFormatPr baseColWidth="8" defaultColWidth="8.66796875" defaultRowHeight="14.25" zeroHeight="0" outlineLevelRow="0"/>
  <cols>
    <col width="44" customWidth="1" style="251" min="1" max="1"/>
    <col width="34" customWidth="1" style="251" min="2" max="3"/>
    <col width="34" customWidth="1" style="252" min="3" max="3"/>
    <col width="17" customWidth="1" style="251" min="4" max="5"/>
    <col width="17" customWidth="1" style="252" min="5" max="5"/>
    <col width="14" customWidth="1" style="251" min="6" max="7"/>
    <col width="17" customWidth="1" style="252" min="7" max="7"/>
    <col width="19.44" customWidth="1" style="251" min="8" max="8"/>
    <col width="11" customWidth="1" style="251" min="9" max="9"/>
    <col width="10" customWidth="1" style="251" min="10" max="10"/>
    <col width="17" customWidth="1" style="251" min="11" max="11"/>
    <col width="9" customWidth="1" style="251" min="12" max="12"/>
    <col width="17" customWidth="1" style="251" min="13" max="14"/>
    <col width="9" customWidth="1" style="252" min="14" max="14"/>
    <col width="9" customWidth="1" style="251" min="15" max="15"/>
    <col width="16" customWidth="1" style="251" min="16" max="16"/>
  </cols>
  <sheetData>
    <row r="1" ht="25.5" customHeight="1" s="252">
      <c r="A1" s="253" t="inlineStr">
        <is>
          <t>2 · EQUIPMENT SCHEDULE</t>
        </is>
      </c>
    </row>
    <row r="2" ht="20" customHeight="1" s="252">
      <c r="A2" s="321" t="inlineStr">
        <is>
          <t>Pick the CAPACITY first, then the SKU. A distributed system is TWO kinds of line: the power cabinet, and each dispenser it feeds.</t>
        </is>
      </c>
    </row>
    <row r="4" ht="32" customHeight="1" s="252">
      <c r="A4" s="321" t="inlineStr">
        <is>
          <t>Enter one row per SKU. Qty is the number of CABINETS, not ports.</t>
        </is>
      </c>
    </row>
    <row r="6" ht="32" customHeight="1" s="252">
      <c r="A6" s="292" t="inlineStr">
        <is>
          <t>Line</t>
        </is>
      </c>
      <c r="B6" s="292" t="inlineStr">
        <is>
          <t>Capacity</t>
        </is>
      </c>
      <c r="C6" s="292" t="inlineStr">
        <is>
          <t>SKU</t>
        </is>
      </c>
      <c r="D6" s="301" t="inlineStr">
        <is>
          <t>Description (auto)</t>
        </is>
      </c>
      <c r="E6" s="301" t="inlineStr">
        <is>
          <t>Role (auto)</t>
        </is>
      </c>
      <c r="F6" s="301" t="inlineStr">
        <is>
          <t>DC output kW (auto)</t>
        </is>
      </c>
      <c r="G6" s="301" t="inlineStr">
        <is>
          <t>AC input kW (auto)</t>
        </is>
      </c>
      <c r="H6" s="301" t="inlineStr">
        <is>
          <t>Connectors (auto)</t>
        </is>
      </c>
      <c r="I6" s="301" t="inlineStr">
        <is>
          <t>Qty (units)</t>
        </is>
      </c>
      <c r="J6" s="301" t="inlineStr">
        <is>
          <t>Discount — set on the Commercial tab</t>
        </is>
      </c>
      <c r="K6" s="301" t="inlineStr">
        <is>
          <t>MSRP each (auto)</t>
        </is>
      </c>
      <c r="L6" s="301" t="inlineStr">
        <is>
          <t>Dispenser SKU (distributed only)</t>
        </is>
      </c>
      <c r="M6" s="301" t="inlineStr">
        <is>
          <t>Max dispensers (auto)</t>
        </is>
      </c>
      <c r="N6" s="301" t="inlineStr">
        <is>
          <t>Dispensers per cabinet</t>
        </is>
      </c>
      <c r="O6" s="301" t="inlineStr">
        <is>
          <t>Connectors per dispenser (1 or 2)</t>
        </is>
      </c>
      <c r="P6" s="301" t="inlineStr">
        <is>
          <t>Dispenser MSRP each (auto)</t>
        </is>
      </c>
    </row>
    <row r="7" ht="25.5" customHeight="1" s="252">
      <c r="A7" s="322" t="n">
        <v>1</v>
      </c>
      <c r="B7" s="323" t="inlineStr">
        <is>
          <t>360 kW DC</t>
        </is>
      </c>
      <c r="C7" s="323" t="inlineStr">
        <is>
          <t>TP5-360-480-2-300</t>
        </is>
      </c>
      <c r="D7" s="505">
        <f>IFERROR(INDEX(PriceBook!$C$2:$C$203,MATCH($C7,PriceBook!$B$2:$B$203,0)),"")</f>
        <v/>
      </c>
      <c r="E7" s="505">
        <f>IF($C7="","",IFERROR(INDEX(ROLE_VAL,MATCH($C7,ROLE_SKU,0)),"all_in_one"))</f>
        <v/>
      </c>
      <c r="F7" s="325">
        <f>IF($C7="",0,IFERROR(INDEX(SPEC_DCKW,MATCH($C7,SPEC_SKU,0)),IF($E7="dispenser",0,IF($E7="accessory",0,IFERROR(IF(N(INDEX(PriceBook!$E$2:$E$203,MATCH($C7,PriceBook!$B$2:$B$203,0)))&gt;0,INDEX(PriceBook!$E$2:$E$203,MATCH($C7,PriceBook!$B$2:$B$203,0)),INDEX(RATED_KW,MATCH($B7,CAPACITY_LIST,0))*IF(INDEX(PER_PORT,MATCH($B7,CAPACITY_LIST,0))=1,MAX(1,N($H7)),1)),0)))))</f>
        <v/>
      </c>
      <c r="G7" s="326">
        <f>IF($C7="",0,IFERROR(INDEX(SPEC_ACKW,MATCH($C7,SPEC_SKU,0)),$F7))</f>
        <v/>
      </c>
      <c r="H7" s="325">
        <f>IF($C7="",0,IF($E7="power_cabinet",N($N7)*N($O7),IFERROR(INDEX(SPEC_OUTS,MATCH($C7,SPEC_SKU,0)),IFERROR(INDEX(SKU_CONN,MATCH($C7,SKU_ALL,0)),0))))</f>
        <v/>
      </c>
      <c r="I7" s="327" t="n">
        <v>4</v>
      </c>
      <c r="J7" s="328" t="n"/>
      <c r="K7" s="329">
        <f>IFERROR(INDEX(PriceBook!$D$2:$D$203,MATCH($C7,PriceBook!$B$2:$B$203,0)),0)</f>
        <v/>
      </c>
      <c r="L7" s="323" t="n"/>
      <c r="M7" s="325">
        <f>IF($E7&lt;&gt;"power_cabinet",0,IFERROR(INDEX(SPEC_MAXDISP,MATCH($C7,SPEC_SKU,0)),0))</f>
        <v/>
      </c>
      <c r="N7" s="327" t="n"/>
      <c r="O7" s="327" t="n"/>
      <c r="P7" s="329">
        <f>IF($L7="",0,IFERROR(INDEX(PriceBook!$D$2:$D$203,MATCH($L7,PriceBook!$B$2:$B$203,0)),0))</f>
        <v/>
      </c>
    </row>
    <row r="8" ht="25.5" customHeight="1" s="252">
      <c r="A8" s="322" t="n">
        <v>2</v>
      </c>
      <c r="B8" s="323" t="inlineStr">
        <is>
          <t>Level 2 AC</t>
        </is>
      </c>
      <c r="C8" s="323" t="inlineStr">
        <is>
          <t>CTX-C40-240-2</t>
        </is>
      </c>
      <c r="D8" s="505">
        <f>IFERROR(INDEX(PriceBook!$C$2:$C$203,MATCH($C8,PriceBook!$B$2:$B$203,0)),"")</f>
        <v/>
      </c>
      <c r="E8" s="505">
        <f>IF($C8="","",IFERROR(INDEX(ROLE_VAL,MATCH($C8,ROLE_SKU,0)),"all_in_one"))</f>
        <v/>
      </c>
      <c r="F8" s="325">
        <f>IF($C8="",0,IFERROR(INDEX(SPEC_DCKW,MATCH($C8,SPEC_SKU,0)),IF($E8="dispenser",0,IF($E8="accessory",0,IFERROR(IF(N(INDEX(PriceBook!$E$2:$E$203,MATCH($C8,PriceBook!$B$2:$B$203,0)))&gt;0,INDEX(PriceBook!$E$2:$E$203,MATCH($C8,PriceBook!$B$2:$B$203,0)),INDEX(RATED_KW,MATCH($B8,CAPACITY_LIST,0))*IF(INDEX(PER_PORT,MATCH($B8,CAPACITY_LIST,0))=1,MAX(1,N($H8)),1)),0)))))</f>
        <v/>
      </c>
      <c r="G8" s="326">
        <f>IF($C8="",0,IFERROR(INDEX(SPEC_ACKW,MATCH($C8,SPEC_SKU,0)),$F8))</f>
        <v/>
      </c>
      <c r="H8" s="325">
        <f>IF($C8="",0,IF($E8="power_cabinet",N($N8)*N($O8),IFERROR(INDEX(SPEC_OUTS,MATCH($C8,SPEC_SKU,0)),IFERROR(INDEX(SKU_CONN,MATCH($C8,SKU_ALL,0)),0))))</f>
        <v/>
      </c>
      <c r="I8" s="327" t="n">
        <v>2</v>
      </c>
      <c r="J8" s="328" t="n"/>
      <c r="K8" s="329">
        <f>IFERROR(INDEX(PriceBook!$D$2:$D$203,MATCH($C8,PriceBook!$B$2:$B$203,0)),0)</f>
        <v/>
      </c>
      <c r="L8" s="323" t="n"/>
      <c r="M8" s="325">
        <f>IF($E8&lt;&gt;"power_cabinet",0,IFERROR(INDEX(SPEC_MAXDISP,MATCH($C8,SPEC_SKU,0)),0))</f>
        <v/>
      </c>
      <c r="N8" s="327" t="n"/>
      <c r="O8" s="327" t="n"/>
      <c r="P8" s="329">
        <f>IF($L8="",0,IFERROR(INDEX(PriceBook!$D$2:$D$203,MATCH($L8,PriceBook!$B$2:$B$203,0)),0))</f>
        <v/>
      </c>
    </row>
    <row r="9" ht="25.5" customHeight="1" s="252">
      <c r="A9" s="322" t="n">
        <v>3</v>
      </c>
      <c r="B9" s="323" t="n"/>
      <c r="C9" s="323" t="n"/>
      <c r="D9" s="505">
        <f>IFERROR(INDEX(PriceBook!$C$2:$C$203,MATCH($C9,PriceBook!$B$2:$B$203,0)),"")</f>
        <v/>
      </c>
      <c r="E9" s="505">
        <f>IF($C9="","",IFERROR(INDEX(ROLE_VAL,MATCH($C9,ROLE_SKU,0)),"all_in_one"))</f>
        <v/>
      </c>
      <c r="F9" s="325">
        <f>IF($C9="",0,IFERROR(INDEX(SPEC_DCKW,MATCH($C9,SPEC_SKU,0)),IF($E9="dispenser",0,IF($E9="accessory",0,IFERROR(IF(N(INDEX(PriceBook!$E$2:$E$203,MATCH($C9,PriceBook!$B$2:$B$203,0)))&gt;0,INDEX(PriceBook!$E$2:$E$203,MATCH($C9,PriceBook!$B$2:$B$203,0)),INDEX(RATED_KW,MATCH($B9,CAPACITY_LIST,0))*IF(INDEX(PER_PORT,MATCH($B9,CAPACITY_LIST,0))=1,MAX(1,N($H9)),1)),0)))))</f>
        <v/>
      </c>
      <c r="G9" s="326">
        <f>IF($C9="",0,IFERROR(INDEX(SPEC_ACKW,MATCH($C9,SPEC_SKU,0)),$F9))</f>
        <v/>
      </c>
      <c r="H9" s="325">
        <f>IF($C9="",0,IF($E9="power_cabinet",N($N9)*N($O9),IFERROR(INDEX(SPEC_OUTS,MATCH($C9,SPEC_SKU,0)),IFERROR(INDEX(SKU_CONN,MATCH($C9,SKU_ALL,0)),0))))</f>
        <v/>
      </c>
      <c r="I9" s="327" t="n"/>
      <c r="J9" s="328" t="n"/>
      <c r="K9" s="329">
        <f>IFERROR(INDEX(PriceBook!$D$2:$D$203,MATCH($C9,PriceBook!$B$2:$B$203,0)),0)</f>
        <v/>
      </c>
      <c r="L9" s="323" t="n"/>
      <c r="M9" s="325">
        <f>IF($E9&lt;&gt;"power_cabinet",0,IFERROR(INDEX(SPEC_MAXDISP,MATCH($C9,SPEC_SKU,0)),0))</f>
        <v/>
      </c>
      <c r="N9" s="327" t="n"/>
      <c r="O9" s="327" t="n"/>
      <c r="P9" s="329">
        <f>IF($L9="",0,IFERROR(INDEX(PriceBook!$D$2:$D$203,MATCH($L9,PriceBook!$B$2:$B$203,0)),0))</f>
        <v/>
      </c>
    </row>
    <row r="10" ht="25.5" customHeight="1" s="252">
      <c r="A10" s="322" t="n">
        <v>4</v>
      </c>
      <c r="B10" s="323" t="n"/>
      <c r="C10" s="323" t="n"/>
      <c r="D10" s="505">
        <f>IFERROR(INDEX(PriceBook!$C$2:$C$203,MATCH($C10,PriceBook!$B$2:$B$203,0)),"")</f>
        <v/>
      </c>
      <c r="E10" s="505">
        <f>IF($C10="","",IFERROR(INDEX(ROLE_VAL,MATCH($C10,ROLE_SKU,0)),"all_in_one"))</f>
        <v/>
      </c>
      <c r="F10" s="325">
        <f>IF($C10="",0,IFERROR(INDEX(SPEC_DCKW,MATCH($C10,SPEC_SKU,0)),IF($E10="dispenser",0,IF($E10="accessory",0,IFERROR(IF(N(INDEX(PriceBook!$E$2:$E$203,MATCH($C10,PriceBook!$B$2:$B$203,0)))&gt;0,INDEX(PriceBook!$E$2:$E$203,MATCH($C10,PriceBook!$B$2:$B$203,0)),INDEX(RATED_KW,MATCH($B10,CAPACITY_LIST,0))*IF(INDEX(PER_PORT,MATCH($B10,CAPACITY_LIST,0))=1,MAX(1,N($H10)),1)),0)))))</f>
        <v/>
      </c>
      <c r="G10" s="326">
        <f>IF($C10="",0,IFERROR(INDEX(SPEC_ACKW,MATCH($C10,SPEC_SKU,0)),$F10))</f>
        <v/>
      </c>
      <c r="H10" s="325">
        <f>IF($C10="",0,IF($E10="power_cabinet",N($N10)*N($O10),IFERROR(INDEX(SPEC_OUTS,MATCH($C10,SPEC_SKU,0)),IFERROR(INDEX(SKU_CONN,MATCH($C10,SKU_ALL,0)),0))))</f>
        <v/>
      </c>
      <c r="I10" s="327" t="n"/>
      <c r="J10" s="328" t="n"/>
      <c r="K10" s="329">
        <f>IFERROR(INDEX(PriceBook!$D$2:$D$203,MATCH($C10,PriceBook!$B$2:$B$203,0)),0)</f>
        <v/>
      </c>
      <c r="L10" s="323" t="n"/>
      <c r="M10" s="325">
        <f>IF($E10&lt;&gt;"power_cabinet",0,IFERROR(INDEX(SPEC_MAXDISP,MATCH($C10,SPEC_SKU,0)),0))</f>
        <v/>
      </c>
      <c r="N10" s="327" t="n"/>
      <c r="O10" s="327" t="n"/>
      <c r="P10" s="329">
        <f>IF($L10="",0,IFERROR(INDEX(PriceBook!$D$2:$D$203,MATCH($L10,PriceBook!$B$2:$B$203,0)),0))</f>
        <v/>
      </c>
    </row>
    <row r="11" ht="25.5" customHeight="1" s="252">
      <c r="A11" s="322" t="n">
        <v>5</v>
      </c>
      <c r="B11" s="323" t="n"/>
      <c r="C11" s="323" t="n"/>
      <c r="D11" s="505">
        <f>IFERROR(INDEX(PriceBook!$C$2:$C$203,MATCH($C11,PriceBook!$B$2:$B$203,0)),"")</f>
        <v/>
      </c>
      <c r="E11" s="505">
        <f>IF($C11="","",IFERROR(INDEX(ROLE_VAL,MATCH($C11,ROLE_SKU,0)),"all_in_one"))</f>
        <v/>
      </c>
      <c r="F11" s="325">
        <f>IF($C11="",0,IFERROR(INDEX(SPEC_DCKW,MATCH($C11,SPEC_SKU,0)),IF($E11="dispenser",0,IF($E11="accessory",0,IFERROR(IF(N(INDEX(PriceBook!$E$2:$E$203,MATCH($C11,PriceBook!$B$2:$B$203,0)))&gt;0,INDEX(PriceBook!$E$2:$E$203,MATCH($C11,PriceBook!$B$2:$B$203,0)),INDEX(RATED_KW,MATCH($B11,CAPACITY_LIST,0))*IF(INDEX(PER_PORT,MATCH($B11,CAPACITY_LIST,0))=1,MAX(1,N($H11)),1)),0)))))</f>
        <v/>
      </c>
      <c r="G11" s="326">
        <f>IF($C11="",0,IFERROR(INDEX(SPEC_ACKW,MATCH($C11,SPEC_SKU,0)),$F11))</f>
        <v/>
      </c>
      <c r="H11" s="325">
        <f>IF($C11="",0,IF($E11="power_cabinet",N($N11)*N($O11),IFERROR(INDEX(SPEC_OUTS,MATCH($C11,SPEC_SKU,0)),IFERROR(INDEX(SKU_CONN,MATCH($C11,SKU_ALL,0)),0))))</f>
        <v/>
      </c>
      <c r="I11" s="327" t="n"/>
      <c r="J11" s="328" t="n"/>
      <c r="K11" s="329">
        <f>IFERROR(INDEX(PriceBook!$D$2:$D$203,MATCH($C11,PriceBook!$B$2:$B$203,0)),0)</f>
        <v/>
      </c>
      <c r="L11" s="323" t="n"/>
      <c r="M11" s="325">
        <f>IF($E11&lt;&gt;"power_cabinet",0,IFERROR(INDEX(SPEC_MAXDISP,MATCH($C11,SPEC_SKU,0)),0))</f>
        <v/>
      </c>
      <c r="N11" s="327" t="n"/>
      <c r="O11" s="327" t="n"/>
      <c r="P11" s="329">
        <f>IF($L11="",0,IFERROR(INDEX(PriceBook!$D$2:$D$203,MATCH($L11,PriceBook!$B$2:$B$203,0)),0))</f>
        <v/>
      </c>
    </row>
    <row r="12" ht="25.5" customHeight="1" s="252">
      <c r="A12" s="322" t="n">
        <v>6</v>
      </c>
      <c r="B12" s="323" t="n"/>
      <c r="C12" s="323" t="n"/>
      <c r="D12" s="505">
        <f>IFERROR(INDEX(PriceBook!$C$2:$C$203,MATCH($C12,PriceBook!$B$2:$B$203,0)),"")</f>
        <v/>
      </c>
      <c r="E12" s="505">
        <f>IF($C12="","",IFERROR(INDEX(ROLE_VAL,MATCH($C12,ROLE_SKU,0)),"all_in_one"))</f>
        <v/>
      </c>
      <c r="F12" s="325">
        <f>IF($C12="",0,IFERROR(INDEX(SPEC_DCKW,MATCH($C12,SPEC_SKU,0)),IF($E12="dispenser",0,IF($E12="accessory",0,IFERROR(IF(N(INDEX(PriceBook!$E$2:$E$203,MATCH($C12,PriceBook!$B$2:$B$203,0)))&gt;0,INDEX(PriceBook!$E$2:$E$203,MATCH($C12,PriceBook!$B$2:$B$203,0)),INDEX(RATED_KW,MATCH($B12,CAPACITY_LIST,0))*IF(INDEX(PER_PORT,MATCH($B12,CAPACITY_LIST,0))=1,MAX(1,N($H12)),1)),0)))))</f>
        <v/>
      </c>
      <c r="G12" s="326">
        <f>IF($C12="",0,IFERROR(INDEX(SPEC_ACKW,MATCH($C12,SPEC_SKU,0)),$F12))</f>
        <v/>
      </c>
      <c r="H12" s="325">
        <f>IF($C12="",0,IF($E12="power_cabinet",N($N12)*N($O12),IFERROR(INDEX(SPEC_OUTS,MATCH($C12,SPEC_SKU,0)),IFERROR(INDEX(SKU_CONN,MATCH($C12,SKU_ALL,0)),0))))</f>
        <v/>
      </c>
      <c r="I12" s="327" t="n"/>
      <c r="J12" s="328" t="n"/>
      <c r="K12" s="329">
        <f>IFERROR(INDEX(PriceBook!$D$2:$D$203,MATCH($C12,PriceBook!$B$2:$B$203,0)),0)</f>
        <v/>
      </c>
      <c r="L12" s="323" t="n"/>
      <c r="M12" s="325">
        <f>IF($E12&lt;&gt;"power_cabinet",0,IFERROR(INDEX(SPEC_MAXDISP,MATCH($C12,SPEC_SKU,0)),0))</f>
        <v/>
      </c>
      <c r="N12" s="327" t="n"/>
      <c r="O12" s="327" t="n"/>
      <c r="P12" s="329">
        <f>IF($L12="",0,IFERROR(INDEX(PriceBook!$D$2:$D$203,MATCH($L12,PriceBook!$B$2:$B$203,0)),0))</f>
        <v/>
      </c>
    </row>
    <row r="13" ht="25.5" customHeight="1" s="252">
      <c r="A13" s="322" t="n">
        <v>7</v>
      </c>
      <c r="B13" s="323" t="n"/>
      <c r="C13" s="323" t="n"/>
      <c r="D13" s="505">
        <f>IFERROR(INDEX(PriceBook!$C$2:$C$203,MATCH($C13,PriceBook!$B$2:$B$203,0)),"")</f>
        <v/>
      </c>
      <c r="E13" s="505">
        <f>IF($C13="","",IFERROR(INDEX(ROLE_VAL,MATCH($C13,ROLE_SKU,0)),"all_in_one"))</f>
        <v/>
      </c>
      <c r="F13" s="325">
        <f>IF($C13="",0,IFERROR(INDEX(SPEC_DCKW,MATCH($C13,SPEC_SKU,0)),IF($E13="dispenser",0,IF($E13="accessory",0,IFERROR(IF(N(INDEX(PriceBook!$E$2:$E$203,MATCH($C13,PriceBook!$B$2:$B$203,0)))&gt;0,INDEX(PriceBook!$E$2:$E$203,MATCH($C13,PriceBook!$B$2:$B$203,0)),INDEX(RATED_KW,MATCH($B13,CAPACITY_LIST,0))*IF(INDEX(PER_PORT,MATCH($B13,CAPACITY_LIST,0))=1,MAX(1,N($H13)),1)),0)))))</f>
        <v/>
      </c>
      <c r="G13" s="326">
        <f>IF($C13="",0,IFERROR(INDEX(SPEC_ACKW,MATCH($C13,SPEC_SKU,0)),$F13))</f>
        <v/>
      </c>
      <c r="H13" s="325">
        <f>IF($C13="",0,IF($E13="power_cabinet",N($N13)*N($O13),IFERROR(INDEX(SPEC_OUTS,MATCH($C13,SPEC_SKU,0)),IFERROR(INDEX(SKU_CONN,MATCH($C13,SKU_ALL,0)),0))))</f>
        <v/>
      </c>
      <c r="I13" s="327" t="n"/>
      <c r="J13" s="328" t="n"/>
      <c r="K13" s="329">
        <f>IFERROR(INDEX(PriceBook!$D$2:$D$203,MATCH($C13,PriceBook!$B$2:$B$203,0)),0)</f>
        <v/>
      </c>
      <c r="L13" s="323" t="n"/>
      <c r="M13" s="325">
        <f>IF($E13&lt;&gt;"power_cabinet",0,IFERROR(INDEX(SPEC_MAXDISP,MATCH($C13,SPEC_SKU,0)),0))</f>
        <v/>
      </c>
      <c r="N13" s="327" t="n"/>
      <c r="O13" s="327" t="n"/>
      <c r="P13" s="329">
        <f>IF($L13="",0,IFERROR(INDEX(PriceBook!$D$2:$D$203,MATCH($L13,PriceBook!$B$2:$B$203,0)),0))</f>
        <v/>
      </c>
    </row>
    <row r="14" ht="25.5" customHeight="1" s="252">
      <c r="A14" s="322" t="n">
        <v>8</v>
      </c>
      <c r="B14" s="323" t="n"/>
      <c r="C14" s="323" t="n"/>
      <c r="D14" s="505">
        <f>IFERROR(INDEX(PriceBook!$C$2:$C$203,MATCH($C14,PriceBook!$B$2:$B$203,0)),"")</f>
        <v/>
      </c>
      <c r="E14" s="505">
        <f>IF($C14="","",IFERROR(INDEX(ROLE_VAL,MATCH($C14,ROLE_SKU,0)),"all_in_one"))</f>
        <v/>
      </c>
      <c r="F14" s="325">
        <f>IF($C14="",0,IFERROR(INDEX(SPEC_DCKW,MATCH($C14,SPEC_SKU,0)),IF($E14="dispenser",0,IF($E14="accessory",0,IFERROR(IF(N(INDEX(PriceBook!$E$2:$E$203,MATCH($C14,PriceBook!$B$2:$B$203,0)))&gt;0,INDEX(PriceBook!$E$2:$E$203,MATCH($C14,PriceBook!$B$2:$B$203,0)),INDEX(RATED_KW,MATCH($B14,CAPACITY_LIST,0))*IF(INDEX(PER_PORT,MATCH($B14,CAPACITY_LIST,0))=1,MAX(1,N($H14)),1)),0)))))</f>
        <v/>
      </c>
      <c r="G14" s="326">
        <f>IF($C14="",0,IFERROR(INDEX(SPEC_ACKW,MATCH($C14,SPEC_SKU,0)),$F14))</f>
        <v/>
      </c>
      <c r="H14" s="325">
        <f>IF($C14="",0,IF($E14="power_cabinet",N($N14)*N($O14),IFERROR(INDEX(SPEC_OUTS,MATCH($C14,SPEC_SKU,0)),IFERROR(INDEX(SKU_CONN,MATCH($C14,SKU_ALL,0)),0))))</f>
        <v/>
      </c>
      <c r="I14" s="327" t="n"/>
      <c r="J14" s="328" t="n"/>
      <c r="K14" s="329">
        <f>IFERROR(INDEX(PriceBook!$D$2:$D$203,MATCH($C14,PriceBook!$B$2:$B$203,0)),0)</f>
        <v/>
      </c>
      <c r="L14" s="323" t="n"/>
      <c r="M14" s="325">
        <f>IF($E14&lt;&gt;"power_cabinet",0,IFERROR(INDEX(SPEC_MAXDISP,MATCH($C14,SPEC_SKU,0)),0))</f>
        <v/>
      </c>
      <c r="N14" s="327" t="n"/>
      <c r="O14" s="327" t="n"/>
      <c r="P14" s="329">
        <f>IF($L14="",0,IFERROR(INDEX(PriceBook!$D$2:$D$203,MATCH($L14,PriceBook!$B$2:$B$203,0)),0))</f>
        <v/>
      </c>
    </row>
    <row r="15" ht="25.5" customHeight="1" s="252">
      <c r="A15" s="322" t="n">
        <v>9</v>
      </c>
      <c r="B15" s="323" t="n"/>
      <c r="C15" s="323" t="n"/>
      <c r="D15" s="505">
        <f>IFERROR(INDEX(PriceBook!$C$2:$C$203,MATCH($C15,PriceBook!$B$2:$B$203,0)),"")</f>
        <v/>
      </c>
      <c r="E15" s="505">
        <f>IF($C15="","",IFERROR(INDEX(ROLE_VAL,MATCH($C15,ROLE_SKU,0)),"all_in_one"))</f>
        <v/>
      </c>
      <c r="F15" s="325">
        <f>IF($C15="",0,IFERROR(INDEX(SPEC_DCKW,MATCH($C15,SPEC_SKU,0)),IF($E15="dispenser",0,IF($E15="accessory",0,IFERROR(IF(N(INDEX(PriceBook!$E$2:$E$203,MATCH($C15,PriceBook!$B$2:$B$203,0)))&gt;0,INDEX(PriceBook!$E$2:$E$203,MATCH($C15,PriceBook!$B$2:$B$203,0)),INDEX(RATED_KW,MATCH($B15,CAPACITY_LIST,0))*IF(INDEX(PER_PORT,MATCH($B15,CAPACITY_LIST,0))=1,MAX(1,N($H15)),1)),0)))))</f>
        <v/>
      </c>
      <c r="G15" s="326">
        <f>IF($C15="",0,IFERROR(INDEX(SPEC_ACKW,MATCH($C15,SPEC_SKU,0)),$F15))</f>
        <v/>
      </c>
      <c r="H15" s="325">
        <f>IF($C15="",0,IF($E15="power_cabinet",N($N15)*N($O15),IFERROR(INDEX(SPEC_OUTS,MATCH($C15,SPEC_SKU,0)),IFERROR(INDEX(SKU_CONN,MATCH($C15,SKU_ALL,0)),0))))</f>
        <v/>
      </c>
      <c r="I15" s="327" t="n"/>
      <c r="J15" s="328" t="n"/>
      <c r="K15" s="329">
        <f>IFERROR(INDEX(PriceBook!$D$2:$D$203,MATCH($C15,PriceBook!$B$2:$B$203,0)),0)</f>
        <v/>
      </c>
      <c r="L15" s="323" t="n"/>
      <c r="M15" s="325">
        <f>IF($E15&lt;&gt;"power_cabinet",0,IFERROR(INDEX(SPEC_MAXDISP,MATCH($C15,SPEC_SKU,0)),0))</f>
        <v/>
      </c>
      <c r="N15" s="327" t="n"/>
      <c r="O15" s="327" t="n"/>
      <c r="P15" s="329">
        <f>IF($L15="",0,IFERROR(INDEX(PriceBook!$D$2:$D$203,MATCH($L15,PriceBook!$B$2:$B$203,0)),0))</f>
        <v/>
      </c>
    </row>
    <row r="16" ht="25.5" customHeight="1" s="252">
      <c r="A16" s="322" t="n">
        <v>10</v>
      </c>
      <c r="B16" s="323" t="n"/>
      <c r="C16" s="323" t="n"/>
      <c r="D16" s="505">
        <f>IFERROR(INDEX(PriceBook!$C$2:$C$203,MATCH($C16,PriceBook!$B$2:$B$203,0)),"")</f>
        <v/>
      </c>
      <c r="E16" s="505">
        <f>IF($C16="","",IFERROR(INDEX(ROLE_VAL,MATCH($C16,ROLE_SKU,0)),"all_in_one"))</f>
        <v/>
      </c>
      <c r="F16" s="325">
        <f>IF($C16="",0,IFERROR(INDEX(SPEC_DCKW,MATCH($C16,SPEC_SKU,0)),IF($E16="dispenser",0,IF($E16="accessory",0,IFERROR(IF(N(INDEX(PriceBook!$E$2:$E$203,MATCH($C16,PriceBook!$B$2:$B$203,0)))&gt;0,INDEX(PriceBook!$E$2:$E$203,MATCH($C16,PriceBook!$B$2:$B$203,0)),INDEX(RATED_KW,MATCH($B16,CAPACITY_LIST,0))*IF(INDEX(PER_PORT,MATCH($B16,CAPACITY_LIST,0))=1,MAX(1,N($H16)),1)),0)))))</f>
        <v/>
      </c>
      <c r="G16" s="326">
        <f>IF($C16="",0,IFERROR(INDEX(SPEC_ACKW,MATCH($C16,SPEC_SKU,0)),$F16))</f>
        <v/>
      </c>
      <c r="H16" s="325">
        <f>IF($C16="",0,IF($E16="power_cabinet",N($N16)*N($O16),IFERROR(INDEX(SPEC_OUTS,MATCH($C16,SPEC_SKU,0)),IFERROR(INDEX(SKU_CONN,MATCH($C16,SKU_ALL,0)),0))))</f>
        <v/>
      </c>
      <c r="I16" s="327" t="n"/>
      <c r="J16" s="328" t="n"/>
      <c r="K16" s="329">
        <f>IFERROR(INDEX(PriceBook!$D$2:$D$203,MATCH($C16,PriceBook!$B$2:$B$203,0)),0)</f>
        <v/>
      </c>
      <c r="L16" s="323" t="n"/>
      <c r="M16" s="325">
        <f>IF($E16&lt;&gt;"power_cabinet",0,IFERROR(INDEX(SPEC_MAXDISP,MATCH($C16,SPEC_SKU,0)),0))</f>
        <v/>
      </c>
      <c r="N16" s="327" t="n"/>
      <c r="O16" s="327" t="n"/>
      <c r="P16" s="329">
        <f>IF($L16="",0,IFERROR(INDEX(PriceBook!$D$2:$D$203,MATCH($L16,PriceBook!$B$2:$B$203,0)),0))</f>
        <v/>
      </c>
    </row>
    <row r="17" ht="25.5" customHeight="1" s="252">
      <c r="A17" s="322" t="n">
        <v>11</v>
      </c>
      <c r="B17" s="323" t="n"/>
      <c r="C17" s="323" t="n"/>
      <c r="D17" s="505">
        <f>IFERROR(INDEX(PriceBook!$C$2:$C$203,MATCH($C17,PriceBook!$B$2:$B$203,0)),"")</f>
        <v/>
      </c>
      <c r="E17" s="505">
        <f>IF($C17="","",IFERROR(INDEX(ROLE_VAL,MATCH($C17,ROLE_SKU,0)),"all_in_one"))</f>
        <v/>
      </c>
      <c r="F17" s="325">
        <f>IF($C17="",0,IFERROR(INDEX(SPEC_DCKW,MATCH($C17,SPEC_SKU,0)),IF($E17="dispenser",0,IF($E17="accessory",0,IFERROR(IF(N(INDEX(PriceBook!$E$2:$E$203,MATCH($C17,PriceBook!$B$2:$B$203,0)))&gt;0,INDEX(PriceBook!$E$2:$E$203,MATCH($C17,PriceBook!$B$2:$B$203,0)),INDEX(RATED_KW,MATCH($B17,CAPACITY_LIST,0))*IF(INDEX(PER_PORT,MATCH($B17,CAPACITY_LIST,0))=1,MAX(1,N($H17)),1)),0)))))</f>
        <v/>
      </c>
      <c r="G17" s="326">
        <f>IF($C17="",0,IFERROR(INDEX(SPEC_ACKW,MATCH($C17,SPEC_SKU,0)),$F17))</f>
        <v/>
      </c>
      <c r="H17" s="325">
        <f>IF($C17="",0,IF($E17="power_cabinet",N($N17)*N($O17),IFERROR(INDEX(SPEC_OUTS,MATCH($C17,SPEC_SKU,0)),IFERROR(INDEX(SKU_CONN,MATCH($C17,SKU_ALL,0)),0))))</f>
        <v/>
      </c>
      <c r="I17" s="327" t="n"/>
      <c r="J17" s="328" t="n"/>
      <c r="K17" s="329">
        <f>IFERROR(INDEX(PriceBook!$D$2:$D$203,MATCH($C17,PriceBook!$B$2:$B$203,0)),0)</f>
        <v/>
      </c>
      <c r="L17" s="323" t="n"/>
      <c r="M17" s="325">
        <f>IF($E17&lt;&gt;"power_cabinet",0,IFERROR(INDEX(SPEC_MAXDISP,MATCH($C17,SPEC_SKU,0)),0))</f>
        <v/>
      </c>
      <c r="N17" s="327" t="n"/>
      <c r="O17" s="327" t="n"/>
      <c r="P17" s="329">
        <f>IF($L17="",0,IFERROR(INDEX(PriceBook!$D$2:$D$203,MATCH($L17,PriceBook!$B$2:$B$203,0)),0))</f>
        <v/>
      </c>
    </row>
    <row r="18" ht="25.5" customHeight="1" s="252">
      <c r="A18" s="322" t="n">
        <v>12</v>
      </c>
      <c r="B18" s="323" t="n"/>
      <c r="C18" s="323" t="n"/>
      <c r="D18" s="505">
        <f>IFERROR(INDEX(PriceBook!$C$2:$C$203,MATCH($C18,PriceBook!$B$2:$B$203,0)),"")</f>
        <v/>
      </c>
      <c r="E18" s="505">
        <f>IF($C18="","",IFERROR(INDEX(ROLE_VAL,MATCH($C18,ROLE_SKU,0)),"all_in_one"))</f>
        <v/>
      </c>
      <c r="F18" s="325">
        <f>IF($C18="",0,IFERROR(INDEX(SPEC_DCKW,MATCH($C18,SPEC_SKU,0)),IF($E18="dispenser",0,IF($E18="accessory",0,IFERROR(IF(N(INDEX(PriceBook!$E$2:$E$203,MATCH($C18,PriceBook!$B$2:$B$203,0)))&gt;0,INDEX(PriceBook!$E$2:$E$203,MATCH($C18,PriceBook!$B$2:$B$203,0)),INDEX(RATED_KW,MATCH($B18,CAPACITY_LIST,0))*IF(INDEX(PER_PORT,MATCH($B18,CAPACITY_LIST,0))=1,MAX(1,N($H18)),1)),0)))))</f>
        <v/>
      </c>
      <c r="G18" s="326">
        <f>IF($C18="",0,IFERROR(INDEX(SPEC_ACKW,MATCH($C18,SPEC_SKU,0)),$F18))</f>
        <v/>
      </c>
      <c r="H18" s="325">
        <f>IF($C18="",0,IF($E18="power_cabinet",N($N18)*N($O18),IFERROR(INDEX(SPEC_OUTS,MATCH($C18,SPEC_SKU,0)),IFERROR(INDEX(SKU_CONN,MATCH($C18,SKU_ALL,0)),0))))</f>
        <v/>
      </c>
      <c r="I18" s="327" t="n"/>
      <c r="J18" s="328" t="n"/>
      <c r="K18" s="329">
        <f>IFERROR(INDEX(PriceBook!$D$2:$D$203,MATCH($C18,PriceBook!$B$2:$B$203,0)),0)</f>
        <v/>
      </c>
      <c r="L18" s="323" t="n"/>
      <c r="M18" s="325">
        <f>IF($E18&lt;&gt;"power_cabinet",0,IFERROR(INDEX(SPEC_MAXDISP,MATCH($C18,SPEC_SKU,0)),0))</f>
        <v/>
      </c>
      <c r="N18" s="327" t="n"/>
      <c r="O18" s="327" t="n"/>
      <c r="P18" s="329">
        <f>IF($L18="",0,IFERROR(INDEX(PriceBook!$D$2:$D$203,MATCH($L18,PriceBook!$B$2:$B$203,0)),0))</f>
        <v/>
      </c>
    </row>
    <row r="20" ht="20" customHeight="1" s="252">
      <c r="A20" s="261" t="inlineStr">
        <is>
          <t>Charging units (excludes accessories)</t>
        </is>
      </c>
      <c r="B20" s="330">
        <f>SUMPRODUCT(--($H$7:$H$18&gt;0),$I$7:$I$18)</f>
        <v/>
      </c>
      <c r="C20" s="321" t="inlineStr">
        <is>
          <t>Units a driver plugs into — dispensers, all-in-one chargers and Level 2. A power cabinet has no connectors and is not one.</t>
        </is>
      </c>
    </row>
    <row r="21" ht="32" customHeight="1" s="252">
      <c r="A21" s="261" t="inlineStr">
        <is>
          <t>AC-connected units — cabinets and all-in-ones</t>
        </is>
      </c>
      <c r="B21" s="330">
        <f>SUMPRODUCT(($E$7:$E$18="power_cabinet")+($E$7:$E$18="all_in_one"),$I$7:$I$18)</f>
        <v/>
      </c>
      <c r="C21" s="321" t="inlineStr">
        <is>
          <t>Each of these needs its own AC run from the switchgear, and a placement distance on the Electrical tab.</t>
        </is>
      </c>
    </row>
    <row r="22" ht="20" customHeight="1" s="252">
      <c r="A22" s="261" t="inlineStr">
        <is>
          <t>Total ports</t>
        </is>
      </c>
      <c r="B22" s="330">
        <f>SUMPRODUCT($H$7:$H$18,$I$7:$I$18)</f>
        <v/>
      </c>
      <c r="C22" s="321" t="inlineStr">
        <is>
          <t>Connectors x units. The EVOLV billing basis. Dispensers carry the ports on a distributed system; the cabinet carries none.</t>
        </is>
      </c>
    </row>
    <row r="23" ht="20" customHeight="1" s="252">
      <c r="A23" s="261" t="inlineStr">
        <is>
          <t>Total connected load (kW)</t>
        </is>
      </c>
      <c r="B23" s="330">
        <f>SUMPRODUCT(($E$7:$E$18="power_cabinet")+($E$7:$E$18="all_in_one")+($E$7:$E$18="level_2"),$G$7:$G$18,$I$7:$I$18)</f>
        <v/>
      </c>
      <c r="C23" s="321" t="inlineStr">
        <is>
          <t>AC input, which is what the switchgear sees — a 480 kW cabinet draws 524 kW. Dispensers add nothing: their power comes from the cabinet, not the switchgear.</t>
        </is>
      </c>
    </row>
    <row r="24" ht="32" customHeight="1" s="252">
      <c r="A24" s="261" t="inlineStr">
        <is>
          <t>Equipment MSRP total</t>
        </is>
      </c>
      <c r="B24" s="331">
        <f>SUMPRODUCT($I$7:$I$18,$K$7:$K$18)+SUMPRODUCT($I$7:$I$18,$N$7:$N$18,$P$7:$P$18)</f>
        <v/>
      </c>
      <c r="C24" s="332" t="inlineStr">
        <is>
          <t>Catalogue SKUs at their price-book price, plus any dispensers priced by hand on the cabinet row.</t>
        </is>
      </c>
    </row>
    <row r="25" ht="20" customHeight="1" s="252">
      <c r="A25" s="261" t="inlineStr">
        <is>
          <t>Equipment after discount</t>
        </is>
      </c>
      <c r="B25" s="331">
        <f>$B$24*(1-Commercial!$B$5)</f>
        <v/>
      </c>
      <c r="C25" s="321" t="inlineStr">
        <is>
          <t>Sales tax is computed on THIS, not on MSRP. The discount is the one on the Commercial tab — there is no per-line discount any more.</t>
        </is>
      </c>
    </row>
    <row r="26" ht="32" customHeight="1" s="252">
      <c r="A26" s="255" t="inlineStr">
        <is>
          <t>of which DC fast-charging capacity (kW)</t>
        </is>
      </c>
      <c r="B26" s="333">
        <f>SUMPRODUCT(($E$7:$E$18="power_cabinet")+($E$7:$E$18="all_in_one"),$F$7:$F$18,$I$7:$I$18)</f>
        <v/>
      </c>
      <c r="C26" s="334" t="inlineStr">
        <is>
          <t>DC output. The LCFS credit basis. Counted once, at the cabinet — never again at the dispenser.</t>
        </is>
      </c>
    </row>
    <row r="27" ht="32" customHeight="1" s="252">
      <c r="A27" s="335" t="inlineStr">
        <is>
          <t>Scope of work sentence (one line, must match the rows above)</t>
        </is>
      </c>
      <c r="B27" s="251" t="inlineStr">
        <is>
          <t>Installation of (4) 360 kW dual-port DC fast chargers and (2) dual Level 2 units — 12 charging positions</t>
        </is>
      </c>
    </row>
    <row r="28" ht="14.25" customHeight="1" s="252">
      <c r="A28" s="336" t="n"/>
      <c r="B28" s="336" t="n"/>
      <c r="C28" s="336" t="n"/>
      <c r="D28" s="336" t="n"/>
      <c r="E28" s="336" t="n"/>
      <c r="F28" s="336" t="n"/>
      <c r="G28" s="336" t="n"/>
      <c r="H28" s="336" t="n"/>
      <c r="I28" s="336" t="n"/>
      <c r="J28" s="336" t="n"/>
      <c r="K28" s="336" t="n"/>
      <c r="L28" s="336" t="n"/>
      <c r="M28" s="336" t="n"/>
      <c r="N28" s="336" t="n"/>
      <c r="O28" s="336" t="n"/>
      <c r="P28" s="336" t="n"/>
    </row>
    <row r="29" ht="32" customHeight="1" s="252">
      <c r="B29" s="321" t="inlineStr">
        <is>
          <t>Write it from the table, e.g. "Installation of (4) 360 kW dual-port DC fast chargers — 8 charging positions".</t>
        </is>
      </c>
    </row>
    <row r="32" ht="32" customHeight="1" s="252">
      <c r="A32" s="335" t="inlineStr">
        <is>
          <t>Distributed system — do the dispensers fit the cabinets?</t>
        </is>
      </c>
    </row>
    <row r="33" ht="32" customHeight="1" s="252">
      <c r="A33" s="283" t="inlineStr">
        <is>
          <t>Only relevant when a power cabinet is on the schedule. A cabinet feeds a limited number of DC outputs; each dual dispenser consumes two of them. Every dispenser also needs a DC run back to its cabinet — schedule those on the Electrical tab.</t>
        </is>
      </c>
    </row>
    <row r="34" ht="24" customHeight="1" s="252">
      <c r="A34" s="337" t="inlineStr">
        <is>
          <t>Power cabinets on site</t>
        </is>
      </c>
      <c r="B34" s="337">
        <f>SUMPRODUCT(--($E$7:$E$18="power_cabinet"),$I$7:$I$18)</f>
        <v/>
      </c>
    </row>
    <row r="35" ht="20" customHeight="1" s="252">
      <c r="A35" s="337" t="inlineStr">
        <is>
          <t>Dispensers those cabinets can take</t>
        </is>
      </c>
      <c r="B35" s="337">
        <f>SUMPRODUCT($M$7:$M$18,$I$7:$I$18)</f>
        <v/>
      </c>
      <c r="C35" s="338" t="inlineStr">
        <is>
          <t>From the architecture table: a 480 kW cabinet takes up to 3 dual dispensers, a 1.28 MW up to 8.</t>
        </is>
      </c>
    </row>
    <row r="36" ht="20" customHeight="1" s="252">
      <c r="A36" s="337" t="inlineStr">
        <is>
          <t>Dispensers on the cabinet rows</t>
        </is>
      </c>
      <c r="B36" s="337">
        <f>SUMPRODUCT(--($E$7:$E$18="power_cabinet"),$N$7:$N$18,$I$7:$I$18)</f>
        <v/>
      </c>
      <c r="C36" s="338" t="inlineStr">
        <is>
          <t>Dispensers per cabinet x the number of cabinets. This is now the only way a dispenser is entered.</t>
        </is>
      </c>
    </row>
    <row r="37" ht="20" customHeight="1" s="252">
      <c r="A37" s="337" t="inlineStr">
        <is>
          <t>Dispensers entered on a line of their own</t>
        </is>
      </c>
      <c r="B37" s="337">
        <f>SUMPRODUCT(--($E$7:$E$18="dispenser"),$I$7:$I$18)</f>
        <v/>
      </c>
      <c r="C37" s="338" t="inlineStr">
        <is>
          <t>Should always be zero. A dispenser belongs on its cabinet row, not on a line of its own.</t>
        </is>
      </c>
    </row>
    <row r="38" ht="24" customHeight="1" s="252">
      <c r="A38" s="339" t="inlineStr">
        <is>
          <t>Dispensers in total</t>
        </is>
      </c>
      <c r="B38" s="339">
        <f>$B$36+$B$37</f>
        <v/>
      </c>
    </row>
    <row r="39" ht="24" customHeight="1" s="252">
      <c r="A39" s="337" t="inlineStr">
        <is>
          <t>Connectors those dispensers carry</t>
        </is>
      </c>
      <c r="B39" s="337">
        <f>SUMPRODUCT(--($E$7:$E$18="power_cabinet"),$H$7:$H$18,$I$7:$I$18)</f>
        <v/>
      </c>
    </row>
    <row r="40" ht="20" customHeight="1" s="252">
      <c r="A40" s="339" t="inlineStr">
        <is>
          <t>DISTRIBUTED SYSTEM CHECK</t>
        </is>
      </c>
      <c r="B40" s="340">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row>
    <row r="41" ht="20" customHeight="1" s="252">
      <c r="A41" s="337" t="inlineStr">
        <is>
          <t>Dispenser value at list</t>
        </is>
      </c>
      <c r="B41" s="341">
        <f>SUMPRODUCT($I$7:$I$18,$N$7:$N$18,$P$7:$P$18)</f>
        <v/>
      </c>
      <c r="C41" s="338" t="inlineStr">
        <is>
          <t>Dispensers x their price-book price. Included in the two equipment totals above.</t>
        </is>
      </c>
    </row>
    <row r="42" ht="32" customHeight="1" s="252">
      <c r="A42" s="342" t="inlineStr">
        <is>
          <t>Is a dispenser SKU picked where dispensers are scheduled?</t>
        </is>
      </c>
      <c r="B42" s="343">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row>
    <row r="43" ht="32" customHeight="1" s="252">
      <c r="A43" s="337" t="inlineStr">
        <is>
          <t>Any dispenser on a line of its own?</t>
        </is>
      </c>
      <c r="B43" s="337">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367" t="inlineStr">
        <is>
          <t>It used to fire whenever a dispenser was on its own line at all, which is a legitimate entry now the dispenser SKU is in the price book. The thing that is actually wrong is using both routes, because the totals sum them.</t>
        </is>
      </c>
    </row>
    <row r="45" ht="14.25" customHeight="1" s="252"/>
    <row r="46" ht="27.75" customHeight="1" s="252">
      <c r="A46" s="344" t="inlineStr">
        <is>
          <t>ENTRY CHECKS — what a wrong entry looks like</t>
        </is>
      </c>
    </row>
    <row r="47" ht="20" customHeight="1" s="252">
      <c r="A47" s="283" t="inlineStr">
        <is>
          <t>Each of these is a real way to get a wrong answer out of this tab. None of them used to say anything.</t>
        </is>
      </c>
    </row>
    <row r="48" ht="20" customHeight="1" s="252">
      <c r="A48" s="337" t="inlineStr">
        <is>
          <t>Any discount typed on an equipment line?</t>
        </is>
      </c>
      <c r="B48" s="340">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row>
    <row r="49" ht="20" customHeight="1" s="252">
      <c r="A49" s="337" t="inlineStr">
        <is>
          <t>Dispensers counted twice?</t>
        </is>
      </c>
      <c r="B49" s="340">
        <f>IF(AND(SUMPRODUCT(--($E$7:$E$18="power_cabinet"),$N$7:$N$18)&gt;0,SUMPRODUCT(--($E$7:$E$18="dispenser"))&gt;0),"ERROR — DOUBLE COUNTED. Dispensers appear both on a cabinet row and on a line of their own. Delete the separate line; the cabinet row is the only place they belong.","OK — dispensers are entered one way only")</f>
        <v/>
      </c>
    </row>
    <row r="50" ht="20" customHeight="1" s="252">
      <c r="A50" s="337" t="inlineStr">
        <is>
          <t>Anything entered below the table?</t>
        </is>
      </c>
      <c r="B50" s="340">
        <f>IF(COUNTA($B$19:$C$19)&gt;0,"ERROR — SOMETHING IS ENTERED BELOW LINE 12. Every total on this tab covers rows 7 to 18 only, so a line entered underneath is not counted and not priced. Move it into the table.","OK — nothing entered below the table")</f>
        <v/>
      </c>
    </row>
    <row r="51" ht="20" customHeight="1" s="252">
      <c r="A51" s="337" t="inlineStr">
        <is>
          <t>Every SKU found in the price book?</t>
        </is>
      </c>
      <c r="B51" s="340">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row>
    <row r="52" ht="20" customHeight="1" s="252">
      <c r="A52" s="337" t="inlineStr">
        <is>
          <t>Every line with a SKU has a quantity?</t>
        </is>
      </c>
      <c r="B52" s="340">
        <f>IF(SUMPRODUCT(($C$7:$C$18&lt;&gt;"")*($I$7:$I$18=0))&gt;0,"ERROR — A LINE HAS A SKU BUT NO QUANTITY. Description, role, connectors and MSRP all populate from the SKU, so the line looks finished; quantity is what every total multiplies by, so it contributes nothing.","OK — every line with a SKU has a quantity")</f>
        <v/>
      </c>
    </row>
    <row r="53" ht="20" customHeight="1" s="252">
      <c r="A53" s="337" t="inlineStr">
        <is>
          <t>Every line with a capacity has a SKU?</t>
        </is>
      </c>
      <c r="B53" s="340">
        <f>IF(SUMPRODUCT(($B$7:$B$18&lt;&gt;"")*($C$7:$C$18=""))&gt;0,"INCOMPLETE — a capacity is picked on a line with no SKU. The line is inert until the SKU is chosen.","OK — every line with a capacity has a SKU")</f>
        <v/>
      </c>
    </row>
    <row r="54" ht="32" customHeight="1" s="252">
      <c r="A54" s="337" t="inlineStr">
        <is>
          <t>Every SKU has a connector count?</t>
        </is>
      </c>
      <c r="B54" s="265">
        <f>IF(COUNTA($C$7:$C$18)=0,"OK — nothing scheduled yet",IF(SUMPRODUCT(--($C$7:$C$18&lt;&gt;""),--($E$7:$E$18&lt;&gt;"accessory"),--($E$7:$E$18&lt;&gt;"power_cabinet"),--(H$7:H$18=0))&gt;0,"A SCHEDULED SKU HAS NO CONNECTOR COUNT — add it to the price book column I; the sheet will not guess","OK — every scheduled SKU carries a connector count"))</f>
        <v/>
      </c>
      <c r="C54" s="367" t="inlineStr">
        <is>
          <t>Power cabinets are exempt: their connectors are on their dispensers, which are scheduled separately. Accessories are exempt for the same reason — they are not charging positions.</t>
        </is>
      </c>
    </row>
    <row r="55" ht="20" customHeight="1" s="252">
      <c r="A55" s="340">
        <f>IF(SUMPRODUCT(--($B$43:$B$54&lt;&gt;""),--(LEFT($B$43:$B$54,2)&lt;&gt;"OK"))&gt;0,"FIX "&amp;TEXT(SUMPRODUCT(--($B$43:$B$54&lt;&gt;""),--(LEFT($B$43:$B$54,2)&lt;&gt;"OK")),"0")&amp;" ITEM(S) ABOVE — the equipment totals on this tab are wrong until you do","ENTRY CHECKS ALL PASS")</f>
        <v/>
      </c>
    </row>
  </sheetData>
  <mergeCells count="29">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6" bottom="0.6"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6.xml><?xml version="1.0" encoding="utf-8"?>
<worksheet xmlns="http://schemas.openxmlformats.org/spreadsheetml/2006/main">
  <sheetPr filterMode="0">
    <tabColor rgb="FF6B4C9A"/>
    <outlinePr summaryBelow="1" summaryRight="1"/>
    <pageSetUpPr fitToPage="1"/>
  </sheetPr>
  <dimension ref="A1:V216"/>
  <sheetViews>
    <sheetView showFormulas="0" showGridLines="0" showRowColHeaders="1" showZeros="1" rightToLeft="0" tabSelected="0" showOutlineSymbols="1" defaultGridColor="1" view="normal" topLeftCell="A85" colorId="64" zoomScale="110" zoomScaleNormal="110" zoomScalePageLayoutView="100" workbookViewId="0">
      <pane ySplit="2" topLeftCell="A3" activePane="bottomLeft" state="frozen"/>
      <selection pane="bottomLeft" activeCell="A85" activeCellId="0" sqref="A85"/>
      <selection pane="bottomLeft" activeCell="D93" activeCellId="0" sqref="D93"/>
    </sheetView>
  </sheetViews>
  <sheetFormatPr baseColWidth="8" defaultColWidth="8.66796875" defaultRowHeight="14.25" zeroHeight="0" outlineLevelRow="0"/>
  <cols>
    <col width="44" customWidth="1" style="251" min="1" max="1"/>
    <col width="41" customWidth="1" style="251" min="2" max="2"/>
    <col width="48" customWidth="1" style="251" min="3" max="4"/>
    <col width="34" customWidth="1" style="252" min="4" max="4"/>
    <col width="32.22" customWidth="1" style="251" min="5" max="5"/>
    <col width="34" customWidth="1" style="251" min="6" max="14"/>
    <col width="34" customWidth="1" style="252" min="7" max="7"/>
    <col width="34" customWidth="1" style="252" min="8" max="8"/>
    <col width="17" customWidth="1" style="252" min="9" max="9"/>
    <col width="17" customWidth="1" style="252" min="10" max="10"/>
    <col width="17" customWidth="1" style="252" min="11" max="11"/>
    <col width="17" customWidth="1" style="252" min="12" max="12"/>
    <col width="17" customWidth="1" style="252" min="13" max="13"/>
    <col width="17" customWidth="1" style="252" min="14" max="14"/>
    <col width="34" customWidth="1" style="251" min="15" max="15"/>
    <col width="17" customWidth="1" style="251" min="16" max="16"/>
    <col width="14" customWidth="1" style="251" min="17" max="17"/>
    <col width="15" customWidth="1" style="251" min="18" max="18"/>
    <col width="17" customWidth="1" style="251" min="19" max="21"/>
    <col width="17" customWidth="1" style="252" min="20" max="20"/>
    <col width="17" customWidth="1" style="252" min="21" max="21"/>
    <col width="14" customWidth="1" style="251" min="22" max="22"/>
  </cols>
  <sheetData>
    <row r="1" ht="25.5" customHeight="1" s="252">
      <c r="A1" s="253" t="inlineStr">
        <is>
          <t>3 · SITE AND ELECTRICAL</t>
        </is>
      </c>
    </row>
    <row r="2" ht="32" customHeight="1" s="252">
      <c r="A2" s="321" t="inlineStr">
        <is>
          <t>Distances and materials. This tab drives the largest single cost in the project.</t>
        </is>
      </c>
    </row>
    <row r="4" ht="15" customHeight="1" s="252">
      <c r="A4" s="502" t="inlineStr">
        <is>
          <t>Materials</t>
        </is>
      </c>
      <c r="E4" s="345" t="inlineStr">
        <is>
          <t>Conductor sizing basis</t>
        </is>
      </c>
    </row>
    <row r="5" ht="44" customHeight="1" s="252">
      <c r="A5" s="261" t="inlineStr">
        <is>
          <t>Feeder conductor material</t>
        </is>
      </c>
      <c r="B5" s="346" t="inlineStr">
        <is>
          <t>Cu</t>
        </is>
      </c>
      <c r="C5" s="264" t="inlineStr">
        <is>
          <t>Cu or Al</t>
        </is>
      </c>
      <c r="E5" s="505" t="inlineStr">
        <is>
          <t>Design ambient (C)</t>
        </is>
      </c>
      <c r="F5" s="327" t="n">
        <v>40</v>
      </c>
      <c r="G5" s="347" t="inlineStr">
        <is>
          <t>Design ambient for the branch runs, in Celsius. THIS IS SITE DATA — there is no house default and none is offered. Use the ASHRAE 2% design dry-bulb for the location, or the duct-bank design temperature if the run is buried. NEC Table 310.15(B)(1)(1) corrects the ampacity from it, so an ambient carried over from another project silently resizes every conductor on this one.</t>
        </is>
      </c>
      <c r="H5" s="297" t="n"/>
      <c r="I5" s="297" t="n"/>
      <c r="J5" s="297" t="n"/>
      <c r="K5" s="297" t="n"/>
      <c r="L5" s="297" t="n"/>
      <c r="M5" s="297" t="n"/>
      <c r="N5" s="297" t="n"/>
    </row>
    <row r="6" ht="20" customHeight="1" s="252">
      <c r="A6" s="261" t="inlineStr">
        <is>
          <t>Conduit type</t>
        </is>
      </c>
      <c r="B6" s="346" t="inlineStr">
        <is>
          <t>PVC</t>
        </is>
      </c>
      <c r="C6" s="264" t="inlineStr">
        <is>
          <t>PVC or EMT</t>
        </is>
      </c>
      <c r="E6" s="505" t="inlineStr">
        <is>
          <t>Conductor insulation rating (C)</t>
        </is>
      </c>
      <c r="F6" s="348" t="n">
        <v>90</v>
      </c>
      <c r="G6" s="349" t="inlineStr">
        <is>
          <t>What the wire is rated for. THHN/XHHW-2 is 90 C. Ambient correction is applied to THIS column.</t>
        </is>
      </c>
      <c r="H6" s="297" t="n"/>
      <c r="I6" s="297" t="n"/>
      <c r="J6" s="297" t="n"/>
      <c r="K6" s="297" t="n"/>
      <c r="L6" s="297" t="n"/>
      <c r="M6" s="297" t="n"/>
      <c r="N6" s="297" t="n"/>
    </row>
    <row r="7" ht="20" customHeight="1" s="252">
      <c r="A7" s="261" t="inlineStr">
        <is>
          <t>Trench surface</t>
        </is>
      </c>
      <c r="B7" s="346" t="inlineStr">
        <is>
          <t>Asphalt</t>
        </is>
      </c>
      <c r="C7" s="264" t="inlineStr">
        <is>
          <t>Asphalt / concrete / landscape / mixed</t>
        </is>
      </c>
      <c r="E7" s="505" t="inlineStr">
        <is>
          <t>Termination rating (C)</t>
        </is>
      </c>
      <c r="F7" s="348" t="n">
        <v>75</v>
      </c>
      <c r="G7" s="349" t="inlineStr">
        <is>
          <t>NEC 110.14(C). The corrected ampacity is capped here. Confirm against the switchgear and the cabinet terminals — 60 C lugs change every size on this tab.</t>
        </is>
      </c>
      <c r="H7" s="297" t="n"/>
      <c r="I7" s="297" t="n"/>
      <c r="J7" s="297" t="n"/>
      <c r="K7" s="297" t="n"/>
      <c r="L7" s="297" t="n"/>
      <c r="M7" s="297" t="n"/>
      <c r="N7" s="297" t="n"/>
    </row>
    <row r="8" ht="20" customHeight="1" s="252">
      <c r="A8" s="261" t="inlineStr">
        <is>
          <t>Trench depth (in)</t>
        </is>
      </c>
      <c r="B8" s="281" t="n">
        <v>24</v>
      </c>
      <c r="E8" s="505" t="inlineStr">
        <is>
          <t>Allowable voltage drop (%)</t>
        </is>
      </c>
      <c r="F8" s="350" t="n">
        <v>0.03</v>
      </c>
      <c r="G8" s="349" t="inlineStr">
        <is>
          <t>NEC treats voltage drop as an informational note, not a requirement. On a 300 ft feeder it is usually what decides the size.</t>
        </is>
      </c>
      <c r="H8" s="297" t="n"/>
      <c r="I8" s="297" t="n"/>
      <c r="J8" s="297" t="n"/>
      <c r="K8" s="297" t="n"/>
      <c r="L8" s="297" t="n"/>
      <c r="M8" s="297" t="n"/>
      <c r="N8" s="297" t="n"/>
    </row>
    <row r="10" ht="32" customHeight="1" s="252">
      <c r="A10" s="335" t="inlineStr">
        <is>
          <t>AC runs — switchgear to each charger: all-in-one units and power cabinets alike</t>
        </is>
      </c>
      <c r="C10" s="367" t="inlineStr">
        <is>
          <t>One feeder per AC-connected unit. An all-in-one charger and a power cabinet both take a feeder and both belong here; a DISPENSER does not — it takes DC from its cabinet and is scheduled in the DC runs block further down. The "What this run feeds" column below says which is which for every line.</t>
        </is>
      </c>
    </row>
    <row r="11" ht="32" customHeight="1" s="252">
      <c r="A11" s="351" t="inlineStr">
        <is>
          <t>Unit</t>
        </is>
      </c>
      <c r="B11" s="351" t="inlineStr">
        <is>
          <t>Equip. line</t>
        </is>
      </c>
      <c r="C11" s="351" t="inlineStr">
        <is>
          <t>AC input kW (auto)</t>
        </is>
      </c>
      <c r="D11" s="351" t="inlineStr">
        <is>
          <t>Distance from switchgear (ft)</t>
        </is>
      </c>
      <c r="E11" s="352" t="inlineStr">
        <is>
          <t>Design current A (auto)</t>
        </is>
      </c>
      <c r="F11" s="352" t="inlineStr">
        <is>
          <t>Continuous 125% A (auto)</t>
        </is>
      </c>
      <c r="G11" s="351" t="inlineStr">
        <is>
          <t>OCPD A (auto)</t>
        </is>
      </c>
      <c r="H11" s="352" t="inlineStr">
        <is>
          <t>Ampacity floor A (auto)</t>
        </is>
      </c>
      <c r="I11" s="352" t="inlineStr">
        <is>
          <t>Conductor size</t>
        </is>
      </c>
      <c r="J11" s="352" t="inlineStr">
        <is>
          <t>Sets in parallel</t>
        </is>
      </c>
      <c r="K11" s="352" t="inlineStr">
        <is>
          <t>Ampacity per set, corrected (auto)</t>
        </is>
      </c>
      <c r="L11" s="352" t="inlineStr">
        <is>
          <t>Provided A (auto)</t>
        </is>
      </c>
      <c r="M11" s="352" t="inlineStr">
        <is>
          <t>Voltage drop % (auto)</t>
        </is>
      </c>
      <c r="N11" s="352" t="inlineStr">
        <is>
          <t>Verdict (auto)</t>
        </is>
      </c>
      <c r="O11" s="351" t="inlineStr">
        <is>
          <t>Conduit size</t>
        </is>
      </c>
      <c r="P11" s="352" t="inlineStr">
        <is>
          <t>What this run feeds (auto)</t>
        </is>
      </c>
      <c r="Q11" s="352" t="inlineStr">
        <is>
          <t>Phase conductor (ft) (auto)</t>
        </is>
      </c>
      <c r="R11" s="352" t="inlineStr">
        <is>
          <t>Ground size (auto, 250.122)</t>
        </is>
      </c>
      <c r="S11" s="352" t="inlineStr">
        <is>
          <t>Ground (ft) (auto)</t>
        </is>
      </c>
      <c r="T11" s="352" t="inlineStr">
        <is>
          <t>Conduit (ft) (auto)</t>
        </is>
      </c>
      <c r="U11" s="352" t="inlineStr">
        <is>
          <t>Comms (ft) (auto)</t>
        </is>
      </c>
      <c r="V11" s="352" t="inlineStr">
        <is>
          <t>Material cost (auto)</t>
        </is>
      </c>
    </row>
    <row r="12" ht="46.5" customHeight="1" s="252">
      <c r="A12" s="505" t="inlineStr">
        <is>
          <t>Charger 1</t>
        </is>
      </c>
      <c r="B12" s="327" t="n">
        <v>1</v>
      </c>
      <c r="C12" s="353">
        <f>IF(N($B12)=0,"",IFERROR(INDEX(Equipment!$G$7:$G$18,MATCH($B12,Equipment!$A$7:$A$18,0)),""))</f>
        <v/>
      </c>
      <c r="D12" s="327" t="n">
        <v>80</v>
      </c>
      <c r="E12" s="354">
        <f>IF(N($C12)=0,"",N($C12)*1000/(Project!$B$29*SQRT(3)))</f>
        <v/>
      </c>
      <c r="F12" s="354">
        <f>IF(N($E12)=0,"",N($E12)*1.25)</f>
        <v/>
      </c>
      <c r="G12" s="354">
        <f>IF(N($F12)=0,"",IF(ISNUMBER(MATCH($F12,OCPD_LIST,0)),$F12,IF($F12&gt;MAX(OCPD_LIST),"ABOVE THE LARGEST STANDARD DEVICE",INDEX(OCPD_LIST,MATCH($F12,OCPD_LIST,1)+1))))</f>
        <v/>
      </c>
      <c r="H12" s="354">
        <f>IF(N($G12)=0,"",IF(N($G12)&gt;800,N($G12),N($F12)))</f>
        <v/>
      </c>
      <c r="I12" s="323" t="inlineStr">
        <is>
          <t>300 kcmil</t>
        </is>
      </c>
      <c r="J12" s="327" t="n">
        <v>2</v>
      </c>
      <c r="K12" s="354">
        <f>IF($I12="","",IFERROR(MIN(N(INDEX(AMP_TBL,MATCH($I12,AMP_SIZE,0),MATCH($B$5&amp;"-"&amp;TEXT($F$6,"0"),AMP_HDR,0)))*N(INDEX(AMB_TBL,IF(ISNUMBER(MATCH($F$5,AMB_MAX,0)),MATCH($F$5,AMB_MAX,0),MATCH($F$5,AMB_MAX,1)+1),MATCH(TEXT($F$6,"0"),AMB_HDR,0))),N(INDEX(AMP_TBL,MATCH($I12,AMP_SIZE,0),MATCH($B$5&amp;"-"&amp;TEXT($F$7,"0"),AMP_HDR,0)))),""))</f>
        <v/>
      </c>
      <c r="L12" s="354">
        <f>IF(N($K12)=0,"",N($K12)*MAX(1,N($J12)))</f>
        <v/>
      </c>
      <c r="M12" s="355">
        <f>IF(OR($I12="",N($D12)=0,N($E12)=0),"",IFERROR(SQRT(3)*N($E12)/MAX(1,N($J12))*N($D12)*N(INDEX(Z_TBL,MATCH($I12,Z_SIZE,0),IF($B$5="Cu",1,2)))/1000/Project!$B$29,""))</f>
        <v/>
      </c>
      <c r="N12" s="356">
        <f>IF(N($C12)=0,"",IF($I12="","pick a conductor size",IF($F$5="","SET THE DESIGN AMBIENT for this run — ampacity cannot be corrected without it, and this verdict cannot be trusted until it is set",IF(N($K12)=0,"no ampacity on file for that size — NEC Table 310.16 does not list it",IF(N($J12)=0,"enter the number of parallel sets",IF(N($L12)&lt;N($H12),"UNDERSIZED — "&amp;TEXT(N($L12),"#,##0")&amp;" A provided against a floor of "&amp;TEXT(N($H12),"#,##0")&amp;" A. NEC 240.4(C) applies above 800 A: the conductor carries the device, not the load.",IF(N($M12)&gt;N($F$8),"ampacity OK, but voltage drop "&amp;TEXT(N($M12),"0.00%")&amp;" exceeds the "&amp;TEXT($F$8,"0.0%")&amp;" allowance — ADVISORY, the impedance table is unverified","OK — "&amp;TEXT(N($L12),"#,##0")&amp;" A against a "&amp;TEXT(N($H12),"#,##0")&amp;" A floor; voltage drop "&amp;TEXT(N($M12),"0.00%")&amp;" (ADVISORY)")))))))</f>
        <v/>
      </c>
      <c r="O12" s="323" t="inlineStr">
        <is>
          <t>3"</t>
        </is>
      </c>
      <c r="P12" s="356">
        <f>IF($B12="","",IFERROR(IF(INDEX(Equipment!$E$7:$E$18,MATCH($B12,Equipment!$A$7:$A$18,0))="power_cabinet","power cabinet — dispensers run on from it",IF(INDEX(Equipment!$E$7:$E$18,MATCH($B12,Equipment!$A$7:$A$18,0))="dispenser","DISPENSER — this belongs in the DC runs block, not here",IF(INDEX(Equipment!$B$7:$B$18,MATCH($B12,Equipment!$A$7:$A$18,0))="Level 2 AC","Level 2 — use the Level 2 branch circuits block","all-in-one charger"))),"equipment line not found"))</f>
        <v/>
      </c>
      <c r="Q12" s="354">
        <f>IF(N($D12)=0,0,N($D12)*MAX(1,N($J12))*3)</f>
        <v/>
      </c>
      <c r="R12" s="505">
        <f>IF(N($G12)=0,"",IFERROR(INDEX(IF($B$5="Cu",EGC_CU,EGC_AL),MATCH($G12,EGC_OCPD,1)+IF(ISNUMBER(MATCH($G12,EGC_OCPD,0)),0,1)),""))</f>
        <v/>
      </c>
      <c r="S12" s="354">
        <f>IF(N($D12)=0,0,N($D12)*MAX(1,N($J12)))</f>
        <v/>
      </c>
      <c r="T12" s="354">
        <f>IF(N($D12)=0,0,N($D12)*MAX(1,N($J12)))</f>
        <v/>
      </c>
      <c r="U12" s="354">
        <f>IF(N($D12)=0,0,N($D12))</f>
        <v/>
      </c>
      <c r="V12" s="357">
        <f>IFERROR(N($Q12)*INDEX(IF($B$5="Cu",WIRE_CU,WIRE_AL),MATCH($I12,WIRE_SIZE,0)),0)+IFERROR(N($S12)*INDEX(IF($B$5="Cu",WIRE_CU,WIRE_AL),MATCH($R12,WIRE_SIZE,0)),0)+IFERROR(N($T12)*INDEX(PVC_RATE,MATCH($O12,PVC_SIZE,0)),0)+IFERROR(N($U12)*INDEX(PVC_RATE,MATCH("(3/4"")",PVC_SIZE,0)),0)</f>
        <v/>
      </c>
    </row>
    <row r="13" ht="15" customHeight="1" s="252">
      <c r="A13" s="505" t="inlineStr">
        <is>
          <t>Charger 2</t>
        </is>
      </c>
      <c r="B13" s="327" t="n">
        <v>1</v>
      </c>
      <c r="C13" s="353">
        <f>IF(N($B13)=0,"",IFERROR(INDEX(Equipment!$G$7:$G$18,MATCH($B13,Equipment!$A$7:$A$18,0)),""))</f>
        <v/>
      </c>
      <c r="D13" s="327" t="n">
        <v>95</v>
      </c>
      <c r="E13" s="354">
        <f>IF(N($C13)=0,"",N($C13)*1000/(Project!$B$29*SQRT(3)))</f>
        <v/>
      </c>
      <c r="F13" s="354">
        <f>IF(N($E13)=0,"",N($E13)*1.25)</f>
        <v/>
      </c>
      <c r="G13" s="354">
        <f>IF(N($F13)=0,"",IF(ISNUMBER(MATCH($F13,OCPD_LIST,0)),$F13,IF($F13&gt;MAX(OCPD_LIST),"ABOVE THE LARGEST STANDARD DEVICE",INDEX(OCPD_LIST,MATCH($F13,OCPD_LIST,1)+1))))</f>
        <v/>
      </c>
      <c r="H13" s="354">
        <f>IF(N($G13)=0,"",IF(N($G13)&gt;800,N($G13),N($F13)))</f>
        <v/>
      </c>
      <c r="I13" s="323" t="inlineStr">
        <is>
          <t>300 kcmil</t>
        </is>
      </c>
      <c r="J13" s="327" t="n">
        <v>2</v>
      </c>
      <c r="K13" s="354">
        <f>IF($I13="","",IFERROR(MIN(N(INDEX(AMP_TBL,MATCH($I13,AMP_SIZE,0),MATCH($B$5&amp;"-"&amp;TEXT($F$6,"0"),AMP_HDR,0)))*N(INDEX(AMB_TBL,IF(ISNUMBER(MATCH($F$5,AMB_MAX,0)),MATCH($F$5,AMB_MAX,0),MATCH($F$5,AMB_MAX,1)+1),MATCH(TEXT($F$6,"0"),AMB_HDR,0))),N(INDEX(AMP_TBL,MATCH($I13,AMP_SIZE,0),MATCH($B$5&amp;"-"&amp;TEXT($F$7,"0"),AMP_HDR,0)))),""))</f>
        <v/>
      </c>
      <c r="L13" s="354">
        <f>IF(N($K13)=0,"",N($K13)*MAX(1,N($J13)))</f>
        <v/>
      </c>
      <c r="M13" s="355">
        <f>IF(OR($I13="",N($D13)=0,N($E13)=0),"",IFERROR(SQRT(3)*N($E13)/MAX(1,N($J13))*N($D13)*N(INDEX(Z_TBL,MATCH($I13,Z_SIZE,0),IF($B$5="Cu",1,2)))/1000/Project!$B$29,""))</f>
        <v/>
      </c>
      <c r="N13" s="356">
        <f>IF(N($C13)=0,"",IF($I13="","pick a conductor size",IF($F$5="","SET THE DESIGN AMBIENT for this run — ampacity cannot be corrected without it, and this verdict cannot be trusted until it is set",IF(N($K13)=0,"no ampacity on file for that size — NEC Table 310.16 does not list it",IF(N($J13)=0,"enter the number of parallel sets",IF(N($L13)&lt;N($H13),"UNDERSIZED — "&amp;TEXT(N($L13),"#,##0")&amp;" A provided against a floor of "&amp;TEXT(N($H13),"#,##0")&amp;" A. NEC 240.4(C) applies above 800 A: the conductor carries the device, not the load.",IF(N($M13)&gt;N($F$8),"ampacity OK, but voltage drop "&amp;TEXT(N($M13),"0.00%")&amp;" exceeds the "&amp;TEXT($F$8,"0.0%")&amp;" allowance — ADVISORY, the impedance table is unverified","OK — "&amp;TEXT(N($L13),"#,##0")&amp;" A against a "&amp;TEXT(N($H13),"#,##0")&amp;" A floor; voltage drop "&amp;TEXT(N($M13),"0.00%")&amp;" (ADVISORY)")))))))</f>
        <v/>
      </c>
      <c r="O13" s="323" t="inlineStr">
        <is>
          <t>3"</t>
        </is>
      </c>
      <c r="P13" s="356">
        <f>IF($B13="","",IFERROR(IF(INDEX(Equipment!$E$7:$E$18,MATCH($B13,Equipment!$A$7:$A$18,0))="power_cabinet","power cabinet — dispensers run on from it",IF(INDEX(Equipment!$E$7:$E$18,MATCH($B13,Equipment!$A$7:$A$18,0))="dispenser","DISPENSER — this belongs in the DC runs block, not here",IF(INDEX(Equipment!$B$7:$B$18,MATCH($B13,Equipment!$A$7:$A$18,0))="Level 2 AC","Level 2 — use the Level 2 branch circuits block","all-in-one charger"))),"equipment line not found"))</f>
        <v/>
      </c>
      <c r="Q13" s="354">
        <f>IF(N($D13)=0,0,N($D13)*MAX(1,N($J13))*3)</f>
        <v/>
      </c>
      <c r="R13" s="505">
        <f>IF(N($G13)=0,"",IFERROR(INDEX(IF($B$5="Cu",EGC_CU,EGC_AL),MATCH($G13,EGC_OCPD,1)+IF(ISNUMBER(MATCH($G13,EGC_OCPD,0)),0,1)),""))</f>
        <v/>
      </c>
      <c r="S13" s="354">
        <f>IF(N($D13)=0,0,N($D13)*MAX(1,N($J13)))</f>
        <v/>
      </c>
      <c r="T13" s="354">
        <f>IF(N($D13)=0,0,N($D13)*MAX(1,N($J13)))</f>
        <v/>
      </c>
      <c r="U13" s="354">
        <f>IF(N($D13)=0,0,N($D13))</f>
        <v/>
      </c>
      <c r="V13" s="357">
        <f>IFERROR(N($Q13)*INDEX(IF($B$5="Cu",WIRE_CU,WIRE_AL),MATCH($I13,WIRE_SIZE,0)),0)+IFERROR(N($S13)*INDEX(IF($B$5="Cu",WIRE_CU,WIRE_AL),MATCH($R13,WIRE_SIZE,0)),0)+IFERROR(N($T13)*INDEX(PVC_RATE,MATCH($O13,PVC_SIZE,0)),0)+IFERROR(N($U13)*INDEX(PVC_RATE,MATCH("(3/4"")",PVC_SIZE,0)),0)</f>
        <v/>
      </c>
    </row>
    <row r="14" ht="15" customHeight="1" s="252">
      <c r="A14" s="505" t="inlineStr">
        <is>
          <t>Charger 3</t>
        </is>
      </c>
      <c r="B14" s="327" t="n">
        <v>1</v>
      </c>
      <c r="C14" s="353">
        <f>IF(N($B14)=0,"",IFERROR(INDEX(Equipment!$G$7:$G$18,MATCH($B14,Equipment!$A$7:$A$18,0)),""))</f>
        <v/>
      </c>
      <c r="D14" s="327" t="n">
        <v>110</v>
      </c>
      <c r="E14" s="354">
        <f>IF(N($C14)=0,"",N($C14)*1000/(Project!$B$29*SQRT(3)))</f>
        <v/>
      </c>
      <c r="F14" s="354">
        <f>IF(N($E14)=0,"",N($E14)*1.25)</f>
        <v/>
      </c>
      <c r="G14" s="354">
        <f>IF(N($F14)=0,"",IF(ISNUMBER(MATCH($F14,OCPD_LIST,0)),$F14,IF($F14&gt;MAX(OCPD_LIST),"ABOVE THE LARGEST STANDARD DEVICE",INDEX(OCPD_LIST,MATCH($F14,OCPD_LIST,1)+1))))</f>
        <v/>
      </c>
      <c r="H14" s="354">
        <f>IF(N($G14)=0,"",IF(N($G14)&gt;800,N($G14),N($F14)))</f>
        <v/>
      </c>
      <c r="I14" s="323" t="inlineStr">
        <is>
          <t>300 kcmil</t>
        </is>
      </c>
      <c r="J14" s="327" t="n">
        <v>2</v>
      </c>
      <c r="K14" s="354">
        <f>IF($I14="","",IFERROR(MIN(N(INDEX(AMP_TBL,MATCH($I14,AMP_SIZE,0),MATCH($B$5&amp;"-"&amp;TEXT($F$6,"0"),AMP_HDR,0)))*N(INDEX(AMB_TBL,IF(ISNUMBER(MATCH($F$5,AMB_MAX,0)),MATCH($F$5,AMB_MAX,0),MATCH($F$5,AMB_MAX,1)+1),MATCH(TEXT($F$6,"0"),AMB_HDR,0))),N(INDEX(AMP_TBL,MATCH($I14,AMP_SIZE,0),MATCH($B$5&amp;"-"&amp;TEXT($F$7,"0"),AMP_HDR,0)))),""))</f>
        <v/>
      </c>
      <c r="L14" s="354">
        <f>IF(N($K14)=0,"",N($K14)*MAX(1,N($J14)))</f>
        <v/>
      </c>
      <c r="M14" s="355">
        <f>IF(OR($I14="",N($D14)=0,N($E14)=0),"",IFERROR(SQRT(3)*N($E14)/MAX(1,N($J14))*N($D14)*N(INDEX(Z_TBL,MATCH($I14,Z_SIZE,0),IF($B$5="Cu",1,2)))/1000/Project!$B$29,""))</f>
        <v/>
      </c>
      <c r="N14" s="356">
        <f>IF(N($C14)=0,"",IF($I14="","pick a conductor size",IF($F$5="","SET THE DESIGN AMBIENT for this run — ampacity cannot be corrected without it, and this verdict cannot be trusted until it is set",IF(N($K14)=0,"no ampacity on file for that size — NEC Table 310.16 does not list it",IF(N($J14)=0,"enter the number of parallel sets",IF(N($L14)&lt;N($H14),"UNDERSIZED — "&amp;TEXT(N($L14),"#,##0")&amp;" A provided against a floor of "&amp;TEXT(N($H14),"#,##0")&amp;" A. NEC 240.4(C) applies above 800 A: the conductor carries the device, not the load.",IF(N($M14)&gt;N($F$8),"ampacity OK, but voltage drop "&amp;TEXT(N($M14),"0.00%")&amp;" exceeds the "&amp;TEXT($F$8,"0.0%")&amp;" allowance — ADVISORY, the impedance table is unverified","OK — "&amp;TEXT(N($L14),"#,##0")&amp;" A against a "&amp;TEXT(N($H14),"#,##0")&amp;" A floor; voltage drop "&amp;TEXT(N($M14),"0.00%")&amp;" (ADVISORY)")))))))</f>
        <v/>
      </c>
      <c r="O14" s="323" t="inlineStr">
        <is>
          <t>3"</t>
        </is>
      </c>
      <c r="P14" s="356">
        <f>IF($B14="","",IFERROR(IF(INDEX(Equipment!$E$7:$E$18,MATCH($B14,Equipment!$A$7:$A$18,0))="power_cabinet","power cabinet — dispensers run on from it",IF(INDEX(Equipment!$E$7:$E$18,MATCH($B14,Equipment!$A$7:$A$18,0))="dispenser","DISPENSER — this belongs in the DC runs block, not here",IF(INDEX(Equipment!$B$7:$B$18,MATCH($B14,Equipment!$A$7:$A$18,0))="Level 2 AC","Level 2 — use the Level 2 branch circuits block","all-in-one charger"))),"equipment line not found"))</f>
        <v/>
      </c>
      <c r="Q14" s="354">
        <f>IF(N($D14)=0,0,N($D14)*MAX(1,N($J14))*3)</f>
        <v/>
      </c>
      <c r="R14" s="505">
        <f>IF(N($G14)=0,"",IFERROR(INDEX(IF($B$5="Cu",EGC_CU,EGC_AL),MATCH($G14,EGC_OCPD,1)+IF(ISNUMBER(MATCH($G14,EGC_OCPD,0)),0,1)),""))</f>
        <v/>
      </c>
      <c r="S14" s="354">
        <f>IF(N($D14)=0,0,N($D14)*MAX(1,N($J14)))</f>
        <v/>
      </c>
      <c r="T14" s="354">
        <f>IF(N($D14)=0,0,N($D14)*MAX(1,N($J14)))</f>
        <v/>
      </c>
      <c r="U14" s="354">
        <f>IF(N($D14)=0,0,N($D14))</f>
        <v/>
      </c>
      <c r="V14" s="357">
        <f>IFERROR(N($Q14)*INDEX(IF($B$5="Cu",WIRE_CU,WIRE_AL),MATCH($I14,WIRE_SIZE,0)),0)+IFERROR(N($S14)*INDEX(IF($B$5="Cu",WIRE_CU,WIRE_AL),MATCH($R14,WIRE_SIZE,0)),0)+IFERROR(N($T14)*INDEX(PVC_RATE,MATCH($O14,PVC_SIZE,0)),0)+IFERROR(N($U14)*INDEX(PVC_RATE,MATCH("(3/4"")",PVC_SIZE,0)),0)</f>
        <v/>
      </c>
    </row>
    <row r="15" ht="15" customHeight="1" s="252">
      <c r="A15" s="505" t="inlineStr">
        <is>
          <t>Charger 4</t>
        </is>
      </c>
      <c r="B15" s="327" t="n">
        <v>1</v>
      </c>
      <c r="C15" s="353">
        <f>IF(N($B15)=0,"",IFERROR(INDEX(Equipment!$G$7:$G$18,MATCH($B15,Equipment!$A$7:$A$18,0)),""))</f>
        <v/>
      </c>
      <c r="D15" s="327" t="n">
        <v>125</v>
      </c>
      <c r="E15" s="354">
        <f>IF(N($C15)=0,"",N($C15)*1000/(Project!$B$29*SQRT(3)))</f>
        <v/>
      </c>
      <c r="F15" s="354">
        <f>IF(N($E15)=0,"",N($E15)*1.25)</f>
        <v/>
      </c>
      <c r="G15" s="354">
        <f>IF(N($F15)=0,"",IF(ISNUMBER(MATCH($F15,OCPD_LIST,0)),$F15,IF($F15&gt;MAX(OCPD_LIST),"ABOVE THE LARGEST STANDARD DEVICE",INDEX(OCPD_LIST,MATCH($F15,OCPD_LIST,1)+1))))</f>
        <v/>
      </c>
      <c r="H15" s="354">
        <f>IF(N($G15)=0,"",IF(N($G15)&gt;800,N($G15),N($F15)))</f>
        <v/>
      </c>
      <c r="I15" s="323" t="inlineStr">
        <is>
          <t>300 kcmil</t>
        </is>
      </c>
      <c r="J15" s="327" t="n">
        <v>2</v>
      </c>
      <c r="K15" s="354">
        <f>IF($I15="","",IFERROR(MIN(N(INDEX(AMP_TBL,MATCH($I15,AMP_SIZE,0),MATCH($B$5&amp;"-"&amp;TEXT($F$6,"0"),AMP_HDR,0)))*N(INDEX(AMB_TBL,IF(ISNUMBER(MATCH($F$5,AMB_MAX,0)),MATCH($F$5,AMB_MAX,0),MATCH($F$5,AMB_MAX,1)+1),MATCH(TEXT($F$6,"0"),AMB_HDR,0))),N(INDEX(AMP_TBL,MATCH($I15,AMP_SIZE,0),MATCH($B$5&amp;"-"&amp;TEXT($F$7,"0"),AMP_HDR,0)))),""))</f>
        <v/>
      </c>
      <c r="L15" s="354">
        <f>IF(N($K15)=0,"",N($K15)*MAX(1,N($J15)))</f>
        <v/>
      </c>
      <c r="M15" s="355">
        <f>IF(OR($I15="",N($D15)=0,N($E15)=0),"",IFERROR(SQRT(3)*N($E15)/MAX(1,N($J15))*N($D15)*N(INDEX(Z_TBL,MATCH($I15,Z_SIZE,0),IF($B$5="Cu",1,2)))/1000/Project!$B$29,""))</f>
        <v/>
      </c>
      <c r="N15" s="356">
        <f>IF(N($C15)=0,"",IF($I15="","pick a conductor size",IF($F$5="","SET THE DESIGN AMBIENT for this run — ampacity cannot be corrected without it, and this verdict cannot be trusted until it is set",IF(N($K15)=0,"no ampacity on file for that size — NEC Table 310.16 does not list it",IF(N($J15)=0,"enter the number of parallel sets",IF(N($L15)&lt;N($H15),"UNDERSIZED — "&amp;TEXT(N($L15),"#,##0")&amp;" A provided against a floor of "&amp;TEXT(N($H15),"#,##0")&amp;" A. NEC 240.4(C) applies above 800 A: the conductor carries the device, not the load.",IF(N($M15)&gt;N($F$8),"ampacity OK, but voltage drop "&amp;TEXT(N($M15),"0.00%")&amp;" exceeds the "&amp;TEXT($F$8,"0.0%")&amp;" allowance — ADVISORY, the impedance table is unverified","OK — "&amp;TEXT(N($L15),"#,##0")&amp;" A against a "&amp;TEXT(N($H15),"#,##0")&amp;" A floor; voltage drop "&amp;TEXT(N($M15),"0.00%")&amp;" (ADVISORY)")))))))</f>
        <v/>
      </c>
      <c r="O15" s="323" t="inlineStr">
        <is>
          <t>3"</t>
        </is>
      </c>
      <c r="P15" s="356">
        <f>IF($B15="","",IFERROR(IF(INDEX(Equipment!$E$7:$E$18,MATCH($B15,Equipment!$A$7:$A$18,0))="power_cabinet","power cabinet — dispensers run on from it",IF(INDEX(Equipment!$E$7:$E$18,MATCH($B15,Equipment!$A$7:$A$18,0))="dispenser","DISPENSER — this belongs in the DC runs block, not here",IF(INDEX(Equipment!$B$7:$B$18,MATCH($B15,Equipment!$A$7:$A$18,0))="Level 2 AC","Level 2 — use the Level 2 branch circuits block","all-in-one charger"))),"equipment line not found"))</f>
        <v/>
      </c>
      <c r="Q15" s="354">
        <f>IF(N($D15)=0,0,N($D15)*MAX(1,N($J15))*3)</f>
        <v/>
      </c>
      <c r="R15" s="505">
        <f>IF(N($G15)=0,"",IFERROR(INDEX(IF($B$5="Cu",EGC_CU,EGC_AL),MATCH($G15,EGC_OCPD,1)+IF(ISNUMBER(MATCH($G15,EGC_OCPD,0)),0,1)),""))</f>
        <v/>
      </c>
      <c r="S15" s="354">
        <f>IF(N($D15)=0,0,N($D15)*MAX(1,N($J15)))</f>
        <v/>
      </c>
      <c r="T15" s="354">
        <f>IF(N($D15)=0,0,N($D15)*MAX(1,N($J15)))</f>
        <v/>
      </c>
      <c r="U15" s="354">
        <f>IF(N($D15)=0,0,N($D15))</f>
        <v/>
      </c>
      <c r="V15" s="357">
        <f>IFERROR(N($Q15)*INDEX(IF($B$5="Cu",WIRE_CU,WIRE_AL),MATCH($I15,WIRE_SIZE,0)),0)+IFERROR(N($S15)*INDEX(IF($B$5="Cu",WIRE_CU,WIRE_AL),MATCH($R15,WIRE_SIZE,0)),0)+IFERROR(N($T15)*INDEX(PVC_RATE,MATCH($O15,PVC_SIZE,0)),0)+IFERROR(N($U15)*INDEX(PVC_RATE,MATCH("(3/4"")",PVC_SIZE,0)),0)</f>
        <v/>
      </c>
    </row>
    <row r="16" ht="15" customHeight="1" s="252">
      <c r="A16" s="505" t="inlineStr">
        <is>
          <t>Charger 5</t>
        </is>
      </c>
      <c r="B16" s="327" t="n"/>
      <c r="C16" s="353">
        <f>IF(N($B16)=0,"",IFERROR(INDEX(Equipment!$G$7:$G$18,MATCH($B16,Equipment!$A$7:$A$18,0)),""))</f>
        <v/>
      </c>
      <c r="D16" s="327" t="n"/>
      <c r="E16" s="354">
        <f>IF(N($C16)=0,"",N($C16)*1000/(Project!$B$29*SQRT(3)))</f>
        <v/>
      </c>
      <c r="F16" s="354">
        <f>IF(N($E16)=0,"",N($E16)*1.25)</f>
        <v/>
      </c>
      <c r="G16" s="354">
        <f>IF(N($F16)=0,"",IF(ISNUMBER(MATCH($F16,OCPD_LIST,0)),$F16,IF($F16&gt;MAX(OCPD_LIST),"ABOVE THE LARGEST STANDARD DEVICE",INDEX(OCPD_LIST,MATCH($F16,OCPD_LIST,1)+1))))</f>
        <v/>
      </c>
      <c r="H16" s="354">
        <f>IF(N($G16)=0,"",IF(N($G16)&gt;800,N($G16),N($F16)))</f>
        <v/>
      </c>
      <c r="I16" s="323" t="n"/>
      <c r="J16" s="327" t="n"/>
      <c r="K16" s="354">
        <f>IF($I16="","",IFERROR(MIN(N(INDEX(AMP_TBL,MATCH($I16,AMP_SIZE,0),MATCH($B$5&amp;"-"&amp;TEXT($F$6,"0"),AMP_HDR,0)))*N(INDEX(AMB_TBL,IF(ISNUMBER(MATCH($F$5,AMB_MAX,0)),MATCH($F$5,AMB_MAX,0),MATCH($F$5,AMB_MAX,1)+1),MATCH(TEXT($F$6,"0"),AMB_HDR,0))),N(INDEX(AMP_TBL,MATCH($I16,AMP_SIZE,0),MATCH($B$5&amp;"-"&amp;TEXT($F$7,"0"),AMP_HDR,0)))),""))</f>
        <v/>
      </c>
      <c r="L16" s="354">
        <f>IF(N($K16)=0,"",N($K16)*MAX(1,N($J16)))</f>
        <v/>
      </c>
      <c r="M16" s="355">
        <f>IF(OR($I16="",N($D16)=0,N($E16)=0),"",IFERROR(SQRT(3)*N($E16)/MAX(1,N($J16))*N($D16)*N(INDEX(Z_TBL,MATCH($I16,Z_SIZE,0),IF($B$5="Cu",1,2)))/1000/Project!$B$29,""))</f>
        <v/>
      </c>
      <c r="N16" s="356">
        <f>IF(N($C16)=0,"",IF($I16="","pick a conductor size",IF($F$5="","SET THE DESIGN AMBIENT for this run — ampacity cannot be corrected without it, and this verdict cannot be trusted until it is set",IF(N($K16)=0,"no ampacity on file for that size — NEC Table 310.16 does not list it",IF(N($J16)=0,"enter the number of parallel sets",IF(N($L16)&lt;N($H16),"UNDERSIZED — "&amp;TEXT(N($L16),"#,##0")&amp;" A provided against a floor of "&amp;TEXT(N($H16),"#,##0")&amp;" A. NEC 240.4(C) applies above 800 A: the conductor carries the device, not the load.",IF(N($M16)&gt;N($F$8),"ampacity OK, but voltage drop "&amp;TEXT(N($M16),"0.00%")&amp;" exceeds the "&amp;TEXT($F$8,"0.0%")&amp;" allowance — ADVISORY, the impedance table is unverified","OK — "&amp;TEXT(N($L16),"#,##0")&amp;" A against a "&amp;TEXT(N($H16),"#,##0")&amp;" A floor; voltage drop "&amp;TEXT(N($M16),"0.00%")&amp;" (ADVISORY)")))))))</f>
        <v/>
      </c>
      <c r="O16" s="323" t="n"/>
      <c r="P16" s="356">
        <f>IF($B16="","",IFERROR(IF(INDEX(Equipment!$E$7:$E$18,MATCH($B16,Equipment!$A$7:$A$18,0))="power_cabinet","power cabinet — dispensers run on from it",IF(INDEX(Equipment!$E$7:$E$18,MATCH($B16,Equipment!$A$7:$A$18,0))="dispenser","DISPENSER — this belongs in the DC runs block, not here",IF(INDEX(Equipment!$B$7:$B$18,MATCH($B16,Equipment!$A$7:$A$18,0))="Level 2 AC","Level 2 — use the Level 2 branch circuits block","all-in-one charger"))),"equipment line not found"))</f>
        <v/>
      </c>
      <c r="Q16" s="354">
        <f>IF(N($D16)=0,0,N($D16)*MAX(1,N($J16))*3)</f>
        <v/>
      </c>
      <c r="R16" s="505">
        <f>IF(N($G16)=0,"",IFERROR(INDEX(IF($B$5="Cu",EGC_CU,EGC_AL),MATCH($G16,EGC_OCPD,1)+IF(ISNUMBER(MATCH($G16,EGC_OCPD,0)),0,1)),""))</f>
        <v/>
      </c>
      <c r="S16" s="354">
        <f>IF(N($D16)=0,0,N($D16)*MAX(1,N($J16)))</f>
        <v/>
      </c>
      <c r="T16" s="354">
        <f>IF(N($D16)=0,0,N($D16)*MAX(1,N($J16)))</f>
        <v/>
      </c>
      <c r="U16" s="354">
        <f>IF(N($D16)=0,0,N($D16))</f>
        <v/>
      </c>
      <c r="V16" s="357">
        <f>IFERROR(N($Q16)*INDEX(IF($B$5="Cu",WIRE_CU,WIRE_AL),MATCH($I16,WIRE_SIZE,0)),0)+IFERROR(N($S16)*INDEX(IF($B$5="Cu",WIRE_CU,WIRE_AL),MATCH($R16,WIRE_SIZE,0)),0)+IFERROR(N($T16)*INDEX(PVC_RATE,MATCH($O16,PVC_SIZE,0)),0)+IFERROR(N($U16)*INDEX(PVC_RATE,MATCH("(3/4"")",PVC_SIZE,0)),0)</f>
        <v/>
      </c>
    </row>
    <row r="17" ht="15" customHeight="1" s="252">
      <c r="A17" s="505" t="inlineStr">
        <is>
          <t>Charger 6</t>
        </is>
      </c>
      <c r="B17" s="327" t="n"/>
      <c r="C17" s="353">
        <f>IF(N($B17)=0,"",IFERROR(INDEX(Equipment!$G$7:$G$18,MATCH($B17,Equipment!$A$7:$A$18,0)),""))</f>
        <v/>
      </c>
      <c r="D17" s="327" t="n"/>
      <c r="E17" s="354">
        <f>IF(N($C17)=0,"",N($C17)*1000/(Project!$B$29*SQRT(3)))</f>
        <v/>
      </c>
      <c r="F17" s="354">
        <f>IF(N($E17)=0,"",N($E17)*1.25)</f>
        <v/>
      </c>
      <c r="G17" s="354">
        <f>IF(N($F17)=0,"",IF(ISNUMBER(MATCH($F17,OCPD_LIST,0)),$F17,IF($F17&gt;MAX(OCPD_LIST),"ABOVE THE LARGEST STANDARD DEVICE",INDEX(OCPD_LIST,MATCH($F17,OCPD_LIST,1)+1))))</f>
        <v/>
      </c>
      <c r="H17" s="354">
        <f>IF(N($G17)=0,"",IF(N($G17)&gt;800,N($G17),N($F17)))</f>
        <v/>
      </c>
      <c r="I17" s="323" t="n"/>
      <c r="J17" s="327" t="n"/>
      <c r="K17" s="354">
        <f>IF($I17="","",IFERROR(MIN(N(INDEX(AMP_TBL,MATCH($I17,AMP_SIZE,0),MATCH($B$5&amp;"-"&amp;TEXT($F$6,"0"),AMP_HDR,0)))*N(INDEX(AMB_TBL,IF(ISNUMBER(MATCH($F$5,AMB_MAX,0)),MATCH($F$5,AMB_MAX,0),MATCH($F$5,AMB_MAX,1)+1),MATCH(TEXT($F$6,"0"),AMB_HDR,0))),N(INDEX(AMP_TBL,MATCH($I17,AMP_SIZE,0),MATCH($B$5&amp;"-"&amp;TEXT($F$7,"0"),AMP_HDR,0)))),""))</f>
        <v/>
      </c>
      <c r="L17" s="354">
        <f>IF(N($K17)=0,"",N($K17)*MAX(1,N($J17)))</f>
        <v/>
      </c>
      <c r="M17" s="355">
        <f>IF(OR($I17="",N($D17)=0,N($E17)=0),"",IFERROR(SQRT(3)*N($E17)/MAX(1,N($J17))*N($D17)*N(INDEX(Z_TBL,MATCH($I17,Z_SIZE,0),IF($B$5="Cu",1,2)))/1000/Project!$B$29,""))</f>
        <v/>
      </c>
      <c r="N17" s="356">
        <f>IF(N($C17)=0,"",IF($I17="","pick a conductor size",IF($F$5="","SET THE DESIGN AMBIENT for this run — ampacity cannot be corrected without it, and this verdict cannot be trusted until it is set",IF(N($K17)=0,"no ampacity on file for that size — NEC Table 310.16 does not list it",IF(N($J17)=0,"enter the number of parallel sets",IF(N($L17)&lt;N($H17),"UNDERSIZED — "&amp;TEXT(N($L17),"#,##0")&amp;" A provided against a floor of "&amp;TEXT(N($H17),"#,##0")&amp;" A. NEC 240.4(C) applies above 800 A: the conductor carries the device, not the load.",IF(N($M17)&gt;N($F$8),"ampacity OK, but voltage drop "&amp;TEXT(N($M17),"0.00%")&amp;" exceeds the "&amp;TEXT($F$8,"0.0%")&amp;" allowance — ADVISORY, the impedance table is unverified","OK — "&amp;TEXT(N($L17),"#,##0")&amp;" A against a "&amp;TEXT(N($H17),"#,##0")&amp;" A floor; voltage drop "&amp;TEXT(N($M17),"0.00%")&amp;" (ADVISORY)")))))))</f>
        <v/>
      </c>
      <c r="O17" s="323" t="n"/>
      <c r="P17" s="356">
        <f>IF($B17="","",IFERROR(IF(INDEX(Equipment!$E$7:$E$18,MATCH($B17,Equipment!$A$7:$A$18,0))="power_cabinet","power cabinet — dispensers run on from it",IF(INDEX(Equipment!$E$7:$E$18,MATCH($B17,Equipment!$A$7:$A$18,0))="dispenser","DISPENSER — this belongs in the DC runs block, not here",IF(INDEX(Equipment!$B$7:$B$18,MATCH($B17,Equipment!$A$7:$A$18,0))="Level 2 AC","Level 2 — use the Level 2 branch circuits block","all-in-one charger"))),"equipment line not found"))</f>
        <v/>
      </c>
      <c r="Q17" s="354">
        <f>IF(N($D17)=0,0,N($D17)*MAX(1,N($J17))*3)</f>
        <v/>
      </c>
      <c r="R17" s="505">
        <f>IF(N($G17)=0,"",IFERROR(INDEX(IF($B$5="Cu",EGC_CU,EGC_AL),MATCH($G17,EGC_OCPD,1)+IF(ISNUMBER(MATCH($G17,EGC_OCPD,0)),0,1)),""))</f>
        <v/>
      </c>
      <c r="S17" s="354">
        <f>IF(N($D17)=0,0,N($D17)*MAX(1,N($J17)))</f>
        <v/>
      </c>
      <c r="T17" s="354">
        <f>IF(N($D17)=0,0,N($D17)*MAX(1,N($J17)))</f>
        <v/>
      </c>
      <c r="U17" s="354">
        <f>IF(N($D17)=0,0,N($D17))</f>
        <v/>
      </c>
      <c r="V17" s="357">
        <f>IFERROR(N($Q17)*INDEX(IF($B$5="Cu",WIRE_CU,WIRE_AL),MATCH($I17,WIRE_SIZE,0)),0)+IFERROR(N($S17)*INDEX(IF($B$5="Cu",WIRE_CU,WIRE_AL),MATCH($R17,WIRE_SIZE,0)),0)+IFERROR(N($T17)*INDEX(PVC_RATE,MATCH($O17,PVC_SIZE,0)),0)+IFERROR(N($U17)*INDEX(PVC_RATE,MATCH("(3/4"")",PVC_SIZE,0)),0)</f>
        <v/>
      </c>
    </row>
    <row r="18" ht="15" customHeight="1" s="252">
      <c r="A18" s="505" t="inlineStr">
        <is>
          <t>Charger 7</t>
        </is>
      </c>
      <c r="B18" s="327" t="n"/>
      <c r="C18" s="353">
        <f>IF(N($B18)=0,"",IFERROR(INDEX(Equipment!$G$7:$G$18,MATCH($B18,Equipment!$A$7:$A$18,0)),""))</f>
        <v/>
      </c>
      <c r="D18" s="327" t="n"/>
      <c r="E18" s="354">
        <f>IF(N($C18)=0,"",N($C18)*1000/(Project!$B$29*SQRT(3)))</f>
        <v/>
      </c>
      <c r="F18" s="354">
        <f>IF(N($E18)=0,"",N($E18)*1.25)</f>
        <v/>
      </c>
      <c r="G18" s="354">
        <f>IF(N($F18)=0,"",IF(ISNUMBER(MATCH($F18,OCPD_LIST,0)),$F18,IF($F18&gt;MAX(OCPD_LIST),"ABOVE THE LARGEST STANDARD DEVICE",INDEX(OCPD_LIST,MATCH($F18,OCPD_LIST,1)+1))))</f>
        <v/>
      </c>
      <c r="H18" s="354">
        <f>IF(N($G18)=0,"",IF(N($G18)&gt;800,N($G18),N($F18)))</f>
        <v/>
      </c>
      <c r="I18" s="323" t="n"/>
      <c r="J18" s="327" t="n"/>
      <c r="K18" s="354">
        <f>IF($I18="","",IFERROR(MIN(N(INDEX(AMP_TBL,MATCH($I18,AMP_SIZE,0),MATCH($B$5&amp;"-"&amp;TEXT($F$6,"0"),AMP_HDR,0)))*N(INDEX(AMB_TBL,IF(ISNUMBER(MATCH($F$5,AMB_MAX,0)),MATCH($F$5,AMB_MAX,0),MATCH($F$5,AMB_MAX,1)+1),MATCH(TEXT($F$6,"0"),AMB_HDR,0))),N(INDEX(AMP_TBL,MATCH($I18,AMP_SIZE,0),MATCH($B$5&amp;"-"&amp;TEXT($F$7,"0"),AMP_HDR,0)))),""))</f>
        <v/>
      </c>
      <c r="L18" s="354">
        <f>IF(N($K18)=0,"",N($K18)*MAX(1,N($J18)))</f>
        <v/>
      </c>
      <c r="M18" s="355">
        <f>IF(OR($I18="",N($D18)=0,N($E18)=0),"",IFERROR(SQRT(3)*N($E18)/MAX(1,N($J18))*N($D18)*N(INDEX(Z_TBL,MATCH($I18,Z_SIZE,0),IF($B$5="Cu",1,2)))/1000/Project!$B$29,""))</f>
        <v/>
      </c>
      <c r="N18" s="356">
        <f>IF(N($C18)=0,"",IF($I18="","pick a conductor size",IF($F$5="","SET THE DESIGN AMBIENT for this run — ampacity cannot be corrected without it, and this verdict cannot be trusted until it is set",IF(N($K18)=0,"no ampacity on file for that size — NEC Table 310.16 does not list it",IF(N($J18)=0,"enter the number of parallel sets",IF(N($L18)&lt;N($H18),"UNDERSIZED — "&amp;TEXT(N($L18),"#,##0")&amp;" A provided against a floor of "&amp;TEXT(N($H18),"#,##0")&amp;" A. NEC 240.4(C) applies above 800 A: the conductor carries the device, not the load.",IF(N($M18)&gt;N($F$8),"ampacity OK, but voltage drop "&amp;TEXT(N($M18),"0.00%")&amp;" exceeds the "&amp;TEXT($F$8,"0.0%")&amp;" allowance — ADVISORY, the impedance table is unverified","OK — "&amp;TEXT(N($L18),"#,##0")&amp;" A against a "&amp;TEXT(N($H18),"#,##0")&amp;" A floor; voltage drop "&amp;TEXT(N($M18),"0.00%")&amp;" (ADVISORY)")))))))</f>
        <v/>
      </c>
      <c r="O18" s="323" t="n"/>
      <c r="P18" s="356">
        <f>IF($B18="","",IFERROR(IF(INDEX(Equipment!$E$7:$E$18,MATCH($B18,Equipment!$A$7:$A$18,0))="power_cabinet","power cabinet — dispensers run on from it",IF(INDEX(Equipment!$E$7:$E$18,MATCH($B18,Equipment!$A$7:$A$18,0))="dispenser","DISPENSER — this belongs in the DC runs block, not here",IF(INDEX(Equipment!$B$7:$B$18,MATCH($B18,Equipment!$A$7:$A$18,0))="Level 2 AC","Level 2 — use the Level 2 branch circuits block","all-in-one charger"))),"equipment line not found"))</f>
        <v/>
      </c>
      <c r="Q18" s="354">
        <f>IF(N($D18)=0,0,N($D18)*MAX(1,N($J18))*3)</f>
        <v/>
      </c>
      <c r="R18" s="505">
        <f>IF(N($G18)=0,"",IFERROR(INDEX(IF($B$5="Cu",EGC_CU,EGC_AL),MATCH($G18,EGC_OCPD,1)+IF(ISNUMBER(MATCH($G18,EGC_OCPD,0)),0,1)),""))</f>
        <v/>
      </c>
      <c r="S18" s="354">
        <f>IF(N($D18)=0,0,N($D18)*MAX(1,N($J18)))</f>
        <v/>
      </c>
      <c r="T18" s="354">
        <f>IF(N($D18)=0,0,N($D18)*MAX(1,N($J18)))</f>
        <v/>
      </c>
      <c r="U18" s="354">
        <f>IF(N($D18)=0,0,N($D18))</f>
        <v/>
      </c>
      <c r="V18" s="357">
        <f>IFERROR(N($Q18)*INDEX(IF($B$5="Cu",WIRE_CU,WIRE_AL),MATCH($I18,WIRE_SIZE,0)),0)+IFERROR(N($S18)*INDEX(IF($B$5="Cu",WIRE_CU,WIRE_AL),MATCH($R18,WIRE_SIZE,0)),0)+IFERROR(N($T18)*INDEX(PVC_RATE,MATCH($O18,PVC_SIZE,0)),0)+IFERROR(N($U18)*INDEX(PVC_RATE,MATCH("(3/4"")",PVC_SIZE,0)),0)</f>
        <v/>
      </c>
    </row>
    <row r="19" ht="15" customHeight="1" s="252">
      <c r="A19" s="505" t="inlineStr">
        <is>
          <t>Charger 8</t>
        </is>
      </c>
      <c r="B19" s="327" t="n"/>
      <c r="C19" s="353">
        <f>IF(N($B19)=0,"",IFERROR(INDEX(Equipment!$G$7:$G$18,MATCH($B19,Equipment!$A$7:$A$18,0)),""))</f>
        <v/>
      </c>
      <c r="D19" s="327" t="n"/>
      <c r="E19" s="354">
        <f>IF(N($C19)=0,"",N($C19)*1000/(Project!$B$29*SQRT(3)))</f>
        <v/>
      </c>
      <c r="F19" s="354">
        <f>IF(N($E19)=0,"",N($E19)*1.25)</f>
        <v/>
      </c>
      <c r="G19" s="354">
        <f>IF(N($F19)=0,"",IF(ISNUMBER(MATCH($F19,OCPD_LIST,0)),$F19,IF($F19&gt;MAX(OCPD_LIST),"ABOVE THE LARGEST STANDARD DEVICE",INDEX(OCPD_LIST,MATCH($F19,OCPD_LIST,1)+1))))</f>
        <v/>
      </c>
      <c r="H19" s="354">
        <f>IF(N($G19)=0,"",IF(N($G19)&gt;800,N($G19),N($F19)))</f>
        <v/>
      </c>
      <c r="I19" s="323" t="n"/>
      <c r="J19" s="327" t="n"/>
      <c r="K19" s="354">
        <f>IF($I19="","",IFERROR(MIN(N(INDEX(AMP_TBL,MATCH($I19,AMP_SIZE,0),MATCH($B$5&amp;"-"&amp;TEXT($F$6,"0"),AMP_HDR,0)))*N(INDEX(AMB_TBL,IF(ISNUMBER(MATCH($F$5,AMB_MAX,0)),MATCH($F$5,AMB_MAX,0),MATCH($F$5,AMB_MAX,1)+1),MATCH(TEXT($F$6,"0"),AMB_HDR,0))),N(INDEX(AMP_TBL,MATCH($I19,AMP_SIZE,0),MATCH($B$5&amp;"-"&amp;TEXT($F$7,"0"),AMP_HDR,0)))),""))</f>
        <v/>
      </c>
      <c r="L19" s="354">
        <f>IF(N($K19)=0,"",N($K19)*MAX(1,N($J19)))</f>
        <v/>
      </c>
      <c r="M19" s="355">
        <f>IF(OR($I19="",N($D19)=0,N($E19)=0),"",IFERROR(SQRT(3)*N($E19)/MAX(1,N($J19))*N($D19)*N(INDEX(Z_TBL,MATCH($I19,Z_SIZE,0),IF($B$5="Cu",1,2)))/1000/Project!$B$29,""))</f>
        <v/>
      </c>
      <c r="N19" s="356">
        <f>IF(N($C19)=0,"",IF($I19="","pick a conductor size",IF($F$5="","SET THE DESIGN AMBIENT for this run — ampacity cannot be corrected without it, and this verdict cannot be trusted until it is set",IF(N($K19)=0,"no ampacity on file for that size — NEC Table 310.16 does not list it",IF(N($J19)=0,"enter the number of parallel sets",IF(N($L19)&lt;N($H19),"UNDERSIZED — "&amp;TEXT(N($L19),"#,##0")&amp;" A provided against a floor of "&amp;TEXT(N($H19),"#,##0")&amp;" A. NEC 240.4(C) applies above 800 A: the conductor carries the device, not the load.",IF(N($M19)&gt;N($F$8),"ampacity OK, but voltage drop "&amp;TEXT(N($M19),"0.00%")&amp;" exceeds the "&amp;TEXT($F$8,"0.0%")&amp;" allowance — ADVISORY, the impedance table is unverified","OK — "&amp;TEXT(N($L19),"#,##0")&amp;" A against a "&amp;TEXT(N($H19),"#,##0")&amp;" A floor; voltage drop "&amp;TEXT(N($M19),"0.00%")&amp;" (ADVISORY)")))))))</f>
        <v/>
      </c>
      <c r="O19" s="323" t="n"/>
      <c r="P19" s="356">
        <f>IF($B19="","",IFERROR(IF(INDEX(Equipment!$E$7:$E$18,MATCH($B19,Equipment!$A$7:$A$18,0))="power_cabinet","power cabinet — dispensers run on from it",IF(INDEX(Equipment!$E$7:$E$18,MATCH($B19,Equipment!$A$7:$A$18,0))="dispenser","DISPENSER — this belongs in the DC runs block, not here",IF(INDEX(Equipment!$B$7:$B$18,MATCH($B19,Equipment!$A$7:$A$18,0))="Level 2 AC","Level 2 — use the Level 2 branch circuits block","all-in-one charger"))),"equipment line not found"))</f>
        <v/>
      </c>
      <c r="Q19" s="354">
        <f>IF(N($D19)=0,0,N($D19)*MAX(1,N($J19))*3)</f>
        <v/>
      </c>
      <c r="R19" s="505">
        <f>IF(N($G19)=0,"",IFERROR(INDEX(IF($B$5="Cu",EGC_CU,EGC_AL),MATCH($G19,EGC_OCPD,1)+IF(ISNUMBER(MATCH($G19,EGC_OCPD,0)),0,1)),""))</f>
        <v/>
      </c>
      <c r="S19" s="354">
        <f>IF(N($D19)=0,0,N($D19)*MAX(1,N($J19)))</f>
        <v/>
      </c>
      <c r="T19" s="354">
        <f>IF(N($D19)=0,0,N($D19)*MAX(1,N($J19)))</f>
        <v/>
      </c>
      <c r="U19" s="354">
        <f>IF(N($D19)=0,0,N($D19))</f>
        <v/>
      </c>
      <c r="V19" s="357">
        <f>IFERROR(N($Q19)*INDEX(IF($B$5="Cu",WIRE_CU,WIRE_AL),MATCH($I19,WIRE_SIZE,0)),0)+IFERROR(N($S19)*INDEX(IF($B$5="Cu",WIRE_CU,WIRE_AL),MATCH($R19,WIRE_SIZE,0)),0)+IFERROR(N($T19)*INDEX(PVC_RATE,MATCH($O19,PVC_SIZE,0)),0)+IFERROR(N($U19)*INDEX(PVC_RATE,MATCH("(3/4"")",PVC_SIZE,0)),0)</f>
        <v/>
      </c>
    </row>
    <row r="20" ht="15" customHeight="1" s="252">
      <c r="A20" s="505" t="inlineStr">
        <is>
          <t>Charger 9</t>
        </is>
      </c>
      <c r="B20" s="327" t="n"/>
      <c r="C20" s="353">
        <f>IF(N($B20)=0,"",IFERROR(INDEX(Equipment!$G$7:$G$18,MATCH($B20,Equipment!$A$7:$A$18,0)),""))</f>
        <v/>
      </c>
      <c r="D20" s="327" t="n"/>
      <c r="E20" s="354">
        <f>IF(N($C20)=0,"",N($C20)*1000/(Project!$B$29*SQRT(3)))</f>
        <v/>
      </c>
      <c r="F20" s="354">
        <f>IF(N($E20)=0,"",N($E20)*1.25)</f>
        <v/>
      </c>
      <c r="G20" s="354">
        <f>IF(N($F20)=0,"",IF(ISNUMBER(MATCH($F20,OCPD_LIST,0)),$F20,IF($F20&gt;MAX(OCPD_LIST),"ABOVE THE LARGEST STANDARD DEVICE",INDEX(OCPD_LIST,MATCH($F20,OCPD_LIST,1)+1))))</f>
        <v/>
      </c>
      <c r="H20" s="354">
        <f>IF(N($G20)=0,"",IF(N($G20)&gt;800,N($G20),N($F20)))</f>
        <v/>
      </c>
      <c r="I20" s="323" t="n"/>
      <c r="J20" s="327" t="n"/>
      <c r="K20" s="354">
        <f>IF($I20="","",IFERROR(MIN(N(INDEX(AMP_TBL,MATCH($I20,AMP_SIZE,0),MATCH($B$5&amp;"-"&amp;TEXT($F$6,"0"),AMP_HDR,0)))*N(INDEX(AMB_TBL,IF(ISNUMBER(MATCH($F$5,AMB_MAX,0)),MATCH($F$5,AMB_MAX,0),MATCH($F$5,AMB_MAX,1)+1),MATCH(TEXT($F$6,"0"),AMB_HDR,0))),N(INDEX(AMP_TBL,MATCH($I20,AMP_SIZE,0),MATCH($B$5&amp;"-"&amp;TEXT($F$7,"0"),AMP_HDR,0)))),""))</f>
        <v/>
      </c>
      <c r="L20" s="354">
        <f>IF(N($K20)=0,"",N($K20)*MAX(1,N($J20)))</f>
        <v/>
      </c>
      <c r="M20" s="355">
        <f>IF(OR($I20="",N($D20)=0,N($E20)=0),"",IFERROR(SQRT(3)*N($E20)/MAX(1,N($J20))*N($D20)*N(INDEX(Z_TBL,MATCH($I20,Z_SIZE,0),IF($B$5="Cu",1,2)))/1000/Project!$B$29,""))</f>
        <v/>
      </c>
      <c r="N20" s="356">
        <f>IF(N($C20)=0,"",IF($I20="","pick a conductor size",IF($F$5="","SET THE DESIGN AMBIENT for this run — ampacity cannot be corrected without it, and this verdict cannot be trusted until it is set",IF(N($K20)=0,"no ampacity on file for that size — NEC Table 310.16 does not list it",IF(N($J20)=0,"enter the number of parallel sets",IF(N($L20)&lt;N($H20),"UNDERSIZED — "&amp;TEXT(N($L20),"#,##0")&amp;" A provided against a floor of "&amp;TEXT(N($H20),"#,##0")&amp;" A. NEC 240.4(C) applies above 800 A: the conductor carries the device, not the load.",IF(N($M20)&gt;N($F$8),"ampacity OK, but voltage drop "&amp;TEXT(N($M20),"0.00%")&amp;" exceeds the "&amp;TEXT($F$8,"0.0%")&amp;" allowance — ADVISORY, the impedance table is unverified","OK — "&amp;TEXT(N($L20),"#,##0")&amp;" A against a "&amp;TEXT(N($H20),"#,##0")&amp;" A floor; voltage drop "&amp;TEXT(N($M20),"0.00%")&amp;" (ADVISORY)")))))))</f>
        <v/>
      </c>
      <c r="O20" s="323" t="n"/>
      <c r="P20" s="356">
        <f>IF($B20="","",IFERROR(IF(INDEX(Equipment!$E$7:$E$18,MATCH($B20,Equipment!$A$7:$A$18,0))="power_cabinet","power cabinet — dispensers run on from it",IF(INDEX(Equipment!$E$7:$E$18,MATCH($B20,Equipment!$A$7:$A$18,0))="dispenser","DISPENSER — this belongs in the DC runs block, not here",IF(INDEX(Equipment!$B$7:$B$18,MATCH($B20,Equipment!$A$7:$A$18,0))="Level 2 AC","Level 2 — use the Level 2 branch circuits block","all-in-one charger"))),"equipment line not found"))</f>
        <v/>
      </c>
      <c r="Q20" s="354">
        <f>IF(N($D20)=0,0,N($D20)*MAX(1,N($J20))*3)</f>
        <v/>
      </c>
      <c r="R20" s="505">
        <f>IF(N($G20)=0,"",IFERROR(INDEX(IF($B$5="Cu",EGC_CU,EGC_AL),MATCH($G20,EGC_OCPD,1)+IF(ISNUMBER(MATCH($G20,EGC_OCPD,0)),0,1)),""))</f>
        <v/>
      </c>
      <c r="S20" s="354">
        <f>IF(N($D20)=0,0,N($D20)*MAX(1,N($J20)))</f>
        <v/>
      </c>
      <c r="T20" s="354">
        <f>IF(N($D20)=0,0,N($D20)*MAX(1,N($J20)))</f>
        <v/>
      </c>
      <c r="U20" s="354">
        <f>IF(N($D20)=0,0,N($D20))</f>
        <v/>
      </c>
      <c r="V20" s="357">
        <f>IFERROR(N($Q20)*INDEX(IF($B$5="Cu",WIRE_CU,WIRE_AL),MATCH($I20,WIRE_SIZE,0)),0)+IFERROR(N($S20)*INDEX(IF($B$5="Cu",WIRE_CU,WIRE_AL),MATCH($R20,WIRE_SIZE,0)),0)+IFERROR(N($T20)*INDEX(PVC_RATE,MATCH($O20,PVC_SIZE,0)),0)+IFERROR(N($U20)*INDEX(PVC_RATE,MATCH("(3/4"")",PVC_SIZE,0)),0)</f>
        <v/>
      </c>
    </row>
    <row r="21" ht="15" customHeight="1" s="252">
      <c r="A21" s="505" t="inlineStr">
        <is>
          <t>Charger 10</t>
        </is>
      </c>
      <c r="B21" s="327" t="n"/>
      <c r="C21" s="353">
        <f>IF(N($B21)=0,"",IFERROR(INDEX(Equipment!$G$7:$G$18,MATCH($B21,Equipment!$A$7:$A$18,0)),""))</f>
        <v/>
      </c>
      <c r="D21" s="327" t="n"/>
      <c r="E21" s="354">
        <f>IF(N($C21)=0,"",N($C21)*1000/(Project!$B$29*SQRT(3)))</f>
        <v/>
      </c>
      <c r="F21" s="354">
        <f>IF(N($E21)=0,"",N($E21)*1.25)</f>
        <v/>
      </c>
      <c r="G21" s="354">
        <f>IF(N($F21)=0,"",IF(ISNUMBER(MATCH($F21,OCPD_LIST,0)),$F21,IF($F21&gt;MAX(OCPD_LIST),"ABOVE THE LARGEST STANDARD DEVICE",INDEX(OCPD_LIST,MATCH($F21,OCPD_LIST,1)+1))))</f>
        <v/>
      </c>
      <c r="H21" s="354">
        <f>IF(N($G21)=0,"",IF(N($G21)&gt;800,N($G21),N($F21)))</f>
        <v/>
      </c>
      <c r="I21" s="323" t="n"/>
      <c r="J21" s="327" t="n"/>
      <c r="K21" s="354">
        <f>IF($I21="","",IFERROR(MIN(N(INDEX(AMP_TBL,MATCH($I21,AMP_SIZE,0),MATCH($B$5&amp;"-"&amp;TEXT($F$6,"0"),AMP_HDR,0)))*N(INDEX(AMB_TBL,IF(ISNUMBER(MATCH($F$5,AMB_MAX,0)),MATCH($F$5,AMB_MAX,0),MATCH($F$5,AMB_MAX,1)+1),MATCH(TEXT($F$6,"0"),AMB_HDR,0))),N(INDEX(AMP_TBL,MATCH($I21,AMP_SIZE,0),MATCH($B$5&amp;"-"&amp;TEXT($F$7,"0"),AMP_HDR,0)))),""))</f>
        <v/>
      </c>
      <c r="L21" s="354">
        <f>IF(N($K21)=0,"",N($K21)*MAX(1,N($J21)))</f>
        <v/>
      </c>
      <c r="M21" s="355">
        <f>IF(OR($I21="",N($D21)=0,N($E21)=0),"",IFERROR(SQRT(3)*N($E21)/MAX(1,N($J21))*N($D21)*N(INDEX(Z_TBL,MATCH($I21,Z_SIZE,0),IF($B$5="Cu",1,2)))/1000/Project!$B$29,""))</f>
        <v/>
      </c>
      <c r="N21" s="356">
        <f>IF(N($C21)=0,"",IF($I21="","pick a conductor size",IF($F$5="","SET THE DESIGN AMBIENT for this run — ampacity cannot be corrected without it, and this verdict cannot be trusted until it is set",IF(N($K21)=0,"no ampacity on file for that size — NEC Table 310.16 does not list it",IF(N($J21)=0,"enter the number of parallel sets",IF(N($L21)&lt;N($H21),"UNDERSIZED — "&amp;TEXT(N($L21),"#,##0")&amp;" A provided against a floor of "&amp;TEXT(N($H21),"#,##0")&amp;" A. NEC 240.4(C) applies above 800 A: the conductor carries the device, not the load.",IF(N($M21)&gt;N($F$8),"ampacity OK, but voltage drop "&amp;TEXT(N($M21),"0.00%")&amp;" exceeds the "&amp;TEXT($F$8,"0.0%")&amp;" allowance — ADVISORY, the impedance table is unverified","OK — "&amp;TEXT(N($L21),"#,##0")&amp;" A against a "&amp;TEXT(N($H21),"#,##0")&amp;" A floor; voltage drop "&amp;TEXT(N($M21),"0.00%")&amp;" (ADVISORY)")))))))</f>
        <v/>
      </c>
      <c r="O21" s="323" t="n"/>
      <c r="P21" s="356">
        <f>IF($B21="","",IFERROR(IF(INDEX(Equipment!$E$7:$E$18,MATCH($B21,Equipment!$A$7:$A$18,0))="power_cabinet","power cabinet — dispensers run on from it",IF(INDEX(Equipment!$E$7:$E$18,MATCH($B21,Equipment!$A$7:$A$18,0))="dispenser","DISPENSER — this belongs in the DC runs block, not here",IF(INDEX(Equipment!$B$7:$B$18,MATCH($B21,Equipment!$A$7:$A$18,0))="Level 2 AC","Level 2 — use the Level 2 branch circuits block","all-in-one charger"))),"equipment line not found"))</f>
        <v/>
      </c>
      <c r="Q21" s="354">
        <f>IF(N($D21)=0,0,N($D21)*MAX(1,N($J21))*3)</f>
        <v/>
      </c>
      <c r="R21" s="505">
        <f>IF(N($G21)=0,"",IFERROR(INDEX(IF($B$5="Cu",EGC_CU,EGC_AL),MATCH($G21,EGC_OCPD,1)+IF(ISNUMBER(MATCH($G21,EGC_OCPD,0)),0,1)),""))</f>
        <v/>
      </c>
      <c r="S21" s="354">
        <f>IF(N($D21)=0,0,N($D21)*MAX(1,N($J21)))</f>
        <v/>
      </c>
      <c r="T21" s="354">
        <f>IF(N($D21)=0,0,N($D21)*MAX(1,N($J21)))</f>
        <v/>
      </c>
      <c r="U21" s="354">
        <f>IF(N($D21)=0,0,N($D21))</f>
        <v/>
      </c>
      <c r="V21" s="357">
        <f>IFERROR(N($Q21)*INDEX(IF($B$5="Cu",WIRE_CU,WIRE_AL),MATCH($I21,WIRE_SIZE,0)),0)+IFERROR(N($S21)*INDEX(IF($B$5="Cu",WIRE_CU,WIRE_AL),MATCH($R21,WIRE_SIZE,0)),0)+IFERROR(N($T21)*INDEX(PVC_RATE,MATCH($O21,PVC_SIZE,0)),0)+IFERROR(N($U21)*INDEX(PVC_RATE,MATCH("(3/4"")",PVC_SIZE,0)),0)</f>
        <v/>
      </c>
    </row>
    <row r="22" ht="15" customHeight="1" s="252">
      <c r="A22" s="505" t="inlineStr">
        <is>
          <t>Charger 11</t>
        </is>
      </c>
      <c r="B22" s="327" t="n"/>
      <c r="C22" s="353">
        <f>IF(N($B22)=0,"",IFERROR(INDEX(Equipment!$G$7:$G$18,MATCH($B22,Equipment!$A$7:$A$18,0)),""))</f>
        <v/>
      </c>
      <c r="D22" s="327" t="n"/>
      <c r="E22" s="354">
        <f>IF(N($C22)=0,"",N($C22)*1000/(Project!$B$29*SQRT(3)))</f>
        <v/>
      </c>
      <c r="F22" s="354">
        <f>IF(N($E22)=0,"",N($E22)*1.25)</f>
        <v/>
      </c>
      <c r="G22" s="354">
        <f>IF(N($F22)=0,"",IF(ISNUMBER(MATCH($F22,OCPD_LIST,0)),$F22,IF($F22&gt;MAX(OCPD_LIST),"ABOVE THE LARGEST STANDARD DEVICE",INDEX(OCPD_LIST,MATCH($F22,OCPD_LIST,1)+1))))</f>
        <v/>
      </c>
      <c r="H22" s="354">
        <f>IF(N($G22)=0,"",IF(N($G22)&gt;800,N($G22),N($F22)))</f>
        <v/>
      </c>
      <c r="I22" s="323" t="n"/>
      <c r="J22" s="327" t="n"/>
      <c r="K22" s="354">
        <f>IF($I22="","",IFERROR(MIN(N(INDEX(AMP_TBL,MATCH($I22,AMP_SIZE,0),MATCH($B$5&amp;"-"&amp;TEXT($F$6,"0"),AMP_HDR,0)))*N(INDEX(AMB_TBL,IF(ISNUMBER(MATCH($F$5,AMB_MAX,0)),MATCH($F$5,AMB_MAX,0),MATCH($F$5,AMB_MAX,1)+1),MATCH(TEXT($F$6,"0"),AMB_HDR,0))),N(INDEX(AMP_TBL,MATCH($I22,AMP_SIZE,0),MATCH($B$5&amp;"-"&amp;TEXT($F$7,"0"),AMP_HDR,0)))),""))</f>
        <v/>
      </c>
      <c r="L22" s="354">
        <f>IF(N($K22)=0,"",N($K22)*MAX(1,N($J22)))</f>
        <v/>
      </c>
      <c r="M22" s="355">
        <f>IF(OR($I22="",N($D22)=0,N($E22)=0),"",IFERROR(SQRT(3)*N($E22)/MAX(1,N($J22))*N($D22)*N(INDEX(Z_TBL,MATCH($I22,Z_SIZE,0),IF($B$5="Cu",1,2)))/1000/Project!$B$29,""))</f>
        <v/>
      </c>
      <c r="N22" s="356">
        <f>IF(N($C22)=0,"",IF($I22="","pick a conductor size",IF($F$5="","SET THE DESIGN AMBIENT for this run — ampacity cannot be corrected without it, and this verdict cannot be trusted until it is set",IF(N($K22)=0,"no ampacity on file for that size — NEC Table 310.16 does not list it",IF(N($J22)=0,"enter the number of parallel sets",IF(N($L22)&lt;N($H22),"UNDERSIZED — "&amp;TEXT(N($L22),"#,##0")&amp;" A provided against a floor of "&amp;TEXT(N($H22),"#,##0")&amp;" A. NEC 240.4(C) applies above 800 A: the conductor carries the device, not the load.",IF(N($M22)&gt;N($F$8),"ampacity OK, but voltage drop "&amp;TEXT(N($M22),"0.00%")&amp;" exceeds the "&amp;TEXT($F$8,"0.0%")&amp;" allowance — ADVISORY, the impedance table is unverified","OK — "&amp;TEXT(N($L22),"#,##0")&amp;" A against a "&amp;TEXT(N($H22),"#,##0")&amp;" A floor; voltage drop "&amp;TEXT(N($M22),"0.00%")&amp;" (ADVISORY)")))))))</f>
        <v/>
      </c>
      <c r="O22" s="323" t="n"/>
      <c r="P22" s="356">
        <f>IF($B22="","",IFERROR(IF(INDEX(Equipment!$E$7:$E$18,MATCH($B22,Equipment!$A$7:$A$18,0))="power_cabinet","power cabinet — dispensers run on from it",IF(INDEX(Equipment!$E$7:$E$18,MATCH($B22,Equipment!$A$7:$A$18,0))="dispenser","DISPENSER — this belongs in the DC runs block, not here",IF(INDEX(Equipment!$B$7:$B$18,MATCH($B22,Equipment!$A$7:$A$18,0))="Level 2 AC","Level 2 — use the Level 2 branch circuits block","all-in-one charger"))),"equipment line not found"))</f>
        <v/>
      </c>
      <c r="Q22" s="354">
        <f>IF(N($D22)=0,0,N($D22)*MAX(1,N($J22))*3)</f>
        <v/>
      </c>
      <c r="R22" s="505">
        <f>IF(N($G22)=0,"",IFERROR(INDEX(IF($B$5="Cu",EGC_CU,EGC_AL),MATCH($G22,EGC_OCPD,1)+IF(ISNUMBER(MATCH($G22,EGC_OCPD,0)),0,1)),""))</f>
        <v/>
      </c>
      <c r="S22" s="354">
        <f>IF(N($D22)=0,0,N($D22)*MAX(1,N($J22)))</f>
        <v/>
      </c>
      <c r="T22" s="354">
        <f>IF(N($D22)=0,0,N($D22)*MAX(1,N($J22)))</f>
        <v/>
      </c>
      <c r="U22" s="354">
        <f>IF(N($D22)=0,0,N($D22))</f>
        <v/>
      </c>
      <c r="V22" s="357">
        <f>IFERROR(N($Q22)*INDEX(IF($B$5="Cu",WIRE_CU,WIRE_AL),MATCH($I22,WIRE_SIZE,0)),0)+IFERROR(N($S22)*INDEX(IF($B$5="Cu",WIRE_CU,WIRE_AL),MATCH($R22,WIRE_SIZE,0)),0)+IFERROR(N($T22)*INDEX(PVC_RATE,MATCH($O22,PVC_SIZE,0)),0)+IFERROR(N($U22)*INDEX(PVC_RATE,MATCH("(3/4"")",PVC_SIZE,0)),0)</f>
        <v/>
      </c>
    </row>
    <row r="23" ht="15" customHeight="1" s="252">
      <c r="A23" s="505" t="inlineStr">
        <is>
          <t>Charger 12</t>
        </is>
      </c>
      <c r="B23" s="327" t="n"/>
      <c r="C23" s="353">
        <f>IF(N($B23)=0,"",IFERROR(INDEX(Equipment!$G$7:$G$18,MATCH($B23,Equipment!$A$7:$A$18,0)),""))</f>
        <v/>
      </c>
      <c r="D23" s="327" t="n"/>
      <c r="E23" s="354">
        <f>IF(N($C23)=0,"",N($C23)*1000/(Project!$B$29*SQRT(3)))</f>
        <v/>
      </c>
      <c r="F23" s="354">
        <f>IF(N($E23)=0,"",N($E23)*1.25)</f>
        <v/>
      </c>
      <c r="G23" s="354">
        <f>IF(N($F23)=0,"",IF(ISNUMBER(MATCH($F23,OCPD_LIST,0)),$F23,IF($F23&gt;MAX(OCPD_LIST),"ABOVE THE LARGEST STANDARD DEVICE",INDEX(OCPD_LIST,MATCH($F23,OCPD_LIST,1)+1))))</f>
        <v/>
      </c>
      <c r="H23" s="354">
        <f>IF(N($G23)=0,"",IF(N($G23)&gt;800,N($G23),N($F23)))</f>
        <v/>
      </c>
      <c r="I23" s="323" t="n"/>
      <c r="J23" s="327" t="n"/>
      <c r="K23" s="354">
        <f>IF($I23="","",IFERROR(MIN(N(INDEX(AMP_TBL,MATCH($I23,AMP_SIZE,0),MATCH($B$5&amp;"-"&amp;TEXT($F$6,"0"),AMP_HDR,0)))*N(INDEX(AMB_TBL,IF(ISNUMBER(MATCH($F$5,AMB_MAX,0)),MATCH($F$5,AMB_MAX,0),MATCH($F$5,AMB_MAX,1)+1),MATCH(TEXT($F$6,"0"),AMB_HDR,0))),N(INDEX(AMP_TBL,MATCH($I23,AMP_SIZE,0),MATCH($B$5&amp;"-"&amp;TEXT($F$7,"0"),AMP_HDR,0)))),""))</f>
        <v/>
      </c>
      <c r="L23" s="354">
        <f>IF(N($K23)=0,"",N($K23)*MAX(1,N($J23)))</f>
        <v/>
      </c>
      <c r="M23" s="355">
        <f>IF(OR($I23="",N($D23)=0,N($E23)=0),"",IFERROR(SQRT(3)*N($E23)/MAX(1,N($J23))*N($D23)*N(INDEX(Z_TBL,MATCH($I23,Z_SIZE,0),IF($B$5="Cu",1,2)))/1000/Project!$B$29,""))</f>
        <v/>
      </c>
      <c r="N23" s="356">
        <f>IF(N($C23)=0,"",IF($I23="","pick a conductor size",IF($F$5="","SET THE DESIGN AMBIENT for this run — ampacity cannot be corrected without it, and this verdict cannot be trusted until it is set",IF(N($K23)=0,"no ampacity on file for that size — NEC Table 310.16 does not list it",IF(N($J23)=0,"enter the number of parallel sets",IF(N($L23)&lt;N($H23),"UNDERSIZED — "&amp;TEXT(N($L23),"#,##0")&amp;" A provided against a floor of "&amp;TEXT(N($H23),"#,##0")&amp;" A. NEC 240.4(C) applies above 800 A: the conductor carries the device, not the load.",IF(N($M23)&gt;N($F$8),"ampacity OK, but voltage drop "&amp;TEXT(N($M23),"0.00%")&amp;" exceeds the "&amp;TEXT($F$8,"0.0%")&amp;" allowance — ADVISORY, the impedance table is unverified","OK — "&amp;TEXT(N($L23),"#,##0")&amp;" A against a "&amp;TEXT(N($H23),"#,##0")&amp;" A floor; voltage drop "&amp;TEXT(N($M23),"0.00%")&amp;" (ADVISORY)")))))))</f>
        <v/>
      </c>
      <c r="O23" s="323" t="n"/>
      <c r="P23" s="356">
        <f>IF($B23="","",IFERROR(IF(INDEX(Equipment!$E$7:$E$18,MATCH($B23,Equipment!$A$7:$A$18,0))="power_cabinet","power cabinet — dispensers run on from it",IF(INDEX(Equipment!$E$7:$E$18,MATCH($B23,Equipment!$A$7:$A$18,0))="dispenser","DISPENSER — this belongs in the DC runs block, not here",IF(INDEX(Equipment!$B$7:$B$18,MATCH($B23,Equipment!$A$7:$A$18,0))="Level 2 AC","Level 2 — use the Level 2 branch circuits block","all-in-one charger"))),"equipment line not found"))</f>
        <v/>
      </c>
      <c r="Q23" s="354">
        <f>IF(N($D23)=0,0,N($D23)*MAX(1,N($J23))*3)</f>
        <v/>
      </c>
      <c r="R23" s="505">
        <f>IF(N($G23)=0,"",IFERROR(INDEX(IF($B$5="Cu",EGC_CU,EGC_AL),MATCH($G23,EGC_OCPD,1)+IF(ISNUMBER(MATCH($G23,EGC_OCPD,0)),0,1)),""))</f>
        <v/>
      </c>
      <c r="S23" s="354">
        <f>IF(N($D23)=0,0,N($D23)*MAX(1,N($J23)))</f>
        <v/>
      </c>
      <c r="T23" s="354">
        <f>IF(N($D23)=0,0,N($D23)*MAX(1,N($J23)))</f>
        <v/>
      </c>
      <c r="U23" s="354">
        <f>IF(N($D23)=0,0,N($D23))</f>
        <v/>
      </c>
      <c r="V23" s="357">
        <f>IFERROR(N($Q23)*INDEX(IF($B$5="Cu",WIRE_CU,WIRE_AL),MATCH($I23,WIRE_SIZE,0)),0)+IFERROR(N($S23)*INDEX(IF($B$5="Cu",WIRE_CU,WIRE_AL),MATCH($R23,WIRE_SIZE,0)),0)+IFERROR(N($T23)*INDEX(PVC_RATE,MATCH($O23,PVC_SIZE,0)),0)+IFERROR(N($U23)*INDEX(PVC_RATE,MATCH("(3/4"")",PVC_SIZE,0)),0)</f>
        <v/>
      </c>
    </row>
    <row r="24" ht="20" customHeight="1" s="252">
      <c r="A24" s="358" t="inlineStr">
        <is>
          <t>AC branch material cost ($)</t>
        </is>
      </c>
      <c r="B24" s="359">
        <f>SUM($V$12:$V$23)</f>
        <v/>
      </c>
      <c r="C24" s="367" t="inlineStr">
        <is>
          <t>Phase conductor, equipment ground, conduit and a comms run for every AC branch, at RefData rates. This used to be computed in the project model instead, so a conductor size could be changed here and the cost only moved two artefacts later. The model now reads this figure.</t>
        </is>
      </c>
    </row>
    <row r="25" ht="20" customHeight="1" s="252">
      <c r="A25" s="261" t="inlineStr">
        <is>
          <t>Total AC branch distance (ft)</t>
        </is>
      </c>
      <c r="B25" s="330">
        <f>SUM($D$12:$D$23)</f>
        <v/>
      </c>
      <c r="C25" s="332" t="inlineStr">
        <is>
          <t>Switchgear to the cabinets only. The transformer-to-switchgear run is separate and is sized in its own block at the foot of this tab.</t>
        </is>
      </c>
    </row>
    <row r="26" ht="15" customHeight="1" s="252">
      <c r="A26" s="261" t="inlineStr">
        <is>
          <t>AC-connected units placed</t>
        </is>
      </c>
      <c r="B26" s="330">
        <f>SUMPRODUCT(ISNUMBER($D$12:$D$23)*($D$12:$D$23&gt;0))</f>
        <v/>
      </c>
      <c r="C26" s="264" t="inlineStr">
        <is>
          <t>Must equal Total cabinets on 2_Equipment</t>
        </is>
      </c>
    </row>
    <row r="27" ht="20" customHeight="1" s="252">
      <c r="A27" s="261" t="inlineStr">
        <is>
          <t>Placement matches equipment?</t>
        </is>
      </c>
      <c r="B27" s="360">
        <f>IF(COUNT(C12:C23)=Equipment!$B$21,"OK — a distance for every AC-connected unit","MISMATCH — "&amp;TEXT(Equipment!$B$21,"0")&amp;" cabinets or all-in-one chargers but "&amp;TEXT(COUNT(C12:C23),"0")&amp;" distances")</f>
        <v/>
      </c>
      <c r="C27" s="321" t="inlineStr">
        <is>
          <t>Counts power cabinets and all-in-one chargers. Dispensers are not counted here.</t>
        </is>
      </c>
    </row>
    <row r="28" ht="33.75" customHeight="1" s="252">
      <c r="A28" s="261" t="inlineStr">
        <is>
          <t>Every AC run costed?</t>
        </is>
      </c>
      <c r="B28" s="265">
        <f>IF(COUNT($D$12:$D$23)=0,"OK — no AC runs entered yet",IF(SUMPRODUCT(--($D$12:$D$23&gt;0),--($V$12:$V$23=0))&gt;0,"A RUN HAS A DISTANCE BUT NO MATERIAL COST — check the conductor size, the conduit size and the sets in parallel on that line. A run costing zero is a run nobody priced.","OK — every AC run with a distance carries a material cost"))</f>
        <v/>
      </c>
      <c r="C28" s="361" t="n"/>
    </row>
    <row r="29" ht="15" customHeight="1" s="252">
      <c r="A29" s="502" t="inlineStr">
        <is>
          <t>Service and switchgear</t>
        </is>
      </c>
    </row>
    <row r="30" ht="15" customHeight="1" s="252">
      <c r="A30" s="261" t="inlineStr">
        <is>
          <t>Point of connection</t>
        </is>
      </c>
      <c r="B30" s="262" t="inlineStr">
        <is>
          <t>Existing MSB</t>
        </is>
      </c>
      <c r="C30" s="264" t="inlineStr">
        <is>
          <t>Existing MSB / new service / pole transformer</t>
        </is>
      </c>
    </row>
    <row r="31" ht="20" customHeight="1" s="252">
      <c r="A31" s="261" t="inlineStr">
        <is>
          <t>Distance, transformer to switchgear (ft)</t>
        </is>
      </c>
      <c r="B31" s="280" t="n">
        <v>40</v>
      </c>
      <c r="C31" s="332" t="inlineStr">
        <is>
          <t>Customer-side feeder, our scope. Sized in the service feeder block at the foot of this tab, which has its own material and its own ambient.</t>
        </is>
      </c>
    </row>
    <row r="32" ht="15" customHeight="1" s="252">
      <c r="A32" s="261" t="inlineStr">
        <is>
          <t>Distance, switchgear to pole (ft)</t>
        </is>
      </c>
      <c r="B32" s="280" t="n">
        <v>120</v>
      </c>
    </row>
    <row r="33" ht="15" customHeight="1" s="252">
      <c r="A33" s="261" t="inlineStr">
        <is>
          <t>Spare capacity in existing gear (A)</t>
        </is>
      </c>
      <c r="B33" s="280" t="n">
        <v>200</v>
      </c>
      <c r="C33" s="264" t="inlineStr">
        <is>
          <t>0 if a new service is required</t>
        </is>
      </c>
    </row>
    <row r="34" ht="15" customHeight="1" s="252">
      <c r="A34" s="261" t="inlineStr">
        <is>
          <t>Load management proposed?</t>
        </is>
      </c>
      <c r="B34" s="419" t="inlineStr">
        <is>
          <t>No</t>
        </is>
      </c>
      <c r="C34" s="264" t="inlineStr">
        <is>
          <t>Yes caps site draw below full nameplate</t>
        </is>
      </c>
    </row>
    <row r="35" ht="15" customHeight="1" s="252">
      <c r="A35" s="261" t="inlineStr">
        <is>
          <t>Capped site draw (kW) if load managed</t>
        </is>
      </c>
      <c r="B35" s="280" t="n"/>
      <c r="C35" s="264" t="inlineStr">
        <is>
          <t>Leave blank if not load managed</t>
        </is>
      </c>
    </row>
    <row r="36" ht="20" customHeight="1" s="252">
      <c r="A36" s="261" t="inlineStr">
        <is>
          <t>Service boards in the lineup</t>
        </is>
      </c>
      <c r="B36" s="363" t="n">
        <v>1</v>
      </c>
      <c r="C36" s="367" t="inlineStr">
        <is>
          <t>One unless the service is split. Above roughly 4,000 A it usually is: NEC 230.71 allows up to six service disconnects in separate enclosures, and the frame below is sized PER BOARD. A site needing 6,303 A has no single frame RefData can price; two boards at 3,151 A each have one.</t>
        </is>
      </c>
    </row>
    <row r="37" ht="15" customHeight="1" s="252">
      <c r="A37" s="502" t="inlineStr">
        <is>
          <t>Live electrical check — derived from 2_Equipment</t>
        </is>
      </c>
    </row>
    <row r="38" ht="32" customHeight="1" s="252">
      <c r="A38" s="261" t="inlineStr">
        <is>
          <t>Connected load (kW)</t>
        </is>
      </c>
      <c r="B38" s="330">
        <f>IF($B$34="Yes",IF(N($B$35)=0,Equipment!B23,MIN(Equipment!B23,N($B$35))),Equipment!B23)</f>
        <v/>
      </c>
      <c r="C38" s="367" t="inlineStr">
        <is>
          <t>Full nameplate from the equipment schedule, or the managed cap when load management is proposed and a cap is entered. Sizing to a managed maximum needs an energy management system under NEC 750 and the engineer's sign-off — the sheet applies the cap you enter, it does not certify it.</t>
        </is>
      </c>
    </row>
    <row r="39" ht="15" customHeight="1" s="252">
      <c r="A39" s="261" t="inlineStr">
        <is>
          <t>Design current at service voltage (A)</t>
        </is>
      </c>
      <c r="B39" s="330">
        <f>IF(N($B$38)=0,"",$B$38*1000/(Project!$B$29*SQRT(3)))</f>
        <v/>
      </c>
      <c r="C39" s="264" t="inlineStr">
        <is>
          <t>kW x 1000 / (V x sqrt 3)</t>
        </is>
      </c>
    </row>
    <row r="40" ht="15" customHeight="1" s="252">
      <c r="A40" s="261" t="inlineStr">
        <is>
          <t>Required OCPD at 125% (A)</t>
        </is>
      </c>
      <c r="B40" s="330">
        <f>IF(N($B$39)=0,"",N($B$39)*1.25)</f>
        <v/>
      </c>
      <c r="C40" s="264" t="inlineStr">
        <is>
          <t>NEC continuous-load rule</t>
        </is>
      </c>
    </row>
    <row r="41" ht="32" customHeight="1" s="252">
      <c r="A41" s="261" t="inlineStr">
        <is>
          <t>Standard frame required per board (A)</t>
        </is>
      </c>
      <c r="B41" s="330">
        <f>IF(N($B$40)=0,"",IFERROR(INDEX(RefData!$B$4:$B$15,MATCH(N($B$40)/MAX(1,N($B$36)),RefData!$A$4:$A$15,1)),"check the frame table"))</f>
        <v/>
      </c>
      <c r="C41" s="367" t="inlineStr">
        <is>
          <t>The required overcurrent device divided across the boards in the lineup, then rounded up to the next standard frame.</t>
        </is>
      </c>
    </row>
    <row r="42" ht="15" customHeight="1" s="252">
      <c r="A42" s="261" t="inlineStr">
        <is>
          <t>Switchgear size being priced (A)</t>
        </is>
      </c>
      <c r="B42" s="364" t="n">
        <v>3200</v>
      </c>
      <c r="C42" s="264" t="inlineStr">
        <is>
          <t>Type what you are actually quoting</t>
        </is>
      </c>
    </row>
    <row r="43" ht="20" customHeight="1" s="252">
      <c r="A43" s="261" t="inlineStr">
        <is>
          <t>Switchgear adequate?</t>
        </is>
      </c>
      <c r="B43" s="360">
        <f>IF(N($B$38)=0,"no connected load on the equipment tab",IF(N($B$41)=0,"CANNOT TELL — there is a connected load but no required frame behind it",IF(N($B$42)=0,"enter the frame being priced",IF(N($B$42)&lt;N($B$41),"UNDERSIZED — "&amp;TEXT($B$42,"#,##0")&amp;" A per board against "&amp;TEXT($B$41,"#,##0")&amp;" A required on each of "&amp;TEXT(MAX(1,N($B$36)),"0")&amp;" board(s)",IF(ISNA(MATCH(TEXT($B$42,"0")&amp;"A",RefData!$B$20:$B$29,0)),"OK on size, BUT RefData carries no price for a "&amp;TEXT($B$42,"#,##0")&amp;" A frame — it needs a switchboard quote","OK — "&amp;TEXT(MAX(1,N($B$36)),"0")&amp;" x "&amp;TEXT($B$42,"#,##0")&amp;" A against "&amp;TEXT($B$41,"#,##0")&amp;" A required per board")))))</f>
        <v/>
      </c>
      <c r="C43" s="367" t="inlineStr">
        <is>
          <t>Checks the per-board size AND whether the workbook can price that frame.</t>
        </is>
      </c>
    </row>
    <row r="44" ht="33.75" customHeight="1" s="252">
      <c r="A44" s="358" t="inlineStr">
        <is>
          <t>Load management stated and capped?</t>
        </is>
      </c>
      <c r="B44" s="365">
        <f>IF($B$34&lt;&gt;"Yes","n/a — not load managed, so the site is sized on full nameplate",IF(N($B$35)=0,"LOAD MANAGED WITH NO CAP ENTERED — the sheet has fallen back to full nameplate and the frame below is sized for an unmanaged site","Sized on a managed cap of "&amp;TEXT($B$35,"#,##0")&amp;" kW against "&amp;TEXT(N(Equipment!$B$23),"#,##0")&amp;" kW of nameplate. The energy management system that enforces it is scope, and the AHJ will ask to see it."))</f>
        <v/>
      </c>
      <c r="C44" s="361" t="n"/>
    </row>
    <row r="45" ht="14.25" customHeight="1" s="252">
      <c r="A45" s="336" t="n"/>
      <c r="B45" s="336" t="n"/>
      <c r="C45" s="336" t="n"/>
      <c r="D45" s="336" t="n"/>
      <c r="E45" s="336" t="n"/>
      <c r="F45" s="336" t="n"/>
      <c r="G45" s="336" t="n"/>
      <c r="H45" s="336" t="n"/>
      <c r="I45" s="336" t="n"/>
      <c r="J45" s="336" t="n"/>
      <c r="K45" s="336" t="n"/>
      <c r="L45" s="336" t="n"/>
      <c r="M45" s="336" t="n"/>
      <c r="N45" s="336" t="n"/>
      <c r="O45" s="336" t="n"/>
      <c r="P45" s="336" t="n"/>
      <c r="Q45" s="336" t="n"/>
      <c r="R45" s="336" t="n"/>
      <c r="S45" s="336" t="n"/>
      <c r="T45" s="336" t="n"/>
      <c r="U45" s="336" t="n"/>
      <c r="V45" s="336" t="n"/>
    </row>
    <row r="46" ht="14.25" customHeight="1" s="252">
      <c r="A46" s="336" t="n"/>
      <c r="B46" s="336" t="n"/>
      <c r="C46" s="336" t="n"/>
      <c r="D46" s="336" t="n"/>
      <c r="E46" s="336" t="n"/>
      <c r="F46" s="336" t="n"/>
      <c r="G46" s="336" t="n"/>
      <c r="H46" s="336" t="n"/>
      <c r="I46" s="336" t="n"/>
      <c r="J46" s="336" t="n"/>
      <c r="K46" s="336" t="n"/>
      <c r="L46" s="336" t="n"/>
      <c r="M46" s="336" t="n"/>
      <c r="N46" s="336" t="n"/>
      <c r="O46" s="336" t="n"/>
      <c r="P46" s="336" t="n"/>
      <c r="Q46" s="336" t="n"/>
      <c r="R46" s="336" t="n"/>
      <c r="S46" s="336" t="n"/>
      <c r="T46" s="336" t="n"/>
      <c r="U46" s="336" t="n"/>
      <c r="V46" s="336" t="n"/>
    </row>
    <row r="48" ht="32" customHeight="1" s="252">
      <c r="A48" s="335" t="inlineStr">
        <is>
          <t>Utility interconnection — governed by the serving utility</t>
        </is>
      </c>
    </row>
    <row r="49" ht="32" customHeight="1" s="252">
      <c r="A49" s="366" t="inlineStr">
        <is>
          <t>The rows marked CA ONLY are written around PG&amp;E Electric Rule 29 and Rules 15/16. They apply only where the Project tab's interconnection regime says they do. Anywhere else leave them blank: what the utility requires and charges to connect this site is their answer for this site, and it belongs in their quote and then in the fee block on the Construction tab as a pass-through.</t>
        </is>
      </c>
    </row>
    <row r="51" ht="15" customHeight="1" s="252">
      <c r="A51" s="261" t="inlineStr">
        <is>
          <t>Service type</t>
        </is>
      </c>
      <c r="B51" s="346" t="inlineStr">
        <is>
          <t>Added load to existing service</t>
        </is>
      </c>
      <c r="C51" s="264" t="inlineStr">
        <is>
          <t>New service / added load to existing service</t>
        </is>
      </c>
    </row>
    <row r="52" ht="15" customHeight="1" s="252">
      <c r="A52" s="261" t="inlineStr">
        <is>
          <t>Overhead or underground service</t>
        </is>
      </c>
      <c r="B52" s="346" t="inlineStr">
        <is>
          <t>Underground</t>
        </is>
      </c>
    </row>
    <row r="53" ht="32" customHeight="1" s="252">
      <c r="A53" s="261" t="inlineStr">
        <is>
          <t>Distance to PG&amp;E point of interconnection (ft)</t>
        </is>
      </c>
      <c r="B53" s="280" t="n">
        <v>150</v>
      </c>
      <c r="C53" s="367" t="inlineStr">
        <is>
          <t>CA ONLY — Drives whether distribution work is likely</t>
        </is>
      </c>
    </row>
    <row r="54" ht="20" customHeight="1" s="252">
      <c r="A54" s="261" t="inlineStr">
        <is>
          <t>Rule 29 application submitted?</t>
        </is>
      </c>
      <c r="B54" s="262" t="inlineStr">
        <is>
          <t>No</t>
        </is>
      </c>
      <c r="C54" s="367" t="inlineStr">
        <is>
          <t>CA ONLY — Yes / No — with date</t>
        </is>
      </c>
    </row>
    <row r="55" ht="20" customHeight="1" s="252">
      <c r="A55" s="261" t="inlineStr">
        <is>
          <t>PG&amp;E project or design number</t>
        </is>
      </c>
      <c r="B55" s="262" t="n"/>
      <c r="C55" s="367" t="inlineStr">
        <is>
          <t>CA ONLY — Once issued</t>
        </is>
      </c>
    </row>
    <row r="56" ht="20" customHeight="1" s="252">
      <c r="A56" s="261" t="inlineStr">
        <is>
          <t>Utility interconnection design and application fee</t>
        </is>
      </c>
      <c r="B56" s="436" t="n">
        <v>3500</v>
      </c>
      <c r="C56" s="367" t="inlineStr">
        <is>
          <t>What the serving utility charges to design and connect the service. Leave blank until they say. There is no default: the $3,500 that used to sit here was PG&amp;E's typical Rule 29 figure and it followed a Michigan project into its cost build-up.</t>
        </is>
      </c>
    </row>
    <row r="57" ht="32" customHeight="1" s="252">
      <c r="A57" s="261" t="inlineStr">
        <is>
          <t>Rule 15 distribution extension indicated?</t>
        </is>
      </c>
      <c r="B57" s="369" t="inlineStr">
        <is>
          <t>Unknown — design not yet submitted</t>
        </is>
      </c>
      <c r="C57" s="367" t="inlineStr">
        <is>
          <t>CA ONLY — Unknown until the utility design is returned</t>
        </is>
      </c>
    </row>
    <row r="58" ht="20" customHeight="1" s="252">
      <c r="A58" s="261" t="inlineStr">
        <is>
          <t>Rule 15 allowance calculated by PG&amp;E</t>
        </is>
      </c>
      <c r="B58" s="370" t="n"/>
      <c r="C58" s="367" t="inlineStr">
        <is>
          <t>CA ONLY — Leave blank until the design comes back</t>
        </is>
      </c>
    </row>
    <row r="59" ht="20" customHeight="1" s="252">
      <c r="A59" s="261" t="inlineStr">
        <is>
          <t>Customer contribution above the allowance</t>
        </is>
      </c>
      <c r="B59" s="370" t="n"/>
      <c r="C59" s="367" t="inlineStr">
        <is>
          <t>CA ONLY — Leave blank until the design comes back</t>
        </is>
      </c>
    </row>
    <row r="60" ht="20" customHeight="1" s="252">
      <c r="A60" s="261" t="inlineStr">
        <is>
          <t>Rule 16 component?</t>
        </is>
      </c>
      <c r="B60" s="346" t="inlineStr">
        <is>
          <t>Unknown</t>
        </is>
      </c>
      <c r="C60" s="367" t="inlineStr">
        <is>
          <t>CA ONLY — Temporary or speculative service only</t>
        </is>
      </c>
    </row>
    <row r="61" ht="20" customHeight="1" s="252">
      <c r="A61" s="261" t="inlineStr">
        <is>
          <t>ITCC gross-up applies?</t>
        </is>
      </c>
      <c r="B61" s="346" t="inlineStr">
        <is>
          <t>Only if Rule 15/16 contribution arises</t>
        </is>
      </c>
      <c r="C61" s="367" t="inlineStr">
        <is>
          <t>CA ONLY — Tax on any contribution to utility-owned plant</t>
        </is>
      </c>
    </row>
    <row r="62" ht="15" customHeight="1" s="252">
      <c r="A62" s="261" t="inlineStr">
        <is>
          <t>Transformer pad location agreed with client?</t>
        </is>
      </c>
      <c r="B62" s="262" t="inlineStr">
        <is>
          <t>Yes</t>
        </is>
      </c>
      <c r="C62" s="264" t="inlineStr">
        <is>
          <t>Client must provide the space</t>
        </is>
      </c>
    </row>
    <row r="63" ht="20" customHeight="1" s="252">
      <c r="A63" s="261" t="inlineStr">
        <is>
          <t>Proof of commitment to purchase provided?</t>
        </is>
      </c>
      <c r="B63" s="262" t="inlineStr">
        <is>
          <t>Yes</t>
        </is>
      </c>
      <c r="C63" s="367" t="inlineStr">
        <is>
          <t>CA ONLY — Rule 29 requires a PO, budget approval or grant agreement</t>
        </is>
      </c>
    </row>
    <row r="64" ht="20" customHeight="1" s="252">
      <c r="A64" s="371" t="inlineStr">
        <is>
          <t>Client accepts the 5-year operate-and-maintain obligation?</t>
        </is>
      </c>
      <c r="B64" s="262" t="inlineStr">
        <is>
          <t>Yes</t>
        </is>
      </c>
      <c r="C64" s="367" t="inlineStr">
        <is>
          <t>CA ONLY — Rule 29 condition</t>
        </is>
      </c>
    </row>
    <row r="65" ht="20" customHeight="1" s="252">
      <c r="A65" s="371" t="inlineStr">
        <is>
          <t>Client accepts 30-business-day activation after energization?</t>
        </is>
      </c>
      <c r="B65" s="262" t="inlineStr">
        <is>
          <t>Yes</t>
        </is>
      </c>
      <c r="C65" s="367" t="inlineStr">
        <is>
          <t>CA ONLY — Rule 29 condition, 180 days maximum</t>
        </is>
      </c>
    </row>
    <row r="66" ht="15" customHeight="1" s="252">
      <c r="A66" s="261" t="inlineStr">
        <is>
          <t>Utility design submitted (date)</t>
        </is>
      </c>
      <c r="B66" s="262" t="n"/>
    </row>
    <row r="67" ht="15" customHeight="1" s="252">
      <c r="A67" s="261" t="inlineStr">
        <is>
          <t>Utility design returned (date)</t>
        </is>
      </c>
      <c r="B67" s="262" t="n"/>
    </row>
    <row r="69" ht="15" customHeight="1" s="252">
      <c r="A69" s="502" t="inlineStr">
        <is>
          <t>Retained infrastructure — replacement sites only</t>
        </is>
      </c>
    </row>
    <row r="70" ht="32" customHeight="1" s="252">
      <c r="A70" s="283" t="inlineStr">
        <is>
          <t>Mirrors the register on the Existing tab section B. Where an element is retained, the corresponding material take-off should be entered as zero rather than left at the standard build quantity. These checks say plainly which lines to zero. ON A GREENFIELD PROJECT THIS WHOLE BLOCK IS INERT and says so — the register can hold whatever it likes and none of it reaches the take-off.</t>
        </is>
      </c>
    </row>
    <row r="71" ht="20" customHeight="1" s="252">
      <c r="A71" s="261" t="inlineStr">
        <is>
          <t>Project type</t>
        </is>
      </c>
      <c r="B71" s="319">
        <f>Existing!$B$5</f>
        <v/>
      </c>
      <c r="C71" s="299" t="inlineStr">
        <is>
          <t>From the Existing tab.</t>
        </is>
      </c>
    </row>
    <row r="73" ht="20" customHeight="1" s="252">
      <c r="A73" s="292" t="inlineStr">
        <is>
          <t>Electrical element</t>
        </is>
      </c>
      <c r="B73" s="292" t="inlineStr">
        <is>
          <t>Decision</t>
        </is>
      </c>
      <c r="C73" s="292" t="inlineStr">
        <is>
          <t>What it means for the take-off</t>
        </is>
      </c>
      <c r="D73" s="293" t="n"/>
      <c r="E73" s="293" t="n"/>
      <c r="F73" s="293" t="n"/>
      <c r="G73" s="293" t="n"/>
    </row>
    <row r="74" ht="44" customHeight="1" s="252">
      <c r="A74" s="294" t="inlineStr">
        <is>
          <t>Utility service and meter</t>
        </is>
      </c>
      <c r="B74" s="294">
        <f>IF(Existing!$B$5="Greenfield — new service","n/a — greenfield",Existing!$B$13)</f>
        <v/>
      </c>
      <c r="C74" s="372">
        <f>IF($B$74="n/a — greenfield","Greenfield — there is nothing to retain, so this line has no bearing on the take-off. The full electrical scope is priced.",IF($B$74="RETAIN","No Rule 29 application, no new service, no interconnection allowance. Zero the utility lines below.",IF($B$74="NOT PRESENT","Not present on this site.","Price the new service and the Rule 29 scope in full.")))</f>
        <v/>
      </c>
    </row>
    <row r="75" ht="44" customHeight="1" s="252">
      <c r="A75" s="294" t="inlineStr">
        <is>
          <t>Service feeder</t>
        </is>
      </c>
      <c r="B75" s="294">
        <f>IF(Existing!$B$5="Greenfield — new service","n/a — greenfield",Existing!$B$14)</f>
        <v/>
      </c>
      <c r="C75" s="372">
        <f>IF($B$75="n/a — greenfield","Greenfield — there is nothing to retain, so this line has no bearing on the take-off. The full electrical scope is priced.",IF($B$75="RETAIN","Zero the service feeder conductor. Verify ampacity against the new load first.",IF($B$75="NOT PRESENT","Not present on this site.","Price the service feeder at the distances entered above.")))</f>
        <v/>
      </c>
    </row>
    <row r="76" ht="44" customHeight="1" s="252">
      <c r="A76" s="294" t="inlineStr">
        <is>
          <t>Switchgear</t>
        </is>
      </c>
      <c r="B76" s="294">
        <f>IF(Existing!$B$5="Greenfield — new service","n/a — greenfield",Existing!$B$15)</f>
        <v/>
      </c>
      <c r="C76" s="372">
        <f>IF($B$76="n/a — greenfield","Greenfield — there is nothing to retain, so this line has no bearing on the take-off. The full electrical scope is priced.",IF($B$76="RETAIN","Zero the switchgear line. Confirm the frame carries the new load — see the check on the Existing tab.",IF($B$76="NOT PRESENT","Not present on this site.","Price a new switchboard sized to the new load.")))</f>
        <v/>
      </c>
    </row>
    <row r="77" ht="44" customHeight="1" s="252">
      <c r="A77" s="294" t="inlineStr">
        <is>
          <t>Branch conductors</t>
        </is>
      </c>
      <c r="B77" s="294">
        <f>IF(Existing!$B$5="Greenfield — new service","n/a — greenfield",Existing!$B$16)</f>
        <v/>
      </c>
      <c r="C77" s="372">
        <f>IF($B$77="n/a — greenfield","Greenfield — there is nothing to retain, so this line has no bearing on the take-off. The full electrical scope is priced.",IF($B$77="RETAIN","Zero the feeder conductor and equipment ground. The largest single saving on a replacement.",IF($B$77="NOT PRESENT","Not present on this site.","Price branch conductors at the placement distances entered above.")))</f>
        <v/>
      </c>
    </row>
    <row r="78" ht="44" customHeight="1" s="252">
      <c r="A78" s="294" t="inlineStr">
        <is>
          <t>Conduit and trench</t>
        </is>
      </c>
      <c r="B78" s="294">
        <f>IF(Existing!$B$5="Greenfield — new service","n/a — greenfield",Existing!$B$17)</f>
        <v/>
      </c>
      <c r="C78" s="372">
        <f>IF($B$78="n/a — greenfield","Greenfield — there is nothing to retain, so this line has no bearing on the take-off. The full electrical scope is priced.",IF($B$78="RETAIN","Zero conduit, trenching, paving reinstatement and GPR. No ground is opened.",IF($B$78="NOT PRESENT","Not present on this site.","Price conduit and trenching in full.")))</f>
        <v/>
      </c>
    </row>
    <row r="79" ht="44" customHeight="1" s="252">
      <c r="A79" s="294" t="inlineStr">
        <is>
          <t>Branch breakers</t>
        </is>
      </c>
      <c r="B79" s="294">
        <f>IF(Existing!$B$5="Greenfield — new service","n/a — greenfield",Existing!$B$18)</f>
        <v/>
      </c>
      <c r="C79" s="372">
        <f>IF($B$79="n/a — greenfield","Greenfield — there is nothing to retain, so this line has no bearing on the take-off. The full electrical scope is priced.",IF($B$79="RETAIN","Rare. Breakers are normally replaced to match the new cabinet.",IF($B$79="NOT PRESENT","Not present on this site.","Price one breaker per new cabinet at the size on the Equipment tab.")))</f>
        <v/>
      </c>
    </row>
    <row r="81" ht="20" customHeight="1" s="252">
      <c r="A81" s="255" t="inlineStr">
        <is>
          <t>Electrical scope profile</t>
        </is>
      </c>
      <c r="B81" s="300">
        <f>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81" s="297" t="n"/>
      <c r="D81" s="276" t="inlineStr">
        <is>
          <t>The one-line summary of what the electrical estimate should contain.</t>
        </is>
      </c>
    </row>
    <row r="82" ht="32" customHeight="1" s="252">
      <c r="A82" s="255" t="inlineStr">
        <is>
          <t>Reuse feasibility</t>
        </is>
      </c>
      <c r="B82" s="300">
        <f>IF(Existing!$B$5="Greenfield — new service","n/a",IF(OR(Existing!$B$50="",Equipment!B23=""),"enter the existing service size and the new equipment",IF(Equipment!B23*1000/(Project!B29*SQRT(3))*1.25&lt;=Existing!$B$50,"OK — reuse is feasible on capacity grounds","REUSE NOT FEASIBLE — the new load exceeds the existing service. This is a service upgrade, not a swap.")))</f>
        <v/>
      </c>
      <c r="C82" s="297" t="n"/>
      <c r="D82" s="276" t="inlineStr">
        <is>
          <t>Repeats the Existing tab capacity test here, where the electrical estimate is actually built.</t>
        </is>
      </c>
    </row>
    <row r="85" ht="15" customHeight="1" s="252">
      <c r="A85" s="373" t="inlineStr">
        <is>
          <t>DC runs — moved to the foot of this tab</t>
        </is>
      </c>
    </row>
    <row r="86" ht="20" customHeight="1" s="252">
      <c r="A86" s="374" t="inlineStr">
        <is>
          <t>MOVED. The dispenser run schedule is now at row 171 of this tab, where it has 32 rows instead of 12 and totals bound to the table. It moved because a site with three 1.28 MW cabinets needs 24 rows, and the twelve-row table was extended by hand while the totals underneath went on summing the first twelve.</t>
        </is>
      </c>
    </row>
    <row r="87" ht="14.25" customHeight="1" s="252">
      <c r="A87" s="336" t="n"/>
      <c r="B87" s="336" t="n"/>
      <c r="C87" s="336" t="n"/>
      <c r="D87" s="336" t="n"/>
      <c r="E87" s="336" t="n"/>
      <c r="F87" s="336" t="n"/>
      <c r="G87" s="336" t="n"/>
      <c r="H87" s="336" t="n"/>
      <c r="I87" s="336" t="n"/>
      <c r="J87" s="336" t="n"/>
      <c r="K87" s="336" t="n"/>
      <c r="L87" s="336" t="n"/>
      <c r="M87" s="336" t="n"/>
      <c r="N87" s="336" t="n"/>
      <c r="O87" s="336" t="n"/>
      <c r="P87" s="336" t="n"/>
      <c r="Q87" s="336" t="n"/>
      <c r="R87" s="336" t="n"/>
      <c r="S87" s="336" t="n"/>
      <c r="T87" s="336" t="n"/>
      <c r="U87" s="336" t="n"/>
      <c r="V87" s="336" t="n"/>
    </row>
    <row r="88" hidden="1" ht="14.25" customHeight="1" s="252">
      <c r="A88" s="336" t="n"/>
      <c r="B88" s="336" t="n"/>
      <c r="C88" s="336" t="n"/>
      <c r="D88" s="336" t="n"/>
      <c r="E88" s="336" t="n"/>
      <c r="F88" s="336" t="n"/>
      <c r="G88" s="336" t="n"/>
      <c r="H88" s="336" t="n"/>
      <c r="I88" s="336" t="n"/>
      <c r="J88" s="336" t="n"/>
      <c r="K88" s="336" t="n"/>
      <c r="L88" s="336" t="n"/>
      <c r="M88" s="336" t="n"/>
      <c r="N88" s="336" t="n"/>
      <c r="O88" s="336" t="n"/>
      <c r="P88" s="336" t="n"/>
      <c r="Q88" s="336" t="n"/>
      <c r="R88" s="336" t="n"/>
      <c r="S88" s="336" t="n"/>
      <c r="T88" s="336" t="n"/>
      <c r="U88" s="336" t="n"/>
      <c r="V88" s="336" t="n"/>
    </row>
    <row r="89" hidden="1" ht="14.25" customHeight="1" s="252">
      <c r="A89" s="336" t="n"/>
      <c r="B89" s="336" t="n"/>
      <c r="C89" s="336" t="n"/>
      <c r="D89" s="336" t="n"/>
      <c r="E89" s="336" t="n"/>
      <c r="F89" s="336" t="n"/>
      <c r="G89" s="336" t="n"/>
      <c r="H89" s="336" t="n"/>
      <c r="I89" s="336" t="n"/>
      <c r="J89" s="336" t="n"/>
      <c r="K89" s="336" t="n"/>
      <c r="L89" s="336" t="n"/>
      <c r="M89" s="336" t="n"/>
      <c r="N89" s="336" t="n"/>
      <c r="O89" s="336" t="n"/>
      <c r="P89" s="336" t="n"/>
      <c r="Q89" s="336" t="n"/>
      <c r="R89" s="336" t="n"/>
      <c r="S89" s="336" t="n"/>
      <c r="T89" s="336" t="n"/>
      <c r="U89" s="336" t="n"/>
      <c r="V89" s="336" t="n"/>
    </row>
    <row r="90" hidden="1" ht="14.25" customHeight="1" s="252">
      <c r="A90" s="336" t="n"/>
      <c r="B90" s="336" t="n"/>
      <c r="C90" s="336" t="n"/>
      <c r="D90" s="336" t="n"/>
      <c r="E90" s="336" t="n"/>
      <c r="F90" s="336" t="n"/>
      <c r="G90" s="336" t="n"/>
      <c r="H90" s="336" t="n"/>
      <c r="I90" s="336" t="n"/>
      <c r="J90" s="336" t="n"/>
      <c r="K90" s="336" t="n"/>
      <c r="L90" s="336" t="n"/>
      <c r="M90" s="336" t="n"/>
      <c r="N90" s="336" t="n"/>
      <c r="O90" s="336" t="n"/>
      <c r="P90" s="336" t="n"/>
      <c r="Q90" s="336" t="n"/>
      <c r="R90" s="336" t="n"/>
      <c r="S90" s="336" t="n"/>
      <c r="T90" s="336" t="n"/>
      <c r="U90" s="336" t="n"/>
      <c r="V90" s="336" t="n"/>
    </row>
    <row r="91" hidden="1" ht="14.25" customHeight="1" s="252">
      <c r="A91" s="336" t="n"/>
      <c r="B91" s="336" t="n"/>
      <c r="C91" s="336" t="n"/>
      <c r="D91" s="336" t="n"/>
      <c r="E91" s="336" t="n"/>
      <c r="F91" s="336" t="n"/>
      <c r="G91" s="336" t="n"/>
      <c r="H91" s="336" t="n"/>
      <c r="I91" s="336" t="n"/>
      <c r="J91" s="336" t="n"/>
      <c r="K91" s="336" t="n"/>
      <c r="L91" s="336" t="n"/>
      <c r="M91" s="336" t="n"/>
      <c r="N91" s="336" t="n"/>
      <c r="O91" s="336" t="n"/>
      <c r="P91" s="336" t="n"/>
      <c r="Q91" s="336" t="n"/>
      <c r="R91" s="336" t="n"/>
      <c r="S91" s="336" t="n"/>
      <c r="T91" s="336" t="n"/>
      <c r="U91" s="336" t="n"/>
      <c r="V91" s="336" t="n"/>
    </row>
    <row r="92" hidden="1" ht="14.25" customHeight="1" s="252">
      <c r="A92" s="336" t="n"/>
      <c r="B92" s="336" t="n"/>
      <c r="C92" s="336" t="n"/>
      <c r="D92" s="336" t="n"/>
      <c r="E92" s="336" t="n"/>
      <c r="F92" s="336" t="n"/>
      <c r="G92" s="336" t="n"/>
      <c r="H92" s="336" t="n"/>
      <c r="I92" s="336" t="n"/>
      <c r="J92" s="336" t="n"/>
      <c r="K92" s="336" t="n"/>
      <c r="L92" s="336" t="n"/>
      <c r="M92" s="336" t="n"/>
      <c r="N92" s="336" t="n"/>
      <c r="O92" s="336" t="n"/>
      <c r="P92" s="336" t="n"/>
      <c r="Q92" s="336" t="n"/>
      <c r="R92" s="336" t="n"/>
      <c r="S92" s="336" t="n"/>
      <c r="T92" s="336" t="n"/>
      <c r="U92" s="336" t="n"/>
      <c r="V92" s="336" t="n"/>
    </row>
    <row r="93" hidden="1" ht="14.25" customHeight="1" s="252">
      <c r="A93" s="336" t="n"/>
      <c r="B93" s="336" t="n"/>
      <c r="C93" s="336" t="n"/>
      <c r="D93" s="336" t="n"/>
      <c r="E93" s="336" t="n"/>
      <c r="F93" s="336" t="n"/>
      <c r="G93" s="336" t="n"/>
      <c r="H93" s="336" t="n"/>
      <c r="I93" s="336" t="n"/>
      <c r="J93" s="336" t="n"/>
      <c r="K93" s="336" t="n"/>
      <c r="L93" s="336" t="n"/>
      <c r="M93" s="336" t="n"/>
      <c r="N93" s="336" t="n"/>
      <c r="O93" s="336" t="n"/>
      <c r="P93" s="336" t="n"/>
      <c r="Q93" s="336" t="n"/>
      <c r="R93" s="336" t="n"/>
      <c r="S93" s="336" t="n"/>
      <c r="T93" s="336" t="n"/>
      <c r="U93" s="336" t="n"/>
      <c r="V93" s="336" t="n"/>
    </row>
    <row r="94" hidden="1" ht="14.25" customHeight="1" s="252">
      <c r="A94" s="336" t="n"/>
      <c r="B94" s="336" t="n"/>
      <c r="C94" s="336" t="n"/>
      <c r="D94" s="336" t="n"/>
      <c r="E94" s="336" t="n"/>
      <c r="F94" s="336" t="n"/>
      <c r="G94" s="336" t="n"/>
      <c r="H94" s="336" t="n"/>
      <c r="I94" s="336" t="n"/>
      <c r="J94" s="336" t="n"/>
      <c r="K94" s="336" t="n"/>
      <c r="L94" s="336" t="n"/>
      <c r="M94" s="336" t="n"/>
      <c r="N94" s="336" t="n"/>
      <c r="O94" s="336" t="n"/>
      <c r="P94" s="336" t="n"/>
      <c r="Q94" s="336" t="n"/>
      <c r="R94" s="336" t="n"/>
      <c r="S94" s="336" t="n"/>
      <c r="T94" s="336" t="n"/>
      <c r="U94" s="336" t="n"/>
      <c r="V94" s="336" t="n"/>
    </row>
    <row r="95" hidden="1" ht="14.25" customHeight="1" s="252">
      <c r="A95" s="336" t="n"/>
      <c r="B95" s="336" t="n"/>
      <c r="C95" s="336" t="n"/>
      <c r="D95" s="336" t="n"/>
      <c r="E95" s="336" t="n"/>
      <c r="F95" s="336" t="n"/>
      <c r="G95" s="336" t="n"/>
      <c r="H95" s="336" t="n"/>
      <c r="I95" s="336" t="n"/>
      <c r="J95" s="336" t="n"/>
      <c r="K95" s="336" t="n"/>
      <c r="L95" s="336" t="n"/>
      <c r="M95" s="336" t="n"/>
      <c r="N95" s="336" t="n"/>
      <c r="O95" s="336" t="n"/>
      <c r="P95" s="336" t="n"/>
      <c r="Q95" s="336" t="n"/>
      <c r="R95" s="336" t="n"/>
      <c r="S95" s="336" t="n"/>
      <c r="T95" s="336" t="n"/>
      <c r="U95" s="336" t="n"/>
      <c r="V95" s="336" t="n"/>
    </row>
    <row r="96" hidden="1" ht="14.25" customHeight="1" s="252">
      <c r="A96" s="336" t="n"/>
      <c r="B96" s="336" t="n"/>
      <c r="C96" s="336" t="n"/>
      <c r="D96" s="336" t="n"/>
      <c r="E96" s="336" t="n"/>
      <c r="F96" s="336" t="n"/>
      <c r="G96" s="336" t="n"/>
      <c r="H96" s="336" t="n"/>
      <c r="I96" s="336" t="n"/>
      <c r="J96" s="336" t="n"/>
      <c r="K96" s="336" t="n"/>
      <c r="L96" s="336" t="n"/>
      <c r="M96" s="336" t="n"/>
      <c r="N96" s="336" t="n"/>
      <c r="O96" s="336" t="n"/>
      <c r="P96" s="336" t="n"/>
      <c r="Q96" s="336" t="n"/>
      <c r="R96" s="336" t="n"/>
      <c r="S96" s="336" t="n"/>
      <c r="T96" s="336" t="n"/>
      <c r="U96" s="336" t="n"/>
      <c r="V96" s="336" t="n"/>
    </row>
    <row r="97" hidden="1" ht="14.25" customHeight="1" s="252">
      <c r="A97" s="336" t="n"/>
      <c r="B97" s="336" t="n"/>
      <c r="C97" s="336" t="n"/>
      <c r="D97" s="336" t="n"/>
      <c r="E97" s="336" t="n"/>
      <c r="F97" s="336" t="n"/>
      <c r="G97" s="336" t="n"/>
      <c r="H97" s="336" t="n"/>
      <c r="I97" s="336" t="n"/>
      <c r="J97" s="336" t="n"/>
      <c r="K97" s="336" t="n"/>
      <c r="L97" s="336" t="n"/>
      <c r="M97" s="336" t="n"/>
      <c r="N97" s="336" t="n"/>
      <c r="O97" s="336" t="n"/>
      <c r="P97" s="336" t="n"/>
      <c r="Q97" s="336" t="n"/>
      <c r="R97" s="336" t="n"/>
      <c r="S97" s="336" t="n"/>
      <c r="T97" s="336" t="n"/>
      <c r="U97" s="336" t="n"/>
      <c r="V97" s="336" t="n"/>
    </row>
    <row r="98" hidden="1" ht="14.25" customHeight="1" s="252">
      <c r="A98" s="336" t="n"/>
      <c r="B98" s="336" t="n"/>
      <c r="C98" s="336" t="n"/>
      <c r="D98" s="336" t="n"/>
      <c r="E98" s="336" t="n"/>
      <c r="F98" s="336" t="n"/>
      <c r="G98" s="336" t="n"/>
      <c r="H98" s="336" t="n"/>
      <c r="I98" s="336" t="n"/>
      <c r="J98" s="336" t="n"/>
      <c r="K98" s="336" t="n"/>
      <c r="L98" s="336" t="n"/>
      <c r="M98" s="336" t="n"/>
      <c r="N98" s="336" t="n"/>
      <c r="O98" s="336" t="n"/>
      <c r="P98" s="336" t="n"/>
      <c r="Q98" s="336" t="n"/>
      <c r="R98" s="336" t="n"/>
      <c r="S98" s="336" t="n"/>
      <c r="T98" s="336" t="n"/>
      <c r="U98" s="336" t="n"/>
      <c r="V98" s="336" t="n"/>
    </row>
    <row r="99" hidden="1" ht="14.25" customHeight="1" s="252">
      <c r="A99" s="336" t="n"/>
      <c r="B99" s="336" t="n"/>
      <c r="C99" s="336" t="n"/>
      <c r="D99" s="336" t="n"/>
      <c r="E99" s="336" t="n"/>
      <c r="F99" s="336" t="n"/>
      <c r="G99" s="336" t="n"/>
      <c r="H99" s="336" t="n"/>
      <c r="I99" s="336" t="n"/>
      <c r="J99" s="336" t="n"/>
      <c r="K99" s="336" t="n"/>
      <c r="L99" s="336" t="n"/>
      <c r="M99" s="336" t="n"/>
      <c r="N99" s="336" t="n"/>
      <c r="O99" s="336" t="n"/>
      <c r="P99" s="336" t="n"/>
      <c r="Q99" s="336" t="n"/>
      <c r="R99" s="336" t="n"/>
      <c r="S99" s="336" t="n"/>
      <c r="T99" s="336" t="n"/>
      <c r="U99" s="336" t="n"/>
      <c r="V99" s="336" t="n"/>
    </row>
    <row r="100" hidden="1" ht="14.25" customHeight="1" s="252">
      <c r="A100" s="336" t="n"/>
      <c r="B100" s="336" t="n"/>
      <c r="C100" s="336" t="n"/>
      <c r="D100" s="336" t="n"/>
      <c r="E100" s="336" t="n"/>
      <c r="F100" s="336" t="n"/>
      <c r="G100" s="336" t="n"/>
      <c r="H100" s="336" t="n"/>
      <c r="I100" s="336" t="n"/>
      <c r="J100" s="336" t="n"/>
      <c r="K100" s="336" t="n"/>
      <c r="L100" s="336" t="n"/>
      <c r="M100" s="336" t="n"/>
      <c r="N100" s="336" t="n"/>
      <c r="O100" s="336" t="n"/>
      <c r="P100" s="336" t="n"/>
      <c r="Q100" s="336" t="n"/>
      <c r="R100" s="336" t="n"/>
      <c r="S100" s="336" t="n"/>
      <c r="T100" s="336" t="n"/>
      <c r="U100" s="336" t="n"/>
      <c r="V100" s="336" t="n"/>
    </row>
    <row r="101" hidden="1" ht="14.25" customHeight="1" s="252">
      <c r="A101" s="336" t="n"/>
      <c r="B101" s="336" t="n"/>
      <c r="C101" s="336" t="n"/>
      <c r="D101" s="336" t="n"/>
      <c r="E101" s="336" t="n"/>
      <c r="F101" s="336" t="n"/>
      <c r="G101" s="336" t="n"/>
      <c r="H101" s="336" t="n"/>
      <c r="I101" s="336" t="n"/>
      <c r="J101" s="336" t="n"/>
      <c r="K101" s="336" t="n"/>
      <c r="L101" s="336" t="n"/>
      <c r="M101" s="336" t="n"/>
      <c r="N101" s="336" t="n"/>
      <c r="O101" s="336" t="n"/>
      <c r="P101" s="336" t="n"/>
      <c r="Q101" s="336" t="n"/>
      <c r="R101" s="336" t="n"/>
      <c r="S101" s="336" t="n"/>
      <c r="T101" s="336" t="n"/>
      <c r="U101" s="336" t="n"/>
      <c r="V101" s="336" t="n"/>
    </row>
    <row r="102" hidden="1" ht="14.25" customHeight="1" s="252">
      <c r="A102" s="336" t="n"/>
      <c r="B102" s="336" t="n"/>
      <c r="C102" s="336" t="n"/>
      <c r="D102" s="336" t="n"/>
      <c r="E102" s="336" t="n"/>
      <c r="F102" s="336" t="n"/>
      <c r="G102" s="336" t="n"/>
      <c r="H102" s="336" t="n"/>
      <c r="I102" s="336" t="n"/>
      <c r="J102" s="336" t="n"/>
      <c r="K102" s="336" t="n"/>
      <c r="L102" s="336" t="n"/>
      <c r="M102" s="336" t="n"/>
      <c r="N102" s="336" t="n"/>
      <c r="O102" s="336" t="n"/>
      <c r="P102" s="336" t="n"/>
      <c r="Q102" s="336" t="n"/>
      <c r="R102" s="336" t="n"/>
      <c r="S102" s="336" t="n"/>
      <c r="T102" s="336" t="n"/>
      <c r="U102" s="336" t="n"/>
      <c r="V102" s="336" t="n"/>
    </row>
    <row r="103" hidden="1" ht="14.25" customHeight="1" s="252">
      <c r="A103" s="336" t="n"/>
      <c r="B103" s="336" t="n"/>
      <c r="C103" s="336" t="n"/>
      <c r="D103" s="336" t="n"/>
      <c r="E103" s="336" t="n"/>
      <c r="F103" s="336" t="n"/>
      <c r="G103" s="336" t="n"/>
      <c r="H103" s="336" t="n"/>
      <c r="I103" s="336" t="n"/>
      <c r="J103" s="336" t="n"/>
      <c r="K103" s="336" t="n"/>
      <c r="L103" s="336" t="n"/>
      <c r="M103" s="336" t="n"/>
      <c r="N103" s="336" t="n"/>
      <c r="O103" s="336" t="n"/>
      <c r="P103" s="336" t="n"/>
      <c r="Q103" s="336" t="n"/>
      <c r="R103" s="336" t="n"/>
      <c r="S103" s="336" t="n"/>
      <c r="T103" s="336" t="n"/>
      <c r="U103" s="336" t="n"/>
      <c r="V103" s="336" t="n"/>
    </row>
    <row r="104" hidden="1" ht="14.25" customHeight="1" s="252">
      <c r="A104" s="336" t="n"/>
      <c r="B104" s="336" t="n"/>
      <c r="C104" s="336" t="n"/>
      <c r="D104" s="336" t="n"/>
      <c r="E104" s="336" t="n"/>
      <c r="F104" s="336" t="n"/>
      <c r="G104" s="336" t="n"/>
      <c r="H104" s="336" t="n"/>
      <c r="I104" s="336" t="n"/>
      <c r="J104" s="336" t="n"/>
      <c r="K104" s="336" t="n"/>
      <c r="L104" s="336" t="n"/>
      <c r="M104" s="336" t="n"/>
      <c r="N104" s="336" t="n"/>
      <c r="O104" s="336" t="n"/>
      <c r="P104" s="336" t="n"/>
      <c r="Q104" s="336" t="n"/>
      <c r="R104" s="336" t="n"/>
      <c r="S104" s="336" t="n"/>
      <c r="T104" s="336" t="n"/>
      <c r="U104" s="336" t="n"/>
      <c r="V104" s="336" t="n"/>
    </row>
    <row r="105" hidden="1" ht="14.25" customHeight="1" s="252">
      <c r="A105" s="336" t="n"/>
      <c r="B105" s="336" t="n"/>
      <c r="C105" s="336" t="n"/>
      <c r="D105" s="336" t="n"/>
      <c r="E105" s="336" t="n"/>
      <c r="F105" s="336" t="n"/>
      <c r="G105" s="336" t="n"/>
      <c r="H105" s="336" t="n"/>
      <c r="I105" s="336" t="n"/>
      <c r="J105" s="336" t="n"/>
      <c r="K105" s="336" t="n"/>
      <c r="L105" s="336" t="n"/>
      <c r="M105" s="336" t="n"/>
      <c r="N105" s="336" t="n"/>
      <c r="O105" s="336" t="n"/>
      <c r="P105" s="336" t="n"/>
      <c r="Q105" s="336" t="n"/>
      <c r="R105" s="336" t="n"/>
      <c r="S105" s="336" t="n"/>
      <c r="T105" s="336" t="n"/>
      <c r="U105" s="336" t="n"/>
      <c r="V105" s="336" t="n"/>
    </row>
    <row r="106" hidden="1" ht="14.25" customHeight="1" s="252">
      <c r="A106" s="336" t="n"/>
      <c r="B106" s="336" t="n"/>
      <c r="C106" s="336" t="n"/>
      <c r="D106" s="336" t="n"/>
      <c r="E106" s="336" t="n"/>
      <c r="F106" s="336" t="n"/>
      <c r="G106" s="336" t="n"/>
      <c r="H106" s="336" t="n"/>
      <c r="I106" s="336" t="n"/>
      <c r="J106" s="336" t="n"/>
      <c r="K106" s="336" t="n"/>
      <c r="L106" s="336" t="n"/>
      <c r="M106" s="336" t="n"/>
      <c r="N106" s="336" t="n"/>
      <c r="O106" s="336" t="n"/>
      <c r="P106" s="336" t="n"/>
      <c r="Q106" s="336" t="n"/>
      <c r="R106" s="336" t="n"/>
      <c r="S106" s="336" t="n"/>
      <c r="T106" s="336" t="n"/>
      <c r="U106" s="336" t="n"/>
      <c r="V106" s="336" t="n"/>
    </row>
    <row r="107" hidden="1" ht="14.25" customHeight="1" s="252">
      <c r="A107" s="336" t="n"/>
      <c r="B107" s="336" t="n"/>
      <c r="C107" s="336" t="n"/>
      <c r="D107" s="336" t="n"/>
      <c r="E107" s="336" t="n"/>
      <c r="F107" s="336" t="n"/>
      <c r="G107" s="336" t="n"/>
      <c r="H107" s="336" t="n"/>
      <c r="I107" s="336" t="n"/>
      <c r="J107" s="336" t="n"/>
      <c r="K107" s="336" t="n"/>
      <c r="L107" s="336" t="n"/>
      <c r="M107" s="336" t="n"/>
      <c r="N107" s="336" t="n"/>
      <c r="O107" s="336" t="n"/>
      <c r="P107" s="336" t="n"/>
      <c r="Q107" s="336" t="n"/>
      <c r="R107" s="336" t="n"/>
      <c r="S107" s="336" t="n"/>
      <c r="T107" s="336" t="n"/>
      <c r="U107" s="336" t="n"/>
      <c r="V107" s="336" t="n"/>
    </row>
    <row r="108" hidden="1" ht="14.25" customHeight="1" s="252">
      <c r="A108" s="336" t="n"/>
      <c r="B108" s="336" t="n"/>
      <c r="C108" s="336" t="n"/>
      <c r="D108" s="336" t="n"/>
      <c r="E108" s="336" t="n"/>
      <c r="F108" s="336" t="n"/>
      <c r="G108" s="336" t="n"/>
      <c r="H108" s="336" t="n"/>
      <c r="I108" s="336" t="n"/>
      <c r="J108" s="336" t="n"/>
      <c r="K108" s="336" t="n"/>
      <c r="L108" s="336" t="n"/>
      <c r="M108" s="336" t="n"/>
      <c r="N108" s="336" t="n"/>
      <c r="O108" s="336" t="n"/>
      <c r="P108" s="336" t="n"/>
      <c r="Q108" s="336" t="n"/>
      <c r="R108" s="336" t="n"/>
      <c r="S108" s="336" t="n"/>
      <c r="T108" s="336" t="n"/>
      <c r="U108" s="336" t="n"/>
      <c r="V108" s="336" t="n"/>
    </row>
    <row r="109" hidden="1" ht="14.25" customHeight="1" s="252">
      <c r="A109" s="336" t="n"/>
      <c r="B109" s="336" t="n"/>
      <c r="C109" s="336" t="n"/>
      <c r="D109" s="336" t="n"/>
      <c r="E109" s="336" t="n"/>
      <c r="F109" s="336" t="n"/>
      <c r="G109" s="336" t="n"/>
      <c r="H109" s="336" t="n"/>
      <c r="I109" s="336" t="n"/>
      <c r="J109" s="336" t="n"/>
      <c r="K109" s="336" t="n"/>
      <c r="L109" s="336" t="n"/>
      <c r="M109" s="336" t="n"/>
      <c r="N109" s="336" t="n"/>
      <c r="O109" s="336" t="n"/>
      <c r="P109" s="336" t="n"/>
      <c r="Q109" s="336" t="n"/>
      <c r="R109" s="336" t="n"/>
      <c r="S109" s="336" t="n"/>
      <c r="T109" s="336" t="n"/>
      <c r="U109" s="336" t="n"/>
      <c r="V109" s="336" t="n"/>
    </row>
    <row r="110" hidden="1" ht="14.25" customHeight="1" s="252">
      <c r="A110" s="336" t="n"/>
      <c r="B110" s="336" t="n"/>
      <c r="C110" s="336" t="n"/>
      <c r="D110" s="336" t="n"/>
      <c r="E110" s="336" t="n"/>
      <c r="F110" s="336" t="n"/>
      <c r="G110" s="336" t="n"/>
      <c r="H110" s="336" t="n"/>
      <c r="I110" s="336" t="n"/>
      <c r="J110" s="336" t="n"/>
      <c r="K110" s="336" t="n"/>
      <c r="L110" s="336" t="n"/>
      <c r="M110" s="336" t="n"/>
      <c r="N110" s="336" t="n"/>
      <c r="O110" s="336" t="n"/>
      <c r="P110" s="336" t="n"/>
      <c r="Q110" s="336" t="n"/>
      <c r="R110" s="336" t="n"/>
      <c r="S110" s="336" t="n"/>
      <c r="T110" s="336" t="n"/>
      <c r="U110" s="336" t="n"/>
      <c r="V110" s="336" t="n"/>
    </row>
    <row r="111" ht="14.25" customHeight="1" s="252">
      <c r="A111" s="336" t="n"/>
      <c r="B111" s="336" t="n"/>
      <c r="C111" s="336" t="n"/>
      <c r="D111" s="336" t="n"/>
      <c r="E111" s="336" t="n"/>
      <c r="F111" s="336" t="n"/>
      <c r="G111" s="336" t="n"/>
      <c r="H111" s="336" t="n"/>
      <c r="I111" s="336" t="n"/>
      <c r="J111" s="336" t="n"/>
      <c r="K111" s="336" t="n"/>
      <c r="L111" s="336" t="n"/>
      <c r="M111" s="336" t="n"/>
      <c r="N111" s="336" t="n"/>
      <c r="O111" s="336" t="n"/>
      <c r="P111" s="336" t="n"/>
      <c r="Q111" s="336" t="n"/>
      <c r="R111" s="336" t="n"/>
      <c r="S111" s="336" t="n"/>
      <c r="T111" s="336" t="n"/>
      <c r="U111" s="336" t="n"/>
      <c r="V111" s="336" t="n"/>
    </row>
    <row r="114" ht="14.25" customHeight="1" s="252"/>
    <row r="115" ht="14.25" customHeight="1" s="252">
      <c r="A115" s="336" t="n"/>
      <c r="B115" s="336" t="n"/>
      <c r="C115" s="336" t="n"/>
      <c r="D115" s="336" t="n"/>
      <c r="E115" s="336" t="n"/>
      <c r="F115" s="336" t="n"/>
      <c r="G115" s="336" t="n"/>
      <c r="H115" s="336" t="n"/>
      <c r="I115" s="336" t="n"/>
      <c r="J115" s="336" t="n"/>
      <c r="K115" s="336" t="n"/>
      <c r="L115" s="336" t="n"/>
      <c r="M115" s="336" t="n"/>
      <c r="N115" s="336" t="n"/>
      <c r="O115" s="336" t="n"/>
      <c r="P115" s="336" t="n"/>
      <c r="Q115" s="336" t="n"/>
      <c r="R115" s="336" t="n"/>
      <c r="S115" s="336" t="n"/>
      <c r="T115" s="336" t="n"/>
      <c r="U115" s="336" t="n"/>
      <c r="V115" s="336" t="n"/>
    </row>
    <row r="116" ht="51.75" customHeight="1" s="252">
      <c r="A116" s="375" t="inlineStr">
        <is>
          <t>SERVICE FEEDER — TRANSFORMER TO SWITCHGEAR</t>
        </is>
      </c>
      <c r="B116" s="297" t="n"/>
      <c r="C116" s="297" t="n"/>
      <c r="D116" s="297" t="n"/>
      <c r="E116" s="297" t="n"/>
      <c r="F116" s="297" t="n"/>
      <c r="G116" s="297" t="n"/>
      <c r="H116" s="297" t="n"/>
      <c r="I116" s="297" t="n"/>
      <c r="J116" s="297" t="n"/>
      <c r="K116" s="297" t="n"/>
      <c r="L116" s="297" t="n"/>
      <c r="M116" s="297" t="n"/>
      <c r="N116" s="297" t="n"/>
    </row>
    <row r="117" ht="20" customHeight="1" s="252">
      <c r="A117" s="349" t="inlineStr">
        <is>
          <t>One feeder carrying the whole site, so the load is the equipment tab's total rather than any single unit. The columns line up with the AC branch table above — load, distance, current, device, floor, size, sets, verdict all sit in the same columns — so the two tables can be read against each other. The distance is read from the Service and switchgear block above; do not retype it here.</t>
        </is>
      </c>
      <c r="B117" s="297" t="n"/>
      <c r="C117" s="297" t="n"/>
      <c r="D117" s="297" t="n"/>
      <c r="E117" s="297" t="n"/>
      <c r="F117" s="297" t="n"/>
      <c r="G117" s="297" t="n"/>
      <c r="H117" s="297" t="n"/>
      <c r="I117" s="297" t="n"/>
      <c r="J117" s="297" t="n"/>
      <c r="K117" s="297" t="n"/>
      <c r="L117" s="297" t="n"/>
      <c r="M117" s="297" t="n"/>
      <c r="N117" s="297" t="n"/>
    </row>
    <row r="118" ht="32" customHeight="1" s="252">
      <c r="A118" s="505" t="inlineStr">
        <is>
          <t>Governing rule</t>
        </is>
      </c>
      <c r="B118" s="376" t="inlineStr">
        <is>
          <t>Service conductor — NEC 230.42</t>
        </is>
      </c>
      <c r="C118" s="349" t="inlineStr">
        <is>
          <t>A conductor from the utility transformer to the service disconnect is a SERVICE conductor. Its overcurrent device sits at the far end, in the switchgear, so NEC 240.4(C) — which sizes a conductor to the device feeding it — does not apply. 230.42(A) asks for 125% of the continuous load, which is the same figure the branch runs start from but without the step up to the next standard device. Switch to Feeder if the run is protected at its supply end.</t>
        </is>
      </c>
      <c r="D118" s="297" t="n"/>
      <c r="E118" s="297" t="n"/>
      <c r="F118" s="297" t="n"/>
      <c r="G118" s="297" t="n"/>
      <c r="H118" s="297" t="n"/>
      <c r="I118" s="297" t="n"/>
      <c r="J118" s="297" t="n"/>
      <c r="K118" s="297" t="n"/>
      <c r="L118" s="297" t="n"/>
      <c r="M118" s="297" t="n"/>
      <c r="N118" s="297" t="n"/>
    </row>
    <row r="119" ht="32" customHeight="1" s="252">
      <c r="A119" s="505" t="inlineStr">
        <is>
          <t>Who provides this run?</t>
        </is>
      </c>
      <c r="B119" s="376" t="inlineStr">
        <is>
          <t>Utility — EV infrastructure rule</t>
        </is>
      </c>
      <c r="C119" s="349" t="inlineStr">
        <is>
          <t>Under the California IOUs' EV infrastructure rules — PG&amp;E Electric Rule 29, SDG&amp;E Rule 45 and their equivalents — the utility designs, builds and owns the service from its transformer to the customer's service equipment. On those projects this run is NOT ours to price, and the bid excludes it by name rather than carrying it silently. It is still sized here, because we have to coordinate with what the utility installs and check it carries the load. Switch to Zero Impact Energy where the service point sits at the transformer secondary and the conductors are genuinely customer-side.</t>
        </is>
      </c>
      <c r="D119" s="297" t="n"/>
      <c r="E119" s="297" t="n"/>
      <c r="F119" s="297" t="n"/>
      <c r="G119" s="297" t="n"/>
      <c r="H119" s="297" t="n"/>
      <c r="I119" s="297" t="n"/>
      <c r="J119" s="297" t="n"/>
      <c r="K119" s="297" t="n"/>
      <c r="L119" s="297" t="n"/>
      <c r="M119" s="297" t="n"/>
      <c r="N119" s="297" t="n"/>
    </row>
    <row r="120" ht="20" customHeight="1" s="252">
      <c r="A120" s="505" t="inlineStr">
        <is>
          <t>Design ambient for this run (C)</t>
        </is>
      </c>
      <c r="B120" s="327" t="n"/>
      <c r="C120" s="347" t="inlineStr">
        <is>
          <t>Site data for THIS run. A buried duct bank and a run on a south wall are different numbers, and neither is a house default.</t>
        </is>
      </c>
      <c r="D120" s="297" t="n"/>
      <c r="E120" s="297" t="n"/>
      <c r="F120" s="297" t="n"/>
      <c r="G120" s="297" t="n"/>
      <c r="H120" s="297" t="n"/>
      <c r="I120" s="297" t="n"/>
      <c r="J120" s="297" t="n"/>
      <c r="K120" s="297" t="n"/>
      <c r="L120" s="297" t="n"/>
      <c r="M120" s="297" t="n"/>
      <c r="N120" s="297" t="n"/>
    </row>
    <row r="122" ht="20" customHeight="1" s="252">
      <c r="A122" s="351" t="inlineStr">
        <is>
          <t>Run</t>
        </is>
      </c>
      <c r="B122" s="351" t="inlineStr">
        <is>
          <t>Conductor material</t>
        </is>
      </c>
      <c r="C122" s="351" t="inlineStr">
        <is>
          <t>Site load kW (auto)</t>
        </is>
      </c>
      <c r="D122" s="351" t="inlineStr">
        <is>
          <t>Distance to switchgear (ft)</t>
        </is>
      </c>
      <c r="E122" s="352" t="inlineStr">
        <is>
          <t>Design current A (auto)</t>
        </is>
      </c>
      <c r="F122" s="352" t="inlineStr">
        <is>
          <t>Continuous 125% A (auto)</t>
        </is>
      </c>
      <c r="G122" s="351" t="inlineStr">
        <is>
          <t>OCPD A (auto)</t>
        </is>
      </c>
      <c r="H122" s="352" t="inlineStr">
        <is>
          <t>Ampacity floor A (auto)</t>
        </is>
      </c>
      <c r="I122" s="352" t="inlineStr">
        <is>
          <t>Conductor size</t>
        </is>
      </c>
      <c r="J122" s="352" t="inlineStr">
        <is>
          <t>Sets in parallel</t>
        </is>
      </c>
      <c r="K122" s="352" t="inlineStr">
        <is>
          <t>Ampacity per set, corrected (auto)</t>
        </is>
      </c>
      <c r="L122" s="352" t="inlineStr">
        <is>
          <t>Provided A (auto)</t>
        </is>
      </c>
      <c r="M122" s="352" t="inlineStr">
        <is>
          <t>Voltage drop % (auto)</t>
        </is>
      </c>
      <c r="N122" s="352" t="inlineStr">
        <is>
          <t>Verdict (auto)</t>
        </is>
      </c>
      <c r="O122" s="287" t="inlineStr">
        <is>
          <t>Per lateral. A two-board service has two of these runs, and asking one conductor to carry 6,303 A was a question with no answer.</t>
        </is>
      </c>
    </row>
    <row r="123" ht="20" customHeight="1" s="252">
      <c r="A123" s="505" t="inlineStr">
        <is>
          <t>Transformer to switchgear</t>
        </is>
      </c>
      <c r="B123" s="323" t="n"/>
      <c r="C123" s="353">
        <f>Equipment!$B$23</f>
        <v/>
      </c>
      <c r="D123" s="354">
        <f>$B$31</f>
        <v/>
      </c>
      <c r="E123" s="354">
        <f>IF(N($C123)=0,"",N($C123)*1000/(Project!$B$29*SQRT(3))/MAX(1,N($B$36)))</f>
        <v/>
      </c>
      <c r="F123" s="354">
        <f>IF(N($E123)=0,"",N($E123)*1.25)</f>
        <v/>
      </c>
      <c r="G123" s="354">
        <f>IF(N($F$123)=0,"",IF(ISNUMBER(MATCH($F$123,OCPD_LIST,0)),$F$123,IF($F$123&gt;MAX(OCPD_LIST),"ABOVE THE LARGEST STANDARD DEVICE — "&amp;TEXT($F$123,"#,##0")&amp;" A is past the end of the standard frame list. This is a switchboard quote and probably a medium-voltage service, not a catalogue item.",INDEX(OCPD_LIST,MATCH($F$123,OCPD_LIST,1)+1))))</f>
        <v/>
      </c>
      <c r="H123" s="354">
        <f>IF(N($F$123)=0,"",IF(LEFT($B$118,7)="Service",N($F$123),IF(N($G$123)&gt;800,N($G$123),N($F$123))))</f>
        <v/>
      </c>
      <c r="I123" s="323" t="n"/>
      <c r="J123" s="327" t="n"/>
      <c r="K123" s="354">
        <f>IF($I$123="","",IFERROR(MIN(N(INDEX(AMP_TBL,MATCH($I$123,AMP_SIZE,0),MATCH($B$123&amp;"-"&amp;TEXT($F$6,"0"),AMP_HDR,0)))*N(INDEX(AMB_TBL,IF(ISNUMBER(MATCH($B$120,AMB_MAX,0)),MATCH($B$120,AMB_MAX,0),MATCH($B$120,AMB_MAX,1)+1),MATCH(TEXT($F$6,"0"),AMB_HDR,0))),N(INDEX(AMP_TBL,MATCH($I$123,AMP_SIZE,0),MATCH($B$123&amp;"-"&amp;TEXT($F$7,"0"),AMP_HDR,0)))),""))</f>
        <v/>
      </c>
      <c r="L123" s="354">
        <f>IF(N($K$123)=0,"",N($K$123)*MAX(1,N($J$123)))</f>
        <v/>
      </c>
      <c r="M123" s="355">
        <f>IF(OR($I$123="",N($D$123)=0,N($E$123)=0),"",IFERROR(SQRT(3)*N($E$123)/MAX(1,N($J$123))*N($D$123)*N(INDEX(Z_TBL,MATCH($I$123,Z_SIZE,0),IF($B$123="Cu",1,2)))/1000/Project!$B$29,""))</f>
        <v/>
      </c>
      <c r="N123" s="356">
        <f>IF(LEFT($B$119,7)="Utility","n/a — the serving utility provides this run under its EV infrastructure rule, so it is not sized or costed here",IF(N($C$123)=0,"no connected load on the equipment tab",IF($I$123="","pick a conductor size",IF(N($K$123)=0,"no ampacity on file for that size and material — NEC Table 310.16 does not list the combination",IF(N($J$123)=0,"enter the number of parallel sets",IF(N($L$123)&lt;N($H$123),"UNDERSIZED — "&amp;TEXT(N($L$123),"#,##0")&amp;" A provided against a floor of "&amp;TEXT(N($H$123),"#,##0")&amp;" A, set by "&amp;$B$118,IF(N($M$123)&gt;N($F$8),"ampacity OK, but voltage drop "&amp;TEXT(N($M$123),"0.00%")&amp;" exceeds the "&amp;TEXT($F$8,"0.0%")&amp;" allowance — ADVISORY, the impedance table is unverified","OK — "&amp;TEXT(N($L$123),"#,##0")&amp;" A against a "&amp;TEXT(N($H$123),"#,##0")&amp;" A floor ("&amp;$B$118&amp;"); voltage drop "&amp;TEXT(N($M$123),"0.00%")&amp;" (ADVISORY). "&amp;IF(LEFT($B$119,7)="Utility","UTILITY SCOPE — sized for coordination, NOT priced in the bid.","Priced in the bid as customer-side scope."))))))))</f>
        <v/>
      </c>
      <c r="O123" s="287" t="inlineStr">
        <is>
          <t>Stands down when the utility provides the run. It used to say "pick a conductor size" about a conductor that is not in our scope.</t>
        </is>
      </c>
    </row>
    <row r="125" ht="20" customHeight="1" s="252">
      <c r="A125" s="377" t="inlineStr">
        <is>
          <t>The branch runs above take their conductor material from the Materials block and their ambient from the sizing basis beside it. This run takes both from the two blue cells at the top of this block, because a long buried aluminium service feeding short copper branches is an ordinary design and the sheet should let you say so. Whatever is picked here is what the bid prices — the model no longer chooses.</t>
        </is>
      </c>
      <c r="B125" s="297" t="n"/>
      <c r="C125" s="297" t="n"/>
      <c r="D125" s="297" t="n"/>
      <c r="E125" s="297" t="n"/>
      <c r="F125" s="297" t="n"/>
      <c r="G125" s="297" t="n"/>
      <c r="H125" s="297" t="n"/>
      <c r="I125" s="297" t="n"/>
      <c r="J125" s="297" t="n"/>
      <c r="K125" s="297" t="n"/>
      <c r="L125" s="297" t="n"/>
      <c r="M125" s="297" t="n"/>
      <c r="N125" s="297" t="n"/>
    </row>
    <row r="127" ht="14.25" customHeight="1" s="252">
      <c r="A127" s="373" t="inlineStr">
        <is>
          <t>DISTRIBUTION EQUIPMENT SCHEDULE</t>
        </is>
      </c>
    </row>
    <row r="128" ht="32" customHeight="1" s="252">
      <c r="A128" s="378" t="inlineStr">
        <is>
          <t>Every board, panel, disconnect and transformer between the point of connection and the chargers. Until this block existed the workbook modelled one switchboard and nothing else, so a two-voltage site had nowhere to put its subpanels and they arrived as one lump in the Overrides register. Price each line or say who does: an unpriced row in a schedule reads as free.</t>
        </is>
      </c>
    </row>
    <row r="129" ht="20" customHeight="1" s="252">
      <c r="A129" s="351" t="inlineStr">
        <is>
          <t>Item</t>
        </is>
      </c>
      <c r="B129" s="351" t="inlineStr">
        <is>
          <t>Type</t>
        </is>
      </c>
      <c r="C129" s="351" t="inlineStr">
        <is>
          <t>Qty</t>
        </is>
      </c>
      <c r="D129" s="351" t="inlineStr">
        <is>
          <t>Volts</t>
        </is>
      </c>
      <c r="E129" s="352" t="inlineStr">
        <is>
          <t>Phases</t>
        </is>
      </c>
      <c r="F129" s="352" t="inlineStr">
        <is>
          <t>Rating (A)</t>
        </is>
      </c>
      <c r="G129" s="351" t="inlineStr">
        <is>
          <t>Fed from</t>
        </is>
      </c>
      <c r="H129" s="352" t="inlineStr">
        <is>
          <t>What it feeds</t>
        </is>
      </c>
      <c r="I129" s="352" t="inlineStr">
        <is>
          <t>Location</t>
        </is>
      </c>
      <c r="J129" s="352" t="inlineStr">
        <is>
          <t>Who provides</t>
        </is>
      </c>
      <c r="K129" s="352" t="inlineStr">
        <is>
          <t>Cost basis</t>
        </is>
      </c>
      <c r="L129" s="352" t="inlineStr">
        <is>
          <t>Quoted cost ($)</t>
        </is>
      </c>
    </row>
    <row r="130" ht="14.25" customHeight="1" s="252">
      <c r="A130" s="323" t="inlineStr">
        <is>
          <t>EVSE disconnects</t>
        </is>
      </c>
      <c r="B130" s="323" t="inlineStr">
        <is>
          <t>EVSE disconnect</t>
        </is>
      </c>
      <c r="C130" s="323" t="n">
        <v>4</v>
      </c>
      <c r="D130" s="323" t="n">
        <v>480</v>
      </c>
      <c r="E130" s="323" t="n">
        <v>3</v>
      </c>
      <c r="F130" s="323" t="n">
        <v>600</v>
      </c>
      <c r="G130" s="323" t="inlineStr">
        <is>
          <t>MSB</t>
        </is>
      </c>
      <c r="H130" s="323" t="inlineStr">
        <is>
          <t>TP5 cabinets</t>
        </is>
      </c>
      <c r="I130" s="323" t="inlineStr">
        <is>
          <t>Pad</t>
        </is>
      </c>
      <c r="J130" s="323" t="inlineStr">
        <is>
          <t>Zero Impact Energy</t>
        </is>
      </c>
      <c r="K130" s="323" t="inlineStr">
        <is>
          <t>Vendor quote</t>
        </is>
      </c>
      <c r="L130" s="379" t="n">
        <v>12000</v>
      </c>
    </row>
    <row r="131" ht="14.25" customHeight="1" s="252">
      <c r="A131" s="323" t="n"/>
      <c r="B131" s="323" t="n"/>
      <c r="C131" s="323" t="n"/>
      <c r="D131" s="323" t="n"/>
      <c r="E131" s="323" t="n"/>
      <c r="F131" s="323" t="n"/>
      <c r="G131" s="323" t="n"/>
      <c r="H131" s="323" t="n"/>
      <c r="I131" s="323" t="n"/>
      <c r="J131" s="323" t="n"/>
      <c r="K131" s="323" t="n"/>
      <c r="L131" s="379" t="n"/>
    </row>
    <row r="132" ht="14.25" customHeight="1" s="252">
      <c r="A132" s="323" t="n"/>
      <c r="B132" s="323" t="n"/>
      <c r="C132" s="323" t="n"/>
      <c r="D132" s="323" t="n"/>
      <c r="E132" s="323" t="n"/>
      <c r="F132" s="323" t="n"/>
      <c r="G132" s="323" t="n"/>
      <c r="H132" s="323" t="n"/>
      <c r="I132" s="323" t="n"/>
      <c r="J132" s="323" t="n"/>
      <c r="K132" s="323" t="n"/>
      <c r="L132" s="379" t="n"/>
    </row>
    <row r="133" ht="14.25" customHeight="1" s="252">
      <c r="A133" s="323" t="n"/>
      <c r="B133" s="323" t="n"/>
      <c r="C133" s="323" t="n"/>
      <c r="D133" s="323" t="n"/>
      <c r="E133" s="323" t="n"/>
      <c r="F133" s="323" t="n"/>
      <c r="G133" s="323" t="n"/>
      <c r="H133" s="323" t="n"/>
      <c r="I133" s="323" t="n"/>
      <c r="J133" s="323" t="n"/>
      <c r="K133" s="323" t="n"/>
      <c r="L133" s="379" t="n"/>
    </row>
    <row r="134" ht="14.25" customHeight="1" s="252">
      <c r="A134" s="323" t="n"/>
      <c r="B134" s="323" t="n"/>
      <c r="C134" s="323" t="n"/>
      <c r="D134" s="323" t="n"/>
      <c r="E134" s="323" t="n"/>
      <c r="F134" s="323" t="n"/>
      <c r="G134" s="323" t="n"/>
      <c r="H134" s="323" t="n"/>
      <c r="I134" s="323" t="n"/>
      <c r="J134" s="323" t="n"/>
      <c r="K134" s="323" t="n"/>
      <c r="L134" s="379" t="n"/>
    </row>
    <row r="135" ht="14.25" customHeight="1" s="252">
      <c r="A135" s="323" t="n"/>
      <c r="B135" s="323" t="n"/>
      <c r="C135" s="323" t="n"/>
      <c r="D135" s="323" t="n"/>
      <c r="E135" s="323" t="n"/>
      <c r="F135" s="323" t="n"/>
      <c r="G135" s="323" t="n"/>
      <c r="H135" s="323" t="n"/>
      <c r="I135" s="323" t="n"/>
      <c r="J135" s="323" t="n"/>
      <c r="K135" s="323" t="n"/>
      <c r="L135" s="379" t="n"/>
    </row>
    <row r="136" ht="14.25" customHeight="1" s="252">
      <c r="A136" s="323" t="n"/>
      <c r="B136" s="323" t="n"/>
      <c r="C136" s="323" t="n"/>
      <c r="D136" s="323" t="n"/>
      <c r="E136" s="323" t="n"/>
      <c r="F136" s="323" t="n"/>
      <c r="G136" s="323" t="n"/>
      <c r="H136" s="323" t="n"/>
      <c r="I136" s="323" t="n"/>
      <c r="J136" s="323" t="n"/>
      <c r="K136" s="323" t="n"/>
      <c r="L136" s="379" t="n"/>
    </row>
    <row r="137" ht="14.25" customHeight="1" s="252">
      <c r="A137" s="323" t="n"/>
      <c r="B137" s="323" t="n"/>
      <c r="C137" s="323" t="n"/>
      <c r="D137" s="323" t="n"/>
      <c r="E137" s="323" t="n"/>
      <c r="F137" s="323" t="n"/>
      <c r="G137" s="323" t="n"/>
      <c r="H137" s="323" t="n"/>
      <c r="I137" s="323" t="n"/>
      <c r="J137" s="323" t="n"/>
      <c r="K137" s="323" t="n"/>
      <c r="L137" s="379" t="n"/>
    </row>
    <row r="138" ht="14.25" customHeight="1" s="252">
      <c r="A138" s="323" t="n"/>
      <c r="B138" s="323" t="n"/>
      <c r="C138" s="323" t="n"/>
      <c r="D138" s="323" t="n"/>
      <c r="E138" s="323" t="n"/>
      <c r="F138" s="323" t="n"/>
      <c r="G138" s="323" t="n"/>
      <c r="H138" s="323" t="n"/>
      <c r="I138" s="323" t="n"/>
      <c r="J138" s="323" t="n"/>
      <c r="K138" s="323" t="n"/>
      <c r="L138" s="379" t="n"/>
    </row>
    <row r="139" ht="14.25" customHeight="1" s="252">
      <c r="A139" s="323" t="n"/>
      <c r="B139" s="323" t="n"/>
      <c r="C139" s="323" t="n"/>
      <c r="D139" s="323" t="n"/>
      <c r="E139" s="323" t="n"/>
      <c r="F139" s="323" t="n"/>
      <c r="G139" s="323" t="n"/>
      <c r="H139" s="323" t="n"/>
      <c r="I139" s="323" t="n"/>
      <c r="J139" s="323" t="n"/>
      <c r="K139" s="323" t="n"/>
      <c r="L139" s="379" t="n"/>
    </row>
    <row r="140" ht="14.25" customHeight="1" s="252">
      <c r="A140" s="323" t="n"/>
      <c r="B140" s="323" t="n"/>
      <c r="C140" s="323" t="n"/>
      <c r="D140" s="323" t="n"/>
      <c r="E140" s="323" t="n"/>
      <c r="F140" s="323" t="n"/>
      <c r="G140" s="323" t="n"/>
      <c r="H140" s="323" t="n"/>
      <c r="I140" s="323" t="n"/>
      <c r="J140" s="323" t="n"/>
      <c r="K140" s="323" t="n"/>
      <c r="L140" s="379" t="n"/>
    </row>
    <row r="141" ht="14.25" customHeight="1" s="252">
      <c r="A141" s="323" t="n"/>
      <c r="B141" s="323" t="n"/>
      <c r="C141" s="323" t="n"/>
      <c r="D141" s="323" t="n"/>
      <c r="E141" s="323" t="n"/>
      <c r="F141" s="323" t="n"/>
      <c r="G141" s="323" t="n"/>
      <c r="H141" s="323" t="n"/>
      <c r="I141" s="323" t="n"/>
      <c r="J141" s="323" t="n"/>
      <c r="K141" s="323" t="n"/>
      <c r="L141" s="379" t="n"/>
    </row>
    <row r="142" ht="14.25" customHeight="1" s="252">
      <c r="A142" s="358" t="inlineStr">
        <is>
          <t>Items scheduled</t>
        </is>
      </c>
      <c r="B142" s="265">
        <f>SUMPRODUCT(--($A$130:$A$141&lt;&gt;""),--($C$130:$C$141&gt;0))*0+SUM($C$130:$C$141)</f>
        <v/>
      </c>
    </row>
    <row r="143" ht="20" customHeight="1" s="252">
      <c r="A143" s="358" t="inlineStr">
        <is>
          <t>Distribution equipment cost ($)</t>
        </is>
      </c>
      <c r="B143" s="359">
        <f>SUM($L$130:$L$141)</f>
        <v/>
      </c>
      <c r="C143" s="367" t="inlineStr">
        <is>
          <t>Carried into the cost build-up as distribution equipment, at the materials markup. Enter it in the Overrides register if a single vendor quote covers the whole schedule.</t>
        </is>
      </c>
    </row>
    <row r="144" ht="33.75" customHeight="1" s="252">
      <c r="A144" s="358" t="inlineStr">
        <is>
          <t>Every item priced?</t>
        </is>
      </c>
      <c r="B144" s="265">
        <f>IF(COUNTA($A$130:$A$141)=0,"OK — nothing scheduled yet",IF(SUMPRODUCT(--($A$130:$A$141&lt;&gt;""),--($L$130:$L$141=0),--($K$130:$K$141&lt;&gt;"By others"),--($K$130:$K$141&lt;&gt;"Priced elsewhere in this workbook"))&gt;0,"UNPRICED — a scheduled item carries no cost. Read the Cost basis column: an allowance nobody has set is still a hole, and every cost in this workbook is short by it.","OK — every scheduled item carries a cost or is provided by others"))</f>
        <v/>
      </c>
      <c r="C144" s="361" t="n"/>
    </row>
    <row r="145" ht="33.75" customHeight="1" s="252">
      <c r="A145" s="358" t="inlineStr">
        <is>
          <t>Every item fed from something?</t>
        </is>
      </c>
      <c r="B145" s="265">
        <f>IF(COUNTA($A$130:$A$141)=0,"OK — nothing scheduled yet",IF(SUMPRODUCT(--($A$130:$A$141&lt;&gt;""),--($G$130:$G$141=""))&gt;0,"INCOMPLETE — an item has no source named. A panel nobody feeds is a panel nobody costed a feeder to.","OK — every item names what feeds it"))</f>
        <v/>
      </c>
      <c r="C145" s="361" t="n"/>
    </row>
    <row r="146" ht="33.75" customHeight="1" s="252">
      <c r="A146" s="358" t="inlineStr">
        <is>
          <t>EVSE disconnects — NEC 625.43</t>
        </is>
      </c>
      <c r="B146" s="265">
        <f>IF(COUNTA($A$130:$A$141)=0,"OK — nothing scheduled yet","ADVISORY — "&amp;TEXT(SUMIF($B$130:$B$141,"EVSE disconnect",$C$130:$C$141),"0")&amp;"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46" s="361" t="n"/>
    </row>
    <row r="148" ht="14.25" customHeight="1" s="252">
      <c r="A148" s="373" t="inlineStr">
        <is>
          <t>LEVEL 2 BRANCH CIRCUITS</t>
        </is>
      </c>
    </row>
    <row r="149" ht="32" customHeight="1" s="252">
      <c r="A149" s="378" t="inlineStr">
        <is>
          <t>Level 2 units are single-phase branch circuits off a panelboard, not three-phase feeders off a switchboard, and the AC runs table above cannot express them — it also holds only twelve rows, which a site with four DC units and ten Level 2 exceeds. Ampacity is read from the same RefData table and corrected at the same design ambient.</t>
        </is>
      </c>
    </row>
    <row r="150" ht="20" customHeight="1" s="252">
      <c r="A150" s="351" t="inlineStr">
        <is>
          <t>Circuit</t>
        </is>
      </c>
      <c r="B150" s="351" t="inlineStr">
        <is>
          <t>Equip. line</t>
        </is>
      </c>
      <c r="C150" s="351" t="inlineStr">
        <is>
          <t>Units on circuit</t>
        </is>
      </c>
      <c r="D150" s="351" t="inlineStr">
        <is>
          <t>Volts</t>
        </is>
      </c>
      <c r="E150" s="352" t="inlineStr">
        <is>
          <t>Amps per unit</t>
        </is>
      </c>
      <c r="F150" s="352" t="inlineStr">
        <is>
          <t>Continuous 125% A (auto)</t>
        </is>
      </c>
      <c r="G150" s="351" t="inlineStr">
        <is>
          <t>Breaker (A)</t>
        </is>
      </c>
      <c r="H150" s="352" t="inlineStr">
        <is>
          <t>Distance (ft)</t>
        </is>
      </c>
      <c r="I150" s="352" t="inlineStr">
        <is>
          <t>Conductor size</t>
        </is>
      </c>
      <c r="J150" s="352" t="inlineStr">
        <is>
          <t>Ampacity (auto)</t>
        </is>
      </c>
      <c r="K150" s="352" t="inlineStr">
        <is>
          <t>Verdict (auto)</t>
        </is>
      </c>
    </row>
    <row r="151" ht="14.25" customHeight="1" s="252">
      <c r="A151" s="376" t="inlineStr">
        <is>
          <t>L2-01</t>
        </is>
      </c>
      <c r="B151" s="323" t="n">
        <v>2</v>
      </c>
      <c r="C151" s="323" t="n">
        <v>1</v>
      </c>
      <c r="D151" s="323" t="n">
        <v>208</v>
      </c>
      <c r="E151" s="323" t="n">
        <v>40</v>
      </c>
      <c r="F151" s="353">
        <f>IF(N($E151)=0,"",N($E151)*1.25)</f>
        <v/>
      </c>
      <c r="G151" s="505">
        <f>IF(N($F151)=0,"",IFERROR(INDEX(OCPD_LIST,MATCH($F151,OCPD_LIST,1)+IF(ISNUMBER(MATCH($F151,OCPD_LIST,0)),0,1)),""))</f>
        <v/>
      </c>
      <c r="H151" s="323" t="n">
        <v>60</v>
      </c>
      <c r="I151" s="323" t="inlineStr">
        <is>
          <t>8 AWG</t>
        </is>
      </c>
      <c r="J151" s="353">
        <f>IF($I151="","",IFERROR(MIN(N(INDEX(AMP_TBL,MATCH($I151,AMP_SIZE,0),MATCH($B$5&amp;"-"&amp;TEXT($F$6,"0"),AMP_HDR,0)))*N(INDEX(AMB_TBL,IF(ISNUMBER(MATCH($F5,AMB_MAX,0)),MATCH($F5,AMB_MAX,0),MATCH($F5,AMB_MAX,1)+1),MATCH(TEXT($F$6,"0"),AMB_HDR,0))),N(INDEX(AMP_TBL,MATCH($I151,AMP_SIZE,0),MATCH($B$5&amp;"-"&amp;TEXT($F$7,"0"),AMP_HDR,0)))),""))</f>
        <v/>
      </c>
      <c r="K151" s="356">
        <f>IF(N($E151)=0,"",IF($I151="","pick a conductor size",IF($F5="","SET THE DESIGN AMBIENT for this run — ampacity cannot be corrected without it, and this verdict cannot be trusted until it is set",IF(N($J151)=0,"no ampacity on file for that size",IF(N($J151)&lt;N($G151),"UNDERSIZED — "&amp;TEXT(N($J151),"#,##0")&amp;" A against a "&amp;TEXT(N($G151),"#,##0")&amp;" A breaker","OK — "&amp;TEXT(N($J151),"#,##0")&amp;" A against a "&amp;TEXT(N($G151),"#,##0")&amp;" A breaker")))))</f>
        <v/>
      </c>
    </row>
    <row r="152" ht="14.25" customHeight="1" s="252">
      <c r="A152" s="376" t="inlineStr">
        <is>
          <t>L2-02</t>
        </is>
      </c>
      <c r="B152" s="323" t="n">
        <v>2</v>
      </c>
      <c r="C152" s="323" t="n">
        <v>1</v>
      </c>
      <c r="D152" s="323" t="n">
        <v>208</v>
      </c>
      <c r="E152" s="323" t="n">
        <v>40</v>
      </c>
      <c r="F152" s="353">
        <f>IF(N($E152)=0,"",N($E152)*1.25)</f>
        <v/>
      </c>
      <c r="G152" s="505">
        <f>IF(N($F152)=0,"",IFERROR(INDEX(OCPD_LIST,MATCH($F152,OCPD_LIST,1)+IF(ISNUMBER(MATCH($F152,OCPD_LIST,0)),0,1)),""))</f>
        <v/>
      </c>
      <c r="H152" s="323" t="n">
        <v>75</v>
      </c>
      <c r="I152" s="323" t="inlineStr">
        <is>
          <t>8 AWG</t>
        </is>
      </c>
      <c r="J152" s="353">
        <f>IF($I152="","",IFERROR(MIN(N(INDEX(AMP_TBL,MATCH($I152,AMP_SIZE,0),MATCH($B$5&amp;"-"&amp;TEXT($F$6,"0"),AMP_HDR,0)))*N(INDEX(AMB_TBL,IF(ISNUMBER(MATCH($F5,AMB_MAX,0)),MATCH($F5,AMB_MAX,0),MATCH($F5,AMB_MAX,1)+1),MATCH(TEXT($F$6,"0"),AMB_HDR,0))),N(INDEX(AMP_TBL,MATCH($I152,AMP_SIZE,0),MATCH($B$5&amp;"-"&amp;TEXT($F$7,"0"),AMP_HDR,0)))),""))</f>
        <v/>
      </c>
      <c r="K152" s="356">
        <f>IF(N($E152)=0,"",IF($I152="","pick a conductor size",IF($F5="","SET THE DESIGN AMBIENT for this run — ampacity cannot be corrected without it, and this verdict cannot be trusted until it is set",IF(N($J152)=0,"no ampacity on file for that size",IF(N($J152)&lt;N($G152),"UNDERSIZED — "&amp;TEXT(N($J152),"#,##0")&amp;" A against a "&amp;TEXT(N($G152),"#,##0")&amp;" A breaker","OK — "&amp;TEXT(N($J152),"#,##0")&amp;" A against a "&amp;TEXT(N($G152),"#,##0")&amp;" A breaker")))))</f>
        <v/>
      </c>
    </row>
    <row r="153" ht="14.25" customHeight="1" s="252">
      <c r="A153" s="376" t="inlineStr">
        <is>
          <t>L2-03</t>
        </is>
      </c>
      <c r="B153" s="323" t="n"/>
      <c r="C153" s="323" t="n"/>
      <c r="D153" s="323" t="n"/>
      <c r="E153" s="323" t="n"/>
      <c r="F153" s="353">
        <f>IF(N($E153)=0,"",N($E153)*1.25)</f>
        <v/>
      </c>
      <c r="G153" s="505">
        <f>IF(N($F153)=0,"",IFERROR(INDEX(OCPD_LIST,MATCH($F153,OCPD_LIST,1)+IF(ISNUMBER(MATCH($F153,OCPD_LIST,0)),0,1)),""))</f>
        <v/>
      </c>
      <c r="H153" s="323" t="n"/>
      <c r="I153" s="323" t="n"/>
      <c r="J153" s="353">
        <f>IF($I153="","",IFERROR(MIN(N(INDEX(AMP_TBL,MATCH($I153,AMP_SIZE,0),MATCH($B$5&amp;"-"&amp;TEXT($F$6,"0"),AMP_HDR,0)))*N(INDEX(AMB_TBL,IF(ISNUMBER(MATCH($F5,AMB_MAX,0)),MATCH($F5,AMB_MAX,0),MATCH($F5,AMB_MAX,1)+1),MATCH(TEXT($F$6,"0"),AMB_HDR,0))),N(INDEX(AMP_TBL,MATCH($I153,AMP_SIZE,0),MATCH($B$5&amp;"-"&amp;TEXT($F$7,"0"),AMP_HDR,0)))),""))</f>
        <v/>
      </c>
      <c r="K153" s="356">
        <f>IF(N($E153)=0,"",IF($I153="","pick a conductor size",IF($F5="","SET THE DESIGN AMBIENT for this run — ampacity cannot be corrected without it, and this verdict cannot be trusted until it is set",IF(N($J153)=0,"no ampacity on file for that size",IF(N($J153)&lt;N($G153),"UNDERSIZED — "&amp;TEXT(N($J153),"#,##0")&amp;" A against a "&amp;TEXT(N($G153),"#,##0")&amp;" A breaker","OK — "&amp;TEXT(N($J153),"#,##0")&amp;" A against a "&amp;TEXT(N($G153),"#,##0")&amp;" A breaker")))))</f>
        <v/>
      </c>
    </row>
    <row r="154" ht="14.25" customHeight="1" s="252">
      <c r="A154" s="376" t="inlineStr">
        <is>
          <t>L2-04</t>
        </is>
      </c>
      <c r="B154" s="323" t="n"/>
      <c r="C154" s="323" t="n"/>
      <c r="D154" s="323" t="n"/>
      <c r="E154" s="323" t="n"/>
      <c r="F154" s="353">
        <f>IF(N($E154)=0,"",N($E154)*1.25)</f>
        <v/>
      </c>
      <c r="G154" s="505">
        <f>IF(N($F154)=0,"",IFERROR(INDEX(OCPD_LIST,MATCH($F154,OCPD_LIST,1)+IF(ISNUMBER(MATCH($F154,OCPD_LIST,0)),0,1)),""))</f>
        <v/>
      </c>
      <c r="H154" s="323" t="n"/>
      <c r="I154" s="323" t="n"/>
      <c r="J154" s="353">
        <f>IF($I154="","",IFERROR(MIN(N(INDEX(AMP_TBL,MATCH($I154,AMP_SIZE,0),MATCH($B$5&amp;"-"&amp;TEXT($F$6,"0"),AMP_HDR,0)))*N(INDEX(AMB_TBL,IF(ISNUMBER(MATCH($F5,AMB_MAX,0)),MATCH($F5,AMB_MAX,0),MATCH($F5,AMB_MAX,1)+1),MATCH(TEXT($F$6,"0"),AMB_HDR,0))),N(INDEX(AMP_TBL,MATCH($I154,AMP_SIZE,0),MATCH($B$5&amp;"-"&amp;TEXT($F$7,"0"),AMP_HDR,0)))),""))</f>
        <v/>
      </c>
      <c r="K154" s="356">
        <f>IF(N($E154)=0,"",IF($I154="","pick a conductor size",IF($F5="","SET THE DESIGN AMBIENT for this run — ampacity cannot be corrected without it, and this verdict cannot be trusted until it is set",IF(N($J154)=0,"no ampacity on file for that size",IF(N($J154)&lt;N($G154),"UNDERSIZED — "&amp;TEXT(N($J154),"#,##0")&amp;" A against a "&amp;TEXT(N($G154),"#,##0")&amp;" A breaker","OK — "&amp;TEXT(N($J154),"#,##0")&amp;" A against a "&amp;TEXT(N($G154),"#,##0")&amp;" A breaker")))))</f>
        <v/>
      </c>
    </row>
    <row r="155" ht="14.25" customHeight="1" s="252">
      <c r="A155" s="376" t="inlineStr">
        <is>
          <t>L2-05</t>
        </is>
      </c>
      <c r="B155" s="323" t="n"/>
      <c r="C155" s="323" t="n"/>
      <c r="D155" s="323" t="n"/>
      <c r="E155" s="323" t="n"/>
      <c r="F155" s="353">
        <f>IF(N($E155)=0,"",N($E155)*1.25)</f>
        <v/>
      </c>
      <c r="G155" s="505">
        <f>IF(N($F155)=0,"",IFERROR(INDEX(OCPD_LIST,MATCH($F155,OCPD_LIST,1)+IF(ISNUMBER(MATCH($F155,OCPD_LIST,0)),0,1)),""))</f>
        <v/>
      </c>
      <c r="H155" s="323" t="n"/>
      <c r="I155" s="323" t="n"/>
      <c r="J155" s="353">
        <f>IF($I155="","",IFERROR(MIN(N(INDEX(AMP_TBL,MATCH($I155,AMP_SIZE,0),MATCH($B$5&amp;"-"&amp;TEXT($F$6,"0"),AMP_HDR,0)))*N(INDEX(AMB_TBL,IF(ISNUMBER(MATCH($F5,AMB_MAX,0)),MATCH($F5,AMB_MAX,0),MATCH($F5,AMB_MAX,1)+1),MATCH(TEXT($F$6,"0"),AMB_HDR,0))),N(INDEX(AMP_TBL,MATCH($I155,AMP_SIZE,0),MATCH($B$5&amp;"-"&amp;TEXT($F$7,"0"),AMP_HDR,0)))),""))</f>
        <v/>
      </c>
      <c r="K155" s="356">
        <f>IF(N($E155)=0,"",IF($I155="","pick a conductor size",IF($F5="","SET THE DESIGN AMBIENT for this run — ampacity cannot be corrected without it, and this verdict cannot be trusted until it is set",IF(N($J155)=0,"no ampacity on file for that size",IF(N($J155)&lt;N($G155),"UNDERSIZED — "&amp;TEXT(N($J155),"#,##0")&amp;" A against a "&amp;TEXT(N($G155),"#,##0")&amp;" A breaker","OK — "&amp;TEXT(N($J155),"#,##0")&amp;" A against a "&amp;TEXT(N($G155),"#,##0")&amp;" A breaker")))))</f>
        <v/>
      </c>
    </row>
    <row r="156" ht="14.25" customHeight="1" s="252">
      <c r="A156" s="376" t="inlineStr">
        <is>
          <t>L2-06</t>
        </is>
      </c>
      <c r="B156" s="323" t="n"/>
      <c r="C156" s="323" t="n"/>
      <c r="D156" s="323" t="n"/>
      <c r="E156" s="323" t="n"/>
      <c r="F156" s="353">
        <f>IF(N($E156)=0,"",N($E156)*1.25)</f>
        <v/>
      </c>
      <c r="G156" s="505">
        <f>IF(N($F156)=0,"",IFERROR(INDEX(OCPD_LIST,MATCH($F156,OCPD_LIST,1)+IF(ISNUMBER(MATCH($F156,OCPD_LIST,0)),0,1)),""))</f>
        <v/>
      </c>
      <c r="H156" s="323" t="n"/>
      <c r="I156" s="323" t="n"/>
      <c r="J156" s="353">
        <f>IF($I156="","",IFERROR(MIN(N(INDEX(AMP_TBL,MATCH($I156,AMP_SIZE,0),MATCH($B$5&amp;"-"&amp;TEXT($F$6,"0"),AMP_HDR,0)))*N(INDEX(AMB_TBL,IF(ISNUMBER(MATCH($F5,AMB_MAX,0)),MATCH($F5,AMB_MAX,0),MATCH($F5,AMB_MAX,1)+1),MATCH(TEXT($F$6,"0"),AMB_HDR,0))),N(INDEX(AMP_TBL,MATCH($I156,AMP_SIZE,0),MATCH($B$5&amp;"-"&amp;TEXT($F$7,"0"),AMP_HDR,0)))),""))</f>
        <v/>
      </c>
      <c r="K156" s="356">
        <f>IF(N($E156)=0,"",IF($I156="","pick a conductor size",IF($F5="","SET THE DESIGN AMBIENT for this run — ampacity cannot be corrected without it, and this verdict cannot be trusted until it is set",IF(N($J156)=0,"no ampacity on file for that size",IF(N($J156)&lt;N($G156),"UNDERSIZED — "&amp;TEXT(N($J156),"#,##0")&amp;" A against a "&amp;TEXT(N($G156),"#,##0")&amp;" A breaker","OK — "&amp;TEXT(N($J156),"#,##0")&amp;" A against a "&amp;TEXT(N($G156),"#,##0")&amp;" A breaker")))))</f>
        <v/>
      </c>
    </row>
    <row r="157" ht="14.25" customHeight="1" s="252">
      <c r="A157" s="376" t="inlineStr">
        <is>
          <t>L2-07</t>
        </is>
      </c>
      <c r="B157" s="323" t="n"/>
      <c r="C157" s="323" t="n"/>
      <c r="D157" s="323" t="n"/>
      <c r="E157" s="323" t="n"/>
      <c r="F157" s="353">
        <f>IF(N($E157)=0,"",N($E157)*1.25)</f>
        <v/>
      </c>
      <c r="G157" s="505">
        <f>IF(N($F157)=0,"",IFERROR(INDEX(OCPD_LIST,MATCH($F157,OCPD_LIST,1)+IF(ISNUMBER(MATCH($F157,OCPD_LIST,0)),0,1)),""))</f>
        <v/>
      </c>
      <c r="H157" s="323" t="n"/>
      <c r="I157" s="323" t="n"/>
      <c r="J157" s="353">
        <f>IF($I157="","",IFERROR(MIN(N(INDEX(AMP_TBL,MATCH($I157,AMP_SIZE,0),MATCH($B$5&amp;"-"&amp;TEXT($F$6,"0"),AMP_HDR,0)))*N(INDEX(AMB_TBL,IF(ISNUMBER(MATCH($F5,AMB_MAX,0)),MATCH($F5,AMB_MAX,0),MATCH($F5,AMB_MAX,1)+1),MATCH(TEXT($F$6,"0"),AMB_HDR,0))),N(INDEX(AMP_TBL,MATCH($I157,AMP_SIZE,0),MATCH($B$5&amp;"-"&amp;TEXT($F$7,"0"),AMP_HDR,0)))),""))</f>
        <v/>
      </c>
      <c r="K157" s="356">
        <f>IF(N($E157)=0,"",IF($I157="","pick a conductor size",IF($F5="","SET THE DESIGN AMBIENT for this run — ampacity cannot be corrected without it, and this verdict cannot be trusted until it is set",IF(N($J157)=0,"no ampacity on file for that size",IF(N($J157)&lt;N($G157),"UNDERSIZED — "&amp;TEXT(N($J157),"#,##0")&amp;" A against a "&amp;TEXT(N($G157),"#,##0")&amp;" A breaker","OK — "&amp;TEXT(N($J157),"#,##0")&amp;" A against a "&amp;TEXT(N($G157),"#,##0")&amp;" A breaker")))))</f>
        <v/>
      </c>
    </row>
    <row r="158" ht="14.25" customHeight="1" s="252">
      <c r="A158" s="376" t="inlineStr">
        <is>
          <t>L2-08</t>
        </is>
      </c>
      <c r="B158" s="323" t="n"/>
      <c r="C158" s="323" t="n"/>
      <c r="D158" s="323" t="n"/>
      <c r="E158" s="323" t="n"/>
      <c r="F158" s="353">
        <f>IF(N($E158)=0,"",N($E158)*1.25)</f>
        <v/>
      </c>
      <c r="G158" s="505">
        <f>IF(N($F158)=0,"",IFERROR(INDEX(OCPD_LIST,MATCH($F158,OCPD_LIST,1)+IF(ISNUMBER(MATCH($F158,OCPD_LIST,0)),0,1)),""))</f>
        <v/>
      </c>
      <c r="H158" s="323" t="n"/>
      <c r="I158" s="323" t="n"/>
      <c r="J158" s="353">
        <f>IF($I158="","",IFERROR(MIN(N(INDEX(AMP_TBL,MATCH($I158,AMP_SIZE,0),MATCH($B$5&amp;"-"&amp;TEXT($F$6,"0"),AMP_HDR,0)))*N(INDEX(AMB_TBL,IF(ISNUMBER(MATCH($F5,AMB_MAX,0)),MATCH($F5,AMB_MAX,0),MATCH($F5,AMB_MAX,1)+1),MATCH(TEXT($F$6,"0"),AMB_HDR,0))),N(INDEX(AMP_TBL,MATCH($I158,AMP_SIZE,0),MATCH($B$5&amp;"-"&amp;TEXT($F$7,"0"),AMP_HDR,0)))),""))</f>
        <v/>
      </c>
      <c r="K158" s="356">
        <f>IF(N($E158)=0,"",IF($I158="","pick a conductor size",IF($F5="","SET THE DESIGN AMBIENT for this run — ampacity cannot be corrected without it, and this verdict cannot be trusted until it is set",IF(N($J158)=0,"no ampacity on file for that size",IF(N($J158)&lt;N($G158),"UNDERSIZED — "&amp;TEXT(N($J158),"#,##0")&amp;" A against a "&amp;TEXT(N($G158),"#,##0")&amp;" A breaker","OK — "&amp;TEXT(N($J158),"#,##0")&amp;" A against a "&amp;TEXT(N($G158),"#,##0")&amp;" A breaker")))))</f>
        <v/>
      </c>
    </row>
    <row r="159" ht="14.25" customHeight="1" s="252">
      <c r="A159" s="376" t="inlineStr">
        <is>
          <t>L2-09</t>
        </is>
      </c>
      <c r="B159" s="323" t="n"/>
      <c r="C159" s="323" t="n"/>
      <c r="D159" s="323" t="n"/>
      <c r="E159" s="323" t="n"/>
      <c r="F159" s="353">
        <f>IF(N($E159)=0,"",N($E159)*1.25)</f>
        <v/>
      </c>
      <c r="G159" s="505">
        <f>IF(N($F159)=0,"",IFERROR(INDEX(OCPD_LIST,MATCH($F159,OCPD_LIST,1)+IF(ISNUMBER(MATCH($F159,OCPD_LIST,0)),0,1)),""))</f>
        <v/>
      </c>
      <c r="H159" s="323" t="n"/>
      <c r="I159" s="323" t="n"/>
      <c r="J159" s="353">
        <f>IF($I159="","",IFERROR(MIN(N(INDEX(AMP_TBL,MATCH($I159,AMP_SIZE,0),MATCH($B$5&amp;"-"&amp;TEXT($F$6,"0"),AMP_HDR,0)))*N(INDEX(AMB_TBL,IF(ISNUMBER(MATCH($F5,AMB_MAX,0)),MATCH($F5,AMB_MAX,0),MATCH($F5,AMB_MAX,1)+1),MATCH(TEXT($F$6,"0"),AMB_HDR,0))),N(INDEX(AMP_TBL,MATCH($I159,AMP_SIZE,0),MATCH($B$5&amp;"-"&amp;TEXT($F$7,"0"),AMP_HDR,0)))),""))</f>
        <v/>
      </c>
      <c r="K159" s="356">
        <f>IF(N($E159)=0,"",IF($I159="","pick a conductor size",IF($F5="","SET THE DESIGN AMBIENT for this run — ampacity cannot be corrected without it, and this verdict cannot be trusted until it is set",IF(N($J159)=0,"no ampacity on file for that size",IF(N($J159)&lt;N($G159),"UNDERSIZED — "&amp;TEXT(N($J159),"#,##0")&amp;" A against a "&amp;TEXT(N($G159),"#,##0")&amp;" A breaker","OK — "&amp;TEXT(N($J159),"#,##0")&amp;" A against a "&amp;TEXT(N($G159),"#,##0")&amp;" A breaker")))))</f>
        <v/>
      </c>
    </row>
    <row r="160" ht="14.25" customHeight="1" s="252">
      <c r="A160" s="376" t="inlineStr">
        <is>
          <t>L2-10</t>
        </is>
      </c>
      <c r="B160" s="323" t="n"/>
      <c r="C160" s="323" t="n"/>
      <c r="D160" s="323" t="n"/>
      <c r="E160" s="323" t="n"/>
      <c r="F160" s="353">
        <f>IF(N($E160)=0,"",N($E160)*1.25)</f>
        <v/>
      </c>
      <c r="G160" s="505">
        <f>IF(N($F160)=0,"",IFERROR(INDEX(OCPD_LIST,MATCH($F160,OCPD_LIST,1)+IF(ISNUMBER(MATCH($F160,OCPD_LIST,0)),0,1)),""))</f>
        <v/>
      </c>
      <c r="H160" s="323" t="n"/>
      <c r="I160" s="323" t="n"/>
      <c r="J160" s="353">
        <f>IF($I160="","",IFERROR(MIN(N(INDEX(AMP_TBL,MATCH($I160,AMP_SIZE,0),MATCH($B$5&amp;"-"&amp;TEXT($F$6,"0"),AMP_HDR,0)))*N(INDEX(AMB_TBL,IF(ISNUMBER(MATCH($F5,AMB_MAX,0)),MATCH($F5,AMB_MAX,0),MATCH($F5,AMB_MAX,1)+1),MATCH(TEXT($F$6,"0"),AMB_HDR,0))),N(INDEX(AMP_TBL,MATCH($I160,AMP_SIZE,0),MATCH($B$5&amp;"-"&amp;TEXT($F$7,"0"),AMP_HDR,0)))),""))</f>
        <v/>
      </c>
      <c r="K160" s="356">
        <f>IF(N($E160)=0,"",IF($I160="","pick a conductor size",IF($F5="","SET THE DESIGN AMBIENT for this run — ampacity cannot be corrected without it, and this verdict cannot be trusted until it is set",IF(N($J160)=0,"no ampacity on file for that size",IF(N($J160)&lt;N($G160),"UNDERSIZED — "&amp;TEXT(N($J160),"#,##0")&amp;" A against a "&amp;TEXT(N($G160),"#,##0")&amp;" A breaker","OK — "&amp;TEXT(N($J160),"#,##0")&amp;" A against a "&amp;TEXT(N($G160),"#,##0")&amp;" A breaker")))))</f>
        <v/>
      </c>
    </row>
    <row r="161" ht="14.25" customHeight="1" s="252">
      <c r="A161" s="376" t="inlineStr">
        <is>
          <t>L2-11</t>
        </is>
      </c>
      <c r="B161" s="323" t="n"/>
      <c r="C161" s="323" t="n"/>
      <c r="D161" s="323" t="n"/>
      <c r="E161" s="323" t="n"/>
      <c r="F161" s="353">
        <f>IF(N($E161)=0,"",N($E161)*1.25)</f>
        <v/>
      </c>
      <c r="G161" s="505">
        <f>IF(N($F161)=0,"",IFERROR(INDEX(OCPD_LIST,MATCH($F161,OCPD_LIST,1)+IF(ISNUMBER(MATCH($F161,OCPD_LIST,0)),0,1)),""))</f>
        <v/>
      </c>
      <c r="H161" s="323" t="n"/>
      <c r="I161" s="323" t="n"/>
      <c r="J161" s="353">
        <f>IF($I161="","",IFERROR(MIN(N(INDEX(AMP_TBL,MATCH($I161,AMP_SIZE,0),MATCH($B$5&amp;"-"&amp;TEXT($F$6,"0"),AMP_HDR,0)))*N(INDEX(AMB_TBL,IF(ISNUMBER(MATCH($F5,AMB_MAX,0)),MATCH($F5,AMB_MAX,0),MATCH($F5,AMB_MAX,1)+1),MATCH(TEXT($F$6,"0"),AMB_HDR,0))),N(INDEX(AMP_TBL,MATCH($I161,AMP_SIZE,0),MATCH($B$5&amp;"-"&amp;TEXT($F$7,"0"),AMP_HDR,0)))),""))</f>
        <v/>
      </c>
      <c r="K161" s="356">
        <f>IF(N($E161)=0,"",IF($I161="","pick a conductor size",IF($F5="","SET THE DESIGN AMBIENT for this run — ampacity cannot be corrected without it, and this verdict cannot be trusted until it is set",IF(N($J161)=0,"no ampacity on file for that size",IF(N($J161)&lt;N($G161),"UNDERSIZED — "&amp;TEXT(N($J161),"#,##0")&amp;" A against a "&amp;TEXT(N($G161),"#,##0")&amp;" A breaker","OK — "&amp;TEXT(N($J161),"#,##0")&amp;" A against a "&amp;TEXT(N($G161),"#,##0")&amp;" A breaker")))))</f>
        <v/>
      </c>
    </row>
    <row r="162" ht="14.25" customHeight="1" s="252">
      <c r="A162" s="376" t="inlineStr">
        <is>
          <t>L2-12</t>
        </is>
      </c>
      <c r="B162" s="323" t="n"/>
      <c r="C162" s="323" t="n"/>
      <c r="D162" s="323" t="n"/>
      <c r="E162" s="323" t="n"/>
      <c r="F162" s="353">
        <f>IF(N($E162)=0,"",N($E162)*1.25)</f>
        <v/>
      </c>
      <c r="G162" s="505">
        <f>IF(N($F162)=0,"",IFERROR(INDEX(OCPD_LIST,MATCH($F162,OCPD_LIST,1)+IF(ISNUMBER(MATCH($F162,OCPD_LIST,0)),0,1)),""))</f>
        <v/>
      </c>
      <c r="H162" s="323" t="n"/>
      <c r="I162" s="323" t="n"/>
      <c r="J162" s="353">
        <f>IF($I162="","",IFERROR(MIN(N(INDEX(AMP_TBL,MATCH($I162,AMP_SIZE,0),MATCH($B$5&amp;"-"&amp;TEXT($F$6,"0"),AMP_HDR,0)))*N(INDEX(AMB_TBL,IF(ISNUMBER(MATCH($F5,AMB_MAX,0)),MATCH($F5,AMB_MAX,0),MATCH($F5,AMB_MAX,1)+1),MATCH(TEXT($F$6,"0"),AMB_HDR,0))),N(INDEX(AMP_TBL,MATCH($I162,AMP_SIZE,0),MATCH($B$5&amp;"-"&amp;TEXT($F$7,"0"),AMP_HDR,0)))),""))</f>
        <v/>
      </c>
      <c r="K162" s="356">
        <f>IF(N($E162)=0,"",IF($I162="","pick a conductor size",IF($F5="","SET THE DESIGN AMBIENT for this run — ampacity cannot be corrected without it, and this verdict cannot be trusted until it is set",IF(N($J162)=0,"no ampacity on file for that size",IF(N($J162)&lt;N($G162),"UNDERSIZED — "&amp;TEXT(N($J162),"#,##0")&amp;" A against a "&amp;TEXT(N($G162),"#,##0")&amp;" A breaker","OK — "&amp;TEXT(N($J162),"#,##0")&amp;" A against a "&amp;TEXT(N($G162),"#,##0")&amp;" A breaker")))))</f>
        <v/>
      </c>
    </row>
    <row r="163" ht="14.25" customHeight="1" s="252">
      <c r="A163" s="376" t="inlineStr">
        <is>
          <t>L2-13</t>
        </is>
      </c>
      <c r="B163" s="323" t="n"/>
      <c r="C163" s="323" t="n"/>
      <c r="D163" s="323" t="n"/>
      <c r="E163" s="323" t="n"/>
      <c r="F163" s="353">
        <f>IF(N($E163)=0,"",N($E163)*1.25)</f>
        <v/>
      </c>
      <c r="G163" s="505">
        <f>IF(N($F163)=0,"",IFERROR(INDEX(OCPD_LIST,MATCH($F163,OCPD_LIST,1)+IF(ISNUMBER(MATCH($F163,OCPD_LIST,0)),0,1)),""))</f>
        <v/>
      </c>
      <c r="H163" s="323" t="n"/>
      <c r="I163" s="323" t="n"/>
      <c r="J163" s="353">
        <f>IF($I163="","",IFERROR(MIN(N(INDEX(AMP_TBL,MATCH($I163,AMP_SIZE,0),MATCH($B$5&amp;"-"&amp;TEXT($F$6,"0"),AMP_HDR,0)))*N(INDEX(AMB_TBL,IF(ISNUMBER(MATCH($F5,AMB_MAX,0)),MATCH($F5,AMB_MAX,0),MATCH($F5,AMB_MAX,1)+1),MATCH(TEXT($F$6,"0"),AMB_HDR,0))),N(INDEX(AMP_TBL,MATCH($I163,AMP_SIZE,0),MATCH($B$5&amp;"-"&amp;TEXT($F$7,"0"),AMP_HDR,0)))),""))</f>
        <v/>
      </c>
      <c r="K163" s="356">
        <f>IF(N($E163)=0,"",IF($I163="","pick a conductor size",IF($F5="","SET THE DESIGN AMBIENT for this run — ampacity cannot be corrected without it, and this verdict cannot be trusted until it is set",IF(N($J163)=0,"no ampacity on file for that size",IF(N($J163)&lt;N($G163),"UNDERSIZED — "&amp;TEXT(N($J163),"#,##0")&amp;" A against a "&amp;TEXT(N($G163),"#,##0")&amp;" A breaker","OK — "&amp;TEXT(N($J163),"#,##0")&amp;" A against a "&amp;TEXT(N($G163),"#,##0")&amp;" A breaker")))))</f>
        <v/>
      </c>
    </row>
    <row r="164" ht="14.25" customHeight="1" s="252">
      <c r="A164" s="376" t="inlineStr">
        <is>
          <t>L2-14</t>
        </is>
      </c>
      <c r="B164" s="323" t="n"/>
      <c r="C164" s="323" t="n"/>
      <c r="D164" s="323" t="n"/>
      <c r="E164" s="323" t="n"/>
      <c r="F164" s="353">
        <f>IF(N($E164)=0,"",N($E164)*1.25)</f>
        <v/>
      </c>
      <c r="G164" s="505">
        <f>IF(N($F164)=0,"",IFERROR(INDEX(OCPD_LIST,MATCH($F164,OCPD_LIST,1)+IF(ISNUMBER(MATCH($F164,OCPD_LIST,0)),0,1)),""))</f>
        <v/>
      </c>
      <c r="H164" s="323" t="n"/>
      <c r="I164" s="323" t="n"/>
      <c r="J164" s="353">
        <f>IF($I164="","",IFERROR(MIN(N(INDEX(AMP_TBL,MATCH($I164,AMP_SIZE,0),MATCH($B$5&amp;"-"&amp;TEXT($F$6,"0"),AMP_HDR,0)))*N(INDEX(AMB_TBL,IF(ISNUMBER(MATCH($F5,AMB_MAX,0)),MATCH($F5,AMB_MAX,0),MATCH($F5,AMB_MAX,1)+1),MATCH(TEXT($F$6,"0"),AMB_HDR,0))),N(INDEX(AMP_TBL,MATCH($I164,AMP_SIZE,0),MATCH($B$5&amp;"-"&amp;TEXT($F$7,"0"),AMP_HDR,0)))),""))</f>
        <v/>
      </c>
      <c r="K164" s="356">
        <f>IF(N($E164)=0,"",IF($I164="","pick a conductor size",IF($F5="","SET THE DESIGN AMBIENT for this run — ampacity cannot be corrected without it, and this verdict cannot be trusted until it is set",IF(N($J164)=0,"no ampacity on file for that size",IF(N($J164)&lt;N($G164),"UNDERSIZED — "&amp;TEXT(N($J164),"#,##0")&amp;" A against a "&amp;TEXT(N($G164),"#,##0")&amp;" A breaker","OK — "&amp;TEXT(N($J164),"#,##0")&amp;" A against a "&amp;TEXT(N($G164),"#,##0")&amp;" A breaker")))))</f>
        <v/>
      </c>
    </row>
    <row r="165" ht="14.25" customHeight="1" s="252">
      <c r="A165" s="376" t="inlineStr">
        <is>
          <t>L2-15</t>
        </is>
      </c>
      <c r="B165" s="323" t="n"/>
      <c r="C165" s="323" t="n"/>
      <c r="D165" s="323" t="n"/>
      <c r="E165" s="323" t="n"/>
      <c r="F165" s="353">
        <f>IF(N($E165)=0,"",N($E165)*1.25)</f>
        <v/>
      </c>
      <c r="G165" s="505">
        <f>IF(N($F165)=0,"",IFERROR(INDEX(OCPD_LIST,MATCH($F165,OCPD_LIST,1)+IF(ISNUMBER(MATCH($F165,OCPD_LIST,0)),0,1)),""))</f>
        <v/>
      </c>
      <c r="H165" s="323" t="n"/>
      <c r="I165" s="323" t="n"/>
      <c r="J165" s="353">
        <f>IF($I165="","",IFERROR(MIN(N(INDEX(AMP_TBL,MATCH($I165,AMP_SIZE,0),MATCH($B$5&amp;"-"&amp;TEXT($F$6,"0"),AMP_HDR,0)))*N(INDEX(AMB_TBL,IF(ISNUMBER(MATCH($F5,AMB_MAX,0)),MATCH($F5,AMB_MAX,0),MATCH($F5,AMB_MAX,1)+1),MATCH(TEXT($F$6,"0"),AMB_HDR,0))),N(INDEX(AMP_TBL,MATCH($I165,AMP_SIZE,0),MATCH($B$5&amp;"-"&amp;TEXT($F$7,"0"),AMP_HDR,0)))),""))</f>
        <v/>
      </c>
      <c r="K165" s="356">
        <f>IF(N($E165)=0,"",IF($I165="","pick a conductor size",IF($F5="","SET THE DESIGN AMBIENT for this run — ampacity cannot be corrected without it, and this verdict cannot be trusted until it is set",IF(N($J165)=0,"no ampacity on file for that size",IF(N($J165)&lt;N($G165),"UNDERSIZED — "&amp;TEXT(N($J165),"#,##0")&amp;" A against a "&amp;TEXT(N($G165),"#,##0")&amp;" A breaker","OK — "&amp;TEXT(N($J165),"#,##0")&amp;" A against a "&amp;TEXT(N($G165),"#,##0")&amp;" A breaker")))))</f>
        <v/>
      </c>
    </row>
    <row r="166" ht="14.25" customHeight="1" s="252">
      <c r="A166" s="376" t="inlineStr">
        <is>
          <t>L2-16</t>
        </is>
      </c>
      <c r="B166" s="323" t="n"/>
      <c r="C166" s="323" t="n"/>
      <c r="D166" s="323" t="n"/>
      <c r="E166" s="323" t="n"/>
      <c r="F166" s="353">
        <f>IF(N($E166)=0,"",N($E166)*1.25)</f>
        <v/>
      </c>
      <c r="G166" s="505">
        <f>IF(N($F166)=0,"",IFERROR(INDEX(OCPD_LIST,MATCH($F166,OCPD_LIST,1)+IF(ISNUMBER(MATCH($F166,OCPD_LIST,0)),0,1)),""))</f>
        <v/>
      </c>
      <c r="H166" s="323" t="n"/>
      <c r="I166" s="323" t="n"/>
      <c r="J166" s="353">
        <f>IF($I166="","",IFERROR(MIN(N(INDEX(AMP_TBL,MATCH($I166,AMP_SIZE,0),MATCH($B$5&amp;"-"&amp;TEXT($F$6,"0"),AMP_HDR,0)))*N(INDEX(AMB_TBL,IF(ISNUMBER(MATCH($F5,AMB_MAX,0)),MATCH($F5,AMB_MAX,0),MATCH($F5,AMB_MAX,1)+1),MATCH(TEXT($F$6,"0"),AMB_HDR,0))),N(INDEX(AMP_TBL,MATCH($I166,AMP_SIZE,0),MATCH($B$5&amp;"-"&amp;TEXT($F$7,"0"),AMP_HDR,0)))),""))</f>
        <v/>
      </c>
      <c r="K166" s="356">
        <f>IF(N($E166)=0,"",IF($I166="","pick a conductor size",IF($F5="","SET THE DESIGN AMBIENT for this run — ampacity cannot be corrected without it, and this verdict cannot be trusted until it is set",IF(N($J166)=0,"no ampacity on file for that size",IF(N($J166)&lt;N($G166),"UNDERSIZED — "&amp;TEXT(N($J166),"#,##0")&amp;" A against a "&amp;TEXT(N($G166),"#,##0")&amp;" A breaker","OK — "&amp;TEXT(N($J166),"#,##0")&amp;" A against a "&amp;TEXT(N($G166),"#,##0")&amp;" A breaker")))))</f>
        <v/>
      </c>
    </row>
    <row r="167" ht="32" customHeight="1" s="252">
      <c r="A167" s="358" t="inlineStr">
        <is>
          <t>Level 2 circuits scheduled</t>
        </is>
      </c>
      <c r="B167" s="265">
        <f>SUMPRODUCT(--($E$151:$E$166&gt;0),$C$151:$C$166)</f>
        <v/>
      </c>
      <c r="C167" s="367" t="inlineStr">
        <is>
          <t>Units, not rows — a circuit can carry more than one unit where the panel schedule allows it.</t>
        </is>
      </c>
    </row>
    <row r="168" ht="14.25" customHeight="1" s="252">
      <c r="A168" s="358" t="inlineStr">
        <is>
          <t>Total Level 2 branch distance (ft)</t>
        </is>
      </c>
      <c r="B168" s="265">
        <f>SUMPRODUCT(--($E$151:$E$166&gt;0),$H$151:$H$166)</f>
        <v/>
      </c>
    </row>
    <row r="169" ht="30" customHeight="1" s="252">
      <c r="A169" s="358" t="inlineStr">
        <is>
          <t>Level 2 units placed against the schedule</t>
        </is>
      </c>
      <c r="B169" s="265">
        <f>IF(SUMPRODUCT(--(Equipment!$B$7:$B$18="Level 2 AC"),Equipment!$I$7:$I$18)=0,"n/a — no Level 2 on the equipment schedule",IF($B$167&lt;&gt;SUMPRODUCT(--(Equipment!$B$7:$B$18="Level 2 AC"),Equipment!$I$7:$I$18),"MISMATCH — "&amp;TEXT($B$167,"0")&amp;" placed against "&amp;TEXT(SUMPRODUCT(--(Equipment!$B$7:$B$18="Level 2 AC"),Equipment!$I$7:$I$18),"0")&amp;" scheduled on the Equipment tab","OK — every Level 2 unit has a circuit"))</f>
        <v/>
      </c>
    </row>
    <row r="171" ht="14.25" customHeight="1" s="252">
      <c r="A171" s="373" t="inlineStr">
        <is>
          <t>DC runs — power cabinet to dispenser</t>
        </is>
      </c>
    </row>
    <row r="172" ht="32" customHeight="1" s="252">
      <c r="A172" s="378" t="inlineStr">
        <is>
          <t>One row per dispenser, cabinet to dispenser, priced exactly the way the AC feeder is. THIRTY-TWO ROWS: four 1.28 MW cabinets at eight dual dispensers each is the architecture table's own maximum. The totals below are bound to this table, so if it is ever extended again they follow. The block sits here rather than above the service feeder because twenty rows had to come from somewhere and inserting them would have broken every absolute reference in the workbook.</t>
        </is>
      </c>
    </row>
    <row r="173" ht="20" customHeight="1" s="252">
      <c r="A173" s="292" t="inlineStr">
        <is>
          <t>Dispenser</t>
        </is>
      </c>
      <c r="B173" s="292" t="inlineStr">
        <is>
          <t>Fed from cabinet (line)</t>
        </is>
      </c>
      <c r="C173" s="292" t="inlineStr">
        <is>
          <t>Distance (ft)</t>
        </is>
      </c>
      <c r="D173" s="292" t="inlineStr">
        <is>
          <t>DC circuits</t>
        </is>
      </c>
      <c r="E173" s="301" t="inlineStr">
        <is>
          <t>Conductor size</t>
        </is>
      </c>
      <c r="F173" s="301" t="inlineStr">
        <is>
          <t>Ground size</t>
        </is>
      </c>
      <c r="G173" s="292" t="inlineStr">
        <is>
          <t>Conduit size</t>
        </is>
      </c>
      <c r="H173" s="301" t="inlineStr">
        <is>
          <t>Trench shared with the AC run?</t>
        </is>
      </c>
      <c r="I173" s="301" t="inlineStr">
        <is>
          <t>Power conductor (ft)</t>
        </is>
      </c>
      <c r="J173" s="301" t="inlineStr">
        <is>
          <t>Ground (ft)</t>
        </is>
      </c>
      <c r="K173" s="301" t="inlineStr">
        <is>
          <t>Conduit (ft)</t>
        </is>
      </c>
      <c r="L173" s="301" t="inlineStr">
        <is>
          <t>Comms conduit (ft)</t>
        </is>
      </c>
      <c r="M173" s="301" t="inlineStr">
        <is>
          <t>Trench (ft)</t>
        </is>
      </c>
      <c r="N173" s="301" t="inlineStr">
        <is>
          <t>Material cost</t>
        </is>
      </c>
    </row>
    <row r="174" ht="14.25" customHeight="1" s="252">
      <c r="A174" s="376" t="inlineStr">
        <is>
          <t>Dispenser 1</t>
        </is>
      </c>
      <c r="B174" s="323" t="n"/>
      <c r="C174" s="323" t="n"/>
      <c r="D174" s="323" t="n"/>
      <c r="E174" s="323" t="n"/>
      <c r="F174" s="323" t="n"/>
      <c r="G174" s="323" t="n"/>
      <c r="H174" s="323" t="n"/>
      <c r="I174" s="356">
        <f>N(C174)*MAX(1,N(D174))*2</f>
        <v/>
      </c>
      <c r="J174" s="356">
        <f>N(C174)*MAX(1,N(D174))</f>
        <v/>
      </c>
      <c r="K174" s="356">
        <f>N(C174)*MAX(1,N(D174))</f>
        <v/>
      </c>
      <c r="L174" s="356">
        <f>N(C174)</f>
        <v/>
      </c>
      <c r="M174" s="356">
        <f>IF($H174="Yes",0,N(C174))</f>
        <v/>
      </c>
      <c r="N174" s="380">
        <f>IFERROR(N(I174)*INDEX(IF($B$5="Cu",WIRE_CU,WIRE_AL),MATCH($E174,WIRE_SIZE,0)),0)+IFERROR(N(J174)*INDEX(IF($B$5="Cu",WIRE_CU,WIRE_AL),MATCH($F174,WIRE_SIZE,0)),0)+IFERROR(N(K174)*INDEX(PVC_RATE,MATCH($G174,PVC_SIZE,0)),0)+N(L174)*0.2912</f>
        <v/>
      </c>
    </row>
    <row r="175" ht="14.25" customHeight="1" s="252">
      <c r="A175" s="376" t="inlineStr">
        <is>
          <t>Dispenser 2</t>
        </is>
      </c>
      <c r="B175" s="323" t="n"/>
      <c r="C175" s="323" t="n"/>
      <c r="D175" s="323" t="n"/>
      <c r="E175" s="323" t="n"/>
      <c r="F175" s="323" t="n"/>
      <c r="G175" s="323" t="n"/>
      <c r="H175" s="323" t="n"/>
      <c r="I175" s="356">
        <f>N(C175)*MAX(1,N(D175))*2</f>
        <v/>
      </c>
      <c r="J175" s="356">
        <f>N(C175)*MAX(1,N(D175))</f>
        <v/>
      </c>
      <c r="K175" s="356">
        <f>N(C175)*MAX(1,N(D175))</f>
        <v/>
      </c>
      <c r="L175" s="356">
        <f>N(C175)</f>
        <v/>
      </c>
      <c r="M175" s="356">
        <f>IF($H175="Yes",0,N(C175))</f>
        <v/>
      </c>
      <c r="N175" s="380">
        <f>IFERROR(N(I175)*INDEX(IF($B$5="Cu",WIRE_CU,WIRE_AL),MATCH($E175,WIRE_SIZE,0)),0)+IFERROR(N(J175)*INDEX(IF($B$5="Cu",WIRE_CU,WIRE_AL),MATCH($F175,WIRE_SIZE,0)),0)+IFERROR(N(K175)*INDEX(PVC_RATE,MATCH($G175,PVC_SIZE,0)),0)+N(L175)*0.2912</f>
        <v/>
      </c>
    </row>
    <row r="176" ht="14.25" customHeight="1" s="252">
      <c r="A176" s="376" t="inlineStr">
        <is>
          <t>Dispenser 3</t>
        </is>
      </c>
      <c r="B176" s="323" t="n"/>
      <c r="C176" s="323" t="n"/>
      <c r="D176" s="323" t="n"/>
      <c r="E176" s="323" t="n"/>
      <c r="F176" s="323" t="n"/>
      <c r="G176" s="323" t="n"/>
      <c r="H176" s="323" t="n"/>
      <c r="I176" s="356">
        <f>N(C176)*MAX(1,N(D176))*2</f>
        <v/>
      </c>
      <c r="J176" s="356">
        <f>N(C176)*MAX(1,N(D176))</f>
        <v/>
      </c>
      <c r="K176" s="356">
        <f>N(C176)*MAX(1,N(D176))</f>
        <v/>
      </c>
      <c r="L176" s="356">
        <f>N(C176)</f>
        <v/>
      </c>
      <c r="M176" s="356">
        <f>IF($H176="Yes",0,N(C176))</f>
        <v/>
      </c>
      <c r="N176" s="380">
        <f>IFERROR(N(I176)*INDEX(IF($B$5="Cu",WIRE_CU,WIRE_AL),MATCH($E176,WIRE_SIZE,0)),0)+IFERROR(N(J176)*INDEX(IF($B$5="Cu",WIRE_CU,WIRE_AL),MATCH($F176,WIRE_SIZE,0)),0)+IFERROR(N(K176)*INDEX(PVC_RATE,MATCH($G176,PVC_SIZE,0)),0)+N(L176)*0.2912</f>
        <v/>
      </c>
    </row>
    <row r="177" ht="14.25" customHeight="1" s="252">
      <c r="A177" s="376" t="inlineStr">
        <is>
          <t>Dispenser 4</t>
        </is>
      </c>
      <c r="B177" s="323" t="n"/>
      <c r="C177" s="323" t="n"/>
      <c r="D177" s="323" t="n"/>
      <c r="E177" s="323" t="n"/>
      <c r="F177" s="323" t="n"/>
      <c r="G177" s="323" t="n"/>
      <c r="H177" s="323" t="n"/>
      <c r="I177" s="356">
        <f>N(C177)*MAX(1,N(D177))*2</f>
        <v/>
      </c>
      <c r="J177" s="356">
        <f>N(C177)*MAX(1,N(D177))</f>
        <v/>
      </c>
      <c r="K177" s="356">
        <f>N(C177)*MAX(1,N(D177))</f>
        <v/>
      </c>
      <c r="L177" s="356">
        <f>N(C177)</f>
        <v/>
      </c>
      <c r="M177" s="356">
        <f>IF($H177="Yes",0,N(C177))</f>
        <v/>
      </c>
      <c r="N177" s="380">
        <f>IFERROR(N(I177)*INDEX(IF($B$5="Cu",WIRE_CU,WIRE_AL),MATCH($E177,WIRE_SIZE,0)),0)+IFERROR(N(J177)*INDEX(IF($B$5="Cu",WIRE_CU,WIRE_AL),MATCH($F177,WIRE_SIZE,0)),0)+IFERROR(N(K177)*INDEX(PVC_RATE,MATCH($G177,PVC_SIZE,0)),0)+N(L177)*0.2912</f>
        <v/>
      </c>
    </row>
    <row r="178" ht="14.25" customHeight="1" s="252">
      <c r="A178" s="376" t="inlineStr">
        <is>
          <t>Dispenser 5</t>
        </is>
      </c>
      <c r="B178" s="323" t="n"/>
      <c r="C178" s="323" t="n"/>
      <c r="D178" s="323" t="n"/>
      <c r="E178" s="323" t="n"/>
      <c r="F178" s="323" t="n"/>
      <c r="G178" s="323" t="n"/>
      <c r="H178" s="323" t="n"/>
      <c r="I178" s="356">
        <f>N(C178)*MAX(1,N(D178))*2</f>
        <v/>
      </c>
      <c r="J178" s="356">
        <f>N(C178)*MAX(1,N(D178))</f>
        <v/>
      </c>
      <c r="K178" s="356">
        <f>N(C178)*MAX(1,N(D178))</f>
        <v/>
      </c>
      <c r="L178" s="356">
        <f>N(C178)</f>
        <v/>
      </c>
      <c r="M178" s="356">
        <f>IF($H178="Yes",0,N(C178))</f>
        <v/>
      </c>
      <c r="N178" s="380">
        <f>IFERROR(N(I178)*INDEX(IF($B$5="Cu",WIRE_CU,WIRE_AL),MATCH($E178,WIRE_SIZE,0)),0)+IFERROR(N(J178)*INDEX(IF($B$5="Cu",WIRE_CU,WIRE_AL),MATCH($F178,WIRE_SIZE,0)),0)+IFERROR(N(K178)*INDEX(PVC_RATE,MATCH($G178,PVC_SIZE,0)),0)+N(L178)*0.2912</f>
        <v/>
      </c>
    </row>
    <row r="179" ht="14.25" customHeight="1" s="252">
      <c r="A179" s="376" t="inlineStr">
        <is>
          <t>Dispenser 6</t>
        </is>
      </c>
      <c r="B179" s="323" t="n"/>
      <c r="C179" s="323" t="n"/>
      <c r="D179" s="323" t="n"/>
      <c r="E179" s="323" t="n"/>
      <c r="F179" s="323" t="n"/>
      <c r="G179" s="323" t="n"/>
      <c r="H179" s="323" t="n"/>
      <c r="I179" s="356">
        <f>N(C179)*MAX(1,N(D179))*2</f>
        <v/>
      </c>
      <c r="J179" s="356">
        <f>N(C179)*MAX(1,N(D179))</f>
        <v/>
      </c>
      <c r="K179" s="356">
        <f>N(C179)*MAX(1,N(D179))</f>
        <v/>
      </c>
      <c r="L179" s="356">
        <f>N(C179)</f>
        <v/>
      </c>
      <c r="M179" s="356">
        <f>IF($H179="Yes",0,N(C179))</f>
        <v/>
      </c>
      <c r="N179" s="380">
        <f>IFERROR(N(I179)*INDEX(IF($B$5="Cu",WIRE_CU,WIRE_AL),MATCH($E179,WIRE_SIZE,0)),0)+IFERROR(N(J179)*INDEX(IF($B$5="Cu",WIRE_CU,WIRE_AL),MATCH($F179,WIRE_SIZE,0)),0)+IFERROR(N(K179)*INDEX(PVC_RATE,MATCH($G179,PVC_SIZE,0)),0)+N(L179)*0.2912</f>
        <v/>
      </c>
    </row>
    <row r="180" ht="14.25" customHeight="1" s="252">
      <c r="A180" s="376" t="inlineStr">
        <is>
          <t>Dispenser 7</t>
        </is>
      </c>
      <c r="B180" s="323" t="n"/>
      <c r="C180" s="323" t="n"/>
      <c r="D180" s="323" t="n"/>
      <c r="E180" s="323" t="n"/>
      <c r="F180" s="323" t="n"/>
      <c r="G180" s="323" t="n"/>
      <c r="H180" s="323" t="n"/>
      <c r="I180" s="356">
        <f>N(C180)*MAX(1,N(D180))*2</f>
        <v/>
      </c>
      <c r="J180" s="356">
        <f>N(C180)*MAX(1,N(D180))</f>
        <v/>
      </c>
      <c r="K180" s="356">
        <f>N(C180)*MAX(1,N(D180))</f>
        <v/>
      </c>
      <c r="L180" s="356">
        <f>N(C180)</f>
        <v/>
      </c>
      <c r="M180" s="356">
        <f>IF($H180="Yes",0,N(C180))</f>
        <v/>
      </c>
      <c r="N180" s="380">
        <f>IFERROR(N(I180)*INDEX(IF($B$5="Cu",WIRE_CU,WIRE_AL),MATCH($E180,WIRE_SIZE,0)),0)+IFERROR(N(J180)*INDEX(IF($B$5="Cu",WIRE_CU,WIRE_AL),MATCH($F180,WIRE_SIZE,0)),0)+IFERROR(N(K180)*INDEX(PVC_RATE,MATCH($G180,PVC_SIZE,0)),0)+N(L180)*0.2912</f>
        <v/>
      </c>
    </row>
    <row r="181" ht="14.25" customHeight="1" s="252">
      <c r="A181" s="376" t="inlineStr">
        <is>
          <t>Dispenser 8</t>
        </is>
      </c>
      <c r="B181" s="323" t="n"/>
      <c r="C181" s="323" t="n"/>
      <c r="D181" s="323" t="n"/>
      <c r="E181" s="323" t="n"/>
      <c r="F181" s="323" t="n"/>
      <c r="G181" s="323" t="n"/>
      <c r="H181" s="323" t="n"/>
      <c r="I181" s="356">
        <f>N(C181)*MAX(1,N(D181))*2</f>
        <v/>
      </c>
      <c r="J181" s="356">
        <f>N(C181)*MAX(1,N(D181))</f>
        <v/>
      </c>
      <c r="K181" s="356">
        <f>N(C181)*MAX(1,N(D181))</f>
        <v/>
      </c>
      <c r="L181" s="356">
        <f>N(C181)</f>
        <v/>
      </c>
      <c r="M181" s="356">
        <f>IF($H181="Yes",0,N(C181))</f>
        <v/>
      </c>
      <c r="N181" s="380">
        <f>IFERROR(N(I181)*INDEX(IF($B$5="Cu",WIRE_CU,WIRE_AL),MATCH($E181,WIRE_SIZE,0)),0)+IFERROR(N(J181)*INDEX(IF($B$5="Cu",WIRE_CU,WIRE_AL),MATCH($F181,WIRE_SIZE,0)),0)+IFERROR(N(K181)*INDEX(PVC_RATE,MATCH($G181,PVC_SIZE,0)),0)+N(L181)*0.2912</f>
        <v/>
      </c>
    </row>
    <row r="182" ht="14.25" customHeight="1" s="252">
      <c r="A182" s="376" t="inlineStr">
        <is>
          <t>Dispenser 9</t>
        </is>
      </c>
      <c r="B182" s="323" t="n"/>
      <c r="C182" s="323" t="n"/>
      <c r="D182" s="323" t="n"/>
      <c r="E182" s="323" t="n"/>
      <c r="F182" s="323" t="n"/>
      <c r="G182" s="323" t="n"/>
      <c r="H182" s="323" t="n"/>
      <c r="I182" s="356">
        <f>N(C182)*MAX(1,N(D182))*2</f>
        <v/>
      </c>
      <c r="J182" s="356">
        <f>N(C182)*MAX(1,N(D182))</f>
        <v/>
      </c>
      <c r="K182" s="356">
        <f>N(C182)*MAX(1,N(D182))</f>
        <v/>
      </c>
      <c r="L182" s="356">
        <f>N(C182)</f>
        <v/>
      </c>
      <c r="M182" s="356">
        <f>IF($H182="Yes",0,N(C182))</f>
        <v/>
      </c>
      <c r="N182" s="380">
        <f>IFERROR(N(I182)*INDEX(IF($B$5="Cu",WIRE_CU,WIRE_AL),MATCH($E182,WIRE_SIZE,0)),0)+IFERROR(N(J182)*INDEX(IF($B$5="Cu",WIRE_CU,WIRE_AL),MATCH($F182,WIRE_SIZE,0)),0)+IFERROR(N(K182)*INDEX(PVC_RATE,MATCH($G182,PVC_SIZE,0)),0)+N(L182)*0.2912</f>
        <v/>
      </c>
    </row>
    <row r="183" ht="14.25" customHeight="1" s="252">
      <c r="A183" s="376" t="inlineStr">
        <is>
          <t>Dispenser 10</t>
        </is>
      </c>
      <c r="B183" s="323" t="n"/>
      <c r="C183" s="323" t="n"/>
      <c r="D183" s="323" t="n"/>
      <c r="E183" s="323" t="n"/>
      <c r="F183" s="323" t="n"/>
      <c r="G183" s="323" t="n"/>
      <c r="H183" s="323" t="n"/>
      <c r="I183" s="356">
        <f>N(C183)*MAX(1,N(D183))*2</f>
        <v/>
      </c>
      <c r="J183" s="356">
        <f>N(C183)*MAX(1,N(D183))</f>
        <v/>
      </c>
      <c r="K183" s="356">
        <f>N(C183)*MAX(1,N(D183))</f>
        <v/>
      </c>
      <c r="L183" s="356">
        <f>N(C183)</f>
        <v/>
      </c>
      <c r="M183" s="356">
        <f>IF($H183="Yes",0,N(C183))</f>
        <v/>
      </c>
      <c r="N183" s="380">
        <f>IFERROR(N(I183)*INDEX(IF($B$5="Cu",WIRE_CU,WIRE_AL),MATCH($E183,WIRE_SIZE,0)),0)+IFERROR(N(J183)*INDEX(IF($B$5="Cu",WIRE_CU,WIRE_AL),MATCH($F183,WIRE_SIZE,0)),0)+IFERROR(N(K183)*INDEX(PVC_RATE,MATCH($G183,PVC_SIZE,0)),0)+N(L183)*0.2912</f>
        <v/>
      </c>
    </row>
    <row r="184" ht="14.25" customHeight="1" s="252">
      <c r="A184" s="376" t="inlineStr">
        <is>
          <t>Dispenser 11</t>
        </is>
      </c>
      <c r="B184" s="323" t="n"/>
      <c r="C184" s="323" t="n"/>
      <c r="D184" s="323" t="n"/>
      <c r="E184" s="323" t="n"/>
      <c r="F184" s="323" t="n"/>
      <c r="G184" s="323" t="n"/>
      <c r="H184" s="323" t="n"/>
      <c r="I184" s="356">
        <f>N(C184)*MAX(1,N(D184))*2</f>
        <v/>
      </c>
      <c r="J184" s="356">
        <f>N(C184)*MAX(1,N(D184))</f>
        <v/>
      </c>
      <c r="K184" s="356">
        <f>N(C184)*MAX(1,N(D184))</f>
        <v/>
      </c>
      <c r="L184" s="356">
        <f>N(C184)</f>
        <v/>
      </c>
      <c r="M184" s="356">
        <f>IF($H184="Yes",0,N(C184))</f>
        <v/>
      </c>
      <c r="N184" s="380">
        <f>IFERROR(N(I184)*INDEX(IF($B$5="Cu",WIRE_CU,WIRE_AL),MATCH($E184,WIRE_SIZE,0)),0)+IFERROR(N(J184)*INDEX(IF($B$5="Cu",WIRE_CU,WIRE_AL),MATCH($F184,WIRE_SIZE,0)),0)+IFERROR(N(K184)*INDEX(PVC_RATE,MATCH($G184,PVC_SIZE,0)),0)+N(L184)*0.2912</f>
        <v/>
      </c>
    </row>
    <row r="185" ht="14.25" customHeight="1" s="252">
      <c r="A185" s="376" t="inlineStr">
        <is>
          <t>Dispenser 12</t>
        </is>
      </c>
      <c r="B185" s="323" t="n"/>
      <c r="C185" s="323" t="n"/>
      <c r="D185" s="323" t="n"/>
      <c r="E185" s="323" t="n"/>
      <c r="F185" s="323" t="n"/>
      <c r="G185" s="323" t="n"/>
      <c r="H185" s="323" t="n"/>
      <c r="I185" s="356">
        <f>N(C185)*MAX(1,N(D185))*2</f>
        <v/>
      </c>
      <c r="J185" s="356">
        <f>N(C185)*MAX(1,N(D185))</f>
        <v/>
      </c>
      <c r="K185" s="356">
        <f>N(C185)*MAX(1,N(D185))</f>
        <v/>
      </c>
      <c r="L185" s="356">
        <f>N(C185)</f>
        <v/>
      </c>
      <c r="M185" s="356">
        <f>IF($H185="Yes",0,N(C185))</f>
        <v/>
      </c>
      <c r="N185" s="380">
        <f>IFERROR(N(I185)*INDEX(IF($B$5="Cu",WIRE_CU,WIRE_AL),MATCH($E185,WIRE_SIZE,0)),0)+IFERROR(N(J185)*INDEX(IF($B$5="Cu",WIRE_CU,WIRE_AL),MATCH($F185,WIRE_SIZE,0)),0)+IFERROR(N(K185)*INDEX(PVC_RATE,MATCH($G185,PVC_SIZE,0)),0)+N(L185)*0.2912</f>
        <v/>
      </c>
    </row>
    <row r="186" ht="14.25" customHeight="1" s="252">
      <c r="A186" s="376" t="inlineStr">
        <is>
          <t>Dispenser 13</t>
        </is>
      </c>
      <c r="B186" s="323" t="n"/>
      <c r="C186" s="323" t="n"/>
      <c r="D186" s="323" t="n"/>
      <c r="E186" s="323" t="n"/>
      <c r="F186" s="323" t="n"/>
      <c r="G186" s="323" t="n"/>
      <c r="H186" s="323" t="n"/>
      <c r="I186" s="356">
        <f>N(C186)*MAX(1,N(D186))*2</f>
        <v/>
      </c>
      <c r="J186" s="356">
        <f>N(C186)*MAX(1,N(D186))</f>
        <v/>
      </c>
      <c r="K186" s="356">
        <f>N(C186)*MAX(1,N(D186))</f>
        <v/>
      </c>
      <c r="L186" s="356">
        <f>N(C186)</f>
        <v/>
      </c>
      <c r="M186" s="356">
        <f>IF($H186="Yes",0,N(C186))</f>
        <v/>
      </c>
      <c r="N186" s="380">
        <f>IFERROR(N(I186)*INDEX(IF($B$5="Cu",WIRE_CU,WIRE_AL),MATCH($E186,WIRE_SIZE,0)),0)+IFERROR(N(J186)*INDEX(IF($B$5="Cu",WIRE_CU,WIRE_AL),MATCH($F186,WIRE_SIZE,0)),0)+IFERROR(N(K186)*INDEX(PVC_RATE,MATCH($G186,PVC_SIZE,0)),0)+N(L186)*0.2912</f>
        <v/>
      </c>
    </row>
    <row r="187" ht="14.25" customHeight="1" s="252">
      <c r="A187" s="376" t="inlineStr">
        <is>
          <t>Dispenser 14</t>
        </is>
      </c>
      <c r="B187" s="323" t="n"/>
      <c r="C187" s="323" t="n"/>
      <c r="D187" s="323" t="n"/>
      <c r="E187" s="323" t="n"/>
      <c r="F187" s="323" t="n"/>
      <c r="G187" s="323" t="n"/>
      <c r="H187" s="323" t="n"/>
      <c r="I187" s="356">
        <f>N(C187)*MAX(1,N(D187))*2</f>
        <v/>
      </c>
      <c r="J187" s="356">
        <f>N(C187)*MAX(1,N(D187))</f>
        <v/>
      </c>
      <c r="K187" s="356">
        <f>N(C187)*MAX(1,N(D187))</f>
        <v/>
      </c>
      <c r="L187" s="356">
        <f>N(C187)</f>
        <v/>
      </c>
      <c r="M187" s="356">
        <f>IF($H187="Yes",0,N(C187))</f>
        <v/>
      </c>
      <c r="N187" s="380">
        <f>IFERROR(N(I187)*INDEX(IF($B$5="Cu",WIRE_CU,WIRE_AL),MATCH($E187,WIRE_SIZE,0)),0)+IFERROR(N(J187)*INDEX(IF($B$5="Cu",WIRE_CU,WIRE_AL),MATCH($F187,WIRE_SIZE,0)),0)+IFERROR(N(K187)*INDEX(PVC_RATE,MATCH($G187,PVC_SIZE,0)),0)+N(L187)*0.2912</f>
        <v/>
      </c>
    </row>
    <row r="188" ht="14.25" customHeight="1" s="252">
      <c r="A188" s="376" t="inlineStr">
        <is>
          <t>Dispenser 15</t>
        </is>
      </c>
      <c r="B188" s="323" t="n"/>
      <c r="C188" s="323" t="n"/>
      <c r="D188" s="323" t="n"/>
      <c r="E188" s="323" t="n"/>
      <c r="F188" s="323" t="n"/>
      <c r="G188" s="323" t="n"/>
      <c r="H188" s="323" t="n"/>
      <c r="I188" s="356">
        <f>N(C188)*MAX(1,N(D188))*2</f>
        <v/>
      </c>
      <c r="J188" s="356">
        <f>N(C188)*MAX(1,N(D188))</f>
        <v/>
      </c>
      <c r="K188" s="356">
        <f>N(C188)*MAX(1,N(D188))</f>
        <v/>
      </c>
      <c r="L188" s="356">
        <f>N(C188)</f>
        <v/>
      </c>
      <c r="M188" s="356">
        <f>IF($H188="Yes",0,N(C188))</f>
        <v/>
      </c>
      <c r="N188" s="380">
        <f>IFERROR(N(I188)*INDEX(IF($B$5="Cu",WIRE_CU,WIRE_AL),MATCH($E188,WIRE_SIZE,0)),0)+IFERROR(N(J188)*INDEX(IF($B$5="Cu",WIRE_CU,WIRE_AL),MATCH($F188,WIRE_SIZE,0)),0)+IFERROR(N(K188)*INDEX(PVC_RATE,MATCH($G188,PVC_SIZE,0)),0)+N(L188)*0.2912</f>
        <v/>
      </c>
    </row>
    <row r="189" ht="14.25" customHeight="1" s="252">
      <c r="A189" s="376" t="inlineStr">
        <is>
          <t>Dispenser 16</t>
        </is>
      </c>
      <c r="B189" s="323" t="n"/>
      <c r="C189" s="323" t="n"/>
      <c r="D189" s="323" t="n"/>
      <c r="E189" s="323" t="n"/>
      <c r="F189" s="323" t="n"/>
      <c r="G189" s="323" t="n"/>
      <c r="H189" s="323" t="n"/>
      <c r="I189" s="356">
        <f>N(C189)*MAX(1,N(D189))*2</f>
        <v/>
      </c>
      <c r="J189" s="356">
        <f>N(C189)*MAX(1,N(D189))</f>
        <v/>
      </c>
      <c r="K189" s="356">
        <f>N(C189)*MAX(1,N(D189))</f>
        <v/>
      </c>
      <c r="L189" s="356">
        <f>N(C189)</f>
        <v/>
      </c>
      <c r="M189" s="356">
        <f>IF($H189="Yes",0,N(C189))</f>
        <v/>
      </c>
      <c r="N189" s="380">
        <f>IFERROR(N(I189)*INDEX(IF($B$5="Cu",WIRE_CU,WIRE_AL),MATCH($E189,WIRE_SIZE,0)),0)+IFERROR(N(J189)*INDEX(IF($B$5="Cu",WIRE_CU,WIRE_AL),MATCH($F189,WIRE_SIZE,0)),0)+IFERROR(N(K189)*INDEX(PVC_RATE,MATCH($G189,PVC_SIZE,0)),0)+N(L189)*0.2912</f>
        <v/>
      </c>
    </row>
    <row r="190" ht="14.25" customHeight="1" s="252">
      <c r="A190" s="376" t="inlineStr">
        <is>
          <t>Dispenser 17</t>
        </is>
      </c>
      <c r="B190" s="323" t="n"/>
      <c r="C190" s="323" t="n"/>
      <c r="D190" s="323" t="n"/>
      <c r="E190" s="323" t="n"/>
      <c r="F190" s="323" t="n"/>
      <c r="G190" s="323" t="n"/>
      <c r="H190" s="323" t="n"/>
      <c r="I190" s="356">
        <f>N(C190)*MAX(1,N(D190))*2</f>
        <v/>
      </c>
      <c r="J190" s="356">
        <f>N(C190)*MAX(1,N(D190))</f>
        <v/>
      </c>
      <c r="K190" s="356">
        <f>N(C190)*MAX(1,N(D190))</f>
        <v/>
      </c>
      <c r="L190" s="356">
        <f>N(C190)</f>
        <v/>
      </c>
      <c r="M190" s="356">
        <f>IF($H190="Yes",0,N(C190))</f>
        <v/>
      </c>
      <c r="N190" s="380">
        <f>IFERROR(N(I190)*INDEX(IF($B$5="Cu",WIRE_CU,WIRE_AL),MATCH($E190,WIRE_SIZE,0)),0)+IFERROR(N(J190)*INDEX(IF($B$5="Cu",WIRE_CU,WIRE_AL),MATCH($F190,WIRE_SIZE,0)),0)+IFERROR(N(K190)*INDEX(PVC_RATE,MATCH($G190,PVC_SIZE,0)),0)+N(L190)*0.2912</f>
        <v/>
      </c>
    </row>
    <row r="191" ht="14.25" customHeight="1" s="252">
      <c r="A191" s="376" t="inlineStr">
        <is>
          <t>Dispenser 18</t>
        </is>
      </c>
      <c r="B191" s="323" t="n"/>
      <c r="C191" s="323" t="n"/>
      <c r="D191" s="323" t="n"/>
      <c r="E191" s="323" t="n"/>
      <c r="F191" s="323" t="n"/>
      <c r="G191" s="323" t="n"/>
      <c r="H191" s="323" t="n"/>
      <c r="I191" s="356">
        <f>N(C191)*MAX(1,N(D191))*2</f>
        <v/>
      </c>
      <c r="J191" s="356">
        <f>N(C191)*MAX(1,N(D191))</f>
        <v/>
      </c>
      <c r="K191" s="356">
        <f>N(C191)*MAX(1,N(D191))</f>
        <v/>
      </c>
      <c r="L191" s="356">
        <f>N(C191)</f>
        <v/>
      </c>
      <c r="M191" s="356">
        <f>IF($H191="Yes",0,N(C191))</f>
        <v/>
      </c>
      <c r="N191" s="380">
        <f>IFERROR(N(I191)*INDEX(IF($B$5="Cu",WIRE_CU,WIRE_AL),MATCH($E191,WIRE_SIZE,0)),0)+IFERROR(N(J191)*INDEX(IF($B$5="Cu",WIRE_CU,WIRE_AL),MATCH($F191,WIRE_SIZE,0)),0)+IFERROR(N(K191)*INDEX(PVC_RATE,MATCH($G191,PVC_SIZE,0)),0)+N(L191)*0.2912</f>
        <v/>
      </c>
    </row>
    <row r="192" ht="14.25" customHeight="1" s="252">
      <c r="A192" s="376" t="inlineStr">
        <is>
          <t>Dispenser 19</t>
        </is>
      </c>
      <c r="B192" s="323" t="n"/>
      <c r="C192" s="323" t="n"/>
      <c r="D192" s="323" t="n"/>
      <c r="E192" s="323" t="n"/>
      <c r="F192" s="323" t="n"/>
      <c r="G192" s="323" t="n"/>
      <c r="H192" s="323" t="n"/>
      <c r="I192" s="356">
        <f>N(C192)*MAX(1,N(D192))*2</f>
        <v/>
      </c>
      <c r="J192" s="356">
        <f>N(C192)*MAX(1,N(D192))</f>
        <v/>
      </c>
      <c r="K192" s="356">
        <f>N(C192)*MAX(1,N(D192))</f>
        <v/>
      </c>
      <c r="L192" s="356">
        <f>N(C192)</f>
        <v/>
      </c>
      <c r="M192" s="356">
        <f>IF($H192="Yes",0,N(C192))</f>
        <v/>
      </c>
      <c r="N192" s="380">
        <f>IFERROR(N(I192)*INDEX(IF($B$5="Cu",WIRE_CU,WIRE_AL),MATCH($E192,WIRE_SIZE,0)),0)+IFERROR(N(J192)*INDEX(IF($B$5="Cu",WIRE_CU,WIRE_AL),MATCH($F192,WIRE_SIZE,0)),0)+IFERROR(N(K192)*INDEX(PVC_RATE,MATCH($G192,PVC_SIZE,0)),0)+N(L192)*0.2912</f>
        <v/>
      </c>
    </row>
    <row r="193" ht="14.25" customHeight="1" s="252">
      <c r="A193" s="376" t="inlineStr">
        <is>
          <t>Dispenser 20</t>
        </is>
      </c>
      <c r="B193" s="323" t="n"/>
      <c r="C193" s="323" t="n"/>
      <c r="D193" s="323" t="n"/>
      <c r="E193" s="323" t="n"/>
      <c r="F193" s="323" t="n"/>
      <c r="G193" s="323" t="n"/>
      <c r="H193" s="323" t="n"/>
      <c r="I193" s="356">
        <f>N(C193)*MAX(1,N(D193))*2</f>
        <v/>
      </c>
      <c r="J193" s="356">
        <f>N(C193)*MAX(1,N(D193))</f>
        <v/>
      </c>
      <c r="K193" s="356">
        <f>N(C193)*MAX(1,N(D193))</f>
        <v/>
      </c>
      <c r="L193" s="356">
        <f>N(C193)</f>
        <v/>
      </c>
      <c r="M193" s="356">
        <f>IF($H193="Yes",0,N(C193))</f>
        <v/>
      </c>
      <c r="N193" s="380">
        <f>IFERROR(N(I193)*INDEX(IF($B$5="Cu",WIRE_CU,WIRE_AL),MATCH($E193,WIRE_SIZE,0)),0)+IFERROR(N(J193)*INDEX(IF($B$5="Cu",WIRE_CU,WIRE_AL),MATCH($F193,WIRE_SIZE,0)),0)+IFERROR(N(K193)*INDEX(PVC_RATE,MATCH($G193,PVC_SIZE,0)),0)+N(L193)*0.2912</f>
        <v/>
      </c>
    </row>
    <row r="194" ht="14.25" customHeight="1" s="252">
      <c r="A194" s="376" t="inlineStr">
        <is>
          <t>Dispenser 21</t>
        </is>
      </c>
      <c r="B194" s="323" t="n"/>
      <c r="C194" s="323" t="n"/>
      <c r="D194" s="323" t="n"/>
      <c r="E194" s="323" t="n"/>
      <c r="F194" s="323" t="n"/>
      <c r="G194" s="323" t="n"/>
      <c r="H194" s="323" t="n"/>
      <c r="I194" s="356">
        <f>N(C194)*MAX(1,N(D194))*2</f>
        <v/>
      </c>
      <c r="J194" s="356">
        <f>N(C194)*MAX(1,N(D194))</f>
        <v/>
      </c>
      <c r="K194" s="356">
        <f>N(C194)*MAX(1,N(D194))</f>
        <v/>
      </c>
      <c r="L194" s="356">
        <f>N(C194)</f>
        <v/>
      </c>
      <c r="M194" s="356">
        <f>IF($H194="Yes",0,N(C194))</f>
        <v/>
      </c>
      <c r="N194" s="380">
        <f>IFERROR(N(I194)*INDEX(IF($B$5="Cu",WIRE_CU,WIRE_AL),MATCH($E194,WIRE_SIZE,0)),0)+IFERROR(N(J194)*INDEX(IF($B$5="Cu",WIRE_CU,WIRE_AL),MATCH($F194,WIRE_SIZE,0)),0)+IFERROR(N(K194)*INDEX(PVC_RATE,MATCH($G194,PVC_SIZE,0)),0)+N(L194)*0.2912</f>
        <v/>
      </c>
    </row>
    <row r="195" ht="14.25" customHeight="1" s="252">
      <c r="A195" s="376" t="inlineStr">
        <is>
          <t>Dispenser 22</t>
        </is>
      </c>
      <c r="B195" s="323" t="n"/>
      <c r="C195" s="323" t="n"/>
      <c r="D195" s="323" t="n"/>
      <c r="E195" s="323" t="n"/>
      <c r="F195" s="323" t="n"/>
      <c r="G195" s="323" t="n"/>
      <c r="H195" s="323" t="n"/>
      <c r="I195" s="356">
        <f>N(C195)*MAX(1,N(D195))*2</f>
        <v/>
      </c>
      <c r="J195" s="356">
        <f>N(C195)*MAX(1,N(D195))</f>
        <v/>
      </c>
      <c r="K195" s="356">
        <f>N(C195)*MAX(1,N(D195))</f>
        <v/>
      </c>
      <c r="L195" s="356">
        <f>N(C195)</f>
        <v/>
      </c>
      <c r="M195" s="356">
        <f>IF($H195="Yes",0,N(C195))</f>
        <v/>
      </c>
      <c r="N195" s="380">
        <f>IFERROR(N(I195)*INDEX(IF($B$5="Cu",WIRE_CU,WIRE_AL),MATCH($E195,WIRE_SIZE,0)),0)+IFERROR(N(J195)*INDEX(IF($B$5="Cu",WIRE_CU,WIRE_AL),MATCH($F195,WIRE_SIZE,0)),0)+IFERROR(N(K195)*INDEX(PVC_RATE,MATCH($G195,PVC_SIZE,0)),0)+N(L195)*0.2912</f>
        <v/>
      </c>
    </row>
    <row r="196" ht="14.25" customHeight="1" s="252">
      <c r="A196" s="376" t="inlineStr">
        <is>
          <t>Dispenser 23</t>
        </is>
      </c>
      <c r="B196" s="323" t="n"/>
      <c r="C196" s="323" t="n"/>
      <c r="D196" s="323" t="n"/>
      <c r="E196" s="323" t="n"/>
      <c r="F196" s="323" t="n"/>
      <c r="G196" s="323" t="n"/>
      <c r="H196" s="323" t="n"/>
      <c r="I196" s="356">
        <f>N(C196)*MAX(1,N(D196))*2</f>
        <v/>
      </c>
      <c r="J196" s="356">
        <f>N(C196)*MAX(1,N(D196))</f>
        <v/>
      </c>
      <c r="K196" s="356">
        <f>N(C196)*MAX(1,N(D196))</f>
        <v/>
      </c>
      <c r="L196" s="356">
        <f>N(C196)</f>
        <v/>
      </c>
      <c r="M196" s="356">
        <f>IF($H196="Yes",0,N(C196))</f>
        <v/>
      </c>
      <c r="N196" s="380">
        <f>IFERROR(N(I196)*INDEX(IF($B$5="Cu",WIRE_CU,WIRE_AL),MATCH($E196,WIRE_SIZE,0)),0)+IFERROR(N(J196)*INDEX(IF($B$5="Cu",WIRE_CU,WIRE_AL),MATCH($F196,WIRE_SIZE,0)),0)+IFERROR(N(K196)*INDEX(PVC_RATE,MATCH($G196,PVC_SIZE,0)),0)+N(L196)*0.2912</f>
        <v/>
      </c>
    </row>
    <row r="197" ht="14.25" customHeight="1" s="252">
      <c r="A197" s="376" t="inlineStr">
        <is>
          <t>Dispenser 24</t>
        </is>
      </c>
      <c r="B197" s="323" t="n"/>
      <c r="C197" s="323" t="n"/>
      <c r="D197" s="323" t="n"/>
      <c r="E197" s="323" t="n"/>
      <c r="F197" s="323" t="n"/>
      <c r="G197" s="323" t="n"/>
      <c r="H197" s="323" t="n"/>
      <c r="I197" s="356">
        <f>N(C197)*MAX(1,N(D197))*2</f>
        <v/>
      </c>
      <c r="J197" s="356">
        <f>N(C197)*MAX(1,N(D197))</f>
        <v/>
      </c>
      <c r="K197" s="356">
        <f>N(C197)*MAX(1,N(D197))</f>
        <v/>
      </c>
      <c r="L197" s="356">
        <f>N(C197)</f>
        <v/>
      </c>
      <c r="M197" s="356">
        <f>IF($H197="Yes",0,N(C197))</f>
        <v/>
      </c>
      <c r="N197" s="380">
        <f>IFERROR(N(I197)*INDEX(IF($B$5="Cu",WIRE_CU,WIRE_AL),MATCH($E197,WIRE_SIZE,0)),0)+IFERROR(N(J197)*INDEX(IF($B$5="Cu",WIRE_CU,WIRE_AL),MATCH($F197,WIRE_SIZE,0)),0)+IFERROR(N(K197)*INDEX(PVC_RATE,MATCH($G197,PVC_SIZE,0)),0)+N(L197)*0.2912</f>
        <v/>
      </c>
    </row>
    <row r="198" ht="14.25" customHeight="1" s="252">
      <c r="A198" s="376" t="inlineStr">
        <is>
          <t>Dispenser 25</t>
        </is>
      </c>
      <c r="B198" s="323" t="n"/>
      <c r="C198" s="323" t="n"/>
      <c r="D198" s="323" t="n"/>
      <c r="E198" s="323" t="n"/>
      <c r="F198" s="323" t="n"/>
      <c r="G198" s="323" t="n"/>
      <c r="H198" s="323" t="n"/>
      <c r="I198" s="356">
        <f>N(C198)*MAX(1,N(D198))*2</f>
        <v/>
      </c>
      <c r="J198" s="356">
        <f>N(C198)*MAX(1,N(D198))</f>
        <v/>
      </c>
      <c r="K198" s="356">
        <f>N(C198)*MAX(1,N(D198))</f>
        <v/>
      </c>
      <c r="L198" s="356">
        <f>N(C198)</f>
        <v/>
      </c>
      <c r="M198" s="356">
        <f>IF($H198="Yes",0,N(C198))</f>
        <v/>
      </c>
      <c r="N198" s="380">
        <f>IFERROR(N(I198)*INDEX(IF($B$5="Cu",WIRE_CU,WIRE_AL),MATCH($E198,WIRE_SIZE,0)),0)+IFERROR(N(J198)*INDEX(IF($B$5="Cu",WIRE_CU,WIRE_AL),MATCH($F198,WIRE_SIZE,0)),0)+IFERROR(N(K198)*INDEX(PVC_RATE,MATCH($G198,PVC_SIZE,0)),0)+N(L198)*0.2912</f>
        <v/>
      </c>
    </row>
    <row r="199" ht="14.25" customHeight="1" s="252">
      <c r="A199" s="376" t="inlineStr">
        <is>
          <t>Dispenser 26</t>
        </is>
      </c>
      <c r="B199" s="323" t="n"/>
      <c r="C199" s="323" t="n"/>
      <c r="D199" s="323" t="n"/>
      <c r="E199" s="323" t="n"/>
      <c r="F199" s="323" t="n"/>
      <c r="G199" s="323" t="n"/>
      <c r="H199" s="323" t="n"/>
      <c r="I199" s="356">
        <f>N(C199)*MAX(1,N(D199))*2</f>
        <v/>
      </c>
      <c r="J199" s="356">
        <f>N(C199)*MAX(1,N(D199))</f>
        <v/>
      </c>
      <c r="K199" s="356">
        <f>N(C199)*MAX(1,N(D199))</f>
        <v/>
      </c>
      <c r="L199" s="356">
        <f>N(C199)</f>
        <v/>
      </c>
      <c r="M199" s="356">
        <f>IF($H199="Yes",0,N(C199))</f>
        <v/>
      </c>
      <c r="N199" s="380">
        <f>IFERROR(N(I199)*INDEX(IF($B$5="Cu",WIRE_CU,WIRE_AL),MATCH($E199,WIRE_SIZE,0)),0)+IFERROR(N(J199)*INDEX(IF($B$5="Cu",WIRE_CU,WIRE_AL),MATCH($F199,WIRE_SIZE,0)),0)+IFERROR(N(K199)*INDEX(PVC_RATE,MATCH($G199,PVC_SIZE,0)),0)+N(L199)*0.2912</f>
        <v/>
      </c>
    </row>
    <row r="200" ht="14.25" customHeight="1" s="252">
      <c r="A200" s="376" t="inlineStr">
        <is>
          <t>Dispenser 27</t>
        </is>
      </c>
      <c r="B200" s="323" t="n"/>
      <c r="C200" s="323" t="n"/>
      <c r="D200" s="323" t="n"/>
      <c r="E200" s="323" t="n"/>
      <c r="F200" s="323" t="n"/>
      <c r="G200" s="323" t="n"/>
      <c r="H200" s="323" t="n"/>
      <c r="I200" s="356">
        <f>N(C200)*MAX(1,N(D200))*2</f>
        <v/>
      </c>
      <c r="J200" s="356">
        <f>N(C200)*MAX(1,N(D200))</f>
        <v/>
      </c>
      <c r="K200" s="356">
        <f>N(C200)*MAX(1,N(D200))</f>
        <v/>
      </c>
      <c r="L200" s="356">
        <f>N(C200)</f>
        <v/>
      </c>
      <c r="M200" s="356">
        <f>IF($H200="Yes",0,N(C200))</f>
        <v/>
      </c>
      <c r="N200" s="380">
        <f>IFERROR(N(I200)*INDEX(IF($B$5="Cu",WIRE_CU,WIRE_AL),MATCH($E200,WIRE_SIZE,0)),0)+IFERROR(N(J200)*INDEX(IF($B$5="Cu",WIRE_CU,WIRE_AL),MATCH($F200,WIRE_SIZE,0)),0)+IFERROR(N(K200)*INDEX(PVC_RATE,MATCH($G200,PVC_SIZE,0)),0)+N(L200)*0.2912</f>
        <v/>
      </c>
    </row>
    <row r="201" ht="14.25" customHeight="1" s="252">
      <c r="A201" s="376" t="inlineStr">
        <is>
          <t>Dispenser 28</t>
        </is>
      </c>
      <c r="B201" s="323" t="n"/>
      <c r="C201" s="323" t="n"/>
      <c r="D201" s="323" t="n"/>
      <c r="E201" s="323" t="n"/>
      <c r="F201" s="323" t="n"/>
      <c r="G201" s="323" t="n"/>
      <c r="H201" s="323" t="n"/>
      <c r="I201" s="356">
        <f>N(C201)*MAX(1,N(D201))*2</f>
        <v/>
      </c>
      <c r="J201" s="356">
        <f>N(C201)*MAX(1,N(D201))</f>
        <v/>
      </c>
      <c r="K201" s="356">
        <f>N(C201)*MAX(1,N(D201))</f>
        <v/>
      </c>
      <c r="L201" s="356">
        <f>N(C201)</f>
        <v/>
      </c>
      <c r="M201" s="356">
        <f>IF($H201="Yes",0,N(C201))</f>
        <v/>
      </c>
      <c r="N201" s="380">
        <f>IFERROR(N(I201)*INDEX(IF($B$5="Cu",WIRE_CU,WIRE_AL),MATCH($E201,WIRE_SIZE,0)),0)+IFERROR(N(J201)*INDEX(IF($B$5="Cu",WIRE_CU,WIRE_AL),MATCH($F201,WIRE_SIZE,0)),0)+IFERROR(N(K201)*INDEX(PVC_RATE,MATCH($G201,PVC_SIZE,0)),0)+N(L201)*0.2912</f>
        <v/>
      </c>
    </row>
    <row r="202" ht="14.25" customHeight="1" s="252">
      <c r="A202" s="376" t="inlineStr">
        <is>
          <t>Dispenser 29</t>
        </is>
      </c>
      <c r="B202" s="323" t="n"/>
      <c r="C202" s="323" t="n"/>
      <c r="D202" s="323" t="n"/>
      <c r="E202" s="323" t="n"/>
      <c r="F202" s="323" t="n"/>
      <c r="G202" s="323" t="n"/>
      <c r="H202" s="323" t="n"/>
      <c r="I202" s="356">
        <f>N(C202)*MAX(1,N(D202))*2</f>
        <v/>
      </c>
      <c r="J202" s="356">
        <f>N(C202)*MAX(1,N(D202))</f>
        <v/>
      </c>
      <c r="K202" s="356">
        <f>N(C202)*MAX(1,N(D202))</f>
        <v/>
      </c>
      <c r="L202" s="356">
        <f>N(C202)</f>
        <v/>
      </c>
      <c r="M202" s="356">
        <f>IF($H202="Yes",0,N(C202))</f>
        <v/>
      </c>
      <c r="N202" s="380">
        <f>IFERROR(N(I202)*INDEX(IF($B$5="Cu",WIRE_CU,WIRE_AL),MATCH($E202,WIRE_SIZE,0)),0)+IFERROR(N(J202)*INDEX(IF($B$5="Cu",WIRE_CU,WIRE_AL),MATCH($F202,WIRE_SIZE,0)),0)+IFERROR(N(K202)*INDEX(PVC_RATE,MATCH($G202,PVC_SIZE,0)),0)+N(L202)*0.2912</f>
        <v/>
      </c>
    </row>
    <row r="203" ht="14.25" customHeight="1" s="252">
      <c r="A203" s="376" t="inlineStr">
        <is>
          <t>Dispenser 30</t>
        </is>
      </c>
      <c r="B203" s="323" t="n"/>
      <c r="C203" s="323" t="n"/>
      <c r="D203" s="323" t="n"/>
      <c r="E203" s="323" t="n"/>
      <c r="F203" s="323" t="n"/>
      <c r="G203" s="323" t="n"/>
      <c r="H203" s="323" t="n"/>
      <c r="I203" s="356">
        <f>N(C203)*MAX(1,N(D203))*2</f>
        <v/>
      </c>
      <c r="J203" s="356">
        <f>N(C203)*MAX(1,N(D203))</f>
        <v/>
      </c>
      <c r="K203" s="356">
        <f>N(C203)*MAX(1,N(D203))</f>
        <v/>
      </c>
      <c r="L203" s="356">
        <f>N(C203)</f>
        <v/>
      </c>
      <c r="M203" s="356">
        <f>IF($H203="Yes",0,N(C203))</f>
        <v/>
      </c>
      <c r="N203" s="380">
        <f>IFERROR(N(I203)*INDEX(IF($B$5="Cu",WIRE_CU,WIRE_AL),MATCH($E203,WIRE_SIZE,0)),0)+IFERROR(N(J203)*INDEX(IF($B$5="Cu",WIRE_CU,WIRE_AL),MATCH($F203,WIRE_SIZE,0)),0)+IFERROR(N(K203)*INDEX(PVC_RATE,MATCH($G203,PVC_SIZE,0)),0)+N(L203)*0.2912</f>
        <v/>
      </c>
    </row>
    <row r="204" ht="14.25" customHeight="1" s="252">
      <c r="A204" s="376" t="inlineStr">
        <is>
          <t>Dispenser 31</t>
        </is>
      </c>
      <c r="B204" s="323" t="n"/>
      <c r="C204" s="323" t="n"/>
      <c r="D204" s="323" t="n"/>
      <c r="E204" s="323" t="n"/>
      <c r="F204" s="323" t="n"/>
      <c r="G204" s="323" t="n"/>
      <c r="H204" s="323" t="n"/>
      <c r="I204" s="356">
        <f>N(C204)*MAX(1,N(D204))*2</f>
        <v/>
      </c>
      <c r="J204" s="356">
        <f>N(C204)*MAX(1,N(D204))</f>
        <v/>
      </c>
      <c r="K204" s="356">
        <f>N(C204)*MAX(1,N(D204))</f>
        <v/>
      </c>
      <c r="L204" s="356">
        <f>N(C204)</f>
        <v/>
      </c>
      <c r="M204" s="356">
        <f>IF($H204="Yes",0,N(C204))</f>
        <v/>
      </c>
      <c r="N204" s="380">
        <f>IFERROR(N(I204)*INDEX(IF($B$5="Cu",WIRE_CU,WIRE_AL),MATCH($E204,WIRE_SIZE,0)),0)+IFERROR(N(J204)*INDEX(IF($B$5="Cu",WIRE_CU,WIRE_AL),MATCH($F204,WIRE_SIZE,0)),0)+IFERROR(N(K204)*INDEX(PVC_RATE,MATCH($G204,PVC_SIZE,0)),0)+N(L204)*0.2912</f>
        <v/>
      </c>
    </row>
    <row r="205" ht="14.25" customHeight="1" s="252">
      <c r="A205" s="376" t="inlineStr">
        <is>
          <t>Dispenser 32</t>
        </is>
      </c>
      <c r="B205" s="323" t="n"/>
      <c r="C205" s="323" t="n"/>
      <c r="D205" s="323" t="n"/>
      <c r="E205" s="323" t="n"/>
      <c r="F205" s="323" t="n"/>
      <c r="G205" s="323" t="n"/>
      <c r="H205" s="323" t="n"/>
      <c r="I205" s="356">
        <f>N(C205)*MAX(1,N(D205))*2</f>
        <v/>
      </c>
      <c r="J205" s="356">
        <f>N(C205)*MAX(1,N(D205))</f>
        <v/>
      </c>
      <c r="K205" s="356">
        <f>N(C205)*MAX(1,N(D205))</f>
        <v/>
      </c>
      <c r="L205" s="356">
        <f>N(C205)</f>
        <v/>
      </c>
      <c r="M205" s="356">
        <f>IF($H205="Yes",0,N(C205))</f>
        <v/>
      </c>
      <c r="N205" s="380">
        <f>IFERROR(N(I205)*INDEX(IF($B$5="Cu",WIRE_CU,WIRE_AL),MATCH($E205,WIRE_SIZE,0)),0)+IFERROR(N(J205)*INDEX(IF($B$5="Cu",WIRE_CU,WIRE_AL),MATCH($F205,WIRE_SIZE,0)),0)+IFERROR(N(K205)*INDEX(PVC_RATE,MATCH($G205,PVC_SIZE,0)),0)+N(L205)*0.2912</f>
        <v/>
      </c>
    </row>
    <row r="206" ht="14.25" customHeight="1" s="252">
      <c r="A206" s="358" t="inlineStr">
        <is>
          <t>TOTAL</t>
        </is>
      </c>
      <c r="C206" s="358">
        <f>SUM(C174:C205)</f>
        <v/>
      </c>
      <c r="I206" s="358">
        <f>SUM(I174:I205)</f>
        <v/>
      </c>
      <c r="J206" s="358">
        <f>SUM(J174:J205)</f>
        <v/>
      </c>
      <c r="K206" s="358">
        <f>SUM(K174:K205)</f>
        <v/>
      </c>
      <c r="L206" s="358">
        <f>SUM(L174:L205)</f>
        <v/>
      </c>
      <c r="M206" s="358">
        <f>SUM(M174:M205)</f>
        <v/>
      </c>
      <c r="N206" s="381">
        <f>SUM(N174:N205)</f>
        <v/>
      </c>
    </row>
    <row r="208" ht="32" customHeight="1" s="252">
      <c r="A208" s="358" t="inlineStr">
        <is>
          <t>DC material cost</t>
        </is>
      </c>
      <c r="B208" s="359">
        <f>$N$206</f>
        <v/>
      </c>
      <c r="C208" s="367" t="inlineStr">
        <is>
          <t>Conductor, ground, conduit and comms for every cabinet-to-dispenser run. Bound to the table above, all 32 rows of it.</t>
        </is>
      </c>
    </row>
    <row r="209" ht="20" customHeight="1" s="252">
      <c r="A209" s="358" t="inlineStr">
        <is>
          <t>DC trench to cut (ft)</t>
        </is>
      </c>
      <c r="B209" s="265">
        <f>$M$206</f>
        <v/>
      </c>
      <c r="C209" s="367" t="inlineStr">
        <is>
          <t>Excludes runs sharing the AC trench.</t>
        </is>
      </c>
    </row>
    <row r="210" ht="20" customHeight="1" s="252">
      <c r="A210" s="358" t="inlineStr">
        <is>
          <t>DC trench restoration (sq ft)</t>
        </is>
      </c>
      <c r="B210" s="265">
        <f>$B$209*B8/12</f>
        <v/>
      </c>
      <c r="C210" s="367" t="inlineStr">
        <is>
          <t>Trench feet times the trench width implied by the depth entry above.</t>
        </is>
      </c>
    </row>
    <row r="211" ht="14.25" customHeight="1" s="252">
      <c r="A211" s="358" t="inlineStr">
        <is>
          <t>Total DC run distance (ft)</t>
        </is>
      </c>
      <c r="B211" s="265">
        <f>$C$206</f>
        <v/>
      </c>
    </row>
    <row r="212" ht="14.25" customHeight="1" s="252">
      <c r="A212" s="358" t="inlineStr">
        <is>
          <t>Dispensers placed</t>
        </is>
      </c>
      <c r="B212" s="265">
        <f>COUNT(C174:C205)</f>
        <v/>
      </c>
    </row>
    <row r="213" ht="14.25" customHeight="1" s="252">
      <c r="A213" s="358" t="inlineStr">
        <is>
          <t>Placement matches the schedule?</t>
        </is>
      </c>
      <c r="B213" s="265">
        <f>IF(Equipment!$B$38=0,"n/a — no dispensers on this project",IF(COUNT(C174:C205)&lt;&gt;Equipment!$B$38,"MISMATCH — "&amp;TEXT(Equipment!$B$38,"0")&amp;" dispensers on the Equipment tab against "&amp;TEXT(COUNT(C174:C205),"0")&amp;" placed here","OK — every dispenser has a run"))</f>
        <v/>
      </c>
    </row>
    <row r="214" ht="20" customHeight="1" s="252">
      <c r="A214" s="358" t="inlineStr">
        <is>
          <t>Longest DC run (ft)</t>
        </is>
      </c>
      <c r="B214" s="265">
        <f>IF(COUNT(C174:C205)=0,0,MAX(C174:C205))</f>
        <v/>
      </c>
      <c r="C214" s="367" t="inlineStr">
        <is>
          <t>The binding constraint on voltage drop. It reads the whole table — it used to read the first twelve rows and reported 77 ft on a site whose longest run was 129 ft.</t>
        </is>
      </c>
    </row>
    <row r="215" ht="14.25" customHeight="1" s="252">
      <c r="A215" s="358" t="inlineStr">
        <is>
          <t>Every run sized and costed?</t>
        </is>
      </c>
      <c r="B215" s="265">
        <f>IF(COUNT($C$174:$C$205)=0,"n/a — no dispensers scheduled",IF(SUMPRODUCT(--($C$174:$C$205&gt;0),--($N$174:$N$205=0))&gt;0,"A RUN HAS A DISTANCE BUT NO MATERIAL COST — check its conductor, ground and conduit sizes","OK — every run with a distance carries a material cost"))</f>
        <v/>
      </c>
    </row>
    <row r="216" ht="20" customHeight="1" s="252">
      <c r="A216" s="358" t="inlineStr">
        <is>
          <t>Every run assigned to a cabinet?</t>
        </is>
      </c>
      <c r="B216" s="265">
        <f>IF(COUNT($C$174:$C$205)=0,"n/a — no dispensers scheduled",IF(SUMPRODUCT(--($C$174:$C$205&gt;0),--($B$174:$B$205=""))&gt;0,"A RUN HAS NO CABINET — every dispenser is fed from one cabinet and the DC circuit length depends on which","OK — every run names the cabinet that feeds it"))</f>
        <v/>
      </c>
      <c r="C216" s="367" t="inlineStr">
        <is>
          <t>New in 2.6.0. Twenty-four dispensers arrived with this column blank on every row.</t>
        </is>
      </c>
    </row>
  </sheetData>
  <mergeCells count="41">
    <mergeCell ref="C143:K143"/>
    <mergeCell ref="C210:D210"/>
    <mergeCell ref="C25:K25"/>
    <mergeCell ref="C10:K10"/>
    <mergeCell ref="B81:C81"/>
    <mergeCell ref="D81:E81"/>
    <mergeCell ref="A49:E49"/>
    <mergeCell ref="C216:D216"/>
    <mergeCell ref="C31:K31"/>
    <mergeCell ref="C56:K56"/>
    <mergeCell ref="C118:N118"/>
    <mergeCell ref="A1:H1"/>
    <mergeCell ref="C214:K214"/>
    <mergeCell ref="G8:N8"/>
    <mergeCell ref="G7:N7"/>
    <mergeCell ref="C36:K36"/>
    <mergeCell ref="C63:D63"/>
    <mergeCell ref="C41:D41"/>
    <mergeCell ref="C120:N120"/>
    <mergeCell ref="A172:H172"/>
    <mergeCell ref="C119:N119"/>
    <mergeCell ref="A128:H128"/>
    <mergeCell ref="G6:N6"/>
    <mergeCell ref="B82:C82"/>
    <mergeCell ref="C167:D167"/>
    <mergeCell ref="A149:H149"/>
    <mergeCell ref="C38:K38"/>
    <mergeCell ref="C43:D43"/>
    <mergeCell ref="A86:H86"/>
    <mergeCell ref="A70:G70"/>
    <mergeCell ref="C27:D27"/>
    <mergeCell ref="C61:D61"/>
    <mergeCell ref="G5:N5"/>
    <mergeCell ref="O123:V123"/>
    <mergeCell ref="A116:N116"/>
    <mergeCell ref="C24:K24"/>
    <mergeCell ref="D82:E82"/>
    <mergeCell ref="O122:V122"/>
    <mergeCell ref="A125:N125"/>
    <mergeCell ref="C208:D208"/>
    <mergeCell ref="A117:N117"/>
  </mergeCells>
  <dataValidations count="27">
    <dataValidation sqref="B5" showDropDown="0" showInputMessage="0" showErrorMessage="0" allowBlank="0" type="list" errorStyle="stop" operator="between">
      <formula1>"Cu,Al"</formula1>
      <formula2>0</formula2>
    </dataValidation>
    <dataValidation sqref="B6" showDropDown="0" showInputMessage="0" showErrorMessage="0" allowBlank="0" type="list" errorStyle="stop" operator="between">
      <formula1>"PVC,EMT"</formula1>
      <formula2>0</formula2>
    </dataValidation>
    <dataValidation sqref="B34" showDropDown="0" showInputMessage="0" showErrorMessage="0" allowBlank="0" type="list" errorStyle="stop" operator="between">
      <formula1>"No,Yes"</formula1>
      <formula2>0</formula2>
    </dataValidation>
    <dataValidation sqref="B51" showDropDown="0" showInputMessage="0" showErrorMessage="0" allowBlank="1" type="list" errorStyle="stop" operator="between">
      <formula1>"New service,Added load to existing service"</formula1>
      <formula2>0</formula2>
    </dataValidation>
    <dataValidation sqref="B52" showDropDown="0" showInputMessage="0" showErrorMessage="0" allowBlank="1" type="list" errorStyle="stop" operator="between">
      <formula1>"Underground,Overhead"</formula1>
      <formula2>0</formula2>
    </dataValidation>
    <dataValidation sqref="B54 B63" showDropDown="0" showInputMessage="0" showErrorMessage="0" allowBlank="1" type="list" errorStyle="stop" operator="between">
      <formula1>"Yes,No,In preparation"</formula1>
      <formula2>0</formula2>
    </dataValidation>
    <dataValidation sqref="B57" showDropDown="0" showInputMessage="0" showErrorMessage="0" allowBlank="1" type="list" errorStyle="stop" operator="between">
      <formula1>"Unknown — design not yet submitted,No,Yes"</formula1>
      <formula2>0</formula2>
    </dataValidation>
    <dataValidation sqref="B60" showDropDown="0" showInputMessage="0" showErrorMessage="0" allowBlank="1" type="list" errorStyle="stop" operator="between">
      <formula1>"No,Yes,Unknown"</formula1>
      <formula2>0</formula2>
    </dataValidation>
    <dataValidation sqref="B61" showDropDown="0" showInputMessage="0" showErrorMessage="0" allowBlank="1" type="list" errorStyle="stop" operator="between">
      <formula1>"Only if Rule 15/16 contribution arises,Yes,No"</formula1>
      <formula2>0</formula2>
    </dataValidation>
    <dataValidation sqref="B62 B64:B65" showDropDown="0" showInputMessage="0" showErrorMessage="0" allowBlank="1" type="list" errorStyle="stop" operator="between">
      <formula1>"Yes,No,To be confirmed"</formula1>
      <formula2>0</formula2>
    </dataValidation>
    <dataValidation sqref="E88:E99" showDropDown="0" showInputMessage="0" showErrorMessage="0" allowBlank="1" promptTitle="Conductor size" prompt="Chosen by the design engineer. At up to 500 A per channel this is a real sizing decision, so the sheet costs what you pick rather than guessing it." type="list" errorStyle="stop" operator="between">
      <formula1>WIRE_SIZE</formula1>
      <formula2>0</formula2>
    </dataValidation>
    <dataValidation sqref="F88:F99" showDropDown="0" showInputMessage="0" showErrorMessage="0" allowBlank="1" promptTitle="Ground size" prompt="The equipment grounding conductor, sized to NEC 250.122." type="list" errorStyle="stop" operator="between">
      <formula1>WIRE_SIZE</formula1>
      <formula2>0</formula2>
    </dataValidation>
    <dataValidation sqref="G88:G99" showDropDown="0" showInputMessage="0" showErrorMessage="0" allowBlank="1" promptTitle="Conduit size" prompt="From the RefData conduit table." type="list" errorStyle="stop" operator="between">
      <formula1>PVC_SIZE</formula1>
      <formula2>0</formula2>
    </dataValidation>
    <dataValidation sqref="H88:H99" showDropDown="0" showInputMessage="0" showErrorMessage="0" allowBlank="1" promptTitle="Trench shared with the AC run?" prompt="Yes means the trench is already counted on the AC side and is not charged twice." type="list" errorStyle="stop" operator="between">
      <formula1>"Yes,No"</formula1>
      <formula2>0</formula2>
    </dataValidation>
    <dataValidation sqref="I12:I23" showDropDown="0" showInputMessage="0" showErrorMessage="1" allowBlank="1" type="list" errorStyle="stop" operator="between">
      <formula1>WIRE_SIZE</formula1>
      <formula2>0</formula2>
    </dataValidation>
    <dataValidation sqref="B123" showDropDown="0" showInputMessage="0" showErrorMessage="1" allowBlank="0" type="list" errorStyle="stop" operator="between">
      <formula1>"Cu,Al"</formula1>
      <formula2>0</formula2>
    </dataValidation>
    <dataValidation sqref="I123" showDropDown="0" showInputMessage="0" showErrorMessage="1" allowBlank="0" type="list" errorStyle="stop" operator="between">
      <formula1>WIRE_SIZE</formula1>
      <formula2>0</formula2>
    </dataValidation>
    <dataValidation sqref="B118" showDropDown="0" showInputMessage="0" showErrorMessage="1" allowBlank="0" type="list" errorStyle="stop" operator="between">
      <formula1>"Service conductor — NEC 230.42,Feeder — NEC 240.4(C)"</formula1>
      <formula2>0</formula2>
    </dataValidation>
    <dataValidation sqref="B119" showDropDown="0" showInputMessage="0" showErrorMessage="1" allowBlank="0" type="list" errorStyle="stop" operator="between">
      <formula1>"Utility — EV infrastructure rule,Zero Impact Energy"</formula1>
      <formula2>0</formula2>
    </dataValidation>
    <dataValidation sqref="K130:K141" showDropDown="0" showInputMessage="0" showErrorMessage="0" allowBlank="1" type="list" errorStyle="stop" operator="between">
      <formula1>"Vendor quote,RefData rate,Priced elsewhere in this workbook,By others,Allowance"</formula1>
      <formula2>0</formula2>
    </dataValidation>
    <dataValidation sqref="I151:I166" showDropDown="0" showInputMessage="0" showErrorMessage="0" allowBlank="1" type="list" errorStyle="stop" operator="between">
      <formula1>WIRE_SIZE</formula1>
      <formula2>0</formula2>
    </dataValidation>
    <dataValidation sqref="O12:O23" showDropDown="0" showInputMessage="0" showErrorMessage="0" allowBlank="1" type="list" errorStyle="stop" operator="between">
      <formula1>PVC_SIZE</formula1>
      <formula2>0</formula2>
    </dataValidation>
    <dataValidation sqref="E174:E205" showDropDown="0" showInputMessage="0" showErrorMessage="0" allowBlank="1" type="list" errorStyle="stop" operator="between">
      <formula1>WIRE_SIZE</formula1>
      <formula2>0</formula2>
    </dataValidation>
    <dataValidation sqref="F174:F205" showDropDown="0" showInputMessage="0" showErrorMessage="0" allowBlank="1" type="list" errorStyle="stop" operator="between">
      <formula1>WIRE_SIZE</formula1>
      <formula2>0</formula2>
    </dataValidation>
    <dataValidation sqref="G174:G205" showDropDown="0" showInputMessage="0" showErrorMessage="0" allowBlank="1" type="list" errorStyle="stop" operator="between">
      <formula1>PVC_SIZE</formula1>
      <formula2>0</formula2>
    </dataValidation>
    <dataValidation sqref="H174:H205" showDropDown="0" showInputMessage="0" showErrorMessage="0" allowBlank="1" type="list" errorStyle="stop" operator="between">
      <formula1>"Yes,No"</formula1>
      <formula2>0</formula2>
    </dataValidation>
    <dataValidation sqref="B130:B141" showDropDown="0" showInputMessage="0" showErrorMessage="0" allowBlank="1" type="list" errorStyle="stop" operator="between">
      <formula1>"Service disconnect,Switchboard,Tap box,Panelboard,Subpanel,Transformer,EVSE disconnect,Meter / CT cabinet,Utility substation,Other"</formula1>
      <formula2>0</formula2>
    </dataValidation>
  </dataValidations>
  <printOptions horizontalCentered="0" verticalCentered="0" headings="0" gridLines="0" gridLinesSet="1"/>
  <pageMargins left="0.4" right="0.4" top="0.6" bottom="0.6"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filterMode="0">
    <tabColor rgb="FF6B4C9A"/>
    <outlinePr summaryBelow="1" summaryRight="1"/>
    <pageSetUpPr fitToPage="1"/>
  </sheetPr>
  <dimension ref="A1:G91"/>
  <sheetViews>
    <sheetView showFormulas="0" showGridLines="0" showRowColHeaders="1" showZeros="1" rightToLeft="0" tabSelected="0" showOutlineSymbols="1" defaultGridColor="1" view="normal" topLeftCell="A1" colorId="64" zoomScale="110" zoomScaleNormal="110" zoomScalePageLayoutView="100" workbookViewId="0">
      <pane ySplit="2" topLeftCell="A3" activePane="bottomLeft" state="frozen"/>
      <selection pane="bottomLeft" activeCell="A1" activeCellId="0" sqref="A1"/>
      <selection pane="bottomLeft" activeCell="B5" activeCellId="0" sqref="B5"/>
    </sheetView>
  </sheetViews>
  <sheetFormatPr baseColWidth="8" defaultColWidth="8.66796875" defaultRowHeight="14.25" zeroHeight="0" outlineLevelRow="0"/>
  <cols>
    <col width="44" customWidth="1" style="251" min="1" max="1"/>
    <col width="34" customWidth="1" style="251" min="2" max="2"/>
    <col width="52" customWidth="1" style="251" min="3" max="3"/>
    <col width="16" customWidth="1" style="251" min="4" max="7"/>
    <col width="9" customWidth="1" style="252" min="5" max="5"/>
    <col width="9" customWidth="1" style="252" min="6" max="6"/>
    <col width="9" customWidth="1" style="252" min="7" max="7"/>
  </cols>
  <sheetData>
    <row r="1" ht="25.5" customHeight="1" s="252">
      <c r="A1" s="253" t="inlineStr">
        <is>
          <t>4 · CONSTRUCTION SCOPE</t>
        </is>
      </c>
    </row>
    <row r="2" ht="44" customHeight="1" s="252">
      <c r="A2" s="321" t="inlineStr">
        <is>
          <t>Site works and labour. Defaults come from the standard build; override where the site differs.</t>
        </is>
      </c>
    </row>
    <row r="4" ht="15" customHeight="1" s="252">
      <c r="A4" s="502" t="inlineStr">
        <is>
          <t>Labour</t>
        </is>
      </c>
    </row>
    <row r="5" ht="15" customHeight="1" s="252">
      <c r="A5" s="261" t="inlineStr">
        <is>
          <t>Crew days on site</t>
        </is>
      </c>
      <c r="B5" s="382" t="n">
        <v>34</v>
      </c>
      <c r="C5" s="264" t="inlineStr">
        <is>
          <t>Must match the construction schedule you publish</t>
        </is>
      </c>
    </row>
    <row r="6" ht="15" customHeight="1" s="252">
      <c r="A6" s="261" t="inlineStr">
        <is>
          <t>Crew day rate</t>
        </is>
      </c>
      <c r="B6" s="383" t="n">
        <v>2750</v>
      </c>
      <c r="C6" s="264" t="inlineStr">
        <is>
          <t>Fully burdened</t>
        </is>
      </c>
    </row>
    <row r="7" ht="15" customHeight="1" s="252">
      <c r="A7" s="261" t="inlineStr">
        <is>
          <t>Contingency on labour</t>
        </is>
      </c>
      <c r="B7" s="384" t="n">
        <v>0.1</v>
      </c>
    </row>
    <row r="8" ht="32" customHeight="1" s="252">
      <c r="A8" s="261" t="inlineStr">
        <is>
          <t>Markup on labour</t>
        </is>
      </c>
      <c r="B8" s="416" t="n">
        <v>0.2</v>
      </c>
      <c r="C8" s="386" t="inlineStr">
        <is>
          <t>House standing decision: 20%, applied after contingency. Change it per project on purpose, not by inheriting the last one.</t>
        </is>
      </c>
    </row>
    <row r="9" ht="15" customHeight="1" s="252">
      <c r="A9" s="261" t="inlineStr">
        <is>
          <t>Labour total</t>
        </is>
      </c>
      <c r="B9" s="331">
        <f>B5*B6*(1+B7)*(1+B8)</f>
        <v/>
      </c>
      <c r="C9" s="264" t="inlineStr">
        <is>
          <t>Days x rate x (1 + contingency) x (1 + markup)</t>
        </is>
      </c>
    </row>
    <row r="10" ht="15" customHeight="1" s="252">
      <c r="A10" s="261" t="inlineStr">
        <is>
          <t>Construction PM as % of labour</t>
        </is>
      </c>
      <c r="B10" s="384" t="n">
        <v>0.15</v>
      </c>
    </row>
    <row r="11" ht="15" customHeight="1" s="252"/>
    <row r="12" ht="32" customHeight="1" s="252">
      <c r="A12" s="335" t="inlineStr">
        <is>
          <t>Site works — enter quantities, leave blank to use the standard build</t>
        </is>
      </c>
    </row>
    <row r="13" ht="20" customHeight="1" s="252">
      <c r="A13" s="271" t="inlineStr">
        <is>
          <t>Item</t>
        </is>
      </c>
      <c r="B13" s="271" t="inlineStr">
        <is>
          <t>Quantity</t>
        </is>
      </c>
      <c r="C13" s="271" t="inlineStr">
        <is>
          <t>Unit basis</t>
        </is>
      </c>
      <c r="D13" s="270" t="inlineStr">
        <is>
          <t>Unit cost</t>
        </is>
      </c>
      <c r="E13" s="270" t="inlineStr">
        <is>
          <t>Include?</t>
        </is>
      </c>
    </row>
    <row r="14" ht="15" customHeight="1" s="252">
      <c r="A14" s="387" t="inlineStr">
        <is>
          <t>Concrete (yd3)</t>
        </is>
      </c>
      <c r="B14" s="262" t="n">
        <v>6</v>
      </c>
      <c r="C14" s="264" t="inlineStr">
        <is>
          <t>Pads per cabinet</t>
        </is>
      </c>
      <c r="D14" s="388" t="n">
        <v>193.54</v>
      </c>
      <c r="E14" s="346" t="inlineStr">
        <is>
          <t>Y</t>
        </is>
      </c>
    </row>
    <row r="15" ht="15" customHeight="1" s="252">
      <c r="A15" s="387" t="inlineStr">
        <is>
          <t>Rebar (ea)</t>
        </is>
      </c>
      <c r="B15" s="262" t="n"/>
      <c r="C15" s="264" t="inlineStr">
        <is>
          <t>3 per cabinet</t>
        </is>
      </c>
      <c r="D15" s="388" t="n">
        <v>25.65</v>
      </c>
      <c r="E15" s="346" t="inlineStr">
        <is>
          <t>Y</t>
        </is>
      </c>
    </row>
    <row r="16" ht="15" customHeight="1" s="252">
      <c r="A16" s="387" t="inlineStr">
        <is>
          <t>Steel mesh roll (ea)</t>
        </is>
      </c>
      <c r="B16" s="262" t="n"/>
      <c r="C16" s="389" t="n"/>
      <c r="D16" s="388" t="n">
        <v>169</v>
      </c>
      <c r="E16" s="346" t="inlineStr">
        <is>
          <t>Y</t>
        </is>
      </c>
    </row>
    <row r="17" ht="15" customHeight="1" s="252">
      <c r="A17" s="387" t="inlineStr">
        <is>
          <t>Asphalt / paving (sq ft)</t>
        </is>
      </c>
      <c r="B17" s="262" t="n">
        <v>400</v>
      </c>
      <c r="C17" s="264" t="inlineStr">
        <is>
          <t>Trench restoration — $15/sq ft set by ZIE, 28 Aug 2026</t>
        </is>
      </c>
      <c r="D17" s="388" t="n">
        <v>15</v>
      </c>
      <c r="E17" s="346" t="inlineStr">
        <is>
          <t>Y</t>
        </is>
      </c>
    </row>
    <row r="18" ht="15" customHeight="1" s="252">
      <c r="A18" s="387" t="inlineStr">
        <is>
          <t>Striping (lot)</t>
        </is>
      </c>
      <c r="B18" s="262" t="n"/>
      <c r="C18" s="389" t="n"/>
      <c r="D18" s="388" t="n">
        <v>1500</v>
      </c>
      <c r="E18" s="346" t="inlineStr">
        <is>
          <t>Y</t>
        </is>
      </c>
    </row>
    <row r="19" ht="15" customHeight="1" s="252">
      <c r="A19" s="387" t="inlineStr">
        <is>
          <t>ADA stalls (ea)</t>
        </is>
      </c>
      <c r="B19" s="262" t="n">
        <v>2</v>
      </c>
      <c r="C19" s="264" t="inlineStr">
        <is>
          <t>2% of stalls, min 1</t>
        </is>
      </c>
      <c r="D19" s="388" t="n">
        <v>4900</v>
      </c>
      <c r="E19" s="346" t="inlineStr">
        <is>
          <t>Y</t>
        </is>
      </c>
    </row>
    <row r="20" ht="15" customHeight="1" s="252">
      <c r="A20" s="387" t="inlineStr">
        <is>
          <t>ADA ramp (ea)</t>
        </is>
      </c>
      <c r="B20" s="262" t="n">
        <v>1</v>
      </c>
      <c r="C20" s="389" t="n"/>
      <c r="D20" s="388" t="n">
        <v>5200</v>
      </c>
      <c r="E20" s="346" t="inlineStr">
        <is>
          <t>Y</t>
        </is>
      </c>
    </row>
    <row r="21" ht="15" customHeight="1" s="252">
      <c r="A21" s="387" t="inlineStr">
        <is>
          <t>Bollards (ea)</t>
        </is>
      </c>
      <c r="B21" s="262" t="n">
        <v>12</v>
      </c>
      <c r="C21" s="264" t="inlineStr">
        <is>
          <t>4 per DC cabinet / 2 + 6</t>
        </is>
      </c>
      <c r="D21" s="388" t="n">
        <v>110</v>
      </c>
      <c r="E21" s="346" t="inlineStr">
        <is>
          <t>Y</t>
        </is>
      </c>
    </row>
    <row r="22" ht="15" customHeight="1" s="252">
      <c r="A22" s="387" t="inlineStr">
        <is>
          <t>Signs (ea)</t>
        </is>
      </c>
      <c r="B22" s="262" t="n"/>
      <c r="C22" s="264" t="inlineStr">
        <is>
          <t>2 per DC cabinet</t>
        </is>
      </c>
      <c r="D22" s="388" t="n">
        <v>40</v>
      </c>
      <c r="E22" s="346" t="inlineStr">
        <is>
          <t>Y</t>
        </is>
      </c>
    </row>
    <row r="23" ht="15" customHeight="1" s="252">
      <c r="A23" s="387" t="inlineStr">
        <is>
          <t>Sign posts (ea)</t>
        </is>
      </c>
      <c r="B23" s="262" t="n"/>
      <c r="C23" s="389" t="n"/>
      <c r="D23" s="388" t="n">
        <v>56.1</v>
      </c>
      <c r="E23" s="346" t="inlineStr">
        <is>
          <t>Y</t>
        </is>
      </c>
    </row>
    <row r="24" ht="15" customHeight="1" s="252">
      <c r="A24" s="387" t="inlineStr">
        <is>
          <t>Switchgear sign (ea)</t>
        </is>
      </c>
      <c r="B24" s="262" t="n"/>
      <c r="C24" s="389" t="n"/>
      <c r="D24" s="388" t="n">
        <v>150</v>
      </c>
      <c r="E24" s="346" t="inlineStr">
        <is>
          <t>Y</t>
        </is>
      </c>
    </row>
    <row r="25" ht="15" customHeight="1" s="252">
      <c r="A25" s="387" t="inlineStr">
        <is>
          <t>GPR scan (ea)</t>
        </is>
      </c>
      <c r="B25" s="262" t="n">
        <v>1</v>
      </c>
      <c r="C25" s="264" t="inlineStr">
        <is>
          <t>Underground utility locate</t>
        </is>
      </c>
      <c r="D25" s="388" t="n">
        <v>2500</v>
      </c>
      <c r="E25" s="346" t="inlineStr">
        <is>
          <t>Y</t>
        </is>
      </c>
    </row>
    <row r="26" ht="15" customHeight="1" s="252">
      <c r="A26" s="387" t="inlineStr">
        <is>
          <t>GFI test (ea)</t>
        </is>
      </c>
      <c r="B26" s="262" t="n">
        <v>1</v>
      </c>
      <c r="C26" s="264" t="inlineStr">
        <is>
          <t>Required above 1000 sq ft gear area</t>
        </is>
      </c>
      <c r="D26" s="388" t="n">
        <v>3500</v>
      </c>
      <c r="E26" s="346" t="inlineStr">
        <is>
          <t>Y</t>
        </is>
      </c>
    </row>
    <row r="27" ht="15" customHeight="1" s="252">
      <c r="A27" s="387" t="inlineStr">
        <is>
          <t>Dump / disposal (lot)</t>
        </is>
      </c>
      <c r="B27" s="262" t="n">
        <v>1</v>
      </c>
      <c r="C27" s="264" t="inlineStr">
        <is>
          <t>Freight and disposal</t>
        </is>
      </c>
      <c r="D27" s="388" t="n">
        <v>5000</v>
      </c>
      <c r="E27" s="346" t="inlineStr">
        <is>
          <t>Y</t>
        </is>
      </c>
    </row>
    <row r="28" ht="15" customHeight="1" s="252">
      <c r="A28" s="390" t="n"/>
      <c r="B28" s="390" t="n"/>
      <c r="C28" s="336" t="n"/>
      <c r="D28" s="390" t="n"/>
      <c r="E28" s="390" t="n"/>
    </row>
    <row r="29" ht="15" customHeight="1" s="252">
      <c r="A29" s="390" t="n"/>
      <c r="B29" s="390" t="n"/>
      <c r="C29" s="336" t="n"/>
      <c r="D29" s="390" t="n"/>
      <c r="E29" s="390" t="n"/>
    </row>
    <row r="30" ht="15" customHeight="1" s="252"/>
    <row r="31" ht="15" customHeight="1" s="252">
      <c r="A31" s="502" t="inlineStr">
        <is>
          <t>Design and engineering</t>
        </is>
      </c>
    </row>
    <row r="32" ht="32" customHeight="1" s="252">
      <c r="A32" s="261" t="inlineStr">
        <is>
          <t>AutoCAD design — drawing sets</t>
        </is>
      </c>
      <c r="B32" s="391" t="n">
        <v>3</v>
      </c>
      <c r="C32" s="321" t="inlineStr">
        <is>
          <t>One issued drawing package: site plan, equipment layout, civil details.</t>
        </is>
      </c>
      <c r="D32" s="388" t="n">
        <v>3412.5</v>
      </c>
    </row>
    <row r="33" ht="32" customHeight="1" s="252">
      <c r="A33" s="261" t="inlineStr">
        <is>
          <t>Electrical engineering — drawing sets</t>
        </is>
      </c>
      <c r="B33" s="391" t="n">
        <v>3</v>
      </c>
      <c r="C33" s="321" t="inlineStr">
        <is>
          <t>One stamped electrical package: single-line, panel schedule, load calculation.</t>
        </is>
      </c>
      <c r="D33" s="388" t="n">
        <v>2080</v>
      </c>
    </row>
    <row r="34" ht="32" customHeight="1" s="252">
      <c r="A34" s="261" t="inlineStr">
        <is>
          <t>Project management — hours</t>
        </is>
      </c>
      <c r="B34" s="391" t="n">
        <v>35</v>
      </c>
      <c r="C34" s="321" t="inlineStr">
        <is>
          <t>Billed hourly across design, permitting and construction.</t>
        </is>
      </c>
      <c r="D34" s="388" t="n">
        <v>358</v>
      </c>
    </row>
    <row r="35" ht="32" customHeight="1" s="252">
      <c r="A35" s="261" t="inlineStr">
        <is>
          <t>Design and engineering total</t>
        </is>
      </c>
      <c r="B35" s="331">
        <f>SUMPRODUCT($B$32:$B$34,$D$32:$D$34)</f>
        <v/>
      </c>
      <c r="C35" s="392" t="inlineStr">
        <is>
          <t>Quantity in column B times the rate in column D. These are ZIE billing rates for work performed in house — change the rate here, not in a formula.</t>
        </is>
      </c>
    </row>
    <row r="36" ht="15" customHeight="1" s="252"/>
    <row r="37" ht="32" customHeight="1" s="252">
      <c r="A37" s="335" t="inlineStr">
        <is>
          <t>Equipment rentals — standard build, override durations if the job differs</t>
        </is>
      </c>
    </row>
    <row r="38" ht="20" customHeight="1" s="252">
      <c r="A38" s="271" t="inlineStr">
        <is>
          <t>Rental</t>
        </is>
      </c>
      <c r="B38" s="271" t="inlineStr">
        <is>
          <t>Qty</t>
        </is>
      </c>
      <c r="C38" s="271" t="inlineStr">
        <is>
          <t>Unit cost</t>
        </is>
      </c>
      <c r="D38" s="270" t="inlineStr">
        <is>
          <t>Days</t>
        </is>
      </c>
      <c r="E38" s="270" t="inlineStr">
        <is>
          <t>Include?</t>
        </is>
      </c>
    </row>
    <row r="39" ht="15" customHeight="1" s="252">
      <c r="A39" s="387" t="inlineStr">
        <is>
          <t>Fencing</t>
        </is>
      </c>
      <c r="B39" s="262" t="n"/>
      <c r="C39" s="388" t="n">
        <v>0.3</v>
      </c>
      <c r="D39" s="262" t="n"/>
      <c r="E39" s="346" t="inlineStr">
        <is>
          <t>Y</t>
        </is>
      </c>
    </row>
    <row r="40" ht="15" customHeight="1" s="252">
      <c r="A40" s="387" t="inlineStr">
        <is>
          <t>Mini x</t>
        </is>
      </c>
      <c r="B40" s="262" t="n">
        <v>1</v>
      </c>
      <c r="C40" s="388" t="n">
        <v>98.56666667</v>
      </c>
      <c r="D40" s="262" t="n">
        <v>30</v>
      </c>
      <c r="E40" s="346" t="inlineStr">
        <is>
          <t>Y</t>
        </is>
      </c>
    </row>
    <row r="41" ht="15" customHeight="1" s="252">
      <c r="A41" s="387" t="inlineStr">
        <is>
          <t>Dump Truck</t>
        </is>
      </c>
      <c r="B41" s="262" t="n">
        <v>1</v>
      </c>
      <c r="C41" s="388" t="n">
        <v>520</v>
      </c>
      <c r="D41" s="262" t="n">
        <v>4</v>
      </c>
      <c r="E41" s="346" t="inlineStr">
        <is>
          <t>Y</t>
        </is>
      </c>
    </row>
    <row r="42" ht="15" customHeight="1" s="252">
      <c r="A42" s="387" t="inlineStr">
        <is>
          <t>Forklift</t>
        </is>
      </c>
      <c r="B42" s="262" t="n"/>
      <c r="C42" s="388" t="n">
        <v>563</v>
      </c>
      <c r="D42" s="262" t="n"/>
      <c r="E42" s="346" t="inlineStr">
        <is>
          <t>Y</t>
        </is>
      </c>
    </row>
    <row r="43" ht="15" customHeight="1" s="252">
      <c r="A43" s="387" t="inlineStr">
        <is>
          <t>Trench Plates</t>
        </is>
      </c>
      <c r="B43" s="262" t="n"/>
      <c r="C43" s="388" t="n">
        <v>5.18</v>
      </c>
      <c r="D43" s="262" t="n"/>
      <c r="E43" s="346" t="inlineStr">
        <is>
          <t>Y</t>
        </is>
      </c>
    </row>
    <row r="44" ht="15" customHeight="1" s="252">
      <c r="A44" s="387" t="inlineStr">
        <is>
          <t>Storage container</t>
        </is>
      </c>
      <c r="B44" s="262" t="n"/>
      <c r="C44" s="388" t="n">
        <v>185</v>
      </c>
      <c r="D44" s="262" t="n"/>
      <c r="E44" s="346" t="inlineStr">
        <is>
          <t>Y</t>
        </is>
      </c>
    </row>
    <row r="45" ht="15" customHeight="1" s="252">
      <c r="A45" s="387" t="inlineStr">
        <is>
          <t>Portable restroom</t>
        </is>
      </c>
      <c r="B45" s="262" t="n"/>
      <c r="C45" s="388" t="n">
        <v>267</v>
      </c>
      <c r="D45" s="262" t="n"/>
      <c r="E45" s="346" t="inlineStr">
        <is>
          <t>Y</t>
        </is>
      </c>
    </row>
    <row r="46" ht="15" customHeight="1" s="252">
      <c r="A46" s="387" t="inlineStr">
        <is>
          <t>Low boi</t>
        </is>
      </c>
      <c r="B46" s="262" t="n"/>
      <c r="C46" s="388" t="n">
        <v>1000</v>
      </c>
      <c r="D46" s="262" t="n"/>
      <c r="E46" s="346" t="inlineStr">
        <is>
          <t>Y</t>
        </is>
      </c>
    </row>
    <row r="47" ht="15" customHeight="1" s="252">
      <c r="A47" s="387" t="inlineStr">
        <is>
          <t>Saw cutter</t>
        </is>
      </c>
      <c r="B47" s="262" t="n"/>
      <c r="C47" s="388" t="n">
        <v>169</v>
      </c>
      <c r="D47" s="262" t="n"/>
      <c r="E47" s="346" t="inlineStr">
        <is>
          <t>Y</t>
        </is>
      </c>
    </row>
    <row r="48" ht="15" customHeight="1" s="252">
      <c r="A48" s="387" t="inlineStr">
        <is>
          <t>Jack hammer</t>
        </is>
      </c>
      <c r="B48" s="262" t="n"/>
      <c r="C48" s="388" t="n">
        <v>155</v>
      </c>
      <c r="D48" s="262" t="n"/>
      <c r="E48" s="346" t="inlineStr">
        <is>
          <t>Y</t>
        </is>
      </c>
    </row>
    <row r="49" ht="15" customHeight="1" s="252">
      <c r="A49" s="387" t="inlineStr">
        <is>
          <t>Compactor</t>
        </is>
      </c>
      <c r="B49" s="262" t="n"/>
      <c r="C49" s="388" t="n">
        <v>175</v>
      </c>
      <c r="D49" s="262" t="n"/>
      <c r="E49" s="346" t="inlineStr">
        <is>
          <t>Y</t>
        </is>
      </c>
    </row>
    <row r="50" ht="15" customHeight="1" s="252">
      <c r="A50" s="387" t="inlineStr">
        <is>
          <t>Generator rental</t>
        </is>
      </c>
      <c r="B50" s="262" t="n">
        <v>1</v>
      </c>
      <c r="C50" s="388" t="n">
        <v>220</v>
      </c>
      <c r="D50" s="262" t="n">
        <v>10</v>
      </c>
      <c r="E50" s="346" t="inlineStr">
        <is>
          <t>Y</t>
        </is>
      </c>
    </row>
    <row r="51" ht="15" customHeight="1" s="252">
      <c r="A51" s="387" t="inlineStr">
        <is>
          <t>Dump trailer rental</t>
        </is>
      </c>
      <c r="B51" s="262" t="n"/>
      <c r="C51" s="388" t="n">
        <v>796.63</v>
      </c>
      <c r="D51" s="262" t="n"/>
      <c r="E51" s="346" t="inlineStr">
        <is>
          <t>Y</t>
        </is>
      </c>
    </row>
    <row r="52" ht="15" customHeight="1" s="252">
      <c r="A52" s="387" t="inlineStr">
        <is>
          <t>Equipment protection</t>
        </is>
      </c>
      <c r="B52" s="262" t="n"/>
      <c r="C52" s="388" t="n">
        <v>45</v>
      </c>
      <c r="D52" s="262" t="n"/>
      <c r="E52" s="346" t="inlineStr">
        <is>
          <t>Y</t>
        </is>
      </c>
    </row>
    <row r="54" ht="15" customHeight="1" s="252">
      <c r="A54" s="502" t="inlineStr">
        <is>
          <t>Removal and demolition — replacement sites only</t>
        </is>
      </c>
    </row>
    <row r="55" ht="20" customHeight="1" s="252">
      <c r="A55" s="283" t="inlineStr">
        <is>
          <t>Zero on a greenfield site. On a replacement site these quantities come from the Existing tab section H and are priced like any other construction line.</t>
        </is>
      </c>
    </row>
    <row r="56" ht="20" customHeight="1" s="252">
      <c r="A56" s="292" t="inlineStr">
        <is>
          <t>Item</t>
        </is>
      </c>
      <c r="B56" s="292" t="inlineStr">
        <is>
          <t>Quantity</t>
        </is>
      </c>
      <c r="C56" s="292" t="inlineStr">
        <is>
          <t>Source</t>
        </is>
      </c>
      <c r="D56" s="293" t="n"/>
      <c r="E56" s="293" t="n"/>
      <c r="F56" s="293" t="n"/>
      <c r="G56" s="293" t="n"/>
    </row>
    <row r="57" ht="15" customHeight="1" s="252">
      <c r="A57" s="294" t="inlineStr">
        <is>
          <t>Cabinets to disconnect and remove (ea)</t>
        </is>
      </c>
      <c r="B57" s="393">
        <f>IF(Existing!$B$5="Greenfield — new service",0,Existing!$B$174)</f>
        <v/>
      </c>
      <c r="C57" s="294" t="inlineStr">
        <is>
          <t>The Existing tab section H</t>
        </is>
      </c>
    </row>
    <row r="58" ht="15" customHeight="1" s="252">
      <c r="A58" s="294" t="inlineStr">
        <is>
          <t>Concrete pads to break out (ea)</t>
        </is>
      </c>
      <c r="B58" s="393">
        <f>IF(Existing!$B$5="Greenfield — new service",0,Existing!$B$175)</f>
        <v/>
      </c>
      <c r="C58" s="294" t="inlineStr">
        <is>
          <t>The Existing tab section H</t>
        </is>
      </c>
    </row>
    <row r="59" ht="15" customHeight="1" s="252">
      <c r="A59" s="294" t="inlineStr">
        <is>
          <t>Bollards to remove (ea)</t>
        </is>
      </c>
      <c r="B59" s="393">
        <f>IF(Existing!$B$5="Greenfield — new service",0,Existing!$B$176)</f>
        <v/>
      </c>
      <c r="C59" s="294" t="inlineStr">
        <is>
          <t>The Existing tab section H</t>
        </is>
      </c>
    </row>
    <row r="60" ht="15" customHeight="1" s="252">
      <c r="A60" s="294" t="inlineStr">
        <is>
          <t>Signage to remove (ea)</t>
        </is>
      </c>
      <c r="B60" s="393">
        <f>IF(Existing!$B$5="Greenfield — new service",0,Existing!$B$177)</f>
        <v/>
      </c>
      <c r="C60" s="294" t="inlineStr">
        <is>
          <t>The Existing tab section H</t>
        </is>
      </c>
    </row>
    <row r="61" ht="15" customHeight="1" s="252">
      <c r="A61" s="294" t="inlineStr">
        <is>
          <t>Disposal loads (ea)</t>
        </is>
      </c>
      <c r="B61" s="393">
        <f>IF(Existing!$B$5="Greenfield — new service",0,Existing!$B$178)</f>
        <v/>
      </c>
      <c r="C61" s="294" t="inlineStr">
        <is>
          <t>The Existing tab section H</t>
        </is>
      </c>
    </row>
    <row r="62" ht="15" customHeight="1" s="252">
      <c r="A62" s="294" t="inlineStr">
        <is>
          <t>Site protection and traffic control (days)</t>
        </is>
      </c>
      <c r="B62" s="393">
        <f>IF(Existing!$B$5="Greenfield — new service",0,Existing!$B$182)</f>
        <v/>
      </c>
      <c r="C62" s="294" t="inlineStr">
        <is>
          <t>The Existing tab section H</t>
        </is>
      </c>
    </row>
    <row r="64" ht="32" customHeight="1" s="252">
      <c r="A64" s="255" t="inlineStr">
        <is>
          <t>Removal crew days — add to the crew days above</t>
        </is>
      </c>
      <c r="B64" s="304">
        <f>IF(Existing!$B$5="Greenfield — new service",0,ROUND(N(Existing!$B$174)*0.5+N(Existing!$B$175)*0.75,0))</f>
        <v/>
      </c>
      <c r="C64" s="276" t="inlineStr">
        <is>
          <t>Indicative only. A cabinet takes roughly half a crew day to disconnect and remove; a pad roughly three quarters of a day to break out and dispose of.</t>
        </is>
      </c>
    </row>
    <row r="66" ht="20" customHeight="1" s="252">
      <c r="A66" s="255" t="inlineStr">
        <is>
          <t>Construction scope profile</t>
        </is>
      </c>
      <c r="B66" s="300">
        <f>IF(Existing!$B$5="Greenfield — new service","GREENFIELD — full site works",IF(Existing!$B$17="RETAIN","PAD-AND-CHARGER SWAP — demolition, new pads, reinstatement and protection. No trenching, no paving beyond the pads.","PARTIAL — trenching required for the elements marked REPLACE"))</f>
        <v/>
      </c>
      <c r="C66" s="297" t="n"/>
    </row>
    <row r="67" ht="20" customHeight="1" s="252">
      <c r="A67" s="255" t="inlineStr">
        <is>
          <t>Does the site stay live during the works?</t>
        </is>
      </c>
      <c r="B67" s="300">
        <f>IF(Existing!$B$181="Yes","PHASED PROGRAMME REQUIRED — temporary charging is not in the standard scope and must be priced separately",IF(Existing!$B$181="No","OK — the site can go dark during the works","not yet answered"))</f>
        <v/>
      </c>
      <c r="C67" s="297" t="n"/>
    </row>
    <row r="68" ht="20" customHeight="1" s="252">
      <c r="A68" s="255" t="inlineStr">
        <is>
          <t>Removal scope on a greenfield project?</t>
        </is>
      </c>
      <c r="B68" s="394">
        <f>IF(AND(Existing!$B$5="Greenfield — new service",N(Existing!$B$174)+N(Existing!$B$175)+N(Existing!$B$176)+N(Existing!$B$177)+N(Existing!$B$178)&gt;0),"ERROR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purpose.",IF(Existing!$B$5="Greenfield — new service","OK — greenfield, and no removal scope has been entered","OK — replacement project, removal scope is priced"))</f>
        <v/>
      </c>
    </row>
    <row r="69" ht="32" customHeight="1" s="252">
      <c r="A69" s="288"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1" ht="14.25" customHeight="1" s="252">
      <c r="A71" s="344" t="inlineStr">
        <is>
          <t>MARKUPS — WHAT TURNS COST INTO PRICE</t>
        </is>
      </c>
    </row>
    <row r="72" ht="32" customHeight="1" s="252">
      <c r="A72" s="261" t="inlineStr">
        <is>
          <t>Markup on materials</t>
        </is>
      </c>
      <c r="B72" s="395" t="n">
        <v>0.2</v>
      </c>
      <c r="C72" s="396" t="inlineStr">
        <is>
          <t>Applies to switchgear, conductor, conduit, site works and construction rentals — everything priced from a rate rather than from a crew day. Set at 20%, matching the house markup on labour cost.</t>
        </is>
      </c>
    </row>
    <row r="73" ht="32" customHeight="1" s="252">
      <c r="A73" s="261" t="inlineStr">
        <is>
          <t>Markup on labour</t>
        </is>
      </c>
      <c r="B73" s="397">
        <f>$B$8</f>
        <v/>
      </c>
      <c r="C73" s="396" t="inlineStr">
        <is>
          <t>Shown here for comparison only — the labour markup is still entered in the Labour block at the top of this tab. One input, one place.</t>
        </is>
      </c>
    </row>
    <row r="75" ht="44" customHeight="1" s="252">
      <c r="A75" s="396"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7" ht="14.25" customHeight="1" s="252">
      <c r="A77" s="502" t="inlineStr">
        <is>
          <t>UTILITY AND THIRD-PARTY FEES — PASS-THROUGH</t>
        </is>
      </c>
    </row>
    <row r="78" ht="32" customHeight="1" s="252">
      <c r="A78" s="321"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80" ht="20" customHeight="1" s="252">
      <c r="A80" s="271" t="inlineStr">
        <is>
          <t>Fee</t>
        </is>
      </c>
      <c r="B80" s="271" t="inlineStr">
        <is>
          <t>Quantity</t>
        </is>
      </c>
      <c r="C80" s="271" t="inlineStr">
        <is>
          <t>Basis</t>
        </is>
      </c>
      <c r="D80" s="270" t="inlineStr">
        <is>
          <t>Unit cost</t>
        </is>
      </c>
      <c r="E80" s="270" t="inlineStr">
        <is>
          <t>Include?</t>
        </is>
      </c>
    </row>
    <row r="81" ht="14.25" customHeight="1" s="252">
      <c r="A81" s="387" t="inlineStr">
        <is>
          <t>Permit and plan-check fees</t>
        </is>
      </c>
      <c r="B81" s="398" t="n">
        <v>1</v>
      </c>
      <c r="C81" s="264" t="inlineStr">
        <is>
          <t>AHJ — verify locally</t>
        </is>
      </c>
      <c r="D81" s="388" t="n">
        <v>4000</v>
      </c>
      <c r="E81" s="346" t="inlineStr">
        <is>
          <t>Y</t>
        </is>
      </c>
    </row>
    <row r="82" ht="14.25" customHeight="1" s="252">
      <c r="A82" s="387" t="inlineStr">
        <is>
          <t>Utility contract fees</t>
        </is>
      </c>
      <c r="B82" s="398" t="n">
        <v>1</v>
      </c>
      <c r="C82" s="264" t="inlineStr">
        <is>
          <t>Application and contract</t>
        </is>
      </c>
      <c r="D82" s="388" t="n">
        <v>3500</v>
      </c>
      <c r="E82" s="346" t="inlineStr">
        <is>
          <t>Y</t>
        </is>
      </c>
    </row>
    <row r="83" ht="32" customHeight="1" s="252">
      <c r="A83" s="387" t="inlineStr">
        <is>
          <t>Utility interconnection design and application fee</t>
        </is>
      </c>
      <c r="B83" s="398" t="n">
        <v>1</v>
      </c>
      <c r="C83" s="367" t="inlineStr">
        <is>
          <t>Entered on the Electrical tab — this row reads it. Pass-through at cost.</t>
        </is>
      </c>
      <c r="D83" s="399">
        <f>Electrical!$B$56</f>
        <v/>
      </c>
      <c r="E83" s="346" t="inlineStr">
        <is>
          <t>Y</t>
        </is>
      </c>
    </row>
    <row r="84" ht="44" customHeight="1" s="252">
      <c r="A84" s="387" t="inlineStr">
        <is>
          <t>Utility line-extension contribution, if any</t>
        </is>
      </c>
      <c r="B84" s="398" t="n">
        <v>0</v>
      </c>
      <c r="C84" s="367" t="inlineStr">
        <is>
          <t>Whatever the serving utility charges the customer toward extending distribution or service. Zero until they say otherwise.</t>
        </is>
      </c>
      <c r="D84" s="399">
        <f>Electrical!$B$59</f>
        <v/>
      </c>
      <c r="E84" s="346" t="inlineStr">
        <is>
          <t>Y</t>
        </is>
      </c>
    </row>
    <row r="85" ht="14.25" customHeight="1" s="252">
      <c r="A85" s="387" t="inlineStr">
        <is>
          <t>Fire department plan review</t>
        </is>
      </c>
      <c r="B85" s="398" t="n">
        <v>1</v>
      </c>
      <c r="C85" s="264" t="inlineStr">
        <is>
          <t>Fire district — common on DCFC sites</t>
        </is>
      </c>
      <c r="D85" s="388" t="n">
        <v>850</v>
      </c>
      <c r="E85" s="346" t="inlineStr">
        <is>
          <t>Y</t>
        </is>
      </c>
    </row>
    <row r="86" ht="14.25" customHeight="1" s="252">
      <c r="A86" s="387" t="inlineStr">
        <is>
          <t>Encroachment / street-opening permit</t>
        </is>
      </c>
      <c r="B86" s="398" t="n">
        <v>0</v>
      </c>
      <c r="C86" s="264" t="inlineStr">
        <is>
          <t>Municipal, when trenching leaves the property</t>
        </is>
      </c>
      <c r="D86" s="388" t="n">
        <v>0</v>
      </c>
      <c r="E86" s="346" t="inlineStr">
        <is>
          <t>Y</t>
        </is>
      </c>
    </row>
    <row r="87" ht="14.25" customHeight="1" s="252">
      <c r="A87" s="387" t="inlineStr">
        <is>
          <t>Electrical inspection fees</t>
        </is>
      </c>
      <c r="B87" s="398" t="n">
        <v>0</v>
      </c>
      <c r="C87" s="264" t="inlineStr">
        <is>
          <t>AHJ inspection, separate from plan check</t>
        </is>
      </c>
      <c r="D87" s="388" t="n">
        <v>0</v>
      </c>
      <c r="E87" s="346" t="inlineStr">
        <is>
          <t>Y</t>
        </is>
      </c>
    </row>
    <row r="88" ht="14.25" customHeight="1" s="252">
      <c r="A88" s="387" t="inlineStr">
        <is>
          <t>Meter and service connection fee</t>
        </is>
      </c>
      <c r="B88" s="398" t="n">
        <v>0</v>
      </c>
      <c r="C88" s="264" t="inlineStr">
        <is>
          <t>Utility, if charged separately from Rule 29</t>
        </is>
      </c>
      <c r="D88" s="388" t="n">
        <v>0</v>
      </c>
      <c r="E88" s="346" t="inlineStr">
        <is>
          <t>Y</t>
        </is>
      </c>
    </row>
    <row r="89" ht="32" customHeight="1" s="252">
      <c r="A89" s="400" t="inlineStr">
        <is>
          <t>Utility and third-party fees total</t>
        </is>
      </c>
      <c r="B89" s="331">
        <f>SUMPRODUCT($B$81:$B$88,$D$81:$D$88)</f>
        <v/>
      </c>
      <c r="C89" s="321" t="inlineStr">
        <is>
          <t>Billed to the client at exactly this figure. No markup, no discount, its own line on the bid.</t>
        </is>
      </c>
    </row>
    <row r="91" ht="30" customHeight="1" s="252">
      <c r="A91" s="400" t="inlineStr">
        <is>
          <t>Any fee left in the site-works table?</t>
        </is>
      </c>
      <c r="B91" s="401">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402" t="n"/>
      <c r="D91" s="402" t="n"/>
      <c r="E91" s="402" t="n"/>
      <c r="F91" s="402" t="n"/>
      <c r="G91" s="403" t="n"/>
    </row>
  </sheetData>
  <mergeCells count="16">
    <mergeCell ref="C8:G8"/>
    <mergeCell ref="C73:G73"/>
    <mergeCell ref="C35:G35"/>
    <mergeCell ref="A1:F1"/>
    <mergeCell ref="B67:C67"/>
    <mergeCell ref="A55:G55"/>
    <mergeCell ref="B68:E68"/>
    <mergeCell ref="A69:G69"/>
    <mergeCell ref="C72:G72"/>
    <mergeCell ref="A78:G78"/>
    <mergeCell ref="B66:C66"/>
    <mergeCell ref="C89:D89"/>
    <mergeCell ref="A71:G71"/>
    <mergeCell ref="B91:G91"/>
    <mergeCell ref="C64:G64"/>
    <mergeCell ref="A75:G75"/>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1"/>
  </sheetPr>
  <dimension ref="A1:F29"/>
  <sheetViews>
    <sheetView showFormulas="0" showGridLines="0" showRowColHeaders="1" showZeros="1" rightToLeft="0" tabSelected="1" showOutlineSymbols="1" defaultGridColor="1" view="normal" topLeftCell="A1" colorId="64" zoomScale="100" zoomScaleNormal="100" zoomScalePageLayoutView="100" workbookViewId="0">
      <pane ySplit="2" topLeftCell="A3" activePane="bottomLeft" state="frozen"/>
      <selection pane="bottomLeft" activeCell="A1" activeCellId="0" sqref="A1"/>
      <selection pane="bottomLeft" activeCell="B10" activeCellId="0" sqref="B10"/>
    </sheetView>
  </sheetViews>
  <sheetFormatPr baseColWidth="8" defaultColWidth="8.66796875" defaultRowHeight="14.25" zeroHeight="0" outlineLevelRow="0"/>
  <cols>
    <col width="44" customWidth="1" style="251" min="1" max="1"/>
    <col width="16" customWidth="1" style="251" min="2" max="2"/>
    <col width="44" customWidth="1" style="251" min="3" max="3"/>
    <col width="9" customWidth="1" style="251" min="4" max="6"/>
    <col width="9" customWidth="1" style="252" min="5" max="5"/>
    <col width="9" customWidth="1" style="252" min="6" max="6"/>
  </cols>
  <sheetData>
    <row r="1" ht="25.5" customHeight="1" s="252">
      <c r="A1" s="253" t="inlineStr">
        <is>
          <t>5 · COMMERCIAL TERMS</t>
        </is>
      </c>
    </row>
    <row r="2" ht="13.5" customHeight="1" s="252">
      <c r="A2" s="264" t="inlineStr">
        <is>
          <t>Discounts, financing and the service and network term.</t>
        </is>
      </c>
    </row>
    <row r="4" ht="15" customHeight="1" s="252">
      <c r="A4" s="502" t="inlineStr">
        <is>
          <t>Discounts applied to customer price</t>
        </is>
      </c>
    </row>
    <row r="5" ht="15" customHeight="1" s="252">
      <c r="A5" s="261" t="inlineStr">
        <is>
          <t>Charger hardware discount</t>
        </is>
      </c>
      <c r="B5" s="395" t="n">
        <v>0.07000000000000001</v>
      </c>
    </row>
    <row r="6" ht="15" customHeight="1" s="252">
      <c r="A6" s="261" t="inlineStr">
        <is>
          <t>Service and warranty discount</t>
        </is>
      </c>
      <c r="B6" s="395" t="n">
        <v>0.07000000000000001</v>
      </c>
    </row>
    <row r="7" ht="15" customHeight="1" s="252">
      <c r="A7" s="261" t="inlineStr">
        <is>
          <t>EVOLV and commissioning discount</t>
        </is>
      </c>
      <c r="B7" s="395" t="n">
        <v>0</v>
      </c>
    </row>
    <row r="8" ht="44" customHeight="1" s="252">
      <c r="A8" s="261" t="inlineStr">
        <is>
          <t>Labour and in-house services discount</t>
        </is>
      </c>
      <c r="B8" s="404" t="n">
        <v>0.07000000000000001</v>
      </c>
      <c r="C8" s="287" t="inlineStr">
        <is>
          <t>Applies ONLY to work ZIE performs: construction labour, construction project management, and design and engineering. It may never be applied to materials, to equipment rentals, or to any third-party or utility fee.</t>
        </is>
      </c>
    </row>
    <row r="9" ht="15" customHeight="1" s="252">
      <c r="A9" s="261" t="inlineStr">
        <is>
          <t>Sales tax rate</t>
        </is>
      </c>
      <c r="B9" s="405" t="n">
        <v>0.0725</v>
      </c>
      <c r="C9" s="264" t="inlineStr">
        <is>
          <t>Applied to the DISCOUNTED equipment price</t>
        </is>
      </c>
    </row>
    <row r="11" ht="15" customHeight="1" s="252">
      <c r="A11" s="502" t="inlineStr">
        <is>
          <t>Service, warranty and network</t>
        </is>
      </c>
    </row>
    <row r="12" ht="15" customHeight="1" s="252">
      <c r="A12" s="261" t="inlineStr">
        <is>
          <t>Contract length (years)</t>
        </is>
      </c>
      <c r="B12" s="278" t="n">
        <v>5</v>
      </c>
      <c r="C12" s="264" t="inlineStr">
        <is>
          <t>Years of service included in the price</t>
        </is>
      </c>
    </row>
    <row r="13" ht="15" customHeight="1" s="252">
      <c r="A13" s="261" t="inlineStr">
        <is>
          <t>In-warranty years</t>
        </is>
      </c>
      <c r="B13" s="281" t="n">
        <v>2</v>
      </c>
      <c r="C13" s="264" t="inlineStr">
        <is>
          <t>Years billed at the in-warranty rate</t>
        </is>
      </c>
    </row>
    <row r="14" ht="15" customHeight="1" s="252">
      <c r="A14" s="261" t="inlineStr">
        <is>
          <t>EVOLV network fee per port per month</t>
        </is>
      </c>
      <c r="B14" s="383" t="n">
        <v>39.99</v>
      </c>
    </row>
    <row r="15" ht="15" customHeight="1" s="252">
      <c r="A15" s="261" t="inlineStr">
        <is>
          <t>EVOLV annual cost</t>
        </is>
      </c>
      <c r="B15" s="331">
        <f>Equipment!B22*B14*12</f>
        <v/>
      </c>
      <c r="C15" s="264" t="inlineStr">
        <is>
          <t>Ports x rate x 12 — ports, never cabinets</t>
        </is>
      </c>
    </row>
    <row r="16" ht="15" customHeight="1" s="252">
      <c r="A16" s="261" t="inlineStr">
        <is>
          <t>EVOLV cost across contract</t>
        </is>
      </c>
      <c r="B16" s="331">
        <f>B15*B12</f>
        <v/>
      </c>
    </row>
    <row r="18" ht="15" customHeight="1" s="252">
      <c r="A18" s="502" t="inlineStr">
        <is>
          <t>Financing</t>
        </is>
      </c>
    </row>
    <row r="19" ht="15" customHeight="1" s="252">
      <c r="A19" s="261" t="inlineStr">
        <is>
          <t>Financing offered?</t>
        </is>
      </c>
      <c r="B19" s="346" t="inlineStr">
        <is>
          <t>Yes</t>
        </is>
      </c>
    </row>
    <row r="20" ht="15" customHeight="1" s="252">
      <c r="A20" s="261" t="inlineStr">
        <is>
          <t>Lender</t>
        </is>
      </c>
      <c r="B20" s="346" t="inlineStr">
        <is>
          <t>De Lage Landen</t>
        </is>
      </c>
    </row>
    <row r="21" ht="15" customHeight="1" s="252">
      <c r="A21" s="261" t="inlineStr">
        <is>
          <t>Annual interest rate</t>
        </is>
      </c>
      <c r="B21" s="405" t="n">
        <v>0.0839</v>
      </c>
    </row>
    <row r="22" ht="15" customHeight="1" s="252">
      <c r="A22" s="261" t="inlineStr">
        <is>
          <t>Term (years)</t>
        </is>
      </c>
      <c r="B22" s="278" t="n">
        <v>5</v>
      </c>
    </row>
    <row r="23" ht="15" customHeight="1" s="252">
      <c r="A23" s="261" t="inlineStr">
        <is>
          <t>Payments per year</t>
        </is>
      </c>
      <c r="B23" s="281" t="n">
        <v>12</v>
      </c>
    </row>
    <row r="24" ht="15" customHeight="1" s="252">
      <c r="A24" s="261" t="inlineStr">
        <is>
          <t>Down payment</t>
        </is>
      </c>
      <c r="B24" s="406" t="n">
        <v>0</v>
      </c>
    </row>
    <row r="25" ht="15" customHeight="1" s="252">
      <c r="A25" s="261" t="inlineStr">
        <is>
          <t>Financing start date</t>
        </is>
      </c>
      <c r="B25" s="512" t="n">
        <v>46296</v>
      </c>
    </row>
    <row r="27" ht="15" customHeight="1" s="252">
      <c r="A27" s="502" t="inlineStr">
        <is>
          <t>Analysis horizon</t>
        </is>
      </c>
    </row>
    <row r="28" ht="15" customHeight="1" s="252">
      <c r="A28" s="261" t="inlineStr">
        <is>
          <t>Model horizon (years)</t>
        </is>
      </c>
      <c r="B28" s="278" t="n">
        <v>10</v>
      </c>
      <c r="C28" s="264" t="inlineStr">
        <is>
          <t>Use 10 — the carbon credit runs ten years</t>
        </is>
      </c>
    </row>
    <row r="29" ht="15" customHeight="1" s="252">
      <c r="A29" s="261" t="inlineStr">
        <is>
          <t>Discount rate for NPV</t>
        </is>
      </c>
      <c r="B29" s="405" t="n">
        <v>0.0839</v>
      </c>
      <c r="C29" s="264" t="inlineStr">
        <is>
          <t>Default: the financing rate</t>
        </is>
      </c>
    </row>
  </sheetData>
  <mergeCells count="2">
    <mergeCell ref="C8:F8"/>
    <mergeCell ref="A1:F1"/>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filterMode="0">
    <tabColor rgb="FF2E7D5B"/>
    <outlinePr summaryBelow="1" summaryRight="1"/>
    <pageSetUpPr fitToPage="1"/>
  </sheetPr>
  <dimension ref="A1:G103"/>
  <sheetViews>
    <sheetView showFormulas="0" showGridLines="0" showRowColHeaders="1" showZeros="1" rightToLeft="0" tabSelected="0" showOutlineSymbols="1" defaultGridColor="1" view="normal" topLeftCell="A43" colorId="64" zoomScale="100" zoomScaleNormal="100" zoomScalePageLayoutView="100" workbookViewId="0">
      <pane ySplit="2" topLeftCell="A3" activePane="bottomLeft" state="frozen"/>
      <selection pane="bottomLeft" activeCell="A43" activeCellId="0" sqref="A43"/>
      <selection pane="bottomLeft" activeCell="B59" activeCellId="0" sqref="B59"/>
    </sheetView>
  </sheetViews>
  <sheetFormatPr baseColWidth="8" defaultColWidth="8.66796875" defaultRowHeight="14.25" zeroHeight="0" outlineLevelRow="0"/>
  <cols>
    <col width="44" customWidth="1" style="251" min="1" max="1"/>
    <col width="34" customWidth="1" style="251" min="2" max="2"/>
    <col width="52" customWidth="1" style="251" min="3" max="3"/>
    <col width="34" customWidth="1" style="251" min="4" max="7"/>
    <col width="9" customWidth="1" style="252" min="5" max="5"/>
    <col width="9" customWidth="1" style="252" min="6" max="6"/>
    <col width="9" customWidth="1" style="252" min="7" max="7"/>
  </cols>
  <sheetData>
    <row r="1" ht="25.5" customHeight="1" s="252">
      <c r="A1" s="253" t="inlineStr">
        <is>
          <t>6 · REVENUE ASSUMPTIONS</t>
        </is>
      </c>
    </row>
    <row r="2" ht="32" customHeight="1" s="252">
      <c r="A2" s="321" t="inlineStr">
        <is>
          <t>Every one of these will be challenged by the customer. Set them where you can defend them.</t>
        </is>
      </c>
    </row>
    <row r="4" ht="15" customHeight="1" s="252">
      <c r="A4" s="502" t="inlineStr">
        <is>
          <t>Pricing</t>
        </is>
      </c>
    </row>
    <row r="5" ht="15" customHeight="1" s="252">
      <c r="A5" s="261" t="inlineStr">
        <is>
          <t>Retail price to driver ($/kWh)</t>
        </is>
      </c>
      <c r="B5" s="407" t="n">
        <v>0.65</v>
      </c>
    </row>
    <row r="6" ht="20" customHeight="1" s="252">
      <c r="A6" s="261" t="inlineStr">
        <is>
          <t>Delivered energy cost — leave blank, now derived</t>
        </is>
      </c>
      <c r="B6" s="408">
        <f>IF(N($B$91)=0,"",$B$91)</f>
        <v/>
      </c>
      <c r="C6" s="367" t="inlineStr">
        <is>
          <t>Derived from the tariff block at the foot of this tab. Set the figures there.</t>
        </is>
      </c>
    </row>
    <row r="7" ht="32" customHeight="1" s="252">
      <c r="A7" s="261" t="inlineStr">
        <is>
          <t>Utility subscription — leave blank, now derived</t>
        </is>
      </c>
      <c r="B7" s="409">
        <f>IF(N($B$95)=0,"",$B$95)</f>
        <v/>
      </c>
      <c r="C7" s="287" t="inlineStr">
        <is>
          <t>Customer charge plus demand charge, annualised, from the tariff block at the foot of this tab. On a demand schedule this is the largest number on the page.</t>
        </is>
      </c>
    </row>
    <row r="8" ht="15" customHeight="1" s="252">
      <c r="A8" s="261" t="inlineStr">
        <is>
          <t>Card processing fee (% of gross)</t>
        </is>
      </c>
      <c r="B8" s="416" t="n">
        <v>0.03</v>
      </c>
    </row>
    <row r="9" ht="15" customHeight="1" s="252">
      <c r="A9" s="261" t="inlineStr">
        <is>
          <t>Idle fee revenue included?</t>
        </is>
      </c>
      <c r="B9" s="346" t="inlineStr">
        <is>
          <t>No</t>
        </is>
      </c>
      <c r="C9" s="264" t="inlineStr">
        <is>
          <t>Keep this No unless it is contracted</t>
        </is>
      </c>
    </row>
    <row r="11" ht="15" customHeight="1" s="252">
      <c r="A11" s="502" t="inlineStr">
        <is>
          <t>Utilisation — steady state</t>
        </is>
      </c>
    </row>
    <row r="12" ht="15" customHeight="1" s="252">
      <c r="A12" s="261" t="inlineStr">
        <is>
          <t>Hours per day the site is chargeable</t>
        </is>
      </c>
      <c r="B12" s="281">
        <f>Project!B22</f>
        <v/>
      </c>
      <c r="C12" s="264" t="inlineStr">
        <is>
          <t>From 1_Project</t>
        </is>
      </c>
    </row>
    <row r="13" ht="15" customHeight="1" s="252">
      <c r="A13" s="261" t="inlineStr">
        <is>
          <t>Stall occupancy (share of stalls used per day)</t>
        </is>
      </c>
      <c r="B13" s="416" t="n">
        <v>0.2</v>
      </c>
    </row>
    <row r="14" ht="32" customHeight="1" s="252">
      <c r="A14" s="371" t="inlineStr">
        <is>
          <t>Charging hours per occupied stall, as share of open hours</t>
        </is>
      </c>
      <c r="B14" s="416" t="n">
        <v>0.25</v>
      </c>
    </row>
    <row r="15" ht="15" customHeight="1" s="252">
      <c r="A15" s="261" t="inlineStr">
        <is>
          <t>Nameplate de-rate factor</t>
        </is>
      </c>
      <c r="B15" s="410" t="n">
        <v>0.98</v>
      </c>
      <c r="C15" s="264" t="inlineStr">
        <is>
          <t>Cabinet output vs label</t>
        </is>
      </c>
    </row>
    <row r="16" ht="15" customHeight="1" s="252">
      <c r="A16" s="261" t="inlineStr">
        <is>
          <t>Average delivered power, share of port rating</t>
        </is>
      </c>
      <c r="B16" s="395" t="n">
        <v>0.7</v>
      </c>
      <c r="C16" s="264" t="inlineStr">
        <is>
          <t>CHARGING-CURVE TAPER</t>
        </is>
      </c>
    </row>
    <row r="18" ht="15" customHeight="1" s="252">
      <c r="A18" s="502" t="inlineStr">
        <is>
          <t>Ramp and growth</t>
        </is>
      </c>
    </row>
    <row r="19" ht="15" customHeight="1" s="252">
      <c r="A19" s="261" t="inlineStr">
        <is>
          <t>Year 1 share of steady state</t>
        </is>
      </c>
      <c r="B19" s="395" t="n">
        <v>0.5</v>
      </c>
      <c r="C19" s="264" t="inlineStr">
        <is>
          <t>Greenfield sites take time to fill</t>
        </is>
      </c>
    </row>
    <row r="20" ht="15" customHeight="1" s="252">
      <c r="A20" s="261" t="inlineStr">
        <is>
          <t>Year 2 share of steady state</t>
        </is>
      </c>
      <c r="B20" s="395" t="n">
        <v>0.75</v>
      </c>
    </row>
    <row r="21" ht="15" customHeight="1" s="252">
      <c r="A21" s="261" t="inlineStr">
        <is>
          <t>Year 3 share of steady state</t>
        </is>
      </c>
      <c r="B21" s="395" t="n">
        <v>1</v>
      </c>
    </row>
    <row r="22" ht="15" customHeight="1" s="252">
      <c r="A22" s="261" t="inlineStr">
        <is>
          <t>Annual growth after ramp</t>
        </is>
      </c>
      <c r="B22" s="416" t="n">
        <v>0.06</v>
      </c>
      <c r="C22" s="264" t="inlineStr">
        <is>
          <t>Justify as a level, not a rate</t>
        </is>
      </c>
    </row>
    <row r="24" ht="32" customHeight="1" s="252">
      <c r="A24" s="335" t="inlineStr">
        <is>
          <t>Historical actuals — replacement sites only, leave blank for greenfield</t>
        </is>
      </c>
    </row>
    <row r="25" ht="15" customHeight="1" s="252">
      <c r="A25" s="261" t="inlineStr">
        <is>
          <t>Months of history available</t>
        </is>
      </c>
      <c r="B25" s="391" t="n"/>
    </row>
    <row r="26" ht="15" customHeight="1" s="252">
      <c r="A26" s="261" t="inlineStr">
        <is>
          <t>Historical kWh dispensed per day</t>
        </is>
      </c>
      <c r="B26" s="411" t="n"/>
    </row>
    <row r="27" ht="15" customHeight="1" s="252">
      <c r="A27" s="261" t="inlineStr">
        <is>
          <t>Historical gross revenue per year</t>
        </is>
      </c>
      <c r="B27" s="412" t="n"/>
    </row>
    <row r="28" ht="15" customHeight="1" s="252">
      <c r="A28" s="261" t="inlineStr">
        <is>
          <t>Historical net profit per year</t>
        </is>
      </c>
      <c r="B28" s="412" t="n"/>
    </row>
    <row r="29" ht="15" customHeight="1" s="252">
      <c r="A29" s="261" t="inlineStr">
        <is>
          <t>Ports in service on an average day</t>
        </is>
      </c>
      <c r="B29" s="413" t="n"/>
    </row>
    <row r="30" ht="15" customHeight="1" s="252">
      <c r="A30" s="261" t="inlineStr">
        <is>
          <t>Share of sessions under 1 kWh</t>
        </is>
      </c>
      <c r="B30" s="414" t="n"/>
      <c r="C30" s="264" t="inlineStr">
        <is>
          <t>Failed-session rate</t>
        </is>
      </c>
    </row>
    <row r="32" ht="32" customHeight="1" s="252">
      <c r="A32" s="335" t="inlineStr">
        <is>
          <t>Utility rate selection — drives the delivered energy cost</t>
        </is>
      </c>
    </row>
    <row r="33" ht="20" customHeight="1" s="252">
      <c r="A33" s="396" t="inlineStr">
        <is>
          <t>Pick the utility and schedule and the model derives $/kWh and the subscription from the tariff. No blended guess required.</t>
        </is>
      </c>
    </row>
    <row r="35" ht="20" customHeight="1" s="252">
      <c r="A35" s="261" t="inlineStr">
        <is>
          <t>Utility</t>
        </is>
      </c>
      <c r="B35" s="415">
        <f>IF(Project!$B$26="","",Project!$B$26)</f>
        <v/>
      </c>
      <c r="C35" s="367" t="inlineStr">
        <is>
          <t>Reads the utility named on the Project tab. Set it there.</t>
        </is>
      </c>
    </row>
    <row r="36" ht="32" customHeight="1" s="252">
      <c r="A36" s="261" t="inlineStr">
        <is>
          <t>Rate schedule</t>
        </is>
      </c>
      <c r="B36" s="369" t="inlineStr">
        <is>
          <t>TOU-EV-9</t>
        </is>
      </c>
      <c r="C36" s="287" t="inlineStr">
        <is>
          <t>Pick the schedule this site will actually take. The list is on the Utilities tab under RATE SCHEDULE PICKER; add the schedule there first if it is not on it.</t>
        </is>
      </c>
    </row>
    <row r="37" ht="20" customHeight="1" s="252">
      <c r="A37" s="261" t="inlineStr">
        <is>
          <t>Service voltage level</t>
        </is>
      </c>
      <c r="B37" s="369" t="inlineStr">
        <is>
          <t>Secondary</t>
        </is>
      </c>
      <c r="C37" s="367" t="inlineStr">
        <is>
          <t>Secondary or primary. On schedules that price them differently this changes the rate.</t>
        </is>
      </c>
    </row>
    <row r="38" ht="32" customHeight="1" s="252">
      <c r="A38" s="261" t="inlineStr">
        <is>
          <t>Share of energy dispensed on-peak</t>
        </is>
      </c>
      <c r="B38" s="416" t="n">
        <v>0.3</v>
      </c>
      <c r="C38" s="287" t="inlineStr">
        <is>
          <t>Only if the schedule has time-of-use periods, and then from ITS periods — not from a remembered 4-9 pm peak. Leave all three blank on a flat schedule.</t>
        </is>
      </c>
    </row>
    <row r="39" ht="15" customHeight="1" s="252">
      <c r="A39" s="261" t="inlineStr">
        <is>
          <t>Share off-peak</t>
        </is>
      </c>
      <c r="B39" s="416" t="n">
        <v>0.55</v>
      </c>
    </row>
    <row r="40" ht="20" customHeight="1" s="252">
      <c r="A40" s="261" t="inlineStr">
        <is>
          <t>Share super off-peak</t>
        </is>
      </c>
      <c r="B40" s="416" t="n">
        <v>0.15</v>
      </c>
      <c r="C40" s="367" t="inlineStr">
        <is>
          <t>The three shares must sum to 100% where they are used at all.</t>
        </is>
      </c>
    </row>
    <row r="41" ht="44" customHeight="1" s="252">
      <c r="A41" s="261" t="inlineStr">
        <is>
          <t>Expected peak concurrency (ports drawing at once)</t>
        </is>
      </c>
      <c r="B41" s="417">
        <f>IF(OR(N($B$77)=0,N($B$75)=0,N($B$52)=0),"",ROUNDUP($B$77/(24*$B$75)*$B$52,0))</f>
        <v/>
      </c>
      <c r="C41" s="418" t="inlineStr">
        <is>
          <t>DERIVED, not typed. Average concurrent ports is the day's energy over twenty-four hours of average delivered power; the peak-to-average factor above turns that into a peak. Rounded up, because you cannot subscribe to a fraction of a port.</t>
        </is>
      </c>
    </row>
    <row r="42" ht="56" customHeight="1" s="252">
      <c r="A42" s="261" t="inlineStr">
        <is>
          <t>Subscribed kW</t>
        </is>
      </c>
      <c r="B42" s="417">
        <f>IF(N($B$41)=0,"",IF($B$51="Subscribe at full nameplate",Equipment!$B$23,$B$41*IF($B$54="Yes",$B$74,$B$75)*(1+N($B$53))))</f>
        <v/>
      </c>
      <c r="C42" s="418"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4" ht="15" customHeight="1" s="252">
      <c r="A44" s="502" t="inlineStr">
        <is>
          <t>Market benchmarking</t>
        </is>
      </c>
    </row>
    <row r="45" ht="32" customHeight="1" s="252">
      <c r="A45" s="261" t="inlineStr">
        <is>
          <t>State for benchmarking</t>
        </is>
      </c>
      <c r="B45" s="419" t="inlineStr">
        <is>
          <t>California</t>
        </is>
      </c>
      <c r="C45" s="287" t="inlineStr">
        <is>
          <t>REQUIRED. Pick the market this projection should be tested against — the list is on RefData under MARKET BENCHMARKS. There is no default: this used to say California on every project regardless of where the site was.</t>
        </is>
      </c>
    </row>
    <row r="46" ht="20" customHeight="1" s="252">
      <c r="A46" s="261" t="inlineStr">
        <is>
          <t>Expected site factor (% of the state average port)</t>
        </is>
      </c>
      <c r="B46" s="420" t="n"/>
      <c r="C46" s="321" t="inlineStr">
        <is>
          <t>Leave blank and the model derives it from your utilisation inputs</t>
        </is>
      </c>
    </row>
    <row r="48" ht="15" customHeight="1" s="252">
      <c r="A48" s="502" t="inlineStr">
        <is>
          <t>Demand subscription — how it should ramp</t>
        </is>
      </c>
    </row>
    <row r="49" ht="20" customHeight="1" s="252">
      <c r="A49" s="396" t="inlineStr">
        <is>
          <t>Demand charges are set by simultaneous draw, not annual energy. A site that fills gradually should not carry a full-nameplate subscription from day one.</t>
        </is>
      </c>
    </row>
    <row r="51" ht="15" customHeight="1" s="252">
      <c r="A51" s="261" t="inlineStr">
        <is>
          <t>Subscription policy</t>
        </is>
      </c>
      <c r="B51" s="419" t="inlineStr">
        <is>
          <t>Ramped to projected demand</t>
        </is>
      </c>
    </row>
    <row r="52" ht="15" customHeight="1" s="252">
      <c r="A52" s="261" t="inlineStr">
        <is>
          <t>Peak-to-average concurrency factor</t>
        </is>
      </c>
      <c r="B52" s="421" t="n">
        <v>4</v>
      </c>
      <c r="C52" s="264" t="inlineStr">
        <is>
          <t>Ratio of peak simultaneous draw to the daily average</t>
        </is>
      </c>
    </row>
    <row r="53" ht="15" customHeight="1" s="252">
      <c r="A53" s="261" t="inlineStr">
        <is>
          <t>Safety margin on subscribed kW</t>
        </is>
      </c>
      <c r="B53" s="416" t="n">
        <v>0.2</v>
      </c>
      <c r="C53" s="264" t="inlineStr">
        <is>
          <t>Headroom above projected peak before overage bites</t>
        </is>
      </c>
    </row>
    <row r="54" ht="15" customHeight="1" s="252">
      <c r="A54" s="261" t="inlineStr">
        <is>
          <t>Size demand on full port rating?</t>
        </is>
      </c>
      <c r="B54" s="419" t="inlineStr">
        <is>
          <t>Yes</t>
        </is>
      </c>
      <c r="C54" s="264" t="inlineStr">
        <is>
          <t>A vehicle at the start of a session draws full power</t>
        </is>
      </c>
    </row>
    <row r="55" ht="15" customHeight="1" s="252">
      <c r="A55" s="261" t="inlineStr">
        <is>
          <t>Interval data available from the utility?</t>
        </is>
      </c>
      <c r="B55" s="369" t="n"/>
      <c r="C55" s="264" t="inlineStr">
        <is>
          <t>Lets the subscription be trued up after two quarters</t>
        </is>
      </c>
    </row>
    <row r="57" ht="32" customHeight="1" s="252">
      <c r="A57" s="335" t="inlineStr">
        <is>
          <t>Revenue basis — greenfield benchmark or historical actuals</t>
        </is>
      </c>
    </row>
    <row r="58" ht="32" customHeight="1" s="252">
      <c r="A58" s="283"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t="20" customHeight="1" s="252">
      <c r="A59" s="261" t="inlineStr">
        <is>
          <t>Revenue basis</t>
        </is>
      </c>
      <c r="B59" s="290" t="inlineStr">
        <is>
          <t>Historical actuals — replacement site</t>
        </is>
      </c>
      <c r="C59" s="299" t="inlineStr">
        <is>
          <t>Switch to historical actuals on any site with twelve or more months of usable data.</t>
        </is>
      </c>
    </row>
    <row r="61" ht="20" customHeight="1" s="252">
      <c r="A61" s="261" t="inlineStr">
        <is>
          <t>Months of history available</t>
        </is>
      </c>
      <c r="B61" s="298">
        <f>Existing!$B$104</f>
        <v/>
      </c>
      <c r="C61" s="299" t="inlineStr">
        <is>
          <t>From the Existing tab section E.</t>
        </is>
      </c>
    </row>
    <row r="62" ht="15" customHeight="1" s="252">
      <c r="A62" s="261" t="inlineStr">
        <is>
          <t>Historical kWh per year</t>
        </is>
      </c>
      <c r="B62" s="298">
        <f>Existing!$B$112</f>
        <v/>
      </c>
    </row>
    <row r="63" ht="15" customHeight="1" s="252">
      <c r="A63" s="261" t="inlineStr">
        <is>
          <t>Combined uplift multiple</t>
        </is>
      </c>
      <c r="B63" s="422">
        <f>Existing!$B$155</f>
        <v/>
      </c>
    </row>
    <row r="64" ht="32" customHeight="1" s="252">
      <c r="A64" s="255" t="inlineStr">
        <is>
          <t>Projected kWh per year — replacement basis</t>
        </is>
      </c>
      <c r="B64" s="304">
        <f>Existing!$B$156</f>
        <v/>
      </c>
      <c r="C64" s="299" t="inlineStr">
        <is>
          <t>History times the stated uplifts. This is what the model uses when the basis above is set to historical actuals.</t>
        </is>
      </c>
    </row>
    <row r="66" ht="32" customHeight="1" s="252">
      <c r="A66" s="255" t="inlineStr">
        <is>
          <t>Which basis is in force?</t>
        </is>
      </c>
      <c r="B66" s="300">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7" t="n"/>
      <c r="D66" s="276" t="inlineStr">
        <is>
          <t>A replacement site running on market benchmarks is throwing away its best evidence.</t>
        </is>
      </c>
    </row>
    <row r="67" ht="32" customHeight="1" s="252">
      <c r="A67" s="255" t="inlineStr">
        <is>
          <t>Historical price against the proposed price</t>
        </is>
      </c>
      <c r="B67" s="300">
        <f>IF(Existing!$B$116=0,"no history entered","History "&amp;TEXT(Existing!$B$116,"$0.000")&amp;" vs proposed "&amp;TEXT($B$5,"$0.000")&amp;" — "&amp;TEXT(IF(Existing!$B$116=0,0,$B$5/Existing!$B$116-1),"+0.0%;-0.0%"))</f>
        <v/>
      </c>
      <c r="C67" s="297" t="n"/>
      <c r="D67" s="276" t="inlineStr">
        <is>
          <t>A large price increase on a site with a settled driver base is a demand risk, not a revenue gain.</t>
        </is>
      </c>
    </row>
    <row r="68" ht="32" customHeight="1" s="252">
      <c r="A68" s="255" t="inlineStr">
        <is>
          <t>Historical delivered cost against the tariff estimate</t>
        </is>
      </c>
      <c r="B68" s="300">
        <f>IF(Existing!$B$117=0,"no history entered","Twelve months of billing says "&amp;TEXT(Existing!$B$117,"$0.0000")&amp;" all-in. Use it in preference to any tariff estimate.")</f>
        <v/>
      </c>
      <c r="C68" s="297" t="n"/>
      <c r="D68" s="276" t="inlineStr">
        <is>
          <t>Actual billing beats a tariff lookup every time. This is the number to carry into the model.</t>
        </is>
      </c>
    </row>
    <row r="70" ht="32" customHeight="1" s="252">
      <c r="A70" s="288"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2" ht="32" customHeight="1" s="252">
      <c r="A72" s="335" t="inlineStr">
        <is>
          <t>STEADY-STATE PROJECTION — the greenfield basis, computed here</t>
        </is>
      </c>
    </row>
    <row r="73" ht="32" customHeight="1" s="252">
      <c r="A73" s="423" t="inlineStr">
        <is>
          <t>The model used to compute this downstream, which meant nothing on this sheet could test it. It is computed here so the market cross-check on the Existing tab has something to read on a site with no history.</t>
        </is>
      </c>
    </row>
    <row r="74" ht="14.25" customHeight="1" s="252">
      <c r="A74" s="261" t="inlineStr">
        <is>
          <t>Power per position (kW)</t>
        </is>
      </c>
      <c r="B74" s="424">
        <f>IF(N(Equipment!$B$22)=0,0,Equipment!$B$26/Equipment!$B$22)</f>
        <v/>
      </c>
    </row>
    <row r="75" ht="20" customHeight="1" s="252">
      <c r="A75" s="261" t="inlineStr">
        <is>
          <t>Average delivered power (kW)</t>
        </is>
      </c>
      <c r="B75" s="424">
        <f>$B$74*$B$15*$B$16</f>
        <v/>
      </c>
      <c r="C75" s="367" t="inlineStr">
        <is>
          <t>De-rated, then tapered</t>
        </is>
      </c>
    </row>
    <row r="76" ht="14.25" customHeight="1" s="252">
      <c r="A76" s="261" t="inlineStr">
        <is>
          <t>Charging stall-hours per day</t>
        </is>
      </c>
      <c r="B76" s="425">
        <f>Equipment!$B$22*$B$13*$B$12*$B$14</f>
        <v/>
      </c>
    </row>
    <row r="77" ht="14.25" customHeight="1" s="252">
      <c r="A77" s="261" t="inlineStr">
        <is>
          <t>Steady-state kWh per day</t>
        </is>
      </c>
      <c r="B77" s="417">
        <f>$B$76*$B$75</f>
        <v/>
      </c>
    </row>
    <row r="78" ht="14.25" customHeight="1" s="252">
      <c r="A78" s="261" t="inlineStr">
        <is>
          <t>Steady-state kWh per year</t>
        </is>
      </c>
      <c r="B78" s="417">
        <f>$B$77*365</f>
        <v/>
      </c>
    </row>
    <row r="80" ht="14.25" customHeight="1" s="252">
      <c r="A80" s="502" t="inlineStr">
        <is>
          <t>Tariff provenance and rate-entry checks</t>
        </is>
      </c>
    </row>
    <row r="81" ht="32" customHeight="1" s="252">
      <c r="A81" s="367" t="inlineStr">
        <is>
          <t>Every revenue figure in the model rests on the rate figures above. This block records how much weight they can carry, and the proposal prints it at the point of use rather than in a risk register nobody reads.</t>
        </is>
      </c>
    </row>
    <row r="82" ht="32" customHeight="1" s="252">
      <c r="A82" s="261" t="inlineStr">
        <is>
          <t>Source of the rate figures</t>
        </is>
      </c>
      <c r="B82" s="369" t="inlineStr">
        <is>
          <t>SCE TOU-EV rate fact sheet, July 2025</t>
        </is>
      </c>
      <c r="C82" s="287" t="inlineStr">
        <is>
          <t>Where each $/kWh and fixed charge came from — a filed tariff sheet, a rate insert, a bill, or a phone call. Name it. The proposal prints this.</t>
        </is>
      </c>
    </row>
    <row r="83" ht="32" customHeight="1" s="252">
      <c r="A83" s="261" t="inlineStr">
        <is>
          <t>Verified against the filed tariff sheets?</t>
        </is>
      </c>
      <c r="B83" s="369" t="inlineStr">
        <is>
          <t>No</t>
        </is>
      </c>
      <c r="C83" s="287" t="inlineStr">
        <is>
          <t>Yes / No. "No" is a perfectly good answer and the proposal will say so at the point of use; what is not acceptable is nobody knowing.</t>
        </is>
      </c>
    </row>
    <row r="84" ht="20" customHeight="1" s="252">
      <c r="A84" s="261" t="inlineStr">
        <is>
          <t>Verified by / date</t>
        </is>
      </c>
      <c r="B84" s="369" t="inlineStr">
        <is>
          <t>VP · 2026-09-01</t>
        </is>
      </c>
      <c r="C84" s="367" t="inlineStr">
        <is>
          <t>Who checked it, and when.</t>
        </is>
      </c>
    </row>
    <row r="85" ht="32" customHeight="1" s="252">
      <c r="A85" s="261" t="inlineStr">
        <is>
          <t>Demand-schedule eligibility threshold</t>
        </is>
      </c>
      <c r="B85" s="369" t="n"/>
      <c r="C85" s="287" t="inlineStr">
        <is>
          <t>If this utility moves a customer onto a demand schedule above some monthly consumption, record the threshold and its units here. Leave blank if unknown — blank prints as unconfirmed, which is honest. A figure typed from memory is not.</t>
        </is>
      </c>
    </row>
    <row r="86" ht="32" customHeight="1" s="252">
      <c r="A86" s="261" t="inlineStr">
        <is>
          <t>Would this site cross that threshold?</t>
        </is>
      </c>
      <c r="B86" s="369" t="n"/>
      <c r="C86" s="287" t="inlineStr">
        <is>
          <t>Against the steady-state projection at the foot of this tab. If yes, the tariff behind every revenue figure in the model is the wrong one.</t>
        </is>
      </c>
    </row>
    <row r="87" ht="20" customHeight="1" s="252">
      <c r="A87" s="261" t="inlineStr">
        <is>
          <t>Time-of-use shares entered?</t>
        </is>
      </c>
      <c r="B87" s="265">
        <f>IF(COUNT($B$38:$B$40)=0,"none entered — correct on a flat schedule",IF(ROUND(SUM($B$38:$B$40),4)&lt;&gt;1,"THE THREE SHARES DO NOT SUM TO 100%","ok"))</f>
        <v/>
      </c>
      <c r="C87" s="367" t="inlineStr">
        <is>
          <t>Blank on a flat schedule is the right answer. A split that does not sum to 100% is not.</t>
        </is>
      </c>
    </row>
    <row r="89" ht="14.25" customHeight="1" s="252">
      <c r="A89" s="502" t="inlineStr">
        <is>
          <t>Tariff figures — the bill, decomposed</t>
        </is>
      </c>
    </row>
    <row r="90" ht="20" customHeight="1" s="252">
      <c r="A90" s="367" t="inlineStr">
        <is>
          <t>One row per component of the bill, so a demand charge cannot hide inside a blended cents-per-kWh figure. Take them from the schedule row in the RateLibrary tab.</t>
        </is>
      </c>
    </row>
    <row r="91" ht="20" customHeight="1" s="252">
      <c r="A91" s="261" t="inlineStr">
        <is>
          <t>Volumetric energy cost ($/kWh)</t>
        </is>
      </c>
      <c r="B91" s="426" t="n">
        <v>0.28</v>
      </c>
      <c r="C91" s="367" t="inlineStr">
        <is>
          <t>The per-kWh charge on the chosen schedule, before fixed and demand charges.</t>
        </is>
      </c>
    </row>
    <row r="92" ht="20" customHeight="1" s="252">
      <c r="A92" s="261" t="inlineStr">
        <is>
          <t>Customer charge ($/month)</t>
        </is>
      </c>
      <c r="B92" s="427" t="n">
        <v>701.42</v>
      </c>
      <c r="C92" s="367" t="inlineStr">
        <is>
          <t>The fixed monthly meter charge.</t>
        </is>
      </c>
    </row>
    <row r="93" ht="32" customHeight="1" s="252">
      <c r="A93" s="261" t="inlineStr">
        <is>
          <t>Demand charge ($/kW-month)</t>
        </is>
      </c>
      <c r="B93" s="427" t="n">
        <v>0</v>
      </c>
      <c r="C93" s="287" t="inlineStr">
        <is>
          <t>Zero on a schedule with no demand charge. This is the figure that decides whether a fast charging site works: at low load factor a demand charge can cost more than all the energy.</t>
        </is>
      </c>
    </row>
    <row r="94" ht="32" customHeight="1" s="252">
      <c r="A94" s="261" t="inlineStr">
        <is>
          <t>Billing demand assumed (kW)</t>
        </is>
      </c>
      <c r="B94" s="364" t="n"/>
      <c r="C94" s="287" t="inlineStr">
        <is>
          <t>What the meter will see as the monthly maximum. Full nameplate unless load management caps it. Every kW here costs the demand charge above, twelve times a year.</t>
        </is>
      </c>
    </row>
    <row r="95" ht="44" customHeight="1" s="252">
      <c r="A95" s="261" t="inlineStr">
        <is>
          <t>Annual fixed and demand cost ($/yr)</t>
        </is>
      </c>
      <c r="B95" s="428">
        <f>12*(N($B$92)+N($B$93)*N($B$94))+N($B$102)</f>
        <v/>
      </c>
      <c r="C95" s="418"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7" ht="14.25" customHeight="1" s="252">
      <c r="A97" s="429" t="inlineStr">
        <is>
          <t>DEMAND SUBSCRIPTION — WHAT THE RAMP ABOVE COSTS</t>
        </is>
      </c>
    </row>
    <row r="98" ht="32" customHeight="1" s="252">
      <c r="A98" s="418"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t="32" customHeight="1" s="252">
      <c r="A99" s="261" t="inlineStr">
        <is>
          <t>Subscription block size (kW)</t>
        </is>
      </c>
      <c r="B99" s="417">
        <f>IFERROR(SUMIFS(RateLibrary!$J$5:$J$74,RateLibrary!$A$5:$A$74,$B$7,RateLibrary!$B$5:$B$74,$B$36),0)</f>
        <v/>
      </c>
      <c r="C99" s="418" t="inlineStr">
        <is>
          <t>From the rate library row for this utility and schedule. Zero means the library has no block size for it — not that the schedule has no blocks.</t>
        </is>
      </c>
    </row>
    <row r="100" ht="20" customHeight="1" s="252">
      <c r="A100" s="261" t="inlineStr">
        <is>
          <t>Subscription block price ($/block/month)</t>
        </is>
      </c>
      <c r="B100" s="409">
        <f>IFERROR(SUMIFS(RateLibrary!$K$5:$K$74,RateLibrary!$A$5:$A$74,$B$7,RateLibrary!$B$5:$B$74,$B$36),0)</f>
        <v/>
      </c>
      <c r="C100" s="367" t="inlineStr">
        <is>
          <t>From the same library row.</t>
        </is>
      </c>
    </row>
    <row r="101" ht="20" customHeight="1" s="252">
      <c r="A101" s="261" t="inlineStr">
        <is>
          <t>Blocks subscribed</t>
        </is>
      </c>
      <c r="B101" s="417">
        <f>IF(OR(N($B$99)=0,N($B$42)=0),0,ROUNDUP($B$42/$B$99,0))</f>
        <v/>
      </c>
      <c r="C101" s="367" t="inlineStr">
        <is>
          <t>Subscribed kW over the block size, rounded up.</t>
        </is>
      </c>
    </row>
    <row r="102" ht="32" customHeight="1" s="252">
      <c r="A102" s="261" t="inlineStr">
        <is>
          <t>Subscription cost ($/yr)</t>
        </is>
      </c>
      <c r="B102" s="409">
        <f>N($B$101)*N($B$100)*12</f>
        <v/>
      </c>
      <c r="C102" s="418" t="inlineStr">
        <is>
          <t>Blocks times the block price times twelve. This is the line that decides whether a high-capacity, low-utilisation site works.</t>
        </is>
      </c>
    </row>
    <row r="103" ht="32" customHeight="1" s="252">
      <c r="A103" s="261" t="inlineStr">
        <is>
          <t>Subscription cost basis</t>
        </is>
      </c>
      <c r="B103" s="430">
        <f>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418" t="inlineStr">
        <is>
          <t>A zero here is an absence, not a saving. The whole point of the ramp above is that it makes the subscription affordable; it cannot do that while nobody has asked what a block costs.</t>
        </is>
      </c>
    </row>
  </sheetData>
  <mergeCells count="40">
    <mergeCell ref="C83:G83"/>
    <mergeCell ref="C6:D6"/>
    <mergeCell ref="C86:G86"/>
    <mergeCell ref="C42:G42"/>
    <mergeCell ref="A49:E49"/>
    <mergeCell ref="D68:G68"/>
    <mergeCell ref="B66:C66"/>
    <mergeCell ref="C45:G45"/>
    <mergeCell ref="D67:G67"/>
    <mergeCell ref="A81:G81"/>
    <mergeCell ref="C64:D64"/>
    <mergeCell ref="C35:D35"/>
    <mergeCell ref="A58:G58"/>
    <mergeCell ref="C85:G85"/>
    <mergeCell ref="B67:C67"/>
    <mergeCell ref="C94:G94"/>
    <mergeCell ref="C99:D99"/>
    <mergeCell ref="C41:G41"/>
    <mergeCell ref="C93:G93"/>
    <mergeCell ref="A73:D73"/>
    <mergeCell ref="C40:D40"/>
    <mergeCell ref="A98:G98"/>
    <mergeCell ref="C59:D59"/>
    <mergeCell ref="C46:D46"/>
    <mergeCell ref="A70:G70"/>
    <mergeCell ref="C95:G95"/>
    <mergeCell ref="A33:E33"/>
    <mergeCell ref="C36:G36"/>
    <mergeCell ref="A90:G90"/>
    <mergeCell ref="C91:D91"/>
    <mergeCell ref="C7:G7"/>
    <mergeCell ref="B68:C68"/>
    <mergeCell ref="C82:G82"/>
    <mergeCell ref="C38:G38"/>
    <mergeCell ref="D66:G66"/>
    <mergeCell ref="A1:F1"/>
    <mergeCell ref="C37:D37"/>
    <mergeCell ref="C102:D102"/>
    <mergeCell ref="C103:E103"/>
    <mergeCell ref="C87:D87"/>
  </mergeCells>
  <dataValidations count="9">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FF2E7D5B"/>
    <outlinePr summaryBelow="1" summaryRight="1"/>
    <pageSetUpPr fitToPage="1"/>
  </sheetPr>
  <dimension ref="A1:F27"/>
  <sheetViews>
    <sheetView showFormulas="0" showGridLines="0" showRowColHeaders="1" showZeros="1" rightToLeft="0" tabSelected="0" showOutlineSymbols="1" defaultGridColor="1" view="normal" topLeftCell="A1" colorId="64" zoomScale="100" zoomScaleNormal="100" zoomScalePageLayoutView="100" workbookViewId="0">
      <pane ySplit="2" topLeftCell="A3" activePane="bottomLeft" state="frozen"/>
      <selection pane="bottomLeft" activeCell="A1" activeCellId="0" sqref="A1"/>
      <selection pane="bottomLeft" activeCell="B27" activeCellId="0" sqref="B27"/>
    </sheetView>
  </sheetViews>
  <sheetFormatPr baseColWidth="8" defaultColWidth="8.66796875" defaultRowHeight="14.25" zeroHeight="0" outlineLevelRow="0"/>
  <cols>
    <col width="43" customWidth="1" style="251" min="1" max="1"/>
    <col width="16" customWidth="1" style="251" min="2" max="2"/>
    <col width="52" customWidth="1" style="251" min="3" max="3"/>
    <col width="9" customWidth="1" style="251" min="4" max="6"/>
    <col width="9" customWidth="1" style="252" min="5" max="5"/>
    <col width="9" customWidth="1" style="252" min="6" max="6"/>
  </cols>
  <sheetData>
    <row r="1" ht="25.5" customHeight="1" s="252">
      <c r="A1" s="253" t="inlineStr">
        <is>
          <t>7 · CARBON CREDITS AND INCENTIVES</t>
        </is>
      </c>
    </row>
    <row r="2" ht="44" customHeight="1" s="252">
      <c r="A2" s="386" t="inlineStr">
        <is>
          <t>The FCI capacity credit is usually the most reliable revenue in the model. Treat its inputs accordingly.</t>
        </is>
      </c>
    </row>
    <row r="4" ht="15" customHeight="1" s="252">
      <c r="A4" s="502" t="inlineStr">
        <is>
          <t>LCFS / FCI capacity credit</t>
        </is>
      </c>
    </row>
    <row r="5" ht="15" customHeight="1" s="252">
      <c r="A5" s="261" t="inlineStr">
        <is>
          <t>Site qualifies for FCI capacity credits?</t>
        </is>
      </c>
      <c r="B5" s="262" t="inlineStr">
        <is>
          <t>Yes</t>
        </is>
      </c>
      <c r="C5" s="264" t="inlineStr">
        <is>
          <t>Yes / No / Pending</t>
        </is>
      </c>
    </row>
    <row r="6" ht="15" customHeight="1" s="252">
      <c r="A6" s="261" t="inlineStr">
        <is>
          <t>Permit clears the 1 Jan 2022 test?</t>
        </is>
      </c>
      <c r="B6" s="262" t="inlineStr">
        <is>
          <t>Yes</t>
        </is>
      </c>
      <c r="C6" s="264" t="inlineStr">
        <is>
          <t>Yes / No</t>
        </is>
      </c>
    </row>
    <row r="7" ht="15" customHeight="1" s="252">
      <c r="A7" s="261" t="inlineStr">
        <is>
          <t>Application filed?</t>
        </is>
      </c>
      <c r="B7" s="262" t="inlineStr">
        <is>
          <t>No</t>
        </is>
      </c>
      <c r="C7" s="264" t="inlineStr">
        <is>
          <t>Yes / No — with date</t>
        </is>
      </c>
    </row>
    <row r="8" ht="15" customHeight="1" s="252">
      <c r="A8" s="261" t="inlineStr">
        <is>
          <t>Registered aggregator</t>
        </is>
      </c>
      <c r="B8" s="262" t="inlineStr">
        <is>
          <t>Registered aggregator LLC</t>
        </is>
      </c>
    </row>
    <row r="9" ht="32" customHeight="1" s="252">
      <c r="A9" s="261" t="inlineStr">
        <is>
          <t>Aggregator share of credit value</t>
        </is>
      </c>
      <c r="B9" s="416" t="n">
        <v>0.05</v>
      </c>
      <c r="C9" s="386" t="inlineStr">
        <is>
          <t>Third-party administrator. Not our scope — a deduction from proceeds, disclosed as a cost.</t>
        </is>
      </c>
    </row>
    <row r="10" ht="15" customHeight="1" s="252">
      <c r="A10" s="261" t="inlineStr">
        <is>
          <t>FCI credit rate ($/kW/yr)</t>
        </is>
      </c>
      <c r="B10" s="431" t="n">
        <v>71.66670000000001</v>
      </c>
      <c r="C10" s="264" t="inlineStr">
        <is>
          <t>Confirm with the aggregator in writing</t>
        </is>
      </c>
    </row>
    <row r="11" ht="15" customHeight="1" s="252">
      <c r="A11" s="261" t="inlineStr">
        <is>
          <t>Crediting period (years)</t>
        </is>
      </c>
      <c r="B11" s="278" t="n">
        <v>10</v>
      </c>
    </row>
    <row r="12" ht="32" customHeight="1" s="252">
      <c r="A12" s="261" t="inlineStr">
        <is>
          <t>Gross capacity credit per year</t>
        </is>
      </c>
      <c r="B12" s="331">
        <f>Equipment!$B$26*B10</f>
        <v/>
      </c>
      <c r="C12" s="386" t="inlineStr">
        <is>
          <t>DC fast-charging capacity only — the FCI credit does not pay on Level 2.</t>
        </is>
      </c>
    </row>
    <row r="13" ht="15" customHeight="1" s="252">
      <c r="A13" s="261" t="inlineStr">
        <is>
          <t>Net of aggregator share, per year</t>
        </is>
      </c>
      <c r="B13" s="331">
        <f>B12*(1-B9)</f>
        <v/>
      </c>
    </row>
    <row r="14" ht="15" customHeight="1" s="252">
      <c r="A14" s="261" t="inlineStr">
        <is>
          <t>Gross across crediting period</t>
        </is>
      </c>
      <c r="B14" s="331">
        <f>B12*B11</f>
        <v/>
      </c>
    </row>
    <row r="16" ht="15" customHeight="1" s="252">
      <c r="A16" s="502" t="inlineStr">
        <is>
          <t>Consumption credits (Level 2)</t>
        </is>
      </c>
    </row>
    <row r="17" ht="15" customHeight="1" s="252">
      <c r="A17" s="261" t="inlineStr">
        <is>
          <t>L2 consumption credit ($/kWh)</t>
        </is>
      </c>
      <c r="B17" s="432" t="n">
        <v>0.0045</v>
      </c>
    </row>
    <row r="18" ht="15" customHeight="1" s="252">
      <c r="A18" s="261" t="inlineStr">
        <is>
          <t>Site-total L2 kWh per day</t>
        </is>
      </c>
      <c r="B18" s="413" t="n"/>
      <c r="C18" s="264" t="inlineStr">
        <is>
          <t>SITE total, not per port</t>
        </is>
      </c>
    </row>
    <row r="20" ht="15" customHeight="1" s="252">
      <c r="A20" s="502" t="inlineStr">
        <is>
          <t>Cap test</t>
        </is>
      </c>
    </row>
    <row r="21" ht="15" customHeight="1" s="252">
      <c r="A21" s="261" t="inlineStr">
        <is>
          <t>Cap multiple of net capex</t>
        </is>
      </c>
      <c r="B21" s="421" t="n">
        <v>1.5</v>
      </c>
      <c r="C21" s="264" t="inlineStr">
        <is>
          <t>FCI revenue stops at this multiple</t>
        </is>
      </c>
    </row>
    <row r="22" ht="15" customHeight="1" s="252">
      <c r="A22" s="261" t="inlineStr">
        <is>
          <t>Grants or rebates awarded</t>
        </is>
      </c>
      <c r="B22" s="433" t="n">
        <v>0</v>
      </c>
      <c r="C22" s="264" t="inlineStr">
        <is>
          <t>Reduces net capex and therefore the cap</t>
        </is>
      </c>
    </row>
    <row r="24" ht="15" customHeight="1" s="252">
      <c r="A24" s="502" t="inlineStr">
        <is>
          <t>Federal and state incentives</t>
        </is>
      </c>
    </row>
    <row r="25" ht="15" customHeight="1" s="252">
      <c r="A25" s="261" t="inlineStr">
        <is>
          <t>Federal ITC claimed?</t>
        </is>
      </c>
      <c r="B25" s="346" t="inlineStr">
        <is>
          <t>No</t>
        </is>
      </c>
      <c r="C25" s="264" t="inlineStr">
        <is>
          <t>Sec 30C ended for property in service after 30 Jun 2026</t>
        </is>
      </c>
    </row>
    <row r="26" ht="32" customHeight="1" s="252">
      <c r="A26" s="261" t="inlineStr">
        <is>
          <t>State programme evaluated</t>
        </is>
      </c>
      <c r="B26" s="262" t="inlineStr">
        <is>
          <t>Fast Charge California</t>
        </is>
      </c>
      <c r="C26" s="386" t="inlineStr">
        <is>
          <t>e.g. Fast Charge California — name it even if it does not qualify</t>
        </is>
      </c>
    </row>
    <row r="27" ht="20" customHeight="1" s="252">
      <c r="A27" s="261" t="inlineStr">
        <is>
          <t>State programme outcome</t>
        </is>
      </c>
      <c r="B27" s="262" t="inlineStr">
        <is>
          <t>Does not qualify</t>
        </is>
      </c>
      <c r="C27" s="386" t="inlineStr">
        <is>
          <t>Qualifies / Does not qualify / Applied — with the reason</t>
        </is>
      </c>
    </row>
  </sheetData>
  <mergeCells count="5">
    <mergeCell ref="C12:D12"/>
    <mergeCell ref="A1:F1"/>
    <mergeCell ref="C27:D27"/>
    <mergeCell ref="C9:D9"/>
    <mergeCell ref="C26:D26"/>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ySplit="2" topLeftCell="A3" activePane="bottomLeft" state="frozen"/>
      <selection pane="bottomLeft" activeCell="A1" activeCellId="0" sqref="A1"/>
      <selection pane="bottomLeft" activeCell="B31" activeCellId="0" sqref="B31"/>
    </sheetView>
  </sheetViews>
  <sheetFormatPr baseColWidth="8" defaultColWidth="8.66796875" defaultRowHeight="14.25" zeroHeight="0" outlineLevelRow="0"/>
  <cols>
    <col width="44" customWidth="1" style="251" min="1" max="1"/>
    <col width="34" customWidth="1" style="251" min="2" max="2"/>
    <col width="52" customWidth="1" style="251" min="3" max="3"/>
    <col width="9" customWidth="1" style="251" min="4" max="5"/>
    <col width="9" customWidth="1" style="252" min="5" max="5"/>
  </cols>
  <sheetData>
    <row r="1" ht="25.5" customHeight="1" s="252">
      <c r="A1" s="253" t="inlineStr">
        <is>
          <t>8 · DEAL STRUCTURE (OPTIONAL)</t>
        </is>
      </c>
    </row>
    <row r="2" ht="44" customHeight="1" s="252">
      <c r="A2" s="321" t="inlineStr">
        <is>
          <t>Leave every knob at zero for a straight sale. Fill them in only when we are trading price for a share of the upside.</t>
        </is>
      </c>
    </row>
    <row r="4" ht="20" customHeight="1" s="252">
      <c r="A4" s="261" t="inlineStr">
        <is>
          <t>•</t>
        </is>
      </c>
      <c r="B4" s="434" t="inlineStr">
        <is>
          <t>This tab is optional. Zero everywhere means a conventional sale and the model runs exactly as it does today.</t>
        </is>
      </c>
    </row>
    <row r="5" ht="32" customHeight="1" s="252">
      <c r="A5" s="261" t="inlineStr">
        <is>
          <t>•</t>
        </is>
      </c>
      <c r="B5" s="434" t="inlineStr">
        <is>
          <t>Use it when we want to lower the client's price in return for keeping part of the carbon credit or the charging revenue.</t>
        </is>
      </c>
    </row>
    <row r="6" ht="32" customHeight="1" s="252">
      <c r="A6" s="261" t="inlineStr">
        <is>
          <t>•</t>
        </is>
      </c>
      <c r="B6" s="434" t="inlineStr">
        <is>
          <t>The model reports both sides — what the client nets and what we net on the capital we put in — so a structure can be judged before it is offered.</t>
        </is>
      </c>
    </row>
    <row r="8" ht="15" customHeight="1" s="252">
      <c r="A8" s="502" t="inlineStr">
        <is>
          <t>What we keep</t>
        </is>
      </c>
    </row>
    <row r="9" ht="15" customHeight="1" s="252">
      <c r="A9" s="261" t="inlineStr">
        <is>
          <t>Structure name</t>
        </is>
      </c>
      <c r="B9" s="346" t="inlineStr">
        <is>
          <t>Carbon share test</t>
        </is>
      </c>
      <c r="C9" s="264" t="inlineStr">
        <is>
          <t>A label so a reader knows which structure this is</t>
        </is>
      </c>
    </row>
    <row r="10" ht="15" customHeight="1" s="252">
      <c r="A10" s="261" t="inlineStr">
        <is>
          <t>Our share of the net carbon credit</t>
        </is>
      </c>
      <c r="B10" s="416" t="n">
        <v>0.5</v>
      </c>
      <c r="C10" s="264" t="inlineStr">
        <is>
          <t>0% = client keeps all of it</t>
        </is>
      </c>
    </row>
    <row r="11" ht="15" customHeight="1" s="252">
      <c r="A11" s="261" t="inlineStr">
        <is>
          <t>Our share of charging revenue</t>
        </is>
      </c>
      <c r="B11" s="416" t="n">
        <v>0.1</v>
      </c>
      <c r="C11" s="264" t="inlineStr">
        <is>
          <t>0% = client keeps all of it</t>
        </is>
      </c>
    </row>
    <row r="12" ht="15" customHeight="1" s="252">
      <c r="A12" s="261" t="inlineStr">
        <is>
          <t>Revenue share is taken on</t>
        </is>
      </c>
      <c r="B12" s="346" t="inlineStr">
        <is>
          <t>Net charging profit</t>
        </is>
      </c>
      <c r="C12" s="264" t="inlineStr">
        <is>
          <t>Net charging profit / Gross revenue</t>
        </is>
      </c>
    </row>
    <row r="13" ht="15" customHeight="1" s="252">
      <c r="A13" s="261" t="inlineStr">
        <is>
          <t>Share runs for (years)</t>
        </is>
      </c>
      <c r="B13" s="435" t="n">
        <v>10</v>
      </c>
      <c r="C13" s="264" t="inlineStr">
        <is>
          <t>Cannot exceed the model horizon</t>
        </is>
      </c>
    </row>
    <row r="15" ht="15" customHeight="1" s="252">
      <c r="A15" s="502" t="inlineStr">
        <is>
          <t>What we give in return</t>
        </is>
      </c>
    </row>
    <row r="16" ht="15" customHeight="1" s="252">
      <c r="A16" s="261" t="inlineStr">
        <is>
          <t>Extra discount on charger hardware</t>
        </is>
      </c>
      <c r="B16" s="416" t="n">
        <v>0.05</v>
      </c>
      <c r="C16" s="264" t="inlineStr">
        <is>
          <t>On top of the discount already in the base price</t>
        </is>
      </c>
    </row>
    <row r="17" ht="15" customHeight="1" s="252">
      <c r="A17" s="261" t="inlineStr">
        <is>
          <t>Extra discount on electrical and construction</t>
        </is>
      </c>
      <c r="B17" s="416" t="n">
        <v>0</v>
      </c>
    </row>
    <row r="18" ht="15" customHeight="1" s="252">
      <c r="A18" s="261" t="inlineStr">
        <is>
          <t>Extra discount on service, warranty and network</t>
        </is>
      </c>
      <c r="B18" s="416" t="n">
        <v>0</v>
      </c>
    </row>
    <row r="19" ht="15" customHeight="1" s="252">
      <c r="A19" s="261" t="inlineStr">
        <is>
          <t>Direct capital contribution</t>
        </is>
      </c>
      <c r="B19" s="436" t="n">
        <v>100000</v>
      </c>
      <c r="C19" s="264" t="inlineStr">
        <is>
          <t>Cash or hardware we fund outright</t>
        </is>
      </c>
    </row>
    <row r="21" ht="15" customHeight="1" s="252">
      <c r="A21" s="502" t="inlineStr">
        <is>
          <t>Guard rails — the model will report against these</t>
        </is>
      </c>
    </row>
    <row r="22" ht="15" customHeight="1" s="252">
      <c r="A22" s="261" t="inlineStr">
        <is>
          <t>Minimum acceptable client NPV</t>
        </is>
      </c>
      <c r="B22" s="436" t="n">
        <v>0</v>
      </c>
      <c r="C22" s="264" t="inlineStr">
        <is>
          <t>Below this the structure is not worth offering</t>
        </is>
      </c>
    </row>
    <row r="23" ht="15" customHeight="1" s="252">
      <c r="A23" s="261" t="inlineStr">
        <is>
          <t>Minimum acceptable return on our capital</t>
        </is>
      </c>
      <c r="B23" s="437" t="n">
        <v>2</v>
      </c>
      <c r="C23" s="264" t="inlineStr">
        <is>
          <t>Multiple of what we contribute</t>
        </is>
      </c>
    </row>
    <row r="24" ht="15" customHeight="1" s="252">
      <c r="A24" s="261" t="inlineStr">
        <is>
          <t>Maximum capital we will contribute</t>
        </is>
      </c>
      <c r="B24" s="436" t="n">
        <v>150000</v>
      </c>
      <c r="C24" s="264" t="inlineStr">
        <is>
          <t>Hard ceiling on our exposure</t>
        </is>
      </c>
    </row>
    <row r="26" ht="15" customHeight="1" s="252">
      <c r="A26" s="502" t="inlineStr">
        <is>
          <t>Scope of supply — which lines do we provide?</t>
        </is>
      </c>
    </row>
    <row r="27" ht="32" customHeight="1" s="252">
      <c r="A27" s="396" t="inlineStr">
        <is>
          <t>Default is all of them, which is the base case. Mark a line "By others" when a third party supplies it — it leaves our contract but stays in the client's project.</t>
        </is>
      </c>
    </row>
    <row r="29" ht="15" customHeight="1" s="252">
      <c r="A29" s="266" t="inlineStr">
        <is>
          <t>Service line</t>
        </is>
      </c>
      <c r="B29" s="266" t="inlineStr">
        <is>
          <t>Who provides it</t>
        </is>
      </c>
      <c r="C29" s="266" t="inlineStr">
        <is>
          <t>Third party name</t>
        </is>
      </c>
      <c r="D29" s="266" t="inlineStr">
        <is>
          <t>Notes</t>
        </is>
      </c>
    </row>
    <row r="30" ht="15" customHeight="1" s="252">
      <c r="A30" s="387" t="inlineStr">
        <is>
          <t>Charger hardware — procurement and sale</t>
        </is>
      </c>
      <c r="B30" s="419" t="inlineStr">
        <is>
          <t>We provide</t>
        </is>
      </c>
      <c r="C30" s="262" t="n"/>
      <c r="D30" s="262" t="n"/>
    </row>
    <row r="31" ht="15" customHeight="1" s="252">
      <c r="A31" s="387" t="inlineStr">
        <is>
          <t>Extended warranty and O&amp;M service</t>
        </is>
      </c>
      <c r="B31" s="419" t="inlineStr">
        <is>
          <t>We provide</t>
        </is>
      </c>
      <c r="C31" s="262" t="n"/>
      <c r="D31" s="262" t="n"/>
    </row>
    <row r="32" ht="15" customHeight="1" s="252">
      <c r="A32" s="387" t="inlineStr">
        <is>
          <t>EVOLV platform and commissioning</t>
        </is>
      </c>
      <c r="B32" s="419" t="inlineStr">
        <is>
          <t>We provide</t>
        </is>
      </c>
      <c r="C32" s="262" t="n"/>
      <c r="D32" s="262" t="n"/>
    </row>
    <row r="33" ht="15" customHeight="1" s="252">
      <c r="A33" s="387" t="inlineStr">
        <is>
          <t>Sales tax on chargers</t>
        </is>
      </c>
      <c r="B33" s="419" t="inlineStr">
        <is>
          <t>We provide</t>
        </is>
      </c>
      <c r="C33" s="262" t="n"/>
      <c r="D33" s="262" t="n"/>
    </row>
    <row r="34" ht="15" customHeight="1" s="252">
      <c r="A34" s="387" t="inlineStr">
        <is>
          <t>Design and engineering</t>
        </is>
      </c>
      <c r="B34" s="419" t="inlineStr">
        <is>
          <t>By others</t>
        </is>
      </c>
      <c r="C34" s="262" t="n"/>
      <c r="D34" s="262" t="n"/>
    </row>
    <row r="35" ht="32" customHeight="1" s="252">
      <c r="A35" s="438" t="inlineStr">
        <is>
          <t>Construction — all-inclusive (materials, equipment, labour)</t>
        </is>
      </c>
      <c r="B35" s="419" t="inlineStr">
        <is>
          <t>We provide</t>
        </is>
      </c>
      <c r="C35" s="262" t="n"/>
      <c r="D35" s="262" t="n"/>
    </row>
    <row r="36" ht="15" customHeight="1" s="252">
      <c r="A36" s="387" t="inlineStr">
        <is>
          <t>Utility interconnection management</t>
        </is>
      </c>
      <c r="B36" s="419" t="inlineStr">
        <is>
          <t>We provide</t>
        </is>
      </c>
      <c r="C36" s="262" t="n"/>
      <c r="D36" s="262" t="n"/>
    </row>
    <row r="37" ht="20" customHeight="1" s="252">
      <c r="A37" s="396" t="inlineStr">
        <is>
          <t>Carbon credit administration is NOT one of our lines — a third-party aggregator takes a share of proceeds. See 7_Carbon.</t>
        </is>
      </c>
    </row>
    <row r="38" ht="32" customHeight="1" s="252">
      <c r="B38" s="396" t="inlineStr">
        <is>
          <t>Handing a line to a third party removes its price and its margin. The model shows what each one is worth before you offer it.</t>
        </is>
      </c>
    </row>
    <row r="40" ht="15" customHeight="1" s="252">
      <c r="A40" s="502" t="inlineStr">
        <is>
          <t>Financing basis</t>
        </is>
      </c>
    </row>
    <row r="41" ht="15" customHeight="1" s="252">
      <c r="A41" s="261" t="inlineStr">
        <is>
          <t>Client finances</t>
        </is>
      </c>
      <c r="B41" s="419" t="inlineStr">
        <is>
          <t>Whole project</t>
        </is>
      </c>
      <c r="C41" s="264" t="inlineStr">
        <is>
          <t>Whether the facility covers third-party scope too</t>
        </is>
      </c>
    </row>
  </sheetData>
  <mergeCells count="7">
    <mergeCell ref="A37:D37"/>
    <mergeCell ref="B4:E4"/>
    <mergeCell ref="B6:E6"/>
    <mergeCell ref="B38:E38"/>
    <mergeCell ref="A1:E1"/>
    <mergeCell ref="B5:E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filterMode="0">
    <tabColor rgb="FF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ySplit="8" topLeftCell="A9" activePane="bottomLeft" state="frozen"/>
      <selection pane="bottomLeft" activeCell="A1" activeCellId="0" sqref="A1"/>
      <selection pane="bottomLeft" activeCell="D15" activeCellId="0" sqref="D15"/>
    </sheetView>
  </sheetViews>
  <sheetFormatPr baseColWidth="8" defaultColWidth="8.66796875" defaultRowHeight="14.25" zeroHeight="0" outlineLevelRow="0"/>
  <cols>
    <col width="44" customWidth="1" style="251" min="1" max="1"/>
    <col width="34" customWidth="1" style="251" min="2" max="3"/>
    <col width="9" customWidth="1" style="252" min="3" max="3"/>
    <col width="34" customWidth="1" style="251" min="4" max="4"/>
  </cols>
  <sheetData>
    <row r="1" ht="25.5" customHeight="1" s="252">
      <c r="A1" s="253" t="inlineStr">
        <is>
          <t>9 · OVERRIDE REGISTER</t>
        </is>
      </c>
    </row>
    <row r="2" ht="32" customHeight="1" s="252">
      <c r="A2" s="386" t="inlineStr">
        <is>
          <t>The escape hatch. Force any derived value here when you know better than the engine — a quote, a fee schedule, a field measurement.</t>
        </is>
      </c>
    </row>
    <row r="4" ht="32" customHeight="1" s="252">
      <c r="A4" s="261" t="inlineStr">
        <is>
          <t>•</t>
        </is>
      </c>
      <c r="B4" s="434" t="inlineStr">
        <is>
          <t>Leave a row blank and the engine uses its own computed number. Fill it in and the engine uses yours, everywhere.</t>
        </is>
      </c>
    </row>
    <row r="5" ht="32" customHeight="1" s="252">
      <c r="A5" s="261" t="inlineStr">
        <is>
          <t>•</t>
        </is>
      </c>
      <c r="B5" s="434" t="inlineStr">
        <is>
          <t>Every override is reported on the model summary, so a reviewer can always see that the model was touched and exactly where.</t>
        </is>
      </c>
    </row>
    <row r="6" ht="32" customHeight="1" s="252">
      <c r="A6" s="261" t="inlineStr">
        <is>
          <t>•</t>
        </is>
      </c>
      <c r="B6" s="434" t="inlineStr">
        <is>
          <t>Put the reason in the last column. An override with no reason is indistinguishable from a typo six months later.</t>
        </is>
      </c>
    </row>
    <row r="8" ht="32" customHeight="1" s="252">
      <c r="A8" s="271" t="inlineStr">
        <is>
          <t>Value</t>
        </is>
      </c>
      <c r="B8" s="271" t="inlineStr">
        <is>
          <t>Override</t>
        </is>
      </c>
      <c r="C8" s="270" t="inlineStr">
        <is>
          <t>Units</t>
        </is>
      </c>
      <c r="D8" s="270" t="inlineStr">
        <is>
          <t>Why — quote, fee schedule, measurement</t>
        </is>
      </c>
    </row>
    <row r="9" ht="15" customHeight="1" s="252">
      <c r="A9" s="387" t="inlineStr">
        <is>
          <t>Wires, conduits and peripherals (before uplift)</t>
        </is>
      </c>
      <c r="B9" s="370" t="n"/>
      <c r="C9" s="439" t="inlineStr">
        <is>
          <t>$</t>
        </is>
      </c>
      <c r="D9" s="262" t="n"/>
    </row>
    <row r="10" ht="56" customHeight="1" s="252">
      <c r="A10" s="387" t="inlineStr">
        <is>
          <t>Switchgear and distribution (before uplift)</t>
        </is>
      </c>
      <c r="B10" s="370" t="n">
        <v>150000</v>
      </c>
      <c r="C10" s="439" t="inlineStr">
        <is>
          <t>$</t>
        </is>
      </c>
      <c r="D10" s="440" t="inlineStr">
        <is>
          <t>Vendor quote for the switchboard</t>
        </is>
      </c>
    </row>
    <row r="11" ht="15" customHeight="1" s="252">
      <c r="A11" s="387" t="inlineStr">
        <is>
          <t>Site works (before uplift)</t>
        </is>
      </c>
      <c r="B11" s="370" t="n"/>
      <c r="C11" s="439" t="inlineStr">
        <is>
          <t>$</t>
        </is>
      </c>
      <c r="D11" s="262" t="n"/>
    </row>
    <row r="12" ht="15" customHeight="1" s="252">
      <c r="A12" s="387" t="inlineStr">
        <is>
          <t>Dump, waste and freight (before uplift)</t>
        </is>
      </c>
      <c r="B12" s="370" t="n"/>
      <c r="C12" s="439" t="inlineStr">
        <is>
          <t>$</t>
        </is>
      </c>
      <c r="D12" s="262" t="n"/>
    </row>
    <row r="13" ht="15" customHeight="1" s="252">
      <c r="A13" s="387" t="inlineStr">
        <is>
          <t>Permits and plan check (before uplift)</t>
        </is>
      </c>
      <c r="B13" s="370" t="n"/>
      <c r="C13" s="439" t="inlineStr">
        <is>
          <t>$</t>
        </is>
      </c>
      <c r="D13" s="262" t="n"/>
    </row>
    <row r="14" ht="15" customHeight="1" s="252">
      <c r="A14" s="387" t="inlineStr">
        <is>
          <t>Utility application and contract fees (before uplift)</t>
        </is>
      </c>
      <c r="B14" s="370" t="n"/>
      <c r="C14" s="439" t="inlineStr">
        <is>
          <t>$</t>
        </is>
      </c>
      <c r="D14" s="262" t="n"/>
    </row>
    <row r="15" ht="15" customHeight="1" s="252">
      <c r="A15" s="387" t="inlineStr">
        <is>
          <t>Construction equipment rentals (before uplift)</t>
        </is>
      </c>
      <c r="B15" s="370" t="n"/>
      <c r="C15" s="439" t="inlineStr">
        <is>
          <t>$</t>
        </is>
      </c>
      <c r="D15" s="262" t="n"/>
    </row>
    <row r="16" ht="15" customHeight="1" s="252">
      <c r="A16" s="387" t="inlineStr">
        <is>
          <t>Design and engineering</t>
        </is>
      </c>
      <c r="B16" s="370" t="n"/>
      <c r="C16" s="439" t="inlineStr">
        <is>
          <t>$</t>
        </is>
      </c>
      <c r="D16" s="262" t="n"/>
    </row>
    <row r="17" ht="56" customHeight="1" s="252">
      <c r="A17" s="387" t="inlineStr">
        <is>
          <t>Rule 15/16 customer contribution (if triggered)</t>
        </is>
      </c>
      <c r="B17" s="370" t="n"/>
      <c r="C17" s="439" t="inlineStr">
        <is>
          <t>$</t>
        </is>
      </c>
      <c r="D17" s="441" t="inlineStr">
        <is>
          <t>Leave blank and it is excluded by name in the proposal. Fill it in only when PG&amp;E returns a design that requires it.</t>
        </is>
      </c>
    </row>
    <row r="18" ht="15" customHeight="1" s="252">
      <c r="A18" s="387" t="inlineStr">
        <is>
          <t>Additional or unforeseen scope</t>
        </is>
      </c>
      <c r="B18" s="370" t="n"/>
      <c r="C18" s="439" t="inlineStr">
        <is>
          <t>$</t>
        </is>
      </c>
      <c r="D18" s="262" t="n"/>
    </row>
    <row r="19" ht="15" customHeight="1" s="252">
      <c r="A19" s="387" t="inlineStr">
        <is>
          <t>Standard frame (A)</t>
        </is>
      </c>
      <c r="B19" s="280" t="n">
        <v>3200</v>
      </c>
      <c r="C19" s="439" t="inlineStr">
        <is>
          <t>amps</t>
        </is>
      </c>
      <c r="D19" s="262" t="inlineStr">
        <is>
          <t>Engineer's single line</t>
        </is>
      </c>
    </row>
    <row r="20" ht="15" customHeight="1" s="252">
      <c r="A20" s="387" t="inlineStr">
        <is>
          <t>Branch breaker per cabinet (A)</t>
        </is>
      </c>
      <c r="B20" s="280" t="n"/>
      <c r="C20" s="439" t="inlineStr">
        <is>
          <t>amps</t>
        </is>
      </c>
      <c r="D20" s="262" t="n"/>
    </row>
    <row r="21" ht="15" customHeight="1" s="252">
      <c r="A21" s="387" t="inlineStr">
        <is>
          <t>Crew days on site</t>
        </is>
      </c>
      <c r="B21" s="280" t="n"/>
      <c r="C21" s="439" t="inlineStr">
        <is>
          <t>days</t>
        </is>
      </c>
      <c r="D21" s="262" t="n"/>
    </row>
    <row r="22" ht="15" customHeight="1" s="252">
      <c r="A22" s="387" t="inlineStr">
        <is>
          <t>Steady-state kWh per day</t>
        </is>
      </c>
      <c r="B22" s="280" t="n">
        <v>1400</v>
      </c>
      <c r="C22" s="439" t="inlineStr">
        <is>
          <t>kWh</t>
        </is>
      </c>
      <c r="D22" s="262" t="inlineStr">
        <is>
          <t>Traffic study, Aug 2026</t>
        </is>
      </c>
    </row>
    <row r="23" ht="15" customHeight="1" s="252">
      <c r="A23" s="387" t="inlineStr">
        <is>
          <t>Gross capacity credit per year</t>
        </is>
      </c>
      <c r="B23" s="370" t="n"/>
      <c r="C23" s="439" t="inlineStr">
        <is>
          <t>$</t>
        </is>
      </c>
      <c r="D23" s="262" t="n"/>
    </row>
    <row r="24" ht="15" customHeight="1" s="252">
      <c r="A24" s="387" t="inlineStr">
        <is>
          <t>Monthly loan payment</t>
        </is>
      </c>
      <c r="B24" s="370" t="n"/>
      <c r="C24" s="439" t="inlineStr">
        <is>
          <t>$</t>
        </is>
      </c>
      <c r="D24" s="262" t="n"/>
    </row>
    <row r="25" ht="15" customHeight="1" s="252">
      <c r="A25" s="387" t="inlineStr">
        <is>
          <t>Hardware MSRP each</t>
        </is>
      </c>
      <c r="B25" s="370" t="n"/>
      <c r="C25" s="439" t="inlineStr">
        <is>
          <t>$</t>
        </is>
      </c>
      <c r="D25" s="262" t="n"/>
    </row>
    <row r="26" ht="15" customHeight="1" s="252">
      <c r="A26" s="387" t="inlineStr">
        <is>
          <t>Retail price to driver</t>
        </is>
      </c>
      <c r="B26" s="413" t="n">
        <v>0.62</v>
      </c>
      <c r="C26" s="439" t="inlineStr">
        <is>
          <t>$/kWh</t>
        </is>
      </c>
      <c r="D26" s="262" t="inlineStr">
        <is>
          <t>Pricing committee</t>
        </is>
      </c>
    </row>
    <row r="27" ht="15" customHeight="1" s="252">
      <c r="A27" s="387" t="inlineStr">
        <is>
          <t>Delivered energy cost</t>
        </is>
      </c>
      <c r="B27" s="413" t="n"/>
      <c r="C27" s="439" t="inlineStr">
        <is>
          <t>$/kWh</t>
        </is>
      </c>
      <c r="D27" s="262" t="n"/>
    </row>
    <row r="28" ht="15" customHeight="1" s="252">
      <c r="A28" s="387" t="inlineStr">
        <is>
          <t>Utility demand / subscription</t>
        </is>
      </c>
      <c r="B28" s="413" t="n"/>
      <c r="C28" s="439" t="inlineStr">
        <is>
          <t>$/yr</t>
        </is>
      </c>
      <c r="D28" s="262" t="n"/>
    </row>
  </sheetData>
  <mergeCells count="5">
    <mergeCell ref="A1:D1"/>
    <mergeCell ref="B5:D5"/>
    <mergeCell ref="B4:D4"/>
    <mergeCell ref="A2:D2"/>
    <mergeCell ref="B6:D6"/>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3.xml><?xml version="1.0" encoding="utf-8"?>
<worksheet xmlns="http://schemas.openxmlformats.org/spreadsheetml/2006/main">
  <sheetPr filterMode="0">
    <outlinePr summaryBelow="1" summaryRight="1"/>
    <pageSetUpPr fitToPage="1"/>
  </sheetPr>
  <dimension ref="A1:AG124"/>
  <sheetViews>
    <sheetView showFormulas="0" showGridLines="0" showRowColHeaders="1" showZeros="1" rightToLeft="0" tabSelected="0" showOutlineSymbols="1" defaultGridColor="1" view="normal" topLeftCell="B1" colorId="64" zoomScale="100" zoomScaleNormal="100" zoomScalePageLayoutView="100" workbookViewId="0">
      <pane ySplit="2" topLeftCell="A3" activePane="bottomLeft" state="frozen"/>
      <selection pane="bottomLeft" activeCell="B1" activeCellId="0" sqref="B1"/>
      <selection pane="bottomLeft" activeCell="A110" activeCellId="0" sqref="A110"/>
    </sheetView>
  </sheetViews>
  <sheetFormatPr baseColWidth="8" defaultColWidth="8.66796875" defaultRowHeight="14.25" zeroHeight="0" outlineLevelRow="0"/>
  <cols>
    <col width="44" customWidth="1" style="251" min="1" max="1"/>
    <col width="34" customWidth="1" style="251" min="2" max="2"/>
    <col width="52" customWidth="1" style="251" min="3" max="3"/>
    <col width="20.66" customWidth="1" style="251" min="4" max="4"/>
    <col width="30" customWidth="1" style="442" min="5" max="5"/>
    <col width="26" customWidth="1" style="442" min="6" max="6"/>
    <col width="22" customWidth="1" style="251" min="7" max="7"/>
    <col width="9" customWidth="1" style="251" min="8" max="8"/>
    <col width="34" customWidth="1" style="251" min="9" max="9"/>
    <col width="57" customWidth="1" style="251" min="10" max="10"/>
    <col width="34" customWidth="1" style="251" min="11" max="21"/>
    <col width="13" customWidth="1" style="252" min="12" max="12"/>
    <col width="19" customWidth="1" style="252" min="13" max="13"/>
    <col width="24" customWidth="1" style="252" min="14" max="14"/>
    <col width="20" customWidth="1" style="252" min="15" max="15"/>
    <col width="25" customWidth="1" style="252" min="16" max="16"/>
    <col width="20" customWidth="1" style="252" min="17" max="17"/>
    <col width="20" customWidth="1" style="252" min="18" max="18"/>
    <col width="19" customWidth="1" style="252" min="19" max="19"/>
    <col width="24" customWidth="1" style="252" min="20" max="20"/>
    <col width="20" customWidth="1" style="252" min="21" max="21"/>
    <col width="9" customWidth="1" style="251" min="22" max="22"/>
    <col width="20" customWidth="1" style="251" min="23" max="23"/>
    <col width="13" customWidth="1" style="251" min="24" max="25"/>
    <col width="13" customWidth="1" style="252" min="25" max="25"/>
    <col width="9" customWidth="1" style="251" min="26" max="29"/>
    <col width="9" customWidth="1" style="252" min="27" max="27"/>
    <col width="9" customWidth="1" style="252" min="28" max="28"/>
    <col width="9" customWidth="1" style="252" min="29" max="29"/>
    <col width="25" customWidth="1" style="251" min="30" max="30"/>
    <col width="13" customWidth="1" style="251" min="31" max="31"/>
    <col width="9" customWidth="1" style="251" min="32" max="32"/>
    <col width="24" customWidth="1" style="251" min="33" max="33"/>
  </cols>
  <sheetData>
    <row r="1" ht="32" customHeight="1" s="252">
      <c r="A1" s="443" t="inlineStr">
        <is>
          <t>Category</t>
        </is>
      </c>
      <c r="B1" s="402" t="n"/>
      <c r="C1" s="402" t="n"/>
      <c r="D1" s="402" t="n"/>
      <c r="E1" s="402" t="n"/>
      <c r="F1" s="403" t="n"/>
      <c r="I1" s="358" t="inlineStr">
        <is>
          <t>CONNECTORS</t>
        </is>
      </c>
      <c r="J1" s="358" t="inlineStr">
        <is>
          <t>HOW THE COUNT WAS DECIDED</t>
        </is>
      </c>
      <c r="K1" s="444" t="inlineStr">
        <is>
          <t>SKU INDEX — built from the categories above; the capacity dropdown on 2_Equipment resolves against these columns</t>
        </is>
      </c>
    </row>
    <row r="2" ht="20" customHeight="1" s="252">
      <c r="A2" s="261" t="inlineStr">
        <is>
          <t>_L2</t>
        </is>
      </c>
      <c r="B2" s="261" t="inlineStr">
        <is>
          <t>CTX-R40-240-1</t>
        </is>
      </c>
      <c r="C2" s="261" t="inlineStr">
        <is>
          <t>40A Single Home Charger</t>
        </is>
      </c>
      <c r="D2" s="445" t="n">
        <v>605</v>
      </c>
      <c r="E2" s="446" t="n"/>
      <c r="F2" s="447" t="n"/>
      <c r="I2" s="448" t="n">
        <v>1</v>
      </c>
      <c r="J2" s="449" t="inlineStr">
        <is>
          <t>description says Single</t>
        </is>
      </c>
      <c r="K2" s="450" t="inlineStr">
        <is>
          <t>Level 2 AC</t>
        </is>
      </c>
      <c r="L2" s="451" t="inlineStr">
        <is>
          <t>30 kW DC</t>
        </is>
      </c>
      <c r="M2" s="451" t="inlineStr">
        <is>
          <t>60 kW DC</t>
        </is>
      </c>
      <c r="N2" s="451" t="inlineStr">
        <is>
          <t>120 kW DC</t>
        </is>
      </c>
      <c r="O2" s="451" t="inlineStr">
        <is>
          <t>160 kW DC</t>
        </is>
      </c>
      <c r="P2" s="451" t="inlineStr">
        <is>
          <t>180 kW DC</t>
        </is>
      </c>
      <c r="Q2" s="451" t="inlineStr">
        <is>
          <t>240 kW DC</t>
        </is>
      </c>
      <c r="R2" s="451" t="inlineStr">
        <is>
          <t>360 kW DC</t>
        </is>
      </c>
      <c r="S2" s="451" t="inlineStr">
        <is>
          <t>V2G</t>
        </is>
      </c>
      <c r="T2" s="451" t="inlineStr">
        <is>
          <t>Distributed system</t>
        </is>
      </c>
      <c r="U2" s="451" t="inlineStr">
        <is>
          <t>Accessory</t>
        </is>
      </c>
      <c r="W2" s="452" t="inlineStr">
        <is>
          <t>CAPACITY</t>
        </is>
      </c>
      <c r="X2" s="452" t="inlineStr">
        <is>
          <t>RATED kW</t>
        </is>
      </c>
      <c r="Y2" s="452" t="inlineStr">
        <is>
          <t>PER PORT</t>
        </is>
      </c>
      <c r="AD2" s="452" t="inlineStr">
        <is>
          <t>ROLE BY SKU</t>
        </is>
      </c>
      <c r="AE2" s="452" t="inlineStr">
        <is>
          <t>ROLE</t>
        </is>
      </c>
      <c r="AG2" s="453" t="inlineStr">
        <is>
          <t>DISPENSERS</t>
        </is>
      </c>
    </row>
    <row r="3" ht="15" customHeight="1" s="252">
      <c r="A3" s="261" t="inlineStr">
        <is>
          <t>_L2</t>
        </is>
      </c>
      <c r="B3" s="261" t="inlineStr">
        <is>
          <t>CTX-R48-240-1</t>
        </is>
      </c>
      <c r="C3" s="261" t="inlineStr">
        <is>
          <t>48A Single Home Charger</t>
        </is>
      </c>
      <c r="D3" s="445" t="n">
        <v>605</v>
      </c>
      <c r="E3" s="446" t="n"/>
      <c r="F3" s="447" t="n"/>
      <c r="I3" s="448" t="n">
        <v>1</v>
      </c>
      <c r="J3" s="449" t="inlineStr">
        <is>
          <t>description says Single</t>
        </is>
      </c>
      <c r="K3" s="454" t="inlineStr">
        <is>
          <t>CTX-R40-240-1</t>
        </is>
      </c>
      <c r="L3" s="454" t="inlineStr">
        <is>
          <t>TP5-30-480-1</t>
        </is>
      </c>
      <c r="M3" s="454" t="inlineStr">
        <is>
          <t>TP5-60-480-1</t>
        </is>
      </c>
      <c r="N3" s="454" t="inlineStr">
        <is>
          <t>TP5-120-480-1</t>
        </is>
      </c>
      <c r="O3" s="454" t="inlineStr">
        <is>
          <t>TP5-160-480-1</t>
        </is>
      </c>
      <c r="P3" s="454" t="inlineStr">
        <is>
          <t>TP5-180-480-1</t>
        </is>
      </c>
      <c r="Q3" s="454" t="inlineStr">
        <is>
          <t>TP5-240-480-2-300</t>
        </is>
      </c>
      <c r="R3" s="454" t="inlineStr">
        <is>
          <t>TP5-360-480-1-300</t>
        </is>
      </c>
      <c r="S3" s="454" t="inlineStr">
        <is>
          <t>CTX-V2G-20-480-1</t>
        </is>
      </c>
      <c r="T3" s="454" t="inlineStr">
        <is>
          <t>CTX-DSPB-360</t>
        </is>
      </c>
      <c r="U3" s="454" t="inlineStr">
        <is>
          <t>CTX-FLUXPED</t>
        </is>
      </c>
      <c r="W3" s="274" t="inlineStr">
        <is>
          <t>Level 2 AC</t>
        </is>
      </c>
      <c r="X3" s="448" t="n">
        <v>7.2</v>
      </c>
      <c r="Y3" s="448" t="n">
        <v>1</v>
      </c>
      <c r="AD3" s="455" t="inlineStr">
        <is>
          <t>CTX-R40-240-1</t>
        </is>
      </c>
      <c r="AE3" s="456" t="inlineStr">
        <is>
          <t>level_2</t>
        </is>
      </c>
      <c r="AG3" s="457" t="inlineStr">
        <is>
          <t>CTX-DST-2-300</t>
        </is>
      </c>
    </row>
    <row r="4" ht="15" customHeight="1" s="252">
      <c r="A4" s="261" t="inlineStr">
        <is>
          <t>_L2</t>
        </is>
      </c>
      <c r="B4" s="261" t="inlineStr">
        <is>
          <t>CTX-C32-240-1</t>
        </is>
      </c>
      <c r="C4" s="261" t="inlineStr">
        <is>
          <t>32A Single Commercial L2 Charger</t>
        </is>
      </c>
      <c r="D4" s="445" t="n">
        <v>1402.5</v>
      </c>
      <c r="E4" s="446" t="n"/>
      <c r="F4" s="447" t="n"/>
      <c r="I4" s="448" t="n">
        <v>1</v>
      </c>
      <c r="J4" s="449" t="inlineStr">
        <is>
          <t>description says Single</t>
        </is>
      </c>
      <c r="K4" s="454" t="inlineStr">
        <is>
          <t>CTX-R48-240-1</t>
        </is>
      </c>
      <c r="L4" s="454" t="inlineStr">
        <is>
          <t>TP5-30-480-3</t>
        </is>
      </c>
      <c r="M4" s="454" t="inlineStr">
        <is>
          <t>TP5-60-480-2</t>
        </is>
      </c>
      <c r="N4" s="454" t="inlineStr">
        <is>
          <t>TP5-120-480-2</t>
        </is>
      </c>
      <c r="O4" s="454" t="inlineStr">
        <is>
          <t>TP5-160-480-2</t>
        </is>
      </c>
      <c r="P4" s="454" t="inlineStr">
        <is>
          <t>TP5-180-480-2</t>
        </is>
      </c>
      <c r="Q4" s="454" t="inlineStr">
        <is>
          <t>TP5-240-480-2-400</t>
        </is>
      </c>
      <c r="R4" s="454" t="inlineStr">
        <is>
          <t>TP5-360-480-2-300</t>
        </is>
      </c>
      <c r="S4" s="454" t="inlineStr">
        <is>
          <t>CTX-V2G-30-480-1</t>
        </is>
      </c>
      <c r="T4" s="454" t="inlineStr">
        <is>
          <t>CTX-DSPB-480</t>
        </is>
      </c>
      <c r="U4" s="454" t="inlineStr">
        <is>
          <t>CTX-FLUXWAL-CMS-1</t>
        </is>
      </c>
      <c r="W4" s="274" t="inlineStr">
        <is>
          <t>30 kW DC</t>
        </is>
      </c>
      <c r="X4" s="448" t="n">
        <v>30</v>
      </c>
      <c r="Y4" s="448" t="n">
        <v>0</v>
      </c>
      <c r="AD4" s="455" t="inlineStr">
        <is>
          <t>CTX-R48-240-1</t>
        </is>
      </c>
      <c r="AE4" s="456" t="inlineStr">
        <is>
          <t>level_2</t>
        </is>
      </c>
      <c r="AG4" s="457" t="inlineStr">
        <is>
          <t>CTX-DST-HPC-2-500/300</t>
        </is>
      </c>
    </row>
    <row r="5" ht="15" customHeight="1" s="252">
      <c r="A5" s="261" t="inlineStr">
        <is>
          <t>_L2</t>
        </is>
      </c>
      <c r="B5" s="261" t="inlineStr">
        <is>
          <t>CTX-C48-240-1</t>
        </is>
      </c>
      <c r="C5" s="261" t="inlineStr">
        <is>
          <t>48A Single Commercial L2 Charger (18' Cable with Modem)</t>
        </is>
      </c>
      <c r="D5" s="445" t="n">
        <v>1402.5</v>
      </c>
      <c r="E5" s="446" t="n"/>
      <c r="F5" s="447" t="n"/>
      <c r="I5" s="448" t="n">
        <v>1</v>
      </c>
      <c r="J5" s="449" t="inlineStr">
        <is>
          <t>description says Single</t>
        </is>
      </c>
      <c r="K5" s="454" t="inlineStr">
        <is>
          <t>CTX-C32-240-1</t>
        </is>
      </c>
      <c r="M5" s="454" t="inlineStr">
        <is>
          <t>TP5-60-480-3</t>
        </is>
      </c>
      <c r="N5" s="454" t="inlineStr">
        <is>
          <t>TP5-120-480-2-300</t>
        </is>
      </c>
      <c r="O5" s="454" t="inlineStr">
        <is>
          <t>TP5-160-480-3</t>
        </is>
      </c>
      <c r="P5" s="454" t="inlineStr">
        <is>
          <t>TP5-180-480-2-300</t>
        </is>
      </c>
      <c r="Q5" s="454" t="inlineStr">
        <is>
          <t>HPC-240-480-1</t>
        </is>
      </c>
      <c r="R5" s="454" t="inlineStr">
        <is>
          <t>TP5-360-480-3-300</t>
        </is>
      </c>
      <c r="S5" s="454" t="inlineStr">
        <is>
          <t>CTX-V2G-40-480-1</t>
        </is>
      </c>
      <c r="T5" s="454" t="inlineStr">
        <is>
          <t>CTX-DSPB-1280</t>
        </is>
      </c>
      <c r="U5" s="454" t="inlineStr">
        <is>
          <t>CTX-FLUXPED-CMS-1</t>
        </is>
      </c>
      <c r="W5" s="274" t="inlineStr">
        <is>
          <t>60 kW DC</t>
        </is>
      </c>
      <c r="X5" s="448" t="n">
        <v>60</v>
      </c>
      <c r="Y5" s="448" t="n">
        <v>0</v>
      </c>
      <c r="AD5" s="455" t="inlineStr">
        <is>
          <t>CTX-C32-240-1</t>
        </is>
      </c>
      <c r="AE5" s="456" t="inlineStr">
        <is>
          <t>level_2</t>
        </is>
      </c>
    </row>
    <row r="6" ht="15" customHeight="1" s="252">
      <c r="A6" s="261" t="inlineStr">
        <is>
          <t>_L2</t>
        </is>
      </c>
      <c r="B6" s="261" t="inlineStr">
        <is>
          <t>CTX-C80-240-1</t>
        </is>
      </c>
      <c r="C6" s="261" t="inlineStr">
        <is>
          <t>80A Single Commercial L2 Charger (18' Cable with Modem)</t>
        </is>
      </c>
      <c r="D6" s="445" t="n">
        <v>1650</v>
      </c>
      <c r="E6" s="446" t="n"/>
      <c r="F6" s="447" t="n"/>
      <c r="I6" s="448" t="n">
        <v>1</v>
      </c>
      <c r="J6" s="449" t="inlineStr">
        <is>
          <t>description says Single</t>
        </is>
      </c>
      <c r="K6" s="454" t="inlineStr">
        <is>
          <t>CTX-C48-240-1</t>
        </is>
      </c>
      <c r="M6" s="454" t="inlineStr">
        <is>
          <t>TP5-60-480-4</t>
        </is>
      </c>
      <c r="N6" s="454" t="inlineStr">
        <is>
          <t>TP5-120-480-3-300</t>
        </is>
      </c>
      <c r="O6" s="454" t="inlineStr">
        <is>
          <t>TP5-160-480-2-300</t>
        </is>
      </c>
      <c r="P6" s="454" t="inlineStr">
        <is>
          <t>TP5-180-480-3-300</t>
        </is>
      </c>
      <c r="Q6" s="454" t="inlineStr">
        <is>
          <t>HPC-240-480-2</t>
        </is>
      </c>
      <c r="R6" s="454" t="inlineStr">
        <is>
          <t>TP5-360-480-4-300</t>
        </is>
      </c>
      <c r="S6" s="454" t="inlineStr">
        <is>
          <t>CTX-V2G-60-480-1</t>
        </is>
      </c>
      <c r="T6" s="454" t="inlineStr">
        <is>
          <t>CTX-DST-2-300</t>
        </is>
      </c>
      <c r="U6" s="454" t="inlineStr">
        <is>
          <t>CTX-FLUXPED-CMS-2</t>
        </is>
      </c>
      <c r="W6" s="274" t="inlineStr">
        <is>
          <t>120 kW DC</t>
        </is>
      </c>
      <c r="X6" s="448" t="n">
        <v>120</v>
      </c>
      <c r="Y6" s="448" t="n">
        <v>0</v>
      </c>
      <c r="AD6" s="455" t="inlineStr">
        <is>
          <t>CTX-C48-240-1</t>
        </is>
      </c>
      <c r="AE6" s="456" t="inlineStr">
        <is>
          <t>level_2</t>
        </is>
      </c>
    </row>
    <row r="7" ht="15" customHeight="1" s="252">
      <c r="A7" s="261" t="inlineStr">
        <is>
          <t>_L2</t>
        </is>
      </c>
      <c r="B7" s="261" t="inlineStr">
        <is>
          <t>CTX-C40-240-2</t>
        </is>
      </c>
      <c r="C7" s="261" t="inlineStr">
        <is>
          <t>40A Dual Commercial L2 Charger (18' Cable with Modem)</t>
        </is>
      </c>
      <c r="D7" s="445" t="n">
        <v>1952.5</v>
      </c>
      <c r="E7" s="446" t="n"/>
      <c r="F7" s="447" t="n"/>
      <c r="I7" s="448" t="n">
        <v>2</v>
      </c>
      <c r="J7" s="449" t="inlineStr">
        <is>
          <t>description says Dual</t>
        </is>
      </c>
      <c r="K7" s="454" t="inlineStr">
        <is>
          <t>CTX-C80-240-1</t>
        </is>
      </c>
      <c r="M7" s="454" t="inlineStr">
        <is>
          <t>CTX-AiO-60-2-200</t>
        </is>
      </c>
      <c r="N7" s="454" t="inlineStr">
        <is>
          <t>CTX-AiO-120-2-350</t>
        </is>
      </c>
      <c r="O7" s="454" t="inlineStr">
        <is>
          <t>HPC-160-480-1</t>
        </is>
      </c>
      <c r="P7" s="454" t="inlineStr">
        <is>
          <t>TP5-180-480-2-300-CL20</t>
        </is>
      </c>
      <c r="Q7" s="454" t="inlineStr">
        <is>
          <t>CTX-AiO-240-2-300</t>
        </is>
      </c>
      <c r="R7" s="454" t="inlineStr">
        <is>
          <t>HPC-360-480-1</t>
        </is>
      </c>
      <c r="T7" s="454" t="inlineStr">
        <is>
          <t>CTX-DST-HPC-2-500/300</t>
        </is>
      </c>
      <c r="U7" s="454" t="inlineStr">
        <is>
          <t>CTX-FLUXPED-SBS</t>
        </is>
      </c>
      <c r="W7" s="274" t="inlineStr">
        <is>
          <t>160 kW DC</t>
        </is>
      </c>
      <c r="X7" s="448" t="n">
        <v>160</v>
      </c>
      <c r="Y7" s="448" t="n">
        <v>0</v>
      </c>
      <c r="AD7" s="455" t="inlineStr">
        <is>
          <t>CTX-C80-240-1</t>
        </is>
      </c>
      <c r="AE7" s="456" t="inlineStr">
        <is>
          <t>level_2</t>
        </is>
      </c>
    </row>
    <row r="8" ht="15" customHeight="1" s="252">
      <c r="A8" s="261" t="inlineStr">
        <is>
          <t>_L2</t>
        </is>
      </c>
      <c r="B8" s="261" t="inlineStr">
        <is>
          <t>CTX-C80-240-2</t>
        </is>
      </c>
      <c r="C8" s="261" t="inlineStr">
        <is>
          <t>80A Dual Commercial L2 Charger (18' Cable with Modem)</t>
        </is>
      </c>
      <c r="D8" s="445" t="n">
        <v>2194.5</v>
      </c>
      <c r="E8" s="446" t="n"/>
      <c r="F8" s="447" t="n"/>
      <c r="I8" s="448" t="n">
        <v>2</v>
      </c>
      <c r="J8" s="449" t="inlineStr">
        <is>
          <t>description says Dual</t>
        </is>
      </c>
      <c r="K8" s="454" t="inlineStr">
        <is>
          <t>CTX-C40-240-2</t>
        </is>
      </c>
      <c r="M8" s="454" t="inlineStr">
        <is>
          <t>CTX-AiO-60-3-200</t>
        </is>
      </c>
      <c r="N8" s="454" t="inlineStr">
        <is>
          <t>CTX-AiO-120-3-350</t>
        </is>
      </c>
      <c r="O8" s="454" t="inlineStr">
        <is>
          <t>HPC-160-480-2</t>
        </is>
      </c>
      <c r="P8" s="454" t="inlineStr">
        <is>
          <t>TP5-180-480-2-BAA</t>
        </is>
      </c>
      <c r="Q8" s="454" t="inlineStr">
        <is>
          <t>CTX-AiO-240-3-300</t>
        </is>
      </c>
      <c r="R8" s="454" t="inlineStr">
        <is>
          <t>HPC-360-480-2</t>
        </is>
      </c>
      <c r="W8" s="274" t="inlineStr">
        <is>
          <t>180 kW DC</t>
        </is>
      </c>
      <c r="X8" s="448" t="n">
        <v>180</v>
      </c>
      <c r="Y8" s="448" t="n">
        <v>0</v>
      </c>
      <c r="AD8" s="455" t="inlineStr">
        <is>
          <t>CTX-C40-240-2</t>
        </is>
      </c>
      <c r="AE8" s="456" t="inlineStr">
        <is>
          <t>level_2</t>
        </is>
      </c>
    </row>
    <row r="9" ht="15" customHeight="1" s="252">
      <c r="A9" s="261" t="inlineStr">
        <is>
          <t>_L2</t>
        </is>
      </c>
      <c r="B9" s="261" t="inlineStr">
        <is>
          <t>CTX-C80-240-1-ISO</t>
        </is>
      </c>
      <c r="C9" s="261" t="inlineStr">
        <is>
          <t>80A Single Commercial L2 Charger (18' Cable with Modem)</t>
        </is>
      </c>
      <c r="D9" s="445" t="n">
        <v>2255</v>
      </c>
      <c r="E9" s="446" t="n"/>
      <c r="F9" s="447" t="n"/>
      <c r="I9" s="448" t="n">
        <v>1</v>
      </c>
      <c r="J9" s="449" t="inlineStr">
        <is>
          <t>description says Single</t>
        </is>
      </c>
      <c r="K9" s="454" t="inlineStr">
        <is>
          <t>CTX-C80-240-2</t>
        </is>
      </c>
      <c r="M9" s="454" t="inlineStr">
        <is>
          <t>CTX-AiO-60-4-200</t>
        </is>
      </c>
      <c r="N9" s="454" t="inlineStr">
        <is>
          <t>CTX-AiO-120-4-350</t>
        </is>
      </c>
      <c r="O9" s="454" t="inlineStr">
        <is>
          <t>CTX-AiO-160-2-350</t>
        </is>
      </c>
      <c r="P9" s="454" t="inlineStr">
        <is>
          <t>TP5-180-480-3-BAA</t>
        </is>
      </c>
      <c r="Q9" s="454" t="inlineStr">
        <is>
          <t>CTX-AiO-240-4-300</t>
        </is>
      </c>
      <c r="R9" s="454" t="inlineStr">
        <is>
          <t>HPC-360-480-3</t>
        </is>
      </c>
      <c r="W9" s="274" t="inlineStr">
        <is>
          <t>240 kW DC</t>
        </is>
      </c>
      <c r="X9" s="448" t="n">
        <v>240</v>
      </c>
      <c r="Y9" s="448" t="n">
        <v>0</v>
      </c>
      <c r="AD9" s="455" t="inlineStr">
        <is>
          <t>CTX-C80-240-2</t>
        </is>
      </c>
      <c r="AE9" s="456" t="inlineStr">
        <is>
          <t>level_2</t>
        </is>
      </c>
    </row>
    <row r="10" ht="15" customHeight="1" s="252">
      <c r="A10" s="261" t="inlineStr">
        <is>
          <t>_L2</t>
        </is>
      </c>
      <c r="B10" s="261" t="inlineStr">
        <is>
          <t>CTX-C40-240-2-ISO</t>
        </is>
      </c>
      <c r="C10" s="261" t="inlineStr">
        <is>
          <t>40A Dual Commercial L2 Charger (18' Cable with Modem)</t>
        </is>
      </c>
      <c r="D10" s="445" t="n">
        <v>2530</v>
      </c>
      <c r="E10" s="446" t="n"/>
      <c r="F10" s="447" t="n"/>
      <c r="I10" s="448" t="n">
        <v>2</v>
      </c>
      <c r="J10" s="449" t="inlineStr">
        <is>
          <t>description says Dual</t>
        </is>
      </c>
      <c r="K10" s="454" t="inlineStr">
        <is>
          <t>CTX-C80-240-1-ISO</t>
        </is>
      </c>
      <c r="M10" s="454" t="inlineStr">
        <is>
          <t>TP5-60-480-2-BAA</t>
        </is>
      </c>
      <c r="N10" s="454" t="inlineStr">
        <is>
          <t>CTX-AiO-120-5-350</t>
        </is>
      </c>
      <c r="O10" s="454" t="inlineStr">
        <is>
          <t>CTX-AiO-160-3-350</t>
        </is>
      </c>
      <c r="P10" s="454" t="inlineStr">
        <is>
          <t>TP5-180-480-4-BAA</t>
        </is>
      </c>
      <c r="Q10" s="454" t="inlineStr">
        <is>
          <t>CTX-AiO-240-5-300</t>
        </is>
      </c>
      <c r="R10" s="454" t="inlineStr">
        <is>
          <t>HPC-360-480-4</t>
        </is>
      </c>
      <c r="W10" s="274" t="inlineStr">
        <is>
          <t>360 kW DC</t>
        </is>
      </c>
      <c r="X10" s="448" t="n">
        <v>360</v>
      </c>
      <c r="Y10" s="448" t="n">
        <v>0</v>
      </c>
      <c r="AD10" s="455" t="inlineStr">
        <is>
          <t>CTX-C80-240-1-ISO</t>
        </is>
      </c>
      <c r="AE10" s="456" t="inlineStr">
        <is>
          <t>level_2</t>
        </is>
      </c>
    </row>
    <row r="11" ht="15" customHeight="1" s="252">
      <c r="A11" s="261" t="inlineStr">
        <is>
          <t>_L2</t>
        </is>
      </c>
      <c r="B11" s="261" t="inlineStr">
        <is>
          <t>CTX-C80-240-2-ISO</t>
        </is>
      </c>
      <c r="C11" s="261" t="inlineStr">
        <is>
          <t>80A Dual Commercial L2 Charger (18' Cable with Modem)</t>
        </is>
      </c>
      <c r="D11" s="445" t="n">
        <v>2805</v>
      </c>
      <c r="E11" s="446" t="n"/>
      <c r="F11" s="447" t="n"/>
      <c r="I11" s="448" t="n">
        <v>2</v>
      </c>
      <c r="J11" s="449" t="inlineStr">
        <is>
          <t>description says Dual</t>
        </is>
      </c>
      <c r="K11" s="454" t="inlineStr">
        <is>
          <t>CTX-C40-240-2-ISO</t>
        </is>
      </c>
      <c r="M11" s="454" t="inlineStr">
        <is>
          <t>TP5-60-480-3-BAA</t>
        </is>
      </c>
      <c r="N11" s="454" t="inlineStr">
        <is>
          <t>CTX-AiO-120-6-350</t>
        </is>
      </c>
      <c r="O11" s="454" t="inlineStr">
        <is>
          <t>CTX-AiO-160-4-350</t>
        </is>
      </c>
      <c r="P11" s="454" t="inlineStr">
        <is>
          <t>HPC-180-480-2-BAA</t>
        </is>
      </c>
      <c r="R11" s="454" t="inlineStr">
        <is>
          <t>TP5-360-480-2-BAA</t>
        </is>
      </c>
      <c r="W11" s="274" t="inlineStr">
        <is>
          <t>V2G</t>
        </is>
      </c>
      <c r="X11" s="448" t="n">
        <v>0</v>
      </c>
      <c r="Y11" s="448" t="n">
        <v>0</v>
      </c>
      <c r="AD11" s="455" t="inlineStr">
        <is>
          <t>CTX-C40-240-2-ISO</t>
        </is>
      </c>
      <c r="AE11" s="456" t="inlineStr">
        <is>
          <t>level_2</t>
        </is>
      </c>
    </row>
    <row r="12" ht="32" customHeight="1" s="252">
      <c r="A12" s="261" t="inlineStr">
        <is>
          <t>_kW30</t>
        </is>
      </c>
      <c r="B12" s="261" t="inlineStr">
        <is>
          <t>TP5-30-480-1</t>
        </is>
      </c>
      <c r="C12" s="371" t="inlineStr">
        <is>
          <t>Gen2 30kW DCFC Wall Mount - 100 Amps / 1000VDC with CCS1 (~16ft)</t>
        </is>
      </c>
      <c r="D12" s="445" t="n">
        <v>13750</v>
      </c>
      <c r="E12" s="458" t="n">
        <v>30</v>
      </c>
      <c r="F12" s="447" t="n"/>
      <c r="I12" s="448" t="n">
        <v>1</v>
      </c>
      <c r="J12" s="449" t="inlineStr">
        <is>
          <t>connectors named in the description</t>
        </is>
      </c>
      <c r="K12" s="454" t="inlineStr">
        <is>
          <t>CTX-C80-240-2-ISO</t>
        </is>
      </c>
      <c r="M12" s="454" t="inlineStr">
        <is>
          <t>TP5-60-480-4-BAA</t>
        </is>
      </c>
      <c r="N12" s="454" t="inlineStr">
        <is>
          <t>TP5-120-480-2-300-BAA</t>
        </is>
      </c>
      <c r="O12" s="454" t="inlineStr">
        <is>
          <t>CTX-AiO-160-5-350</t>
        </is>
      </c>
      <c r="P12" s="454" t="inlineStr">
        <is>
          <t>HPC-180-480-3-BAA</t>
        </is>
      </c>
      <c r="R12" s="454" t="inlineStr">
        <is>
          <t>TP5-360-480-3-BAA</t>
        </is>
      </c>
      <c r="W12" s="274" t="inlineStr">
        <is>
          <t>Distributed system</t>
        </is>
      </c>
      <c r="X12" s="448" t="n">
        <v>0</v>
      </c>
      <c r="Y12" s="448" t="n">
        <v>0</v>
      </c>
      <c r="AD12" s="455" t="inlineStr">
        <is>
          <t>CTX-C80-240-2-ISO</t>
        </is>
      </c>
      <c r="AE12" s="456" t="inlineStr">
        <is>
          <t>level_2</t>
        </is>
      </c>
    </row>
    <row r="13" ht="32" customHeight="1" s="252">
      <c r="A13" s="261" t="inlineStr">
        <is>
          <t>_kW30</t>
        </is>
      </c>
      <c r="B13" s="261" t="inlineStr">
        <is>
          <t>TP5-30-480-3</t>
        </is>
      </c>
      <c r="C13" s="371" t="inlineStr">
        <is>
          <t>Gen 2Gen 30kW DCFC Wall Mount - 200 Amps / 1000VDC with NACS (~16ft)</t>
        </is>
      </c>
      <c r="D13" s="445" t="n">
        <v>13750</v>
      </c>
      <c r="E13" s="458" t="n">
        <v>30</v>
      </c>
      <c r="F13" s="447" t="n"/>
      <c r="I13" s="448" t="n">
        <v>1</v>
      </c>
      <c r="J13" s="449" t="inlineStr">
        <is>
          <t>connectors named in the description</t>
        </is>
      </c>
      <c r="N13" s="454" t="inlineStr">
        <is>
          <t>TP5-120-480-3-300-BAA</t>
        </is>
      </c>
      <c r="O13" s="454" t="inlineStr">
        <is>
          <t>CTX-AiO-160-6-350</t>
        </is>
      </c>
      <c r="P13" s="454" t="inlineStr">
        <is>
          <t>HPC-180-480-4-BAA</t>
        </is>
      </c>
      <c r="R13" s="454" t="inlineStr">
        <is>
          <t>TP5-360-480-4-BAA</t>
        </is>
      </c>
      <c r="W13" s="274" t="inlineStr">
        <is>
          <t>Accessory</t>
        </is>
      </c>
      <c r="X13" s="448" t="n">
        <v>0</v>
      </c>
      <c r="Y13" s="448" t="n">
        <v>0</v>
      </c>
      <c r="AD13" s="455" t="inlineStr">
        <is>
          <t>TP5-30-480-1</t>
        </is>
      </c>
      <c r="AE13" s="456" t="inlineStr">
        <is>
          <t>all_in_one</t>
        </is>
      </c>
    </row>
    <row r="14" ht="32" customHeight="1" s="252">
      <c r="A14" s="261" t="inlineStr">
        <is>
          <t>_kW60</t>
        </is>
      </c>
      <c r="B14" s="261" t="inlineStr">
        <is>
          <t>TP5-60-480-1</t>
        </is>
      </c>
      <c r="C14" s="371" t="inlineStr">
        <is>
          <t xml:space="preserve">60kW DCFC - 200 Amps / 1000VDC with CCS1 &amp; NACS(~16ft) ; 4G Modem </t>
        </is>
      </c>
      <c r="D14" s="445" t="n">
        <v>28500</v>
      </c>
      <c r="E14" s="458" t="n">
        <v>60</v>
      </c>
      <c r="F14" s="447" t="n"/>
      <c r="I14" s="448" t="n">
        <v>2</v>
      </c>
      <c r="J14" s="449" t="inlineStr">
        <is>
          <t>connectors named in the description</t>
        </is>
      </c>
      <c r="N14" s="454" t="inlineStr">
        <is>
          <t>TP5-120-480-4-300-BAA</t>
        </is>
      </c>
      <c r="R14" s="454" t="inlineStr">
        <is>
          <t>HPC-360-480-2-BAA</t>
        </is>
      </c>
      <c r="AD14" s="455" t="inlineStr">
        <is>
          <t>TP5-30-480-3</t>
        </is>
      </c>
      <c r="AE14" s="456" t="inlineStr">
        <is>
          <t>all_in_one</t>
        </is>
      </c>
    </row>
    <row r="15" ht="32" customHeight="1" s="252">
      <c r="A15" s="261" t="inlineStr">
        <is>
          <t>_kW60</t>
        </is>
      </c>
      <c r="B15" s="261" t="inlineStr">
        <is>
          <t>TP5-60-480-2</t>
        </is>
      </c>
      <c r="C15" s="371" t="inlineStr">
        <is>
          <t xml:space="preserve">60kW DCFC - 200 Amps / 1000VDC with CCS1 &amp; CCS1(~16ft) ; 4G Modem </t>
        </is>
      </c>
      <c r="D15" s="445" t="n">
        <v>28500</v>
      </c>
      <c r="E15" s="458" t="n">
        <v>60</v>
      </c>
      <c r="F15" s="447" t="n"/>
      <c r="I15" s="448" t="n">
        <v>2</v>
      </c>
      <c r="J15" s="449" t="inlineStr">
        <is>
          <t>connectors named in the description</t>
        </is>
      </c>
      <c r="R15" s="454" t="inlineStr">
        <is>
          <t>HPC-360-480-3-BAA</t>
        </is>
      </c>
      <c r="AD15" s="455" t="inlineStr">
        <is>
          <t>TP5-60-480-1</t>
        </is>
      </c>
      <c r="AE15" s="456" t="inlineStr">
        <is>
          <t>all_in_one</t>
        </is>
      </c>
    </row>
    <row r="16" ht="32" customHeight="1" s="252">
      <c r="A16" s="261" t="inlineStr">
        <is>
          <t>_kW60</t>
        </is>
      </c>
      <c r="B16" s="261" t="inlineStr">
        <is>
          <t>TP5-60-480-3</t>
        </is>
      </c>
      <c r="C16" s="371" t="inlineStr">
        <is>
          <t xml:space="preserve">60kW DCFC - 200 Amps / 1000VDC with CCS1 &amp; NACS(~16ft) ; 4G Modem </t>
        </is>
      </c>
      <c r="D16" s="445" t="n">
        <v>28500</v>
      </c>
      <c r="E16" s="458" t="n">
        <v>60</v>
      </c>
      <c r="F16" s="447" t="n"/>
      <c r="I16" s="448" t="n">
        <v>2</v>
      </c>
      <c r="J16" s="449" t="inlineStr">
        <is>
          <t>connectors named in the description</t>
        </is>
      </c>
      <c r="R16" s="454" t="inlineStr">
        <is>
          <t>HPC-360-480-4-BAA</t>
        </is>
      </c>
      <c r="AD16" s="455" t="inlineStr">
        <is>
          <t>TP5-60-480-2</t>
        </is>
      </c>
      <c r="AE16" s="456" t="inlineStr">
        <is>
          <t>all_in_one</t>
        </is>
      </c>
    </row>
    <row r="17" ht="32" customHeight="1" s="252">
      <c r="A17" s="261" t="inlineStr">
        <is>
          <t>_kW60</t>
        </is>
      </c>
      <c r="B17" s="261" t="inlineStr">
        <is>
          <t>TP5-60-480-4</t>
        </is>
      </c>
      <c r="C17" s="371" t="inlineStr">
        <is>
          <t xml:space="preserve">60kW DCFC - 200 Amps / 1000VDC with NACS &amp; NACS(~16ft) ; 4G Modem </t>
        </is>
      </c>
      <c r="D17" s="445" t="n">
        <v>28500</v>
      </c>
      <c r="E17" s="458" t="n">
        <v>60</v>
      </c>
      <c r="F17" s="447" t="n"/>
      <c r="I17" s="448" t="n">
        <v>2</v>
      </c>
      <c r="J17" s="449" t="inlineStr">
        <is>
          <t>connectors named in the description</t>
        </is>
      </c>
      <c r="AD17" s="455" t="inlineStr">
        <is>
          <t>TP5-60-480-3</t>
        </is>
      </c>
      <c r="AE17" s="456" t="inlineStr">
        <is>
          <t>all_in_one</t>
        </is>
      </c>
    </row>
    <row r="18" ht="32" customHeight="1" s="252">
      <c r="A18" s="261" t="inlineStr">
        <is>
          <t>_kW60</t>
        </is>
      </c>
      <c r="B18" s="261" t="inlineStr">
        <is>
          <t>CTX-AiO-60-2-200</t>
        </is>
      </c>
      <c r="C18" s="371" t="inlineStr">
        <is>
          <t xml:space="preserve">Gen 2 60kW DCFC - 200 Amps / 1000VDC with CCS1 &amp; CCS1(~16ft) ; 4G Modem </t>
        </is>
      </c>
      <c r="D18" s="445" t="n">
        <v>31350</v>
      </c>
      <c r="E18" s="458" t="n">
        <v>60</v>
      </c>
      <c r="F18" s="447" t="n"/>
      <c r="I18" s="448" t="n">
        <v>2</v>
      </c>
      <c r="J18" s="449" t="inlineStr">
        <is>
          <t>connectors named in the description</t>
        </is>
      </c>
      <c r="AD18" s="455" t="inlineStr">
        <is>
          <t>TP5-60-480-4</t>
        </is>
      </c>
      <c r="AE18" s="456" t="inlineStr">
        <is>
          <t>all_in_one</t>
        </is>
      </c>
    </row>
    <row r="19" ht="32" customHeight="1" s="252">
      <c r="A19" s="261" t="inlineStr">
        <is>
          <t>_kW60</t>
        </is>
      </c>
      <c r="B19" s="261" t="inlineStr">
        <is>
          <t>CTX-AiO-60-3-200</t>
        </is>
      </c>
      <c r="C19" s="371" t="inlineStr">
        <is>
          <t xml:space="preserve">Gen 2 60kW DCFC - 200 Amps / 1000VDC with CCS1 &amp; NACS(~16ft) ; 4G Modem </t>
        </is>
      </c>
      <c r="D19" s="445" t="n">
        <v>31350</v>
      </c>
      <c r="E19" s="458" t="n">
        <v>60</v>
      </c>
      <c r="F19" s="447" t="n"/>
      <c r="I19" s="448" t="n">
        <v>2</v>
      </c>
      <c r="J19" s="449" t="inlineStr">
        <is>
          <t>connectors named in the description</t>
        </is>
      </c>
      <c r="AD19" s="455" t="inlineStr">
        <is>
          <t>CTX-AiO-60-2-200</t>
        </is>
      </c>
      <c r="AE19" s="456" t="inlineStr">
        <is>
          <t>all_in_one</t>
        </is>
      </c>
    </row>
    <row r="20" ht="32" customHeight="1" s="252">
      <c r="A20" s="261" t="inlineStr">
        <is>
          <t>_kW60</t>
        </is>
      </c>
      <c r="B20" s="261" t="inlineStr">
        <is>
          <t>CTX-AiO-60-4-200</t>
        </is>
      </c>
      <c r="C20" s="371" t="inlineStr">
        <is>
          <t xml:space="preserve">Gen 2 60kW DCFC - 200 Amps / 1000VDC with NACS &amp; NACS(~16ft) ; 4G Modem </t>
        </is>
      </c>
      <c r="D20" s="445" t="n">
        <v>31350</v>
      </c>
      <c r="E20" s="458" t="n">
        <v>60</v>
      </c>
      <c r="F20" s="447" t="n"/>
      <c r="I20" s="448" t="n">
        <v>2</v>
      </c>
      <c r="J20" s="449" t="inlineStr">
        <is>
          <t>connectors named in the description</t>
        </is>
      </c>
      <c r="AD20" s="455" t="inlineStr">
        <is>
          <t>CTX-AiO-60-3-200</t>
        </is>
      </c>
      <c r="AE20" s="456" t="inlineStr">
        <is>
          <t>all_in_one</t>
        </is>
      </c>
    </row>
    <row r="21" ht="44" customHeight="1" s="252">
      <c r="A21" s="261" t="inlineStr">
        <is>
          <t>_kW120</t>
        </is>
      </c>
      <c r="B21" s="261" t="inlineStr">
        <is>
          <t>TP5-120-480-1</t>
        </is>
      </c>
      <c r="C21" s="371" t="inlineStr">
        <is>
          <t xml:space="preserve">120kW DCFC All In One Charger - 200 Amps / 1000VDC with CCS1 &amp; NACS(~16ft) ; Can charge 2 cars simultaneously with 60kW each ; 4G Modem </t>
        </is>
      </c>
      <c r="D21" s="445" t="n">
        <v>54000</v>
      </c>
      <c r="E21" s="458" t="n">
        <v>120</v>
      </c>
      <c r="F21" s="447" t="n"/>
      <c r="I21" s="448" t="n">
        <v>2</v>
      </c>
      <c r="J21" s="449" t="inlineStr">
        <is>
          <t>connectors named in the description</t>
        </is>
      </c>
      <c r="AD21" s="455" t="inlineStr">
        <is>
          <t>CTX-AiO-60-4-200</t>
        </is>
      </c>
      <c r="AE21" s="456" t="inlineStr">
        <is>
          <t>all_in_one</t>
        </is>
      </c>
    </row>
    <row r="22" ht="44" customHeight="1" s="252">
      <c r="A22" s="261" t="inlineStr">
        <is>
          <t>_kW120</t>
        </is>
      </c>
      <c r="B22" s="261" t="inlineStr">
        <is>
          <t>TP5-120-480-2</t>
        </is>
      </c>
      <c r="C22" s="371" t="inlineStr">
        <is>
          <t xml:space="preserve">120kW DCFC All In One Charger - 200 Amps / 1000VDC with CCS1 &amp; CCS1(~16ft); Can charge 2 cars simultaneously with 60kW each ; 4G Modem </t>
        </is>
      </c>
      <c r="D22" s="445" t="n">
        <v>54000</v>
      </c>
      <c r="E22" s="458" t="n">
        <v>120</v>
      </c>
      <c r="F22" s="447" t="n"/>
      <c r="I22" s="448" t="n">
        <v>2</v>
      </c>
      <c r="J22" s="449" t="inlineStr">
        <is>
          <t>connectors named in the description</t>
        </is>
      </c>
      <c r="AD22" s="455" t="inlineStr">
        <is>
          <t>TP5-120-480-1</t>
        </is>
      </c>
      <c r="AE22" s="456" t="inlineStr">
        <is>
          <t>all_in_one</t>
        </is>
      </c>
    </row>
    <row r="23" ht="44" customHeight="1" s="252">
      <c r="A23" s="261" t="inlineStr">
        <is>
          <t>_kW120</t>
        </is>
      </c>
      <c r="B23" s="261" t="inlineStr">
        <is>
          <t>TP5-120-480-2-300</t>
        </is>
      </c>
      <c r="C23" s="371" t="inlineStr">
        <is>
          <t xml:space="preserve">120kW DCFC All In One Charger - 350A Cable / 1000VDC with CCS1 &amp; CCS1(~16ft); Can charge 2 cars simultaneously with 60kW each ; 4G Modem </t>
        </is>
      </c>
      <c r="D23" s="445" t="n">
        <v>54000</v>
      </c>
      <c r="E23" s="458" t="n">
        <v>120</v>
      </c>
      <c r="F23" s="447" t="n"/>
      <c r="I23" s="448" t="n">
        <v>2</v>
      </c>
      <c r="J23" s="449" t="inlineStr">
        <is>
          <t>connectors named in the description</t>
        </is>
      </c>
      <c r="AD23" s="455" t="inlineStr">
        <is>
          <t>TP5-120-480-2</t>
        </is>
      </c>
      <c r="AE23" s="456" t="inlineStr">
        <is>
          <t>all_in_one</t>
        </is>
      </c>
    </row>
    <row r="24" ht="44" customHeight="1" s="252">
      <c r="A24" s="261" t="inlineStr">
        <is>
          <t>_kW120</t>
        </is>
      </c>
      <c r="B24" s="261" t="inlineStr">
        <is>
          <t>TP5-120-480-3-300</t>
        </is>
      </c>
      <c r="C24" s="371" t="inlineStr">
        <is>
          <t xml:space="preserve">120kW DCFC All In One Charger - 1000VDC, Cables: 350A CCS1 &amp; 400A NACS (~16ft); Can charge 2 cars simultaneously with 60kW each ; 4G Modem </t>
        </is>
      </c>
      <c r="D24" s="445" t="n">
        <v>54000</v>
      </c>
      <c r="E24" s="458" t="n">
        <v>120</v>
      </c>
      <c r="F24" s="447" t="n"/>
      <c r="I24" s="448" t="n">
        <v>2</v>
      </c>
      <c r="J24" s="449" t="inlineStr">
        <is>
          <t>manual — description does not state the count</t>
        </is>
      </c>
      <c r="AD24" s="455" t="inlineStr">
        <is>
          <t>TP5-120-480-2-300</t>
        </is>
      </c>
      <c r="AE24" s="456" t="inlineStr">
        <is>
          <t>all_in_one</t>
        </is>
      </c>
    </row>
    <row r="25" ht="32" customHeight="1" s="252">
      <c r="A25" s="261" t="inlineStr">
        <is>
          <t>_kW120</t>
        </is>
      </c>
      <c r="B25" s="261" t="inlineStr">
        <is>
          <t>CTX-AiO-120-2-350</t>
        </is>
      </c>
      <c r="C25" s="371" t="inlineStr">
        <is>
          <t>Gen3 120kW CCS1 350A + CCS1 350A ; Cable Management + CC</t>
        </is>
      </c>
      <c r="D25" s="445" t="n">
        <v>59400</v>
      </c>
      <c r="E25" s="458" t="n">
        <v>120</v>
      </c>
      <c r="F25" s="447" t="n"/>
      <c r="I25" s="448" t="n">
        <v>2</v>
      </c>
      <c r="J25" s="449" t="inlineStr">
        <is>
          <t>connectors named in the description</t>
        </is>
      </c>
      <c r="AD25" s="455" t="inlineStr">
        <is>
          <t>TP5-120-480-3-300</t>
        </is>
      </c>
      <c r="AE25" s="456" t="inlineStr">
        <is>
          <t>all_in_one</t>
        </is>
      </c>
    </row>
    <row r="26" ht="32" customHeight="1" s="252">
      <c r="A26" s="261" t="inlineStr">
        <is>
          <t>_kW120</t>
        </is>
      </c>
      <c r="B26" s="261" t="inlineStr">
        <is>
          <t>CTX-AiO-120-3-350</t>
        </is>
      </c>
      <c r="C26" s="371" t="inlineStr">
        <is>
          <t>Gen3 120kW CCS1 350A + NACS 350A   ; Cable Management + CC</t>
        </is>
      </c>
      <c r="D26" s="445" t="n">
        <v>59400</v>
      </c>
      <c r="E26" s="458" t="n">
        <v>120</v>
      </c>
      <c r="F26" s="447" t="n"/>
      <c r="I26" s="448" t="n">
        <v>2</v>
      </c>
      <c r="J26" s="449" t="inlineStr">
        <is>
          <t>connectors named in the description</t>
        </is>
      </c>
      <c r="AD26" s="455" t="inlineStr">
        <is>
          <t>CTX-AiO-120-2-350</t>
        </is>
      </c>
      <c r="AE26" s="456" t="inlineStr">
        <is>
          <t>all_in_one</t>
        </is>
      </c>
    </row>
    <row r="27" ht="32" customHeight="1" s="252">
      <c r="A27" s="261" t="inlineStr">
        <is>
          <t>_kW120</t>
        </is>
      </c>
      <c r="B27" s="261" t="inlineStr">
        <is>
          <t>CTX-AiO-120-4-350</t>
        </is>
      </c>
      <c r="C27" s="371" t="inlineStr">
        <is>
          <t>Gen3 120kW NACS 350A + NACS 350A  ; Cable Management + CC</t>
        </is>
      </c>
      <c r="D27" s="445" t="n">
        <v>59400</v>
      </c>
      <c r="E27" s="458" t="n">
        <v>120</v>
      </c>
      <c r="F27" s="447" t="n"/>
      <c r="I27" s="448" t="n">
        <v>2</v>
      </c>
      <c r="J27" s="449" t="inlineStr">
        <is>
          <t>connectors named in the description</t>
        </is>
      </c>
      <c r="AD27" s="455" t="inlineStr">
        <is>
          <t>CTX-AiO-120-3-350</t>
        </is>
      </c>
      <c r="AE27" s="456" t="inlineStr">
        <is>
          <t>all_in_one</t>
        </is>
      </c>
    </row>
    <row r="28" ht="15" customHeight="1" s="252">
      <c r="A28" s="261" t="inlineStr">
        <is>
          <t>_kW120</t>
        </is>
      </c>
      <c r="B28" s="261" t="inlineStr">
        <is>
          <t>CTX-AiO-120-5-350</t>
        </is>
      </c>
      <c r="C28" s="261" t="inlineStr">
        <is>
          <t>Gen3 120kW Single CCS1 350A  ; Cable Management + CC</t>
        </is>
      </c>
      <c r="D28" s="445" t="n">
        <v>59400</v>
      </c>
      <c r="E28" s="458" t="n">
        <v>120</v>
      </c>
      <c r="F28" s="447" t="n"/>
      <c r="I28" s="448" t="n">
        <v>1</v>
      </c>
      <c r="J28" s="449" t="inlineStr">
        <is>
          <t>description says Single</t>
        </is>
      </c>
      <c r="AD28" s="455" t="inlineStr">
        <is>
          <t>CTX-AiO-120-4-350</t>
        </is>
      </c>
      <c r="AE28" s="456" t="inlineStr">
        <is>
          <t>all_in_one</t>
        </is>
      </c>
    </row>
    <row r="29" ht="15" customHeight="1" s="252">
      <c r="A29" s="261" t="inlineStr">
        <is>
          <t>_kW120</t>
        </is>
      </c>
      <c r="B29" s="261" t="inlineStr">
        <is>
          <t>CTX-AiO-120-6-350</t>
        </is>
      </c>
      <c r="C29" s="261" t="inlineStr">
        <is>
          <t>Gen3 120kW Single NACS 350A  ; Cable Management + CC</t>
        </is>
      </c>
      <c r="D29" s="445" t="n">
        <v>59400</v>
      </c>
      <c r="E29" s="458" t="n">
        <v>120</v>
      </c>
      <c r="F29" s="447" t="n"/>
      <c r="I29" s="448" t="n">
        <v>1</v>
      </c>
      <c r="J29" s="449" t="inlineStr">
        <is>
          <t>description says Single</t>
        </is>
      </c>
      <c r="AD29" s="455" t="inlineStr">
        <is>
          <t>CTX-AiO-120-5-350</t>
        </is>
      </c>
      <c r="AE29" s="456" t="inlineStr">
        <is>
          <t>all_in_one</t>
        </is>
      </c>
    </row>
    <row r="30" ht="56" customHeight="1" s="252">
      <c r="A30" s="261" t="inlineStr">
        <is>
          <t>_kW160</t>
        </is>
      </c>
      <c r="B30" s="261" t="inlineStr">
        <is>
          <t>TP5-160-480-1</t>
        </is>
      </c>
      <c r="C30" s="371" t="inlineStr">
        <is>
          <t>160kW DCFC All In One Charger - 200 Amps / 1000VDC with CCS1 &amp; NACS(~16ft); It can dispense 200A on single connector and can charge 2 cars simultaneously with 80kW eac</t>
        </is>
      </c>
      <c r="D30" s="445" t="n">
        <v>57000</v>
      </c>
      <c r="E30" s="458" t="n">
        <v>160</v>
      </c>
      <c r="F30" s="447" t="n"/>
      <c r="I30" s="448" t="n">
        <v>1</v>
      </c>
      <c r="J30" s="449" t="inlineStr">
        <is>
          <t>description says Single</t>
        </is>
      </c>
      <c r="AD30" s="455" t="inlineStr">
        <is>
          <t>CTX-AiO-120-6-350</t>
        </is>
      </c>
      <c r="AE30" s="456" t="inlineStr">
        <is>
          <t>all_in_one</t>
        </is>
      </c>
    </row>
    <row r="31" ht="56" customHeight="1" s="252">
      <c r="A31" s="261" t="inlineStr">
        <is>
          <t>_kW160</t>
        </is>
      </c>
      <c r="B31" s="261" t="inlineStr">
        <is>
          <t>TP5-160-480-2</t>
        </is>
      </c>
      <c r="C31" s="371" t="inlineStr">
        <is>
          <t>160kW DCFC All In One Charger - 200 Amps / 1000VDC with CCS1 &amp; CCS1(~16ft); It can dispense 200A on single connector and can charge 2 cars simultaneously with 80kW each ;</t>
        </is>
      </c>
      <c r="D31" s="445" t="n">
        <v>57000</v>
      </c>
      <c r="E31" s="458" t="n">
        <v>160</v>
      </c>
      <c r="F31" s="447" t="n"/>
      <c r="I31" s="448" t="n">
        <v>1</v>
      </c>
      <c r="J31" s="449" t="inlineStr">
        <is>
          <t>description says Single</t>
        </is>
      </c>
      <c r="AD31" s="455" t="inlineStr">
        <is>
          <t>TP5-160-480-1</t>
        </is>
      </c>
      <c r="AE31" s="456" t="inlineStr">
        <is>
          <t>all_in_one</t>
        </is>
      </c>
    </row>
    <row r="32" ht="56" customHeight="1" s="252">
      <c r="A32" s="261" t="inlineStr">
        <is>
          <t>_kW160</t>
        </is>
      </c>
      <c r="B32" s="261" t="inlineStr">
        <is>
          <t>TP5-160-480-3</t>
        </is>
      </c>
      <c r="C32" s="371" t="inlineStr">
        <is>
          <t xml:space="preserve">160kW DCFC All In One Charger - 200 Amps / 1000VDC with CCS1 &amp; NACS (~16ft); It can dispense 200A on single connector and can charge 2 cars simultaneously with 80kW each </t>
        </is>
      </c>
      <c r="D32" s="445" t="n">
        <v>57000</v>
      </c>
      <c r="E32" s="458" t="n">
        <v>160</v>
      </c>
      <c r="F32" s="447" t="n"/>
      <c r="I32" s="448" t="n">
        <v>1</v>
      </c>
      <c r="J32" s="449" t="inlineStr">
        <is>
          <t>description says Single</t>
        </is>
      </c>
      <c r="AD32" s="455" t="inlineStr">
        <is>
          <t>TP5-160-480-2</t>
        </is>
      </c>
      <c r="AE32" s="456" t="inlineStr">
        <is>
          <t>all_in_one</t>
        </is>
      </c>
    </row>
    <row r="33" ht="44" customHeight="1" s="252">
      <c r="A33" s="261" t="inlineStr">
        <is>
          <t>_kW160</t>
        </is>
      </c>
      <c r="B33" s="261" t="inlineStr">
        <is>
          <t>TP5-160-480-2-300</t>
        </is>
      </c>
      <c r="C33" s="371" t="inlineStr">
        <is>
          <t>160kW DCFC All In One Charger - 350A Cable / 1000VDC with CCS1 &amp; CCS1(~16ft); Can charge 2 cars simultaneously with 80kW each ; 4G Modem</t>
        </is>
      </c>
      <c r="D33" s="445" t="n">
        <v>57000</v>
      </c>
      <c r="E33" s="458" t="n">
        <v>160</v>
      </c>
      <c r="F33" s="447" t="n"/>
      <c r="I33" s="448" t="n">
        <v>2</v>
      </c>
      <c r="J33" s="449" t="inlineStr">
        <is>
          <t>connectors named in the description</t>
        </is>
      </c>
      <c r="AD33" s="455" t="inlineStr">
        <is>
          <t>TP5-160-480-3</t>
        </is>
      </c>
      <c r="AE33" s="456" t="inlineStr">
        <is>
          <t>all_in_one</t>
        </is>
      </c>
    </row>
    <row r="34" ht="56" customHeight="1" s="252">
      <c r="A34" s="261" t="inlineStr">
        <is>
          <t>_kW160</t>
        </is>
      </c>
      <c r="B34" s="261" t="inlineStr">
        <is>
          <t>HPC-160-480-1</t>
        </is>
      </c>
      <c r="C34" s="371" t="inlineStr">
        <is>
          <t xml:space="preserve">160kW HPC All In One Charger - 400 Amps / 1000VDC with Liquid Cooled Connector for CCS1(~14ft) &amp; NACS(~16ft) ; It can deliver 400A on the CCS coonnector. Can charge 2 </t>
        </is>
      </c>
      <c r="D34" s="445" t="n">
        <v>68000</v>
      </c>
      <c r="E34" s="458" t="n">
        <v>160</v>
      </c>
      <c r="F34" s="447" t="n"/>
      <c r="I34" s="448" t="n">
        <v>2</v>
      </c>
      <c r="J34" s="449" t="inlineStr">
        <is>
          <t>connectors named in the description</t>
        </is>
      </c>
      <c r="AD34" s="455" t="inlineStr">
        <is>
          <t>TP5-160-480-2-300</t>
        </is>
      </c>
      <c r="AE34" s="456" t="inlineStr">
        <is>
          <t>all_in_one</t>
        </is>
      </c>
    </row>
    <row r="35" ht="56" customHeight="1" s="252">
      <c r="A35" s="261" t="inlineStr">
        <is>
          <t>_kW160</t>
        </is>
      </c>
      <c r="B35" s="261" t="inlineStr">
        <is>
          <t>HPC-160-480-2</t>
        </is>
      </c>
      <c r="C35" s="371" t="inlineStr">
        <is>
          <t>160kW HPC All In One Charger - 400 Amps / 1000VDC with Liquid Cooled Connector for CCS1(~14ft) &amp; NACS(~16ft) ; It can deliver 400A on the CCS coonnector. Also can char</t>
        </is>
      </c>
      <c r="D35" s="445" t="n">
        <v>70000</v>
      </c>
      <c r="E35" s="458" t="n">
        <v>160</v>
      </c>
      <c r="F35" s="447" t="n"/>
      <c r="I35" s="448" t="n">
        <v>2</v>
      </c>
      <c r="J35" s="449" t="inlineStr">
        <is>
          <t>connectors named in the description</t>
        </is>
      </c>
      <c r="AD35" s="455" t="inlineStr">
        <is>
          <t>HPC-160-480-1</t>
        </is>
      </c>
      <c r="AE35" s="456" t="inlineStr">
        <is>
          <t>all_in_one</t>
        </is>
      </c>
    </row>
    <row r="36" ht="32" customHeight="1" s="252">
      <c r="A36" s="261" t="inlineStr">
        <is>
          <t>_kW160</t>
        </is>
      </c>
      <c r="B36" s="261" t="inlineStr">
        <is>
          <t>CTX-AiO-160-2-350</t>
        </is>
      </c>
      <c r="C36" s="371" t="inlineStr">
        <is>
          <t>Gen3 160kW CCS1 350A + CCS1 350A ; Cable Management + CC</t>
        </is>
      </c>
      <c r="D36" s="445" t="n">
        <v>68200</v>
      </c>
      <c r="E36" s="458" t="n">
        <v>160</v>
      </c>
      <c r="F36" s="447" t="n"/>
      <c r="I36" s="448" t="n">
        <v>2</v>
      </c>
      <c r="J36" s="449" t="inlineStr">
        <is>
          <t>connectors named in the description</t>
        </is>
      </c>
      <c r="AD36" s="455" t="inlineStr">
        <is>
          <t>HPC-160-480-2</t>
        </is>
      </c>
      <c r="AE36" s="456" t="inlineStr">
        <is>
          <t>all_in_one</t>
        </is>
      </c>
    </row>
    <row r="37" ht="32" customHeight="1" s="252">
      <c r="A37" s="261" t="inlineStr">
        <is>
          <t>_kW160</t>
        </is>
      </c>
      <c r="B37" s="261" t="inlineStr">
        <is>
          <t>CTX-AiO-160-3-350</t>
        </is>
      </c>
      <c r="C37" s="371" t="inlineStr">
        <is>
          <t>Gen3 160kW CCS1 350A + NACS 350A   ; Cable Management + CC</t>
        </is>
      </c>
      <c r="D37" s="445" t="n">
        <v>68200</v>
      </c>
      <c r="E37" s="458" t="n">
        <v>160</v>
      </c>
      <c r="F37" s="447" t="n"/>
      <c r="I37" s="448" t="n">
        <v>2</v>
      </c>
      <c r="J37" s="449" t="inlineStr">
        <is>
          <t>connectors named in the description</t>
        </is>
      </c>
      <c r="AD37" s="455" t="inlineStr">
        <is>
          <t>CTX-AiO-160-2-350</t>
        </is>
      </c>
      <c r="AE37" s="456" t="inlineStr">
        <is>
          <t>all_in_one</t>
        </is>
      </c>
    </row>
    <row r="38" ht="32" customHeight="1" s="252">
      <c r="A38" s="261" t="inlineStr">
        <is>
          <t>_kW160</t>
        </is>
      </c>
      <c r="B38" s="261" t="inlineStr">
        <is>
          <t>CTX-AiO-160-4-350</t>
        </is>
      </c>
      <c r="C38" s="371" t="inlineStr">
        <is>
          <t>Gen3 160kW NACS 350A + NACS 350A  ; Cable Management + CC</t>
        </is>
      </c>
      <c r="D38" s="445" t="n">
        <v>68200</v>
      </c>
      <c r="E38" s="458" t="n">
        <v>160</v>
      </c>
      <c r="F38" s="447" t="n"/>
      <c r="I38" s="448" t="n">
        <v>2</v>
      </c>
      <c r="J38" s="449" t="inlineStr">
        <is>
          <t>connectors named in the description</t>
        </is>
      </c>
      <c r="AD38" s="455" t="inlineStr">
        <is>
          <t>CTX-AiO-160-3-350</t>
        </is>
      </c>
      <c r="AE38" s="456" t="inlineStr">
        <is>
          <t>all_in_one</t>
        </is>
      </c>
    </row>
    <row r="39" ht="15" customHeight="1" s="252">
      <c r="A39" s="261" t="inlineStr">
        <is>
          <t>_kW160</t>
        </is>
      </c>
      <c r="B39" s="261" t="inlineStr">
        <is>
          <t>CTX-AiO-160-5-350</t>
        </is>
      </c>
      <c r="C39" s="261" t="inlineStr">
        <is>
          <t>Gen3 160kW Single CCS1 350A  ; Cable Management + CC</t>
        </is>
      </c>
      <c r="D39" s="445" t="n">
        <v>68200</v>
      </c>
      <c r="E39" s="458" t="n">
        <v>160</v>
      </c>
      <c r="F39" s="447" t="n"/>
      <c r="I39" s="448" t="n">
        <v>1</v>
      </c>
      <c r="J39" s="449" t="inlineStr">
        <is>
          <t>description says Single</t>
        </is>
      </c>
      <c r="AD39" s="455" t="inlineStr">
        <is>
          <t>CTX-AiO-160-4-350</t>
        </is>
      </c>
      <c r="AE39" s="456" t="inlineStr">
        <is>
          <t>all_in_one</t>
        </is>
      </c>
    </row>
    <row r="40" ht="15" customHeight="1" s="252">
      <c r="A40" s="261" t="inlineStr">
        <is>
          <t>_kW160</t>
        </is>
      </c>
      <c r="B40" s="261" t="inlineStr">
        <is>
          <t>CTX-AiO-160-6-350</t>
        </is>
      </c>
      <c r="C40" s="261" t="inlineStr">
        <is>
          <t>Gen3 160kW Single NACS 350A  ; Cable Management + CC</t>
        </is>
      </c>
      <c r="D40" s="445" t="n">
        <v>68200</v>
      </c>
      <c r="E40" s="458" t="n">
        <v>160</v>
      </c>
      <c r="F40" s="447" t="n"/>
      <c r="I40" s="448" t="n">
        <v>1</v>
      </c>
      <c r="J40" s="449" t="inlineStr">
        <is>
          <t>description says Single</t>
        </is>
      </c>
      <c r="AD40" s="455" t="inlineStr">
        <is>
          <t>CTX-AiO-160-5-350</t>
        </is>
      </c>
      <c r="AE40" s="456" t="inlineStr">
        <is>
          <t>all_in_one</t>
        </is>
      </c>
    </row>
    <row r="41" ht="56" customHeight="1" s="252">
      <c r="A41" s="261" t="inlineStr">
        <is>
          <t>_kW180</t>
        </is>
      </c>
      <c r="B41" s="261" t="inlineStr">
        <is>
          <t>TP5-180-480-1</t>
        </is>
      </c>
      <c r="C41" s="371" t="inlineStr">
        <is>
          <t>180kW DCFC All In One Charger - 200 Amps / 1000VDC with CCS1 &amp; NACS(~16ft); Can charge 2 cars simultaneously with 90kW each or 120kW on CCS1 and 60kW on NACS; 4G Mo</t>
        </is>
      </c>
      <c r="D41" s="445" t="n">
        <v>62000</v>
      </c>
      <c r="E41" s="458" t="n">
        <v>180</v>
      </c>
      <c r="F41" s="447" t="n"/>
      <c r="I41" s="448" t="n">
        <v>2</v>
      </c>
      <c r="J41" s="449" t="inlineStr">
        <is>
          <t>connectors named in the description</t>
        </is>
      </c>
      <c r="AD41" s="455" t="inlineStr">
        <is>
          <t>CTX-AiO-160-6-350</t>
        </is>
      </c>
      <c r="AE41" s="456" t="inlineStr">
        <is>
          <t>all_in_one</t>
        </is>
      </c>
    </row>
    <row r="42" ht="44" customHeight="1" s="252">
      <c r="A42" s="261" t="inlineStr">
        <is>
          <t>_kW180</t>
        </is>
      </c>
      <c r="B42" s="261" t="inlineStr">
        <is>
          <t>TP5-180-480-2</t>
        </is>
      </c>
      <c r="C42" s="371" t="inlineStr">
        <is>
          <t xml:space="preserve">180kW DCFC All In One Charger - 200 Amps / 1000VDC with CCS1 &amp; CCS1(~16ft); Can charge 2 cars simultaneously with 90kW each ; 4G Modem </t>
        </is>
      </c>
      <c r="D42" s="445" t="n">
        <v>62000</v>
      </c>
      <c r="E42" s="458" t="n">
        <v>180</v>
      </c>
      <c r="F42" s="447" t="n"/>
      <c r="I42" s="448" t="n">
        <v>2</v>
      </c>
      <c r="J42" s="449" t="inlineStr">
        <is>
          <t>connectors named in the description</t>
        </is>
      </c>
      <c r="AD42" s="455" t="inlineStr">
        <is>
          <t>TP5-180-480-1</t>
        </is>
      </c>
      <c r="AE42" s="456" t="inlineStr">
        <is>
          <t>all_in_one</t>
        </is>
      </c>
    </row>
    <row r="43" ht="44" customHeight="1" s="252">
      <c r="A43" s="261" t="inlineStr">
        <is>
          <t>_kW180</t>
        </is>
      </c>
      <c r="B43" s="261" t="inlineStr">
        <is>
          <t>TP5-180-480-2-300</t>
        </is>
      </c>
      <c r="C43" s="371" t="inlineStr">
        <is>
          <t xml:space="preserve">180kW DCFC All In One Charger - 350A Cable / 1000VDC with CCS1 &amp; CCS1(~16ft); Can charge 2 cars simultaneously with 90kW each ; 4G Modem </t>
        </is>
      </c>
      <c r="D43" s="445" t="n">
        <v>62000</v>
      </c>
      <c r="E43" s="458" t="n">
        <v>180</v>
      </c>
      <c r="F43" s="447" t="n"/>
      <c r="I43" s="448" t="n">
        <v>2</v>
      </c>
      <c r="J43" s="449" t="inlineStr">
        <is>
          <t>connectors named in the description</t>
        </is>
      </c>
      <c r="AD43" s="455" t="inlineStr">
        <is>
          <t>TP5-180-480-2</t>
        </is>
      </c>
      <c r="AE43" s="456" t="inlineStr">
        <is>
          <t>all_in_one</t>
        </is>
      </c>
    </row>
    <row r="44" ht="44" customHeight="1" s="252">
      <c r="A44" s="261" t="inlineStr">
        <is>
          <t>_kW180</t>
        </is>
      </c>
      <c r="B44" s="261" t="inlineStr">
        <is>
          <t>TP5-180-480-3-300</t>
        </is>
      </c>
      <c r="C44" s="371" t="inlineStr">
        <is>
          <t xml:space="preserve">180kW DCFC All In One Charger - 1000VDC, Cables: 350A CCS1 &amp; 400A NACS (~16ft); Can charge 2 cars simultaneously with 90kW each ; 4G Modem </t>
        </is>
      </c>
      <c r="D44" s="445" t="n">
        <v>62000</v>
      </c>
      <c r="E44" s="458" t="n">
        <v>180</v>
      </c>
      <c r="F44" s="447" t="n"/>
      <c r="I44" s="448" t="n">
        <v>2</v>
      </c>
      <c r="J44" s="449" t="inlineStr">
        <is>
          <t>manual — description does not state the count</t>
        </is>
      </c>
      <c r="AD44" s="455" t="inlineStr">
        <is>
          <t>TP5-180-480-2-300</t>
        </is>
      </c>
      <c r="AE44" s="456" t="inlineStr">
        <is>
          <t>all_in_one</t>
        </is>
      </c>
    </row>
    <row r="45" ht="44" customHeight="1" s="252">
      <c r="A45" s="261" t="inlineStr">
        <is>
          <t>_kW180</t>
        </is>
      </c>
      <c r="B45" s="261" t="inlineStr">
        <is>
          <t>TP5-180-480-2-300-CL20</t>
        </is>
      </c>
      <c r="C45" s="371" t="inlineStr">
        <is>
          <t xml:space="preserve">180kW DCFC All In One Charger - 350A Cable / 1000VDC with CCS1 &amp; CCS1(~20ft); Can charge 2 cars simultaneously with 90kW each ; 4G Modem </t>
        </is>
      </c>
      <c r="D45" s="445" t="n">
        <v>62000</v>
      </c>
      <c r="E45" s="458" t="n">
        <v>180</v>
      </c>
      <c r="F45" s="447" t="n"/>
      <c r="I45" s="448" t="n">
        <v>2</v>
      </c>
      <c r="J45" s="449" t="inlineStr">
        <is>
          <t>connectors named in the description</t>
        </is>
      </c>
      <c r="AD45" s="455" t="inlineStr">
        <is>
          <t>TP5-180-480-3-300</t>
        </is>
      </c>
      <c r="AE45" s="456" t="inlineStr">
        <is>
          <t>all_in_one</t>
        </is>
      </c>
    </row>
    <row r="46" ht="44" customHeight="1" s="252">
      <c r="A46" s="261" t="inlineStr">
        <is>
          <t>_kW240</t>
        </is>
      </c>
      <c r="B46" s="261" t="inlineStr">
        <is>
          <t>TP5-240-480-2-300</t>
        </is>
      </c>
      <c r="C46" s="371" t="inlineStr">
        <is>
          <t xml:space="preserve">240kW DCFC All In One Charger - 350A Cable / 1000VDC Dual CCS1 ; Can charge 2 cars simultaneously with 120kW each ; 4G Modem </t>
        </is>
      </c>
      <c r="D46" s="445" t="n">
        <v>80000</v>
      </c>
      <c r="E46" s="458" t="n">
        <v>240</v>
      </c>
      <c r="F46" s="447" t="n"/>
      <c r="I46" s="448" t="n">
        <v>2</v>
      </c>
      <c r="J46" s="449" t="inlineStr">
        <is>
          <t>description says Dual</t>
        </is>
      </c>
      <c r="AD46" s="455" t="inlineStr">
        <is>
          <t>TP5-180-480-2-300-CL20</t>
        </is>
      </c>
      <c r="AE46" s="456" t="inlineStr">
        <is>
          <t>all_in_one</t>
        </is>
      </c>
    </row>
    <row r="47" ht="44" customHeight="1" s="252">
      <c r="A47" s="261" t="inlineStr">
        <is>
          <t>_kW240</t>
        </is>
      </c>
      <c r="B47" s="261" t="inlineStr">
        <is>
          <t>TP5-240-480-2-400</t>
        </is>
      </c>
      <c r="C47" s="371" t="inlineStr">
        <is>
          <t xml:space="preserve">240kW DCFC All In One Charger - 1000VDC, Cables: 350A CCS1 &amp; 400A NACS; Can charge 2 cars simultaneously with 120kW each ; 4G Modem </t>
        </is>
      </c>
      <c r="D47" s="445" t="n">
        <v>80000</v>
      </c>
      <c r="E47" s="458" t="n">
        <v>240</v>
      </c>
      <c r="F47" s="447" t="n"/>
      <c r="I47" s="448" t="n">
        <v>2</v>
      </c>
      <c r="J47" s="449" t="inlineStr">
        <is>
          <t>manual — description does not state the count</t>
        </is>
      </c>
      <c r="AD47" s="455" t="inlineStr">
        <is>
          <t>TP5-240-480-2-300</t>
        </is>
      </c>
      <c r="AE47" s="456" t="inlineStr">
        <is>
          <t>all_in_one</t>
        </is>
      </c>
    </row>
    <row r="48" ht="56" customHeight="1" s="252">
      <c r="A48" s="261" t="inlineStr">
        <is>
          <t>_kW240</t>
        </is>
      </c>
      <c r="B48" s="261" t="inlineStr">
        <is>
          <t>HPC-240-480-1</t>
        </is>
      </c>
      <c r="C48" s="371" t="inlineStr">
        <is>
          <t>240kW HPC All In One Charger - 500 Amps / 1000VDC with Liquid Cooled Connector for CCS1 &amp; NACS(~14ft) ; Can deliver 500A on CCS coonnector. Can charge 2 cars simultane</t>
        </is>
      </c>
      <c r="D48" s="445" t="n">
        <v>98000</v>
      </c>
      <c r="E48" s="458" t="n">
        <v>240</v>
      </c>
      <c r="F48" s="447" t="n"/>
      <c r="I48" s="448" t="n">
        <v>2</v>
      </c>
      <c r="J48" s="449" t="inlineStr">
        <is>
          <t>connectors named in the description</t>
        </is>
      </c>
      <c r="AD48" s="455" t="inlineStr">
        <is>
          <t>TP5-240-480-2-400</t>
        </is>
      </c>
      <c r="AE48" s="456" t="inlineStr">
        <is>
          <t>all_in_one</t>
        </is>
      </c>
    </row>
    <row r="49" ht="56" customHeight="1" s="252">
      <c r="A49" s="261" t="inlineStr">
        <is>
          <t>_kW240</t>
        </is>
      </c>
      <c r="B49" s="261" t="inlineStr">
        <is>
          <t>HPC-240-480-2</t>
        </is>
      </c>
      <c r="C49" s="371" t="inlineStr">
        <is>
          <t>240kW HPC All In One Charger - 500 Amps / 1000VDC with Liquid Cooled Connector for Dual CCS1 ; Can deliver 450A on one CCS coonnector and 250A on each connector if used s</t>
        </is>
      </c>
      <c r="D49" s="445" t="n">
        <v>98000</v>
      </c>
      <c r="E49" s="458" t="n">
        <v>240</v>
      </c>
      <c r="F49" s="447" t="n"/>
      <c r="I49" s="448" t="n">
        <v>2</v>
      </c>
      <c r="J49" s="449" t="inlineStr">
        <is>
          <t>description says Dual</t>
        </is>
      </c>
      <c r="AD49" s="455" t="inlineStr">
        <is>
          <t>HPC-240-480-1</t>
        </is>
      </c>
      <c r="AE49" s="456" t="inlineStr">
        <is>
          <t>all_in_one</t>
        </is>
      </c>
    </row>
    <row r="50" ht="15" customHeight="1" s="252">
      <c r="A50" s="261" t="inlineStr">
        <is>
          <t>_kW240</t>
        </is>
      </c>
      <c r="B50" s="261" t="inlineStr">
        <is>
          <t>CTX-AiO-240-2-300</t>
        </is>
      </c>
      <c r="C50" s="261" t="inlineStr">
        <is>
          <t>Gen3 240kW CCS1 350A + CCS1 350A; Cable Management + CC</t>
        </is>
      </c>
      <c r="D50" s="445" t="n">
        <v>88000</v>
      </c>
      <c r="E50" s="458" t="n">
        <v>240</v>
      </c>
      <c r="F50" s="447" t="n"/>
      <c r="I50" s="448" t="n">
        <v>2</v>
      </c>
      <c r="J50" s="449" t="inlineStr">
        <is>
          <t>connectors named in the description</t>
        </is>
      </c>
      <c r="AD50" s="455" t="inlineStr">
        <is>
          <t>HPC-240-480-2</t>
        </is>
      </c>
      <c r="AE50" s="456" t="inlineStr">
        <is>
          <t>all_in_one</t>
        </is>
      </c>
    </row>
    <row r="51" ht="15" customHeight="1" s="252">
      <c r="A51" s="261" t="inlineStr">
        <is>
          <t>_kW240</t>
        </is>
      </c>
      <c r="B51" s="261" t="inlineStr">
        <is>
          <t>CTX-AiO-240-3-300</t>
        </is>
      </c>
      <c r="C51" s="261" t="inlineStr">
        <is>
          <t>Gen3 240kW CCS1 350A + NACS 350A; Cable Management + CC</t>
        </is>
      </c>
      <c r="D51" s="445" t="n">
        <v>88000</v>
      </c>
      <c r="E51" s="458" t="n">
        <v>240</v>
      </c>
      <c r="F51" s="447" t="n"/>
      <c r="I51" s="448" t="n">
        <v>2</v>
      </c>
      <c r="J51" s="449" t="inlineStr">
        <is>
          <t>connectors named in the description</t>
        </is>
      </c>
      <c r="AD51" s="455" t="inlineStr">
        <is>
          <t>CTX-AiO-240-2-300</t>
        </is>
      </c>
      <c r="AE51" s="456" t="inlineStr">
        <is>
          <t>all_in_one</t>
        </is>
      </c>
    </row>
    <row r="52" ht="15" customHeight="1" s="252">
      <c r="A52" s="261" t="inlineStr">
        <is>
          <t>_kW240</t>
        </is>
      </c>
      <c r="B52" s="261" t="inlineStr">
        <is>
          <t>CTX-AiO-240-4-300</t>
        </is>
      </c>
      <c r="C52" s="261" t="inlineStr">
        <is>
          <t>Gen3 240kW NACS 350A + NACS 350A; Cable Management + CC</t>
        </is>
      </c>
      <c r="D52" s="445" t="n">
        <v>88000</v>
      </c>
      <c r="E52" s="458" t="n">
        <v>240</v>
      </c>
      <c r="F52" s="447" t="n"/>
      <c r="I52" s="448" t="n">
        <v>2</v>
      </c>
      <c r="J52" s="449" t="inlineStr">
        <is>
          <t>connectors named in the description</t>
        </is>
      </c>
      <c r="AD52" s="455" t="inlineStr">
        <is>
          <t>CTX-AiO-240-3-300</t>
        </is>
      </c>
      <c r="AE52" s="456" t="inlineStr">
        <is>
          <t>all_in_one</t>
        </is>
      </c>
    </row>
    <row r="53" ht="15" customHeight="1" s="252">
      <c r="A53" s="261" t="inlineStr">
        <is>
          <t>_kW240</t>
        </is>
      </c>
      <c r="B53" s="261" t="inlineStr">
        <is>
          <t>CTX-AiO-240-5-300</t>
        </is>
      </c>
      <c r="C53" s="261" t="inlineStr">
        <is>
          <t>Gen3 240kW Single CCS1 350A; Cable Management + CC</t>
        </is>
      </c>
      <c r="D53" s="445" t="n">
        <v>88000</v>
      </c>
      <c r="E53" s="458" t="n">
        <v>240</v>
      </c>
      <c r="F53" s="447" t="n"/>
      <c r="I53" s="448" t="n">
        <v>1</v>
      </c>
      <c r="J53" s="449" t="inlineStr">
        <is>
          <t>description says Single</t>
        </is>
      </c>
      <c r="AD53" s="455" t="inlineStr">
        <is>
          <t>CTX-AiO-240-4-300</t>
        </is>
      </c>
      <c r="AE53" s="456" t="inlineStr">
        <is>
          <t>all_in_one</t>
        </is>
      </c>
    </row>
    <row r="54" ht="44" customHeight="1" s="252">
      <c r="A54" s="261" t="inlineStr">
        <is>
          <t>_kW360</t>
        </is>
      </c>
      <c r="B54" s="261" t="inlineStr">
        <is>
          <t>TP5-360-480-1-300</t>
        </is>
      </c>
      <c r="C54" s="371" t="inlineStr">
        <is>
          <t xml:space="preserve">360kW DCFC All In One Charger - 1000VDC, Cables: 350A CCS1 &amp; NACS ;  Can charge 2 cars simultaneously with 180kW each ; 4G Modem </t>
        </is>
      </c>
      <c r="D54" s="445" t="n">
        <v>99000</v>
      </c>
      <c r="E54" s="458" t="n">
        <v>360</v>
      </c>
      <c r="F54" s="447" t="n"/>
      <c r="I54" s="448" t="n">
        <v>2</v>
      </c>
      <c r="J54" s="449" t="inlineStr">
        <is>
          <t>manual — description does not state the count</t>
        </is>
      </c>
      <c r="AD54" s="455" t="inlineStr">
        <is>
          <t>CTX-AiO-240-5-300</t>
        </is>
      </c>
      <c r="AE54" s="456" t="inlineStr">
        <is>
          <t>all_in_one</t>
        </is>
      </c>
    </row>
    <row r="55" ht="44" customHeight="1" s="252">
      <c r="A55" s="261" t="inlineStr">
        <is>
          <t>_kW360</t>
        </is>
      </c>
      <c r="B55" s="261" t="inlineStr">
        <is>
          <t>TP5-360-480-2-300</t>
        </is>
      </c>
      <c r="C55" s="371" t="inlineStr">
        <is>
          <t xml:space="preserve">360kW DCFC All In One Charger - 350A Cable / 1000VDC Dual CCS1 ;  Can charge 2 cars simultaneously with 180kW each ; 4G Modem </t>
        </is>
      </c>
      <c r="D55" s="445" t="n">
        <v>99000</v>
      </c>
      <c r="E55" s="458" t="n">
        <v>360</v>
      </c>
      <c r="F55" s="447" t="n"/>
      <c r="I55" s="448" t="n">
        <v>2</v>
      </c>
      <c r="J55" s="449" t="inlineStr">
        <is>
          <t>description says Dual</t>
        </is>
      </c>
      <c r="AD55" s="455" t="inlineStr">
        <is>
          <t>TP5-360-480-1-300</t>
        </is>
      </c>
      <c r="AE55" s="456" t="inlineStr">
        <is>
          <t>all_in_one</t>
        </is>
      </c>
    </row>
    <row r="56" ht="44" customHeight="1" s="252">
      <c r="A56" s="261" t="inlineStr">
        <is>
          <t>_kW360</t>
        </is>
      </c>
      <c r="B56" s="261" t="inlineStr">
        <is>
          <t>TP5-360-480-3-300</t>
        </is>
      </c>
      <c r="C56" s="371" t="inlineStr">
        <is>
          <t xml:space="preserve">360kW DCFC All In One Charger - 1000VDC, Cables: 350A CCS1 &amp; 400A NACS ;  Can charge 2 cars simultaneously with 180kW each ; 4G Modem </t>
        </is>
      </c>
      <c r="D56" s="445" t="n">
        <v>99000</v>
      </c>
      <c r="E56" s="458" t="n">
        <v>360</v>
      </c>
      <c r="F56" s="447" t="n"/>
      <c r="I56" s="448" t="n">
        <v>2</v>
      </c>
      <c r="J56" s="449" t="inlineStr">
        <is>
          <t>manual — description does not state the count</t>
        </is>
      </c>
      <c r="AD56" s="455" t="inlineStr">
        <is>
          <t>TP5-360-480-2-300</t>
        </is>
      </c>
      <c r="AE56" s="456" t="inlineStr">
        <is>
          <t>all_in_one</t>
        </is>
      </c>
    </row>
    <row r="57" ht="44" customHeight="1" s="252">
      <c r="A57" s="261" t="inlineStr">
        <is>
          <t>_kW360</t>
        </is>
      </c>
      <c r="B57" s="261" t="inlineStr">
        <is>
          <t>TP5-360-480-4-300</t>
        </is>
      </c>
      <c r="C57" s="371" t="inlineStr">
        <is>
          <t xml:space="preserve">360kW DCFC All In One Charger - 1000VDC, Cables: 400A NACS / 400A NACS ;  Can charge 2 cars simultaneously with 180kW each ; 4G Modem </t>
        </is>
      </c>
      <c r="D57" s="445" t="n">
        <v>99000</v>
      </c>
      <c r="E57" s="458" t="n">
        <v>360</v>
      </c>
      <c r="F57" s="447" t="n"/>
      <c r="I57" s="448" t="n">
        <v>2</v>
      </c>
      <c r="J57" s="449" t="inlineStr">
        <is>
          <t>manual — description does not state the count</t>
        </is>
      </c>
      <c r="AD57" s="455" t="inlineStr">
        <is>
          <t>TP5-360-480-3-300</t>
        </is>
      </c>
      <c r="AE57" s="456" t="inlineStr">
        <is>
          <t>all_in_one</t>
        </is>
      </c>
    </row>
    <row r="58" ht="56" customHeight="1" s="252">
      <c r="A58" s="261" t="inlineStr">
        <is>
          <t>_kW360</t>
        </is>
      </c>
      <c r="B58" s="261" t="inlineStr">
        <is>
          <t>HPC-360-480-1</t>
        </is>
      </c>
      <c r="C58" s="371" t="inlineStr">
        <is>
          <t>360kW HPC All In One Charger - 500 Amps / 1000VDC with Liquid Cooled Connector for CCS1 &amp; NACS(~14ft) ; Can deliver 500A on CCS coonnector. Can charge 2 cars simultane</t>
        </is>
      </c>
      <c r="D58" s="445" t="n">
        <v>110000</v>
      </c>
      <c r="E58" s="458" t="n">
        <v>360</v>
      </c>
      <c r="F58" s="447" t="n"/>
      <c r="I58" s="448" t="n">
        <v>2</v>
      </c>
      <c r="J58" s="449" t="inlineStr">
        <is>
          <t>connectors named in the description</t>
        </is>
      </c>
      <c r="AD58" s="455" t="inlineStr">
        <is>
          <t>TP5-360-480-4-300</t>
        </is>
      </c>
      <c r="AE58" s="456" t="inlineStr">
        <is>
          <t>all_in_one</t>
        </is>
      </c>
    </row>
    <row r="59" ht="56" customHeight="1" s="252">
      <c r="A59" s="261" t="inlineStr">
        <is>
          <t>_kW360</t>
        </is>
      </c>
      <c r="B59" s="261" t="inlineStr">
        <is>
          <t>HPC-360-480-2</t>
        </is>
      </c>
      <c r="C59" s="371" t="inlineStr">
        <is>
          <t>360kW HPC All In One Charger - 500 Amps / 1000VDC with Liquid Cooled Connector for Dual CCS1 ; Can deliver 500A on one CCS coonnector and 400A on each connector if used s</t>
        </is>
      </c>
      <c r="D59" s="445" t="n">
        <v>110000</v>
      </c>
      <c r="E59" s="458" t="n">
        <v>360</v>
      </c>
      <c r="F59" s="447" t="n"/>
      <c r="I59" s="448" t="n">
        <v>2</v>
      </c>
      <c r="J59" s="449" t="inlineStr">
        <is>
          <t>description says Dual</t>
        </is>
      </c>
      <c r="AD59" s="455" t="inlineStr">
        <is>
          <t>HPC-360-480-1</t>
        </is>
      </c>
      <c r="AE59" s="456" t="inlineStr">
        <is>
          <t>all_in_one</t>
        </is>
      </c>
    </row>
    <row r="60" ht="56" customHeight="1" s="252">
      <c r="A60" s="261" t="inlineStr">
        <is>
          <t>_kW360</t>
        </is>
      </c>
      <c r="B60" s="261" t="inlineStr">
        <is>
          <t>HPC-360-480-3</t>
        </is>
      </c>
      <c r="C60" s="371" t="inlineStr">
        <is>
          <t xml:space="preserve">360kW HPC All In One Charger - 500 Amps / 1000VDC with Liquid Cooled Connector for CCS1 &amp; NACS ; Can deliver 500A on CCS coonnector. Can charge 2 cars simultaneously; 4G </t>
        </is>
      </c>
      <c r="D60" s="445" t="n">
        <v>110000</v>
      </c>
      <c r="E60" s="458" t="n">
        <v>360</v>
      </c>
      <c r="F60" s="447" t="n"/>
      <c r="I60" s="448" t="n">
        <v>2</v>
      </c>
      <c r="J60" s="449" t="inlineStr">
        <is>
          <t>connectors named in the description</t>
        </is>
      </c>
      <c r="AD60" s="455" t="inlineStr">
        <is>
          <t>HPC-360-480-2</t>
        </is>
      </c>
      <c r="AE60" s="456" t="inlineStr">
        <is>
          <t>all_in_one</t>
        </is>
      </c>
    </row>
    <row r="61" ht="56" customHeight="1" s="252">
      <c r="A61" s="261" t="inlineStr">
        <is>
          <t>_kW360</t>
        </is>
      </c>
      <c r="B61" s="261" t="inlineStr">
        <is>
          <t>HPC-360-480-4</t>
        </is>
      </c>
      <c r="C61" s="371" t="inlineStr">
        <is>
          <t xml:space="preserve">360kW HPC All In One Charger - 500 Amps / 1000VDC with Liquid Cooled Connector for NACS / NACS ; Can deliver 500A on CCS coonnector. Can charge 2 cars simultaneously; 4G </t>
        </is>
      </c>
      <c r="D61" s="445" t="n">
        <v>110000</v>
      </c>
      <c r="E61" s="458" t="n">
        <v>360</v>
      </c>
      <c r="F61" s="447" t="n"/>
      <c r="I61" s="448" t="n">
        <v>2</v>
      </c>
      <c r="J61" s="449" t="inlineStr">
        <is>
          <t>connectors named in the description</t>
        </is>
      </c>
      <c r="AD61" s="455" t="inlineStr">
        <is>
          <t>HPC-360-480-3</t>
        </is>
      </c>
      <c r="AE61" s="456" t="inlineStr">
        <is>
          <t>all_in_one</t>
        </is>
      </c>
    </row>
    <row r="62" ht="15" customHeight="1" s="252">
      <c r="A62" s="261" t="inlineStr">
        <is>
          <t>_Distributed_System</t>
        </is>
      </c>
      <c r="B62" s="261" t="inlineStr">
        <is>
          <t>CTX-DSPB-360</t>
        </is>
      </c>
      <c r="C62" s="261" t="inlineStr">
        <is>
          <t>360kW Tower</t>
        </is>
      </c>
      <c r="D62" s="445" t="n">
        <v>81400</v>
      </c>
      <c r="E62" s="458" t="n">
        <v>360</v>
      </c>
      <c r="F62" s="447" t="n"/>
      <c r="J62" s="449" t="inlineStr">
        <is>
          <t>distributed system — the architecture table holds this</t>
        </is>
      </c>
      <c r="AD62" s="455" t="inlineStr">
        <is>
          <t>HPC-360-480-4</t>
        </is>
      </c>
      <c r="AE62" s="456" t="inlineStr">
        <is>
          <t>all_in_one</t>
        </is>
      </c>
    </row>
    <row r="63" ht="15" customHeight="1" s="252">
      <c r="A63" s="261" t="inlineStr">
        <is>
          <t>_Distributed_System</t>
        </is>
      </c>
      <c r="B63" s="261" t="inlineStr">
        <is>
          <t>CTX-DSPB-480</t>
        </is>
      </c>
      <c r="C63" s="261" t="inlineStr">
        <is>
          <t>480kW Tower</t>
        </is>
      </c>
      <c r="D63" s="445" t="n">
        <v>90200</v>
      </c>
      <c r="E63" s="458" t="n">
        <v>480</v>
      </c>
      <c r="F63" s="447" t="n"/>
      <c r="J63" s="449" t="inlineStr">
        <is>
          <t>distributed system — the architecture table holds this</t>
        </is>
      </c>
      <c r="AD63" s="455" t="inlineStr">
        <is>
          <t>CTX-DSPB-360</t>
        </is>
      </c>
      <c r="AE63" s="456" t="inlineStr">
        <is>
          <t>power_cabinet</t>
        </is>
      </c>
    </row>
    <row r="64" ht="15" customHeight="1" s="252">
      <c r="A64" s="261" t="inlineStr">
        <is>
          <t>_Distributed_System</t>
        </is>
      </c>
      <c r="B64" s="261" t="inlineStr">
        <is>
          <t>CTX-DSPB-1280</t>
        </is>
      </c>
      <c r="C64" s="261" t="inlineStr">
        <is>
          <t>1,280kW Tower</t>
        </is>
      </c>
      <c r="D64" s="445" t="n">
        <v>225000</v>
      </c>
      <c r="E64" s="458" t="n">
        <v>1280</v>
      </c>
      <c r="F64" s="447" t="n"/>
      <c r="J64" s="449" t="inlineStr">
        <is>
          <t>distributed system — the architecture table holds this</t>
        </is>
      </c>
      <c r="AD64" s="455" t="inlineStr">
        <is>
          <t>CTX-DSPB-480</t>
        </is>
      </c>
      <c r="AE64" s="456" t="inlineStr">
        <is>
          <t>power_cabinet</t>
        </is>
      </c>
    </row>
    <row r="65" ht="15" customHeight="1" s="252">
      <c r="A65" s="261" t="inlineStr">
        <is>
          <t>_Distributed_System</t>
        </is>
      </c>
      <c r="B65" s="261" t="inlineStr">
        <is>
          <t>CTX-DST-2-300</t>
        </is>
      </c>
      <c r="C65" s="261" t="inlineStr">
        <is>
          <t>Dispenser 300/300</t>
        </is>
      </c>
      <c r="D65" s="445" t="n">
        <v>35200</v>
      </c>
      <c r="E65" s="446" t="n"/>
      <c r="F65" s="447" t="n"/>
      <c r="J65" s="449" t="inlineStr">
        <is>
          <t>distributed system — the architecture table holds this</t>
        </is>
      </c>
      <c r="AD65" s="455" t="inlineStr">
        <is>
          <t>CTX-DSPB-1280</t>
        </is>
      </c>
      <c r="AE65" s="456" t="inlineStr">
        <is>
          <t>power_cabinet</t>
        </is>
      </c>
    </row>
    <row r="66" ht="15" customHeight="1" s="252">
      <c r="A66" s="261" t="inlineStr">
        <is>
          <t>_Distributed_System</t>
        </is>
      </c>
      <c r="B66" s="261" t="inlineStr">
        <is>
          <t>CTX-DST-HPC-2-500/300</t>
        </is>
      </c>
      <c r="C66" s="261" t="inlineStr">
        <is>
          <t>Dispenser 500/300</t>
        </is>
      </c>
      <c r="D66" s="445" t="n">
        <v>49500</v>
      </c>
      <c r="E66" s="446" t="n"/>
      <c r="F66" s="447" t="n"/>
      <c r="J66" s="449" t="inlineStr">
        <is>
          <t>distributed system — the architecture table holds this</t>
        </is>
      </c>
      <c r="AD66" s="455" t="inlineStr">
        <is>
          <t>CTX-DST-2-300</t>
        </is>
      </c>
      <c r="AE66" s="456" t="inlineStr">
        <is>
          <t>dispenser</t>
        </is>
      </c>
    </row>
    <row r="67" ht="44" customHeight="1" s="252">
      <c r="A67" s="261" t="inlineStr">
        <is>
          <t>_Buy_America</t>
        </is>
      </c>
      <c r="B67" s="261" t="inlineStr">
        <is>
          <t>TP5-60-480-2-BAA</t>
        </is>
      </c>
      <c r="C67" s="371" t="inlineStr">
        <is>
          <t xml:space="preserve">Buy America NEVI Compliant, Assembled in CA, USA 60kW DCFC - 140 Amps / 1000VDC with CCS1 &amp; CCS1(~16ft) ; 4G Modem </t>
        </is>
      </c>
      <c r="D67" s="445" t="n">
        <v>68200</v>
      </c>
      <c r="E67" s="446" t="n"/>
      <c r="F67" s="447" t="n"/>
      <c r="I67" s="448" t="n">
        <v>2</v>
      </c>
      <c r="J67" s="449" t="inlineStr">
        <is>
          <t>connectors named in the description</t>
        </is>
      </c>
      <c r="AD67" s="455" t="inlineStr">
        <is>
          <t>CTX-DST-HPC-2-500/300</t>
        </is>
      </c>
      <c r="AE67" s="456" t="inlineStr">
        <is>
          <t>dispenser</t>
        </is>
      </c>
    </row>
    <row r="68" ht="32" customHeight="1" s="252">
      <c r="A68" s="261" t="inlineStr">
        <is>
          <t>_Buy_America</t>
        </is>
      </c>
      <c r="B68" s="261" t="inlineStr">
        <is>
          <t>TP5-60-480-3-BAA</t>
        </is>
      </c>
      <c r="C68" s="371" t="inlineStr">
        <is>
          <t xml:space="preserve">Buy America NEVI Compliant, Assembled in CA, USA 60kW DCFC - 140 Amps / 1000VDC with CCS1 &amp; NACS ; 4G Modem </t>
        </is>
      </c>
      <c r="D68" s="445" t="n">
        <v>68200</v>
      </c>
      <c r="E68" s="446" t="n"/>
      <c r="F68" s="447" t="n"/>
      <c r="I68" s="448" t="n">
        <v>2</v>
      </c>
      <c r="J68" s="449" t="inlineStr">
        <is>
          <t>connectors named in the description</t>
        </is>
      </c>
      <c r="AD68" s="455" t="inlineStr">
        <is>
          <t>TP5-60-480-2-BAA</t>
        </is>
      </c>
      <c r="AE68" s="456" t="inlineStr">
        <is>
          <t>all_in_one</t>
        </is>
      </c>
    </row>
    <row r="69" ht="32" customHeight="1" s="252">
      <c r="A69" s="261" t="inlineStr">
        <is>
          <t>_Buy_America</t>
        </is>
      </c>
      <c r="B69" s="261" t="inlineStr">
        <is>
          <t>TP5-60-480-4-BAA</t>
        </is>
      </c>
      <c r="C69" s="371" t="inlineStr">
        <is>
          <t xml:space="preserve">Buy America NEVI Compliant, Assembled in CA, USA 60kW DCFC - 140 Amps / 1000VDC with NACS &amp; NACS ; 4G Modem </t>
        </is>
      </c>
      <c r="D69" s="445" t="n">
        <v>68200</v>
      </c>
      <c r="E69" s="446" t="n"/>
      <c r="F69" s="447" t="n"/>
      <c r="I69" s="448" t="n">
        <v>2</v>
      </c>
      <c r="J69" s="449" t="inlineStr">
        <is>
          <t>connectors named in the description</t>
        </is>
      </c>
      <c r="AD69" s="455" t="inlineStr">
        <is>
          <t>TP5-60-480-3-BAA</t>
        </is>
      </c>
      <c r="AE69" s="456" t="inlineStr">
        <is>
          <t>all_in_one</t>
        </is>
      </c>
    </row>
    <row r="70" ht="56" customHeight="1" s="252">
      <c r="A70" s="261" t="inlineStr">
        <is>
          <t>_Buy_America</t>
        </is>
      </c>
      <c r="B70" s="261" t="inlineStr">
        <is>
          <t>TP5-120-480-2-300-BAA</t>
        </is>
      </c>
      <c r="C70" s="371" t="inlineStr">
        <is>
          <t xml:space="preserve">Buy America NEVI Compliant, Assembled in CA, USA 120kW DCFC All In One Charger - 350A Cable / 1000VDC with CCS1 &amp; CCS1(~16ft); Can charge 2 cars simultaneously with 60kW </t>
        </is>
      </c>
      <c r="D70" s="445" t="n">
        <v>75900</v>
      </c>
      <c r="E70" s="446" t="n"/>
      <c r="F70" s="447" t="n"/>
      <c r="I70" s="448" t="n">
        <v>2</v>
      </c>
      <c r="J70" s="449" t="inlineStr">
        <is>
          <t>connectors named in the description</t>
        </is>
      </c>
      <c r="AD70" s="455" t="inlineStr">
        <is>
          <t>TP5-60-480-4-BAA</t>
        </is>
      </c>
      <c r="AE70" s="456" t="inlineStr">
        <is>
          <t>all_in_one</t>
        </is>
      </c>
    </row>
    <row r="71" ht="56" customHeight="1" s="252">
      <c r="A71" s="261" t="inlineStr">
        <is>
          <t>_Buy_America</t>
        </is>
      </c>
      <c r="B71" s="261" t="inlineStr">
        <is>
          <t>TP5-120-480-3-300-BAA</t>
        </is>
      </c>
      <c r="C71" s="371" t="inlineStr">
        <is>
          <t xml:space="preserve">Buy America NEVI Compliant, Assembled in CA, USA 120kW DCFC All In One Charger - 350A Cable / 1000VDC with CCS1 &amp; NACS; Can charge 2 cars simultaneously with 60kW each ; </t>
        </is>
      </c>
      <c r="D71" s="445" t="n">
        <v>75900</v>
      </c>
      <c r="E71" s="446" t="n"/>
      <c r="F71" s="447" t="n"/>
      <c r="I71" s="448" t="n">
        <v>2</v>
      </c>
      <c r="J71" s="449" t="inlineStr">
        <is>
          <t>connectors named in the description</t>
        </is>
      </c>
      <c r="AD71" s="455" t="inlineStr">
        <is>
          <t>TP5-120-480-2-300-BAA</t>
        </is>
      </c>
      <c r="AE71" s="456" t="inlineStr">
        <is>
          <t>all_in_one</t>
        </is>
      </c>
    </row>
    <row r="72" ht="56" customHeight="1" s="252">
      <c r="A72" s="261" t="inlineStr">
        <is>
          <t>_Buy_America</t>
        </is>
      </c>
      <c r="B72" s="261" t="inlineStr">
        <is>
          <t>TP5-120-480-4-300-BAA</t>
        </is>
      </c>
      <c r="C72" s="371" t="inlineStr">
        <is>
          <t xml:space="preserve">Buy America NEVI Compliant, Assembled in CA, USA 120kW DCFC All In One Charger - 350A Cable / 1000VDC with NACS &amp; NACS(~16ft); Can charge 2 cars simultaneously with 60kW </t>
        </is>
      </c>
      <c r="D72" s="445" t="n">
        <v>75900</v>
      </c>
      <c r="E72" s="446" t="n"/>
      <c r="F72" s="447" t="n"/>
      <c r="I72" s="448" t="n">
        <v>2</v>
      </c>
      <c r="J72" s="449" t="inlineStr">
        <is>
          <t>connectors named in the description</t>
        </is>
      </c>
      <c r="AD72" s="455" t="inlineStr">
        <is>
          <t>TP5-120-480-3-300-BAA</t>
        </is>
      </c>
      <c r="AE72" s="456" t="inlineStr">
        <is>
          <t>all_in_one</t>
        </is>
      </c>
    </row>
    <row r="73" ht="56" customHeight="1" s="252">
      <c r="A73" s="261" t="inlineStr">
        <is>
          <t>_Buy_America</t>
        </is>
      </c>
      <c r="B73" s="261" t="inlineStr">
        <is>
          <t>TP5-180-480-2-BAA</t>
        </is>
      </c>
      <c r="C73" s="371" t="inlineStr">
        <is>
          <t xml:space="preserve">Buy America NEVI Compliant, Assembled in CA, USA 180kW Air Cooled 350A Cable (BAA) CCS1 / CCS1 1000VDC Connector for Dual CCS1; Can deliver 350A on one CCS conector. Set </t>
        </is>
      </c>
      <c r="D73" s="445" t="n">
        <v>82500</v>
      </c>
      <c r="E73" s="446" t="n"/>
      <c r="F73" s="447" t="n"/>
      <c r="I73" s="448" t="n">
        <v>2</v>
      </c>
      <c r="J73" s="449" t="inlineStr">
        <is>
          <t>description says Dual</t>
        </is>
      </c>
      <c r="AD73" s="455" t="inlineStr">
        <is>
          <t>TP5-120-480-4-300-BAA</t>
        </is>
      </c>
      <c r="AE73" s="456" t="inlineStr">
        <is>
          <t>all_in_one</t>
        </is>
      </c>
    </row>
    <row r="74" ht="56" customHeight="1" s="252">
      <c r="A74" s="261" t="inlineStr">
        <is>
          <t>_Buy_America</t>
        </is>
      </c>
      <c r="B74" s="261" t="inlineStr">
        <is>
          <t>TP5-180-480-3-BAA</t>
        </is>
      </c>
      <c r="C74" s="371" t="inlineStr">
        <is>
          <t>Buy America NEVI Compliant, Assembled in CA, USA 180kW Air Cooled 350A Cable (BAA)  CCS1 / NACS 1000VDC Connector for Dual CCS1; Can deliver 350A on one CCS conector. Set</t>
        </is>
      </c>
      <c r="D74" s="445" t="n">
        <v>82500</v>
      </c>
      <c r="E74" s="446" t="n"/>
      <c r="F74" s="447" t="n"/>
      <c r="I74" s="448" t="n">
        <v>2</v>
      </c>
      <c r="J74" s="449" t="inlineStr">
        <is>
          <t>description says Dual</t>
        </is>
      </c>
      <c r="AD74" s="455" t="inlineStr">
        <is>
          <t>TP5-180-480-2-BAA</t>
        </is>
      </c>
      <c r="AE74" s="456" t="inlineStr">
        <is>
          <t>all_in_one</t>
        </is>
      </c>
    </row>
    <row r="75" ht="56" customHeight="1" s="252">
      <c r="A75" s="261" t="inlineStr">
        <is>
          <t>_Buy_America</t>
        </is>
      </c>
      <c r="B75" s="261" t="inlineStr">
        <is>
          <t>TP5-180-480-4-BAA</t>
        </is>
      </c>
      <c r="C75" s="371" t="inlineStr">
        <is>
          <t xml:space="preserve">Buy America NEVI Compliant, Assembled in CA, USA 180kW Air Cooled 350A Cable (BAA) NACS / NACS 1000VDC Connector for Dual CCS1; Can deliver 350A on one CCS conector. Set </t>
        </is>
      </c>
      <c r="D75" s="445" t="n">
        <v>82500</v>
      </c>
      <c r="E75" s="446" t="n"/>
      <c r="F75" s="447" t="n"/>
      <c r="I75" s="448" t="n">
        <v>2</v>
      </c>
      <c r="J75" s="449" t="inlineStr">
        <is>
          <t>description says Dual</t>
        </is>
      </c>
      <c r="AD75" s="455" t="inlineStr">
        <is>
          <t>TP5-180-480-3-BAA</t>
        </is>
      </c>
      <c r="AE75" s="456" t="inlineStr">
        <is>
          <t>all_in_one</t>
        </is>
      </c>
    </row>
    <row r="76" ht="56" customHeight="1" s="252">
      <c r="A76" s="261" t="inlineStr">
        <is>
          <t>_Buy_America</t>
        </is>
      </c>
      <c r="B76" s="261" t="inlineStr">
        <is>
          <t>HPC-180-480-2-BAA</t>
        </is>
      </c>
      <c r="C76" s="371" t="inlineStr">
        <is>
          <t>Buy America NEVI Compliant, Assembled in CA, USA 180kW Liquid Cooled (BAA) Dual CCS1 500 Amps / 1000VDC with Liquid Cooled Connector for Dual CCS1 ; Can deliver 450A on o</t>
        </is>
      </c>
      <c r="D76" s="445" t="n">
        <v>82500</v>
      </c>
      <c r="E76" s="446" t="n"/>
      <c r="F76" s="447" t="n"/>
      <c r="I76" s="448" t="n">
        <v>2</v>
      </c>
      <c r="J76" s="449" t="inlineStr">
        <is>
          <t>description says Dual</t>
        </is>
      </c>
      <c r="AD76" s="455" t="inlineStr">
        <is>
          <t>TP5-180-480-4-BAA</t>
        </is>
      </c>
      <c r="AE76" s="456" t="inlineStr">
        <is>
          <t>all_in_one</t>
        </is>
      </c>
    </row>
    <row r="77" ht="56" customHeight="1" s="252">
      <c r="A77" s="261" t="inlineStr">
        <is>
          <t>_Buy_America</t>
        </is>
      </c>
      <c r="B77" s="261" t="inlineStr">
        <is>
          <t>HPC-180-480-3-BAA</t>
        </is>
      </c>
      <c r="C77" s="371" t="inlineStr">
        <is>
          <t>Buy America NEVI Compliant, Assembled in CA, USA 180kW Liquid Cooled (BAA) CCS1 / NACS 1000VDC with Liquid Cooled Connector for Dual CCS1 ; Can deliver 450A on one CCS co</t>
        </is>
      </c>
      <c r="D77" s="445" t="n">
        <v>82500</v>
      </c>
      <c r="E77" s="446" t="n"/>
      <c r="F77" s="447" t="n"/>
      <c r="I77" s="448" t="n">
        <v>2</v>
      </c>
      <c r="J77" s="449" t="inlineStr">
        <is>
          <t>description says Dual</t>
        </is>
      </c>
      <c r="AD77" s="455" t="inlineStr">
        <is>
          <t>HPC-180-480-2-BAA</t>
        </is>
      </c>
      <c r="AE77" s="456" t="inlineStr">
        <is>
          <t>all_in_one</t>
        </is>
      </c>
    </row>
    <row r="78" ht="56" customHeight="1" s="252">
      <c r="A78" s="261" t="inlineStr">
        <is>
          <t>_Buy_America</t>
        </is>
      </c>
      <c r="B78" s="261" t="inlineStr">
        <is>
          <t>HPC-180-480-4-BAA</t>
        </is>
      </c>
      <c r="C78" s="371" t="inlineStr">
        <is>
          <t>Buy America NEVI Compliant, Assembled in CA, USA 180kW Liquid Cooled (BAA) NACS /NACS 1000VDC with Liquid Cooled Connector for Dual CCS1 ; Can deliver 450A on one CCS con</t>
        </is>
      </c>
      <c r="D78" s="445" t="n">
        <v>82500</v>
      </c>
      <c r="E78" s="446" t="n"/>
      <c r="F78" s="447" t="n"/>
      <c r="I78" s="448" t="n">
        <v>2</v>
      </c>
      <c r="J78" s="449" t="inlineStr">
        <is>
          <t>description says Dual</t>
        </is>
      </c>
      <c r="AD78" s="455" t="inlineStr">
        <is>
          <t>HPC-180-480-3-BAA</t>
        </is>
      </c>
      <c r="AE78" s="456" t="inlineStr">
        <is>
          <t>all_in_one</t>
        </is>
      </c>
    </row>
    <row r="79" ht="56" customHeight="1" s="252">
      <c r="A79" s="261" t="inlineStr">
        <is>
          <t>_Buy_America</t>
        </is>
      </c>
      <c r="B79" s="261" t="inlineStr">
        <is>
          <t>TP5-360-480-2-BAA</t>
        </is>
      </c>
      <c r="C79" s="371" t="inlineStr">
        <is>
          <t>Buy America NEVI Compliant 360kW Air Cooled 350A Cable (BAA) Dual CCS1 / 1000VDC Connector for Dual CCS1 ; Can deliver 350A on one CCS connector and 350A on each connecto</t>
        </is>
      </c>
      <c r="D79" s="445" t="n">
        <v>138600</v>
      </c>
      <c r="E79" s="446" t="n"/>
      <c r="F79" s="447" t="n"/>
      <c r="I79" s="448" t="n">
        <v>2</v>
      </c>
      <c r="J79" s="449" t="inlineStr">
        <is>
          <t>description says Dual</t>
        </is>
      </c>
      <c r="AD79" s="455" t="inlineStr">
        <is>
          <t>HPC-180-480-4-BAA</t>
        </is>
      </c>
      <c r="AE79" s="456" t="inlineStr">
        <is>
          <t>all_in_one</t>
        </is>
      </c>
    </row>
    <row r="80" ht="56" customHeight="1" s="252">
      <c r="A80" s="261" t="inlineStr">
        <is>
          <t>_Buy_America</t>
        </is>
      </c>
      <c r="B80" s="261" t="inlineStr">
        <is>
          <t>TP5-360-480-3-BAA</t>
        </is>
      </c>
      <c r="C80" s="371" t="inlineStr">
        <is>
          <t>Buy America NEVI Compliant 360kW Air Cooled 350A Cable (BAA) Dual CCS1 / 1000VDC Connector for CCS1/NACS ; Can deliver 350A on one CCS connector and 350A on each connecto</t>
        </is>
      </c>
      <c r="D80" s="445" t="n">
        <v>138600</v>
      </c>
      <c r="E80" s="446" t="n"/>
      <c r="F80" s="447" t="n"/>
      <c r="I80" s="448" t="n">
        <v>2</v>
      </c>
      <c r="J80" s="449" t="inlineStr">
        <is>
          <t>description says Dual</t>
        </is>
      </c>
      <c r="AD80" s="455" t="inlineStr">
        <is>
          <t>TP5-360-480-2-BAA</t>
        </is>
      </c>
      <c r="AE80" s="456" t="inlineStr">
        <is>
          <t>all_in_one</t>
        </is>
      </c>
    </row>
    <row r="81" ht="56" customHeight="1" s="252">
      <c r="A81" s="261" t="inlineStr">
        <is>
          <t>_Buy_America</t>
        </is>
      </c>
      <c r="B81" s="261" t="inlineStr">
        <is>
          <t>TP5-360-480-4-BAA</t>
        </is>
      </c>
      <c r="C81" s="371" t="inlineStr">
        <is>
          <t>Buy America NEVI Compliant 360kW Air Cooled 350A Cable (BAA) Dual CCS1 / 1000VDC Connector for NACS/NACS ; Can deliver 350A on one CCS connector and 350A on each connecto</t>
        </is>
      </c>
      <c r="D81" s="445" t="n">
        <v>138600</v>
      </c>
      <c r="E81" s="446" t="n"/>
      <c r="F81" s="447" t="n"/>
      <c r="I81" s="448" t="n">
        <v>2</v>
      </c>
      <c r="J81" s="449" t="inlineStr">
        <is>
          <t>description says Dual</t>
        </is>
      </c>
      <c r="AD81" s="455" t="inlineStr">
        <is>
          <t>TP5-360-480-3-BAA</t>
        </is>
      </c>
      <c r="AE81" s="456" t="inlineStr">
        <is>
          <t>all_in_one</t>
        </is>
      </c>
    </row>
    <row r="82" ht="56" customHeight="1" s="252">
      <c r="A82" s="261" t="inlineStr">
        <is>
          <t>_Buy_America</t>
        </is>
      </c>
      <c r="B82" s="261" t="inlineStr">
        <is>
          <t>HPC-360-480-2-BAA</t>
        </is>
      </c>
      <c r="C82" s="371" t="inlineStr">
        <is>
          <t>Buy America NEVI Compliant 360kW Liquid Cooled (BAA) 500 Amps / 1000VDC with Liquid Cooled Connector for Dual CCS1 ; Can deliver 500A on one CCS connector and 400A on eac</t>
        </is>
      </c>
      <c r="D82" s="445" t="n">
        <v>137500</v>
      </c>
      <c r="E82" s="446" t="n"/>
      <c r="F82" s="447" t="n"/>
      <c r="I82" s="448" t="n">
        <v>2</v>
      </c>
      <c r="J82" s="449" t="inlineStr">
        <is>
          <t>description says Dual</t>
        </is>
      </c>
      <c r="AD82" s="455" t="inlineStr">
        <is>
          <t>TP5-360-480-4-BAA</t>
        </is>
      </c>
      <c r="AE82" s="456" t="inlineStr">
        <is>
          <t>all_in_one</t>
        </is>
      </c>
    </row>
    <row r="83" ht="56" customHeight="1" s="252">
      <c r="A83" s="261" t="inlineStr">
        <is>
          <t>_Buy_America</t>
        </is>
      </c>
      <c r="B83" s="261" t="inlineStr">
        <is>
          <t>HPC-360-480-3-BAA</t>
        </is>
      </c>
      <c r="C83" s="371" t="inlineStr">
        <is>
          <t>Buy America NEVI Compliant 360kW Liquid Cooled (BAA) 500 Amps / 1000VDC with Liquid Cooled Connector for CCS1/NACS ; Can deliver 500A on one CCS connector and 400A on eac</t>
        </is>
      </c>
      <c r="D83" s="445" t="n">
        <v>137500</v>
      </c>
      <c r="E83" s="446" t="n"/>
      <c r="F83" s="447" t="n"/>
      <c r="I83" s="448" t="n">
        <v>2</v>
      </c>
      <c r="J83" s="449" t="inlineStr">
        <is>
          <t>connectors named in the description</t>
        </is>
      </c>
      <c r="AD83" s="455" t="inlineStr">
        <is>
          <t>HPC-360-480-2-BAA</t>
        </is>
      </c>
      <c r="AE83" s="456" t="inlineStr">
        <is>
          <t>all_in_one</t>
        </is>
      </c>
    </row>
    <row r="84" ht="56" customHeight="1" s="252">
      <c r="A84" s="261" t="inlineStr">
        <is>
          <t>_Buy_America</t>
        </is>
      </c>
      <c r="B84" s="261" t="inlineStr">
        <is>
          <t>HPC-360-480-4-BAA</t>
        </is>
      </c>
      <c r="C84" s="371" t="inlineStr">
        <is>
          <t>Buy America NEVI Compliant 360kW Liquid Cooled (BAA) 500 Amps / 1000VDC with Liquid Cooled Connector for NACS/NACS ; Can deliver 500A on one CCS connector and 400A on eac</t>
        </is>
      </c>
      <c r="D84" s="445" t="n">
        <v>137500</v>
      </c>
      <c r="E84" s="446" t="n"/>
      <c r="F84" s="447" t="n"/>
      <c r="I84" s="448" t="n">
        <v>2</v>
      </c>
      <c r="J84" s="449" t="inlineStr">
        <is>
          <t>connectors named in the description</t>
        </is>
      </c>
      <c r="AD84" s="455" t="inlineStr">
        <is>
          <t>HPC-360-480-3-BAA</t>
        </is>
      </c>
      <c r="AE84" s="456" t="inlineStr">
        <is>
          <t>all_in_one</t>
        </is>
      </c>
    </row>
    <row r="85" ht="15" customHeight="1" s="252">
      <c r="A85" s="261" t="inlineStr">
        <is>
          <t>_V2G</t>
        </is>
      </c>
      <c r="B85" s="261" t="inlineStr">
        <is>
          <t>CTX-V2G-20-480-1</t>
        </is>
      </c>
      <c r="C85" s="261" t="inlineStr">
        <is>
          <t>20kW V2G Charger</t>
        </is>
      </c>
      <c r="D85" s="445" t="n">
        <v>16700</v>
      </c>
      <c r="E85" s="446" t="n"/>
      <c r="F85" s="447" t="n"/>
      <c r="I85" s="448" t="n">
        <v>1</v>
      </c>
      <c r="J85" s="449" t="inlineStr">
        <is>
          <t>manual — description does not state the count</t>
        </is>
      </c>
      <c r="AD85" s="455" t="inlineStr">
        <is>
          <t>HPC-360-480-4-BAA</t>
        </is>
      </c>
      <c r="AE85" s="456" t="inlineStr">
        <is>
          <t>all_in_one</t>
        </is>
      </c>
    </row>
    <row r="86" ht="15" customHeight="1" s="252">
      <c r="A86" s="261" t="inlineStr">
        <is>
          <t>_V2G</t>
        </is>
      </c>
      <c r="B86" s="261" t="inlineStr">
        <is>
          <t>CTX-V2G-30-480-1</t>
        </is>
      </c>
      <c r="C86" s="261" t="inlineStr">
        <is>
          <t>30kW V2G Charger</t>
        </is>
      </c>
      <c r="D86" s="445" t="n">
        <v>23800</v>
      </c>
      <c r="E86" s="446" t="n"/>
      <c r="F86" s="447" t="n"/>
      <c r="I86" s="448" t="n">
        <v>1</v>
      </c>
      <c r="J86" s="449" t="inlineStr">
        <is>
          <t>manual — description does not state the count</t>
        </is>
      </c>
      <c r="AD86" s="455" t="inlineStr">
        <is>
          <t>CTX-V2G-20-480-1</t>
        </is>
      </c>
      <c r="AE86" s="456" t="inlineStr">
        <is>
          <t>all_in_one</t>
        </is>
      </c>
    </row>
    <row r="87" ht="15" customHeight="1" s="252">
      <c r="A87" s="261" t="inlineStr">
        <is>
          <t>_V2G</t>
        </is>
      </c>
      <c r="B87" s="261" t="inlineStr">
        <is>
          <t>CTX-V2G-40-480-1</t>
        </is>
      </c>
      <c r="C87" s="261" t="inlineStr">
        <is>
          <t>40kW V2G Charger</t>
        </is>
      </c>
      <c r="D87" s="445" t="n">
        <v>35900</v>
      </c>
      <c r="E87" s="446" t="n"/>
      <c r="F87" s="447" t="n"/>
      <c r="I87" s="448" t="n">
        <v>1</v>
      </c>
      <c r="J87" s="449" t="inlineStr">
        <is>
          <t>manual — description does not state the count</t>
        </is>
      </c>
      <c r="AD87" s="455" t="inlineStr">
        <is>
          <t>CTX-V2G-30-480-1</t>
        </is>
      </c>
      <c r="AE87" s="456" t="inlineStr">
        <is>
          <t>all_in_one</t>
        </is>
      </c>
    </row>
    <row r="88" ht="15" customHeight="1" s="252">
      <c r="A88" s="261" t="inlineStr">
        <is>
          <t>_V2G</t>
        </is>
      </c>
      <c r="B88" s="261" t="inlineStr">
        <is>
          <t>CTX-V2G-60-480-1</t>
        </is>
      </c>
      <c r="C88" s="261" t="inlineStr">
        <is>
          <t>60kW V2G Charger</t>
        </is>
      </c>
      <c r="D88" s="445" t="n">
        <v>50000</v>
      </c>
      <c r="E88" s="446" t="n"/>
      <c r="F88" s="447" t="n"/>
      <c r="I88" s="448" t="n">
        <v>1</v>
      </c>
      <c r="J88" s="449" t="inlineStr">
        <is>
          <t>manual — description does not state the count</t>
        </is>
      </c>
      <c r="AD88" s="455" t="inlineStr">
        <is>
          <t>CTX-V2G-40-480-1</t>
        </is>
      </c>
      <c r="AE88" s="456" t="inlineStr">
        <is>
          <t>all_in_one</t>
        </is>
      </c>
    </row>
    <row r="89" ht="15" customHeight="1" s="252">
      <c r="A89" s="261" t="inlineStr">
        <is>
          <t>_L2_Accessories</t>
        </is>
      </c>
      <c r="B89" s="261" t="inlineStr">
        <is>
          <t>CTX-FLUXPED</t>
        </is>
      </c>
      <c r="C89" s="261" t="inlineStr">
        <is>
          <t>Single Post (no Retraction)</t>
        </is>
      </c>
      <c r="D89" s="445" t="n">
        <v>412.5</v>
      </c>
      <c r="E89" s="446" t="n"/>
      <c r="F89" s="447" t="n"/>
      <c r="I89" s="448" t="n">
        <v>0</v>
      </c>
      <c r="J89" s="449" t="inlineStr">
        <is>
          <t>accessory — not a charging position</t>
        </is>
      </c>
      <c r="AD89" s="455" t="inlineStr">
        <is>
          <t>CTX-V2G-60-480-1</t>
        </is>
      </c>
      <c r="AE89" s="456" t="inlineStr">
        <is>
          <t>all_in_one</t>
        </is>
      </c>
    </row>
    <row r="90" ht="15" customHeight="1" s="252">
      <c r="A90" s="261" t="inlineStr">
        <is>
          <t>_L2_Accessories</t>
        </is>
      </c>
      <c r="B90" s="261" t="inlineStr">
        <is>
          <t>CTX-FLUXWAL-CMS-1</t>
        </is>
      </c>
      <c r="C90" s="261" t="inlineStr">
        <is>
          <t>Single Retractor (Wall)</t>
        </is>
      </c>
      <c r="D90" s="445" t="n">
        <v>275</v>
      </c>
      <c r="E90" s="446" t="n"/>
      <c r="F90" s="447" t="n"/>
      <c r="I90" s="448" t="n">
        <v>0</v>
      </c>
      <c r="J90" s="449" t="inlineStr">
        <is>
          <t>accessory — not a charging position</t>
        </is>
      </c>
      <c r="AD90" s="455" t="inlineStr">
        <is>
          <t>CTX-FLUXPED</t>
        </is>
      </c>
      <c r="AE90" s="456" t="inlineStr">
        <is>
          <t>accessory</t>
        </is>
      </c>
    </row>
    <row r="91" ht="15" customHeight="1" s="252">
      <c r="A91" s="261" t="inlineStr">
        <is>
          <t>_L2_Accessories</t>
        </is>
      </c>
      <c r="B91" s="261" t="inlineStr">
        <is>
          <t>CTX-FLUXPED-CMS-1</t>
        </is>
      </c>
      <c r="C91" s="261" t="inlineStr">
        <is>
          <t>Single Retractor post</t>
        </is>
      </c>
      <c r="D91" s="445" t="n">
        <v>412.5</v>
      </c>
      <c r="E91" s="446" t="n"/>
      <c r="F91" s="447" t="n"/>
      <c r="I91" s="448" t="n">
        <v>0</v>
      </c>
      <c r="J91" s="449" t="inlineStr">
        <is>
          <t>accessory — not a charging position</t>
        </is>
      </c>
      <c r="AD91" s="455" t="inlineStr">
        <is>
          <t>CTX-FLUXWAL-CMS-1</t>
        </is>
      </c>
      <c r="AE91" s="456" t="inlineStr">
        <is>
          <t>accessory</t>
        </is>
      </c>
    </row>
    <row r="92" ht="15" customHeight="1" s="252">
      <c r="A92" s="261" t="inlineStr">
        <is>
          <t>_L2_Accessories</t>
        </is>
      </c>
      <c r="B92" s="261" t="inlineStr">
        <is>
          <t>CTX-FLUXPED-CMS-2</t>
        </is>
      </c>
      <c r="C92" s="261" t="inlineStr">
        <is>
          <t>Dual Retractor (Post)</t>
        </is>
      </c>
      <c r="D92" s="445" t="n">
        <v>632.5</v>
      </c>
      <c r="E92" s="446" t="n"/>
      <c r="F92" s="447" t="n"/>
      <c r="I92" s="448" t="n">
        <v>0</v>
      </c>
      <c r="J92" s="449" t="inlineStr">
        <is>
          <t>accessory — not a charging position</t>
        </is>
      </c>
      <c r="AD92" s="455" t="inlineStr">
        <is>
          <t>CTX-FLUXPED-CMS-1</t>
        </is>
      </c>
      <c r="AE92" s="456" t="inlineStr">
        <is>
          <t>accessory</t>
        </is>
      </c>
    </row>
    <row r="93" ht="15" customHeight="1" s="252">
      <c r="A93" s="261" t="inlineStr">
        <is>
          <t>_L2_Accessories</t>
        </is>
      </c>
      <c r="B93" s="261" t="inlineStr">
        <is>
          <t>CTX-FLUXPED-SBS</t>
        </is>
      </c>
      <c r="C93" s="261" t="inlineStr">
        <is>
          <t>Side By Side Bracket</t>
        </is>
      </c>
      <c r="D93" s="445" t="n">
        <v>137.5</v>
      </c>
      <c r="E93" s="446" t="n"/>
      <c r="F93" s="447" t="n"/>
      <c r="I93" s="448" t="n">
        <v>0</v>
      </c>
      <c r="J93" s="449" t="inlineStr">
        <is>
          <t>accessory — not a charging position</t>
        </is>
      </c>
      <c r="AD93" s="455" t="inlineStr">
        <is>
          <t>CTX-FLUXPED-CMS-2</t>
        </is>
      </c>
      <c r="AE93" s="456" t="inlineStr">
        <is>
          <t>accessory</t>
        </is>
      </c>
    </row>
    <row r="94" ht="15" customHeight="1" s="252">
      <c r="AD94" s="455" t="inlineStr">
        <is>
          <t>CTX-FLUXPED-SBS</t>
        </is>
      </c>
      <c r="AE94" s="456" t="inlineStr">
        <is>
          <t>accessory</t>
        </is>
      </c>
    </row>
    <row r="95" ht="15" customHeight="1" s="252">
      <c r="A95" s="502" t="inlineStr">
        <is>
          <t>SERVICE AND WARRANTY RATES PER CABINET PER YEAR</t>
        </is>
      </c>
    </row>
    <row r="96" ht="32" customHeight="1" s="252">
      <c r="A96" s="266" t="inlineStr">
        <is>
          <t>Class</t>
        </is>
      </c>
      <c r="B96" s="443" t="n"/>
      <c r="C96" s="266" t="inlineStr">
        <is>
          <t>Yearly warranty</t>
        </is>
      </c>
      <c r="D96" s="266" t="inlineStr">
        <is>
          <t>In-warranty service</t>
        </is>
      </c>
      <c r="E96" s="266" t="inlineStr">
        <is>
          <t>Warranty + service, year 3+</t>
        </is>
      </c>
      <c r="F96" s="266" t="inlineStr">
        <is>
          <t>Out-of-warranty service</t>
        </is>
      </c>
      <c r="G96" s="451" t="inlineStr">
        <is>
          <t>Included manufacturer warranty</t>
        </is>
      </c>
    </row>
    <row r="97" ht="15" customHeight="1" s="252">
      <c r="A97" s="261" t="inlineStr">
        <is>
          <t>AC Charger - 7.2 kW UP80J-PMP Single</t>
        </is>
      </c>
      <c r="C97" s="445" t="n">
        <v>416</v>
      </c>
      <c r="D97" s="445" t="n">
        <v>320.11</v>
      </c>
      <c r="E97" s="445" t="n">
        <v>736.11</v>
      </c>
      <c r="F97" s="459" t="inlineStr">
        <is>
          <t>NOT OFFERED</t>
        </is>
      </c>
      <c r="G97" s="505" t="inlineStr">
        <is>
          <t>1 year, parts only</t>
        </is>
      </c>
    </row>
    <row r="98" ht="15" customHeight="1" s="252">
      <c r="A98" s="261" t="inlineStr">
        <is>
          <t>AC Charger - 2 x 7.2 kW UP160J-PMP Dual</t>
        </is>
      </c>
      <c r="C98" s="445" t="n">
        <v>416</v>
      </c>
      <c r="D98" s="445" t="n">
        <v>320.11</v>
      </c>
      <c r="E98" s="445" t="n">
        <v>736.11</v>
      </c>
      <c r="F98" s="459" t="inlineStr">
        <is>
          <t>NOT OFFERED</t>
        </is>
      </c>
      <c r="G98" s="505" t="inlineStr">
        <is>
          <t>1 year, parts only</t>
        </is>
      </c>
    </row>
    <row r="99" ht="15" customHeight="1" s="252">
      <c r="A99" s="261" t="inlineStr">
        <is>
          <t>AC Charger - 7.2 kW UP80J-WMP Single</t>
        </is>
      </c>
      <c r="C99" s="445" t="n">
        <v>416</v>
      </c>
      <c r="D99" s="445" t="n">
        <v>320.11</v>
      </c>
      <c r="E99" s="445" t="n">
        <v>736.11</v>
      </c>
      <c r="F99" s="459" t="inlineStr">
        <is>
          <t>NOT OFFERED</t>
        </is>
      </c>
      <c r="G99" s="505" t="inlineStr">
        <is>
          <t>1 year, parts only</t>
        </is>
      </c>
    </row>
    <row r="100" ht="15" customHeight="1" s="252">
      <c r="A100" s="261" t="inlineStr">
        <is>
          <t>AC Charger - 2 x 7.2 kW UP160J-WMP Dual</t>
        </is>
      </c>
      <c r="C100" s="445" t="n">
        <v>416</v>
      </c>
      <c r="D100" s="445" t="n">
        <v>320.11</v>
      </c>
      <c r="E100" s="445" t="n">
        <v>736.11</v>
      </c>
      <c r="F100" s="459" t="inlineStr">
        <is>
          <t>NOT OFFERED</t>
        </is>
      </c>
      <c r="G100" s="505" t="inlineStr">
        <is>
          <t>1 year, parts only</t>
        </is>
      </c>
    </row>
    <row r="101" ht="15" customHeight="1" s="252">
      <c r="A101" s="261" t="inlineStr">
        <is>
          <t>DC-60kW CCS1 + NACS</t>
        </is>
      </c>
      <c r="C101" s="445" t="n">
        <v>962.84</v>
      </c>
      <c r="D101" s="445" t="n">
        <v>1476.36</v>
      </c>
      <c r="E101" s="445" t="n">
        <v>2439.2</v>
      </c>
      <c r="F101" s="459" t="inlineStr">
        <is>
          <t>NOT OFFERED</t>
        </is>
      </c>
      <c r="G101" s="505" t="inlineStr">
        <is>
          <t>2 years, parts only</t>
        </is>
      </c>
    </row>
    <row r="102" ht="15" customHeight="1" s="252">
      <c r="A102" s="261" t="inlineStr">
        <is>
          <t>DC-120kW CCS1 + NACS</t>
        </is>
      </c>
      <c r="C102" s="445" t="n">
        <v>1196.91</v>
      </c>
      <c r="D102" s="445" t="n">
        <v>1616.76</v>
      </c>
      <c r="E102" s="445" t="n">
        <v>2813.67</v>
      </c>
      <c r="F102" s="459" t="inlineStr">
        <is>
          <t>NOT OFFERED</t>
        </is>
      </c>
      <c r="G102" s="505" t="inlineStr">
        <is>
          <t>2 years, parts only</t>
        </is>
      </c>
    </row>
    <row r="103" ht="15" customHeight="1" s="252">
      <c r="A103" s="261" t="inlineStr">
        <is>
          <t>DC-160kW CCS1 + NACS</t>
        </is>
      </c>
      <c r="C103" s="445" t="n">
        <v>1428.57</v>
      </c>
      <c r="D103" s="445" t="n">
        <v>1879.2</v>
      </c>
      <c r="E103" s="445" t="n">
        <v>3307.77</v>
      </c>
      <c r="F103" s="459" t="inlineStr">
        <is>
          <t>NOT OFFERED</t>
        </is>
      </c>
      <c r="G103" s="505" t="inlineStr">
        <is>
          <t>2 years, parts only</t>
        </is>
      </c>
    </row>
    <row r="104" ht="15" customHeight="1" s="252">
      <c r="A104" s="261" t="inlineStr">
        <is>
          <t>DC-180KW</t>
        </is>
      </c>
      <c r="C104" s="445" t="n">
        <v>1856.844</v>
      </c>
      <c r="D104" s="445" t="n">
        <v>2708.64</v>
      </c>
      <c r="E104" s="445" t="n">
        <v>4565.484</v>
      </c>
      <c r="F104" s="459" t="inlineStr">
        <is>
          <t>NOT OFFERED</t>
        </is>
      </c>
      <c r="G104" s="505" t="inlineStr">
        <is>
          <t>2 years, parts only</t>
        </is>
      </c>
    </row>
    <row r="105" ht="15" customHeight="1" s="252">
      <c r="A105" s="261" t="inlineStr">
        <is>
          <t>DC-240KW</t>
        </is>
      </c>
      <c r="C105" s="445" t="n">
        <v>2708.64</v>
      </c>
      <c r="D105" s="445" t="n">
        <v>6478.754</v>
      </c>
      <c r="E105" s="445" t="n">
        <v>9187.394</v>
      </c>
      <c r="F105" s="459" t="inlineStr">
        <is>
          <t>NOT OFFERED</t>
        </is>
      </c>
      <c r="G105" s="505" t="inlineStr">
        <is>
          <t>2 years, parts only</t>
        </is>
      </c>
    </row>
    <row r="106" ht="15" customHeight="1" s="252">
      <c r="A106" s="261" t="inlineStr">
        <is>
          <t>DC-360kW CCS1 + CCS1</t>
        </is>
      </c>
      <c r="C106" s="445" t="n">
        <v>4051.08</v>
      </c>
      <c r="D106" s="445" t="n">
        <v>4898.88</v>
      </c>
      <c r="E106" s="445" t="n">
        <v>8949.959999999999</v>
      </c>
      <c r="F106" s="459" t="inlineStr">
        <is>
          <t>NOT OFFERED</t>
        </is>
      </c>
      <c r="G106" s="505" t="inlineStr">
        <is>
          <t>2 years, parts only</t>
        </is>
      </c>
    </row>
    <row r="107" ht="15" customHeight="1" s="252">
      <c r="A107" s="261" t="inlineStr">
        <is>
          <t>CTX-DSPB-360</t>
        </is>
      </c>
      <c r="B107" s="460" t="n"/>
      <c r="C107" s="445">
        <f>C106+(C106*25%)</f>
        <v/>
      </c>
      <c r="D107" s="445">
        <f>D106+(D106*25%)</f>
        <v/>
      </c>
      <c r="E107" s="445">
        <f>D107+C107</f>
        <v/>
      </c>
      <c r="F107" s="459" t="inlineStr">
        <is>
          <t>NOT OFFERED</t>
        </is>
      </c>
      <c r="G107" s="505" t="inlineStr">
        <is>
          <t>2 years, parts only</t>
        </is>
      </c>
    </row>
    <row r="108" ht="15" customHeight="1" s="252">
      <c r="A108" s="261" t="inlineStr">
        <is>
          <t>CTX-DSPB-480</t>
        </is>
      </c>
      <c r="B108" s="460" t="n"/>
      <c r="C108" s="445">
        <f>C107+(C107*30%)</f>
        <v/>
      </c>
      <c r="D108" s="445">
        <f>D107+(D107*25%)</f>
        <v/>
      </c>
      <c r="E108" s="445">
        <f>D108+C108</f>
        <v/>
      </c>
      <c r="F108" s="459" t="inlineStr">
        <is>
          <t>NOT OFFERED</t>
        </is>
      </c>
      <c r="G108" s="505" t="inlineStr">
        <is>
          <t>2 years, parts only</t>
        </is>
      </c>
    </row>
    <row r="109" ht="15" customHeight="1" s="252">
      <c r="A109" s="261" t="inlineStr">
        <is>
          <t>CTX-DSPB-1280</t>
        </is>
      </c>
      <c r="B109" s="460" t="n"/>
      <c r="C109" s="445">
        <f>C108+(C108*50%)</f>
        <v/>
      </c>
      <c r="D109" s="445">
        <f>D108+(D108*25%)</f>
        <v/>
      </c>
      <c r="E109" s="445">
        <f>D109+C109</f>
        <v/>
      </c>
      <c r="F109" s="459" t="inlineStr">
        <is>
          <t>NOT OFFERED</t>
        </is>
      </c>
      <c r="G109" s="505" t="inlineStr">
        <is>
          <t>2 years, parts only</t>
        </is>
      </c>
    </row>
    <row r="110" ht="14.25" customHeight="1" s="252">
      <c r="A110" s="261" t="inlineStr">
        <is>
          <t>CTX-DST-2-300/CTX-DST-HPC-2-500/300</t>
        </is>
      </c>
      <c r="C110" s="445" t="n">
        <v>962.84</v>
      </c>
      <c r="D110" s="445" t="n">
        <v>1476.36</v>
      </c>
      <c r="E110" s="445">
        <f>D110+C110</f>
        <v/>
      </c>
    </row>
    <row r="111" ht="32" customHeight="1" s="252">
      <c r="A111" s="461"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row>
    <row r="112" ht="20" customHeight="1" s="252">
      <c r="A112" s="283" t="inlineStr">
        <is>
          <t>The year-3+ rate is the yearly warranty plus the in-warranty service rate. Extending the warranty does not change what service costs; it adds back the warranty the manufacturer previously gave.</t>
        </is>
      </c>
    </row>
    <row r="114" ht="14.25" customHeight="1" s="252">
      <c r="E114" s="462" t="n"/>
    </row>
    <row r="115" ht="32" customHeight="1" s="252">
      <c r="A115" s="335" t="inlineStr">
        <is>
          <t>EQUIPMENT ARCHITECTURE — what each SKU is, not just what it costs</t>
        </is>
      </c>
    </row>
    <row r="116" ht="20" customHeight="1" s="252">
      <c r="A116" s="283" t="inlineStr">
        <is>
          <t>A power cabinet takes AC and produces DC and has no connectors. A dispenser has the connectors and no power of its own. An all-in-one is both in one enclosure. The role decides whether a row adds load, ports, both or neither — see 2_Equipment.</t>
        </is>
      </c>
    </row>
    <row r="117" ht="20" customHeight="1" s="252">
      <c r="A117" s="351" t="inlineStr">
        <is>
          <t>SKU</t>
        </is>
      </c>
      <c r="B117" s="352" t="inlineStr">
        <is>
          <t>Role</t>
        </is>
      </c>
      <c r="C117" s="351" t="inlineStr">
        <is>
          <t>DC output kW</t>
        </is>
      </c>
      <c r="D117" s="352" t="inlineStr">
        <is>
          <t>AC input kW</t>
        </is>
      </c>
      <c r="E117" s="352" t="inlineStr">
        <is>
          <t>AC input circuits</t>
        </is>
      </c>
      <c r="F117" s="352" t="inlineStr">
        <is>
          <t>AC FLA total</t>
        </is>
      </c>
      <c r="G117" s="352" t="inlineStr">
        <is>
          <t>DC outputs / connectors</t>
        </is>
      </c>
      <c r="H117" s="352" t="inlineStr">
        <is>
          <t>Max dual dispensers</t>
        </is>
      </c>
      <c r="I117" s="351" t="inlineStr">
        <is>
          <t>Source and confidence</t>
        </is>
      </c>
    </row>
    <row r="118" ht="20" customHeight="1" s="252">
      <c r="A118" s="463" t="inlineStr">
        <is>
          <t>CTX-DSPB-360</t>
        </is>
      </c>
      <c r="B118" s="464" t="inlineStr">
        <is>
          <t>Power cabinet — no connectors</t>
        </is>
      </c>
      <c r="C118" s="465" t="n">
        <v>360</v>
      </c>
      <c r="D118" s="465" t="n">
        <v>393</v>
      </c>
      <c r="E118" s="465" t="n">
        <v>2</v>
      </c>
      <c r="F118" s="465" t="n">
        <v>472.7</v>
      </c>
      <c r="G118" s="465" t="n">
        <v>6</v>
      </c>
      <c r="H118" s="465" t="n">
        <v>3</v>
      </c>
      <c r="I118" s="466" t="inlineStr">
        <is>
          <t>DERIVED — AC input, circuit count and the 3-dispenser limit extrapolated from the published 480 kW cabinet. Confirm all three with Chargetronix before sizing service.</t>
        </is>
      </c>
      <c r="J118" s="297" t="n"/>
      <c r="K118" s="297" t="n"/>
      <c r="L118" s="297" t="n"/>
      <c r="M118" s="297" t="n"/>
      <c r="N118" s="297" t="n"/>
      <c r="O118" s="297" t="n"/>
      <c r="P118" s="297" t="n"/>
      <c r="Q118" s="297" t="n"/>
    </row>
    <row r="119" ht="32" customHeight="1" s="252">
      <c r="A119" s="463" t="inlineStr">
        <is>
          <t>CTX-DSPB-480</t>
        </is>
      </c>
      <c r="B119" s="464" t="inlineStr">
        <is>
          <t>Power cabinet — no connectors</t>
        </is>
      </c>
      <c r="C119" s="465" t="n">
        <v>480</v>
      </c>
      <c r="D119" s="465" t="n">
        <v>524</v>
      </c>
      <c r="E119" s="465" t="n">
        <v>2</v>
      </c>
      <c r="F119" s="465" t="n">
        <v>630.3</v>
      </c>
      <c r="G119" s="465" t="n">
        <v>6</v>
      </c>
      <c r="H119" s="465" t="n">
        <v>3</v>
      </c>
      <c r="I119" s="467" t="inlineStr">
        <is>
          <t>PUBLISHED — 480 VAC +/-10%, 3P+PE, 2 input circuits at 315 A each, input power 524 kW, output 480 kW, 200-1000 VDC, 500 A per channel, 1,600 A system, up to 6 DC outputs, dynamic power sharing in 40 kW increments. Takes UP TO 3 DUAL DISPENSERS (6 connectors).</t>
        </is>
      </c>
      <c r="J119" s="297" t="n"/>
      <c r="K119" s="297" t="n"/>
      <c r="L119" s="297" t="n"/>
      <c r="M119" s="297" t="n"/>
      <c r="N119" s="297" t="n"/>
      <c r="O119" s="297" t="n"/>
      <c r="P119" s="297" t="n"/>
      <c r="Q119" s="297" t="n"/>
    </row>
    <row r="120" ht="20" customHeight="1" s="252">
      <c r="A120" s="463" t="inlineStr">
        <is>
          <t>CTX-DSPB-1280</t>
        </is>
      </c>
      <c r="B120" s="464" t="inlineStr">
        <is>
          <t>Power cabinet — no connectors</t>
        </is>
      </c>
      <c r="C120" s="465" t="n">
        <v>1280</v>
      </c>
      <c r="D120" s="465" t="n">
        <v>1397.3</v>
      </c>
      <c r="E120" s="465" t="n">
        <v>6</v>
      </c>
      <c r="F120" s="465" t="n">
        <v>1680.7</v>
      </c>
      <c r="G120" s="465" t="n">
        <v>16</v>
      </c>
      <c r="H120" s="465" t="n">
        <v>8</v>
      </c>
      <c r="I120" s="466" t="inlineStr">
        <is>
          <t>PART PUBLISHED — 1,280 kW output, 480 VAC, 200-1000 VDC, 500 A per output, 4,267 A total, 16 connectors max — so UP TO 8 DUAL DISPENSERS. AC input power and circuit count are DERIVED; confirm with Chargetronix before sizing service.</t>
        </is>
      </c>
      <c r="J120" s="297" t="n"/>
      <c r="K120" s="297" t="n"/>
      <c r="L120" s="297" t="n"/>
      <c r="M120" s="297" t="n"/>
      <c r="N120" s="297" t="n"/>
      <c r="O120" s="297" t="n"/>
      <c r="P120" s="297" t="n"/>
      <c r="Q120" s="297" t="n"/>
    </row>
    <row r="121" ht="20" customHeight="1" s="252">
      <c r="A121" s="463" t="inlineStr">
        <is>
          <t>CTX-DST-2-300</t>
        </is>
      </c>
      <c r="B121" s="464" t="inlineStr">
        <is>
          <t>Dispenser — connectors only</t>
        </is>
      </c>
      <c r="C121" s="465" t="n">
        <v>0</v>
      </c>
      <c r="D121" s="465" t="n">
        <v>0</v>
      </c>
      <c r="E121" s="465" t="n">
        <v>0</v>
      </c>
      <c r="F121" s="465" t="n">
        <v>0</v>
      </c>
      <c r="G121" s="465" t="n">
        <v>2</v>
      </c>
      <c r="H121" s="465" t="n">
        <v>0</v>
      </c>
      <c r="I121" s="467" t="inlineStr">
        <is>
          <t>PUBLISHED — 2 connectors CCS1/NACS, 200-1000 V, up to 2 input circuits per dispenser, load sharing across 2 EVs, 5 m cable, 15 in touchscreen, 241 kg.</t>
        </is>
      </c>
      <c r="J121" s="297" t="n"/>
      <c r="K121" s="297" t="n"/>
      <c r="L121" s="297" t="n"/>
      <c r="M121" s="297" t="n"/>
      <c r="N121" s="297" t="n"/>
      <c r="O121" s="297" t="n"/>
      <c r="P121" s="297" t="n"/>
      <c r="Q121" s="297" t="n"/>
    </row>
    <row r="122" ht="20" customHeight="1" s="252">
      <c r="A122" s="463" t="inlineStr">
        <is>
          <t>CTX-DST-HPC-2-500/300</t>
        </is>
      </c>
      <c r="B122" s="464" t="inlineStr">
        <is>
          <t>Dispenser — connectors only</t>
        </is>
      </c>
      <c r="C122" s="465" t="n">
        <v>0</v>
      </c>
      <c r="D122" s="465" t="n">
        <v>0</v>
      </c>
      <c r="E122" s="465" t="n">
        <v>0</v>
      </c>
      <c r="F122" s="465" t="n">
        <v>0</v>
      </c>
      <c r="G122" s="465" t="n">
        <v>2</v>
      </c>
      <c r="H122" s="465" t="n">
        <v>0</v>
      </c>
      <c r="I122" s="468" t="inlineStr">
        <is>
          <t>PUBLISHED — liquid-cooled connector rated 500 A, air-cooled 200/350 A boost to 400 A.</t>
        </is>
      </c>
      <c r="J122" s="297" t="n"/>
    </row>
    <row r="124" ht="20" customHeight="1" s="252">
      <c r="A124" s="469" t="inlineStr">
        <is>
          <t>MISSING FROM THE PRICE BOOK — Nexus Fleet Dispenser</t>
        </is>
      </c>
      <c r="C124" s="338" t="inlineStr">
        <is>
          <t>single connector, CCS1/NACS air cooled 200/350 A, 50 kg, 5 m or 7 m cable, no user interface — in the published range but absent from the price book, so it cannot be quoted.</t>
        </is>
      </c>
    </row>
  </sheetData>
  <mergeCells count="11">
    <mergeCell ref="A111:G111"/>
    <mergeCell ref="C124:I124"/>
    <mergeCell ref="A1:F1"/>
    <mergeCell ref="I118:Q118"/>
    <mergeCell ref="I119:Q119"/>
    <mergeCell ref="I120:Q120"/>
    <mergeCell ref="K1:N1"/>
    <mergeCell ref="I122:J122"/>
    <mergeCell ref="A116:H116"/>
    <mergeCell ref="A112:G112"/>
    <mergeCell ref="I121:Q121"/>
  </mergeCells>
  <printOptions horizontalCentered="0" verticalCentered="0" headings="0" gridLines="0" gridLinesSet="1"/>
  <pageMargins left="0.4" right="0.4" top="0.6" bottom="0.6"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4.xml><?xml version="1.0" encoding="utf-8"?>
<worksheet xmlns="http://schemas.openxmlformats.org/spreadsheetml/2006/main">
  <sheetPr filterMode="0">
    <outlinePr summaryBelow="1" summaryRight="1"/>
    <pageSetUpPr fitToPage="1"/>
  </sheetPr>
  <dimension ref="A1:G200"/>
  <sheetViews>
    <sheetView showFormulas="0" showGridLines="0"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6796875" defaultRowHeight="14.25" zeroHeight="0" outlineLevelRow="0"/>
  <cols>
    <col width="44" customWidth="1" style="251" min="1" max="1"/>
    <col width="18" customWidth="1" style="251" min="2" max="2"/>
    <col width="24" customWidth="1" style="251" min="3" max="3"/>
    <col width="18" customWidth="1" style="251" min="4" max="4"/>
    <col width="14" customWidth="1" style="251" min="5" max="5"/>
    <col width="12" customWidth="1" style="251" min="6" max="6"/>
    <col width="9" customWidth="1" style="251" min="7" max="7"/>
  </cols>
  <sheetData>
    <row r="1" ht="25.5" customHeight="1" s="252">
      <c r="A1" s="253" t="inlineStr">
        <is>
          <t>REFERENCE DATA</t>
        </is>
      </c>
    </row>
    <row r="2" ht="32" customHeight="1" s="252">
      <c r="A2" s="321" t="inlineStr">
        <is>
          <t>Lookup tables used by the electrical checks and the costing engine.</t>
        </is>
      </c>
    </row>
    <row r="3" ht="15" customHeight="1" s="252">
      <c r="A3" s="470" t="inlineStr">
        <is>
          <t>Amps required</t>
        </is>
      </c>
      <c r="B3" s="470" t="inlineStr">
        <is>
          <t>Standard frame</t>
        </is>
      </c>
      <c r="D3" s="470" t="inlineStr">
        <is>
          <t>Charger kW</t>
        </is>
      </c>
      <c r="E3" s="470" t="inlineStr">
        <is>
          <t>Design amps</t>
        </is>
      </c>
      <c r="F3" s="470" t="inlineStr">
        <is>
          <t>Breaker A</t>
        </is>
      </c>
    </row>
    <row r="4" ht="15" customHeight="1" s="252">
      <c r="A4" s="458" t="n">
        <v>0</v>
      </c>
      <c r="B4" s="458" t="n">
        <v>400</v>
      </c>
      <c r="D4" s="458" t="n">
        <v>30</v>
      </c>
      <c r="E4" s="458" t="n">
        <v>40</v>
      </c>
      <c r="F4" s="458" t="n">
        <v>50</v>
      </c>
    </row>
    <row r="5" ht="15" customHeight="1" s="252">
      <c r="A5" s="458" t="n">
        <v>400</v>
      </c>
      <c r="B5" s="458" t="n">
        <v>600</v>
      </c>
      <c r="D5" s="458" t="n">
        <v>50</v>
      </c>
      <c r="E5" s="458" t="n">
        <v>72</v>
      </c>
      <c r="F5" s="458" t="n">
        <v>100</v>
      </c>
    </row>
    <row r="6" ht="15" customHeight="1" s="252">
      <c r="A6" s="458" t="n">
        <v>600</v>
      </c>
      <c r="B6" s="458" t="n">
        <v>800</v>
      </c>
      <c r="D6" s="458" t="n">
        <v>60</v>
      </c>
      <c r="E6" s="458" t="n">
        <v>80</v>
      </c>
      <c r="F6" s="458" t="n">
        <v>100</v>
      </c>
    </row>
    <row r="7" ht="15" customHeight="1" s="252">
      <c r="A7" s="458" t="n">
        <v>800</v>
      </c>
      <c r="B7" s="458" t="n">
        <v>1000</v>
      </c>
      <c r="D7" s="458" t="n">
        <v>100</v>
      </c>
      <c r="E7" s="458" t="n">
        <v>130</v>
      </c>
      <c r="F7" s="458" t="n">
        <v>200</v>
      </c>
    </row>
    <row r="8" ht="15" customHeight="1" s="252">
      <c r="A8" s="458" t="n">
        <v>1000</v>
      </c>
      <c r="B8" s="458" t="n">
        <v>1200</v>
      </c>
      <c r="D8" s="458" t="n">
        <v>120</v>
      </c>
      <c r="E8" s="458" t="n">
        <v>160</v>
      </c>
      <c r="F8" s="458" t="n">
        <v>200</v>
      </c>
    </row>
    <row r="9" ht="15" customHeight="1" s="252">
      <c r="A9" s="458" t="n">
        <v>1200</v>
      </c>
      <c r="B9" s="458" t="n">
        <v>1600</v>
      </c>
      <c r="D9" s="458" t="n">
        <v>160</v>
      </c>
      <c r="E9" s="458" t="n">
        <v>215</v>
      </c>
      <c r="F9" s="458" t="n">
        <v>300</v>
      </c>
    </row>
    <row r="10" ht="15" customHeight="1" s="252">
      <c r="A10" s="458" t="n">
        <v>1600</v>
      </c>
      <c r="B10" s="458" t="n">
        <v>2000</v>
      </c>
      <c r="D10" s="458" t="n">
        <v>180</v>
      </c>
      <c r="E10" s="458" t="n">
        <v>240</v>
      </c>
      <c r="F10" s="458" t="n">
        <v>300</v>
      </c>
    </row>
    <row r="11" ht="15" customHeight="1" s="252">
      <c r="A11" s="458" t="n">
        <v>2000</v>
      </c>
      <c r="B11" s="458" t="n">
        <v>3200</v>
      </c>
      <c r="D11" s="458" t="n">
        <v>200</v>
      </c>
      <c r="E11" s="458" t="n">
        <v>265</v>
      </c>
      <c r="F11" s="458" t="n">
        <v>335</v>
      </c>
    </row>
    <row r="12" ht="15" customHeight="1" s="252">
      <c r="A12" s="458" t="n">
        <v>3200</v>
      </c>
      <c r="B12" s="458" t="n">
        <v>4000</v>
      </c>
      <c r="D12" s="458" t="n">
        <v>240</v>
      </c>
      <c r="E12" s="458" t="n">
        <v>320</v>
      </c>
      <c r="F12" s="458" t="n">
        <v>400</v>
      </c>
    </row>
    <row r="13" ht="15" customHeight="1" s="252">
      <c r="A13" s="458" t="n">
        <v>4000</v>
      </c>
      <c r="B13" s="458" t="n">
        <v>5000</v>
      </c>
      <c r="D13" s="458" t="n">
        <v>275</v>
      </c>
      <c r="E13" s="458" t="n">
        <v>385</v>
      </c>
      <c r="F13" s="458" t="n">
        <v>500</v>
      </c>
    </row>
    <row r="14" ht="15" customHeight="1" s="252">
      <c r="A14" s="458" t="n">
        <v>5000</v>
      </c>
      <c r="B14" s="458" t="n">
        <v>6000</v>
      </c>
      <c r="D14" s="458" t="n">
        <v>300</v>
      </c>
      <c r="E14" s="458" t="n">
        <v>400</v>
      </c>
      <c r="F14" s="458" t="n">
        <v>500</v>
      </c>
    </row>
    <row r="15" ht="15" customHeight="1" s="252">
      <c r="A15" s="458" t="n">
        <v>6000</v>
      </c>
      <c r="B15" s="458" t="n">
        <v>10000</v>
      </c>
      <c r="D15" s="458" t="n">
        <v>360</v>
      </c>
      <c r="E15" s="458" t="n">
        <v>480</v>
      </c>
      <c r="F15" s="458" t="n">
        <v>600</v>
      </c>
    </row>
    <row r="18" ht="15" customHeight="1" s="252">
      <c r="A18" s="502" t="inlineStr">
        <is>
          <t>480V SWITCHGEAR AND BREAKER PRICES</t>
        </is>
      </c>
    </row>
    <row r="19" ht="15" customHeight="1" s="252">
      <c r="A19" s="266" t="inlineStr">
        <is>
          <t>Item</t>
        </is>
      </c>
      <c r="B19" s="266" t="inlineStr">
        <is>
          <t>Size</t>
        </is>
      </c>
      <c r="C19" s="266" t="inlineStr">
        <is>
          <t>Cost</t>
        </is>
      </c>
    </row>
    <row r="20" ht="15" customHeight="1" s="252">
      <c r="A20" s="261" t="inlineStr">
        <is>
          <t>Main</t>
        </is>
      </c>
      <c r="B20" s="261" t="inlineStr">
        <is>
          <t>400A</t>
        </is>
      </c>
      <c r="C20" s="445" t="n">
        <v>20426.82</v>
      </c>
    </row>
    <row r="21" ht="15" customHeight="1" s="252">
      <c r="A21" s="261" t="inlineStr">
        <is>
          <t>Main</t>
        </is>
      </c>
      <c r="B21" s="261" t="inlineStr">
        <is>
          <t>800A</t>
        </is>
      </c>
      <c r="C21" s="445" t="n">
        <v>31187</v>
      </c>
    </row>
    <row r="22" ht="15" customHeight="1" s="252">
      <c r="A22" s="261" t="inlineStr">
        <is>
          <t>Main</t>
        </is>
      </c>
      <c r="B22" s="261" t="inlineStr">
        <is>
          <t>1000A</t>
        </is>
      </c>
      <c r="C22" s="445" t="n">
        <v>36812.5</v>
      </c>
    </row>
    <row r="23" ht="15" customHeight="1" s="252">
      <c r="A23" s="261" t="inlineStr">
        <is>
          <t>Main</t>
        </is>
      </c>
      <c r="B23" s="261" t="inlineStr">
        <is>
          <t>1200A</t>
        </is>
      </c>
      <c r="C23" s="445" t="n">
        <v>43292.68</v>
      </c>
    </row>
    <row r="24" ht="15" customHeight="1" s="252">
      <c r="A24" s="261" t="inlineStr">
        <is>
          <t>Main</t>
        </is>
      </c>
      <c r="B24" s="261" t="inlineStr">
        <is>
          <t>1600A</t>
        </is>
      </c>
      <c r="C24" s="445" t="n">
        <v>56750</v>
      </c>
    </row>
    <row r="25" ht="15" customHeight="1" s="252">
      <c r="A25" s="261" t="inlineStr">
        <is>
          <t>Main</t>
        </is>
      </c>
      <c r="B25" s="261" t="inlineStr">
        <is>
          <t>2000A</t>
        </is>
      </c>
      <c r="C25" s="445" t="n">
        <v>60000</v>
      </c>
    </row>
    <row r="26" ht="15" customHeight="1" s="252">
      <c r="A26" s="261" t="inlineStr">
        <is>
          <t>Main</t>
        </is>
      </c>
      <c r="B26" s="261" t="inlineStr">
        <is>
          <t>2500.0</t>
        </is>
      </c>
      <c r="C26" s="445" t="n">
        <v>58540</v>
      </c>
    </row>
    <row r="27" ht="15" customHeight="1" s="252">
      <c r="A27" s="261" t="inlineStr">
        <is>
          <t>Main</t>
        </is>
      </c>
      <c r="B27" s="261" t="inlineStr">
        <is>
          <t>3000A</t>
        </is>
      </c>
      <c r="C27" s="445" t="n">
        <v>65000</v>
      </c>
    </row>
    <row r="28" ht="15" customHeight="1" s="252">
      <c r="A28" s="261" t="inlineStr">
        <is>
          <t>Main</t>
        </is>
      </c>
      <c r="B28" s="261" t="inlineStr">
        <is>
          <t>4000A</t>
        </is>
      </c>
      <c r="C28" s="445" t="n">
        <v>67500</v>
      </c>
    </row>
    <row r="29" ht="15" customHeight="1" s="252">
      <c r="A29" s="261" t="inlineStr">
        <is>
          <t>Main</t>
        </is>
      </c>
      <c r="B29" s="261" t="inlineStr">
        <is>
          <t>5000A</t>
        </is>
      </c>
      <c r="C29" s="445" t="n">
        <v>70000</v>
      </c>
    </row>
    <row r="30" ht="15" customHeight="1" s="252">
      <c r="A30" s="261" t="inlineStr">
        <is>
          <t>main breakers</t>
        </is>
      </c>
      <c r="B30" s="261" t="inlineStr">
        <is>
          <t>110A</t>
        </is>
      </c>
      <c r="C30" s="445" t="n">
        <v>650</v>
      </c>
    </row>
    <row r="31" ht="15" customHeight="1" s="252">
      <c r="A31" s="261" t="inlineStr">
        <is>
          <t>main breakers</t>
        </is>
      </c>
      <c r="B31" s="261" t="inlineStr">
        <is>
          <t>125A</t>
        </is>
      </c>
      <c r="C31" s="445" t="n">
        <v>700</v>
      </c>
    </row>
    <row r="32" ht="15" customHeight="1" s="252">
      <c r="A32" s="261" t="inlineStr">
        <is>
          <t>main breakers</t>
        </is>
      </c>
      <c r="B32" s="261" t="inlineStr">
        <is>
          <t>250A</t>
        </is>
      </c>
      <c r="C32" s="445" t="n">
        <v>1100</v>
      </c>
    </row>
    <row r="33" ht="15" customHeight="1" s="252">
      <c r="A33" s="261" t="inlineStr">
        <is>
          <t>main breakers</t>
        </is>
      </c>
      <c r="B33" s="261" t="inlineStr">
        <is>
          <t>3000A</t>
        </is>
      </c>
      <c r="C33" s="445" t="n">
        <v>32500</v>
      </c>
    </row>
    <row r="34" ht="15" customHeight="1" s="252">
      <c r="A34" s="261" t="inlineStr">
        <is>
          <t>breakers</t>
        </is>
      </c>
      <c r="B34" s="261" t="inlineStr">
        <is>
          <t>100A</t>
        </is>
      </c>
      <c r="C34" s="445" t="n">
        <v>580</v>
      </c>
    </row>
    <row r="35" ht="15" customHeight="1" s="252">
      <c r="A35" s="261" t="inlineStr">
        <is>
          <t>breakers</t>
        </is>
      </c>
      <c r="B35" s="261" t="inlineStr">
        <is>
          <t>200A</t>
        </is>
      </c>
      <c r="C35" s="445" t="n">
        <v>900</v>
      </c>
    </row>
    <row r="36" ht="15" customHeight="1" s="252">
      <c r="A36" s="261" t="inlineStr">
        <is>
          <t>breakers</t>
        </is>
      </c>
      <c r="B36" s="261" t="inlineStr">
        <is>
          <t>300A</t>
        </is>
      </c>
      <c r="C36" s="445" t="n">
        <v>1450</v>
      </c>
    </row>
    <row r="37" ht="15" customHeight="1" s="252">
      <c r="A37" s="261" t="inlineStr">
        <is>
          <t>breakers</t>
        </is>
      </c>
      <c r="B37" s="261" t="inlineStr">
        <is>
          <t>500A</t>
        </is>
      </c>
      <c r="C37" s="445" t="n">
        <v>3100</v>
      </c>
    </row>
    <row r="38" ht="15" customHeight="1" s="252">
      <c r="A38" s="261" t="inlineStr">
        <is>
          <t>breakers</t>
        </is>
      </c>
      <c r="B38" s="261" t="inlineStr">
        <is>
          <t>600A</t>
        </is>
      </c>
      <c r="C38" s="445" t="n">
        <v>3700</v>
      </c>
    </row>
    <row r="39" ht="14.25" customHeight="1" s="252">
      <c r="A39" s="261" t="inlineStr">
        <is>
          <t>disconnects</t>
        </is>
      </c>
      <c r="B39" s="261" t="inlineStr">
        <is>
          <t>500A</t>
        </is>
      </c>
      <c r="C39" s="445" t="n">
        <v>4000</v>
      </c>
    </row>
    <row r="40" ht="15" customHeight="1" s="252">
      <c r="A40" s="502" t="inlineStr">
        <is>
          <t>CONDUCTOR AND CONDUIT — $ PER FOOT</t>
        </is>
      </c>
    </row>
    <row r="41" ht="15" customHeight="1" s="252">
      <c r="A41" s="266" t="inlineStr">
        <is>
          <t>Wire size</t>
        </is>
      </c>
      <c r="B41" s="266" t="inlineStr">
        <is>
          <t>Copper $/ft</t>
        </is>
      </c>
      <c r="C41" s="266" t="inlineStr">
        <is>
          <t>Aluminium $/ft</t>
        </is>
      </c>
      <c r="D41" s="266" t="inlineStr">
        <is>
          <t>Conduit size</t>
        </is>
      </c>
      <c r="E41" s="266" t="inlineStr">
        <is>
          <t>PVC $/ft</t>
        </is>
      </c>
    </row>
    <row r="42" ht="15" customHeight="1" s="252">
      <c r="A42" s="261" t="inlineStr">
        <is>
          <t>10 AWG</t>
        </is>
      </c>
      <c r="B42" s="471" t="n">
        <v>0.30329</v>
      </c>
      <c r="C42" s="471" t="n">
        <v>0.28</v>
      </c>
      <c r="D42" s="261" t="inlineStr">
        <is>
          <t>(1/2")</t>
        </is>
      </c>
      <c r="E42" s="471" t="n">
        <v>0.2445</v>
      </c>
    </row>
    <row r="43" ht="15" customHeight="1" s="252">
      <c r="A43" s="261" t="inlineStr">
        <is>
          <t>8 AWG</t>
        </is>
      </c>
      <c r="B43" s="471" t="n">
        <v>0.56613</v>
      </c>
      <c r="D43" s="261" t="inlineStr">
        <is>
          <t>(3/4")</t>
        </is>
      </c>
      <c r="E43" s="471" t="n">
        <v>0.2912</v>
      </c>
    </row>
    <row r="44" ht="15" customHeight="1" s="252">
      <c r="A44" s="261" t="inlineStr">
        <is>
          <t>6 AWG</t>
        </is>
      </c>
      <c r="B44" s="471" t="n">
        <v>0.87104</v>
      </c>
      <c r="C44" s="471" t="n">
        <v>0.30636</v>
      </c>
      <c r="D44" s="261" t="inlineStr">
        <is>
          <t>(1")</t>
        </is>
      </c>
      <c r="E44" s="471" t="n">
        <v>0.4698</v>
      </c>
    </row>
    <row r="45" ht="15" customHeight="1" s="252">
      <c r="A45" s="261" t="inlineStr">
        <is>
          <t>4 AWG</t>
        </is>
      </c>
      <c r="B45" s="471" t="n">
        <v>1.33293</v>
      </c>
      <c r="C45" s="471" t="n">
        <v>0.37998</v>
      </c>
      <c r="D45" s="261" t="inlineStr">
        <is>
          <t>(1 1/4")</t>
        </is>
      </c>
      <c r="E45" s="471" t="n">
        <v>0.6155</v>
      </c>
    </row>
    <row r="46" ht="15" customHeight="1" s="252">
      <c r="A46" s="261" t="inlineStr">
        <is>
          <t>2 AWG</t>
        </is>
      </c>
      <c r="B46" s="471" t="n">
        <v>2.1044</v>
      </c>
      <c r="C46" s="471" t="n">
        <v>0.36681</v>
      </c>
      <c r="D46" s="261" t="inlineStr">
        <is>
          <t>(1 1/2")</t>
        </is>
      </c>
      <c r="E46" s="471" t="n">
        <v>0.7129</v>
      </c>
    </row>
    <row r="47" ht="15" customHeight="1" s="252">
      <c r="A47" s="261" t="inlineStr">
        <is>
          <t>1 AWG</t>
        </is>
      </c>
      <c r="B47" s="471" t="n">
        <v>2.39833</v>
      </c>
      <c r="C47" s="471" t="n">
        <v>0.4821</v>
      </c>
      <c r="D47" s="261" t="inlineStr">
        <is>
          <t>(2")</t>
        </is>
      </c>
      <c r="E47" s="471" t="n">
        <v>0.8897</v>
      </c>
    </row>
    <row r="48" ht="15" customHeight="1" s="252">
      <c r="A48" s="261" t="inlineStr">
        <is>
          <t>1 /0</t>
        </is>
      </c>
      <c r="B48" s="471" t="n">
        <v>2.95304</v>
      </c>
      <c r="C48" s="471" t="n">
        <v>0.66733</v>
      </c>
      <c r="D48" s="261" t="inlineStr">
        <is>
          <t>(2 1/2")</t>
        </is>
      </c>
      <c r="E48" s="471" t="n">
        <v>1.396</v>
      </c>
    </row>
    <row r="49" ht="15" customHeight="1" s="252">
      <c r="A49" s="261" t="inlineStr">
        <is>
          <t>2 /0</t>
        </is>
      </c>
      <c r="B49" s="471" t="n">
        <v>3.63758</v>
      </c>
      <c r="C49" s="471" t="n">
        <v>0.75045</v>
      </c>
      <c r="D49" s="261" t="inlineStr">
        <is>
          <t xml:space="preserve">(3") </t>
        </is>
      </c>
      <c r="E49" s="471" t="n">
        <v>1.7033</v>
      </c>
    </row>
    <row r="50" ht="15" customHeight="1" s="252">
      <c r="A50" s="261" t="inlineStr">
        <is>
          <t>3 /0</t>
        </is>
      </c>
      <c r="B50" s="471" t="n">
        <v>4.5658</v>
      </c>
      <c r="C50" s="471" t="n">
        <v>0.88701</v>
      </c>
      <c r="D50" s="261" t="inlineStr">
        <is>
          <t>(3  1/2")</t>
        </is>
      </c>
      <c r="E50" s="471" t="n">
        <v>2.25</v>
      </c>
    </row>
    <row r="51" ht="15" customHeight="1" s="252">
      <c r="A51" s="261" t="inlineStr">
        <is>
          <t>4 /0</t>
        </is>
      </c>
      <c r="B51" s="471" t="n">
        <v>5.73045</v>
      </c>
      <c r="C51" s="471" t="n">
        <v>1.09956</v>
      </c>
      <c r="D51" s="261" t="inlineStr">
        <is>
          <t>(4")</t>
        </is>
      </c>
      <c r="E51" s="471" t="n">
        <v>2.3164</v>
      </c>
    </row>
    <row r="52" ht="15" customHeight="1" s="252">
      <c r="A52" s="261" t="inlineStr">
        <is>
          <t>250 KCMIL</t>
        </is>
      </c>
      <c r="B52" s="471" t="n">
        <v>6.64016</v>
      </c>
      <c r="C52" s="471" t="n">
        <v>1.2278</v>
      </c>
      <c r="D52" s="261" t="inlineStr">
        <is>
          <t>(5")</t>
        </is>
      </c>
      <c r="E52" s="471" t="n">
        <v>3.3106</v>
      </c>
    </row>
    <row r="53" ht="15" customHeight="1" s="252">
      <c r="A53" s="261" t="inlineStr">
        <is>
          <t>300 KCMIL</t>
        </is>
      </c>
      <c r="B53" s="471" t="n">
        <v>7.9632</v>
      </c>
      <c r="C53" s="471" t="n">
        <v>1.49616</v>
      </c>
    </row>
    <row r="54" ht="15" customHeight="1" s="252">
      <c r="A54" s="261" t="inlineStr">
        <is>
          <t>350 KCMIL</t>
        </is>
      </c>
      <c r="B54" s="471" t="n">
        <v>9.324159999999999</v>
      </c>
      <c r="C54" s="471" t="n">
        <v>2.06137</v>
      </c>
    </row>
    <row r="55" ht="15" customHeight="1" s="252">
      <c r="A55" s="261" t="inlineStr">
        <is>
          <t>400 KCMIL</t>
        </is>
      </c>
      <c r="B55" s="471" t="n">
        <v>10.60671</v>
      </c>
      <c r="C55" s="471" t="n">
        <v>2.10412</v>
      </c>
    </row>
    <row r="56" ht="15" customHeight="1" s="252">
      <c r="A56" s="261" t="inlineStr">
        <is>
          <t>450 KCMIL</t>
        </is>
      </c>
      <c r="B56" s="471" t="n">
        <v>11.334</v>
      </c>
      <c r="C56" s="471" t="n">
        <v>2.7204</v>
      </c>
    </row>
    <row r="57" ht="15" customHeight="1" s="252">
      <c r="A57" s="261" t="inlineStr">
        <is>
          <t>500 KCMIL</t>
        </is>
      </c>
      <c r="B57" s="471" t="n">
        <v>13.30059</v>
      </c>
      <c r="C57" s="471" t="n">
        <v>2.7204</v>
      </c>
    </row>
    <row r="58" ht="15" customHeight="1" s="252">
      <c r="A58" s="261" t="inlineStr">
        <is>
          <t>600 KCMIL</t>
        </is>
      </c>
      <c r="B58" s="471" t="n">
        <v>16.57382</v>
      </c>
      <c r="C58" s="471" t="n">
        <v>2.7204</v>
      </c>
    </row>
    <row r="59" ht="15" customHeight="1" s="252">
      <c r="A59" s="261" t="inlineStr">
        <is>
          <t>750 KCMIL</t>
        </is>
      </c>
      <c r="B59" s="471" t="n">
        <v>25.921</v>
      </c>
      <c r="C59" s="471" t="n">
        <v>4.809</v>
      </c>
    </row>
    <row r="60" ht="15" customHeight="1" s="252">
      <c r="A60" s="261" t="inlineStr">
        <is>
          <t>1000 KCMIL</t>
        </is>
      </c>
      <c r="B60" s="471" t="n">
        <v>34.398</v>
      </c>
      <c r="C60" s="471" t="n">
        <v>7.566</v>
      </c>
    </row>
    <row r="63" ht="14.25" customHeight="1" s="252">
      <c r="A63" s="345" t="inlineStr">
        <is>
          <t>CONDUCTOR AMPACITY — NEC Table 310.16</t>
        </is>
      </c>
    </row>
    <row r="64" ht="44" customHeight="1" s="252">
      <c r="A64" s="349"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7" t="n"/>
      <c r="C64" s="297" t="n"/>
      <c r="D64" s="297" t="n"/>
      <c r="E64" s="297" t="n"/>
      <c r="F64" s="297" t="n"/>
      <c r="G64" s="297" t="n"/>
    </row>
    <row r="65" ht="14.25" customHeight="1" s="252">
      <c r="A65" s="472" t="inlineStr">
        <is>
          <t>Size</t>
        </is>
      </c>
      <c r="B65" s="472" t="inlineStr">
        <is>
          <t>Cu-60</t>
        </is>
      </c>
      <c r="C65" s="472" t="inlineStr">
        <is>
          <t>Cu-75</t>
        </is>
      </c>
      <c r="D65" s="472" t="inlineStr">
        <is>
          <t>Cu-90</t>
        </is>
      </c>
      <c r="E65" s="472" t="inlineStr">
        <is>
          <t>Al-60</t>
        </is>
      </c>
      <c r="F65" s="472" t="inlineStr">
        <is>
          <t>Al-75</t>
        </is>
      </c>
      <c r="G65" s="472" t="inlineStr">
        <is>
          <t>Al-90</t>
        </is>
      </c>
    </row>
    <row r="66" ht="14.25" customHeight="1" s="252">
      <c r="A66" s="505" t="inlineStr">
        <is>
          <t>10 AWG</t>
        </is>
      </c>
      <c r="B66" s="354" t="n">
        <v>30</v>
      </c>
      <c r="C66" s="354" t="n">
        <v>35</v>
      </c>
      <c r="D66" s="354" t="n">
        <v>40</v>
      </c>
      <c r="E66" s="354" t="n">
        <v>25</v>
      </c>
      <c r="F66" s="354" t="n">
        <v>30</v>
      </c>
      <c r="G66" s="354" t="n">
        <v>35</v>
      </c>
    </row>
    <row r="67" ht="14.25" customHeight="1" s="252">
      <c r="A67" s="505" t="inlineStr">
        <is>
          <t>8 AWG</t>
        </is>
      </c>
      <c r="B67" s="354" t="n">
        <v>40</v>
      </c>
      <c r="C67" s="354" t="n">
        <v>50</v>
      </c>
      <c r="D67" s="354" t="n">
        <v>55</v>
      </c>
      <c r="E67" s="354" t="n">
        <v>35</v>
      </c>
      <c r="F67" s="354" t="n">
        <v>40</v>
      </c>
      <c r="G67" s="354" t="n">
        <v>45</v>
      </c>
    </row>
    <row r="68" ht="14.25" customHeight="1" s="252">
      <c r="A68" s="505" t="inlineStr">
        <is>
          <t>6 AWG</t>
        </is>
      </c>
      <c r="B68" s="354" t="n">
        <v>55</v>
      </c>
      <c r="C68" s="354" t="n">
        <v>65</v>
      </c>
      <c r="D68" s="354" t="n">
        <v>75</v>
      </c>
      <c r="E68" s="354" t="n">
        <v>40</v>
      </c>
      <c r="F68" s="354" t="n">
        <v>50</v>
      </c>
      <c r="G68" s="354" t="n">
        <v>55</v>
      </c>
    </row>
    <row r="69" ht="14.25" customHeight="1" s="252">
      <c r="A69" s="505" t="inlineStr">
        <is>
          <t>4 AWG</t>
        </is>
      </c>
      <c r="B69" s="354" t="n">
        <v>70</v>
      </c>
      <c r="C69" s="354" t="n">
        <v>85</v>
      </c>
      <c r="D69" s="354" t="n">
        <v>95</v>
      </c>
      <c r="E69" s="354" t="n">
        <v>55</v>
      </c>
      <c r="F69" s="354" t="n">
        <v>65</v>
      </c>
      <c r="G69" s="354" t="n">
        <v>75</v>
      </c>
    </row>
    <row r="70" ht="14.25" customHeight="1" s="252">
      <c r="A70" s="505" t="inlineStr">
        <is>
          <t>2 AWG</t>
        </is>
      </c>
      <c r="B70" s="354" t="n">
        <v>95</v>
      </c>
      <c r="C70" s="354" t="n">
        <v>115</v>
      </c>
      <c r="D70" s="354" t="n">
        <v>130</v>
      </c>
      <c r="E70" s="354" t="n">
        <v>75</v>
      </c>
      <c r="F70" s="354" t="n">
        <v>90</v>
      </c>
      <c r="G70" s="354" t="n">
        <v>100</v>
      </c>
    </row>
    <row r="71" ht="14.25" customHeight="1" s="252">
      <c r="A71" s="505" t="inlineStr">
        <is>
          <t>1 AWG</t>
        </is>
      </c>
      <c r="B71" s="354" t="n">
        <v>110</v>
      </c>
      <c r="C71" s="354" t="n">
        <v>130</v>
      </c>
      <c r="D71" s="354" t="n">
        <v>145</v>
      </c>
      <c r="E71" s="354" t="n">
        <v>85</v>
      </c>
      <c r="F71" s="354" t="n">
        <v>100</v>
      </c>
      <c r="G71" s="354" t="n">
        <v>115</v>
      </c>
    </row>
    <row r="72" ht="14.25" customHeight="1" s="252">
      <c r="A72" s="505" t="inlineStr">
        <is>
          <t>1 /0</t>
        </is>
      </c>
      <c r="B72" s="354" t="n">
        <v>125</v>
      </c>
      <c r="C72" s="354" t="n">
        <v>150</v>
      </c>
      <c r="D72" s="354" t="n">
        <v>170</v>
      </c>
      <c r="E72" s="354" t="n">
        <v>100</v>
      </c>
      <c r="F72" s="354" t="n">
        <v>120</v>
      </c>
      <c r="G72" s="354" t="n">
        <v>135</v>
      </c>
    </row>
    <row r="73" ht="14.25" customHeight="1" s="252">
      <c r="A73" s="505" t="inlineStr">
        <is>
          <t>2 /0</t>
        </is>
      </c>
      <c r="B73" s="354" t="n">
        <v>145</v>
      </c>
      <c r="C73" s="354" t="n">
        <v>175</v>
      </c>
      <c r="D73" s="354" t="n">
        <v>195</v>
      </c>
      <c r="E73" s="354" t="n">
        <v>115</v>
      </c>
      <c r="F73" s="354" t="n">
        <v>135</v>
      </c>
      <c r="G73" s="354" t="n">
        <v>150</v>
      </c>
    </row>
    <row r="74" ht="14.25" customHeight="1" s="252">
      <c r="A74" s="505" t="inlineStr">
        <is>
          <t>3 /0</t>
        </is>
      </c>
      <c r="B74" s="354" t="n">
        <v>165</v>
      </c>
      <c r="C74" s="354" t="n">
        <v>200</v>
      </c>
      <c r="D74" s="354" t="n">
        <v>225</v>
      </c>
      <c r="E74" s="354" t="n">
        <v>130</v>
      </c>
      <c r="F74" s="354" t="n">
        <v>155</v>
      </c>
      <c r="G74" s="354" t="n">
        <v>175</v>
      </c>
    </row>
    <row r="75" ht="14.25" customHeight="1" s="252">
      <c r="A75" s="505" t="inlineStr">
        <is>
          <t>4 /0</t>
        </is>
      </c>
      <c r="B75" s="354" t="n">
        <v>195</v>
      </c>
      <c r="C75" s="354" t="n">
        <v>230</v>
      </c>
      <c r="D75" s="354" t="n">
        <v>260</v>
      </c>
      <c r="E75" s="354" t="n">
        <v>150</v>
      </c>
      <c r="F75" s="354" t="n">
        <v>180</v>
      </c>
      <c r="G75" s="354" t="n">
        <v>205</v>
      </c>
    </row>
    <row r="76" ht="14.25" customHeight="1" s="252">
      <c r="A76" s="505" t="inlineStr">
        <is>
          <t>250 KCMIL</t>
        </is>
      </c>
      <c r="B76" s="354" t="n">
        <v>215</v>
      </c>
      <c r="C76" s="354" t="n">
        <v>255</v>
      </c>
      <c r="D76" s="354" t="n">
        <v>290</v>
      </c>
      <c r="E76" s="354" t="n">
        <v>170</v>
      </c>
      <c r="F76" s="354" t="n">
        <v>205</v>
      </c>
      <c r="G76" s="354" t="n">
        <v>230</v>
      </c>
    </row>
    <row r="77" ht="14.25" customHeight="1" s="252">
      <c r="A77" s="505" t="inlineStr">
        <is>
          <t>300 KCMIL</t>
        </is>
      </c>
      <c r="B77" s="354" t="n">
        <v>240</v>
      </c>
      <c r="C77" s="354" t="n">
        <v>285</v>
      </c>
      <c r="D77" s="354" t="n">
        <v>320</v>
      </c>
      <c r="E77" s="354" t="n">
        <v>195</v>
      </c>
      <c r="F77" s="354" t="n">
        <v>230</v>
      </c>
      <c r="G77" s="354" t="n">
        <v>260</v>
      </c>
    </row>
    <row r="78" ht="14.25" customHeight="1" s="252">
      <c r="A78" s="505" t="inlineStr">
        <is>
          <t>350 KCMIL</t>
        </is>
      </c>
      <c r="B78" s="354" t="n">
        <v>260</v>
      </c>
      <c r="C78" s="354" t="n">
        <v>310</v>
      </c>
      <c r="D78" s="354" t="n">
        <v>350</v>
      </c>
      <c r="E78" s="354" t="n">
        <v>210</v>
      </c>
      <c r="F78" s="354" t="n">
        <v>250</v>
      </c>
      <c r="G78" s="354" t="n">
        <v>280</v>
      </c>
    </row>
    <row r="79" ht="14.25" customHeight="1" s="252">
      <c r="A79" s="505" t="inlineStr">
        <is>
          <t>400 KCMIL</t>
        </is>
      </c>
      <c r="B79" s="354" t="n">
        <v>280</v>
      </c>
      <c r="C79" s="354" t="n">
        <v>335</v>
      </c>
      <c r="D79" s="354" t="n">
        <v>380</v>
      </c>
      <c r="E79" s="354" t="n">
        <v>225</v>
      </c>
      <c r="F79" s="354" t="n">
        <v>270</v>
      </c>
      <c r="G79" s="354" t="n">
        <v>305</v>
      </c>
    </row>
    <row r="80" ht="14.25" customHeight="1" s="252">
      <c r="A80" s="505" t="inlineStr">
        <is>
          <t>450 KCMIL</t>
        </is>
      </c>
      <c r="B80" s="473" t="n"/>
      <c r="C80" s="473" t="n"/>
      <c r="D80" s="473" t="n"/>
      <c r="E80" s="473" t="n"/>
      <c r="F80" s="473" t="n"/>
      <c r="G80" s="473" t="n"/>
    </row>
    <row r="81" ht="14.25" customHeight="1" s="252">
      <c r="A81" s="505" t="inlineStr">
        <is>
          <t>500 KCMIL</t>
        </is>
      </c>
      <c r="B81" s="354" t="n">
        <v>320</v>
      </c>
      <c r="C81" s="354" t="n">
        <v>380</v>
      </c>
      <c r="D81" s="354" t="n">
        <v>430</v>
      </c>
      <c r="E81" s="354" t="n">
        <v>260</v>
      </c>
      <c r="F81" s="354" t="n">
        <v>310</v>
      </c>
      <c r="G81" s="354" t="n">
        <v>350</v>
      </c>
    </row>
    <row r="82" ht="14.25" customHeight="1" s="252">
      <c r="A82" s="505" t="inlineStr">
        <is>
          <t>600 KCMIL</t>
        </is>
      </c>
      <c r="B82" s="354" t="n">
        <v>350</v>
      </c>
      <c r="C82" s="354" t="n">
        <v>420</v>
      </c>
      <c r="D82" s="354" t="n">
        <v>475</v>
      </c>
      <c r="E82" s="354" t="n">
        <v>285</v>
      </c>
      <c r="F82" s="354" t="n">
        <v>340</v>
      </c>
      <c r="G82" s="354" t="n">
        <v>385</v>
      </c>
    </row>
    <row r="83" ht="14.25" customHeight="1" s="252">
      <c r="A83" s="505" t="inlineStr">
        <is>
          <t>750 KCMIL</t>
        </is>
      </c>
      <c r="B83" s="354" t="n">
        <v>400</v>
      </c>
      <c r="C83" s="354" t="n">
        <v>475</v>
      </c>
      <c r="D83" s="354" t="n">
        <v>535</v>
      </c>
      <c r="E83" s="354" t="n">
        <v>320</v>
      </c>
      <c r="F83" s="354" t="n">
        <v>385</v>
      </c>
      <c r="G83" s="354" t="n">
        <v>435</v>
      </c>
    </row>
    <row r="84" ht="14.25" customHeight="1" s="252">
      <c r="A84" s="505" t="inlineStr">
        <is>
          <t>1000 KCMIL</t>
        </is>
      </c>
      <c r="B84" s="354" t="n">
        <v>455</v>
      </c>
      <c r="C84" s="354" t="n">
        <v>545</v>
      </c>
      <c r="D84" s="354" t="n">
        <v>615</v>
      </c>
      <c r="E84" s="354" t="n">
        <v>375</v>
      </c>
      <c r="F84" s="354" t="n">
        <v>445</v>
      </c>
      <c r="G84" s="354" t="n">
        <v>500</v>
      </c>
    </row>
    <row r="87" ht="32" customHeight="1" s="252">
      <c r="A87" s="474" t="inlineStr">
        <is>
          <t>AMBIENT TEMPERATURE CORRECTION — NEC Table 310.15(B)(1)(1)</t>
        </is>
      </c>
    </row>
    <row r="88" ht="44" customHeight="1" s="252">
      <c r="A88" s="349" t="inlineStr">
        <is>
          <t>Multiplier on the ampacity above, based on 30 C. "Up to C" is the top of each band; a design ambient is matched to the first band it does not exceed. A blank means that ambient is not permitted for that insulation rating.</t>
        </is>
      </c>
      <c r="B88" s="297" t="n"/>
      <c r="C88" s="297" t="n"/>
      <c r="D88" s="297" t="n"/>
    </row>
    <row r="89" ht="14.25" customHeight="1" s="252">
      <c r="A89" s="472" t="inlineStr">
        <is>
          <t>Up to C</t>
        </is>
      </c>
      <c r="B89" s="472" t="inlineStr">
        <is>
          <t>60</t>
        </is>
      </c>
      <c r="C89" s="472" t="inlineStr">
        <is>
          <t>75</t>
        </is>
      </c>
      <c r="D89" s="472" t="inlineStr">
        <is>
          <t>90</t>
        </is>
      </c>
    </row>
    <row r="90" ht="14.25" customHeight="1" s="252">
      <c r="A90" s="354" t="n">
        <v>10</v>
      </c>
      <c r="B90" s="475" t="n">
        <v>1.29</v>
      </c>
      <c r="C90" s="475" t="n">
        <v>1.2</v>
      </c>
      <c r="D90" s="475" t="n">
        <v>1.15</v>
      </c>
    </row>
    <row r="91" ht="14.25" customHeight="1" s="252">
      <c r="A91" s="354" t="n">
        <v>15</v>
      </c>
      <c r="B91" s="475" t="n">
        <v>1.22</v>
      </c>
      <c r="C91" s="475" t="n">
        <v>1.15</v>
      </c>
      <c r="D91" s="475" t="n">
        <v>1.12</v>
      </c>
    </row>
    <row r="92" ht="14.25" customHeight="1" s="252">
      <c r="A92" s="354" t="n">
        <v>20</v>
      </c>
      <c r="B92" s="475" t="n">
        <v>1.15</v>
      </c>
      <c r="C92" s="475" t="n">
        <v>1.11</v>
      </c>
      <c r="D92" s="475" t="n">
        <v>1.08</v>
      </c>
    </row>
    <row r="93" ht="14.25" customHeight="1" s="252">
      <c r="A93" s="354" t="n">
        <v>25</v>
      </c>
      <c r="B93" s="475" t="n">
        <v>1.08</v>
      </c>
      <c r="C93" s="475" t="n">
        <v>1.05</v>
      </c>
      <c r="D93" s="475" t="n">
        <v>1.04</v>
      </c>
    </row>
    <row r="94" ht="14.25" customHeight="1" s="252">
      <c r="A94" s="354" t="n">
        <v>30</v>
      </c>
      <c r="B94" s="475" t="n">
        <v>1</v>
      </c>
      <c r="C94" s="475" t="n">
        <v>1</v>
      </c>
      <c r="D94" s="475" t="n">
        <v>1</v>
      </c>
    </row>
    <row r="95" ht="14.25" customHeight="1" s="252">
      <c r="A95" s="354" t="n">
        <v>35</v>
      </c>
      <c r="B95" s="475" t="n">
        <v>0.91</v>
      </c>
      <c r="C95" s="475" t="n">
        <v>0.9399999999999999</v>
      </c>
      <c r="D95" s="475" t="n">
        <v>0.96</v>
      </c>
    </row>
    <row r="96" ht="14.25" customHeight="1" s="252">
      <c r="A96" s="354" t="n">
        <v>40</v>
      </c>
      <c r="B96" s="475" t="n">
        <v>0.82</v>
      </c>
      <c r="C96" s="475" t="n">
        <v>0.88</v>
      </c>
      <c r="D96" s="475" t="n">
        <v>0.91</v>
      </c>
    </row>
    <row r="97" ht="14.25" customHeight="1" s="252">
      <c r="A97" s="354" t="n">
        <v>45</v>
      </c>
      <c r="B97" s="475" t="n">
        <v>0.71</v>
      </c>
      <c r="C97" s="475" t="n">
        <v>0.82</v>
      </c>
      <c r="D97" s="475" t="n">
        <v>0.87</v>
      </c>
    </row>
    <row r="98" ht="14.25" customHeight="1" s="252">
      <c r="A98" s="354" t="n">
        <v>50</v>
      </c>
      <c r="B98" s="475" t="n">
        <v>0.58</v>
      </c>
      <c r="C98" s="475" t="n">
        <v>0.75</v>
      </c>
      <c r="D98" s="475" t="n">
        <v>0.82</v>
      </c>
    </row>
    <row r="99" ht="14.25" customHeight="1" s="252">
      <c r="A99" s="354" t="n">
        <v>55</v>
      </c>
      <c r="B99" s="475" t="n">
        <v>0.41</v>
      </c>
      <c r="C99" s="475" t="n">
        <v>0.67</v>
      </c>
      <c r="D99" s="475" t="n">
        <v>0.76</v>
      </c>
    </row>
    <row r="100" ht="14.25" customHeight="1" s="252">
      <c r="A100" s="354" t="n">
        <v>60</v>
      </c>
      <c r="B100" s="476" t="n"/>
      <c r="C100" s="475" t="n">
        <v>0.58</v>
      </c>
      <c r="D100" s="475" t="n">
        <v>0.71</v>
      </c>
    </row>
    <row r="101" ht="14.25" customHeight="1" s="252">
      <c r="A101" s="354" t="n">
        <v>65</v>
      </c>
      <c r="B101" s="476" t="n"/>
      <c r="C101" s="475" t="n">
        <v>0.47</v>
      </c>
      <c r="D101" s="475" t="n">
        <v>0.65</v>
      </c>
    </row>
    <row r="102" ht="14.25" customHeight="1" s="252">
      <c r="A102" s="354" t="n">
        <v>70</v>
      </c>
      <c r="B102" s="476" t="n"/>
      <c r="C102" s="475" t="n">
        <v>0.33</v>
      </c>
      <c r="D102" s="475" t="n">
        <v>0.58</v>
      </c>
    </row>
    <row r="103" ht="14.25" customHeight="1" s="252">
      <c r="A103" s="354" t="n">
        <v>75</v>
      </c>
      <c r="B103" s="476" t="n"/>
      <c r="C103" s="476" t="n"/>
      <c r="D103" s="475" t="n">
        <v>0.5</v>
      </c>
    </row>
    <row r="104" ht="14.25" customHeight="1" s="252">
      <c r="A104" s="354" t="n">
        <v>80</v>
      </c>
      <c r="B104" s="476" t="n"/>
      <c r="C104" s="476" t="n"/>
      <c r="D104" s="475" t="n">
        <v>0.41</v>
      </c>
    </row>
    <row r="107" ht="14.25" customHeight="1" s="252">
      <c r="A107" s="345" t="inlineStr">
        <is>
          <t>CONDUCTOR IMPEDANCE — NEC Chapter 9 Table 9</t>
        </is>
      </c>
    </row>
    <row r="108" ht="68" customHeight="1" s="252">
      <c r="A108" s="377"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7" t="n"/>
      <c r="C108" s="297" t="n"/>
    </row>
    <row r="109" ht="14.25" customHeight="1" s="252">
      <c r="A109" s="472" t="inlineStr">
        <is>
          <t>Size</t>
        </is>
      </c>
      <c r="B109" s="472" t="inlineStr">
        <is>
          <t>Cu ohm/1000ft</t>
        </is>
      </c>
      <c r="C109" s="472" t="inlineStr">
        <is>
          <t>Al ohm/1000ft</t>
        </is>
      </c>
    </row>
    <row r="110" ht="14.25" customHeight="1" s="252">
      <c r="A110" s="505" t="inlineStr">
        <is>
          <t>10 AWG</t>
        </is>
      </c>
      <c r="B110" s="477" t="n">
        <v>1.2</v>
      </c>
      <c r="C110" s="478" t="n"/>
    </row>
    <row r="111" ht="14.25" customHeight="1" s="252">
      <c r="A111" s="505" t="inlineStr">
        <is>
          <t>8 AWG</t>
        </is>
      </c>
      <c r="B111" s="477" t="n">
        <v>0.78</v>
      </c>
      <c r="C111" s="478" t="n"/>
    </row>
    <row r="112" ht="14.25" customHeight="1" s="252">
      <c r="A112" s="505" t="inlineStr">
        <is>
          <t>6 AWG</t>
        </is>
      </c>
      <c r="B112" s="477" t="n">
        <v>0.49</v>
      </c>
      <c r="C112" s="477" t="n">
        <v>0.71</v>
      </c>
    </row>
    <row r="113" ht="14.25" customHeight="1" s="252">
      <c r="A113" s="505" t="inlineStr">
        <is>
          <t>4 AWG</t>
        </is>
      </c>
      <c r="B113" s="477" t="n">
        <v>0.31</v>
      </c>
      <c r="C113" s="477" t="n">
        <v>0.45</v>
      </c>
    </row>
    <row r="114" ht="14.25" customHeight="1" s="252">
      <c r="A114" s="505" t="inlineStr">
        <is>
          <t>2 AWG</t>
        </is>
      </c>
      <c r="B114" s="477" t="n">
        <v>0.19</v>
      </c>
      <c r="C114" s="477" t="n">
        <v>0.29</v>
      </c>
    </row>
    <row r="115" ht="14.25" customHeight="1" s="252">
      <c r="A115" s="505" t="inlineStr">
        <is>
          <t>1 AWG</t>
        </is>
      </c>
      <c r="B115" s="477" t="n">
        <v>0.15</v>
      </c>
      <c r="C115" s="477" t="n">
        <v>0.23</v>
      </c>
    </row>
    <row r="116" ht="14.25" customHeight="1" s="252">
      <c r="A116" s="505" t="inlineStr">
        <is>
          <t>1 /0</t>
        </is>
      </c>
      <c r="B116" s="477" t="n">
        <v>0.12</v>
      </c>
      <c r="C116" s="477" t="n">
        <v>0.19</v>
      </c>
    </row>
    <row r="117" ht="14.25" customHeight="1" s="252">
      <c r="A117" s="505" t="inlineStr">
        <is>
          <t>2 /0</t>
        </is>
      </c>
      <c r="B117" s="477" t="n">
        <v>0.1</v>
      </c>
      <c r="C117" s="477" t="n">
        <v>0.15</v>
      </c>
    </row>
    <row r="118" ht="14.25" customHeight="1" s="252">
      <c r="A118" s="505" t="inlineStr">
        <is>
          <t>3 /0</t>
        </is>
      </c>
      <c r="B118" s="477" t="n">
        <v>0.077</v>
      </c>
      <c r="C118" s="477" t="n">
        <v>0.12</v>
      </c>
    </row>
    <row r="119" ht="14.25" customHeight="1" s="252">
      <c r="A119" s="505" t="inlineStr">
        <is>
          <t>4 /0</t>
        </is>
      </c>
      <c r="B119" s="477" t="n">
        <v>0.062</v>
      </c>
      <c r="C119" s="477" t="n">
        <v>0.1</v>
      </c>
    </row>
    <row r="120" ht="14.25" customHeight="1" s="252">
      <c r="A120" s="505" t="inlineStr">
        <is>
          <t>250 KCMIL</t>
        </is>
      </c>
      <c r="B120" s="477" t="n">
        <v>0.052</v>
      </c>
      <c r="C120" s="477" t="n">
        <v>0.08500000000000001</v>
      </c>
    </row>
    <row r="121" ht="14.25" customHeight="1" s="252">
      <c r="A121" s="505" t="inlineStr">
        <is>
          <t>300 KCMIL</t>
        </is>
      </c>
      <c r="B121" s="477" t="n">
        <v>0.044</v>
      </c>
      <c r="C121" s="477" t="n">
        <v>0.07099999999999999</v>
      </c>
    </row>
    <row r="122" ht="14.25" customHeight="1" s="252">
      <c r="A122" s="505" t="inlineStr">
        <is>
          <t>350 KCMIL</t>
        </is>
      </c>
      <c r="B122" s="477" t="n">
        <v>0.038</v>
      </c>
      <c r="C122" s="477" t="n">
        <v>0.061</v>
      </c>
    </row>
    <row r="123" ht="14.25" customHeight="1" s="252">
      <c r="A123" s="505" t="inlineStr">
        <is>
          <t>400 KCMIL</t>
        </is>
      </c>
      <c r="B123" s="477" t="n">
        <v>0.033</v>
      </c>
      <c r="C123" s="477" t="n">
        <v>0.054</v>
      </c>
    </row>
    <row r="124" ht="14.25" customHeight="1" s="252">
      <c r="A124" s="505" t="inlineStr">
        <is>
          <t>450 KCMIL</t>
        </is>
      </c>
      <c r="B124" s="478" t="n"/>
      <c r="C124" s="478" t="n"/>
    </row>
    <row r="125" ht="14.25" customHeight="1" s="252">
      <c r="A125" s="505" t="inlineStr">
        <is>
          <t>500 KCMIL</t>
        </is>
      </c>
      <c r="B125" s="477" t="n">
        <v>0.027</v>
      </c>
      <c r="C125" s="477" t="n">
        <v>0.043</v>
      </c>
    </row>
    <row r="126" ht="14.25" customHeight="1" s="252">
      <c r="A126" s="505" t="inlineStr">
        <is>
          <t>600 KCMIL</t>
        </is>
      </c>
      <c r="B126" s="477" t="n">
        <v>0.023</v>
      </c>
      <c r="C126" s="477" t="n">
        <v>0.036</v>
      </c>
    </row>
    <row r="127" ht="14.25" customHeight="1" s="252">
      <c r="A127" s="505" t="inlineStr">
        <is>
          <t>750 KCMIL</t>
        </is>
      </c>
      <c r="B127" s="477" t="n">
        <v>0.019</v>
      </c>
      <c r="C127" s="477" t="n">
        <v>0.029</v>
      </c>
    </row>
    <row r="128" ht="14.25" customHeight="1" s="252">
      <c r="A128" s="505" t="inlineStr">
        <is>
          <t>1000 KCMIL</t>
        </is>
      </c>
      <c r="B128" s="477" t="n">
        <v>0.015</v>
      </c>
      <c r="C128" s="477" t="n">
        <v>0.023</v>
      </c>
    </row>
    <row r="131" ht="14.25" customHeight="1" s="252">
      <c r="A131" s="345" t="inlineStr">
        <is>
          <t>STANDARD OVERCURRENT DEVICE RATINGS — NEC 240.6(A)</t>
        </is>
      </c>
    </row>
    <row r="132" ht="14.25" customHeight="1" s="252">
      <c r="A132" s="354" t="n">
        <v>15</v>
      </c>
    </row>
    <row r="133" ht="14.25" customHeight="1" s="252">
      <c r="A133" s="354" t="n">
        <v>20</v>
      </c>
    </row>
    <row r="134" ht="14.25" customHeight="1" s="252">
      <c r="A134" s="354" t="n">
        <v>25</v>
      </c>
    </row>
    <row r="135" ht="14.25" customHeight="1" s="252">
      <c r="A135" s="354" t="n">
        <v>30</v>
      </c>
    </row>
    <row r="136" ht="14.25" customHeight="1" s="252">
      <c r="A136" s="354" t="n">
        <v>35</v>
      </c>
    </row>
    <row r="137" ht="14.25" customHeight="1" s="252">
      <c r="A137" s="354" t="n">
        <v>40</v>
      </c>
    </row>
    <row r="138" ht="14.25" customHeight="1" s="252">
      <c r="A138" s="354" t="n">
        <v>45</v>
      </c>
    </row>
    <row r="139" ht="14.25" customHeight="1" s="252">
      <c r="A139" s="354" t="n">
        <v>50</v>
      </c>
    </row>
    <row r="140" ht="14.25" customHeight="1" s="252">
      <c r="A140" s="354" t="n">
        <v>60</v>
      </c>
    </row>
    <row r="141" ht="14.25" customHeight="1" s="252">
      <c r="A141" s="354" t="n">
        <v>70</v>
      </c>
    </row>
    <row r="142" ht="14.25" customHeight="1" s="252">
      <c r="A142" s="354" t="n">
        <v>80</v>
      </c>
    </row>
    <row r="143" ht="14.25" customHeight="1" s="252">
      <c r="A143" s="354" t="n">
        <v>90</v>
      </c>
    </row>
    <row r="144" ht="14.25" customHeight="1" s="252">
      <c r="A144" s="354" t="n">
        <v>100</v>
      </c>
    </row>
    <row r="145" ht="14.25" customHeight="1" s="252">
      <c r="A145" s="354" t="n">
        <v>110</v>
      </c>
    </row>
    <row r="146" ht="14.25" customHeight="1" s="252">
      <c r="A146" s="354" t="n">
        <v>125</v>
      </c>
    </row>
    <row r="147" ht="14.25" customHeight="1" s="252">
      <c r="A147" s="354" t="n">
        <v>150</v>
      </c>
    </row>
    <row r="148" ht="14.25" customHeight="1" s="252">
      <c r="A148" s="354" t="n">
        <v>175</v>
      </c>
    </row>
    <row r="149" ht="14.25" customHeight="1" s="252">
      <c r="A149" s="354" t="n">
        <v>200</v>
      </c>
    </row>
    <row r="150" ht="14.25" customHeight="1" s="252">
      <c r="A150" s="354" t="n">
        <v>225</v>
      </c>
    </row>
    <row r="151" ht="14.25" customHeight="1" s="252">
      <c r="A151" s="354" t="n">
        <v>250</v>
      </c>
    </row>
    <row r="152" ht="14.25" customHeight="1" s="252">
      <c r="A152" s="354" t="n">
        <v>300</v>
      </c>
    </row>
    <row r="153" ht="14.25" customHeight="1" s="252">
      <c r="A153" s="354" t="n">
        <v>350</v>
      </c>
    </row>
    <row r="154" ht="14.25" customHeight="1" s="252">
      <c r="A154" s="354" t="n">
        <v>400</v>
      </c>
    </row>
    <row r="155" ht="14.25" customHeight="1" s="252">
      <c r="A155" s="354" t="n">
        <v>450</v>
      </c>
    </row>
    <row r="156" ht="14.25" customHeight="1" s="252">
      <c r="A156" s="354" t="n">
        <v>500</v>
      </c>
    </row>
    <row r="157" ht="14.25" customHeight="1" s="252">
      <c r="A157" s="354" t="n">
        <v>600</v>
      </c>
    </row>
    <row r="158" ht="14.25" customHeight="1" s="252">
      <c r="A158" s="354" t="n">
        <v>700</v>
      </c>
    </row>
    <row r="159" ht="14.25" customHeight="1" s="252">
      <c r="A159" s="354" t="n">
        <v>800</v>
      </c>
    </row>
    <row r="160" ht="14.25" customHeight="1" s="252">
      <c r="A160" s="354" t="n">
        <v>1000</v>
      </c>
    </row>
    <row r="161" ht="14.25" customHeight="1" s="252">
      <c r="A161" s="354" t="n">
        <v>1200</v>
      </c>
    </row>
    <row r="162" ht="14.25" customHeight="1" s="252">
      <c r="A162" s="354" t="n">
        <v>1600</v>
      </c>
    </row>
    <row r="163" ht="14.25" customHeight="1" s="252">
      <c r="A163" s="354" t="n">
        <v>2000</v>
      </c>
    </row>
    <row r="164" ht="14.25" customHeight="1" s="252">
      <c r="A164" s="354" t="n">
        <v>2500</v>
      </c>
    </row>
    <row r="165" ht="14.25" customHeight="1" s="252">
      <c r="A165" s="354" t="n">
        <v>3000</v>
      </c>
    </row>
    <row r="166" ht="14.25" customHeight="1" s="252">
      <c r="A166" s="354" t="n">
        <v>4000</v>
      </c>
    </row>
    <row r="167" ht="14.25" customHeight="1" s="252">
      <c r="A167" s="354" t="n">
        <v>5000</v>
      </c>
    </row>
    <row r="168" ht="14.25" customHeight="1" s="252">
      <c r="A168" s="354" t="n">
        <v>6000</v>
      </c>
    </row>
    <row r="170" ht="14.25" customHeight="1" s="252">
      <c r="A170" s="255" t="inlineStr">
        <is>
          <t>MARKET BENCHMARKS — DC fast charging by state</t>
        </is>
      </c>
    </row>
    <row r="171" ht="32" customHeight="1" s="252">
      <c r="A171" s="367" t="inlineStr">
        <is>
          <t>Source: Paren, US EV Fast Charging Report, Q2 2026. Port utilisation is time-based — the share of the day a port delivers energy. The intake and the model read the same rows.</t>
        </is>
      </c>
    </row>
    <row r="172" ht="14.25" customHeight="1" s="252">
      <c r="A172" s="358" t="inlineStr">
        <is>
          <t>State</t>
        </is>
      </c>
      <c r="B172" s="358" t="inlineStr">
        <is>
          <t>Port utilisation</t>
        </is>
      </c>
      <c r="C172" s="358" t="inlineStr">
        <is>
          <t>Price to driver $/kWh</t>
        </is>
      </c>
    </row>
    <row r="173" ht="14.25" customHeight="1" s="252">
      <c r="A173" s="274" t="inlineStr">
        <is>
          <t>United States (average)</t>
        </is>
      </c>
      <c r="B173" s="479" t="n">
        <v>0.1576</v>
      </c>
      <c r="C173" s="480" t="n">
        <v>0.538</v>
      </c>
    </row>
    <row r="174" ht="14.25" customHeight="1" s="252">
      <c r="A174" s="274" t="inlineStr">
        <is>
          <t>California</t>
        </is>
      </c>
      <c r="B174" s="479" t="n">
        <v>0.231</v>
      </c>
      <c r="C174" s="480" t="n">
        <v>0.606</v>
      </c>
    </row>
    <row r="175" ht="14.25" customHeight="1" s="252">
      <c r="A175" s="274" t="inlineStr">
        <is>
          <t>District of Columbia</t>
        </is>
      </c>
      <c r="B175" s="479" t="n">
        <v>0.297</v>
      </c>
      <c r="C175" s="481" t="n"/>
    </row>
    <row r="176" ht="14.25" customHeight="1" s="252">
      <c r="A176" s="274" t="inlineStr">
        <is>
          <t>Hawaii</t>
        </is>
      </c>
      <c r="B176" s="479" t="n">
        <v>0.287</v>
      </c>
      <c r="C176" s="480" t="n">
        <v>0.856</v>
      </c>
    </row>
    <row r="177" ht="14.25" customHeight="1" s="252">
      <c r="A177" s="274" t="inlineStr">
        <is>
          <t>Florida</t>
        </is>
      </c>
      <c r="B177" s="479" t="n">
        <v>0.201</v>
      </c>
      <c r="C177" s="481" t="n"/>
    </row>
    <row r="178" ht="14.25" customHeight="1" s="252">
      <c r="A178" s="274" t="inlineStr">
        <is>
          <t>Alaska</t>
        </is>
      </c>
      <c r="B178" s="479" t="n">
        <v>0.02</v>
      </c>
      <c r="C178" s="481" t="n"/>
    </row>
    <row r="179" ht="14.25" customHeight="1" s="252">
      <c r="A179" s="274" t="inlineStr">
        <is>
          <t>Nebraska</t>
        </is>
      </c>
      <c r="B179" s="482" t="n"/>
      <c r="C179" s="480" t="n">
        <v>0.428</v>
      </c>
    </row>
    <row r="181" ht="14.25" customHeight="1" s="252">
      <c r="A181" s="255" t="inlineStr">
        <is>
          <t>NEC 250.122 — EQUIPMENT GROUND BY OCPD</t>
        </is>
      </c>
    </row>
    <row r="182" ht="32" customHeight="1" s="252">
      <c r="A182" s="367" t="inlineStr">
        <is>
          <t>UNVERIFIED — transcribed from the project model's own table, not from the printed NEC page. The equipment ground is sized on the DEVICE, not the load. Check it before it goes to an inspector.</t>
        </is>
      </c>
    </row>
    <row r="183" ht="14.25" customHeight="1" s="252">
      <c r="A183" s="358" t="inlineStr">
        <is>
          <t>OCPD up to (A)</t>
        </is>
      </c>
      <c r="B183" s="358" t="inlineStr">
        <is>
          <t>Copper</t>
        </is>
      </c>
      <c r="C183" s="358" t="inlineStr">
        <is>
          <t>Aluminium</t>
        </is>
      </c>
    </row>
    <row r="184" ht="14.25" customHeight="1" s="252">
      <c r="A184" s="448" t="n">
        <v>15</v>
      </c>
      <c r="B184" s="274" t="inlineStr">
        <is>
          <t>14 AWG</t>
        </is>
      </c>
      <c r="C184" s="274" t="inlineStr">
        <is>
          <t>12 AWG</t>
        </is>
      </c>
    </row>
    <row r="185" ht="14.25" customHeight="1" s="252">
      <c r="A185" s="448" t="n">
        <v>20</v>
      </c>
      <c r="B185" s="274" t="inlineStr">
        <is>
          <t>12 AWG</t>
        </is>
      </c>
      <c r="C185" s="274" t="inlineStr">
        <is>
          <t>10 AWG</t>
        </is>
      </c>
    </row>
    <row r="186" ht="14.25" customHeight="1" s="252">
      <c r="A186" s="448" t="n">
        <v>60</v>
      </c>
      <c r="B186" s="274" t="inlineStr">
        <is>
          <t>10 AWG</t>
        </is>
      </c>
      <c r="C186" s="274" t="inlineStr">
        <is>
          <t>8 AWG</t>
        </is>
      </c>
    </row>
    <row r="187" ht="14.25" customHeight="1" s="252">
      <c r="A187" s="448" t="n">
        <v>100</v>
      </c>
      <c r="B187" s="274" t="inlineStr">
        <is>
          <t>8 AWG</t>
        </is>
      </c>
      <c r="C187" s="274" t="inlineStr">
        <is>
          <t>6 AWG</t>
        </is>
      </c>
    </row>
    <row r="188" ht="14.25" customHeight="1" s="252">
      <c r="A188" s="448" t="n">
        <v>200</v>
      </c>
      <c r="B188" s="274" t="inlineStr">
        <is>
          <t>6 AWG</t>
        </is>
      </c>
      <c r="C188" s="274" t="inlineStr">
        <is>
          <t>4 AWG</t>
        </is>
      </c>
    </row>
    <row r="189" ht="14.25" customHeight="1" s="252">
      <c r="A189" s="448" t="n">
        <v>300</v>
      </c>
      <c r="B189" s="274" t="inlineStr">
        <is>
          <t>4 AWG</t>
        </is>
      </c>
      <c r="C189" s="274" t="inlineStr">
        <is>
          <t>2 AWG</t>
        </is>
      </c>
    </row>
    <row r="190" ht="14.25" customHeight="1" s="252">
      <c r="A190" s="448" t="n">
        <v>400</v>
      </c>
      <c r="B190" s="274" t="inlineStr">
        <is>
          <t>3 AWG</t>
        </is>
      </c>
      <c r="C190" s="274" t="inlineStr">
        <is>
          <t>1 AWG</t>
        </is>
      </c>
    </row>
    <row r="191" ht="14.25" customHeight="1" s="252">
      <c r="A191" s="448" t="n">
        <v>500</v>
      </c>
      <c r="B191" s="274" t="inlineStr">
        <is>
          <t>2 AWG</t>
        </is>
      </c>
      <c r="C191" s="274" t="inlineStr">
        <is>
          <t>1 /0</t>
        </is>
      </c>
    </row>
    <row r="192" ht="14.25" customHeight="1" s="252">
      <c r="A192" s="448" t="n">
        <v>600</v>
      </c>
      <c r="B192" s="274" t="inlineStr">
        <is>
          <t>1 AWG</t>
        </is>
      </c>
      <c r="C192" s="274" t="inlineStr">
        <is>
          <t>2 /0</t>
        </is>
      </c>
    </row>
    <row r="193" ht="14.25" customHeight="1" s="252">
      <c r="A193" s="448" t="n">
        <v>800</v>
      </c>
      <c r="B193" s="274" t="inlineStr">
        <is>
          <t>1 /0</t>
        </is>
      </c>
      <c r="C193" s="274" t="inlineStr">
        <is>
          <t>3 /0</t>
        </is>
      </c>
    </row>
    <row r="194" ht="14.25" customHeight="1" s="252">
      <c r="A194" s="448" t="n">
        <v>1000</v>
      </c>
      <c r="B194" s="274" t="inlineStr">
        <is>
          <t>2 /0</t>
        </is>
      </c>
      <c r="C194" s="274" t="inlineStr">
        <is>
          <t>4 /0</t>
        </is>
      </c>
    </row>
    <row r="195" ht="14.25" customHeight="1" s="252">
      <c r="A195" s="448" t="n">
        <v>1200</v>
      </c>
      <c r="B195" s="274" t="inlineStr">
        <is>
          <t>3 /0</t>
        </is>
      </c>
      <c r="C195" s="274" t="inlineStr">
        <is>
          <t>250 KCMIL</t>
        </is>
      </c>
    </row>
    <row r="196" ht="14.25" customHeight="1" s="252">
      <c r="A196" s="448" t="n">
        <v>1600</v>
      </c>
      <c r="B196" s="274" t="inlineStr">
        <is>
          <t>4 /0</t>
        </is>
      </c>
      <c r="C196" s="274" t="inlineStr">
        <is>
          <t>350 KCMIL</t>
        </is>
      </c>
    </row>
    <row r="197" ht="14.25" customHeight="1" s="252">
      <c r="A197" s="448" t="n">
        <v>2000</v>
      </c>
      <c r="B197" s="274" t="inlineStr">
        <is>
          <t>250 KCMIL</t>
        </is>
      </c>
      <c r="C197" s="274" t="inlineStr">
        <is>
          <t>400 KCMIL</t>
        </is>
      </c>
    </row>
    <row r="198" ht="14.25" customHeight="1" s="252">
      <c r="A198" s="448" t="n">
        <v>2500</v>
      </c>
      <c r="B198" s="274" t="inlineStr">
        <is>
          <t>350 KCMIL</t>
        </is>
      </c>
      <c r="C198" s="274" t="inlineStr">
        <is>
          <t>600 KCMIL</t>
        </is>
      </c>
    </row>
    <row r="199" ht="14.25" customHeight="1" s="252">
      <c r="A199" s="448" t="n">
        <v>3000</v>
      </c>
      <c r="B199" s="274" t="inlineStr">
        <is>
          <t>400 KCMIL</t>
        </is>
      </c>
      <c r="C199" s="274" t="inlineStr">
        <is>
          <t>600 KCMIL</t>
        </is>
      </c>
    </row>
    <row r="200" ht="14.25" customHeight="1" s="252">
      <c r="A200" s="448" t="n">
        <v>4000</v>
      </c>
      <c r="B200" s="274" t="inlineStr">
        <is>
          <t>500 KCMIL</t>
        </is>
      </c>
      <c r="C200" s="274" t="inlineStr">
        <is>
          <t>750 KCMIL</t>
        </is>
      </c>
    </row>
  </sheetData>
  <mergeCells count="6">
    <mergeCell ref="A108:C108"/>
    <mergeCell ref="A88:D88"/>
    <mergeCell ref="A1:F1"/>
    <mergeCell ref="A171:G171"/>
    <mergeCell ref="A64:G64"/>
    <mergeCell ref="A182:G182"/>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5.xml><?xml version="1.0" encoding="utf-8"?>
<worksheet xmlns="http://schemas.openxmlformats.org/spreadsheetml/2006/main">
  <sheetPr filterMode="0">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6796875" defaultRowHeight="14.25" zeroHeight="0" outlineLevelRow="0"/>
  <cols>
    <col width="44" customWidth="1" style="251" min="1" max="1"/>
    <col width="10" customWidth="1" style="251" min="2" max="2"/>
    <col width="36" customWidth="1" style="251" min="3" max="3"/>
    <col width="34" customWidth="1" style="251" min="4" max="4"/>
    <col width="10" customWidth="1" style="251" min="5" max="5"/>
    <col hidden="1" width="56" customWidth="1" style="251" min="6" max="6"/>
    <col width="9" customWidth="1" style="251" min="7" max="7"/>
    <col hidden="1" width="53" customWidth="1" style="251" min="8" max="8"/>
    <col width="9" customWidth="1" style="251" min="9" max="9"/>
    <col width="56" customWidth="1" style="251" min="10" max="10"/>
    <col width="10" customWidth="1" style="251" min="11" max="11"/>
    <col width="60" customWidth="1" style="251" min="12" max="12"/>
    <col width="44" customWidth="1" style="251" min="13" max="13"/>
    <col width="12" customWidth="1" style="251" min="14" max="14"/>
  </cols>
  <sheetData>
    <row r="1" ht="17.25" customHeight="1" s="252">
      <c r="A1" s="289" t="inlineStr">
        <is>
          <t>CALIFORNIA ELECTRIC UTILITIES — DELIVERY</t>
        </is>
      </c>
    </row>
    <row r="2" ht="44" customHeight="1" s="252">
      <c r="A2" s="283"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row>
    <row r="4" ht="15" customHeight="1" s="252">
      <c r="A4" s="504" t="inlineStr">
        <is>
          <t>Utility</t>
        </is>
      </c>
      <c r="B4" s="504" t="inlineStr">
        <is>
          <t>Type</t>
        </is>
      </c>
      <c r="C4" s="504" t="inlineStr">
        <is>
          <t>Service territory</t>
        </is>
      </c>
      <c r="D4" s="504" t="inlineStr">
        <is>
          <t>EV rate status</t>
        </is>
      </c>
      <c r="E4" s="484" t="n"/>
      <c r="F4" s="485" t="inlineStr">
        <is>
          <t>DELIVERY UTILITY PICKER — what the Project tab offers</t>
        </is>
      </c>
      <c r="H4" s="265" t="inlineStr">
        <is>
          <t>RATE SCHEDULE PICKER — what the Revenue tab offers</t>
        </is>
      </c>
      <c r="J4" s="485" t="inlineStr">
        <is>
          <t>Utility (resolved)</t>
        </is>
      </c>
      <c r="K4" s="485" t="inlineStr">
        <is>
          <t>Type</t>
        </is>
      </c>
      <c r="L4" s="485" t="inlineStr">
        <is>
          <t>Service territory</t>
        </is>
      </c>
      <c r="M4" s="485" t="inlineStr">
        <is>
          <t>EV rate status</t>
        </is>
      </c>
      <c r="N4" s="485" t="inlineStr">
        <is>
          <t>State</t>
        </is>
      </c>
    </row>
    <row r="5" ht="20" customHeight="1" s="252">
      <c r="A5" s="372" t="inlineStr">
        <is>
          <t>PG&amp;E — Pacific Gas and Electric</t>
        </is>
      </c>
      <c r="B5" s="486" t="inlineStr">
        <is>
          <t>IOU</t>
        </is>
      </c>
      <c r="C5" s="356" t="inlineStr">
        <is>
          <t>Northern &amp; central CA, 47 counties</t>
        </is>
      </c>
      <c r="D5" s="487" t="inlineStr">
        <is>
          <t>EV rate: BEV-1 / BEV-2-S / BEV-2-P</t>
        </is>
      </c>
      <c r="F5" s="274" t="inlineStr">
        <is>
          <t>PG&amp;E — Pacific Gas and Electric</t>
        </is>
      </c>
      <c r="H5" s="265" t="inlineStr">
        <is>
          <t>BEV-1</t>
        </is>
      </c>
      <c r="J5" s="274" t="inlineStr">
        <is>
          <t>PG&amp;E — Pacific Gas and Electric</t>
        </is>
      </c>
      <c r="K5" s="274" t="inlineStr">
        <is>
          <t>IOU</t>
        </is>
      </c>
      <c r="L5" s="274" t="inlineStr">
        <is>
          <t>Northern &amp; central CA, 47 counties</t>
        </is>
      </c>
      <c r="M5" s="274" t="inlineStr">
        <is>
          <t>EV rate: BEV-1 / BEV-2-S / BEV-2-P</t>
        </is>
      </c>
      <c r="N5" s="274" t="inlineStr">
        <is>
          <t>California</t>
        </is>
      </c>
    </row>
    <row r="6" ht="20" customHeight="1" s="252">
      <c r="A6" s="372" t="inlineStr">
        <is>
          <t>SCE — Southern California Edison</t>
        </is>
      </c>
      <c r="B6" s="486" t="inlineStr">
        <is>
          <t>IOU</t>
        </is>
      </c>
      <c r="C6" s="356" t="inlineStr">
        <is>
          <t>Central &amp; southern CA, 15 counties</t>
        </is>
      </c>
      <c r="D6" s="487" t="inlineStr">
        <is>
          <t>EV rate: TOU-EV-7 / 8 / 9</t>
        </is>
      </c>
      <c r="F6" s="274" t="inlineStr">
        <is>
          <t>SCE — Southern California Edison</t>
        </is>
      </c>
      <c r="H6" s="265" t="inlineStr">
        <is>
          <t>BEV-2-S</t>
        </is>
      </c>
      <c r="J6" s="274" t="inlineStr">
        <is>
          <t>SCE — Southern California Edison</t>
        </is>
      </c>
      <c r="K6" s="274" t="inlineStr">
        <is>
          <t>IOU</t>
        </is>
      </c>
      <c r="L6" s="274" t="inlineStr">
        <is>
          <t>Central &amp; southern CA, 15 counties</t>
        </is>
      </c>
      <c r="M6" s="274" t="inlineStr">
        <is>
          <t>EV rate: TOU-EV-7 / 8 / 9</t>
        </is>
      </c>
      <c r="N6" s="274" t="inlineStr">
        <is>
          <t>California</t>
        </is>
      </c>
    </row>
    <row r="7" ht="20" customHeight="1" s="252">
      <c r="A7" s="372" t="inlineStr">
        <is>
          <t>SDG&amp;E — San Diego Gas &amp; Electric</t>
        </is>
      </c>
      <c r="B7" s="486" t="inlineStr">
        <is>
          <t>IOU</t>
        </is>
      </c>
      <c r="C7" s="356" t="inlineStr">
        <is>
          <t>San Diego Co. + southern Orange Co.</t>
        </is>
      </c>
      <c r="D7" s="487" t="inlineStr">
        <is>
          <t>EV rate: EV-HP</t>
        </is>
      </c>
      <c r="F7" s="274" t="inlineStr">
        <is>
          <t>SDG&amp;E — San Diego Gas &amp; Electric</t>
        </is>
      </c>
      <c r="H7" s="265" t="inlineStr">
        <is>
          <t>BEV-2-P</t>
        </is>
      </c>
      <c r="J7" s="274" t="inlineStr">
        <is>
          <t>SDG&amp;E — San Diego Gas &amp; Electric</t>
        </is>
      </c>
      <c r="K7" s="274" t="inlineStr">
        <is>
          <t>IOU</t>
        </is>
      </c>
      <c r="L7" s="274" t="inlineStr">
        <is>
          <t>San Diego Co. + southern Orange Co.</t>
        </is>
      </c>
      <c r="M7" s="274" t="inlineStr">
        <is>
          <t>EV rate: EV-HP</t>
        </is>
      </c>
      <c r="N7" s="274" t="inlineStr">
        <is>
          <t>California</t>
        </is>
      </c>
    </row>
    <row r="8" ht="20" customHeight="1" s="252">
      <c r="A8" s="372" t="inlineStr">
        <is>
          <t>Liberty Utilities (CalPeco Electric)</t>
        </is>
      </c>
      <c r="B8" s="486" t="inlineStr">
        <is>
          <t>IOU</t>
        </is>
      </c>
      <c r="C8" s="356" t="inlineStr">
        <is>
          <t>North Lake Tahoe &amp; eastern Sierra</t>
        </is>
      </c>
      <c r="D8" s="487" t="inlineStr">
        <is>
          <t>EV rate: TOU A-1/A-2/A-3 EV</t>
        </is>
      </c>
      <c r="F8" s="274" t="inlineStr">
        <is>
          <t>Liberty Utilities (CalPeco Electric)</t>
        </is>
      </c>
      <c r="H8" s="265" t="inlineStr">
        <is>
          <t>TOU-EV-7</t>
        </is>
      </c>
      <c r="J8" s="274" t="inlineStr">
        <is>
          <t>Liberty Utilities (CalPeco Electric)</t>
        </is>
      </c>
      <c r="K8" s="274" t="inlineStr">
        <is>
          <t>IOU</t>
        </is>
      </c>
      <c r="L8" s="274" t="inlineStr">
        <is>
          <t>North Lake Tahoe &amp; eastern Sierra</t>
        </is>
      </c>
      <c r="M8" s="274" t="inlineStr">
        <is>
          <t>EV rate: TOU A-1/A-2/A-3 EV</t>
        </is>
      </c>
      <c r="N8" s="274" t="inlineStr">
        <is>
          <t>California</t>
        </is>
      </c>
    </row>
    <row r="9" ht="20" customHeight="1" s="252">
      <c r="A9" s="372" t="inlineStr">
        <is>
          <t>Pacific Power (PacifiCorp)</t>
        </is>
      </c>
      <c r="B9" s="486" t="inlineStr">
        <is>
          <t>IOU</t>
        </is>
      </c>
      <c r="C9" s="356" t="inlineStr">
        <is>
          <t>Siskiyou, Modoc, Shasta, Del Norte</t>
        </is>
      </c>
      <c r="D9" s="488" t="inlineStr">
        <is>
          <t>NO commercial EV rate</t>
        </is>
      </c>
      <c r="F9" s="274" t="inlineStr">
        <is>
          <t>Pacific Power (PacifiCorp)</t>
        </is>
      </c>
      <c r="H9" s="265" t="inlineStr">
        <is>
          <t>TOU-EV-8</t>
        </is>
      </c>
      <c r="J9" s="274" t="inlineStr">
        <is>
          <t>Pacific Power (PacifiCorp)</t>
        </is>
      </c>
      <c r="K9" s="274" t="inlineStr">
        <is>
          <t>IOU</t>
        </is>
      </c>
      <c r="L9" s="274" t="inlineStr">
        <is>
          <t>Siskiyou, Modoc, Shasta, Del Norte</t>
        </is>
      </c>
      <c r="M9" s="274" t="inlineStr">
        <is>
          <t>NO commercial EV rate</t>
        </is>
      </c>
      <c r="N9" s="274" t="inlineStr">
        <is>
          <t>California</t>
        </is>
      </c>
    </row>
    <row r="10" ht="32" customHeight="1" s="252">
      <c r="A10" s="372" t="inlineStr">
        <is>
          <t>Bear Valley Electric Service (BVES)</t>
        </is>
      </c>
      <c r="B10" s="486" t="inlineStr">
        <is>
          <t>IOU</t>
        </is>
      </c>
      <c r="C10" s="356" t="inlineStr">
        <is>
          <t>Big Bear Lake, San Bernardino Co.</t>
        </is>
      </c>
      <c r="D10" s="487" t="inlineStr">
        <is>
          <t>EV rate: TOU-EV-2 / TOU-EV-3 (max 500 kW)</t>
        </is>
      </c>
      <c r="F10" s="274" t="inlineStr">
        <is>
          <t>Bear Valley Electric Service (BVES)</t>
        </is>
      </c>
      <c r="H10" s="265" t="inlineStr">
        <is>
          <t>TOU-EV-9</t>
        </is>
      </c>
      <c r="J10" s="274" t="inlineStr">
        <is>
          <t>Bear Valley Electric Service (BVES)</t>
        </is>
      </c>
      <c r="K10" s="274" t="inlineStr">
        <is>
          <t>IOU</t>
        </is>
      </c>
      <c r="L10" s="274" t="inlineStr">
        <is>
          <t>Big Bear Lake, San Bernardino Co.</t>
        </is>
      </c>
      <c r="M10" s="274" t="inlineStr">
        <is>
          <t>EV rate: TOU-EV-2 / TOU-EV-3 (max 500 kW)</t>
        </is>
      </c>
      <c r="N10" s="274" t="inlineStr">
        <is>
          <t>California</t>
        </is>
      </c>
    </row>
    <row r="11" ht="20" customHeight="1" s="252">
      <c r="A11" s="372" t="inlineStr">
        <is>
          <t>LADWP — Los Angeles Dept of Water &amp; Power</t>
        </is>
      </c>
      <c r="B11" s="486" t="inlineStr">
        <is>
          <t>POU</t>
        </is>
      </c>
      <c r="C11" s="356" t="inlineStr">
        <is>
          <t>City of Los Angeles + Owens Valley</t>
        </is>
      </c>
      <c r="D11" s="487" t="inlineStr">
        <is>
          <t>EV rate: EVA1 / EVA2 / EVA3 (pilot)</t>
        </is>
      </c>
      <c r="F11" s="274" t="inlineStr">
        <is>
          <t>LADWP — Los Angeles Dept of Water &amp; Power</t>
        </is>
      </c>
      <c r="H11" s="265" t="inlineStr">
        <is>
          <t>EV-HP &gt;150kW</t>
        </is>
      </c>
      <c r="J11" s="274" t="inlineStr">
        <is>
          <t>LADWP — Los Angeles Dept of Water &amp; Power</t>
        </is>
      </c>
      <c r="K11" s="274" t="inlineStr">
        <is>
          <t>POU</t>
        </is>
      </c>
      <c r="L11" s="274" t="inlineStr">
        <is>
          <t>City of Los Angeles + Owens Valley</t>
        </is>
      </c>
      <c r="M11" s="274" t="inlineStr">
        <is>
          <t>EV rate: EVA1 / EVA2 / EVA3 (pilot)</t>
        </is>
      </c>
      <c r="N11" s="274" t="inlineStr">
        <is>
          <t>California</t>
        </is>
      </c>
    </row>
    <row r="12" ht="20" customHeight="1" s="252">
      <c r="A12" s="372" t="inlineStr">
        <is>
          <t>SMUD — Sacramento Municipal Utility District</t>
        </is>
      </c>
      <c r="B12" s="486" t="inlineStr">
        <is>
          <t>POU</t>
        </is>
      </c>
      <c r="C12" s="356" t="inlineStr">
        <is>
          <t>Sacramento Co. + part of Placer Co.</t>
        </is>
      </c>
      <c r="D12" s="487" t="inlineStr">
        <is>
          <t>EV rate: EV_SR subscription</t>
        </is>
      </c>
      <c r="F12" s="274" t="inlineStr">
        <is>
          <t>SMUD — Sacramento Municipal Utility District</t>
        </is>
      </c>
      <c r="H12" s="265" t="inlineStr">
        <is>
          <t>EV-HP &lt;150kW</t>
        </is>
      </c>
      <c r="J12" s="274" t="inlineStr">
        <is>
          <t>SMUD — Sacramento Municipal Utility District</t>
        </is>
      </c>
      <c r="K12" s="274" t="inlineStr">
        <is>
          <t>POU</t>
        </is>
      </c>
      <c r="L12" s="274" t="inlineStr">
        <is>
          <t>Sacramento Co. + part of Placer Co.</t>
        </is>
      </c>
      <c r="M12" s="274" t="inlineStr">
        <is>
          <t>EV rate: EV_SR subscription</t>
        </is>
      </c>
      <c r="N12" s="274" t="inlineStr">
        <is>
          <t>California</t>
        </is>
      </c>
    </row>
    <row r="13" ht="20" customHeight="1" s="252">
      <c r="A13" s="372" t="inlineStr">
        <is>
          <t>IID — Imperial Irrigation District</t>
        </is>
      </c>
      <c r="B13" s="486" t="inlineStr">
        <is>
          <t>POU</t>
        </is>
      </c>
      <c r="C13" s="356" t="inlineStr">
        <is>
          <t>Imperial Co. + eastern Coachella Valley</t>
        </is>
      </c>
      <c r="D13" s="488" t="inlineStr">
        <is>
          <t>NO EV rate</t>
        </is>
      </c>
      <c r="F13" s="274" t="inlineStr">
        <is>
          <t>IID — Imperial Irrigation District</t>
        </is>
      </c>
      <c r="H13" s="265" t="inlineStr">
        <is>
          <t>UMERC Cg1 — General Secondary, three-phase</t>
        </is>
      </c>
      <c r="J13" s="274" t="inlineStr">
        <is>
          <t>IID — Imperial Irrigation District</t>
        </is>
      </c>
      <c r="K13" s="274" t="inlineStr">
        <is>
          <t>POU</t>
        </is>
      </c>
      <c r="L13" s="274" t="inlineStr">
        <is>
          <t>Imperial Co. + eastern Coachella Valley</t>
        </is>
      </c>
      <c r="M13" s="274" t="inlineStr">
        <is>
          <t>NO EV rate</t>
        </is>
      </c>
      <c r="N13" s="274" t="inlineStr">
        <is>
          <t>California</t>
        </is>
      </c>
    </row>
    <row r="14" ht="20" customHeight="1" s="252">
      <c r="A14" s="372" t="inlineStr">
        <is>
          <t>MID — Modesto Irrigation District</t>
        </is>
      </c>
      <c r="B14" s="486" t="inlineStr">
        <is>
          <t>POU</t>
        </is>
      </c>
      <c r="C14" s="356" t="inlineStr">
        <is>
          <t>Modesto &amp; Stanislaus Co.</t>
        </is>
      </c>
      <c r="D14" s="488" t="inlineStr">
        <is>
          <t>NO commercial EV rate</t>
        </is>
      </c>
      <c r="F14" s="274" t="inlineStr">
        <is>
          <t>MID — Modesto Irrigation District</t>
        </is>
      </c>
      <c r="H14" s="265" t="inlineStr">
        <is>
          <t>UMERC Cg5 — General Secondary Time-of-Use</t>
        </is>
      </c>
      <c r="J14" s="274" t="inlineStr">
        <is>
          <t>MID — Modesto Irrigation District</t>
        </is>
      </c>
      <c r="K14" s="274" t="inlineStr">
        <is>
          <t>POU</t>
        </is>
      </c>
      <c r="L14" s="274" t="inlineStr">
        <is>
          <t>Modesto &amp; Stanislaus Co.</t>
        </is>
      </c>
      <c r="M14" s="274" t="inlineStr">
        <is>
          <t>NO commercial EV rate</t>
        </is>
      </c>
      <c r="N14" s="274" t="inlineStr">
        <is>
          <t>California</t>
        </is>
      </c>
    </row>
    <row r="15" ht="32" customHeight="1" s="252">
      <c r="A15" s="372" t="inlineStr">
        <is>
          <t>Anaheim Public Utilities</t>
        </is>
      </c>
      <c r="B15" s="486" t="inlineStr">
        <is>
          <t>POU</t>
        </is>
      </c>
      <c r="C15" s="356" t="inlineStr">
        <is>
          <t>City of Anaheim, Orange Co.</t>
        </is>
      </c>
      <c r="D15" s="489" t="inlineStr">
        <is>
          <t>EV rate D-EV-2 CLOSED to new customers</t>
        </is>
      </c>
      <c r="F15" s="274" t="inlineStr">
        <is>
          <t>Anaheim Public Utilities</t>
        </is>
      </c>
      <c r="H15" s="265" t="inlineStr">
        <is>
          <t>UMERC Cg3 — General Secondary Demand TOU</t>
        </is>
      </c>
      <c r="J15" s="274" t="inlineStr">
        <is>
          <t>Anaheim Public Utilities</t>
        </is>
      </c>
      <c r="K15" s="274" t="inlineStr">
        <is>
          <t>POU</t>
        </is>
      </c>
      <c r="L15" s="274" t="inlineStr">
        <is>
          <t>City of Anaheim, Orange Co.</t>
        </is>
      </c>
      <c r="M15" s="274" t="inlineStr">
        <is>
          <t>EV rate D-EV-2 CLOSED to new customers</t>
        </is>
      </c>
      <c r="N15" s="274" t="inlineStr">
        <is>
          <t>California</t>
        </is>
      </c>
    </row>
    <row r="16" ht="20" customHeight="1" s="252">
      <c r="A16" s="372" t="inlineStr">
        <is>
          <t>Riverside Public Utilities</t>
        </is>
      </c>
      <c r="B16" s="486" t="inlineStr">
        <is>
          <t>POU</t>
        </is>
      </c>
      <c r="C16" s="356" t="inlineStr">
        <is>
          <t>City of Riverside</t>
        </is>
      </c>
      <c r="D16" s="489" t="inlineStr">
        <is>
          <t>EV rate SMEVC capped below 150 kW</t>
        </is>
      </c>
      <c r="F16" s="274" t="inlineStr">
        <is>
          <t>Riverside Public Utilities</t>
        </is>
      </c>
      <c r="H16" s="265" t="inlineStr">
        <is>
          <t>Manual</t>
        </is>
      </c>
      <c r="J16" s="274" t="inlineStr">
        <is>
          <t>Riverside Public Utilities</t>
        </is>
      </c>
      <c r="K16" s="274" t="inlineStr">
        <is>
          <t>POU</t>
        </is>
      </c>
      <c r="L16" s="274" t="inlineStr">
        <is>
          <t>City of Riverside</t>
        </is>
      </c>
      <c r="M16" s="274" t="inlineStr">
        <is>
          <t>EV rate SMEVC capped below 150 kW</t>
        </is>
      </c>
      <c r="N16" s="274" t="inlineStr">
        <is>
          <t>California</t>
        </is>
      </c>
    </row>
    <row r="17" ht="20" customHeight="1" s="252">
      <c r="A17" s="372" t="inlineStr">
        <is>
          <t>TID — Turlock Irrigation District</t>
        </is>
      </c>
      <c r="B17" s="486" t="inlineStr">
        <is>
          <t>POU</t>
        </is>
      </c>
      <c r="C17" s="356" t="inlineStr">
        <is>
          <t>Turlock; Stanislaus, Merced, Tuolumne</t>
        </is>
      </c>
      <c r="D17" s="488" t="inlineStr">
        <is>
          <t>NO EV rate</t>
        </is>
      </c>
      <c r="F17" s="274" t="inlineStr">
        <is>
          <t>TID — Turlock Irrigation District</t>
        </is>
      </c>
      <c r="H17" s="274" t="inlineStr">
        <is>
          <t>REU E2 — Small Commercial (no demand)</t>
        </is>
      </c>
      <c r="J17" s="274" t="inlineStr">
        <is>
          <t>TID — Turlock Irrigation District</t>
        </is>
      </c>
      <c r="K17" s="274" t="inlineStr">
        <is>
          <t>POU</t>
        </is>
      </c>
      <c r="L17" s="274" t="inlineStr">
        <is>
          <t>Turlock; Stanislaus, Merced, Tuolumne</t>
        </is>
      </c>
      <c r="M17" s="274" t="inlineStr">
        <is>
          <t>NO EV rate</t>
        </is>
      </c>
      <c r="N17" s="274" t="inlineStr">
        <is>
          <t>California</t>
        </is>
      </c>
    </row>
    <row r="18" ht="20" customHeight="1" s="252">
      <c r="A18" s="372" t="inlineStr">
        <is>
          <t>Glendale Water and Power</t>
        </is>
      </c>
      <c r="B18" s="486" t="inlineStr">
        <is>
          <t>POU</t>
        </is>
      </c>
      <c r="C18" s="356" t="inlineStr">
        <is>
          <t>City of Glendale, LA Co.</t>
        </is>
      </c>
      <c r="D18" s="488" t="inlineStr">
        <is>
          <t>NO commercial EV rate</t>
        </is>
      </c>
      <c r="F18" s="274" t="inlineStr">
        <is>
          <t>Glendale Water and Power</t>
        </is>
      </c>
      <c r="H18" s="274" t="inlineStr">
        <is>
          <t>REU E7/E8 — Large Commercial (demand)</t>
        </is>
      </c>
      <c r="J18" s="274" t="inlineStr">
        <is>
          <t>Glendale Water and Power</t>
        </is>
      </c>
      <c r="K18" s="274" t="inlineStr">
        <is>
          <t>POU</t>
        </is>
      </c>
      <c r="L18" s="274" t="inlineStr">
        <is>
          <t>City of Glendale, LA Co.</t>
        </is>
      </c>
      <c r="M18" s="274" t="inlineStr">
        <is>
          <t>NO commercial EV rate</t>
        </is>
      </c>
      <c r="N18" s="274" t="inlineStr">
        <is>
          <t>California</t>
        </is>
      </c>
    </row>
    <row r="19" ht="20" customHeight="1" s="252">
      <c r="A19" s="372" t="inlineStr">
        <is>
          <t>Roseville Electric Utility</t>
        </is>
      </c>
      <c r="B19" s="486" t="inlineStr">
        <is>
          <t>POU</t>
        </is>
      </c>
      <c r="C19" s="356" t="inlineStr">
        <is>
          <t>City of Roseville, Placer Co.</t>
        </is>
      </c>
      <c r="D19" s="488" t="inlineStr">
        <is>
          <t>NO commercial EV rate</t>
        </is>
      </c>
      <c r="F19" s="274" t="inlineStr">
        <is>
          <t>Roseville Electric Utility</t>
        </is>
      </c>
      <c r="J19" s="274" t="inlineStr">
        <is>
          <t>Roseville Electric Utility</t>
        </is>
      </c>
      <c r="K19" s="274" t="inlineStr">
        <is>
          <t>POU</t>
        </is>
      </c>
      <c r="L19" s="274" t="inlineStr">
        <is>
          <t>City of Roseville, Placer Co.</t>
        </is>
      </c>
      <c r="M19" s="274" t="inlineStr">
        <is>
          <t>NO commercial EV rate</t>
        </is>
      </c>
      <c r="N19" s="274" t="inlineStr">
        <is>
          <t>California</t>
        </is>
      </c>
    </row>
    <row r="20" ht="20" customHeight="1" s="252">
      <c r="A20" s="372" t="inlineStr">
        <is>
          <t>Pasadena Water and Power</t>
        </is>
      </c>
      <c r="B20" s="486" t="inlineStr">
        <is>
          <t>POU</t>
        </is>
      </c>
      <c r="C20" s="356" t="inlineStr">
        <is>
          <t>City of Pasadena, LA Co.</t>
        </is>
      </c>
      <c r="D20" s="488" t="inlineStr">
        <is>
          <t>NO commercial EV rate</t>
        </is>
      </c>
      <c r="F20" s="274" t="inlineStr">
        <is>
          <t>Pasadena Water and Power</t>
        </is>
      </c>
      <c r="J20" s="274" t="inlineStr">
        <is>
          <t>Pasadena Water and Power</t>
        </is>
      </c>
      <c r="K20" s="274" t="inlineStr">
        <is>
          <t>POU</t>
        </is>
      </c>
      <c r="L20" s="274" t="inlineStr">
        <is>
          <t>City of Pasadena, LA Co.</t>
        </is>
      </c>
      <c r="M20" s="274" t="inlineStr">
        <is>
          <t>NO commercial EV rate</t>
        </is>
      </c>
      <c r="N20" s="274" t="inlineStr">
        <is>
          <t>California</t>
        </is>
      </c>
    </row>
    <row r="21" ht="20" customHeight="1" s="252">
      <c r="A21" s="372" t="inlineStr">
        <is>
          <t>Silicon Valley Power (Santa Clara)</t>
        </is>
      </c>
      <c r="B21" s="486" t="inlineStr">
        <is>
          <t>POU</t>
        </is>
      </c>
      <c r="C21" s="356" t="inlineStr">
        <is>
          <t>City of Santa Clara</t>
        </is>
      </c>
      <c r="D21" s="488" t="inlineStr">
        <is>
          <t>NO EV rate — by policy</t>
        </is>
      </c>
      <c r="F21" s="274" t="inlineStr">
        <is>
          <t>Silicon Valley Power (Santa Clara)</t>
        </is>
      </c>
      <c r="J21" s="274" t="inlineStr">
        <is>
          <t>Silicon Valley Power (Santa Clara)</t>
        </is>
      </c>
      <c r="K21" s="274" t="inlineStr">
        <is>
          <t>POU</t>
        </is>
      </c>
      <c r="L21" s="274" t="inlineStr">
        <is>
          <t>City of Santa Clara</t>
        </is>
      </c>
      <c r="M21" s="274" t="inlineStr">
        <is>
          <t>NO EV rate — by policy</t>
        </is>
      </c>
      <c r="N21" s="274" t="inlineStr">
        <is>
          <t>California</t>
        </is>
      </c>
    </row>
    <row r="22" ht="20" customHeight="1" s="252">
      <c r="A22" s="372" t="inlineStr">
        <is>
          <t>Burbank Water and Power</t>
        </is>
      </c>
      <c r="B22" s="486" t="inlineStr">
        <is>
          <t>POU</t>
        </is>
      </c>
      <c r="C22" s="356" t="inlineStr">
        <is>
          <t>City of Burbank, LA Co.</t>
        </is>
      </c>
      <c r="D22" s="488" t="inlineStr">
        <is>
          <t>NO commercial EV rate</t>
        </is>
      </c>
      <c r="F22" s="274" t="inlineStr">
        <is>
          <t>Burbank Water and Power</t>
        </is>
      </c>
      <c r="J22" s="274" t="inlineStr">
        <is>
          <t>Burbank Water and Power</t>
        </is>
      </c>
      <c r="K22" s="274" t="inlineStr">
        <is>
          <t>POU</t>
        </is>
      </c>
      <c r="L22" s="274" t="inlineStr">
        <is>
          <t>City of Burbank, LA Co.</t>
        </is>
      </c>
      <c r="M22" s="274" t="inlineStr">
        <is>
          <t>NO commercial EV rate</t>
        </is>
      </c>
      <c r="N22" s="274" t="inlineStr">
        <is>
          <t>California</t>
        </is>
      </c>
    </row>
    <row r="23" ht="20" customHeight="1" s="252">
      <c r="A23" s="372" t="inlineStr">
        <is>
          <t>Redding Electric Utility</t>
        </is>
      </c>
      <c r="B23" s="486" t="inlineStr">
        <is>
          <t>POU</t>
        </is>
      </c>
      <c r="C23" s="356" t="inlineStr">
        <is>
          <t>City of Redding, Shasta Co.</t>
        </is>
      </c>
      <c r="D23" s="489" t="inlineStr">
        <is>
          <t>Not researched</t>
        </is>
      </c>
      <c r="F23" s="274" t="inlineStr">
        <is>
          <t>Redding Electric Utility</t>
        </is>
      </c>
      <c r="J23" s="274" t="inlineStr">
        <is>
          <t>Redding Electric Utility</t>
        </is>
      </c>
      <c r="K23" s="274" t="inlineStr">
        <is>
          <t>POU</t>
        </is>
      </c>
      <c r="L23" s="274" t="inlineStr">
        <is>
          <t>City of Redding, Shasta Co.</t>
        </is>
      </c>
      <c r="M23" s="274" t="inlineStr">
        <is>
          <t>Not researched</t>
        </is>
      </c>
      <c r="N23" s="274" t="inlineStr">
        <is>
          <t>California</t>
        </is>
      </c>
    </row>
    <row r="24" ht="20" customHeight="1" s="252">
      <c r="A24" s="372" t="inlineStr">
        <is>
          <t>Alameda Municipal Power</t>
        </is>
      </c>
      <c r="B24" s="486" t="inlineStr">
        <is>
          <t>POU</t>
        </is>
      </c>
      <c r="C24" s="356" t="inlineStr">
        <is>
          <t>City of Alameda</t>
        </is>
      </c>
      <c r="D24" s="488" t="inlineStr">
        <is>
          <t>NO commercial EV rate</t>
        </is>
      </c>
      <c r="F24" s="274" t="inlineStr">
        <is>
          <t>Alameda Municipal Power</t>
        </is>
      </c>
      <c r="J24" s="274" t="inlineStr">
        <is>
          <t>Alameda Municipal Power</t>
        </is>
      </c>
      <c r="K24" s="274" t="inlineStr">
        <is>
          <t>POU</t>
        </is>
      </c>
      <c r="L24" s="274" t="inlineStr">
        <is>
          <t>City of Alameda</t>
        </is>
      </c>
      <c r="M24" s="274" t="inlineStr">
        <is>
          <t>NO commercial EV rate</t>
        </is>
      </c>
      <c r="N24" s="274" t="inlineStr">
        <is>
          <t>California</t>
        </is>
      </c>
    </row>
    <row r="25" ht="20" customHeight="1" s="252">
      <c r="A25" s="372" t="inlineStr">
        <is>
          <t>City of Palo Alto Utilities</t>
        </is>
      </c>
      <c r="B25" s="486" t="inlineStr">
        <is>
          <t>POU</t>
        </is>
      </c>
      <c r="C25" s="356" t="inlineStr">
        <is>
          <t>City of Palo Alto</t>
        </is>
      </c>
      <c r="D25" s="488" t="inlineStr">
        <is>
          <t>NO commercial EV rate</t>
        </is>
      </c>
      <c r="F25" s="274" t="inlineStr">
        <is>
          <t>City of Palo Alto Utilities</t>
        </is>
      </c>
      <c r="J25" s="274" t="inlineStr">
        <is>
          <t>City of Palo Alto Utilities</t>
        </is>
      </c>
      <c r="K25" s="274" t="inlineStr">
        <is>
          <t>POU</t>
        </is>
      </c>
      <c r="L25" s="274" t="inlineStr">
        <is>
          <t>City of Palo Alto</t>
        </is>
      </c>
      <c r="M25" s="274" t="inlineStr">
        <is>
          <t>NO commercial EV rate</t>
        </is>
      </c>
      <c r="N25" s="274" t="inlineStr">
        <is>
          <t>California</t>
        </is>
      </c>
    </row>
    <row r="26" ht="20" customHeight="1" s="252">
      <c r="A26" s="372" t="inlineStr">
        <is>
          <t>Lodi Electric Utility</t>
        </is>
      </c>
      <c r="B26" s="486" t="inlineStr">
        <is>
          <t>POU</t>
        </is>
      </c>
      <c r="C26" s="356" t="inlineStr">
        <is>
          <t>City of Lodi, San Joaquin Co.</t>
        </is>
      </c>
      <c r="D26" s="489" t="inlineStr">
        <is>
          <t>Not researched</t>
        </is>
      </c>
      <c r="F26" s="274" t="inlineStr">
        <is>
          <t>Lodi Electric Utility</t>
        </is>
      </c>
      <c r="J26" s="274" t="inlineStr">
        <is>
          <t>Lodi Electric Utility</t>
        </is>
      </c>
      <c r="K26" s="274" t="inlineStr">
        <is>
          <t>POU</t>
        </is>
      </c>
      <c r="L26" s="274" t="inlineStr">
        <is>
          <t>City of Lodi, San Joaquin Co.</t>
        </is>
      </c>
      <c r="M26" s="274" t="inlineStr">
        <is>
          <t>Not researched</t>
        </is>
      </c>
      <c r="N26" s="274" t="inlineStr">
        <is>
          <t>California</t>
        </is>
      </c>
    </row>
    <row r="27" ht="20" customHeight="1" s="252">
      <c r="A27" s="372" t="inlineStr">
        <is>
          <t>Colton Public Utilities</t>
        </is>
      </c>
      <c r="B27" s="486" t="inlineStr">
        <is>
          <t>POU</t>
        </is>
      </c>
      <c r="C27" s="356" t="inlineStr">
        <is>
          <t>City of Colton, San Bernardino Co.</t>
        </is>
      </c>
      <c r="D27" s="489" t="inlineStr">
        <is>
          <t>EV rate page exists — obtain tariff</t>
        </is>
      </c>
      <c r="F27" s="274" t="inlineStr">
        <is>
          <t>Colton Public Utilities</t>
        </is>
      </c>
      <c r="J27" s="274" t="inlineStr">
        <is>
          <t>Colton Public Utilities</t>
        </is>
      </c>
      <c r="K27" s="274" t="inlineStr">
        <is>
          <t>POU</t>
        </is>
      </c>
      <c r="L27" s="274" t="inlineStr">
        <is>
          <t>City of Colton, San Bernardino Co.</t>
        </is>
      </c>
      <c r="M27" s="274" t="inlineStr">
        <is>
          <t>EV rate page exists — obtain tariff</t>
        </is>
      </c>
      <c r="N27" s="274" t="inlineStr">
        <is>
          <t>California</t>
        </is>
      </c>
    </row>
    <row r="28" ht="20" customHeight="1" s="252">
      <c r="A28" s="372" t="inlineStr">
        <is>
          <t>Azusa Light &amp; Water</t>
        </is>
      </c>
      <c r="B28" s="486" t="inlineStr">
        <is>
          <t>POU</t>
        </is>
      </c>
      <c r="C28" s="356" t="inlineStr">
        <is>
          <t>City of Azusa, LA Co.</t>
        </is>
      </c>
      <c r="D28" s="488" t="inlineStr">
        <is>
          <t>NO commercial EV rate</t>
        </is>
      </c>
      <c r="F28" s="274" t="inlineStr">
        <is>
          <t>Azusa Light &amp; Water</t>
        </is>
      </c>
      <c r="J28" s="274" t="inlineStr">
        <is>
          <t>Azusa Light &amp; Water</t>
        </is>
      </c>
      <c r="K28" s="274" t="inlineStr">
        <is>
          <t>POU</t>
        </is>
      </c>
      <c r="L28" s="274" t="inlineStr">
        <is>
          <t>City of Azusa, LA Co.</t>
        </is>
      </c>
      <c r="M28" s="274" t="inlineStr">
        <is>
          <t>NO commercial EV rate</t>
        </is>
      </c>
      <c r="N28" s="274" t="inlineStr">
        <is>
          <t>California</t>
        </is>
      </c>
    </row>
    <row r="29" ht="20" customHeight="1" s="252">
      <c r="A29" s="372" t="inlineStr">
        <is>
          <t>Lompoc Electric Division</t>
        </is>
      </c>
      <c r="B29" s="486" t="inlineStr">
        <is>
          <t>POU</t>
        </is>
      </c>
      <c r="C29" s="356" t="inlineStr">
        <is>
          <t>City of Lompoc, Santa Barbara Co.</t>
        </is>
      </c>
      <c r="D29" s="489" t="inlineStr">
        <is>
          <t>Not researched</t>
        </is>
      </c>
      <c r="F29" s="274" t="inlineStr">
        <is>
          <t>Lompoc Electric Division</t>
        </is>
      </c>
      <c r="J29" s="274" t="inlineStr">
        <is>
          <t>Lompoc Electric Division</t>
        </is>
      </c>
      <c r="K29" s="274" t="inlineStr">
        <is>
          <t>POU</t>
        </is>
      </c>
      <c r="L29" s="274" t="inlineStr">
        <is>
          <t>City of Lompoc, Santa Barbara Co.</t>
        </is>
      </c>
      <c r="M29" s="274" t="inlineStr">
        <is>
          <t>Not researched</t>
        </is>
      </c>
      <c r="N29" s="274" t="inlineStr">
        <is>
          <t>California</t>
        </is>
      </c>
    </row>
    <row r="30" ht="20" customHeight="1" s="252">
      <c r="A30" s="372" t="inlineStr">
        <is>
          <t>Truckee Donner PUD</t>
        </is>
      </c>
      <c r="B30" s="486" t="inlineStr">
        <is>
          <t>POU</t>
        </is>
      </c>
      <c r="C30" s="356" t="inlineStr">
        <is>
          <t>Truckee &amp; Donner, Nevada/Placer Co.</t>
        </is>
      </c>
      <c r="D30" s="489" t="inlineStr">
        <is>
          <t>Not researched</t>
        </is>
      </c>
      <c r="F30" s="274" t="inlineStr">
        <is>
          <t>Truckee Donner PUD</t>
        </is>
      </c>
      <c r="J30" s="274" t="inlineStr">
        <is>
          <t>Truckee Donner PUD</t>
        </is>
      </c>
      <c r="K30" s="274" t="inlineStr">
        <is>
          <t>POU</t>
        </is>
      </c>
      <c r="L30" s="274" t="inlineStr">
        <is>
          <t>Truckee &amp; Donner, Nevada/Placer Co.</t>
        </is>
      </c>
      <c r="M30" s="274" t="inlineStr">
        <is>
          <t>Not researched</t>
        </is>
      </c>
      <c r="N30" s="274" t="inlineStr">
        <is>
          <t>California</t>
        </is>
      </c>
    </row>
    <row r="31" ht="20" customHeight="1" s="252">
      <c r="A31" s="372" t="inlineStr">
        <is>
          <t>Banning Electric Utility</t>
        </is>
      </c>
      <c r="B31" s="486" t="inlineStr">
        <is>
          <t>POU</t>
        </is>
      </c>
      <c r="C31" s="356" t="inlineStr">
        <is>
          <t>City of Banning, Riverside Co.</t>
        </is>
      </c>
      <c r="D31" s="489" t="inlineStr">
        <is>
          <t>Not researched</t>
        </is>
      </c>
      <c r="F31" s="274" t="inlineStr">
        <is>
          <t>Banning Electric Utility</t>
        </is>
      </c>
      <c r="J31" s="274" t="inlineStr">
        <is>
          <t>Banning Electric Utility</t>
        </is>
      </c>
      <c r="K31" s="274" t="inlineStr">
        <is>
          <t>POU</t>
        </is>
      </c>
      <c r="L31" s="274" t="inlineStr">
        <is>
          <t>City of Banning, Riverside Co.</t>
        </is>
      </c>
      <c r="M31" s="274" t="inlineStr">
        <is>
          <t>Not researched</t>
        </is>
      </c>
      <c r="N31" s="274" t="inlineStr">
        <is>
          <t>California</t>
        </is>
      </c>
    </row>
    <row r="32" ht="20" customHeight="1" s="252">
      <c r="A32" s="372" t="inlineStr">
        <is>
          <t>Merced Irrigation District</t>
        </is>
      </c>
      <c r="B32" s="486" t="inlineStr">
        <is>
          <t>POU</t>
        </is>
      </c>
      <c r="C32" s="356" t="inlineStr">
        <is>
          <t>Merced County</t>
        </is>
      </c>
      <c r="D32" s="489" t="inlineStr">
        <is>
          <t>Not researched</t>
        </is>
      </c>
      <c r="F32" s="274" t="inlineStr">
        <is>
          <t>Merced Irrigation District</t>
        </is>
      </c>
      <c r="J32" s="274" t="inlineStr">
        <is>
          <t>Merced Irrigation District</t>
        </is>
      </c>
      <c r="K32" s="274" t="inlineStr">
        <is>
          <t>POU</t>
        </is>
      </c>
      <c r="L32" s="274" t="inlineStr">
        <is>
          <t>Merced County</t>
        </is>
      </c>
      <c r="M32" s="274" t="inlineStr">
        <is>
          <t>Not researched</t>
        </is>
      </c>
      <c r="N32" s="274" t="inlineStr">
        <is>
          <t>California</t>
        </is>
      </c>
    </row>
    <row r="33" ht="20" customHeight="1" s="252">
      <c r="A33" s="372" t="inlineStr">
        <is>
          <t>LMUD — Lassen Municipal Utility District</t>
        </is>
      </c>
      <c r="B33" s="486" t="inlineStr">
        <is>
          <t>POU</t>
        </is>
      </c>
      <c r="C33" s="356" t="inlineStr">
        <is>
          <t>Susanville &amp; Lassen Co.</t>
        </is>
      </c>
      <c r="D33" s="489" t="inlineStr">
        <is>
          <t>Not researched</t>
        </is>
      </c>
      <c r="F33" s="274" t="inlineStr">
        <is>
          <t>LMUD — Lassen Municipal Utility District</t>
        </is>
      </c>
      <c r="J33" s="274" t="inlineStr">
        <is>
          <t>LMUD — Lassen Municipal Utility District</t>
        </is>
      </c>
      <c r="K33" s="274" t="inlineStr">
        <is>
          <t>POU</t>
        </is>
      </c>
      <c r="L33" s="274" t="inlineStr">
        <is>
          <t>Susanville &amp; Lassen Co.</t>
        </is>
      </c>
      <c r="M33" s="274" t="inlineStr">
        <is>
          <t>Not researched</t>
        </is>
      </c>
      <c r="N33" s="274" t="inlineStr">
        <is>
          <t>California</t>
        </is>
      </c>
    </row>
    <row r="34" ht="20" customHeight="1" s="252">
      <c r="A34" s="372" t="inlineStr">
        <is>
          <t>Ukiah Electric Utility</t>
        </is>
      </c>
      <c r="B34" s="486" t="inlineStr">
        <is>
          <t>POU</t>
        </is>
      </c>
      <c r="C34" s="356" t="inlineStr">
        <is>
          <t>City of Ukiah, Mendocino Co.</t>
        </is>
      </c>
      <c r="D34" s="489" t="inlineStr">
        <is>
          <t>Not researched</t>
        </is>
      </c>
      <c r="F34" s="274" t="inlineStr">
        <is>
          <t>Ukiah Electric Utility</t>
        </is>
      </c>
      <c r="J34" s="274" t="inlineStr">
        <is>
          <t>Ukiah Electric Utility</t>
        </is>
      </c>
      <c r="K34" s="274" t="inlineStr">
        <is>
          <t>POU</t>
        </is>
      </c>
      <c r="L34" s="274" t="inlineStr">
        <is>
          <t>City of Ukiah, Mendocino Co.</t>
        </is>
      </c>
      <c r="M34" s="274" t="inlineStr">
        <is>
          <t>Not researched</t>
        </is>
      </c>
      <c r="N34" s="274" t="inlineStr">
        <is>
          <t>California</t>
        </is>
      </c>
    </row>
    <row r="35" ht="20" customHeight="1" s="252">
      <c r="A35" s="372" t="inlineStr">
        <is>
          <t>Trinity Public Utilities District</t>
        </is>
      </c>
      <c r="B35" s="486" t="inlineStr">
        <is>
          <t>POU</t>
        </is>
      </c>
      <c r="C35" s="356" t="inlineStr">
        <is>
          <t>Trinity County</t>
        </is>
      </c>
      <c r="D35" s="489" t="inlineStr">
        <is>
          <t>Not researched</t>
        </is>
      </c>
      <c r="F35" s="274" t="inlineStr">
        <is>
          <t>Trinity Public Utilities District</t>
        </is>
      </c>
      <c r="J35" s="274" t="inlineStr">
        <is>
          <t>Trinity Public Utilities District</t>
        </is>
      </c>
      <c r="K35" s="274" t="inlineStr">
        <is>
          <t>POU</t>
        </is>
      </c>
      <c r="L35" s="274" t="inlineStr">
        <is>
          <t>Trinity County</t>
        </is>
      </c>
      <c r="M35" s="274" t="inlineStr">
        <is>
          <t>Not researched</t>
        </is>
      </c>
      <c r="N35" s="274" t="inlineStr">
        <is>
          <t>California</t>
        </is>
      </c>
    </row>
    <row r="36" ht="20" customHeight="1" s="252">
      <c r="A36" s="372" t="inlineStr">
        <is>
          <t>Healdsburg Electric Department</t>
        </is>
      </c>
      <c r="B36" s="486" t="inlineStr">
        <is>
          <t>POU</t>
        </is>
      </c>
      <c r="C36" s="356" t="inlineStr">
        <is>
          <t>City of Healdsburg, Sonoma Co.</t>
        </is>
      </c>
      <c r="D36" s="489" t="inlineStr">
        <is>
          <t>Not researched</t>
        </is>
      </c>
      <c r="F36" s="274" t="inlineStr">
        <is>
          <t>Healdsburg Electric Department</t>
        </is>
      </c>
      <c r="J36" s="274" t="inlineStr">
        <is>
          <t>Healdsburg Electric Department</t>
        </is>
      </c>
      <c r="K36" s="274" t="inlineStr">
        <is>
          <t>POU</t>
        </is>
      </c>
      <c r="L36" s="274" t="inlineStr">
        <is>
          <t>City of Healdsburg, Sonoma Co.</t>
        </is>
      </c>
      <c r="M36" s="274" t="inlineStr">
        <is>
          <t>Not researched</t>
        </is>
      </c>
      <c r="N36" s="274" t="inlineStr">
        <is>
          <t>California</t>
        </is>
      </c>
    </row>
    <row r="37" ht="20" customHeight="1" s="252">
      <c r="A37" s="372" t="inlineStr">
        <is>
          <t>Shasta Lake Electric Utility</t>
        </is>
      </c>
      <c r="B37" s="486" t="inlineStr">
        <is>
          <t>POU</t>
        </is>
      </c>
      <c r="C37" s="356" t="inlineStr">
        <is>
          <t>City of Shasta Lake, Shasta Co.</t>
        </is>
      </c>
      <c r="D37" s="489" t="inlineStr">
        <is>
          <t>Not researched</t>
        </is>
      </c>
      <c r="F37" s="274" t="inlineStr">
        <is>
          <t>Shasta Lake Electric Utility</t>
        </is>
      </c>
      <c r="J37" s="274" t="inlineStr">
        <is>
          <t>Shasta Lake Electric Utility</t>
        </is>
      </c>
      <c r="K37" s="274" t="inlineStr">
        <is>
          <t>POU</t>
        </is>
      </c>
      <c r="L37" s="274" t="inlineStr">
        <is>
          <t>City of Shasta Lake, Shasta Co.</t>
        </is>
      </c>
      <c r="M37" s="274" t="inlineStr">
        <is>
          <t>Not researched</t>
        </is>
      </c>
      <c r="N37" s="274" t="inlineStr">
        <is>
          <t>California</t>
        </is>
      </c>
    </row>
    <row r="38" ht="20" customHeight="1" s="252">
      <c r="A38" s="372" t="inlineStr">
        <is>
          <t>Rancho Cucamonga Municipal Utility</t>
        </is>
      </c>
      <c r="B38" s="486" t="inlineStr">
        <is>
          <t>POU</t>
        </is>
      </c>
      <c r="C38" s="356" t="inlineStr">
        <is>
          <t>PARTIAL — newer development only; SCE serves the rest</t>
        </is>
      </c>
      <c r="D38" s="489" t="inlineStr">
        <is>
          <t>Not researched</t>
        </is>
      </c>
      <c r="F38" s="274" t="inlineStr">
        <is>
          <t>Rancho Cucamonga Municipal Utility</t>
        </is>
      </c>
      <c r="J38" s="274" t="inlineStr">
        <is>
          <t>Rancho Cucamonga Municipal Utility</t>
        </is>
      </c>
      <c r="K38" s="274" t="inlineStr">
        <is>
          <t>POU</t>
        </is>
      </c>
      <c r="L38" s="274" t="inlineStr">
        <is>
          <t>PARTIAL — newer development only; SCE serves the rest</t>
        </is>
      </c>
      <c r="M38" s="274" t="inlineStr">
        <is>
          <t>Not researched</t>
        </is>
      </c>
      <c r="N38" s="274" t="inlineStr">
        <is>
          <t>California</t>
        </is>
      </c>
    </row>
    <row r="39" ht="20" customHeight="1" s="252">
      <c r="A39" s="372" t="inlineStr">
        <is>
          <t>Moreno Valley Utility</t>
        </is>
      </c>
      <c r="B39" s="486" t="inlineStr">
        <is>
          <t>POU</t>
        </is>
      </c>
      <c r="C39" s="356" t="inlineStr">
        <is>
          <t>PARTIAL — post-2004 development only; SCE serves the rest</t>
        </is>
      </c>
      <c r="D39" s="489" t="inlineStr">
        <is>
          <t>Not researched</t>
        </is>
      </c>
      <c r="F39" s="274" t="inlineStr">
        <is>
          <t>Moreno Valley Utility</t>
        </is>
      </c>
      <c r="J39" s="274" t="inlineStr">
        <is>
          <t>Moreno Valley Utility</t>
        </is>
      </c>
      <c r="K39" s="274" t="inlineStr">
        <is>
          <t>POU</t>
        </is>
      </c>
      <c r="L39" s="490" t="inlineStr">
        <is>
          <t>PARTIAL — post-2004 development only; SCE serves the rest</t>
        </is>
      </c>
      <c r="M39" s="274" t="inlineStr">
        <is>
          <t>Not researched</t>
        </is>
      </c>
      <c r="N39" s="274" t="inlineStr">
        <is>
          <t>California</t>
        </is>
      </c>
    </row>
    <row r="40" ht="20" customHeight="1" s="252">
      <c r="A40" s="372" t="inlineStr">
        <is>
          <t>Gridley Electric Utility</t>
        </is>
      </c>
      <c r="B40" s="486" t="inlineStr">
        <is>
          <t>POU</t>
        </is>
      </c>
      <c r="C40" s="356" t="inlineStr">
        <is>
          <t>City of Gridley, Butte Co.</t>
        </is>
      </c>
      <c r="D40" s="489" t="inlineStr">
        <is>
          <t>Not researched</t>
        </is>
      </c>
      <c r="F40" s="274" t="inlineStr">
        <is>
          <t>Gridley Electric Utility</t>
        </is>
      </c>
      <c r="J40" s="274" t="inlineStr">
        <is>
          <t>Gridley Electric Utility</t>
        </is>
      </c>
      <c r="K40" s="274" t="inlineStr">
        <is>
          <t>POU</t>
        </is>
      </c>
      <c r="L40" s="274" t="inlineStr">
        <is>
          <t>City of Gridley, Butte Co.</t>
        </is>
      </c>
      <c r="M40" s="274" t="inlineStr">
        <is>
          <t>Not researched</t>
        </is>
      </c>
      <c r="N40" s="274" t="inlineStr">
        <is>
          <t>California</t>
        </is>
      </c>
    </row>
    <row r="41" ht="20" customHeight="1" s="252">
      <c r="A41" s="372" t="inlineStr">
        <is>
          <t>Needles Public Utility Authority</t>
        </is>
      </c>
      <c r="B41" s="486" t="inlineStr">
        <is>
          <t>POU</t>
        </is>
      </c>
      <c r="C41" s="356" t="inlineStr">
        <is>
          <t>City of Needles, San Bernardino Co.</t>
        </is>
      </c>
      <c r="D41" s="489" t="inlineStr">
        <is>
          <t>Not researched</t>
        </is>
      </c>
      <c r="F41" s="274" t="inlineStr">
        <is>
          <t>Needles Public Utility Authority</t>
        </is>
      </c>
      <c r="J41" s="274" t="inlineStr">
        <is>
          <t>Needles Public Utility Authority</t>
        </is>
      </c>
      <c r="K41" s="274" t="inlineStr">
        <is>
          <t>POU</t>
        </is>
      </c>
      <c r="L41" s="274" t="inlineStr">
        <is>
          <t>City of Needles, San Bernardino Co.</t>
        </is>
      </c>
      <c r="M41" s="274" t="inlineStr">
        <is>
          <t>Not researched</t>
        </is>
      </c>
      <c r="N41" s="274" t="inlineStr">
        <is>
          <t>California</t>
        </is>
      </c>
    </row>
    <row r="42" ht="20" customHeight="1" s="252">
      <c r="A42" s="372" t="inlineStr">
        <is>
          <t>Biggs Municipal Utilities</t>
        </is>
      </c>
      <c r="B42" s="486" t="inlineStr">
        <is>
          <t>POU</t>
        </is>
      </c>
      <c r="C42" s="356" t="inlineStr">
        <is>
          <t>City of Biggs, Butte Co.</t>
        </is>
      </c>
      <c r="D42" s="489" t="inlineStr">
        <is>
          <t>Not researched</t>
        </is>
      </c>
      <c r="F42" s="274" t="inlineStr">
        <is>
          <t>Biggs Municipal Utilities</t>
        </is>
      </c>
      <c r="J42" s="274" t="inlineStr">
        <is>
          <t>Biggs Municipal Utilities</t>
        </is>
      </c>
      <c r="K42" s="274" t="inlineStr">
        <is>
          <t>POU</t>
        </is>
      </c>
      <c r="L42" s="274" t="inlineStr">
        <is>
          <t>City of Biggs, Butte Co.</t>
        </is>
      </c>
      <c r="M42" s="274" t="inlineStr">
        <is>
          <t>Not researched</t>
        </is>
      </c>
      <c r="N42" s="274" t="inlineStr">
        <is>
          <t>California</t>
        </is>
      </c>
    </row>
    <row r="43" ht="20" customHeight="1" s="252">
      <c r="A43" s="372" t="inlineStr">
        <is>
          <t>Kirkwood Meadows PUD</t>
        </is>
      </c>
      <c r="B43" s="486" t="inlineStr">
        <is>
          <t>POU</t>
        </is>
      </c>
      <c r="C43" s="356" t="inlineStr">
        <is>
          <t>Kirkwood ski area, Alpine/Amador/El Dorado</t>
        </is>
      </c>
      <c r="D43" s="489" t="inlineStr">
        <is>
          <t>Not researched</t>
        </is>
      </c>
      <c r="F43" s="274" t="inlineStr">
        <is>
          <t>Kirkwood Meadows PUD</t>
        </is>
      </c>
      <c r="J43" s="274" t="inlineStr">
        <is>
          <t>Kirkwood Meadows PUD</t>
        </is>
      </c>
      <c r="K43" s="274" t="inlineStr">
        <is>
          <t>POU</t>
        </is>
      </c>
      <c r="L43" s="274" t="inlineStr">
        <is>
          <t>Kirkwood ski area, Alpine/Amador/El Dorado</t>
        </is>
      </c>
      <c r="M43" s="274" t="inlineStr">
        <is>
          <t>Not researched</t>
        </is>
      </c>
      <c r="N43" s="274" t="inlineStr">
        <is>
          <t>California</t>
        </is>
      </c>
    </row>
    <row r="44" ht="20" customHeight="1" s="252">
      <c r="A44" s="372" t="inlineStr">
        <is>
          <t>Shelter Cove Resort Improvement District</t>
        </is>
      </c>
      <c r="B44" s="486" t="inlineStr">
        <is>
          <t>POU</t>
        </is>
      </c>
      <c r="C44" s="356" t="inlineStr">
        <is>
          <t>Shelter Cove, Humboldt Co.</t>
        </is>
      </c>
      <c r="D44" s="489" t="inlineStr">
        <is>
          <t>Not researched</t>
        </is>
      </c>
      <c r="F44" s="274" t="inlineStr">
        <is>
          <t>Shelter Cove Resort Improvement District</t>
        </is>
      </c>
      <c r="J44" s="274" t="inlineStr">
        <is>
          <t>Shelter Cove Resort Improvement District</t>
        </is>
      </c>
      <c r="K44" s="274" t="inlineStr">
        <is>
          <t>POU</t>
        </is>
      </c>
      <c r="L44" s="274" t="inlineStr">
        <is>
          <t>Shelter Cove, Humboldt Co.</t>
        </is>
      </c>
      <c r="M44" s="274" t="inlineStr">
        <is>
          <t>Not researched</t>
        </is>
      </c>
      <c r="N44" s="274" t="inlineStr">
        <is>
          <t>California</t>
        </is>
      </c>
    </row>
    <row r="45" ht="20" customHeight="1" s="252">
      <c r="A45" s="372" t="inlineStr">
        <is>
          <t>Hetch Hetchy Power (SFPUC)</t>
        </is>
      </c>
      <c r="B45" s="486" t="inlineStr">
        <is>
          <t>POU</t>
        </is>
      </c>
      <c r="C45" s="356" t="inlineStr">
        <is>
          <t>SF municipal, SFO, Muni, new development</t>
        </is>
      </c>
      <c r="D45" s="489" t="inlineStr">
        <is>
          <t>Not researched</t>
        </is>
      </c>
      <c r="F45" s="274" t="inlineStr">
        <is>
          <t>Hetch Hetchy Power (SFPUC)</t>
        </is>
      </c>
      <c r="J45" s="274" t="inlineStr">
        <is>
          <t>Hetch Hetchy Power (SFPUC)</t>
        </is>
      </c>
      <c r="K45" s="274" t="inlineStr">
        <is>
          <t>POU</t>
        </is>
      </c>
      <c r="L45" s="274" t="inlineStr">
        <is>
          <t>SF municipal, SFO, Muni, new development</t>
        </is>
      </c>
      <c r="M45" s="274" t="inlineStr">
        <is>
          <t>Not researched</t>
        </is>
      </c>
      <c r="N45" s="274" t="inlineStr">
        <is>
          <t>California</t>
        </is>
      </c>
    </row>
    <row r="46" ht="20" customHeight="1" s="252">
      <c r="A46" s="372" t="inlineStr">
        <is>
          <t>City of Vernon (Vernon Public Utilities)</t>
        </is>
      </c>
      <c r="B46" s="486" t="inlineStr">
        <is>
          <t>POU</t>
        </is>
      </c>
      <c r="C46" s="356" t="inlineStr">
        <is>
          <t>Industrial city of Vernon, LA Co.</t>
        </is>
      </c>
      <c r="D46" s="489" t="inlineStr">
        <is>
          <t>Not researched</t>
        </is>
      </c>
      <c r="F46" s="274" t="inlineStr">
        <is>
          <t>City of Vernon (Vernon Public Utilities)</t>
        </is>
      </c>
      <c r="J46" s="274" t="inlineStr">
        <is>
          <t>City of Vernon (Vernon Public Utilities)</t>
        </is>
      </c>
      <c r="K46" s="274" t="inlineStr">
        <is>
          <t>POU</t>
        </is>
      </c>
      <c r="L46" s="274" t="inlineStr">
        <is>
          <t>Industrial city of Vernon, LA Co.</t>
        </is>
      </c>
      <c r="M46" s="274" t="inlineStr">
        <is>
          <t>Not researched</t>
        </is>
      </c>
      <c r="N46" s="274" t="inlineStr">
        <is>
          <t>California</t>
        </is>
      </c>
    </row>
    <row r="47" ht="20" customHeight="1" s="252">
      <c r="A47" s="372" t="inlineStr">
        <is>
          <t>Corona Department of Water &amp; Power</t>
        </is>
      </c>
      <c r="B47" s="486" t="inlineStr">
        <is>
          <t>POU</t>
        </is>
      </c>
      <c r="C47" s="356" t="inlineStr">
        <is>
          <t>PARTIAL — limited footprint; SCE serves most of Corona</t>
        </is>
      </c>
      <c r="D47" s="489" t="inlineStr">
        <is>
          <t>Not researched</t>
        </is>
      </c>
      <c r="F47" s="274" t="inlineStr">
        <is>
          <t>Corona Department of Water &amp; Power</t>
        </is>
      </c>
      <c r="J47" s="274" t="inlineStr">
        <is>
          <t>Corona Department of Water &amp; Power</t>
        </is>
      </c>
      <c r="K47" s="274" t="inlineStr">
        <is>
          <t>POU</t>
        </is>
      </c>
      <c r="L47" s="274" t="inlineStr">
        <is>
          <t>PARTIAL — limited footprint; SCE serves most of Corona</t>
        </is>
      </c>
      <c r="M47" s="274" t="inlineStr">
        <is>
          <t>Not researched</t>
        </is>
      </c>
      <c r="N47" s="274" t="inlineStr">
        <is>
          <t>California</t>
        </is>
      </c>
    </row>
    <row r="48" ht="20" customHeight="1" s="252">
      <c r="A48" s="372" t="inlineStr">
        <is>
          <t>Victorville Municipal Utilities Services</t>
        </is>
      </c>
      <c r="B48" s="486" t="inlineStr">
        <is>
          <t>POU</t>
        </is>
      </c>
      <c r="C48" s="356" t="inlineStr">
        <is>
          <t>SCLA &amp; industrial Victorville; SCE serves the rest</t>
        </is>
      </c>
      <c r="D48" s="489" t="inlineStr">
        <is>
          <t>Not researched</t>
        </is>
      </c>
      <c r="F48" s="274" t="inlineStr">
        <is>
          <t>Victorville Municipal Utilities Services</t>
        </is>
      </c>
      <c r="J48" s="274" t="inlineStr">
        <is>
          <t>Victorville Municipal Utilities Services</t>
        </is>
      </c>
      <c r="K48" s="274" t="inlineStr">
        <is>
          <t>POU</t>
        </is>
      </c>
      <c r="L48" s="274" t="inlineStr">
        <is>
          <t>SCLA &amp; industrial Victorville; SCE serves the rest</t>
        </is>
      </c>
      <c r="M48" s="274" t="inlineStr">
        <is>
          <t>Not researched</t>
        </is>
      </c>
      <c r="N48" s="274" t="inlineStr">
        <is>
          <t>California</t>
        </is>
      </c>
    </row>
    <row r="49" ht="20" customHeight="1" s="252">
      <c r="A49" s="372" t="inlineStr">
        <is>
          <t>Island Energy (Pittsburg Power Co.)</t>
        </is>
      </c>
      <c r="B49" s="486" t="inlineStr">
        <is>
          <t>POU</t>
        </is>
      </c>
      <c r="C49" s="356" t="inlineStr">
        <is>
          <t>Mare Island &amp; Pittsburg</t>
        </is>
      </c>
      <c r="D49" s="489" t="inlineStr">
        <is>
          <t>Not researched</t>
        </is>
      </c>
      <c r="F49" s="274" t="inlineStr">
        <is>
          <t>Island Energy (Pittsburg Power Co.)</t>
        </is>
      </c>
      <c r="J49" s="274" t="inlineStr">
        <is>
          <t>Island Energy (Pittsburg Power Co.)</t>
        </is>
      </c>
      <c r="K49" s="274" t="inlineStr">
        <is>
          <t>POU</t>
        </is>
      </c>
      <c r="L49" s="274" t="inlineStr">
        <is>
          <t>Mare Island &amp; Pittsburg</t>
        </is>
      </c>
      <c r="M49" s="274" t="inlineStr">
        <is>
          <t>Not researched</t>
        </is>
      </c>
      <c r="N49" s="274" t="inlineStr">
        <is>
          <t>California</t>
        </is>
      </c>
    </row>
    <row r="50" ht="20" customHeight="1" s="252">
      <c r="A50" s="372" t="inlineStr">
        <is>
          <t>Port of Oakland</t>
        </is>
      </c>
      <c r="B50" s="486" t="inlineStr">
        <is>
          <t>POU</t>
        </is>
      </c>
      <c r="C50" s="356" t="inlineStr">
        <is>
          <t>Port &amp; Oakland Airport tenants</t>
        </is>
      </c>
      <c r="D50" s="489" t="inlineStr">
        <is>
          <t>Not researched</t>
        </is>
      </c>
      <c r="F50" s="274" t="inlineStr">
        <is>
          <t>Port of Oakland</t>
        </is>
      </c>
      <c r="J50" s="274" t="inlineStr">
        <is>
          <t>Port of Oakland</t>
        </is>
      </c>
      <c r="K50" s="274" t="inlineStr">
        <is>
          <t>POU</t>
        </is>
      </c>
      <c r="L50" s="274" t="inlineStr">
        <is>
          <t>Port &amp; Oakland Airport tenants</t>
        </is>
      </c>
      <c r="M50" s="274" t="inlineStr">
        <is>
          <t>Not researched</t>
        </is>
      </c>
      <c r="N50" s="274" t="inlineStr">
        <is>
          <t>California</t>
        </is>
      </c>
    </row>
    <row r="51" ht="20" customHeight="1" s="252">
      <c r="A51" s="372" t="inlineStr">
        <is>
          <t>Port of Stockton</t>
        </is>
      </c>
      <c r="B51" s="486" t="inlineStr">
        <is>
          <t>POU</t>
        </is>
      </c>
      <c r="C51" s="356" t="inlineStr">
        <is>
          <t>Port tenants, San Joaquin Co.</t>
        </is>
      </c>
      <c r="D51" s="489" t="inlineStr">
        <is>
          <t>Not researched</t>
        </is>
      </c>
      <c r="F51" s="274" t="inlineStr">
        <is>
          <t>Port of Stockton</t>
        </is>
      </c>
      <c r="J51" s="274" t="inlineStr">
        <is>
          <t>Port of Stockton</t>
        </is>
      </c>
      <c r="K51" s="274" t="inlineStr">
        <is>
          <t>POU</t>
        </is>
      </c>
      <c r="L51" s="274" t="inlineStr">
        <is>
          <t>Port tenants, San Joaquin Co.</t>
        </is>
      </c>
      <c r="M51" s="274" t="inlineStr">
        <is>
          <t>Not researched</t>
        </is>
      </c>
      <c r="N51" s="274" t="inlineStr">
        <is>
          <t>California</t>
        </is>
      </c>
    </row>
    <row r="52" ht="20" customHeight="1" s="252">
      <c r="A52" s="372" t="inlineStr">
        <is>
          <t>City of Industry</t>
        </is>
      </c>
      <c r="B52" s="486" t="inlineStr">
        <is>
          <t>POU</t>
        </is>
      </c>
      <c r="C52" s="356" t="inlineStr">
        <is>
          <t>Industrial city, LA Co.</t>
        </is>
      </c>
      <c r="D52" s="489" t="inlineStr">
        <is>
          <t>Not researched</t>
        </is>
      </c>
      <c r="F52" s="274" t="inlineStr">
        <is>
          <t>City of Industry</t>
        </is>
      </c>
      <c r="J52" s="274" t="inlineStr">
        <is>
          <t>City of Industry</t>
        </is>
      </c>
      <c r="K52" s="274" t="inlineStr">
        <is>
          <t>POU</t>
        </is>
      </c>
      <c r="L52" s="274" t="inlineStr">
        <is>
          <t>Industrial city, LA Co.</t>
        </is>
      </c>
      <c r="M52" s="274" t="inlineStr">
        <is>
          <t>Not researched</t>
        </is>
      </c>
      <c r="N52" s="274" t="inlineStr">
        <is>
          <t>California</t>
        </is>
      </c>
    </row>
    <row r="53" ht="20" customHeight="1" s="252">
      <c r="A53" s="372" t="inlineStr">
        <is>
          <t>Cerritos Electric Utility</t>
        </is>
      </c>
      <c r="B53" s="486" t="inlineStr">
        <is>
          <t>POU</t>
        </is>
      </c>
      <c r="C53" s="356" t="inlineStr">
        <is>
          <t>Cerritos businesses — SCE still DELIVERS. Verify</t>
        </is>
      </c>
      <c r="D53" s="489" t="inlineStr">
        <is>
          <t>Verify delivery tariff with SCE</t>
        </is>
      </c>
      <c r="F53" s="274" t="inlineStr">
        <is>
          <t>Cerritos Electric Utility</t>
        </is>
      </c>
      <c r="J53" s="274" t="inlineStr">
        <is>
          <t>Cerritos Electric Utility</t>
        </is>
      </c>
      <c r="K53" s="274" t="inlineStr">
        <is>
          <t>POU</t>
        </is>
      </c>
      <c r="L53" s="274" t="inlineStr">
        <is>
          <t>Cerritos businesses — SCE still DELIVERS. Verify</t>
        </is>
      </c>
      <c r="M53" s="274" t="inlineStr">
        <is>
          <t>Verify delivery tariff with SCE</t>
        </is>
      </c>
      <c r="N53" s="274" t="inlineStr">
        <is>
          <t>California</t>
        </is>
      </c>
    </row>
    <row r="54" ht="20" customHeight="1" s="252">
      <c r="A54" s="372" t="inlineStr">
        <is>
          <t>Lathrop Irrigation District</t>
        </is>
      </c>
      <c r="B54" s="486" t="inlineStr">
        <is>
          <t>POU</t>
        </is>
      </c>
      <c r="C54" s="356" t="inlineStr">
        <is>
          <t>Parts of Lathrop, San Joaquin Co.</t>
        </is>
      </c>
      <c r="D54" s="489" t="inlineStr">
        <is>
          <t>Not researched</t>
        </is>
      </c>
      <c r="F54" s="274" t="inlineStr">
        <is>
          <t>Lathrop Irrigation District</t>
        </is>
      </c>
      <c r="J54" s="274" t="inlineStr">
        <is>
          <t>Lathrop Irrigation District</t>
        </is>
      </c>
      <c r="K54" s="274" t="inlineStr">
        <is>
          <t>POU</t>
        </is>
      </c>
      <c r="L54" s="274" t="inlineStr">
        <is>
          <t>Parts of Lathrop, San Joaquin Co.</t>
        </is>
      </c>
      <c r="M54" s="274" t="inlineStr">
        <is>
          <t>Not researched</t>
        </is>
      </c>
      <c r="N54" s="274" t="inlineStr">
        <is>
          <t>California</t>
        </is>
      </c>
    </row>
    <row r="55" ht="20" customHeight="1" s="252">
      <c r="A55" s="372" t="inlineStr">
        <is>
          <t>Aha Macav Power Service (Fort Mojave)</t>
        </is>
      </c>
      <c r="B55" s="486" t="inlineStr">
        <is>
          <t>Tribal</t>
        </is>
      </c>
      <c r="C55" s="356" t="inlineStr">
        <is>
          <t>Fort Mojave reservation near Needles</t>
        </is>
      </c>
      <c r="D55" s="489" t="inlineStr">
        <is>
          <t>Not researched</t>
        </is>
      </c>
      <c r="F55" s="274" t="inlineStr">
        <is>
          <t>Aha Macav Power Service (Fort Mojave)</t>
        </is>
      </c>
      <c r="J55" s="274" t="inlineStr">
        <is>
          <t>Aha Macav Power Service (Fort Mojave)</t>
        </is>
      </c>
      <c r="K55" s="274" t="inlineStr">
        <is>
          <t>Tribal</t>
        </is>
      </c>
      <c r="L55" s="274" t="inlineStr">
        <is>
          <t>Fort Mojave reservation near Needles</t>
        </is>
      </c>
      <c r="M55" s="274" t="inlineStr">
        <is>
          <t>Not researched</t>
        </is>
      </c>
      <c r="N55" s="274" t="inlineStr">
        <is>
          <t>California</t>
        </is>
      </c>
    </row>
    <row r="56" ht="20" customHeight="1" s="252">
      <c r="A56" s="372" t="inlineStr">
        <is>
          <t>Plumas-Sierra Rural Electric Cooperative</t>
        </is>
      </c>
      <c r="B56" s="486" t="inlineStr">
        <is>
          <t>Co-op</t>
        </is>
      </c>
      <c r="C56" s="356" t="inlineStr">
        <is>
          <t>Plumas, Lassen, Sierra counties</t>
        </is>
      </c>
      <c r="D56" s="489" t="inlineStr">
        <is>
          <t>Not researched</t>
        </is>
      </c>
      <c r="F56" s="274" t="inlineStr">
        <is>
          <t>Plumas-Sierra Rural Electric Cooperative</t>
        </is>
      </c>
      <c r="J56" s="274" t="inlineStr">
        <is>
          <t>Plumas-Sierra Rural Electric Cooperative</t>
        </is>
      </c>
      <c r="K56" s="274" t="inlineStr">
        <is>
          <t>Co-op</t>
        </is>
      </c>
      <c r="L56" s="274" t="inlineStr">
        <is>
          <t>Plumas, Lassen, Sierra counties</t>
        </is>
      </c>
      <c r="M56" s="274" t="inlineStr">
        <is>
          <t>Not researched</t>
        </is>
      </c>
      <c r="N56" s="274" t="inlineStr">
        <is>
          <t>California</t>
        </is>
      </c>
    </row>
    <row r="57" ht="20" customHeight="1" s="252">
      <c r="A57" s="372" t="inlineStr">
        <is>
          <t>Anza Electric Cooperative</t>
        </is>
      </c>
      <c r="B57" s="486" t="inlineStr">
        <is>
          <t>Co-op</t>
        </is>
      </c>
      <c r="C57" s="356" t="inlineStr">
        <is>
          <t>Anza, Aguanga, Garner Valley, Riverside Co.</t>
        </is>
      </c>
      <c r="D57" s="489" t="inlineStr">
        <is>
          <t>Not researched</t>
        </is>
      </c>
      <c r="F57" s="274" t="inlineStr">
        <is>
          <t>Anza Electric Cooperative</t>
        </is>
      </c>
      <c r="J57" s="274" t="inlineStr">
        <is>
          <t>Anza Electric Cooperative</t>
        </is>
      </c>
      <c r="K57" s="274" t="inlineStr">
        <is>
          <t>Co-op</t>
        </is>
      </c>
      <c r="L57" s="274" t="inlineStr">
        <is>
          <t>Anza, Aguanga, Garner Valley, Riverside Co.</t>
        </is>
      </c>
      <c r="M57" s="274" t="inlineStr">
        <is>
          <t>Not researched</t>
        </is>
      </c>
      <c r="N57" s="274" t="inlineStr">
        <is>
          <t>California</t>
        </is>
      </c>
    </row>
    <row r="58" ht="20" customHeight="1" s="252">
      <c r="A58" s="372" t="inlineStr">
        <is>
          <t>Surprise Valley Electrification Corp</t>
        </is>
      </c>
      <c r="B58" s="486" t="inlineStr">
        <is>
          <t>Co-op</t>
        </is>
      </c>
      <c r="C58" s="356" t="inlineStr">
        <is>
          <t>Modoc &amp; Lassen counties</t>
        </is>
      </c>
      <c r="D58" s="489" t="inlineStr">
        <is>
          <t>Not researched</t>
        </is>
      </c>
      <c r="F58" s="274" t="inlineStr">
        <is>
          <t>Surprise Valley Electrification Corp</t>
        </is>
      </c>
      <c r="J58" s="274" t="inlineStr">
        <is>
          <t>Surprise Valley Electrification Corp</t>
        </is>
      </c>
      <c r="K58" s="274" t="inlineStr">
        <is>
          <t>Co-op</t>
        </is>
      </c>
      <c r="L58" s="274" t="inlineStr">
        <is>
          <t>Modoc &amp; Lassen counties</t>
        </is>
      </c>
      <c r="M58" s="274" t="inlineStr">
        <is>
          <t>Not researched</t>
        </is>
      </c>
      <c r="N58" s="274" t="inlineStr">
        <is>
          <t>California</t>
        </is>
      </c>
    </row>
    <row r="59" ht="20" customHeight="1" s="252">
      <c r="A59" s="372" t="inlineStr">
        <is>
          <t>Valley Electric Association</t>
        </is>
      </c>
      <c r="B59" s="486" t="inlineStr">
        <is>
          <t>Co-op</t>
        </is>
      </c>
      <c r="C59" s="356" t="inlineStr">
        <is>
          <t>Sliver of eastern Inyo Co. (44 customers)</t>
        </is>
      </c>
      <c r="D59" s="489" t="inlineStr">
        <is>
          <t>Not researched</t>
        </is>
      </c>
      <c r="F59" s="274" t="inlineStr">
        <is>
          <t>Valley Electric Association</t>
        </is>
      </c>
      <c r="J59" s="274" t="inlineStr">
        <is>
          <t>Valley Electric Association</t>
        </is>
      </c>
      <c r="K59" s="274" t="inlineStr">
        <is>
          <t>Co-op</t>
        </is>
      </c>
      <c r="L59" s="274" t="inlineStr">
        <is>
          <t>Sliver of eastern Inyo Co. (44 customers)</t>
        </is>
      </c>
      <c r="M59" s="274" t="inlineStr">
        <is>
          <t>Not researched</t>
        </is>
      </c>
      <c r="N59" s="274" t="inlineStr">
        <is>
          <t>California</t>
        </is>
      </c>
    </row>
    <row r="60" ht="32" customHeight="1" s="252">
      <c r="A60" s="372" t="inlineStr">
        <is>
          <t>Other / not listed — enter manually</t>
        </is>
      </c>
      <c r="B60" s="486" t="inlineStr">
        <is>
          <t>Other</t>
        </is>
      </c>
      <c r="C60" s="491" t="n"/>
      <c r="D60" s="489" t="inlineStr">
        <is>
          <t>Enter the tariff manually on 9_Overrides</t>
        </is>
      </c>
      <c r="F60" s="274" t="inlineStr">
        <is>
          <t>DTE Electric Company</t>
        </is>
      </c>
      <c r="J60" s="274" t="inlineStr">
        <is>
          <t>DTE Electric Company</t>
        </is>
      </c>
      <c r="K60" s="274" t="inlineStr">
        <is>
          <t>IOU</t>
        </is>
      </c>
      <c r="L60" s="274" t="inlineStr">
        <is>
          <t>Southeast Michigan — Detroit, Ann Arbor, Port Huron</t>
        </is>
      </c>
      <c r="M60" s="274" t="inlineStr">
        <is>
          <t>Not researched here</t>
        </is>
      </c>
      <c r="N60" s="274" t="inlineStr">
        <is>
          <t>Michigan</t>
        </is>
      </c>
    </row>
    <row r="61" ht="14.25" customHeight="1" s="252">
      <c r="F61" s="274" t="inlineStr">
        <is>
          <t>Consumers Energy</t>
        </is>
      </c>
      <c r="J61" s="274" t="inlineStr">
        <is>
          <t>Consumers Energy</t>
        </is>
      </c>
      <c r="K61" s="274" t="inlineStr">
        <is>
          <t>IOU</t>
        </is>
      </c>
      <c r="L61" s="274" t="inlineStr">
        <is>
          <t>Most of the Lower Peninsula outside DTE</t>
        </is>
      </c>
      <c r="M61" s="274" t="inlineStr">
        <is>
          <t>Not researched here</t>
        </is>
      </c>
      <c r="N61" s="274" t="inlineStr">
        <is>
          <t>Michigan</t>
        </is>
      </c>
    </row>
    <row r="62" ht="14.25" customHeight="1" s="252">
      <c r="F62" s="274" t="inlineStr">
        <is>
          <t>Indiana Michigan Power (AEP)</t>
        </is>
      </c>
      <c r="J62" s="274" t="inlineStr">
        <is>
          <t>Indiana Michigan Power (AEP)</t>
        </is>
      </c>
      <c r="K62" s="274" t="inlineStr">
        <is>
          <t>IOU</t>
        </is>
      </c>
      <c r="L62" s="274" t="inlineStr">
        <is>
          <t>Southwest MI — Berrien, Cass, St Joseph</t>
        </is>
      </c>
      <c r="M62" s="274" t="inlineStr">
        <is>
          <t>Not researched here</t>
        </is>
      </c>
      <c r="N62" s="274" t="inlineStr">
        <is>
          <t>Michigan</t>
        </is>
      </c>
    </row>
    <row r="63" ht="15" customHeight="1" s="252">
      <c r="A63" s="502" t="inlineStr">
        <is>
          <t>COMMUNITY CHOICE AGGREGATORS — generation only</t>
        </is>
      </c>
      <c r="F63" s="274" t="inlineStr">
        <is>
          <t>UMERC — Upper Michigan Energy Resources (We Energies)</t>
        </is>
      </c>
      <c r="J63" s="274" t="inlineStr">
        <is>
          <t>UMERC — Upper Michigan Energy Resources (We Energies)</t>
        </is>
      </c>
      <c r="K63" s="274" t="inlineStr">
        <is>
          <t>IOU</t>
        </is>
      </c>
      <c r="L63" s="274" t="inlineStr">
        <is>
          <t>Upper Peninsula — Marquette, Menominee</t>
        </is>
      </c>
      <c r="M63" s="274" t="inlineStr">
        <is>
          <t>Not researched here</t>
        </is>
      </c>
      <c r="N63" s="274" t="inlineStr">
        <is>
          <t>Michigan</t>
        </is>
      </c>
    </row>
    <row r="64" ht="44" customHeight="1" s="252">
      <c r="A64" s="366"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274" t="inlineStr">
        <is>
          <t>UPPCO — Upper Peninsula Power Company</t>
        </is>
      </c>
      <c r="J64" s="274" t="inlineStr">
        <is>
          <t>UPPCO — Upper Peninsula Power Company</t>
        </is>
      </c>
      <c r="K64" s="274" t="inlineStr">
        <is>
          <t>IOU</t>
        </is>
      </c>
      <c r="L64" s="274" t="inlineStr">
        <is>
          <t>Upper Peninsula</t>
        </is>
      </c>
      <c r="M64" s="274" t="inlineStr">
        <is>
          <t>Not researched here</t>
        </is>
      </c>
      <c r="N64" s="274" t="inlineStr">
        <is>
          <t>Michigan</t>
        </is>
      </c>
    </row>
    <row r="65" ht="14.25" customHeight="1" s="252">
      <c r="F65" s="274" t="inlineStr">
        <is>
          <t>Northern States Power — Xcel</t>
        </is>
      </c>
      <c r="J65" s="274" t="inlineStr">
        <is>
          <t>Northern States Power — Xcel</t>
        </is>
      </c>
      <c r="K65" s="274" t="inlineStr">
        <is>
          <t>IOU</t>
        </is>
      </c>
      <c r="L65" s="274" t="inlineStr">
        <is>
          <t>Western Upper Peninsula</t>
        </is>
      </c>
      <c r="M65" s="274" t="inlineStr">
        <is>
          <t>Not researched here</t>
        </is>
      </c>
      <c r="N65" s="274" t="inlineStr">
        <is>
          <t>Michigan</t>
        </is>
      </c>
    </row>
    <row r="66" ht="15" customHeight="1" s="252">
      <c r="A66" s="504" t="inlineStr">
        <is>
          <t>Community choice aggregator</t>
        </is>
      </c>
      <c r="B66" s="484" t="n"/>
      <c r="C66" s="504" t="inlineStr">
        <is>
          <t>Delivery utility</t>
        </is>
      </c>
      <c r="D66" s="484" t="n"/>
      <c r="F66" s="274" t="inlineStr">
        <is>
          <t>Alpena Power Company</t>
        </is>
      </c>
      <c r="J66" s="274" t="inlineStr">
        <is>
          <t>Alpena Power Company</t>
        </is>
      </c>
      <c r="K66" s="274" t="inlineStr">
        <is>
          <t>IOU</t>
        </is>
      </c>
      <c r="L66" s="274" t="inlineStr">
        <is>
          <t>Alpena and surrounding townships</t>
        </is>
      </c>
      <c r="M66" s="274" t="inlineStr">
        <is>
          <t>Not researched here</t>
        </is>
      </c>
      <c r="N66" s="274" t="inlineStr">
        <is>
          <t>Michigan</t>
        </is>
      </c>
    </row>
    <row r="67" ht="15" customHeight="1" s="252">
      <c r="A67" s="294" t="inlineStr">
        <is>
          <t>None — bundled utility service</t>
        </is>
      </c>
      <c r="B67" s="492" t="n"/>
      <c r="C67" s="294" t="inlineStr">
        <is>
          <t>—</t>
        </is>
      </c>
      <c r="F67" s="274" t="inlineStr">
        <is>
          <t>Lansing Board of Water &amp; Light</t>
        </is>
      </c>
      <c r="J67" s="274" t="inlineStr">
        <is>
          <t>Lansing Board of Water &amp; Light</t>
        </is>
      </c>
      <c r="K67" s="274" t="inlineStr">
        <is>
          <t>POU</t>
        </is>
      </c>
      <c r="L67" s="274" t="inlineStr">
        <is>
          <t>Lansing and East Lansing</t>
        </is>
      </c>
      <c r="M67" s="274" t="inlineStr">
        <is>
          <t>Not researched here</t>
        </is>
      </c>
      <c r="N67" s="274" t="inlineStr">
        <is>
          <t>Michigan</t>
        </is>
      </c>
    </row>
    <row r="68" ht="15" customHeight="1" s="252">
      <c r="A68" s="294" t="inlineStr">
        <is>
          <t>Ava Community Energy (fmr East Bay CE)</t>
        </is>
      </c>
      <c r="B68" s="492" t="n"/>
      <c r="C68" s="294" t="inlineStr">
        <is>
          <t>PG&amp;E</t>
        </is>
      </c>
      <c r="F68" s="274" t="inlineStr">
        <is>
          <t>Holland Board of Public Works</t>
        </is>
      </c>
      <c r="J68" s="274" t="inlineStr">
        <is>
          <t>Holland Board of Public Works</t>
        </is>
      </c>
      <c r="K68" s="274" t="inlineStr">
        <is>
          <t>POU</t>
        </is>
      </c>
      <c r="L68" s="274" t="inlineStr">
        <is>
          <t>City of Holland</t>
        </is>
      </c>
      <c r="M68" s="274" t="inlineStr">
        <is>
          <t>Not researched here</t>
        </is>
      </c>
      <c r="N68" s="274" t="inlineStr">
        <is>
          <t>Michigan</t>
        </is>
      </c>
    </row>
    <row r="69" ht="15" customHeight="1" s="252">
      <c r="A69" s="294" t="inlineStr">
        <is>
          <t>Clean Power Alliance</t>
        </is>
      </c>
      <c r="B69" s="492" t="n"/>
      <c r="C69" s="294" t="inlineStr">
        <is>
          <t>SCE</t>
        </is>
      </c>
      <c r="F69" s="274" t="inlineStr">
        <is>
          <t>Traverse City Light &amp; Power</t>
        </is>
      </c>
      <c r="J69" s="274" t="inlineStr">
        <is>
          <t>Traverse City Light &amp; Power</t>
        </is>
      </c>
      <c r="K69" s="274" t="inlineStr">
        <is>
          <t>POU</t>
        </is>
      </c>
      <c r="L69" s="274" t="inlineStr">
        <is>
          <t>City of Traverse City</t>
        </is>
      </c>
      <c r="M69" s="274" t="inlineStr">
        <is>
          <t>Not researched here</t>
        </is>
      </c>
      <c r="N69" s="274" t="inlineStr">
        <is>
          <t>Michigan</t>
        </is>
      </c>
    </row>
    <row r="70" ht="15" customHeight="1" s="252">
      <c r="A70" s="294" t="inlineStr">
        <is>
          <t>Central Coast Community Energy (3CE)</t>
        </is>
      </c>
      <c r="B70" s="492" t="n"/>
      <c r="C70" s="294" t="inlineStr">
        <is>
          <t>PG&amp;E and SCE — depends on address</t>
        </is>
      </c>
      <c r="F70" s="274" t="inlineStr">
        <is>
          <t>Coldwater Board of Public Utilities</t>
        </is>
      </c>
      <c r="J70" s="274" t="inlineStr">
        <is>
          <t>Coldwater Board of Public Utilities</t>
        </is>
      </c>
      <c r="K70" s="274" t="inlineStr">
        <is>
          <t>POU</t>
        </is>
      </c>
      <c r="L70" s="274" t="inlineStr">
        <is>
          <t>City of Coldwater</t>
        </is>
      </c>
      <c r="M70" s="274" t="inlineStr">
        <is>
          <t>Not researched here</t>
        </is>
      </c>
      <c r="N70" s="274" t="inlineStr">
        <is>
          <t>Michigan</t>
        </is>
      </c>
    </row>
    <row r="71" ht="15" customHeight="1" s="252">
      <c r="A71" s="294" t="inlineStr">
        <is>
          <t>MCE</t>
        </is>
      </c>
      <c r="B71" s="492" t="n"/>
      <c r="C71" s="294" t="inlineStr">
        <is>
          <t>PG&amp;E</t>
        </is>
      </c>
      <c r="F71" s="274" t="inlineStr">
        <is>
          <t>Wyandotte Municipal Services</t>
        </is>
      </c>
      <c r="J71" s="274" t="inlineStr">
        <is>
          <t>Wyandotte Municipal Services</t>
        </is>
      </c>
      <c r="K71" s="274" t="inlineStr">
        <is>
          <t>POU</t>
        </is>
      </c>
      <c r="L71" s="274" t="inlineStr">
        <is>
          <t>City of Wyandotte</t>
        </is>
      </c>
      <c r="M71" s="274" t="inlineStr">
        <is>
          <t>Not researched here</t>
        </is>
      </c>
      <c r="N71" s="274" t="inlineStr">
        <is>
          <t>Michigan</t>
        </is>
      </c>
    </row>
    <row r="72" ht="15" customHeight="1" s="252">
      <c r="A72" s="294" t="inlineStr">
        <is>
          <t>San Diego Community Power</t>
        </is>
      </c>
      <c r="B72" s="492" t="n"/>
      <c r="C72" s="294" t="inlineStr">
        <is>
          <t>SDG&amp;E</t>
        </is>
      </c>
      <c r="F72" s="274" t="inlineStr">
        <is>
          <t>Cloverland Electric Cooperative</t>
        </is>
      </c>
      <c r="J72" s="274" t="inlineStr">
        <is>
          <t>Cloverland Electric Cooperative</t>
        </is>
      </c>
      <c r="K72" s="274" t="inlineStr">
        <is>
          <t>Co-op</t>
        </is>
      </c>
      <c r="L72" s="274" t="inlineStr">
        <is>
          <t>Eastern Upper Peninsula</t>
        </is>
      </c>
      <c r="M72" s="274" t="inlineStr">
        <is>
          <t>Not researched here</t>
        </is>
      </c>
      <c r="N72" s="274" t="inlineStr">
        <is>
          <t>Michigan</t>
        </is>
      </c>
    </row>
    <row r="73" ht="15" customHeight="1" s="252">
      <c r="A73" s="294" t="inlineStr">
        <is>
          <t>CleanPowerSF</t>
        </is>
      </c>
      <c r="B73" s="492" t="n"/>
      <c r="C73" s="294" t="inlineStr">
        <is>
          <t>PG&amp;E</t>
        </is>
      </c>
      <c r="F73" s="274" t="inlineStr">
        <is>
          <t>Great Lakes Energy</t>
        </is>
      </c>
      <c r="J73" s="274" t="inlineStr">
        <is>
          <t>Great Lakes Energy</t>
        </is>
      </c>
      <c r="K73" s="274" t="inlineStr">
        <is>
          <t>Co-op</t>
        </is>
      </c>
      <c r="L73" s="274" t="inlineStr">
        <is>
          <t>Northwest Lower Peninsula</t>
        </is>
      </c>
      <c r="M73" s="274" t="inlineStr">
        <is>
          <t>Not researched here</t>
        </is>
      </c>
      <c r="N73" s="274" t="inlineStr">
        <is>
          <t>Michigan</t>
        </is>
      </c>
    </row>
    <row r="74" ht="15" customHeight="1" s="252">
      <c r="A74" s="294" t="inlineStr">
        <is>
          <t>WestLight Energy (fmr Peninsula Clean Energy)</t>
        </is>
      </c>
      <c r="B74" s="492" t="n"/>
      <c r="C74" s="294" t="inlineStr">
        <is>
          <t>PG&amp;E</t>
        </is>
      </c>
      <c r="F74" s="274" t="inlineStr">
        <is>
          <t>Presque Isle Electric &amp; Gas Co-op</t>
        </is>
      </c>
      <c r="J74" s="274" t="inlineStr">
        <is>
          <t>Presque Isle Electric &amp; Gas Co-op</t>
        </is>
      </c>
      <c r="K74" s="274" t="inlineStr">
        <is>
          <t>Co-op</t>
        </is>
      </c>
      <c r="L74" s="274" t="inlineStr">
        <is>
          <t>Northeast Lower Peninsula</t>
        </is>
      </c>
      <c r="M74" s="274" t="inlineStr">
        <is>
          <t>Not researched here</t>
        </is>
      </c>
      <c r="N74" s="274" t="inlineStr">
        <is>
          <t>Michigan</t>
        </is>
      </c>
    </row>
    <row r="75" ht="15" customHeight="1" s="252">
      <c r="A75" s="294" t="inlineStr">
        <is>
          <t>San José Clean Energy</t>
        </is>
      </c>
      <c r="B75" s="492" t="n"/>
      <c r="C75" s="294" t="inlineStr">
        <is>
          <t>PG&amp;E</t>
        </is>
      </c>
      <c r="F75" s="274" t="inlineStr">
        <is>
          <t>HomeWorks Tri-County Electric</t>
        </is>
      </c>
      <c r="J75" s="274" t="inlineStr">
        <is>
          <t>HomeWorks Tri-County Electric</t>
        </is>
      </c>
      <c r="K75" s="274" t="inlineStr">
        <is>
          <t>Co-op</t>
        </is>
      </c>
      <c r="L75" s="274" t="inlineStr">
        <is>
          <t>Central Lower Peninsula</t>
        </is>
      </c>
      <c r="M75" s="274" t="inlineStr">
        <is>
          <t>Not researched here</t>
        </is>
      </c>
      <c r="N75" s="274" t="inlineStr">
        <is>
          <t>Michigan</t>
        </is>
      </c>
    </row>
    <row r="76" ht="15" customHeight="1" s="252">
      <c r="A76" s="294" t="inlineStr">
        <is>
          <t>Silicon Valley Clean Energy</t>
        </is>
      </c>
      <c r="B76" s="492" t="n"/>
      <c r="C76" s="294" t="inlineStr">
        <is>
          <t>PG&amp;E</t>
        </is>
      </c>
      <c r="F76" s="274" t="inlineStr">
        <is>
          <t>Midwest Energy &amp; Communications</t>
        </is>
      </c>
      <c r="J76" s="274" t="inlineStr">
        <is>
          <t>Midwest Energy &amp; Communications</t>
        </is>
      </c>
      <c r="K76" s="274" t="inlineStr">
        <is>
          <t>Co-op</t>
        </is>
      </c>
      <c r="L76" s="274" t="inlineStr">
        <is>
          <t>Southwest Lower Peninsula</t>
        </is>
      </c>
      <c r="M76" s="274" t="inlineStr">
        <is>
          <t>Not researched here</t>
        </is>
      </c>
      <c r="N76" s="274" t="inlineStr">
        <is>
          <t>Michigan</t>
        </is>
      </c>
    </row>
    <row r="77" ht="15" customHeight="1" s="252">
      <c r="A77" s="294" t="inlineStr">
        <is>
          <t>Clean Energy Alliance</t>
        </is>
      </c>
      <c r="B77" s="492" t="n"/>
      <c r="C77" s="294" t="inlineStr">
        <is>
          <t>SDG&amp;E</t>
        </is>
      </c>
      <c r="F77" s="274" t="inlineStr">
        <is>
          <t>Thumb Electric Cooperative</t>
        </is>
      </c>
      <c r="J77" s="274" t="inlineStr">
        <is>
          <t>Thumb Electric Cooperative</t>
        </is>
      </c>
      <c r="K77" s="274" t="inlineStr">
        <is>
          <t>Co-op</t>
        </is>
      </c>
      <c r="L77" s="274" t="inlineStr">
        <is>
          <t>The Thumb — Huron, Sanilac, Tuscola</t>
        </is>
      </c>
      <c r="M77" s="274" t="inlineStr">
        <is>
          <t>Not researched here</t>
        </is>
      </c>
      <c r="N77" s="274" t="inlineStr">
        <is>
          <t>Michigan</t>
        </is>
      </c>
    </row>
    <row r="78" ht="15" customHeight="1" s="252">
      <c r="A78" s="294" t="inlineStr">
        <is>
          <t>Sonoma Clean Power</t>
        </is>
      </c>
      <c r="B78" s="492" t="n"/>
      <c r="C78" s="294" t="inlineStr">
        <is>
          <t>PG&amp;E</t>
        </is>
      </c>
      <c r="F78" s="274" t="inlineStr">
        <is>
          <t>Other / not listed — enter manually</t>
        </is>
      </c>
      <c r="J78" s="274" t="inlineStr">
        <is>
          <t>Other / not listed — enter manually</t>
        </is>
      </c>
      <c r="K78" s="274" t="inlineStr">
        <is>
          <t>Other</t>
        </is>
      </c>
      <c r="L78" s="336" t="n"/>
      <c r="M78" s="274" t="inlineStr">
        <is>
          <t>Enter the tariff manually</t>
        </is>
      </c>
      <c r="N78" s="336" t="n"/>
    </row>
    <row r="79" ht="15" customHeight="1" s="252">
      <c r="A79" s="294" t="inlineStr">
        <is>
          <t>Orange County Power Authority</t>
        </is>
      </c>
      <c r="B79" s="492" t="n"/>
      <c r="C79" s="294" t="inlineStr">
        <is>
          <t>SCE</t>
        </is>
      </c>
    </row>
    <row r="80" ht="15" customHeight="1" s="252">
      <c r="A80" s="294" t="inlineStr">
        <is>
          <t>Pioneer Community Energy</t>
        </is>
      </c>
      <c r="B80" s="492" t="n"/>
      <c r="C80" s="294" t="inlineStr">
        <is>
          <t>PG&amp;E</t>
        </is>
      </c>
    </row>
    <row r="81" ht="15" customHeight="1" s="252">
      <c r="A81" s="294" t="inlineStr">
        <is>
          <t>Redwood Coast Energy Authority</t>
        </is>
      </c>
      <c r="B81" s="492" t="n"/>
      <c r="C81" s="294" t="inlineStr">
        <is>
          <t>PG&amp;E</t>
        </is>
      </c>
    </row>
    <row r="82" ht="15" customHeight="1" s="252">
      <c r="A82" s="294" t="inlineStr">
        <is>
          <t>Valley Clean Energy</t>
        </is>
      </c>
      <c r="B82" s="492" t="n"/>
      <c r="C82" s="294" t="inlineStr">
        <is>
          <t>PG&amp;E</t>
        </is>
      </c>
    </row>
    <row r="83" ht="15" customHeight="1" s="252">
      <c r="A83" s="294" t="inlineStr">
        <is>
          <t>Lancaster Energy</t>
        </is>
      </c>
      <c r="B83" s="492" t="n"/>
      <c r="C83" s="294" t="inlineStr">
        <is>
          <t>SCE</t>
        </is>
      </c>
    </row>
    <row r="84" ht="15" customHeight="1" s="252">
      <c r="A84" s="294" t="inlineStr">
        <is>
          <t>Desert Community Energy</t>
        </is>
      </c>
      <c r="B84" s="492" t="n"/>
      <c r="C84" s="294" t="inlineStr">
        <is>
          <t>SCE</t>
        </is>
      </c>
    </row>
    <row r="85" ht="15" customHeight="1" s="252">
      <c r="A85" s="294" t="inlineStr">
        <is>
          <t>Rancho Mirage Energy Authority</t>
        </is>
      </c>
      <c r="B85" s="492" t="n"/>
      <c r="C85" s="294" t="inlineStr">
        <is>
          <t>SCE</t>
        </is>
      </c>
    </row>
    <row r="86" ht="15" customHeight="1" s="252">
      <c r="A86" s="294" t="inlineStr">
        <is>
          <t>Apple Valley Choice Energy</t>
        </is>
      </c>
      <c r="B86" s="492" t="n"/>
      <c r="C86" s="294" t="inlineStr">
        <is>
          <t>SCE</t>
        </is>
      </c>
    </row>
    <row r="87" ht="15" customHeight="1" s="252">
      <c r="A87" s="294" t="inlineStr">
        <is>
          <t>Energy for Palmdale's Independent Choice</t>
        </is>
      </c>
      <c r="B87" s="492" t="n"/>
      <c r="C87" s="294" t="inlineStr">
        <is>
          <t>SCE</t>
        </is>
      </c>
    </row>
    <row r="88" ht="15" customHeight="1" s="252">
      <c r="A88" s="294" t="inlineStr">
        <is>
          <t>King City Community Power</t>
        </is>
      </c>
      <c r="B88" s="492" t="n"/>
      <c r="C88" s="294" t="inlineStr">
        <is>
          <t>PG&amp;E</t>
        </is>
      </c>
    </row>
    <row r="89" ht="15" customHeight="1" s="252">
      <c r="A89" s="294" t="inlineStr">
        <is>
          <t>Pico Rivera Innovative Municipal Energy</t>
        </is>
      </c>
      <c r="B89" s="492" t="n"/>
      <c r="C89" s="294" t="inlineStr">
        <is>
          <t>SCE</t>
        </is>
      </c>
    </row>
    <row r="90" ht="15" customHeight="1" s="252">
      <c r="A90" s="294" t="inlineStr">
        <is>
          <t>Pomona Choice Energy</t>
        </is>
      </c>
      <c r="B90" s="492" t="n"/>
      <c r="C90" s="294" t="inlineStr">
        <is>
          <t>SCE</t>
        </is>
      </c>
    </row>
    <row r="91" ht="15" customHeight="1" s="252">
      <c r="A91" s="294" t="inlineStr">
        <is>
          <t>San Jacinto Power</t>
        </is>
      </c>
      <c r="B91" s="492" t="n"/>
      <c r="C91" s="294" t="inlineStr">
        <is>
          <t>SCE</t>
        </is>
      </c>
    </row>
    <row r="92" ht="15" customHeight="1" s="252">
      <c r="A92" s="294" t="inlineStr">
        <is>
          <t>Santa Barbara Clean Energy</t>
        </is>
      </c>
      <c r="B92" s="492" t="n"/>
      <c r="C92" s="294" t="inlineStr">
        <is>
          <t>SCE</t>
        </is>
      </c>
    </row>
    <row r="93" ht="15" customHeight="1" s="252">
      <c r="A93" s="294" t="inlineStr">
        <is>
          <t>Direct Access ESP (Calpine, Constellation, Shell…)</t>
        </is>
      </c>
      <c r="B93" s="492" t="n"/>
      <c r="C93" s="294" t="inlineStr">
        <is>
          <t>Host IOU</t>
        </is>
      </c>
    </row>
    <row r="96" ht="17.25" customHeight="1" s="252">
      <c r="A96" s="493" t="inlineStr">
        <is>
          <t>MICHIGAN ELECTRIC UTILITIES — DELIVERY</t>
        </is>
      </c>
    </row>
    <row r="97" ht="20" customHeight="1" s="252">
      <c r="A97" s="299" t="inlineStr">
        <is>
          <t>Service territory in Michigan does not follow a mailing address in any obvious way. Confirm the serving utility against the site address before pricing anything that depends on it.</t>
        </is>
      </c>
    </row>
    <row r="99" ht="14.25" customHeight="1" s="252">
      <c r="A99" s="504" t="inlineStr">
        <is>
          <t>Utility</t>
        </is>
      </c>
      <c r="B99" s="504" t="inlineStr">
        <is>
          <t>Type</t>
        </is>
      </c>
      <c r="C99" s="504" t="inlineStr">
        <is>
          <t>Service territory</t>
        </is>
      </c>
    </row>
    <row r="100" ht="32" customHeight="1" s="252">
      <c r="A100" s="372" t="inlineStr">
        <is>
          <t>DTE Electric Company</t>
        </is>
      </c>
      <c r="B100" s="486" t="inlineStr">
        <is>
          <t>IOU</t>
        </is>
      </c>
      <c r="C100" s="486" t="inlineStr">
        <is>
          <t>Southeast Michigan — Detroit, Ann Arbor, Port Huron</t>
        </is>
      </c>
    </row>
    <row r="101" ht="32" customHeight="1" s="252">
      <c r="A101" s="372" t="inlineStr">
        <is>
          <t>Consumers Energy</t>
        </is>
      </c>
      <c r="B101" s="486" t="inlineStr">
        <is>
          <t>IOU</t>
        </is>
      </c>
      <c r="C101" s="486" t="inlineStr">
        <is>
          <t>Most of the Lower Peninsula outside DTE</t>
        </is>
      </c>
    </row>
    <row r="102" ht="32" customHeight="1" s="252">
      <c r="A102" s="372" t="inlineStr">
        <is>
          <t>Indiana Michigan Power (AEP)</t>
        </is>
      </c>
      <c r="B102" s="486" t="inlineStr">
        <is>
          <t>IOU</t>
        </is>
      </c>
      <c r="C102" s="486" t="inlineStr">
        <is>
          <t>Southwest MI — Berrien, Cass, St Joseph</t>
        </is>
      </c>
    </row>
    <row r="103" ht="32" customHeight="1" s="252">
      <c r="A103" s="372" t="inlineStr">
        <is>
          <t>UMERC — Upper Michigan Energy Resources (We Energies)</t>
        </is>
      </c>
      <c r="B103" s="486" t="inlineStr">
        <is>
          <t>IOU</t>
        </is>
      </c>
      <c r="C103" s="486" t="inlineStr">
        <is>
          <t>Upper Peninsula — Marquette, Menominee</t>
        </is>
      </c>
    </row>
    <row r="104" ht="20" customHeight="1" s="252">
      <c r="A104" s="372" t="inlineStr">
        <is>
          <t>UPPCO — Upper Peninsula Power Company</t>
        </is>
      </c>
      <c r="B104" s="486" t="inlineStr">
        <is>
          <t>IOU</t>
        </is>
      </c>
      <c r="C104" s="486" t="inlineStr">
        <is>
          <t>Upper Peninsula</t>
        </is>
      </c>
    </row>
    <row r="105" ht="20" customHeight="1" s="252">
      <c r="A105" s="372" t="inlineStr">
        <is>
          <t>Northern States Power — Xcel</t>
        </is>
      </c>
      <c r="B105" s="486" t="inlineStr">
        <is>
          <t>IOU</t>
        </is>
      </c>
      <c r="C105" s="486" t="inlineStr">
        <is>
          <t>Western Upper Peninsula</t>
        </is>
      </c>
    </row>
    <row r="106" ht="20" customHeight="1" s="252">
      <c r="A106" s="372" t="inlineStr">
        <is>
          <t>Alpena Power Company</t>
        </is>
      </c>
      <c r="B106" s="486" t="inlineStr">
        <is>
          <t>IOU</t>
        </is>
      </c>
      <c r="C106" s="486" t="inlineStr">
        <is>
          <t>Alpena and surrounding townships</t>
        </is>
      </c>
    </row>
    <row r="107" ht="20" customHeight="1" s="252">
      <c r="A107" s="372" t="inlineStr">
        <is>
          <t>Lansing Board of Water &amp; Light</t>
        </is>
      </c>
      <c r="B107" s="486" t="inlineStr">
        <is>
          <t>POU</t>
        </is>
      </c>
      <c r="C107" s="486" t="inlineStr">
        <is>
          <t>Lansing and East Lansing</t>
        </is>
      </c>
    </row>
    <row r="108" ht="20" customHeight="1" s="252">
      <c r="A108" s="372" t="inlineStr">
        <is>
          <t>Holland Board of Public Works</t>
        </is>
      </c>
      <c r="B108" s="486" t="inlineStr">
        <is>
          <t>POU</t>
        </is>
      </c>
      <c r="C108" s="486" t="inlineStr">
        <is>
          <t>City of Holland</t>
        </is>
      </c>
    </row>
    <row r="109" ht="20" customHeight="1" s="252">
      <c r="A109" s="372" t="inlineStr">
        <is>
          <t>Traverse City Light &amp; Power</t>
        </is>
      </c>
      <c r="B109" s="486" t="inlineStr">
        <is>
          <t>POU</t>
        </is>
      </c>
      <c r="C109" s="486" t="inlineStr">
        <is>
          <t>City of Traverse City</t>
        </is>
      </c>
    </row>
    <row r="110" ht="20" customHeight="1" s="252">
      <c r="A110" s="372" t="inlineStr">
        <is>
          <t>Coldwater Board of Public Utilities</t>
        </is>
      </c>
      <c r="B110" s="486" t="inlineStr">
        <is>
          <t>POU</t>
        </is>
      </c>
      <c r="C110" s="486" t="inlineStr">
        <is>
          <t>City of Coldwater</t>
        </is>
      </c>
    </row>
    <row r="111" ht="20" customHeight="1" s="252">
      <c r="A111" s="372" t="inlineStr">
        <is>
          <t>Wyandotte Municipal Services</t>
        </is>
      </c>
      <c r="B111" s="486" t="inlineStr">
        <is>
          <t>POU</t>
        </is>
      </c>
      <c r="C111" s="486" t="inlineStr">
        <is>
          <t>City of Wyandotte</t>
        </is>
      </c>
    </row>
    <row r="112" ht="20" customHeight="1" s="252">
      <c r="A112" s="372" t="inlineStr">
        <is>
          <t>Cloverland Electric Cooperative</t>
        </is>
      </c>
      <c r="B112" s="486" t="inlineStr">
        <is>
          <t>Co-op</t>
        </is>
      </c>
      <c r="C112" s="486" t="inlineStr">
        <is>
          <t>Eastern Upper Peninsula</t>
        </is>
      </c>
    </row>
    <row r="113" ht="20" customHeight="1" s="252">
      <c r="A113" s="372" t="inlineStr">
        <is>
          <t>Great Lakes Energy</t>
        </is>
      </c>
      <c r="B113" s="486" t="inlineStr">
        <is>
          <t>Co-op</t>
        </is>
      </c>
      <c r="C113" s="486" t="inlineStr">
        <is>
          <t>Northwest Lower Peninsula</t>
        </is>
      </c>
    </row>
    <row r="114" ht="20" customHeight="1" s="252">
      <c r="A114" s="372" t="inlineStr">
        <is>
          <t>Presque Isle Electric &amp; Gas Co-op</t>
        </is>
      </c>
      <c r="B114" s="486" t="inlineStr">
        <is>
          <t>Co-op</t>
        </is>
      </c>
      <c r="C114" s="486" t="inlineStr">
        <is>
          <t>Northeast Lower Peninsula</t>
        </is>
      </c>
    </row>
    <row r="115" ht="20" customHeight="1" s="252">
      <c r="A115" s="372" t="inlineStr">
        <is>
          <t>HomeWorks Tri-County Electric</t>
        </is>
      </c>
      <c r="B115" s="486" t="inlineStr">
        <is>
          <t>Co-op</t>
        </is>
      </c>
      <c r="C115" s="486" t="inlineStr">
        <is>
          <t>Central Lower Peninsula</t>
        </is>
      </c>
    </row>
    <row r="116" ht="20" customHeight="1" s="252">
      <c r="A116" s="372" t="inlineStr">
        <is>
          <t>Midwest Energy &amp; Communications</t>
        </is>
      </c>
      <c r="B116" s="486" t="inlineStr">
        <is>
          <t>Co-op</t>
        </is>
      </c>
      <c r="C116" s="486" t="inlineStr">
        <is>
          <t>Southwest Lower Peninsula</t>
        </is>
      </c>
    </row>
    <row r="117" ht="20" customHeight="1" s="252">
      <c r="A117" s="372" t="inlineStr">
        <is>
          <t>Thumb Electric Cooperative</t>
        </is>
      </c>
      <c r="B117" s="486" t="inlineStr">
        <is>
          <t>Co-op</t>
        </is>
      </c>
      <c r="C117" s="486" t="inlineStr">
        <is>
          <t>The Thumb — Huron, Sanilac, Tuscola</t>
        </is>
      </c>
    </row>
  </sheetData>
  <mergeCells count="4">
    <mergeCell ref="A2:E2"/>
    <mergeCell ref="A64:E64"/>
    <mergeCell ref="A1:E1"/>
    <mergeCell ref="A97:H97"/>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6796875" defaultRowHeight="14.25" zeroHeight="0" outlineLevelRow="0"/>
  <cols>
    <col width="44" customWidth="1" style="251" min="1" max="1"/>
    <col width="32" customWidth="1" style="251" min="2" max="2"/>
    <col width="54" customWidth="1" style="251" min="3" max="4"/>
    <col width="34" customWidth="1" style="252" min="4" max="4"/>
    <col width="9" customWidth="1" style="251" min="5" max="5"/>
    <col width="11" customWidth="1" style="251" min="6" max="9"/>
    <col width="9" customWidth="1" style="252" min="7" max="7"/>
    <col width="9" customWidth="1" style="252" min="8" max="8"/>
    <col width="9" customWidth="1" style="252" min="9" max="9"/>
    <col width="9" customWidth="1" style="251" min="10" max="10"/>
    <col width="11" customWidth="1" style="251" min="11" max="13"/>
    <col width="9" customWidth="1" style="252" min="12" max="12"/>
    <col width="9" customWidth="1" style="252" min="13" max="13"/>
    <col width="34" customWidth="1" style="251" min="14" max="16"/>
    <col width="34" customWidth="1" style="252" min="15" max="15"/>
    <col width="34" customWidth="1" style="252" min="16" max="16"/>
    <col width="11" customWidth="1" style="251" min="17" max="17"/>
    <col width="34" customWidth="1" style="251" min="18" max="18"/>
  </cols>
  <sheetData>
    <row r="1" ht="17.25" customHeight="1" s="252">
      <c r="A1" s="289" t="inlineStr">
        <is>
          <t>CALIFORNIA EVSE RATE LIBRARY</t>
        </is>
      </c>
    </row>
    <row r="2" ht="20" customHeight="1" s="252">
      <c r="A2" s="283"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4" ht="20" customHeight="1" s="252">
      <c r="A4" s="351" t="inlineStr">
        <is>
          <t>Utility</t>
        </is>
      </c>
      <c r="B4" s="352" t="inlineStr">
        <is>
          <t>Schedule</t>
        </is>
      </c>
      <c r="C4" s="352" t="inlineStr">
        <is>
          <t>From kW</t>
        </is>
      </c>
      <c r="D4" s="351" t="inlineStr">
        <is>
          <t>To kW</t>
        </is>
      </c>
      <c r="E4" s="352" t="inlineStr">
        <is>
          <t>Voltage</t>
        </is>
      </c>
      <c r="F4" s="352" t="inlineStr">
        <is>
          <t>Peak $/kWh</t>
        </is>
      </c>
      <c r="G4" s="352" t="inlineStr">
        <is>
          <t>Off-peak $/kWh</t>
        </is>
      </c>
      <c r="H4" s="352" t="inlineStr">
        <is>
          <t>Super off $/kWh</t>
        </is>
      </c>
      <c r="I4" s="352" t="inlineStr">
        <is>
          <t>Demand $/kW-mo</t>
        </is>
      </c>
      <c r="J4" s="352" t="inlineStr">
        <is>
          <t>Block kW</t>
        </is>
      </c>
      <c r="K4" s="352" t="inlineStr">
        <is>
          <t>Block $/mo</t>
        </is>
      </c>
      <c r="L4" s="352" t="inlineStr">
        <is>
          <t>Overage $/kW</t>
        </is>
      </c>
      <c r="M4" s="352" t="inlineStr">
        <is>
          <t>Customer $/mo</t>
        </is>
      </c>
      <c r="N4" s="352" t="inlineStr">
        <is>
          <t>Seasons</t>
        </is>
      </c>
      <c r="O4" s="352" t="inlineStr">
        <is>
          <t>Time-of-use periods</t>
        </is>
      </c>
      <c r="P4" s="352" t="inlineStr">
        <is>
          <t>STATUS</t>
        </is>
      </c>
      <c r="Q4" s="352" t="inlineStr">
        <is>
          <t>Effective</t>
        </is>
      </c>
      <c r="R4" s="352" t="inlineStr">
        <is>
          <t>Source</t>
        </is>
      </c>
    </row>
    <row r="5" ht="32" customHeight="1" s="252">
      <c r="A5" s="494" t="inlineStr">
        <is>
          <t>PG&amp;E — Pacific Gas and Electric</t>
        </is>
      </c>
      <c r="B5" s="356" t="inlineStr">
        <is>
          <t>BEV-1</t>
        </is>
      </c>
      <c r="C5" s="495" t="n">
        <v>0</v>
      </c>
      <c r="D5" s="495" t="n">
        <v>100</v>
      </c>
      <c r="E5" s="356" t="inlineStr">
        <is>
          <t>Secondary</t>
        </is>
      </c>
      <c r="F5" s="496" t="n">
        <v>0.35711</v>
      </c>
      <c r="G5" s="496" t="n">
        <v>0.1651</v>
      </c>
      <c r="H5" s="496" t="n">
        <v>0.13844</v>
      </c>
      <c r="I5" s="380" t="n">
        <v>0</v>
      </c>
      <c r="J5" s="495" t="n">
        <v>10</v>
      </c>
      <c r="K5" s="380" t="n">
        <v>12.41</v>
      </c>
      <c r="L5" s="380" t="n">
        <v>2.48</v>
      </c>
      <c r="M5" s="380" t="n">
        <v>0</v>
      </c>
      <c r="N5" s="356" t="inlineStr">
        <is>
          <t>None — no seasonal variation</t>
        </is>
      </c>
      <c r="O5" s="356" t="inlineStr">
        <is>
          <t>Peak 4-9pm daily; Off 9pm-9am &amp; 2-4pm; Super off 9am-2pm — ALL YEAR</t>
        </is>
      </c>
      <c r="P5" s="497" t="inlineStr">
        <is>
          <t>VERIFIED</t>
        </is>
      </c>
      <c r="Q5" s="356" t="inlineStr">
        <is>
          <t>2026-03-01</t>
        </is>
      </c>
      <c r="R5" s="498" t="inlineStr">
        <is>
          <t>https://www.pge.com/tariffs/assets/pdf/tariffbook/ELEC_SCHEDS_BEV.pdf</t>
        </is>
      </c>
    </row>
    <row r="6" ht="32" customHeight="1" s="252">
      <c r="A6" s="494" t="inlineStr">
        <is>
          <t>PG&amp;E — Pacific Gas and Electric</t>
        </is>
      </c>
      <c r="B6" s="356" t="inlineStr">
        <is>
          <t>BEV-2-S</t>
        </is>
      </c>
      <c r="C6" s="495" t="n">
        <v>100</v>
      </c>
      <c r="D6" s="495" t="n">
        <v>99999</v>
      </c>
      <c r="E6" s="356" t="inlineStr">
        <is>
          <t>Secondary</t>
        </is>
      </c>
      <c r="F6" s="496" t="n">
        <v>0.36977</v>
      </c>
      <c r="G6" s="496" t="n">
        <v>0.15654</v>
      </c>
      <c r="H6" s="496" t="n">
        <v>0.13327</v>
      </c>
      <c r="I6" s="380" t="n">
        <v>0</v>
      </c>
      <c r="J6" s="495" t="n">
        <v>50</v>
      </c>
      <c r="K6" s="380" t="n">
        <v>95.56</v>
      </c>
      <c r="L6" s="380" t="n">
        <v>3.82</v>
      </c>
      <c r="M6" s="380" t="n">
        <v>0</v>
      </c>
      <c r="N6" s="356" t="inlineStr">
        <is>
          <t>None — no seasonal variation</t>
        </is>
      </c>
      <c r="O6" s="356" t="inlineStr">
        <is>
          <t>Peak 4-9pm daily; Off 9pm-9am &amp; 2-4pm; Super off 9am-2pm — ALL YEAR</t>
        </is>
      </c>
      <c r="P6" s="497" t="inlineStr">
        <is>
          <t>VERIFIED</t>
        </is>
      </c>
      <c r="Q6" s="356" t="inlineStr">
        <is>
          <t>2026-03-01</t>
        </is>
      </c>
      <c r="R6" s="498" t="inlineStr">
        <is>
          <t>https://www.pge.com/tariffs/assets/pdf/tariffbook/ELEC_SCHEDS_BEV.pdf</t>
        </is>
      </c>
    </row>
    <row r="7" ht="32" customHeight="1" s="252">
      <c r="A7" s="494" t="inlineStr">
        <is>
          <t>PG&amp;E — Pacific Gas and Electric</t>
        </is>
      </c>
      <c r="B7" s="356" t="inlineStr">
        <is>
          <t>BEV-2-P</t>
        </is>
      </c>
      <c r="C7" s="495" t="n">
        <v>100</v>
      </c>
      <c r="D7" s="495" t="n">
        <v>99999</v>
      </c>
      <c r="E7" s="356" t="inlineStr">
        <is>
          <t>Primary</t>
        </is>
      </c>
      <c r="F7" s="496" t="n">
        <v>0.36003</v>
      </c>
      <c r="G7" s="496" t="n">
        <v>0.15115</v>
      </c>
      <c r="H7" s="496" t="n">
        <v>0.12849</v>
      </c>
      <c r="I7" s="380" t="n">
        <v>0</v>
      </c>
      <c r="J7" s="495" t="n">
        <v>50</v>
      </c>
      <c r="K7" s="380" t="n">
        <v>85.98</v>
      </c>
      <c r="L7" s="380" t="n">
        <v>3.44</v>
      </c>
      <c r="M7" s="380" t="n">
        <v>0</v>
      </c>
      <c r="N7" s="356" t="inlineStr">
        <is>
          <t>None — no seasonal variation</t>
        </is>
      </c>
      <c r="O7" s="356" t="inlineStr">
        <is>
          <t>Peak 4-9pm daily; Off 9pm-9am &amp; 2-4pm; Super off 9am-2pm — ALL YEAR</t>
        </is>
      </c>
      <c r="P7" s="497" t="inlineStr">
        <is>
          <t>VERIFIED</t>
        </is>
      </c>
      <c r="Q7" s="356" t="inlineStr">
        <is>
          <t>2026-03-01</t>
        </is>
      </c>
      <c r="R7" s="498" t="inlineStr">
        <is>
          <t>https://www.pge.com/tariffs/assets/pdf/tariffbook/ELEC_SCHEDS_BEV.pdf</t>
        </is>
      </c>
    </row>
    <row r="8" ht="32" customHeight="1" s="252">
      <c r="A8" s="494" t="inlineStr">
        <is>
          <t>PG&amp;E — Pacific Gas and Electric</t>
        </is>
      </c>
      <c r="B8" s="356" t="inlineStr">
        <is>
          <t>B-20 (non-EV alternative)</t>
        </is>
      </c>
      <c r="C8" s="495" t="n">
        <v>1000</v>
      </c>
      <c r="D8" s="495" t="n">
        <v>99999</v>
      </c>
      <c r="E8" s="356" t="inlineStr">
        <is>
          <t>Secondary</t>
        </is>
      </c>
      <c r="F8" s="496" t="n">
        <v>0.17702</v>
      </c>
      <c r="G8" s="496" t="n">
        <v>0.11482</v>
      </c>
      <c r="H8" s="496" t="n">
        <v>0.05872</v>
      </c>
      <c r="I8" s="380" t="n">
        <v>80.43000000000001</v>
      </c>
      <c r="J8" s="495" t="n">
        <v>0</v>
      </c>
      <c r="K8" s="380" t="n">
        <v>0</v>
      </c>
      <c r="L8" s="380" t="n">
        <v>0</v>
      </c>
      <c r="M8" s="380" t="n">
        <v>3265</v>
      </c>
      <c r="N8" s="356" t="inlineStr">
        <is>
          <t>Summer Jun-Sep / Winter Oct-May</t>
        </is>
      </c>
      <c r="O8" s="356" t="inlineStr">
        <is>
          <t>Peak 4-9pm; Super off 9am-2pm MARCH-MAY ONLY</t>
        </is>
      </c>
      <c r="P8" s="499" t="inlineStr">
        <is>
          <t>PARTIAL</t>
        </is>
      </c>
      <c r="Q8" s="356" t="inlineStr">
        <is>
          <t>2026-03-01</t>
        </is>
      </c>
      <c r="R8" s="498" t="inlineStr">
        <is>
          <t>https://www.pge.com/tariffs/assets/pdf/tariffbook/ELEC_SCHEDS_B-20.pdf</t>
        </is>
      </c>
    </row>
    <row r="9" ht="56" customHeight="1" s="252">
      <c r="A9" s="494" t="inlineStr">
        <is>
          <t>SCE — Southern California Edison</t>
        </is>
      </c>
      <c r="B9" s="356" t="inlineStr">
        <is>
          <t>TOU-EV-7</t>
        </is>
      </c>
      <c r="C9" s="495" t="n">
        <v>0</v>
      </c>
      <c r="D9" s="495" t="n">
        <v>20</v>
      </c>
      <c r="E9" s="356" t="inlineStr">
        <is>
          <t>Secondary</t>
        </is>
      </c>
      <c r="F9" s="496" t="n">
        <v>0</v>
      </c>
      <c r="G9" s="496" t="n">
        <v>0</v>
      </c>
      <c r="H9" s="496" t="n">
        <v>0</v>
      </c>
      <c r="I9" s="380" t="n">
        <v>0</v>
      </c>
      <c r="J9" s="495" t="n">
        <v>0</v>
      </c>
      <c r="K9" s="380" t="n">
        <v>0</v>
      </c>
      <c r="L9" s="380" t="n">
        <v>0</v>
      </c>
      <c r="M9" s="380" t="n">
        <v>0</v>
      </c>
      <c r="N9" s="356" t="inlineStr">
        <is>
          <t>Summer Jun-Sep / Winter Oct-May</t>
        </is>
      </c>
      <c r="O9" s="356" t="inlineStr">
        <is>
          <t>On-peak 4-9pm summer weekdays</t>
        </is>
      </c>
      <c r="P9" s="500" t="inlineStr">
        <is>
          <t>NOT PUBLISHED</t>
        </is>
      </c>
      <c r="Q9" s="491" t="n"/>
      <c r="R9" s="498" t="inlineStr">
        <is>
          <t>https://www.sce.com/sites/default/files/custom-files/PDF_Files/TOU-EV-7_8_9_Rate_Fact_Sheet_072025_Accessible.pdf</t>
        </is>
      </c>
    </row>
    <row r="10" ht="56" customHeight="1" s="252">
      <c r="A10" s="494" t="inlineStr">
        <is>
          <t>SCE — Southern California Edison</t>
        </is>
      </c>
      <c r="B10" s="356" t="inlineStr">
        <is>
          <t>TOU-EV-8</t>
        </is>
      </c>
      <c r="C10" s="495" t="n">
        <v>20</v>
      </c>
      <c r="D10" s="495" t="n">
        <v>500</v>
      </c>
      <c r="E10" s="356" t="inlineStr">
        <is>
          <t>Secondary</t>
        </is>
      </c>
      <c r="F10" s="496" t="n">
        <v>0</v>
      </c>
      <c r="G10" s="496" t="n">
        <v>0</v>
      </c>
      <c r="H10" s="496" t="n">
        <v>0</v>
      </c>
      <c r="I10" s="380" t="n">
        <v>0</v>
      </c>
      <c r="J10" s="495" t="n">
        <v>0</v>
      </c>
      <c r="K10" s="380" t="n">
        <v>0</v>
      </c>
      <c r="L10" s="380" t="n">
        <v>0</v>
      </c>
      <c r="M10" s="380" t="n">
        <v>0</v>
      </c>
      <c r="N10" s="356" t="inlineStr">
        <is>
          <t>Summer Jun-Sep / Winter Oct-May</t>
        </is>
      </c>
      <c r="O10" s="356" t="inlineStr">
        <is>
          <t>On-peak 4-9pm summer weekdays</t>
        </is>
      </c>
      <c r="P10" s="500" t="inlineStr">
        <is>
          <t>NOT PUBLISHED</t>
        </is>
      </c>
      <c r="Q10" s="491" t="n"/>
      <c r="R10" s="498" t="inlineStr">
        <is>
          <t>https://www.sce.com/sites/default/files/custom-files/PDF_Files/TOU-EV-7_8_9_Rate_Fact_Sheet_072025_Accessible.pdf</t>
        </is>
      </c>
    </row>
    <row r="11" ht="56" customHeight="1" s="252">
      <c r="A11" s="494" t="inlineStr">
        <is>
          <t>SCE — Southern California Edison</t>
        </is>
      </c>
      <c r="B11" s="356" t="inlineStr">
        <is>
          <t>TOU-EV-9</t>
        </is>
      </c>
      <c r="C11" s="495" t="n">
        <v>500</v>
      </c>
      <c r="D11" s="495" t="n">
        <v>99999</v>
      </c>
      <c r="E11" s="356" t="inlineStr">
        <is>
          <t>Tiered by voltage</t>
        </is>
      </c>
      <c r="F11" s="496" t="n">
        <v>0</v>
      </c>
      <c r="G11" s="496" t="n">
        <v>0</v>
      </c>
      <c r="H11" s="496" t="n">
        <v>0</v>
      </c>
      <c r="I11" s="380" t="n">
        <v>0</v>
      </c>
      <c r="J11" s="495" t="n">
        <v>0</v>
      </c>
      <c r="K11" s="380" t="n">
        <v>0</v>
      </c>
      <c r="L11" s="380" t="n">
        <v>0</v>
      </c>
      <c r="M11" s="380" t="n">
        <v>0</v>
      </c>
      <c r="N11" s="356" t="inlineStr">
        <is>
          <t>Summer Jun-Sep / Winter Oct-May</t>
        </is>
      </c>
      <c r="O11" s="356" t="inlineStr">
        <is>
          <t>On-peak 4-9pm summer weekdays</t>
        </is>
      </c>
      <c r="P11" s="500" t="inlineStr">
        <is>
          <t>NOT PUBLISHED</t>
        </is>
      </c>
      <c r="Q11" s="491" t="n"/>
      <c r="R11" s="498" t="inlineStr">
        <is>
          <t>https://www.sce.com/sites/default/files/custom-files/PDF_Files/TOU-EV-7_8_9_Rate_Fact_Sheet_072025_Accessible.pdf</t>
        </is>
      </c>
    </row>
    <row r="12" ht="44" customHeight="1" s="252">
      <c r="A12" s="494" t="inlineStr">
        <is>
          <t>SDG&amp;E — San Diego Gas &amp; Electric</t>
        </is>
      </c>
      <c r="B12" s="356" t="inlineStr">
        <is>
          <t>EV-HP (&lt;=150 kW)</t>
        </is>
      </c>
      <c r="C12" s="495" t="n">
        <v>20</v>
      </c>
      <c r="D12" s="495" t="n">
        <v>150</v>
      </c>
      <c r="E12" s="356" t="inlineStr">
        <is>
          <t>Secondary</t>
        </is>
      </c>
      <c r="F12" s="496" t="n">
        <v>0.32882</v>
      </c>
      <c r="G12" s="496" t="n">
        <v>0.16295</v>
      </c>
      <c r="H12" s="496" t="n">
        <v>0.15307</v>
      </c>
      <c r="I12" s="380" t="n">
        <v>9.43</v>
      </c>
      <c r="J12" s="495" t="n">
        <v>10</v>
      </c>
      <c r="K12" s="380" t="n">
        <v>50.76</v>
      </c>
      <c r="L12" s="380" t="n">
        <v>0</v>
      </c>
      <c r="M12" s="380" t="n">
        <v>151.26</v>
      </c>
      <c r="N12" s="356" t="inlineStr">
        <is>
          <t>Summer Jun 1-Oct 31 / Winter Nov 1-May 31</t>
        </is>
      </c>
      <c r="O12" s="356" t="inlineStr">
        <is>
          <t>NOT PUBLISHED — obtain from the tariff sheet</t>
        </is>
      </c>
      <c r="P12" s="499" t="inlineStr">
        <is>
          <t>PARTIAL</t>
        </is>
      </c>
      <c r="Q12" s="356" t="inlineStr">
        <is>
          <t>2026-08-01</t>
        </is>
      </c>
      <c r="R12" s="498" t="inlineStr">
        <is>
          <t>https://www.sdge.com/sites/default/files/regulatory/Summary%20Table%20for%20Medium%20Comm%208-1-26.pdf</t>
        </is>
      </c>
    </row>
    <row r="13" ht="44" customHeight="1" s="252">
      <c r="A13" s="494" t="inlineStr">
        <is>
          <t>SDG&amp;E — San Diego Gas &amp; Electric</t>
        </is>
      </c>
      <c r="B13" s="356" t="inlineStr">
        <is>
          <t>EV-HP (&gt;150 kW)</t>
        </is>
      </c>
      <c r="C13" s="495" t="n">
        <v>150</v>
      </c>
      <c r="D13" s="495" t="n">
        <v>99999</v>
      </c>
      <c r="E13" s="356" t="inlineStr">
        <is>
          <t>Secondary</t>
        </is>
      </c>
      <c r="F13" s="496" t="n">
        <v>0.32882</v>
      </c>
      <c r="G13" s="496" t="n">
        <v>0.16295</v>
      </c>
      <c r="H13" s="496" t="n">
        <v>0.15307</v>
      </c>
      <c r="I13" s="380" t="n">
        <v>9.43</v>
      </c>
      <c r="J13" s="495" t="n">
        <v>25</v>
      </c>
      <c r="K13" s="380" t="n">
        <v>126.89</v>
      </c>
      <c r="L13" s="380" t="n">
        <v>0</v>
      </c>
      <c r="M13" s="380" t="n">
        <v>151.26</v>
      </c>
      <c r="N13" s="356" t="inlineStr">
        <is>
          <t>Summer Jun 1-Oct 31 / Winter Nov 1-May 31</t>
        </is>
      </c>
      <c r="O13" s="356" t="inlineStr">
        <is>
          <t>NOT PUBLISHED — obtain from the tariff sheet</t>
        </is>
      </c>
      <c r="P13" s="499" t="inlineStr">
        <is>
          <t>PARTIAL</t>
        </is>
      </c>
      <c r="Q13" s="356" t="inlineStr">
        <is>
          <t>2026-08-01</t>
        </is>
      </c>
      <c r="R13" s="498" t="inlineStr">
        <is>
          <t>https://www.sdge.com/sites/default/files/regulatory/Summary%20Table%20for%20Medium%20Comm%208-1-26.pdf</t>
        </is>
      </c>
    </row>
    <row r="14" ht="44" customHeight="1" s="252">
      <c r="A14" s="494" t="inlineStr">
        <is>
          <t>SDG&amp;E — San Diego Gas &amp; Electric</t>
        </is>
      </c>
      <c r="B14" s="356" t="inlineStr">
        <is>
          <t>EV-HP Primary (&gt;150 kW)</t>
        </is>
      </c>
      <c r="C14" s="495" t="n">
        <v>150</v>
      </c>
      <c r="D14" s="495" t="n">
        <v>99999</v>
      </c>
      <c r="E14" s="356" t="inlineStr">
        <is>
          <t>Primary</t>
        </is>
      </c>
      <c r="F14" s="496" t="n">
        <v>0.3055</v>
      </c>
      <c r="G14" s="496" t="n">
        <v>0.16257</v>
      </c>
      <c r="H14" s="496" t="n">
        <v>0.15283</v>
      </c>
      <c r="I14" s="380" t="n">
        <v>9.390000000000001</v>
      </c>
      <c r="J14" s="495" t="n">
        <v>25</v>
      </c>
      <c r="K14" s="380" t="n">
        <v>126.24</v>
      </c>
      <c r="L14" s="380" t="n">
        <v>0</v>
      </c>
      <c r="M14" s="380" t="n">
        <v>66.15000000000001</v>
      </c>
      <c r="N14" s="356" t="inlineStr">
        <is>
          <t>Summer Jun 1-Oct 31 / Winter Nov 1-May 31</t>
        </is>
      </c>
      <c r="O14" s="356" t="inlineStr">
        <is>
          <t>NOT PUBLISHED — obtain from the tariff sheet</t>
        </is>
      </c>
      <c r="P14" s="499" t="inlineStr">
        <is>
          <t>PARTIAL</t>
        </is>
      </c>
      <c r="Q14" s="356" t="inlineStr">
        <is>
          <t>2026-08-01</t>
        </is>
      </c>
      <c r="R14" s="498" t="inlineStr">
        <is>
          <t>https://www.sdge.com/sites/default/files/regulatory/Summary%20Table%20for%20Large%20Comm%208-1-26.pdf</t>
        </is>
      </c>
    </row>
    <row r="15" ht="56" customHeight="1" s="252">
      <c r="A15" s="494" t="inlineStr">
        <is>
          <t>Liberty Utilities (CalPeco Electric)</t>
        </is>
      </c>
      <c r="B15" s="356" t="inlineStr">
        <is>
          <t>TOU A-3 EV</t>
        </is>
      </c>
      <c r="C15" s="495" t="n">
        <v>200</v>
      </c>
      <c r="D15" s="495" t="n">
        <v>99999</v>
      </c>
      <c r="E15" s="356" t="inlineStr">
        <is>
          <t>All</t>
        </is>
      </c>
      <c r="F15" s="496" t="n">
        <v>0.52239</v>
      </c>
      <c r="G15" s="496" t="n">
        <v>0.30281</v>
      </c>
      <c r="H15" s="496" t="n">
        <v>0</v>
      </c>
      <c r="I15" s="380" t="n">
        <v>0</v>
      </c>
      <c r="J15" s="495" t="n">
        <v>0</v>
      </c>
      <c r="K15" s="380" t="n">
        <v>0</v>
      </c>
      <c r="L15" s="380" t="n">
        <v>0</v>
      </c>
      <c r="M15" s="380" t="n">
        <v>850.8099999999999</v>
      </c>
      <c r="N15" s="356" t="inlineStr">
        <is>
          <t>Summer / Winter — months NOT PUBLISHED</t>
        </is>
      </c>
      <c r="O15" s="356" t="inlineStr">
        <is>
          <t>NOT PUBLISHED — cross-referenced to Special Conditions</t>
        </is>
      </c>
      <c r="P15" s="499" t="inlineStr">
        <is>
          <t>PARTIAL</t>
        </is>
      </c>
      <c r="Q15" s="356" t="inlineStr">
        <is>
          <t>2026-06-01</t>
        </is>
      </c>
      <c r="R15" s="498" t="inlineStr">
        <is>
          <t>https://california.libertyutilities.com/uploads/CalPeco%20Tariffs/Schedule%20No.%20A-3%20TOU%20EV%20Large%20General%20Service.pdf</t>
        </is>
      </c>
    </row>
    <row r="16" ht="44" customHeight="1" s="252">
      <c r="A16" s="494" t="inlineStr">
        <is>
          <t>Liberty Utilities (CalPeco Electric)</t>
        </is>
      </c>
      <c r="B16" s="356" t="inlineStr">
        <is>
          <t>TOU A-2 EV</t>
        </is>
      </c>
      <c r="C16" s="495" t="n">
        <v>0</v>
      </c>
      <c r="D16" s="495" t="n">
        <v>200</v>
      </c>
      <c r="E16" s="356" t="inlineStr">
        <is>
          <t>All</t>
        </is>
      </c>
      <c r="F16" s="496" t="n">
        <v>0</v>
      </c>
      <c r="G16" s="496" t="n">
        <v>0</v>
      </c>
      <c r="H16" s="496" t="n">
        <v>0</v>
      </c>
      <c r="I16" s="380" t="n">
        <v>0</v>
      </c>
      <c r="J16" s="495" t="n">
        <v>0</v>
      </c>
      <c r="K16" s="380" t="n">
        <v>0</v>
      </c>
      <c r="L16" s="380" t="n">
        <v>0</v>
      </c>
      <c r="M16" s="380" t="n">
        <v>201.85</v>
      </c>
      <c r="N16" s="356" t="inlineStr">
        <is>
          <t>Summer / Winter — months NOT PUBLISHED</t>
        </is>
      </c>
      <c r="O16" s="356" t="inlineStr">
        <is>
          <t>NOT PUBLISHED</t>
        </is>
      </c>
      <c r="P16" s="499" t="inlineStr">
        <is>
          <t>PARTIAL</t>
        </is>
      </c>
      <c r="Q16" s="356" t="inlineStr">
        <is>
          <t>2026-06-01</t>
        </is>
      </c>
      <c r="R16" s="498" t="inlineStr">
        <is>
          <t>https://california.libertyutilities.com/uploads/CalPeco%20Tariffs/Schedule%20No%20A-2%20TOU%20EV.pdf</t>
        </is>
      </c>
    </row>
    <row r="17" ht="56" customHeight="1" s="252">
      <c r="A17" s="494" t="inlineStr">
        <is>
          <t>Pacific Power (PacifiCorp)</t>
        </is>
      </c>
      <c r="B17" s="356" t="inlineStr">
        <is>
          <t>AT-48 Large General TOU</t>
        </is>
      </c>
      <c r="C17" s="495" t="n">
        <v>500</v>
      </c>
      <c r="D17" s="495" t="n">
        <v>99999</v>
      </c>
      <c r="E17" s="356" t="inlineStr">
        <is>
          <t>Secondary</t>
        </is>
      </c>
      <c r="F17" s="496" t="n">
        <v>0.14448</v>
      </c>
      <c r="G17" s="496" t="n">
        <v>0.13419</v>
      </c>
      <c r="H17" s="496" t="n">
        <v>0</v>
      </c>
      <c r="I17" s="380" t="n">
        <v>13.45</v>
      </c>
      <c r="J17" s="495" t="n">
        <v>0</v>
      </c>
      <c r="K17" s="380" t="n">
        <v>0</v>
      </c>
      <c r="L17" s="380" t="n">
        <v>0</v>
      </c>
      <c r="M17" s="380" t="n">
        <v>842.62</v>
      </c>
      <c r="N17" s="356" t="inlineStr">
        <is>
          <t>None</t>
        </is>
      </c>
      <c r="O17" s="356" t="inlineStr">
        <is>
          <t>On-peak adder +0.858c; off-peak credit -0.171c</t>
        </is>
      </c>
      <c r="P17" s="497" t="inlineStr">
        <is>
          <t>VERIFIED</t>
        </is>
      </c>
      <c r="Q17" s="356" t="inlineStr">
        <is>
          <t>2026-07-10</t>
        </is>
      </c>
      <c r="R17" s="498" t="inlineStr">
        <is>
          <t>https://www.pacificpower.net/content/dam/pcorp/documents/en/pacificpower/rates-regulation/california/CA_Price_Summary.pdf</t>
        </is>
      </c>
    </row>
    <row r="18" ht="56" customHeight="1" s="252">
      <c r="A18" s="494" t="inlineStr">
        <is>
          <t>Pacific Power (PacifiCorp)</t>
        </is>
      </c>
      <c r="B18" s="356" t="inlineStr">
        <is>
          <t>A-32 General Service</t>
        </is>
      </c>
      <c r="C18" s="495" t="n">
        <v>20</v>
      </c>
      <c r="D18" s="495" t="n">
        <v>500</v>
      </c>
      <c r="E18" s="356" t="inlineStr">
        <is>
          <t>Secondary</t>
        </is>
      </c>
      <c r="F18" s="496" t="n">
        <v>0.20212</v>
      </c>
      <c r="G18" s="496" t="n">
        <v>0.20212</v>
      </c>
      <c r="H18" s="496" t="n">
        <v>0.20212</v>
      </c>
      <c r="I18" s="380" t="n">
        <v>8.5</v>
      </c>
      <c r="J18" s="495" t="n">
        <v>0</v>
      </c>
      <c r="K18" s="380" t="n">
        <v>0</v>
      </c>
      <c r="L18" s="380" t="n">
        <v>0</v>
      </c>
      <c r="M18" s="380" t="n">
        <v>30.54</v>
      </c>
      <c r="N18" s="356" t="inlineStr">
        <is>
          <t>None</t>
        </is>
      </c>
      <c r="O18" s="356" t="inlineStr">
        <is>
          <t>NO time-of-use differentiation at all</t>
        </is>
      </c>
      <c r="P18" s="497" t="inlineStr">
        <is>
          <t>VERIFIED</t>
        </is>
      </c>
      <c r="Q18" s="356" t="inlineStr">
        <is>
          <t>2026-06-08</t>
        </is>
      </c>
      <c r="R18" s="498" t="inlineStr">
        <is>
          <t>https://www.pacificpower.net/content/dam/pcorp/documents/en/pacificpower/rates-regulation/california/CA_Price_Summary.pdf</t>
        </is>
      </c>
    </row>
    <row r="19" ht="44" customHeight="1" s="252">
      <c r="A19" s="494" t="inlineStr">
        <is>
          <t>Bear Valley Electric Service (BVES)</t>
        </is>
      </c>
      <c r="B19" s="356" t="inlineStr">
        <is>
          <t>TOU-EV-3</t>
        </is>
      </c>
      <c r="C19" s="495" t="n">
        <v>20</v>
      </c>
      <c r="D19" s="495" t="n">
        <v>500</v>
      </c>
      <c r="E19" s="356" t="inlineStr">
        <is>
          <t>All</t>
        </is>
      </c>
      <c r="F19" s="496" t="n">
        <v>0.46315</v>
      </c>
      <c r="G19" s="496" t="n">
        <v>0.37417</v>
      </c>
      <c r="H19" s="496" t="n">
        <v>0.26005</v>
      </c>
      <c r="I19" s="380" t="n">
        <v>9.5</v>
      </c>
      <c r="J19" s="495" t="n">
        <v>0</v>
      </c>
      <c r="K19" s="380" t="n">
        <v>0</v>
      </c>
      <c r="L19" s="380" t="n">
        <v>0</v>
      </c>
      <c r="M19" s="380" t="n">
        <v>0</v>
      </c>
      <c r="N19" s="356" t="inlineStr">
        <is>
          <t>Summer / Winter — months NOT PUBLISHED</t>
        </is>
      </c>
      <c r="O19" s="356" t="inlineStr">
        <is>
          <t>NOT PUBLISHED</t>
        </is>
      </c>
      <c r="P19" s="499" t="inlineStr">
        <is>
          <t>PARTIAL</t>
        </is>
      </c>
      <c r="Q19" s="356" t="inlineStr">
        <is>
          <t>2026-09-01</t>
        </is>
      </c>
      <c r="R19" s="498" t="inlineStr">
        <is>
          <t>https://www.bvesinc.com/assets/documents/rates/8-24-26-549-e/schedule-no-tou-ev-3.pdf</t>
        </is>
      </c>
    </row>
    <row r="20" ht="44" customHeight="1" s="252">
      <c r="A20" s="494" t="inlineStr">
        <is>
          <t>SMUD — Sacramento Municipal Utility District</t>
        </is>
      </c>
      <c r="B20" s="356" t="inlineStr">
        <is>
          <t>EV_SR tier EV3 (&gt;20% util)</t>
        </is>
      </c>
      <c r="C20" s="495" t="n">
        <v>20</v>
      </c>
      <c r="D20" s="495" t="n">
        <v>99999</v>
      </c>
      <c r="E20" s="356" t="inlineStr">
        <is>
          <t>Secondary</t>
        </is>
      </c>
      <c r="F20" s="496" t="n">
        <v>0.2151</v>
      </c>
      <c r="G20" s="496" t="n">
        <v>0.089</v>
      </c>
      <c r="H20" s="496" t="n">
        <v>0.0638</v>
      </c>
      <c r="I20" s="380" t="n">
        <v>0</v>
      </c>
      <c r="J20" s="495" t="n">
        <v>25</v>
      </c>
      <c r="K20" s="380" t="n">
        <v>333</v>
      </c>
      <c r="L20" s="380" t="n">
        <v>0</v>
      </c>
      <c r="M20" s="380" t="n">
        <v>0</v>
      </c>
      <c r="N20" s="356" t="inlineStr">
        <is>
          <t>Summer Jun 1-Sep 30 / Non-summer Oct 1-May 31</t>
        </is>
      </c>
      <c r="O20" s="356" t="inlineStr">
        <is>
          <t>Peak 4-9pm weekdays; off-peak saver 9am-4pm non-summer</t>
        </is>
      </c>
      <c r="P20" s="497" t="inlineStr">
        <is>
          <t>VERIFIED</t>
        </is>
      </c>
      <c r="Q20" s="356" t="inlineStr">
        <is>
          <t>2026-01-01</t>
        </is>
      </c>
      <c r="R20" s="498" t="inlineStr">
        <is>
          <t>https://www.smud.org/-/media/Documents/Rate-Information/Rates/EV-Pilot-Tariff.ashx</t>
        </is>
      </c>
    </row>
    <row r="21" ht="44" customHeight="1" s="252">
      <c r="A21" s="494" t="inlineStr">
        <is>
          <t>SMUD — Sacramento Municipal Utility District</t>
        </is>
      </c>
      <c r="B21" s="356" t="inlineStr">
        <is>
          <t>EV_SR tier EV2 (10-20% util)</t>
        </is>
      </c>
      <c r="C21" s="495" t="n">
        <v>20</v>
      </c>
      <c r="D21" s="495" t="n">
        <v>99999</v>
      </c>
      <c r="E21" s="356" t="inlineStr">
        <is>
          <t>Secondary</t>
        </is>
      </c>
      <c r="F21" s="496" t="n">
        <v>0.2669</v>
      </c>
      <c r="G21" s="496" t="n">
        <v>0.1088</v>
      </c>
      <c r="H21" s="496" t="n">
        <v>0.0658</v>
      </c>
      <c r="I21" s="380" t="n">
        <v>0</v>
      </c>
      <c r="J21" s="495" t="n">
        <v>25</v>
      </c>
      <c r="K21" s="380" t="n">
        <v>264</v>
      </c>
      <c r="L21" s="380" t="n">
        <v>0</v>
      </c>
      <c r="M21" s="380" t="n">
        <v>0</v>
      </c>
      <c r="N21" s="356" t="inlineStr">
        <is>
          <t>Summer Jun 1-Sep 30 / Non-summer Oct 1-May 31</t>
        </is>
      </c>
      <c r="O21" s="356" t="inlineStr">
        <is>
          <t>Peak 4-9pm weekdays; off-peak saver 9am-4pm non-summer</t>
        </is>
      </c>
      <c r="P21" s="497" t="inlineStr">
        <is>
          <t>VERIFIED</t>
        </is>
      </c>
      <c r="Q21" s="356" t="inlineStr">
        <is>
          <t>2026-01-01</t>
        </is>
      </c>
      <c r="R21" s="498" t="inlineStr">
        <is>
          <t>https://www.smud.org/-/media/Documents/Rate-Information/Rates/EV-Pilot-Tariff.ashx</t>
        </is>
      </c>
    </row>
    <row r="22" ht="44" customHeight="1" s="252">
      <c r="A22" s="494" t="inlineStr">
        <is>
          <t>SMUD — Sacramento Municipal Utility District</t>
        </is>
      </c>
      <c r="B22" s="356" t="inlineStr">
        <is>
          <t>EV_SR tier EV1 (&lt;10% util)</t>
        </is>
      </c>
      <c r="C22" s="495" t="n">
        <v>20</v>
      </c>
      <c r="D22" s="495" t="n">
        <v>99999</v>
      </c>
      <c r="E22" s="356" t="inlineStr">
        <is>
          <t>Secondary</t>
        </is>
      </c>
      <c r="F22" s="496" t="n">
        <v>0.5198</v>
      </c>
      <c r="G22" s="496" t="n">
        <v>0.2051</v>
      </c>
      <c r="H22" s="496" t="n">
        <v>0.115</v>
      </c>
      <c r="I22" s="380" t="n">
        <v>0</v>
      </c>
      <c r="J22" s="495" t="n">
        <v>25</v>
      </c>
      <c r="K22" s="380" t="n">
        <v>120</v>
      </c>
      <c r="L22" s="380" t="n">
        <v>0</v>
      </c>
      <c r="M22" s="380" t="n">
        <v>0</v>
      </c>
      <c r="N22" s="356" t="inlineStr">
        <is>
          <t>Summer Jun 1-Sep 30 / Non-summer Oct 1-May 31</t>
        </is>
      </c>
      <c r="O22" s="356" t="inlineStr">
        <is>
          <t>Peak 4-9pm weekdays; off-peak saver 9am-4pm non-summer</t>
        </is>
      </c>
      <c r="P22" s="497" t="inlineStr">
        <is>
          <t>VERIFIED</t>
        </is>
      </c>
      <c r="Q22" s="356" t="inlineStr">
        <is>
          <t>2026-01-01</t>
        </is>
      </c>
      <c r="R22" s="498" t="inlineStr">
        <is>
          <t>https://www.smud.org/-/media/Documents/Rate-Information/Rates/EV-Pilot-Tariff.ashx</t>
        </is>
      </c>
    </row>
    <row r="23" ht="44" customHeight="1" s="252">
      <c r="A23" s="494" t="inlineStr">
        <is>
          <t>SMUD — Sacramento Municipal Utility District</t>
        </is>
      </c>
      <c r="B23" s="356" t="inlineStr">
        <is>
          <t>CI-TOD4 (non-EV alternative)</t>
        </is>
      </c>
      <c r="C23" s="495" t="n">
        <v>1000</v>
      </c>
      <c r="D23" s="495" t="n">
        <v>99999</v>
      </c>
      <c r="E23" s="356" t="inlineStr">
        <is>
          <t>Secondary</t>
        </is>
      </c>
      <c r="F23" s="496" t="n">
        <v>0.2438</v>
      </c>
      <c r="G23" s="496" t="n">
        <v>0.1186</v>
      </c>
      <c r="H23" s="496" t="n">
        <v>0.0788</v>
      </c>
      <c r="I23" s="380" t="n">
        <v>17.66</v>
      </c>
      <c r="J23" s="495" t="n">
        <v>0</v>
      </c>
      <c r="K23" s="380" t="n">
        <v>0</v>
      </c>
      <c r="L23" s="380" t="n">
        <v>0</v>
      </c>
      <c r="M23" s="380" t="n">
        <v>4014.3</v>
      </c>
      <c r="N23" s="356" t="inlineStr">
        <is>
          <t>Summer Jun 1-Sep 30 / Non-summer Oct 1-May 31</t>
        </is>
      </c>
      <c r="O23" s="356" t="inlineStr">
        <is>
          <t>Peak 4-9pm weekdays</t>
        </is>
      </c>
      <c r="P23" s="497" t="inlineStr">
        <is>
          <t>VERIFIED</t>
        </is>
      </c>
      <c r="Q23" s="356" t="inlineStr">
        <is>
          <t>2026-01-01</t>
        </is>
      </c>
      <c r="R23" s="498" t="inlineStr">
        <is>
          <t>https://www.smud.org/-/media/Documents/Rate-Information/Rates/CI-TOD4.ashx</t>
        </is>
      </c>
    </row>
    <row r="24" ht="44" customHeight="1" s="252">
      <c r="A24" s="494" t="inlineStr">
        <is>
          <t>LADWP — Los Angeles Dept of Water &amp; Power</t>
        </is>
      </c>
      <c r="B24" s="356" t="inlineStr">
        <is>
          <t>A-2 (2009 base rates)</t>
        </is>
      </c>
      <c r="C24" s="495" t="n">
        <v>30</v>
      </c>
      <c r="D24" s="495" t="n">
        <v>99999</v>
      </c>
      <c r="E24" s="356" t="inlineStr">
        <is>
          <t>4.8 kV</t>
        </is>
      </c>
      <c r="F24" s="496" t="n">
        <v>0.04679</v>
      </c>
      <c r="G24" s="496" t="n">
        <v>0.01879</v>
      </c>
      <c r="H24" s="496" t="n">
        <v>0</v>
      </c>
      <c r="I24" s="380" t="n">
        <v>14</v>
      </c>
      <c r="J24" s="495" t="n">
        <v>0</v>
      </c>
      <c r="K24" s="380" t="n">
        <v>0</v>
      </c>
      <c r="L24" s="380" t="n">
        <v>0</v>
      </c>
      <c r="M24" s="380" t="n">
        <v>25</v>
      </c>
      <c r="N24" s="356" t="inlineStr">
        <is>
          <t>High Jun-Sep / Low Oct-May</t>
        </is>
      </c>
      <c r="O24" s="356" t="inlineStr">
        <is>
          <t>NOT PUBLISHED</t>
        </is>
      </c>
      <c r="P24" s="499" t="inlineStr">
        <is>
          <t>PARTIAL</t>
        </is>
      </c>
      <c r="Q24" s="356" t="inlineStr">
        <is>
          <t>2009-07-01</t>
        </is>
      </c>
      <c r="R24" s="498" t="inlineStr">
        <is>
          <t>https://www.ladwp.com/sites/default/files/documents/LADWP_Electric_Rates.pdf</t>
        </is>
      </c>
    </row>
    <row r="25" ht="44" customHeight="1" s="252">
      <c r="A25" s="494" t="inlineStr">
        <is>
          <t>IID — Imperial Irrigation District</t>
        </is>
      </c>
      <c r="B25" s="356" t="inlineStr">
        <is>
          <t>TOU-GL</t>
        </is>
      </c>
      <c r="C25" s="495" t="n">
        <v>100</v>
      </c>
      <c r="D25" s="495" t="n">
        <v>99999</v>
      </c>
      <c r="E25" s="356" t="inlineStr">
        <is>
          <t>All</t>
        </is>
      </c>
      <c r="F25" s="496" t="n">
        <v>0.2873</v>
      </c>
      <c r="G25" s="496" t="n">
        <v>0.08210000000000001</v>
      </c>
      <c r="H25" s="496" t="n">
        <v>0</v>
      </c>
      <c r="I25" s="380" t="n">
        <v>13</v>
      </c>
      <c r="J25" s="495" t="n">
        <v>0</v>
      </c>
      <c r="K25" s="380" t="n">
        <v>0</v>
      </c>
      <c r="L25" s="380" t="n">
        <v>0</v>
      </c>
      <c r="M25" s="380" t="n">
        <v>140</v>
      </c>
      <c r="N25" s="356" t="inlineStr">
        <is>
          <t>Summer May-Oct / Winter Nov-Apr</t>
        </is>
      </c>
      <c r="O25" s="356" t="inlineStr">
        <is>
          <t>Summer on-peak 4-9pm M-F; winter 5-9am &amp; 5-9pm M-F</t>
        </is>
      </c>
      <c r="P25" s="497" t="inlineStr">
        <is>
          <t>VERIFIED</t>
        </is>
      </c>
      <c r="Q25" s="356" t="inlineStr">
        <is>
          <t>2026-01-01</t>
        </is>
      </c>
      <c r="R25" s="498" t="inlineStr">
        <is>
          <t>https://www.iid.com/home/showpublisheddocument/22777/638738285500970000</t>
        </is>
      </c>
    </row>
    <row r="26" ht="44" customHeight="1" s="252">
      <c r="A26" s="494" t="inlineStr">
        <is>
          <t>Silicon Valley Power (Santa Clara)</t>
        </is>
      </c>
      <c r="B26" s="356" t="inlineStr">
        <is>
          <t>CB-1 TOU</t>
        </is>
      </c>
      <c r="C26" s="495" t="n">
        <v>0</v>
      </c>
      <c r="D26" s="495" t="n">
        <v>4000</v>
      </c>
      <c r="E26" s="356" t="inlineStr">
        <is>
          <t>Secondary</t>
        </is>
      </c>
      <c r="F26" s="496" t="n">
        <v>0.1849</v>
      </c>
      <c r="G26" s="496" t="n">
        <v>0.14217</v>
      </c>
      <c r="H26" s="496" t="n">
        <v>0</v>
      </c>
      <c r="I26" s="380" t="n">
        <v>12.14</v>
      </c>
      <c r="J26" s="495" t="n">
        <v>0</v>
      </c>
      <c r="K26" s="380" t="n">
        <v>0</v>
      </c>
      <c r="L26" s="380" t="n">
        <v>0</v>
      </c>
      <c r="M26" s="380" t="n">
        <v>100.45</v>
      </c>
      <c r="N26" s="356" t="inlineStr">
        <is>
          <t>None</t>
        </is>
      </c>
      <c r="O26" s="356" t="inlineStr">
        <is>
          <t>Peak 6am-10pm Mon-Sat — 16-hour, 6-day window</t>
        </is>
      </c>
      <c r="P26" s="497" t="inlineStr">
        <is>
          <t>VERIFIED</t>
        </is>
      </c>
      <c r="Q26" s="356" t="inlineStr">
        <is>
          <t>2026-01-01</t>
        </is>
      </c>
      <c r="R26" s="498" t="inlineStr">
        <is>
          <t>https://www.siliconvalleypower.com/home/showpublisheddocument/6251/639032065160570000</t>
        </is>
      </c>
    </row>
    <row r="27" ht="68" customHeight="1" s="252">
      <c r="A27" s="494" t="inlineStr">
        <is>
          <t>Riverside Public Utilities</t>
        </is>
      </c>
      <c r="B27" s="356" t="inlineStr">
        <is>
          <t>TOU Large General &amp; Industrial</t>
        </is>
      </c>
      <c r="C27" s="495" t="n">
        <v>150</v>
      </c>
      <c r="D27" s="495" t="n">
        <v>99999</v>
      </c>
      <c r="E27" s="356" t="inlineStr">
        <is>
          <t>All</t>
        </is>
      </c>
      <c r="F27" s="496" t="n">
        <v>0.1295</v>
      </c>
      <c r="G27" s="496" t="n">
        <v>0.0907</v>
      </c>
      <c r="H27" s="496" t="n">
        <v>0</v>
      </c>
      <c r="I27" s="380" t="n">
        <v>14.12</v>
      </c>
      <c r="J27" s="495" t="n">
        <v>0</v>
      </c>
      <c r="K27" s="380" t="n">
        <v>0</v>
      </c>
      <c r="L27" s="380" t="n">
        <v>0</v>
      </c>
      <c r="M27" s="380" t="n">
        <v>742.28</v>
      </c>
      <c r="N27" s="356" t="inlineStr">
        <is>
          <t>Summer Jun 1-Sep 30 / Winter Oct 1-May 31</t>
        </is>
      </c>
      <c r="O27" s="356" t="inlineStr">
        <is>
          <t>Summer on-peak 12-6pm wkdy; winter on-peak 5-9pm wkdy</t>
        </is>
      </c>
      <c r="P27" s="497" t="inlineStr">
        <is>
          <t>VERIFIED</t>
        </is>
      </c>
      <c r="Q27" s="356" t="inlineStr">
        <is>
          <t>2026-01-01</t>
        </is>
      </c>
      <c r="R27" s="498" t="inlineStr">
        <is>
          <t>https://www.riversideca.gov/utilities/sites/riversideca.gov.utilities/files/pdf/rates-electric/2024/Electric%20Schedule%20TOU%20-%20Effective%2001-1-24%20Final.pdf</t>
        </is>
      </c>
    </row>
    <row r="28" ht="80" customHeight="1" s="252">
      <c r="A28" s="494" t="inlineStr">
        <is>
          <t>Anaheim Public Utilities</t>
        </is>
      </c>
      <c r="B28" s="356" t="inlineStr">
        <is>
          <t>Anaheim Schedule TOU</t>
        </is>
      </c>
      <c r="C28" s="495" t="n">
        <v>500</v>
      </c>
      <c r="D28" s="495" t="n">
        <v>99999</v>
      </c>
      <c r="E28" s="356" t="inlineStr">
        <is>
          <t>&lt;=50 kV</t>
        </is>
      </c>
      <c r="F28" s="496" t="n">
        <v>0.148</v>
      </c>
      <c r="G28" s="496" t="n">
        <v>0.07870000000000001</v>
      </c>
      <c r="H28" s="496" t="n">
        <v>0</v>
      </c>
      <c r="I28" s="380" t="n">
        <v>24.34</v>
      </c>
      <c r="J28" s="495" t="n">
        <v>0</v>
      </c>
      <c r="K28" s="380" t="n">
        <v>0</v>
      </c>
      <c r="L28" s="380" t="n">
        <v>0</v>
      </c>
      <c r="M28" s="380" t="n">
        <v>342.12</v>
      </c>
      <c r="N28" s="356" t="inlineStr">
        <is>
          <t>Summer Jul 1-Nov 1 / Winter Nov 1-Jul 1</t>
        </is>
      </c>
      <c r="O28" s="356" t="inlineStr">
        <is>
          <t>Summer on-peak 4-9pm wkdy; mid-peak 12-4pm &amp; 9-11pm</t>
        </is>
      </c>
      <c r="P28" s="497" t="inlineStr">
        <is>
          <t>VERIFIED</t>
        </is>
      </c>
      <c r="Q28" s="356" t="inlineStr">
        <is>
          <t>2023-04-03</t>
        </is>
      </c>
      <c r="R28" s="498" t="inlineStr">
        <is>
          <t>https://local.anaheim.net/docs_agend/questys_pub/40932/40962/40963/41099/41102/2.%20Current%20Electric%20Rates,%20Rules%20and%20Regulations%20Rate%20Schedules%20and%20Rule%20Nos.%2026%20and%202941102.pdf</t>
        </is>
      </c>
    </row>
    <row r="29" ht="56" customHeight="1" s="252">
      <c r="A29" s="494" t="inlineStr">
        <is>
          <t>Glendale Water and Power</t>
        </is>
      </c>
      <c r="B29" s="356" t="inlineStr">
        <is>
          <t>PC-1-B TOU</t>
        </is>
      </c>
      <c r="C29" s="495" t="n">
        <v>500</v>
      </c>
      <c r="D29" s="495" t="n">
        <v>99999</v>
      </c>
      <c r="E29" s="356" t="inlineStr">
        <is>
          <t>All</t>
        </is>
      </c>
      <c r="F29" s="496" t="n">
        <v>0.3892</v>
      </c>
      <c r="G29" s="496" t="n">
        <v>0.1384</v>
      </c>
      <c r="H29" s="496" t="n">
        <v>0</v>
      </c>
      <c r="I29" s="380" t="n">
        <v>28.3</v>
      </c>
      <c r="J29" s="495" t="n">
        <v>0</v>
      </c>
      <c r="K29" s="380" t="n">
        <v>0</v>
      </c>
      <c r="L29" s="380" t="n">
        <v>0</v>
      </c>
      <c r="M29" s="380" t="n">
        <v>0</v>
      </c>
      <c r="N29" s="356" t="inlineStr">
        <is>
          <t>High Jul-Oct / Low Nov-Jun</t>
        </is>
      </c>
      <c r="O29" s="356" t="inlineStr">
        <is>
          <t>NOT PUBLISHED — note charge is per kW per DAY</t>
        </is>
      </c>
      <c r="P29" s="499" t="inlineStr">
        <is>
          <t>PARTIAL</t>
        </is>
      </c>
      <c r="Q29" s="356" t="inlineStr">
        <is>
          <t>2024-01-01</t>
        </is>
      </c>
      <c r="R29" s="498" t="inlineStr">
        <is>
          <t>https://www.glendaleca.gov/government/departments/glendale-water-and-power/rates/large-business-pc-1-electric-rates</t>
        </is>
      </c>
    </row>
    <row r="30" ht="56" customHeight="1" s="252">
      <c r="A30" s="494" t="inlineStr">
        <is>
          <t>Burbank Water and Power</t>
        </is>
      </c>
      <c r="B30" s="356" t="inlineStr">
        <is>
          <t>XL-TOU</t>
        </is>
      </c>
      <c r="C30" s="495" t="n">
        <v>1000</v>
      </c>
      <c r="D30" s="495" t="n">
        <v>99999</v>
      </c>
      <c r="E30" s="356" t="inlineStr">
        <is>
          <t>All</t>
        </is>
      </c>
      <c r="F30" s="496" t="n">
        <v>0.2131</v>
      </c>
      <c r="G30" s="496" t="n">
        <v>0.0896</v>
      </c>
      <c r="H30" s="496" t="n">
        <v>0</v>
      </c>
      <c r="I30" s="380" t="n">
        <v>20</v>
      </c>
      <c r="J30" s="495" t="n">
        <v>0</v>
      </c>
      <c r="K30" s="380" t="n">
        <v>0</v>
      </c>
      <c r="L30" s="380" t="n">
        <v>0</v>
      </c>
      <c r="M30" s="380" t="n">
        <v>0</v>
      </c>
      <c r="N30" s="356" t="inlineStr">
        <is>
          <t>Summer / Winter</t>
        </is>
      </c>
      <c r="O30" s="356" t="inlineStr">
        <is>
          <t>NOT PUBLISHED — demand billed per kVA not kW</t>
        </is>
      </c>
      <c r="P30" s="499" t="inlineStr">
        <is>
          <t>PARTIAL</t>
        </is>
      </c>
      <c r="Q30" s="356" t="inlineStr">
        <is>
          <t>2026-01-01</t>
        </is>
      </c>
      <c r="R30" s="498" t="inlineStr">
        <is>
          <t>https://www.burbankwaterandpower.com/documents/d/guest/Summary-of-Electric-Rates-by-Customer-Type_Commercial_all</t>
        </is>
      </c>
    </row>
    <row r="31" ht="44" customHeight="1" s="252">
      <c r="A31" s="494" t="inlineStr">
        <is>
          <t>Pasadena Water and Power</t>
        </is>
      </c>
      <c r="B31" s="356" t="inlineStr">
        <is>
          <t>L-1 Secondary</t>
        </is>
      </c>
      <c r="C31" s="495" t="n">
        <v>0</v>
      </c>
      <c r="D31" s="495" t="n">
        <v>99999</v>
      </c>
      <c r="E31" s="356" t="inlineStr">
        <is>
          <t>Secondary</t>
        </is>
      </c>
      <c r="F31" s="496" t="n">
        <v>0.13409</v>
      </c>
      <c r="G31" s="496" t="n">
        <v>0.12489</v>
      </c>
      <c r="H31" s="496" t="n">
        <v>0</v>
      </c>
      <c r="I31" s="380" t="n">
        <v>18.76</v>
      </c>
      <c r="J31" s="495" t="n">
        <v>0</v>
      </c>
      <c r="K31" s="380" t="n">
        <v>0</v>
      </c>
      <c r="L31" s="380" t="n">
        <v>0</v>
      </c>
      <c r="M31" s="380" t="n">
        <v>1500</v>
      </c>
      <c r="N31" s="356" t="inlineStr">
        <is>
          <t>Summer / Winter</t>
        </is>
      </c>
      <c r="O31" s="356" t="inlineStr">
        <is>
          <t>NOT PUBLISHED</t>
        </is>
      </c>
      <c r="P31" s="499" t="inlineStr">
        <is>
          <t>PARTIAL</t>
        </is>
      </c>
      <c r="Q31" s="356" t="inlineStr">
        <is>
          <t>2025-10-01</t>
        </is>
      </c>
      <c r="R31" s="498" t="inlineStr">
        <is>
          <t>https://pwp.cityofpasadena.net/wp-content/uploads/2025/09/Summary-Rates-2025_10.pdf</t>
        </is>
      </c>
    </row>
    <row r="32" ht="32" customHeight="1" s="252">
      <c r="A32" s="494" t="inlineStr">
        <is>
          <t>Roseville Electric Utility</t>
        </is>
      </c>
      <c r="B32" s="356" t="inlineStr">
        <is>
          <t>GS-4</t>
        </is>
      </c>
      <c r="C32" s="495" t="n">
        <v>1000</v>
      </c>
      <c r="D32" s="495" t="n">
        <v>99999</v>
      </c>
      <c r="E32" s="356" t="inlineStr">
        <is>
          <t>All</t>
        </is>
      </c>
      <c r="F32" s="496" t="n">
        <v>0.1969</v>
      </c>
      <c r="G32" s="496" t="n">
        <v>0.095</v>
      </c>
      <c r="H32" s="496" t="n">
        <v>0</v>
      </c>
      <c r="I32" s="380" t="n">
        <v>11.51</v>
      </c>
      <c r="J32" s="495" t="n">
        <v>0</v>
      </c>
      <c r="K32" s="380" t="n">
        <v>0</v>
      </c>
      <c r="L32" s="380" t="n">
        <v>0</v>
      </c>
      <c r="M32" s="380" t="n">
        <v>0</v>
      </c>
      <c r="N32" s="356" t="inlineStr">
        <is>
          <t>Summer / Winter</t>
        </is>
      </c>
      <c r="O32" s="356" t="inlineStr">
        <is>
          <t>NOT PUBLISHED</t>
        </is>
      </c>
      <c r="P32" s="499" t="inlineStr">
        <is>
          <t>PARTIAL</t>
        </is>
      </c>
      <c r="Q32" s="356" t="inlineStr">
        <is>
          <t>2026-07-01</t>
        </is>
      </c>
      <c r="R32" s="498" t="inlineStr">
        <is>
          <t>https://www.roseville.ca.gov/electric_utility/rates/index.php</t>
        </is>
      </c>
    </row>
    <row r="33" ht="68" customHeight="1" s="252">
      <c r="A33" s="494" t="inlineStr">
        <is>
          <t>City of Palo Alto Utilities</t>
        </is>
      </c>
      <c r="B33" s="356" t="inlineStr">
        <is>
          <t>E-7</t>
        </is>
      </c>
      <c r="C33" s="495" t="n">
        <v>1000</v>
      </c>
      <c r="D33" s="495" t="n">
        <v>99999</v>
      </c>
      <c r="E33" s="356" t="inlineStr">
        <is>
          <t>All</t>
        </is>
      </c>
      <c r="F33" s="496" t="n">
        <v>0.20068</v>
      </c>
      <c r="G33" s="496" t="n">
        <v>0.12834</v>
      </c>
      <c r="H33" s="496" t="n">
        <v>0.08</v>
      </c>
      <c r="I33" s="380" t="n">
        <v>47.54</v>
      </c>
      <c r="J33" s="495" t="n">
        <v>0</v>
      </c>
      <c r="K33" s="380" t="n">
        <v>0</v>
      </c>
      <c r="L33" s="380" t="n">
        <v>0</v>
      </c>
      <c r="M33" s="380" t="n">
        <v>604</v>
      </c>
      <c r="N33" s="356" t="inlineStr">
        <is>
          <t>Summer / Winter</t>
        </is>
      </c>
      <c r="O33" s="356" t="inlineStr">
        <is>
          <t>NOT PUBLISHED — two demand charges stack</t>
        </is>
      </c>
      <c r="P33" s="499" t="inlineStr">
        <is>
          <t>PARTIAL</t>
        </is>
      </c>
      <c r="Q33" s="356" t="inlineStr">
        <is>
          <t>2026-07-01</t>
        </is>
      </c>
      <c r="R33" s="498" t="inlineStr">
        <is>
          <t>https://www.cityofpaloalto.org/files/assets/public/v/5/utilities/rates-schedules-for-utilities/commercial-utility-rates/e-7-tou-effective-2025-07-01.pdf</t>
        </is>
      </c>
    </row>
    <row r="34" ht="44" customHeight="1" s="252">
      <c r="A34" s="494" t="inlineStr">
        <is>
          <t>TID — Turlock Irrigation District</t>
        </is>
      </c>
      <c r="B34" s="356" t="inlineStr">
        <is>
          <t>Schedule HT</t>
        </is>
      </c>
      <c r="C34" s="495" t="n">
        <v>500</v>
      </c>
      <c r="D34" s="495" t="n">
        <v>2999</v>
      </c>
      <c r="E34" s="356" t="inlineStr">
        <is>
          <t>All</t>
        </is>
      </c>
      <c r="F34" s="496" t="n">
        <v>0.1464</v>
      </c>
      <c r="G34" s="496" t="n">
        <v>0.0892</v>
      </c>
      <c r="H34" s="496" t="n">
        <v>0</v>
      </c>
      <c r="I34" s="380" t="n">
        <v>16</v>
      </c>
      <c r="J34" s="495" t="n">
        <v>0</v>
      </c>
      <c r="K34" s="380" t="n">
        <v>0</v>
      </c>
      <c r="L34" s="380" t="n">
        <v>0</v>
      </c>
      <c r="M34" s="380" t="n">
        <v>300</v>
      </c>
      <c r="N34" s="356" t="inlineStr">
        <is>
          <t>Summer / Winter</t>
        </is>
      </c>
      <c r="O34" s="356" t="inlineStr">
        <is>
          <t>On-peak 12pm-9pm Mon-Fri</t>
        </is>
      </c>
      <c r="P34" s="497" t="inlineStr">
        <is>
          <t>VERIFIED</t>
        </is>
      </c>
      <c r="Q34" s="356" t="inlineStr">
        <is>
          <t>2026-01-01</t>
        </is>
      </c>
      <c r="R34" s="498" t="inlineStr">
        <is>
          <t>https://www.tid.org/wp-content/uploads/2024/10/HT-Rate-Tariff-Effective-2025.pdf</t>
        </is>
      </c>
    </row>
    <row r="35" ht="44" customHeight="1" s="252">
      <c r="A35" s="494" t="inlineStr">
        <is>
          <t>Alameda Municipal Power</t>
        </is>
      </c>
      <c r="B35" s="356" t="inlineStr">
        <is>
          <t>Schedule A-3</t>
        </is>
      </c>
      <c r="C35" s="495" t="n">
        <v>500</v>
      </c>
      <c r="D35" s="495" t="n">
        <v>4000</v>
      </c>
      <c r="E35" s="356" t="inlineStr">
        <is>
          <t>All</t>
        </is>
      </c>
      <c r="F35" s="496" t="n">
        <v>0.14673</v>
      </c>
      <c r="G35" s="496" t="n">
        <v>0.14673</v>
      </c>
      <c r="H35" s="496" t="n">
        <v>0.14673</v>
      </c>
      <c r="I35" s="380" t="n">
        <v>17.96</v>
      </c>
      <c r="J35" s="495" t="n">
        <v>0</v>
      </c>
      <c r="K35" s="380" t="n">
        <v>0</v>
      </c>
      <c r="L35" s="380" t="n">
        <v>0</v>
      </c>
      <c r="M35" s="380" t="n">
        <v>573.6</v>
      </c>
      <c r="N35" s="356" t="inlineStr">
        <is>
          <t>None</t>
        </is>
      </c>
      <c r="O35" s="356" t="inlineStr">
        <is>
          <t>Flat, non-TOU</t>
        </is>
      </c>
      <c r="P35" s="497" t="inlineStr">
        <is>
          <t>VERIFIED</t>
        </is>
      </c>
      <c r="Q35" s="356" t="inlineStr">
        <is>
          <t>2025-07-01</t>
        </is>
      </c>
      <c r="R35" s="498" t="inlineStr">
        <is>
          <t>https://www.alamedamp.com/DocumentCenter/View/1477/A3-Rate-Schedule-Effective-2025-7-1</t>
        </is>
      </c>
    </row>
    <row r="36" ht="44" customHeight="1" s="252">
      <c r="A36" s="494" t="inlineStr">
        <is>
          <t>Azusa Light &amp; Water</t>
        </is>
      </c>
      <c r="B36" s="356" t="inlineStr">
        <is>
          <t>Azusa Schedule TOU</t>
        </is>
      </c>
      <c r="C36" s="495" t="n">
        <v>200</v>
      </c>
      <c r="D36" s="495" t="n">
        <v>99999</v>
      </c>
      <c r="E36" s="356" t="inlineStr">
        <is>
          <t>All</t>
        </is>
      </c>
      <c r="F36" s="496" t="n">
        <v>0.15455</v>
      </c>
      <c r="G36" s="496" t="n">
        <v>0.07026</v>
      </c>
      <c r="H36" s="496" t="n">
        <v>0</v>
      </c>
      <c r="I36" s="380" t="n">
        <v>12.01</v>
      </c>
      <c r="J36" s="495" t="n">
        <v>0</v>
      </c>
      <c r="K36" s="380" t="n">
        <v>0</v>
      </c>
      <c r="L36" s="380" t="n">
        <v>0</v>
      </c>
      <c r="M36" s="380" t="n">
        <v>42.15</v>
      </c>
      <c r="N36" s="356" t="inlineStr">
        <is>
          <t>Summer / Winter</t>
        </is>
      </c>
      <c r="O36" s="356" t="inlineStr">
        <is>
          <t>Off-peak demand charge is ZERO</t>
        </is>
      </c>
      <c r="P36" s="497" t="inlineStr">
        <is>
          <t>VERIFIED</t>
        </is>
      </c>
      <c r="Q36" s="356" t="inlineStr">
        <is>
          <t>2026-06-01</t>
        </is>
      </c>
      <c r="R36" s="498" t="inlineStr">
        <is>
          <t>https://azusaca.gov/DocumentCenter/View/50568/Rules-and-Regulations-6-1-2026</t>
        </is>
      </c>
    </row>
    <row r="37" ht="68" customHeight="1" s="252">
      <c r="A37" s="494" t="inlineStr">
        <is>
          <t>SCE — Southern California Edison</t>
        </is>
      </c>
      <c r="B37" s="356" t="inlineStr">
        <is>
          <t>TOU-EV-9 PLACEHOLDER &lt;2kV</t>
        </is>
      </c>
      <c r="C37" s="495" t="n">
        <v>500</v>
      </c>
      <c r="D37" s="495" t="n">
        <v>99999</v>
      </c>
      <c r="E37" s="356" t="inlineStr">
        <is>
          <t>Below 2 kV</t>
        </is>
      </c>
      <c r="F37" s="496" t="n">
        <v>0.52398</v>
      </c>
      <c r="G37" s="496" t="n">
        <v>0.13292</v>
      </c>
      <c r="H37" s="496" t="n">
        <v>0.08666</v>
      </c>
      <c r="I37" s="380" t="n">
        <v>0</v>
      </c>
      <c r="J37" s="495" t="n">
        <v>0</v>
      </c>
      <c r="K37" s="380" t="n">
        <v>0</v>
      </c>
      <c r="L37" s="380" t="n">
        <v>0</v>
      </c>
      <c r="M37" s="380" t="n">
        <v>701.42</v>
      </c>
      <c r="N37" s="356" t="inlineStr">
        <is>
          <t>Summer Jun-Sep / Winter Oct-May</t>
        </is>
      </c>
      <c r="O37" s="356" t="inlineStr">
        <is>
          <t>Summer on-peak 4-9pm wkdy. Winter period boundaries DISPUTED between sources</t>
        </is>
      </c>
      <c r="P37" s="501" t="inlineStr">
        <is>
          <t>PLACEHOLDER 2021 VINTAGE</t>
        </is>
      </c>
      <c r="Q37" s="356" t="inlineStr">
        <is>
          <t>2021-10-01</t>
        </is>
      </c>
      <c r="R37" s="498" t="inlineStr">
        <is>
          <t>https://www.cpuc.ca.gov/-/media/cpuc-website/divisions/energy-division/documents/transportation-electrification/sce-ev-rates-updated-oct-2021.pdf</t>
        </is>
      </c>
    </row>
    <row r="38" ht="68" customHeight="1" s="252">
      <c r="A38" s="494" t="inlineStr">
        <is>
          <t>SCE — Southern California Edison</t>
        </is>
      </c>
      <c r="B38" s="356" t="inlineStr">
        <is>
          <t>TOU-EV-9 PLACEHOLDER 2-50kV</t>
        </is>
      </c>
      <c r="C38" s="495" t="n">
        <v>500</v>
      </c>
      <c r="D38" s="495" t="n">
        <v>99999</v>
      </c>
      <c r="E38" s="356" t="inlineStr">
        <is>
          <t>2-50 kV</t>
        </is>
      </c>
      <c r="F38" s="496" t="n">
        <v>0.48076</v>
      </c>
      <c r="G38" s="496" t="n">
        <v>0.12201</v>
      </c>
      <c r="H38" s="496" t="n">
        <v>0.08198999999999999</v>
      </c>
      <c r="I38" s="380" t="n">
        <v>0</v>
      </c>
      <c r="J38" s="495" t="n">
        <v>0</v>
      </c>
      <c r="K38" s="380" t="n">
        <v>0</v>
      </c>
      <c r="L38" s="380" t="n">
        <v>0</v>
      </c>
      <c r="M38" s="380" t="n">
        <v>373.12</v>
      </c>
      <c r="N38" s="356" t="inlineStr">
        <is>
          <t>Summer Jun-Sep / Winter Oct-May</t>
        </is>
      </c>
      <c r="O38" s="356" t="inlineStr">
        <is>
          <t>Summer on-peak 4-9pm wkdy</t>
        </is>
      </c>
      <c r="P38" s="501" t="inlineStr">
        <is>
          <t>PLACEHOLDER 2021 VINTAGE</t>
        </is>
      </c>
      <c r="Q38" s="356" t="inlineStr">
        <is>
          <t>2021-10-01</t>
        </is>
      </c>
      <c r="R38" s="498" t="inlineStr">
        <is>
          <t>https://www.cpuc.ca.gov/-/media/cpuc-website/divisions/energy-division/documents/transportation-electrification/sce-ev-rates-updated-oct-2021.pdf</t>
        </is>
      </c>
    </row>
    <row r="39" ht="68" customHeight="1" s="252">
      <c r="A39" s="494" t="inlineStr">
        <is>
          <t>SCE — Southern California Edison</t>
        </is>
      </c>
      <c r="B39" s="356" t="inlineStr">
        <is>
          <t>TOU-EV-8 PLACEHOLDER</t>
        </is>
      </c>
      <c r="C39" s="495" t="n">
        <v>20</v>
      </c>
      <c r="D39" s="495" t="n">
        <v>500</v>
      </c>
      <c r="E39" s="356" t="inlineStr">
        <is>
          <t>Secondary</t>
        </is>
      </c>
      <c r="F39" s="496" t="n">
        <v>0.59521</v>
      </c>
      <c r="G39" s="496" t="n">
        <v>0.15808</v>
      </c>
      <c r="H39" s="496" t="n">
        <v>0.09772</v>
      </c>
      <c r="I39" s="380" t="n">
        <v>0</v>
      </c>
      <c r="J39" s="495" t="n">
        <v>0</v>
      </c>
      <c r="K39" s="380" t="n">
        <v>0</v>
      </c>
      <c r="L39" s="380" t="n">
        <v>0</v>
      </c>
      <c r="M39" s="380" t="n">
        <v>194.05</v>
      </c>
      <c r="N39" s="356" t="inlineStr">
        <is>
          <t>Summer Jun-Sep / Winter Oct-May</t>
        </is>
      </c>
      <c r="O39" s="356" t="inlineStr">
        <is>
          <t>Summer on-peak 4-9pm wkdy</t>
        </is>
      </c>
      <c r="P39" s="501" t="inlineStr">
        <is>
          <t>PLACEHOLDER 2021 VINTAGE</t>
        </is>
      </c>
      <c r="Q39" s="356" t="inlineStr">
        <is>
          <t>2021-10-01</t>
        </is>
      </c>
      <c r="R39" s="498" t="inlineStr">
        <is>
          <t>https://www.cpuc.ca.gov/-/media/cpuc-website/divisions/energy-division/documents/transportation-electrification/sce-ev-rates-updated-oct-2021.pdf</t>
        </is>
      </c>
    </row>
    <row r="40" ht="116" customHeight="1" s="252">
      <c r="A40" s="494" t="inlineStr">
        <is>
          <t>Redding Electric Utility</t>
        </is>
      </c>
      <c r="B40" s="356" t="inlineStr">
        <is>
          <t>E2 — Small Commercial (no demand charge)</t>
        </is>
      </c>
      <c r="C40" s="495" t="n">
        <v>0</v>
      </c>
      <c r="D40" s="495" t="n">
        <v>75</v>
      </c>
      <c r="E40" s="356" t="inlineStr">
        <is>
          <t>Secondary</t>
        </is>
      </c>
      <c r="F40" s="496" t="n">
        <v>0.1649</v>
      </c>
      <c r="G40" s="496" t="n">
        <v>0.1649</v>
      </c>
      <c r="H40" s="496" t="n">
        <v>0.1649</v>
      </c>
      <c r="I40" s="380" t="n">
        <v>0</v>
      </c>
      <c r="J40" s="495" t="n">
        <v>0</v>
      </c>
      <c r="K40" s="380" t="n">
        <v>0</v>
      </c>
      <c r="L40" s="380" t="n">
        <v>0</v>
      </c>
      <c r="M40" s="380" t="n">
        <v>70</v>
      </c>
      <c r="N40" s="356" t="inlineStr">
        <is>
          <t>None — flat all year</t>
        </is>
      </c>
      <c r="O40" s="356" t="inlineStr">
        <is>
          <t>None — REU publishes no commercial time-of-use rate</t>
        </is>
      </c>
      <c r="P40" s="497" t="inlineStr">
        <is>
          <t>UNVERIFIED — third-party summary</t>
        </is>
      </c>
      <c r="Q40" s="356" t="inlineStr">
        <is>
          <t>2025-01-01</t>
        </is>
      </c>
      <c r="R40" s="49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116" customHeight="1" s="252">
      <c r="A41" s="494" t="inlineStr">
        <is>
          <t>Redding Electric Utility</t>
        </is>
      </c>
      <c r="B41" s="356" t="inlineStr">
        <is>
          <t>E7/E8 — Large Commercial (demand)</t>
        </is>
      </c>
      <c r="C41" s="495" t="n">
        <v>25</v>
      </c>
      <c r="D41" s="495" t="n">
        <v>99999</v>
      </c>
      <c r="E41" s="356" t="inlineStr">
        <is>
          <t>Secondary</t>
        </is>
      </c>
      <c r="F41" s="496" t="n">
        <v>0.1086</v>
      </c>
      <c r="G41" s="496" t="n">
        <v>0.1086</v>
      </c>
      <c r="H41" s="496" t="n">
        <v>0.1086</v>
      </c>
      <c r="I41" s="380" t="n">
        <v>21.5</v>
      </c>
      <c r="J41" s="495" t="n">
        <v>0</v>
      </c>
      <c r="K41" s="380" t="n">
        <v>0</v>
      </c>
      <c r="L41" s="380" t="n">
        <v>0</v>
      </c>
      <c r="M41" s="380" t="n">
        <v>95</v>
      </c>
      <c r="N41" s="356" t="inlineStr">
        <is>
          <t>None — flat all year</t>
        </is>
      </c>
      <c r="O41" s="356" t="inlineStr">
        <is>
          <t>None — no time-of-use. Demand is set by the highest 15-minute interval in the month</t>
        </is>
      </c>
      <c r="P41" s="497" t="inlineStr">
        <is>
          <t>UNVERIFIED — third-party summary</t>
        </is>
      </c>
      <c r="Q41" s="356" t="inlineStr">
        <is>
          <t>2025-01-01</t>
        </is>
      </c>
      <c r="R41" s="49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2">
      <c r="A42" s="502" t="n"/>
    </row>
    <row r="43" ht="15" customHeight="1" s="252">
      <c r="A43" s="503" t="n"/>
    </row>
    <row r="44" ht="15" customHeight="1" s="252">
      <c r="A44" s="504" t="n"/>
      <c r="B44" s="504" t="n"/>
      <c r="C44" s="504" t="n"/>
      <c r="D44" s="504" t="n"/>
    </row>
    <row r="45" ht="19.5" customHeight="1" s="252">
      <c r="A45" s="505" t="n"/>
      <c r="B45" s="505" t="n"/>
      <c r="C45" s="509" t="n"/>
      <c r="D45" s="491" t="n"/>
    </row>
    <row r="46" ht="19.5" customHeight="1" s="252">
      <c r="A46" s="505" t="n"/>
      <c r="B46" s="505" t="n"/>
      <c r="C46" s="510" t="n"/>
      <c r="D46" s="491" t="n"/>
    </row>
    <row r="47" ht="19.5" customHeight="1" s="252">
      <c r="A47" s="505" t="n"/>
      <c r="B47" s="505" t="n"/>
      <c r="C47" s="510" t="n"/>
      <c r="D47" s="491" t="n"/>
    </row>
    <row r="48" ht="19.5" customHeight="1" s="252">
      <c r="A48" s="505" t="n"/>
      <c r="B48" s="505" t="n"/>
      <c r="C48" s="510" t="n"/>
      <c r="D48" s="491" t="n"/>
    </row>
    <row r="49" ht="19.5" customHeight="1" s="252">
      <c r="A49" s="505" t="n"/>
      <c r="B49" s="505" t="n"/>
      <c r="C49" s="511" t="n"/>
      <c r="D49" s="491" t="n"/>
    </row>
    <row r="50" ht="19.5" customHeight="1" s="252">
      <c r="A50" s="505" t="n"/>
      <c r="B50" s="505" t="n"/>
      <c r="C50" s="511" t="n"/>
      <c r="D50" s="491" t="n"/>
    </row>
    <row r="51" ht="19.5" customHeight="1" s="252">
      <c r="A51" s="505" t="n"/>
      <c r="B51" s="505" t="n"/>
      <c r="C51" s="510" t="n"/>
      <c r="D51" s="491" t="n"/>
    </row>
    <row r="52" ht="19.5" customHeight="1" s="252">
      <c r="A52" s="505" t="n"/>
      <c r="B52" s="505" t="n"/>
      <c r="C52" s="509" t="n"/>
      <c r="D52" s="491" t="n"/>
    </row>
    <row r="53" ht="19.5" customHeight="1" s="252">
      <c r="A53" s="505" t="n"/>
      <c r="B53" s="505" t="n"/>
      <c r="C53" s="509" t="n"/>
      <c r="D53" s="491" t="n"/>
    </row>
    <row r="54" ht="19.5" customHeight="1" s="252">
      <c r="A54" s="505" t="n"/>
      <c r="B54" s="505" t="n"/>
      <c r="C54" s="511" t="n"/>
      <c r="D54" s="491" t="n"/>
    </row>
    <row r="55" ht="19.5" customHeight="1" s="252">
      <c r="A55" s="505" t="n"/>
      <c r="B55" s="505" t="n"/>
      <c r="C55" s="509" t="n"/>
      <c r="D55" s="491" t="n"/>
    </row>
    <row r="60" ht="14.25" customHeight="1" s="252">
      <c r="A60" s="502" t="inlineStr">
        <is>
          <t>UTILITY EV CHARGING REBATE AND MAKE-READY PROGRAMMES</t>
        </is>
      </c>
    </row>
    <row r="61" ht="20" customHeight="1" s="252">
      <c r="A61" s="283" t="inlineStr">
        <is>
          <t>Incentives are separate cash flows, not tariff changes. Never model one as a rate reduction, and never bank one that is closed or waitlisted.</t>
        </is>
      </c>
    </row>
    <row r="62" ht="14.25" customHeight="1" s="252">
      <c r="A62" s="504" t="inlineStr">
        <is>
          <t>Utility</t>
        </is>
      </c>
      <c r="B62" s="504" t="inlineStr">
        <is>
          <t>Programme</t>
        </is>
      </c>
      <c r="C62" s="504" t="inlineStr">
        <is>
          <t>Status</t>
        </is>
      </c>
      <c r="D62" s="504" t="inlineStr">
        <is>
          <t>Amounts</t>
        </is>
      </c>
    </row>
    <row r="63" ht="20" customHeight="1" s="252">
      <c r="A63" s="505" t="inlineStr">
        <is>
          <t>LADWP</t>
        </is>
      </c>
      <c r="B63" s="505" t="inlineStr">
        <is>
          <t>Commercial EV Charger Rebate</t>
        </is>
      </c>
      <c r="C63" s="509" t="inlineStr">
        <is>
          <t>CLOSED — reopening Oct 2026</t>
        </is>
      </c>
      <c r="D63" s="491" t="inlineStr">
        <is>
          <t>DCFC $20k (50-149kW) / $55k (150-274kW) / $100k (275kW+); +25% in DACs; $2m cap per premises</t>
        </is>
      </c>
      <c r="E63" s="297" t="n"/>
      <c r="F63" s="297" t="n"/>
      <c r="G63" s="297" t="n"/>
      <c r="H63" s="297" t="n"/>
      <c r="I63" s="297" t="n"/>
      <c r="J63" s="297" t="n"/>
      <c r="K63" s="297" t="n"/>
      <c r="L63" s="297" t="n"/>
      <c r="M63" s="297" t="n"/>
      <c r="N63" s="297" t="n"/>
      <c r="O63" s="297" t="n"/>
      <c r="P63" s="297" t="n"/>
      <c r="Q63" s="297" t="n"/>
      <c r="R63" s="297" t="n"/>
    </row>
    <row r="64" ht="20" customHeight="1" s="252">
      <c r="A64" s="505" t="inlineStr">
        <is>
          <t>SMUD</t>
        </is>
      </c>
      <c r="B64" s="505" t="inlineStr">
        <is>
          <t>Commercial EV Program</t>
        </is>
      </c>
      <c r="C64" s="510" t="inlineStr">
        <is>
          <t>OPEN — first come first served</t>
        </is>
      </c>
      <c r="D64" s="491" t="inlineStr">
        <is>
          <t>DCFC $7.5k/handle &lt;50kW; $15k 50-149.9kW; $30k &gt;=150kW. Make-ready: panel $1k, transformer $5k, storage $100/kWh</t>
        </is>
      </c>
      <c r="E64" s="297" t="n"/>
      <c r="F64" s="297" t="n"/>
      <c r="G64" s="297" t="n"/>
      <c r="H64" s="297" t="n"/>
      <c r="I64" s="297" t="n"/>
      <c r="J64" s="297" t="n"/>
      <c r="K64" s="297" t="n"/>
      <c r="L64" s="297" t="n"/>
      <c r="M64" s="297" t="n"/>
      <c r="N64" s="297" t="n"/>
      <c r="O64" s="297" t="n"/>
      <c r="P64" s="297" t="n"/>
      <c r="Q64" s="297" t="n"/>
      <c r="R64" s="297" t="n"/>
    </row>
    <row r="65" ht="20" customHeight="1" s="252">
      <c r="A65" s="505" t="inlineStr">
        <is>
          <t>Riverside Public Utilities</t>
        </is>
      </c>
      <c r="B65" s="505" t="inlineStr">
        <is>
          <t>Electrify Riverside</t>
        </is>
      </c>
      <c r="C65" s="510" t="inlineStr">
        <is>
          <t>OPEN — first come first served</t>
        </is>
      </c>
      <c r="D65" s="491" t="inlineStr">
        <is>
          <t>Up to $10k per DC fast charger; infrastructure 50% of cost up to $50k</t>
        </is>
      </c>
      <c r="E65" s="297" t="n"/>
      <c r="F65" s="297" t="n"/>
      <c r="G65" s="297" t="n"/>
      <c r="H65" s="297" t="n"/>
      <c r="I65" s="297" t="n"/>
      <c r="J65" s="297" t="n"/>
      <c r="K65" s="297" t="n"/>
      <c r="L65" s="297" t="n"/>
      <c r="M65" s="297" t="n"/>
      <c r="N65" s="297" t="n"/>
      <c r="O65" s="297" t="n"/>
      <c r="P65" s="297" t="n"/>
      <c r="Q65" s="297" t="n"/>
      <c r="R65" s="297" t="n"/>
    </row>
    <row r="66" ht="20" customHeight="1" s="252">
      <c r="A66" s="505" t="inlineStr">
        <is>
          <t>Glendale Water and Power</t>
        </is>
      </c>
      <c r="B66" s="505" t="inlineStr">
        <is>
          <t>Commercial EV charger rebate</t>
        </is>
      </c>
      <c r="C66" s="510" t="inlineStr">
        <is>
          <t>OPEN</t>
        </is>
      </c>
      <c r="D66" s="491" t="inlineStr">
        <is>
          <t>Lesser of $50k or 50%; up to $75k/75% for DCFC &gt;=50kW, DACs, public access</t>
        </is>
      </c>
      <c r="E66" s="297" t="n"/>
      <c r="F66" s="297" t="n"/>
      <c r="G66" s="297" t="n"/>
      <c r="H66" s="297" t="n"/>
      <c r="I66" s="297" t="n"/>
      <c r="J66" s="297" t="n"/>
      <c r="K66" s="297" t="n"/>
      <c r="L66" s="297" t="n"/>
      <c r="M66" s="297" t="n"/>
      <c r="N66" s="297" t="n"/>
      <c r="O66" s="297" t="n"/>
      <c r="P66" s="297" t="n"/>
      <c r="Q66" s="297" t="n"/>
      <c r="R66" s="297" t="n"/>
    </row>
    <row r="67" ht="20" customHeight="1" s="252">
      <c r="A67" s="505" t="inlineStr">
        <is>
          <t>Burbank Water and Power</t>
        </is>
      </c>
      <c r="B67" s="505" t="inlineStr">
        <is>
          <t>Commercial EV charging rebate</t>
        </is>
      </c>
      <c r="C67" s="511" t="inlineStr">
        <is>
          <t>Status not stated</t>
        </is>
      </c>
      <c r="D67" s="491" t="inlineStr">
        <is>
          <t>DCFC $5k-$10k/port; $10k-$20k for DAC/public/MFH. Cap $200k or 40 ports</t>
        </is>
      </c>
      <c r="E67" s="297" t="n"/>
      <c r="F67" s="297" t="n"/>
      <c r="G67" s="297" t="n"/>
      <c r="H67" s="297" t="n"/>
      <c r="I67" s="297" t="n"/>
      <c r="J67" s="297" t="n"/>
      <c r="K67" s="297" t="n"/>
      <c r="L67" s="297" t="n"/>
      <c r="M67" s="297" t="n"/>
      <c r="N67" s="297" t="n"/>
      <c r="O67" s="297" t="n"/>
      <c r="P67" s="297" t="n"/>
      <c r="Q67" s="297" t="n"/>
      <c r="R67" s="297" t="n"/>
    </row>
    <row r="68" ht="20" customHeight="1" s="252">
      <c r="A68" s="505" t="inlineStr">
        <is>
          <t>Pasadena Water and Power</t>
        </is>
      </c>
      <c r="B68" s="505" t="inlineStr">
        <is>
          <t>Commercial charger rebate</t>
        </is>
      </c>
      <c r="C68" s="511" t="inlineStr">
        <is>
          <t>'Limited time' — status not stated</t>
        </is>
      </c>
      <c r="D68" s="491" t="inlineStr">
        <is>
          <t>$4,000 per L2; DCFC double, up to $8,000 per charger</t>
        </is>
      </c>
      <c r="E68" s="297" t="n"/>
      <c r="F68" s="297" t="n"/>
      <c r="G68" s="297" t="n"/>
      <c r="H68" s="297" t="n"/>
      <c r="I68" s="297" t="n"/>
      <c r="J68" s="297" t="n"/>
      <c r="K68" s="297" t="n"/>
      <c r="L68" s="297" t="n"/>
      <c r="M68" s="297" t="n"/>
      <c r="N68" s="297" t="n"/>
      <c r="O68" s="297" t="n"/>
      <c r="P68" s="297" t="n"/>
      <c r="Q68" s="297" t="n"/>
      <c r="R68" s="297" t="n"/>
    </row>
    <row r="69" ht="20" customHeight="1" s="252">
      <c r="A69" s="505" t="inlineStr">
        <is>
          <t>Roseville Electric Utility</t>
        </is>
      </c>
      <c r="B69" s="505" t="inlineStr">
        <is>
          <t>Charge Ahead</t>
        </is>
      </c>
      <c r="C69" s="510" t="inlineStr">
        <is>
          <t>OPEN — but DCFC is non-profit &amp; multifamily ONLY</t>
        </is>
      </c>
      <c r="D69" s="491" t="inlineStr">
        <is>
          <t>DCFC $20k/unit (not available to commercial); transformer $5k, panel $1k</t>
        </is>
      </c>
      <c r="E69" s="297" t="n"/>
      <c r="F69" s="297" t="n"/>
      <c r="G69" s="297" t="n"/>
      <c r="H69" s="297" t="n"/>
      <c r="I69" s="297" t="n"/>
      <c r="J69" s="297" t="n"/>
      <c r="K69" s="297" t="n"/>
      <c r="L69" s="297" t="n"/>
      <c r="M69" s="297" t="n"/>
      <c r="N69" s="297" t="n"/>
      <c r="O69" s="297" t="n"/>
      <c r="P69" s="297" t="n"/>
      <c r="Q69" s="297" t="n"/>
      <c r="R69" s="297" t="n"/>
    </row>
    <row r="70" ht="20" customHeight="1" s="252">
      <c r="A70" s="505" t="inlineStr">
        <is>
          <t>Silicon Valley Power</t>
        </is>
      </c>
      <c r="B70" s="505" t="inlineStr">
        <is>
          <t>MFH &amp; Commercial EV incentive</t>
        </is>
      </c>
      <c r="C70" s="509" t="inlineStr">
        <is>
          <t>CLOSED — fully subscribed</t>
        </is>
      </c>
      <c r="D70" s="491" t="inlineStr">
        <is>
          <t>Up to $150k/site but LEVEL 2 ONLY, no DCFC. Refers DCFC to CALeVIP</t>
        </is>
      </c>
      <c r="E70" s="297" t="n"/>
      <c r="F70" s="297" t="n"/>
      <c r="G70" s="297" t="n"/>
      <c r="H70" s="297" t="n"/>
      <c r="I70" s="297" t="n"/>
      <c r="J70" s="297" t="n"/>
      <c r="K70" s="297" t="n"/>
      <c r="L70" s="297" t="n"/>
      <c r="M70" s="297" t="n"/>
      <c r="N70" s="297" t="n"/>
      <c r="O70" s="297" t="n"/>
      <c r="P70" s="297" t="n"/>
      <c r="Q70" s="297" t="n"/>
      <c r="R70" s="297" t="n"/>
    </row>
    <row r="71" ht="20" customHeight="1" s="252">
      <c r="A71" s="505" t="inlineStr">
        <is>
          <t>City of Palo Alto Utilities</t>
        </is>
      </c>
      <c r="B71" s="505" t="inlineStr">
        <is>
          <t>EV charger programme</t>
        </is>
      </c>
      <c r="C71" s="509" t="inlineStr">
        <is>
          <t>Non-residential reservations CLOSED</t>
        </is>
      </c>
      <c r="D71" s="491" t="inlineStr">
        <is>
          <t>Level 2 only, no DCFC. MFH up to $8k/EVSE, $80k site cap</t>
        </is>
      </c>
      <c r="E71" s="297" t="n"/>
      <c r="F71" s="297" t="n"/>
      <c r="G71" s="297" t="n"/>
      <c r="H71" s="297" t="n"/>
      <c r="I71" s="297" t="n"/>
      <c r="J71" s="297" t="n"/>
      <c r="K71" s="297" t="n"/>
      <c r="L71" s="297" t="n"/>
      <c r="M71" s="297" t="n"/>
      <c r="N71" s="297" t="n"/>
      <c r="O71" s="297" t="n"/>
      <c r="P71" s="297" t="n"/>
      <c r="Q71" s="297" t="n"/>
      <c r="R71" s="297" t="n"/>
    </row>
    <row r="72" ht="20" customHeight="1" s="252">
      <c r="A72" s="505" t="inlineStr">
        <is>
          <t>IID</t>
        </is>
      </c>
      <c r="B72" s="505" t="inlineStr">
        <is>
          <t>(none found for commercial)</t>
        </is>
      </c>
      <c r="C72" s="511" t="inlineStr">
        <is>
          <t>—</t>
        </is>
      </c>
      <c r="D72" s="491" t="inlineStr">
        <is>
          <t>Residential Level 2 only, up to $500</t>
        </is>
      </c>
      <c r="E72" s="297" t="n"/>
      <c r="F72" s="297" t="n"/>
      <c r="G72" s="297" t="n"/>
      <c r="H72" s="297" t="n"/>
      <c r="I72" s="297" t="n"/>
      <c r="J72" s="297" t="n"/>
      <c r="K72" s="297" t="n"/>
      <c r="L72" s="297" t="n"/>
      <c r="M72" s="297" t="n"/>
      <c r="N72" s="297" t="n"/>
      <c r="O72" s="297" t="n"/>
      <c r="P72" s="297" t="n"/>
      <c r="Q72" s="297" t="n"/>
      <c r="R72" s="297" t="n"/>
    </row>
    <row r="73" ht="20" customHeight="1" s="252">
      <c r="A73" s="505" t="inlineStr">
        <is>
          <t>SCE</t>
        </is>
      </c>
      <c r="B73" s="505" t="inlineStr">
        <is>
          <t>Charge Ready</t>
        </is>
      </c>
      <c r="C73" s="509" t="inlineStr">
        <is>
          <t>CLOSED — agreements had to be signed by 31 Dec 2026</t>
        </is>
      </c>
      <c r="D73" s="491" t="inlineStr">
        <is>
          <t>Level 1 and 2 only; DCFC was never available</t>
        </is>
      </c>
      <c r="E73" s="297" t="n"/>
      <c r="F73" s="297" t="n"/>
      <c r="G73" s="297" t="n"/>
      <c r="H73" s="297" t="n"/>
      <c r="I73" s="297" t="n"/>
      <c r="J73" s="297" t="n"/>
      <c r="K73" s="297" t="n"/>
      <c r="L73" s="297" t="n"/>
      <c r="M73" s="297" t="n"/>
      <c r="N73" s="297" t="n"/>
      <c r="O73" s="297" t="n"/>
      <c r="P73" s="297" t="n"/>
      <c r="Q73" s="297" t="n"/>
      <c r="R73" s="297" t="n"/>
    </row>
    <row r="74" ht="20" customHeight="1" s="252">
      <c r="A74" s="505" t="inlineStr">
        <is>
          <t>Redding Electric Utility</t>
        </is>
      </c>
      <c r="B74" s="505" t="inlineStr">
        <is>
          <t>DC Fast Charger Rebate</t>
        </is>
      </c>
      <c r="C74" s="509" t="inlineStr">
        <is>
          <t>OPEN — verify funding before relying on it</t>
        </is>
      </c>
      <c r="D74" s="491" t="inlineStr">
        <is>
          <t>Up to $6,000 per DC fast charging station, maximum 4 stations per customer. Stations must be separately metered. THE CUSTOMER MUST ASSIGN LCFS CREDITS TO REU — which forecloses the FCI capacity credit on the Carbon tab. The two cannot both be taken.</t>
        </is>
      </c>
      <c r="E74" s="297" t="n"/>
      <c r="F74" s="297" t="n"/>
      <c r="G74" s="297" t="n"/>
      <c r="H74" s="297" t="n"/>
      <c r="I74" s="297" t="n"/>
      <c r="J74" s="297" t="n"/>
      <c r="K74" s="297" t="n"/>
      <c r="L74" s="297" t="n"/>
      <c r="M74" s="297" t="n"/>
      <c r="N74" s="297" t="n"/>
      <c r="O74" s="297" t="n"/>
      <c r="P74" s="297" t="n"/>
      <c r="Q74" s="297" t="n"/>
      <c r="R74" s="297" t="n"/>
    </row>
  </sheetData>
  <mergeCells count="15">
    <mergeCell ref="D68:R68"/>
    <mergeCell ref="D69:R69"/>
    <mergeCell ref="D64:R64"/>
    <mergeCell ref="D63:R63"/>
    <mergeCell ref="D73:R73"/>
    <mergeCell ref="D72:R72"/>
    <mergeCell ref="A2:R2"/>
    <mergeCell ref="D67:R67"/>
    <mergeCell ref="D70:R70"/>
    <mergeCell ref="D71:R71"/>
    <mergeCell ref="A1:R1"/>
    <mergeCell ref="D65:R65"/>
    <mergeCell ref="A61:R61"/>
    <mergeCell ref="D66:R66"/>
    <mergeCell ref="D74:R74"/>
  </mergeCells>
  <printOptions horizontalCentered="0" verticalCentered="0" headings="0" gridLines="0" gridLinesSet="1"/>
  <pageMargins left="0.4" right="0.4" top="0.6" bottom="0.6"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2026-08-26T15:16:12Z</dcterms:created>
  <dcterms:modified xsi:type="dcterms:W3CDTF">2026-09-02T18:21:27Z</dcterms:modified>
  <cp:revision>0</cp:revision>
</cp:coreProperties>
</file>