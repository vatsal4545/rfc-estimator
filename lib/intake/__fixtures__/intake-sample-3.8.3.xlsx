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0" autoFilterDateGrouping="1"/>
  </bookViews>
  <sheets>
    <sheet name="START HERE" sheetId="1" state="visible" r:id="rId1"/>
    <sheet name="Version" sheetId="2" state="visible" r:id="rId2"/>
    <sheet name="Revisions" sheetId="3" state="visible" r:id="rId3"/>
    <sheet name="README" sheetId="4" state="visible" r:id="rId4"/>
    <sheet name="Project" sheetId="5" state="visible" r:id="rId5"/>
    <sheet name="Existing" sheetId="6" state="visible" r:id="rId6"/>
    <sheet name="Equipment" sheetId="7" state="visible" r:id="rId7"/>
    <sheet name="Electrical" sheetId="8" state="visible" r:id="rId8"/>
    <sheet name="Construction" sheetId="9" state="visible" r:id="rId9"/>
    <sheet name="Commercial" sheetId="10" state="visible" r:id="rId10"/>
    <sheet name="Pricing" sheetId="11" state="visible" r:id="rId11"/>
    <sheet name="Revenue" sheetId="12" state="visible" r:id="rId12"/>
    <sheet name="Carbon" sheetId="13" state="visible" r:id="rId13"/>
    <sheet name="Deal_Structure" sheetId="14" state="visible" r:id="rId14"/>
    <sheet name="Overrides" sheetId="15" state="visible" r:id="rId15"/>
    <sheet name="PriceBook" sheetId="16" state="hidden" r:id="rId16"/>
    <sheet name="RefData" sheetId="17" state="hidden" r:id="rId17"/>
    <sheet name="Utilities" sheetId="18" state="hidden" r:id="rId18"/>
    <sheet name="RateLibrary" sheetId="19" state="hidden" r:id="rId19"/>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CND_SIZE">RefData!$A$211:$A$228</definedName>
    <definedName name="CND_3G">RefData!$B$211:$B$228</definedName>
    <definedName name="CND_2G">RefData!$C$211:$C$228</definedName>
    <definedName name="SZ_SIZE">Electrical!$A$190:$A$207</definedName>
    <definedName name="SZ_AMP">Electrical!$D$190:$D$207</definedName>
    <definedName name="SZ_Z">Electrical!$E$190:$E$207</definedName>
    <definedName name="_xlnm.Print_Titles" localSheetId="0">'START HERE'!$1:$2</definedName>
    <definedName name="_xlnm.Print_Area" localSheetId="0">'START HERE'!$A$1:$B$19</definedName>
    <definedName name="_xlnm.Print_Titles" localSheetId="1">'Version'!$1:$2</definedName>
    <definedName name="_xlnm.Print_Area" localSheetId="1">'Version'!$A$1:$C$60</definedName>
    <definedName name="_xlnm.Print_Titles" localSheetId="2">'Revisions'!$1:$2</definedName>
    <definedName name="_xlnm.Print_Area" localSheetId="2">'Revisions'!$A$1:$D$20</definedName>
    <definedName name="_xlnm.Print_Titles" localSheetId="3">'README'!$1:$2</definedName>
    <definedName name="_xlnm.Print_Area" localSheetId="3">'README'!$A$1:$F$50</definedName>
    <definedName name="_xlnm.Print_Titles" localSheetId="4">'Project'!$1:$2</definedName>
    <definedName name="_xlnm.Print_Area" localSheetId="4">'Project'!$A$1:$F$49</definedName>
    <definedName name="_xlnm.Print_Titles" localSheetId="5">'Existing'!$1:$2</definedName>
    <definedName name="_xlnm.Print_Area" localSheetId="5">'Existing'!$A$1:$G$201</definedName>
    <definedName name="_xlnm.Print_Titles" localSheetId="6">'Equipment'!$1:$2</definedName>
    <definedName name="_xlnm.Print_Area" localSheetId="6">'Equipment'!$A$1:$V$55</definedName>
    <definedName name="_xlnm.Print_Titles" localSheetId="7">'Electrical'!$1:$2</definedName>
    <definedName name="_xlnm.Print_Area" localSheetId="7">'Electrical'!$A$1:$X$229</definedName>
    <definedName name="_xlnm.Print_Titles" localSheetId="8">'Construction'!$1:$2</definedName>
    <definedName name="_xlnm.Print_Area" localSheetId="8">'Construction'!$A$1:$G$91</definedName>
    <definedName name="_xlnm.Print_Titles" localSheetId="9">'Commercial'!$1:$2</definedName>
    <definedName name="_xlnm.Print_Area" localSheetId="9">'Commercial'!$A$1:$F$29</definedName>
    <definedName name="_xlnm.Print_Titles" localSheetId="10">'Pricing'!$1:$2</definedName>
    <definedName name="_xlnm.Print_Area" localSheetId="10">'Pricing'!$A$1:$H$48</definedName>
    <definedName name="_xlnm.Print_Titles" localSheetId="11">'Revenue'!$1:$2</definedName>
    <definedName name="_xlnm.Print_Area" localSheetId="11">'Revenue'!$A$1:$G$117</definedName>
    <definedName name="_xlnm.Print_Titles" localSheetId="12">'Carbon'!$1:$2</definedName>
    <definedName name="_xlnm.Print_Area" localSheetId="12">'Carbon'!$A$1:$F$32</definedName>
    <definedName name="_xlnm.Print_Titles" localSheetId="13">'Deal_Structure'!$1:$2</definedName>
    <definedName name="_xlnm.Print_Area" localSheetId="13">'Deal_Structure'!$A$1:$E$41</definedName>
    <definedName name="_xlnm.Print_Titles" localSheetId="14">'Overrides'!$1:$2</definedName>
    <definedName name="_xlnm.Print_Area" localSheetId="14">'Overrides'!$A$1:$D$28</definedName>
    <definedName name="_xlnm.Print_Titles" localSheetId="15">'PriceBook'!$1:$2</definedName>
    <definedName name="_xlnm.Print_Area" localSheetId="15">'PriceBook'!$A$1:$AG$124</definedName>
    <definedName name="_xlnm.Print_Titles" localSheetId="16">'RefData'!$1:$2</definedName>
    <definedName name="_xlnm.Print_Area" localSheetId="16">'RefData'!$A$1:$G$228</definedName>
    <definedName name="_xlnm.Print_Titles" localSheetId="17">'Utilities'!$1:$2</definedName>
    <definedName name="_xlnm.Print_Area" localSheetId="17">'Utilities'!$A$1:$N$117</definedName>
    <definedName name="_xlnm.Print_Titles" localSheetId="18">'RateLibrary'!$1:$2</definedName>
    <definedName name="_xlnm.Print_Area" localSheetId="18">'RateLibrary'!$A$1:$R$74</definedName>
  </definedNames>
  <calcPr calcId="124519" fullCalcOnLoad="1" refMode="A1" iterate="0" iterateCount="100" iterateDelta="0.0001"/>
</workbook>
</file>

<file path=xl/styles.xml><?xml version="1.0" encoding="utf-8"?>
<styleSheet xmlns="http://schemas.openxmlformats.org/spreadsheetml/2006/main">
  <numFmts count="25">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 numFmtId="184" formatCode="$#,##0.00"/>
    <numFmt numFmtId="185" formatCode="yyyy-mm-dd"/>
    <numFmt numFmtId="186" formatCode="$#,##0.00;-$#,##0.00;;@"/>
    <numFmt numFmtId="187" formatCode="#,##0;-#,##0;"/>
    <numFmt numFmtId="188" formatCode="$#,##0.00;-$#,##0.00;"/>
  </numFmts>
  <fonts count="8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
      <name val="Arial"/>
      <b val="1"/>
      <color rgb="FFFFFFFF"/>
      <sz val="14"/>
    </font>
    <font>
      <name val="Arial"/>
      <i val="1"/>
      <color rgb="FF606060"/>
      <sz val="9"/>
    </font>
    <font>
      <name val="Arial"/>
      <color rgb="FF6B7B7C"/>
      <sz val="8.5"/>
    </font>
    <font>
      <name val="Arial"/>
      <b val="1"/>
      <color rgb="FF0E5C61"/>
      <sz val="11"/>
    </font>
    <font>
      <name val="Arial"/>
      <sz val="10"/>
    </font>
    <font>
      <name val="Arial"/>
      <color rgb="FF0000FF"/>
      <sz val="10"/>
    </font>
    <font>
      <name val="Arial"/>
      <b val="1"/>
      <color rgb="FFFFFFFF"/>
      <sz val="8.5"/>
    </font>
    <font>
      <name val="Arial"/>
      <sz val="9"/>
    </font>
    <font>
      <name val="Arial"/>
      <b val="1"/>
      <color rgb="FF0000FF"/>
      <sz val="9"/>
    </font>
    <font>
      <name val="Arial"/>
      <b val="1"/>
      <color rgb="FF006400"/>
      <sz val="10"/>
    </font>
    <font>
      <name val="Arial"/>
      <b val="1"/>
      <sz val="9"/>
    </font>
    <font>
      <name val="Arial"/>
      <b val="1"/>
      <color rgb="FF0E7C82"/>
      <sz val="10"/>
    </font>
    <font>
      <name val="Arial"/>
      <color rgb="FF8A5A00"/>
      <sz val="9"/>
    </font>
    <font>
      <name val="Arial"/>
      <color theme="1"/>
      <sz val="10"/>
    </font>
    <font>
      <name val="Arial"/>
      <i val="1"/>
      <color rgb="FF606060"/>
      <sz val="10"/>
    </font>
    <font>
      <name val="Arial"/>
      <b val="1"/>
      <sz val="10"/>
    </font>
    <font>
      <name val="Arial"/>
      <color rgb="FF6B7B7C"/>
      <sz val="10"/>
    </font>
    <font>
      <name val="Arial"/>
      <b val="1"/>
      <color rgb="FFFFFFFF"/>
      <sz val="10"/>
    </font>
    <font>
      <name val="Arial"/>
      <b val="1"/>
      <color rgb="FF0E5C61"/>
      <sz val="10"/>
    </font>
    <font>
      <name val="Arial"/>
      <color rgb="FF0E5C61"/>
      <sz val="10"/>
    </font>
    <font>
      <name val="Arial"/>
      <b val="1"/>
      <color rgb="FF0000FF"/>
      <sz val="10"/>
    </font>
    <font>
      <name val="Arial"/>
      <color rgb="FF606060"/>
      <sz val="10"/>
    </font>
    <font>
      <name val="Arial"/>
      <b val="1"/>
      <color rgb="FF8A5A00"/>
      <sz val="10"/>
    </font>
    <font>
      <name val="Arial"/>
      <color rgb="FF8A5A00"/>
      <sz val="10"/>
    </font>
    <font>
      <name val="Arial"/>
      <i val="1"/>
      <color rgb="FF6B7B7C"/>
      <sz val="10"/>
    </font>
    <font>
      <name val="Arial"/>
      <i val="1"/>
      <color rgb="FF555555"/>
      <sz val="10"/>
    </font>
    <font>
      <name val="Arial"/>
      <b val="1"/>
      <color rgb="000E7C82"/>
      <sz val="11"/>
    </font>
    <font>
      <name val="Arial"/>
      <color rgb="FFFFFFFF"/>
      <sz val="10"/>
    </font>
    <font>
      <name val="Arial"/>
      <i val="1"/>
      <color rgb="FF0E5C61"/>
      <sz val="10"/>
    </font>
  </fonts>
  <fills count="14">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
      <patternFill patternType="solid">
        <fgColor rgb="FF0E7C82"/>
      </patternFill>
    </fill>
    <fill>
      <patternFill patternType="solid">
        <fgColor rgb="FFEAF7EC"/>
      </patternFill>
    </fill>
    <fill>
      <patternFill patternType="solid">
        <fgColor rgb="FFFFF4E0"/>
      </patternFill>
    </fill>
    <fill>
      <patternFill patternType="solid">
        <fgColor rgb="FFF1F4F5"/>
      </patternFill>
    </fill>
  </fills>
  <borders count="22">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
      <bottom style="thin">
        <color rgb="FFD0D7D8"/>
      </bottom>
    </border>
    <border>
      <top style="thin">
        <color rgb="FFD0D7D8"/>
      </top>
      <bottom style="thin">
        <color rgb="FFD0D7D8"/>
      </bottom>
    </border>
    <border>
      <right/>
      <bottom style="thin">
        <color rgb="FFD0D7D8"/>
      </bottom>
    </border>
    <border>
      <left style="thin">
        <color rgb="FFB9C3C4"/>
      </left>
      <right style="thin">
        <color rgb="FFB9C3C4"/>
      </right>
      <top style="thin">
        <color rgb="FFB9C3C4"/>
      </top>
      <bottom style="thin">
        <color rgb="FFB9C3C4"/>
      </bottom>
    </border>
    <border>
      <left/>
      <right/>
      <top style="thin">
        <color rgb="FFB9C3C4"/>
      </top>
      <bottom/>
      <diagonal/>
    </border>
    <border>
      <left/>
      <right style="thin">
        <color rgb="FFB9C3C4"/>
      </right>
      <top style="thin">
        <color rgb="FFB9C3C4"/>
      </top>
      <bottom/>
      <diagonal/>
    </border>
    <border>
      <left/>
      <right style="thin">
        <color rgb="FFB9C3C4"/>
      </right>
      <top style="thin">
        <color rgb="FFB9C3C4"/>
      </top>
      <bottom style="thin">
        <color rgb="FFB9C3C4"/>
      </bottom>
      <diagonal/>
    </border>
    <border/>
    <border>
      <left/>
      <right/>
      <top style="thin">
        <color rgb="FFB9C3C4"/>
      </top>
      <bottom style="thin">
        <color rgb="FFB9C3C4"/>
      </bottom>
      <diagonal/>
    </border>
    <border>
      <left/>
      <right style="thin">
        <color rgb="FFB9C3C4"/>
      </right>
      <top/>
      <bottom style="thin">
        <color rgb="FFB9C3C4"/>
      </bottom>
      <diagonal/>
    </border>
    <border>
      <left/>
      <right style="thin">
        <color rgb="FFB9C3C4"/>
      </right>
      <top/>
      <bottom/>
      <diagonal/>
    </border>
    <border>
      <left/>
      <right/>
      <top/>
      <bottom style="thin">
        <color rgb="FFB9C3C4"/>
      </bottom>
      <diagonal/>
    </border>
    <border>
      <left/>
      <right style="thin">
        <color rgb="FFC9D4D6"/>
      </right>
      <top/>
      <bottom style="thin">
        <color rgb="FFC9D4D6"/>
      </bottom>
      <diagonal/>
    </border>
    <border>
      <left/>
      <right style="thin">
        <color rgb="FFC9D4D6"/>
      </right>
      <top/>
      <bottom/>
      <diagonal/>
    </border>
    <border>
      <left/>
      <right/>
      <top/>
      <bottom style="thin">
        <color rgb="FFC9D4D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6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xf numFmtId="0" fontId="14" fillId="0" borderId="2" applyAlignment="1" pivotButton="0" quotePrefix="0" xfId="0">
      <alignment horizontal="right" vertical="center"/>
    </xf>
    <xf numFmtId="184" fontId="14" fillId="0" borderId="2" applyAlignment="1" pivotButton="0" quotePrefix="0" xfId="0">
      <alignment horizontal="right" vertical="center"/>
    </xf>
    <xf numFmtId="0" fontId="28" fillId="0" borderId="0" applyAlignment="1" pivotButton="0" quotePrefix="0" xfId="0">
      <alignment vertical="top" wrapText="1"/>
    </xf>
    <xf numFmtId="184" fontId="49" fillId="0" borderId="0" applyAlignment="1" pivotButton="0" quotePrefix="0" xfId="0">
      <alignment horizontal="left" vertical="center"/>
    </xf>
    <xf numFmtId="0" fontId="5" fillId="0" borderId="0" applyAlignment="1" pivotButton="0" quotePrefix="0" xfId="0">
      <alignment vertical="top" wrapText="1"/>
    </xf>
    <xf numFmtId="0" fontId="52" fillId="10" borderId="0" applyAlignment="1" pivotButton="0" quotePrefix="0" xfId="0">
      <alignment vertical="center"/>
    </xf>
    <xf numFmtId="0" fontId="53" fillId="0" borderId="0" applyAlignment="1" pivotButton="0" quotePrefix="0" xfId="0">
      <alignment vertical="top" wrapText="1"/>
    </xf>
    <xf numFmtId="0" fontId="58" fillId="10" borderId="7" applyAlignment="1" pivotButton="0" quotePrefix="0" xfId="0">
      <alignment horizontal="left" vertical="top" wrapText="1"/>
    </xf>
    <xf numFmtId="0" fontId="60" fillId="9" borderId="7" applyAlignment="1" applyProtection="1" pivotButton="0" quotePrefix="0" xfId="0">
      <alignment vertical="center"/>
      <protection locked="0" hidden="0"/>
    </xf>
    <xf numFmtId="185" fontId="60" fillId="9" borderId="7" applyAlignment="1" applyProtection="1" pivotButton="0" quotePrefix="0" xfId="0">
      <alignment vertical="center"/>
      <protection locked="0" hidden="0"/>
    </xf>
    <xf numFmtId="0" fontId="60" fillId="9" borderId="7" applyAlignment="1" applyProtection="1" pivotButton="0" quotePrefix="0" xfId="0">
      <alignment vertical="top" wrapText="1"/>
      <protection locked="0" hidden="0"/>
    </xf>
    <xf numFmtId="0" fontId="56" fillId="0" borderId="0" applyAlignment="1" pivotButton="0" quotePrefix="0" xfId="0">
      <alignment vertical="center" wrapText="1"/>
    </xf>
    <xf numFmtId="3" fontId="61" fillId="11" borderId="8" applyAlignment="1" pivotButton="0" quotePrefix="0" xfId="0">
      <alignment horizontal="right" vertical="center"/>
    </xf>
    <xf numFmtId="0" fontId="61" fillId="11" borderId="8" applyAlignment="1" pivotButton="0" quotePrefix="0" xfId="0">
      <alignment horizontal="left" vertical="center"/>
    </xf>
    <xf numFmtId="0" fontId="54" fillId="0" borderId="0" applyAlignment="1" pivotButton="0" quotePrefix="0" xfId="0">
      <alignment vertical="top" wrapText="1"/>
    </xf>
    <xf numFmtId="0" fontId="55" fillId="0" borderId="0" applyAlignment="1" pivotButton="0" quotePrefix="0" xfId="0">
      <alignment vertical="top" wrapText="1"/>
    </xf>
    <xf numFmtId="0" fontId="57" fillId="9" borderId="8" applyAlignment="1" applyProtection="1" pivotButton="0" quotePrefix="0" xfId="0">
      <alignment vertical="center"/>
      <protection locked="0" hidden="0"/>
    </xf>
    <xf numFmtId="3" fontId="57" fillId="9" borderId="8" applyAlignment="1" applyProtection="1" pivotButton="0" quotePrefix="0" xfId="0">
      <alignment vertical="center"/>
      <protection locked="0" hidden="0"/>
    </xf>
    <xf numFmtId="167" fontId="57" fillId="9" borderId="8" applyAlignment="1" applyProtection="1" pivotButton="0" quotePrefix="0" xfId="0">
      <alignment vertical="center"/>
      <protection locked="0" hidden="0"/>
    </xf>
    <xf numFmtId="0" fontId="59" fillId="0" borderId="7" applyAlignment="1" pivotButton="0" quotePrefix="0" xfId="0">
      <alignment vertical="top"/>
    </xf>
    <xf numFmtId="0" fontId="59" fillId="0" borderId="7" applyAlignment="1" pivotButton="0" quotePrefix="0" xfId="0">
      <alignment vertical="top" wrapText="1"/>
    </xf>
    <xf numFmtId="0" fontId="59" fillId="0" borderId="7" applyAlignment="1" pivotButton="0" quotePrefix="0" xfId="0">
      <alignment vertical="center"/>
    </xf>
    <xf numFmtId="172" fontId="59" fillId="0" borderId="7" applyAlignment="1" pivotButton="0" quotePrefix="0" xfId="0">
      <alignment horizontal="right" vertical="center"/>
    </xf>
    <xf numFmtId="3" fontId="60" fillId="9" borderId="7" applyAlignment="1" applyProtection="1" pivotButton="0" quotePrefix="0" xfId="0">
      <alignment vertical="center"/>
      <protection locked="0" hidden="0"/>
    </xf>
    <xf numFmtId="3" fontId="59" fillId="0" borderId="7" applyAlignment="1" pivotButton="0" quotePrefix="0" xfId="0">
      <alignment horizontal="right" vertical="center"/>
    </xf>
    <xf numFmtId="10" fontId="59" fillId="0" borderId="7" applyAlignment="1" pivotButton="0" quotePrefix="0" xfId="0">
      <alignment horizontal="right" vertical="center"/>
    </xf>
    <xf numFmtId="186" fontId="59" fillId="0" borderId="7" applyAlignment="1" pivotButton="0" quotePrefix="0" xfId="0">
      <alignment horizontal="right" vertical="center"/>
    </xf>
    <xf numFmtId="1" fontId="54" fillId="0" borderId="7" applyAlignment="1" pivotButton="0" quotePrefix="0" xfId="0">
      <alignment horizontal="center" vertical="center"/>
    </xf>
    <xf numFmtId="0" fontId="54" fillId="0" borderId="7" applyAlignment="1" pivotButton="0" quotePrefix="0" xfId="0">
      <alignment horizontal="center" vertical="center"/>
    </xf>
    <xf numFmtId="184" fontId="61" fillId="11" borderId="8" applyAlignment="1" pivotButton="0" quotePrefix="0" xfId="0">
      <alignment horizontal="right" vertical="center"/>
    </xf>
    <xf numFmtId="187" fontId="59" fillId="0" borderId="7" applyAlignment="1" pivotButton="0" quotePrefix="0" xfId="0">
      <alignment horizontal="right" vertical="center"/>
    </xf>
    <xf numFmtId="0" fontId="62" fillId="0" borderId="0" applyAlignment="1" pivotButton="0" quotePrefix="0" xfId="0">
      <alignment vertical="center"/>
    </xf>
    <xf numFmtId="3" fontId="62" fillId="0" borderId="7" applyAlignment="1" pivotButton="0" quotePrefix="0" xfId="0">
      <alignment horizontal="right" vertical="center"/>
    </xf>
    <xf numFmtId="184" fontId="62" fillId="0" borderId="7" applyAlignment="1" pivotButton="0" quotePrefix="0" xfId="0">
      <alignment horizontal="right" vertical="center"/>
    </xf>
    <xf numFmtId="172" fontId="61" fillId="11" borderId="8" applyAlignment="1" pivotButton="0" quotePrefix="0" xfId="0">
      <alignment horizontal="right" vertical="center"/>
    </xf>
    <xf numFmtId="0" fontId="61" fillId="11" borderId="8" applyAlignment="1" pivotButton="0" quotePrefix="0" xfId="0">
      <alignment horizontal="left" vertical="center" wrapText="1"/>
    </xf>
    <xf numFmtId="0" fontId="63" fillId="0" borderId="0" applyAlignment="1" pivotButton="0" quotePrefix="0" xfId="0">
      <alignment vertical="center"/>
    </xf>
    <xf numFmtId="3" fontId="59" fillId="0" borderId="7" applyAlignment="1" pivotButton="0" quotePrefix="0" xfId="0">
      <alignment horizontal="right" vertical="center" wrapText="1"/>
    </xf>
    <xf numFmtId="184" fontId="60" fillId="9" borderId="7" applyAlignment="1" applyProtection="1" pivotButton="0" quotePrefix="0" xfId="0">
      <alignment vertical="center"/>
      <protection locked="0" hidden="0"/>
    </xf>
    <xf numFmtId="0" fontId="64" fillId="12" borderId="0" applyAlignment="1" pivotButton="0" quotePrefix="0" xfId="0">
      <alignment vertical="top" wrapText="1"/>
    </xf>
    <xf numFmtId="0" fontId="57" fillId="9" borderId="8" applyAlignment="1" applyProtection="1" pivotButton="0" quotePrefix="0" xfId="0">
      <alignment vertical="center" wrapText="1"/>
      <protection locked="0" hidden="0"/>
    </xf>
    <xf numFmtId="3" fontId="57" fillId="9" borderId="8" applyAlignment="1" applyProtection="1" pivotButton="0" quotePrefix="0" xfId="0">
      <alignment vertical="center" wrapText="1"/>
      <protection locked="0" hidden="0"/>
    </xf>
    <xf numFmtId="184" fontId="57" fillId="9" borderId="8" applyAlignment="1" applyProtection="1" pivotButton="0" quotePrefix="0" xfId="0">
      <alignment vertical="center" wrapText="1"/>
      <protection locked="0" hidden="0"/>
    </xf>
    <xf numFmtId="0" fontId="56" fillId="0" borderId="0" applyAlignment="1" pivotButton="0" quotePrefix="0" xfId="0">
      <alignment vertical="center"/>
    </xf>
    <xf numFmtId="2" fontId="59" fillId="0" borderId="7" applyAlignment="1" pivotButton="0" quotePrefix="0" xfId="0">
      <alignment horizontal="right" vertical="center"/>
    </xf>
    <xf numFmtId="166" fontId="59" fillId="0" borderId="7" applyAlignment="1" pivotButton="0" quotePrefix="0" xfId="0">
      <alignment horizontal="right" vertical="center"/>
    </xf>
    <xf numFmtId="184" fontId="59" fillId="0" borderId="7" applyAlignment="1" pivotButton="0" quotePrefix="0" xfId="0">
      <alignment horizontal="right" vertical="center"/>
    </xf>
    <xf numFmtId="185" fontId="60" fillId="9" borderId="7" applyAlignment="1" applyProtection="1" pivotButton="0" quotePrefix="0" xfId="0">
      <alignment vertical="center"/>
      <protection locked="0" hidden="0"/>
    </xf>
    <xf numFmtId="186" fontId="59" fillId="0" borderId="7" applyAlignment="1" pivotButton="0" quotePrefix="0" xfId="0">
      <alignment horizontal="right" vertical="center"/>
    </xf>
    <xf numFmtId="187" fontId="59" fillId="0" borderId="7" applyAlignment="1" pivotButton="0" quotePrefix="0" xfId="0">
      <alignment horizontal="right" vertical="center"/>
    </xf>
    <xf numFmtId="0" fontId="58" fillId="10" borderId="9" applyAlignment="1" pivotButton="0" quotePrefix="0" xfId="0">
      <alignment horizontal="left" vertical="top" wrapText="1"/>
    </xf>
    <xf numFmtId="0" fontId="52" fillId="10" borderId="0" applyAlignment="1" pivotButton="0" quotePrefix="0" xfId="0">
      <alignment vertical="center"/>
    </xf>
    <xf numFmtId="0" fontId="56" fillId="0" borderId="7" applyAlignment="1" pivotButton="0" quotePrefix="0" xfId="0">
      <alignment vertical="center"/>
    </xf>
    <xf numFmtId="184" fontId="59" fillId="0" borderId="7" applyAlignment="1" pivotButton="0" quotePrefix="0" xfId="0">
      <alignment horizontal="right" vertical="center"/>
    </xf>
    <xf numFmtId="9" fontId="59" fillId="0" borderId="7" applyAlignment="1" pivotButton="0" quotePrefix="0" xfId="0">
      <alignment horizontal="right" vertical="center"/>
    </xf>
    <xf numFmtId="186" fontId="59" fillId="0" borderId="7" applyAlignment="1" pivotButton="0" quotePrefix="0" xfId="0">
      <alignment horizontal="right" vertical="center"/>
    </xf>
    <xf numFmtId="0" fontId="54" fillId="0" borderId="7" applyAlignment="1" pivotButton="0" quotePrefix="0" xfId="0">
      <alignment vertical="top" wrapText="1"/>
    </xf>
    <xf numFmtId="0" fontId="62" fillId="11" borderId="7" applyAlignment="1" pivotButton="0" quotePrefix="0" xfId="0">
      <alignment vertical="center"/>
    </xf>
    <xf numFmtId="184" fontId="62" fillId="11" borderId="7" applyAlignment="1" pivotButton="0" quotePrefix="0" xfId="0">
      <alignment horizontal="right" vertical="center"/>
    </xf>
    <xf numFmtId="0" fontId="54" fillId="11" borderId="7" applyAlignment="1" pivotButton="0" quotePrefix="0" xfId="0">
      <alignment vertical="center" wrapText="1"/>
    </xf>
    <xf numFmtId="167" fontId="61" fillId="11" borderId="8" applyAlignment="1" pivotButton="0" quotePrefix="0" xfId="0">
      <alignment horizontal="right" vertical="center"/>
    </xf>
    <xf numFmtId="184" fontId="61" fillId="11" borderId="8" applyAlignment="1" pivotButton="0" quotePrefix="0" xfId="0">
      <alignment horizontal="right" vertical="center"/>
    </xf>
    <xf numFmtId="0" fontId="59" fillId="0" borderId="7" applyAlignment="1" pivotButton="0" quotePrefix="0" xfId="0">
      <alignment vertical="center"/>
    </xf>
    <xf numFmtId="187" fontId="59" fillId="0" borderId="7" applyAlignment="1" pivotButton="0" quotePrefix="0" xfId="0">
      <alignment horizontal="right" vertical="center"/>
    </xf>
    <xf numFmtId="188" fontId="59" fillId="0" borderId="7" applyAlignment="1" pivotButton="0" quotePrefix="0" xfId="0">
      <alignment horizontal="right" vertical="center"/>
    </xf>
    <xf numFmtId="0" fontId="59" fillId="0" borderId="7" applyAlignment="1" pivotButton="0" quotePrefix="0" xfId="0">
      <alignment vertical="center" wrapText="1"/>
    </xf>
    <xf numFmtId="0" fontId="54" fillId="11" borderId="7" applyAlignment="1" pivotButton="0" quotePrefix="0" xfId="0">
      <alignment vertical="center"/>
    </xf>
    <xf numFmtId="0" fontId="61" fillId="11" borderId="8" applyAlignment="1" pivotButton="0" quotePrefix="0" xfId="0">
      <alignment horizontal="left" vertical="center"/>
    </xf>
    <xf numFmtId="3" fontId="61" fillId="11" borderId="8" applyAlignment="1" pivotButton="0" quotePrefix="0" xfId="0">
      <alignment horizontal="right" vertical="center"/>
    </xf>
    <xf numFmtId="0" fontId="0" fillId="10" borderId="0" pivotButton="0" quotePrefix="0" xfId="0"/>
    <xf numFmtId="0" fontId="52" fillId="10" borderId="0" applyAlignment="1" pivotButton="0" quotePrefix="0" xfId="0">
      <alignment horizontal="left" vertical="center"/>
    </xf>
    <xf numFmtId="0" fontId="77" fillId="0" borderId="0" pivotButton="0" quotePrefix="0" xfId="0"/>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78" fillId="0" borderId="0" pivotButton="0" quotePrefix="0" xfId="0"/>
    <xf numFmtId="0" fontId="0" fillId="9" borderId="10" applyProtection="1" pivotButton="0" quotePrefix="0" xfId="0">
      <protection locked="0" hidden="0"/>
    </xf>
    <xf numFmtId="0" fontId="56" fillId="0" borderId="0" applyAlignment="1" pivotButton="0" quotePrefix="0" xfId="0">
      <alignment horizontal="left" vertical="center"/>
    </xf>
    <xf numFmtId="0" fontId="0" fillId="13" borderId="10" pivotButton="0" quotePrefix="0" xfId="0"/>
    <xf numFmtId="0" fontId="0" fillId="11" borderId="10" pivotButton="0" quotePrefix="0" xfId="0"/>
    <xf numFmtId="0" fontId="0" fillId="12" borderId="10" pivotButton="0" quotePrefix="0" xfId="0"/>
    <xf numFmtId="0" fontId="0" fillId="10" borderId="10" pivotButton="0" quotePrefix="0" xfId="0"/>
    <xf numFmtId="0" fontId="79" fillId="10" borderId="0" applyAlignment="1" pivotButton="0" quotePrefix="0" xfId="0">
      <alignment horizontal="left" vertical="center"/>
    </xf>
    <xf numFmtId="0" fontId="4" fillId="2" borderId="0" applyAlignment="1" pivotButton="0" quotePrefix="0" xfId="0">
      <alignment horizontal="center" vertical="center" wrapText="1"/>
    </xf>
    <xf numFmtId="0" fontId="65" fillId="9" borderId="10" applyAlignment="1" applyProtection="1" pivotButton="0" quotePrefix="0" xfId="0">
      <alignment horizontal="center" vertical="center" wrapText="1"/>
      <protection locked="0" hidden="0"/>
    </xf>
    <xf numFmtId="0" fontId="66" fillId="0" borderId="0" applyAlignment="1" pivotButton="0" quotePrefix="0" xfId="0">
      <alignment horizontal="left" vertical="center" wrapText="1"/>
    </xf>
    <xf numFmtId="0" fontId="65" fillId="9" borderId="10" applyAlignment="1" applyProtection="1" pivotButton="0" quotePrefix="0" xfId="0">
      <alignment horizontal="left" vertical="center" wrapText="1"/>
      <protection locked="0" hidden="0"/>
    </xf>
    <xf numFmtId="0" fontId="67" fillId="0" borderId="0" applyAlignment="1" pivotButton="0" quotePrefix="0" xfId="0">
      <alignment horizontal="left" vertical="center" wrapText="1"/>
    </xf>
    <xf numFmtId="0" fontId="55" fillId="9" borderId="10" applyAlignment="1" applyProtection="1" pivotButton="0" quotePrefix="0" xfId="0">
      <alignment horizontal="center" vertical="center" wrapText="1"/>
      <protection locked="0" hidden="0"/>
    </xf>
    <xf numFmtId="0" fontId="56" fillId="9" borderId="10" applyAlignment="1" applyProtection="1" pivotButton="0" quotePrefix="0" xfId="0">
      <alignment horizontal="center" vertical="center" wrapText="1"/>
      <protection locked="0" hidden="0"/>
    </xf>
    <xf numFmtId="0" fontId="68" fillId="9" borderId="10" applyAlignment="1" applyProtection="1" pivotButton="0" quotePrefix="0" xfId="0">
      <alignment horizontal="center" vertical="center" wrapText="1"/>
      <protection locked="0" hidden="0"/>
    </xf>
    <xf numFmtId="0" fontId="55" fillId="0" borderId="0" applyAlignment="1" pivotButton="0" quotePrefix="0" xfId="0">
      <alignment horizontal="left" vertical="center" wrapText="1"/>
    </xf>
    <xf numFmtId="0" fontId="57" fillId="9" borderId="10" applyAlignment="1" applyProtection="1" pivotButton="0" quotePrefix="0" xfId="0">
      <alignment horizontal="center" vertical="center" wrapText="1"/>
      <protection locked="0" hidden="0"/>
    </xf>
    <xf numFmtId="0" fontId="66" fillId="9" borderId="10" applyAlignment="1" applyProtection="1" pivotButton="0" quotePrefix="0" xfId="0">
      <alignment horizontal="center" vertical="center" wrapText="1"/>
      <protection locked="0" hidden="0"/>
    </xf>
    <xf numFmtId="0" fontId="69" fillId="2" borderId="1" applyAlignment="1" pivotButton="0" quotePrefix="0" xfId="0">
      <alignment horizontal="center" vertical="center" wrapText="1"/>
    </xf>
    <xf numFmtId="0" fontId="70" fillId="0" borderId="0" applyAlignment="1" pivotButton="0" quotePrefix="0" xfId="0">
      <alignment horizontal="left" vertical="center" wrapText="1"/>
    </xf>
    <xf numFmtId="0" fontId="71" fillId="9" borderId="10" applyAlignment="1" applyProtection="1" pivotButton="0" quotePrefix="0" xfId="0">
      <alignment horizontal="center" vertical="center" wrapText="1"/>
      <protection locked="0" hidden="0"/>
    </xf>
    <xf numFmtId="0" fontId="65" fillId="0" borderId="0" pivotButton="0" quotePrefix="0" xfId="0"/>
    <xf numFmtId="0" fontId="52" fillId="10" borderId="0" applyAlignment="1" pivotButton="0" quotePrefix="0" xfId="0">
      <alignment horizontal="center" vertical="center" wrapText="1"/>
    </xf>
    <xf numFmtId="0" fontId="69" fillId="10" borderId="7" applyAlignment="1" pivotButton="0" quotePrefix="0" xfId="0">
      <alignment horizontal="center" vertical="center" wrapText="1"/>
    </xf>
    <xf numFmtId="0" fontId="72" fillId="9" borderId="10" applyAlignment="1" applyProtection="1" pivotButton="0" quotePrefix="0" xfId="0">
      <alignment horizontal="center" vertical="center" wrapText="1"/>
      <protection locked="0" hidden="0"/>
    </xf>
    <xf numFmtId="185" fontId="72" fillId="9" borderId="10" applyAlignment="1" applyProtection="1" pivotButton="0" quotePrefix="0" xfId="0">
      <alignment horizontal="center" vertical="center" wrapText="1"/>
      <protection locked="0" hidden="0"/>
    </xf>
    <xf numFmtId="3" fontId="61" fillId="11" borderId="8" applyAlignment="1" pivotButton="0" quotePrefix="0" xfId="0">
      <alignment horizontal="center" vertical="center" wrapText="1"/>
    </xf>
    <xf numFmtId="0" fontId="61" fillId="11" borderId="8" applyAlignment="1" pivotButton="0" quotePrefix="0" xfId="0">
      <alignment horizontal="center" vertical="center" wrapText="1"/>
    </xf>
    <xf numFmtId="0" fontId="65" fillId="0" borderId="0" applyAlignment="1" pivotButton="0" quotePrefix="0" xfId="0">
      <alignment horizontal="left" vertical="center" wrapText="1"/>
    </xf>
    <xf numFmtId="0" fontId="56" fillId="9" borderId="10" applyAlignment="1" applyProtection="1" pivotButton="0" quotePrefix="0" xfId="0">
      <alignment horizontal="left" vertical="center" wrapText="1"/>
      <protection locked="0" hidden="0"/>
    </xf>
    <xf numFmtId="0" fontId="56" fillId="3" borderId="1" applyAlignment="1" pivotButton="0" quotePrefix="0" xfId="0">
      <alignment horizontal="left" vertical="center" wrapText="1"/>
    </xf>
    <xf numFmtId="0" fontId="68" fillId="0" borderId="0" applyAlignment="1" pivotButton="0" quotePrefix="0" xfId="0">
      <alignment horizontal="left" vertical="center" wrapText="1"/>
    </xf>
    <xf numFmtId="0" fontId="70" fillId="5" borderId="1" applyAlignment="1" pivotButton="0" quotePrefix="0" xfId="0">
      <alignment horizontal="center" vertical="center" wrapText="1"/>
    </xf>
    <xf numFmtId="0" fontId="73" fillId="0" borderId="0" applyAlignment="1" pivotButton="0" quotePrefix="0" xfId="0">
      <alignment horizontal="left" vertical="center" wrapText="1"/>
    </xf>
    <xf numFmtId="1" fontId="72" fillId="9" borderId="10" applyAlignment="1" applyProtection="1" pivotButton="0" quotePrefix="0" xfId="0">
      <alignment horizontal="center" vertical="center" wrapText="1"/>
      <protection locked="0" hidden="0"/>
    </xf>
    <xf numFmtId="3" fontId="57" fillId="9" borderId="10" applyAlignment="1" applyProtection="1" pivotButton="0" quotePrefix="0" xfId="0">
      <alignment horizontal="center" vertical="center" wrapText="1"/>
      <protection locked="0" hidden="0"/>
    </xf>
    <xf numFmtId="1" fontId="57" fillId="9" borderId="10" applyAlignment="1" applyProtection="1" pivotButton="0" quotePrefix="0" xfId="0">
      <alignment horizontal="center" vertical="center" wrapText="1"/>
      <protection locked="0" hidden="0"/>
    </xf>
    <xf numFmtId="164" fontId="57" fillId="9" borderId="10" applyAlignment="1" applyProtection="1" pivotButton="0" quotePrefix="0" xfId="0">
      <alignment horizontal="center" vertical="center" wrapText="1"/>
      <protection locked="0" hidden="0"/>
    </xf>
    <xf numFmtId="0" fontId="71" fillId="13" borderId="2" applyAlignment="1" pivotButton="0" quotePrefix="0" xfId="0">
      <alignment horizontal="center" vertical="center" wrapText="1"/>
    </xf>
    <xf numFmtId="0" fontId="70" fillId="5" borderId="2" applyAlignment="1" pivotButton="0" quotePrefix="0" xfId="0">
      <alignment horizontal="center" vertical="center" wrapText="1"/>
    </xf>
    <xf numFmtId="0" fontId="74" fillId="7" borderId="0" applyAlignment="1" pivotButton="0" quotePrefix="0" xfId="0">
      <alignment horizontal="left" vertical="center" wrapText="1"/>
    </xf>
    <xf numFmtId="0" fontId="69" fillId="2" borderId="2" applyAlignment="1" pivotButton="0" quotePrefix="0" xfId="0">
      <alignment horizontal="center" vertical="center" wrapText="1"/>
    </xf>
    <xf numFmtId="0" fontId="56" fillId="0" borderId="2" applyAlignment="1" pivotButton="0" quotePrefix="0" xfId="0">
      <alignment horizontal="left" vertical="center" wrapText="1"/>
    </xf>
    <xf numFmtId="3" fontId="71" fillId="13" borderId="2" applyAlignment="1" pivotButton="0" quotePrefix="0" xfId="0">
      <alignment horizontal="center" vertical="center" wrapText="1"/>
    </xf>
    <xf numFmtId="0" fontId="57" fillId="9" borderId="10" applyAlignment="1" applyProtection="1" pivotButton="0" quotePrefix="0" xfId="0">
      <alignment horizontal="left" vertical="center" wrapText="1"/>
      <protection locked="0" hidden="0"/>
    </xf>
    <xf numFmtId="3" fontId="70" fillId="5" borderId="2" applyAlignment="1" pivotButton="0" quotePrefix="0" xfId="0">
      <alignment horizontal="center" vertical="center" wrapText="1"/>
    </xf>
    <xf numFmtId="4" fontId="70" fillId="5" borderId="2" applyAlignment="1" pivotButton="0" quotePrefix="0" xfId="0">
      <alignment horizontal="center" vertical="center" wrapText="1"/>
    </xf>
    <xf numFmtId="0" fontId="65" fillId="13" borderId="0" applyAlignment="1" pivotButton="0" quotePrefix="0" xfId="0">
      <alignment horizontal="center" vertical="center" wrapText="1"/>
    </xf>
    <xf numFmtId="3" fontId="72" fillId="9" borderId="10" applyAlignment="1" applyProtection="1" pivotButton="0" quotePrefix="0" xfId="0">
      <alignment horizontal="center" vertical="center" wrapText="1"/>
      <protection locked="0" hidden="0"/>
    </xf>
    <xf numFmtId="0" fontId="70" fillId="13" borderId="2" applyAlignment="1" pivotButton="0" quotePrefix="0" xfId="0">
      <alignment horizontal="center" vertical="center" wrapText="1"/>
    </xf>
    <xf numFmtId="165" fontId="57" fillId="9" borderId="10" applyAlignment="1" applyProtection="1" pivotButton="0" quotePrefix="0" xfId="0">
      <alignment horizontal="center" vertical="center" wrapText="1"/>
      <protection locked="0" hidden="0"/>
    </xf>
    <xf numFmtId="4" fontId="57" fillId="9" borderId="10" applyAlignment="1" applyProtection="1" pivotButton="0" quotePrefix="0" xfId="0">
      <alignment horizontal="center" vertical="center" wrapText="1"/>
      <protection locked="0" hidden="0"/>
    </xf>
    <xf numFmtId="165" fontId="70" fillId="5" borderId="2" applyAlignment="1" pivotButton="0" quotePrefix="0" xfId="0">
      <alignment horizontal="center" vertical="center" wrapText="1"/>
    </xf>
    <xf numFmtId="166" fontId="70" fillId="5" borderId="2" applyAlignment="1" pivotButton="0" quotePrefix="0" xfId="0">
      <alignment horizontal="center" vertical="center" wrapText="1"/>
    </xf>
    <xf numFmtId="167" fontId="70" fillId="5" borderId="2" applyAlignment="1" pivotButton="0" quotePrefix="0" xfId="0">
      <alignment horizontal="center" vertical="center" wrapText="1"/>
    </xf>
    <xf numFmtId="168" fontId="70" fillId="5" borderId="2" applyAlignment="1" pivotButton="0" quotePrefix="0" xfId="0">
      <alignment horizontal="center" vertical="center" wrapText="1"/>
    </xf>
    <xf numFmtId="167" fontId="57" fillId="9" borderId="10" applyAlignment="1" applyProtection="1" pivotButton="0" quotePrefix="0" xfId="0">
      <alignment horizontal="center" vertical="center" wrapText="1"/>
      <protection locked="0" hidden="0"/>
    </xf>
    <xf numFmtId="167" fontId="71" fillId="13" borderId="2" applyAlignment="1" pivotButton="0" quotePrefix="0" xfId="0">
      <alignment horizontal="center" vertical="center" wrapText="1"/>
    </xf>
    <xf numFmtId="4" fontId="71" fillId="13" borderId="2" applyAlignment="1" pivotButton="0" quotePrefix="0" xfId="0">
      <alignment horizontal="center" vertical="center" wrapText="1"/>
    </xf>
    <xf numFmtId="168" fontId="56" fillId="13" borderId="2" applyAlignment="1" pivotButton="0" quotePrefix="0" xfId="0">
      <alignment horizontal="center" vertical="center" wrapText="1"/>
    </xf>
    <xf numFmtId="0" fontId="56" fillId="0" borderId="2" applyAlignment="1" pivotButton="0" quotePrefix="0" xfId="0">
      <alignment horizontal="general" vertical="bottom"/>
    </xf>
    <xf numFmtId="0" fontId="56" fillId="13" borderId="2" applyAlignment="1" pivotButton="0" quotePrefix="0" xfId="0">
      <alignment horizontal="center" vertical="center" wrapText="1"/>
    </xf>
    <xf numFmtId="169" fontId="56" fillId="13" borderId="2" applyAlignment="1" pivotButton="0" quotePrefix="0" xfId="0">
      <alignment horizontal="center" vertical="center" wrapText="1"/>
    </xf>
    <xf numFmtId="170" fontId="56" fillId="13" borderId="2" applyAlignment="1" pivotButton="0" quotePrefix="0" xfId="0">
      <alignment horizontal="center" vertical="center" wrapText="1"/>
    </xf>
    <xf numFmtId="0" fontId="56" fillId="0" borderId="2" applyAlignment="1" pivotButton="0" quotePrefix="0" xfId="0">
      <alignment horizontal="general" vertical="center"/>
    </xf>
    <xf numFmtId="171" fontId="56" fillId="13" borderId="2" applyAlignment="1" pivotButton="0" quotePrefix="0" xfId="0">
      <alignment horizontal="center" vertical="center" wrapText="1"/>
    </xf>
    <xf numFmtId="3" fontId="56" fillId="13" borderId="2" applyAlignment="1" pivotButton="0" quotePrefix="0" xfId="0">
      <alignment horizontal="center" vertical="center" wrapText="1"/>
    </xf>
    <xf numFmtId="3" fontId="61" fillId="8" borderId="1" applyAlignment="1" pivotButton="0" quotePrefix="0" xfId="0">
      <alignment horizontal="center" vertical="center" wrapText="1"/>
    </xf>
    <xf numFmtId="165" fontId="61" fillId="8" borderId="1" applyAlignment="1" pivotButton="0" quotePrefix="0" xfId="0">
      <alignment horizontal="center" vertical="center" wrapText="1"/>
    </xf>
    <xf numFmtId="172" fontId="67" fillId="13" borderId="0" applyAlignment="1" pivotButton="0" quotePrefix="0" xfId="0">
      <alignment horizontal="center" vertical="center" wrapText="1"/>
    </xf>
    <xf numFmtId="0" fontId="65" fillId="0" borderId="0" applyAlignment="1" pivotButton="0" quotePrefix="0" xfId="0">
      <alignment horizontal="general" vertical="bottom"/>
    </xf>
    <xf numFmtId="0" fontId="56" fillId="0" borderId="0" applyAlignment="1" pivotButton="0" quotePrefix="0" xfId="0">
      <alignment horizontal="general" vertical="bottom"/>
    </xf>
    <xf numFmtId="0" fontId="56" fillId="13" borderId="0" applyAlignment="1" pivotButton="0" quotePrefix="0" xfId="0">
      <alignment horizontal="center" vertical="center" wrapText="1"/>
    </xf>
    <xf numFmtId="0" fontId="67" fillId="13" borderId="0" applyAlignment="1" pivotButton="0" quotePrefix="0" xfId="0">
      <alignment horizontal="center" vertical="center" wrapText="1"/>
    </xf>
    <xf numFmtId="165" fontId="56" fillId="13" borderId="0" applyAlignment="1" pivotButton="0" quotePrefix="0" xfId="0">
      <alignment horizontal="center" vertical="center" wrapText="1"/>
    </xf>
    <xf numFmtId="0" fontId="74" fillId="7" borderId="0" applyAlignment="1" pivotButton="0" quotePrefix="0" xfId="0">
      <alignment horizontal="center" vertical="center" wrapText="1"/>
    </xf>
    <xf numFmtId="0" fontId="66" fillId="0" borderId="0" applyAlignment="1" pivotButton="0" quotePrefix="0" xfId="0">
      <alignment horizontal="left" vertical="top" wrapText="1" indent="1"/>
    </xf>
    <xf numFmtId="0" fontId="67" fillId="13" borderId="0" applyAlignment="1" pivotButton="0" quotePrefix="0" xfId="0">
      <alignment horizontal="left" vertical="center" wrapText="1"/>
    </xf>
    <xf numFmtId="0" fontId="69" fillId="10" borderId="0" applyAlignment="1" pivotButton="0" quotePrefix="0" xfId="0">
      <alignment horizontal="center" vertical="center" wrapText="1"/>
    </xf>
    <xf numFmtId="0" fontId="56" fillId="13" borderId="7" applyAlignment="1" pivotButton="0" quotePrefix="0" xfId="0">
      <alignment horizontal="left" vertical="center" wrapText="1"/>
    </xf>
    <xf numFmtId="0" fontId="56" fillId="13" borderId="7" applyAlignment="1" pivotButton="0" quotePrefix="0" xfId="0">
      <alignment horizontal="center" vertical="center" wrapText="1"/>
    </xf>
    <xf numFmtId="172" fontId="56" fillId="13" borderId="7" applyAlignment="1" pivotButton="0" quotePrefix="0" xfId="0">
      <alignment horizontal="center" vertical="center" wrapText="1"/>
    </xf>
    <xf numFmtId="3" fontId="56" fillId="13" borderId="7" applyAlignment="1" pivotButton="0" quotePrefix="0" xfId="0">
      <alignment horizontal="center" vertical="center" wrapText="1"/>
    </xf>
    <xf numFmtId="10" fontId="56" fillId="13" borderId="7" applyAlignment="1" pivotButton="0" quotePrefix="0" xfId="0">
      <alignment horizontal="center" vertical="center" wrapText="1"/>
    </xf>
    <xf numFmtId="186" fontId="56" fillId="13" borderId="7" applyAlignment="1" pivotButton="0" quotePrefix="0" xfId="0">
      <alignment horizontal="center" vertical="center" wrapText="1"/>
    </xf>
    <xf numFmtId="1" fontId="68" fillId="13" borderId="7" applyAlignment="1" pivotButton="0" quotePrefix="0" xfId="0">
      <alignment horizontal="center" vertical="center" wrapText="1"/>
    </xf>
    <xf numFmtId="0" fontId="68" fillId="13" borderId="7" applyAlignment="1" pivotButton="0" quotePrefix="0" xfId="0">
      <alignment horizontal="center" vertical="center" wrapText="1"/>
    </xf>
    <xf numFmtId="184" fontId="61" fillId="11" borderId="8" applyAlignment="1" pivotButton="0" quotePrefix="0" xfId="0">
      <alignment horizontal="center" vertical="center" wrapText="1"/>
    </xf>
    <xf numFmtId="187" fontId="56" fillId="13" borderId="7" applyAlignment="1" pivotButton="0" quotePrefix="0" xfId="0">
      <alignment horizontal="center" vertical="center" wrapText="1"/>
    </xf>
    <xf numFmtId="3" fontId="67" fillId="13" borderId="7" applyAlignment="1" pivotButton="0" quotePrefix="0" xfId="0">
      <alignment horizontal="center" vertical="center" wrapText="1"/>
    </xf>
    <xf numFmtId="184" fontId="67" fillId="13" borderId="7" applyAlignment="1" pivotButton="0" quotePrefix="0" xfId="0">
      <alignment horizontal="center" vertical="center" wrapText="1"/>
    </xf>
    <xf numFmtId="172" fontId="61" fillId="11" borderId="8" applyAlignment="1" pivotButton="0" quotePrefix="0" xfId="0">
      <alignment horizontal="center" vertical="center" wrapText="1"/>
    </xf>
    <xf numFmtId="0" fontId="63" fillId="0" borderId="0" applyAlignment="1" pivotButton="0" quotePrefix="0" xfId="0">
      <alignment horizontal="left" vertical="center" wrapText="1"/>
    </xf>
    <xf numFmtId="0" fontId="56" fillId="0" borderId="7" applyAlignment="1" pivotButton="0" quotePrefix="0" xfId="0">
      <alignment horizontal="left" vertical="center" wrapText="1"/>
    </xf>
    <xf numFmtId="0" fontId="72" fillId="9" borderId="10" applyAlignment="1" applyProtection="1" pivotButton="0" quotePrefix="0" xfId="0">
      <alignment horizontal="left" vertical="center" wrapText="1"/>
      <protection locked="0" hidden="0"/>
    </xf>
    <xf numFmtId="184" fontId="72" fillId="9" borderId="10" applyAlignment="1" applyProtection="1" pivotButton="0" quotePrefix="0" xfId="0">
      <alignment horizontal="center" vertical="center" wrapText="1"/>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wrapText="1"/>
      <protection locked="0" hidden="0"/>
    </xf>
    <xf numFmtId="0" fontId="69" fillId="10" borderId="9" applyAlignment="1" pivotButton="0" quotePrefix="0" xfId="0">
      <alignment horizontal="center" vertical="center" wrapText="1"/>
    </xf>
    <xf numFmtId="0" fontId="68" fillId="13" borderId="0" applyAlignment="1" pivotButton="0" quotePrefix="0" xfId="0">
      <alignment horizontal="center" vertical="center" wrapText="1"/>
    </xf>
    <xf numFmtId="2" fontId="56" fillId="13" borderId="7" applyAlignment="1" pivotButton="0" quotePrefix="0" xfId="0">
      <alignment horizontal="center" vertical="center" wrapText="1"/>
    </xf>
    <xf numFmtId="166" fontId="56" fillId="13" borderId="7" applyAlignment="1" pivotButton="0" quotePrefix="0" xfId="0">
      <alignment horizontal="center" vertical="center" wrapText="1"/>
    </xf>
    <xf numFmtId="184" fontId="56" fillId="13" borderId="7" applyAlignment="1" pivotButton="0" quotePrefix="0" xfId="0">
      <alignment horizontal="center" vertical="center" wrapText="1"/>
    </xf>
    <xf numFmtId="9" fontId="57" fillId="9" borderId="10" applyAlignment="1" applyProtection="1" pivotButton="0" quotePrefix="0" xfId="0">
      <alignment horizontal="center" vertical="center" wrapText="1"/>
      <protection locked="0" hidden="0"/>
    </xf>
    <xf numFmtId="167" fontId="72" fillId="9" borderId="10" applyAlignment="1" applyProtection="1" pivotButton="0" quotePrefix="0" xfId="0">
      <alignment horizontal="center" vertical="center" wrapText="1"/>
      <protection locked="0" hidden="0"/>
    </xf>
    <xf numFmtId="0" fontId="56" fillId="0" borderId="1" applyAlignment="1" pivotButton="0" quotePrefix="0" xfId="0">
      <alignment horizontal="left" vertical="center" wrapText="1"/>
    </xf>
    <xf numFmtId="165" fontId="56" fillId="9" borderId="10" applyAlignment="1" applyProtection="1" pivotButton="0" quotePrefix="0" xfId="0">
      <alignment horizontal="center" vertical="center" wrapText="1"/>
      <protection locked="0" hidden="0"/>
    </xf>
    <xf numFmtId="0" fontId="66" fillId="0" borderId="0" applyAlignment="1" pivotButton="0" quotePrefix="0" xfId="0">
      <alignment horizontal="general" vertical="bottom"/>
    </xf>
    <xf numFmtId="0" fontId="56" fillId="0" borderId="1" applyAlignment="1" pivotButton="0" quotePrefix="0" xfId="0">
      <alignment horizontal="general" vertical="bottom"/>
    </xf>
    <xf numFmtId="0" fontId="70" fillId="5" borderId="0" applyAlignment="1" pivotButton="0" quotePrefix="0" xfId="0">
      <alignment horizontal="center" vertical="center" wrapText="1"/>
    </xf>
    <xf numFmtId="9" fontId="72" fillId="9" borderId="10" applyAlignment="1" applyProtection="1" pivotButton="0" quotePrefix="0" xfId="0">
      <alignment horizontal="center" vertical="center" wrapText="1"/>
      <protection locked="0" hidden="0"/>
    </xf>
    <xf numFmtId="9" fontId="56" fillId="13" borderId="1" applyAlignment="1" pivotButton="0" quotePrefix="0" xfId="0">
      <alignment horizontal="center" vertical="center" wrapText="1"/>
    </xf>
    <xf numFmtId="165" fontId="76" fillId="8" borderId="1" applyAlignment="1" pivotButton="0" quotePrefix="0" xfId="0">
      <alignment horizontal="center" vertical="center" wrapText="1"/>
    </xf>
    <xf numFmtId="0" fontId="67" fillId="0" borderId="1" applyAlignment="1" pivotButton="0" quotePrefix="0" xfId="0">
      <alignment horizontal="left" vertical="center" wrapText="1"/>
    </xf>
    <xf numFmtId="0" fontId="61" fillId="8" borderId="1" applyAlignment="1" pivotButton="0" quotePrefix="0" xfId="0">
      <alignment horizontal="center" vertical="center" wrapText="1"/>
    </xf>
    <xf numFmtId="10" fontId="72" fillId="9" borderId="10" applyAlignment="1" applyProtection="1" pivotButton="0" quotePrefix="0" xfId="0">
      <alignment horizontal="center" vertical="center" wrapText="1"/>
      <protection locked="0" hidden="0"/>
    </xf>
    <xf numFmtId="0" fontId="61" fillId="9" borderId="10" applyAlignment="1" applyProtection="1" pivotButton="0" quotePrefix="0" xfId="0">
      <alignment horizontal="center" vertical="center" wrapText="1"/>
      <protection locked="0" hidden="0"/>
    </xf>
    <xf numFmtId="173" fontId="57" fillId="9" borderId="10" applyAlignment="1" applyProtection="1" pivotButton="0" quotePrefix="0" xfId="0">
      <alignment horizontal="center" vertical="center" wrapText="1"/>
      <protection locked="0" hidden="0"/>
    </xf>
    <xf numFmtId="9" fontId="56" fillId="13" borderId="7" applyAlignment="1" pivotButton="0" quotePrefix="0" xfId="0">
      <alignment horizontal="center" vertical="center" wrapText="1"/>
    </xf>
    <xf numFmtId="0" fontId="68" fillId="0" borderId="7" applyAlignment="1" pivotButton="0" quotePrefix="0" xfId="0">
      <alignment horizontal="left" vertical="center" wrapText="1"/>
    </xf>
    <xf numFmtId="9" fontId="56" fillId="0" borderId="7" applyAlignment="1" pivotButton="0" quotePrefix="0" xfId="0">
      <alignment horizontal="center" vertical="center" wrapText="1"/>
    </xf>
    <xf numFmtId="0" fontId="67" fillId="11" borderId="7" applyAlignment="1" pivotButton="0" quotePrefix="0" xfId="0">
      <alignment horizontal="left" vertical="center" wrapText="1"/>
    </xf>
    <xf numFmtId="184" fontId="67" fillId="11" borderId="7" applyAlignment="1" pivotButton="0" quotePrefix="0" xfId="0">
      <alignment horizontal="center" vertical="center" wrapText="1"/>
    </xf>
    <xf numFmtId="0" fontId="67" fillId="11" borderId="7" applyAlignment="1" pivotButton="0" quotePrefix="0" xfId="0">
      <alignment vertical="center"/>
    </xf>
    <xf numFmtId="0" fontId="68" fillId="11" borderId="7" applyAlignment="1" pivotButton="0" quotePrefix="0" xfId="0">
      <alignment horizontal="left" vertical="center" wrapText="1"/>
    </xf>
    <xf numFmtId="167" fontId="61" fillId="11" borderId="8" applyAlignment="1" pivotButton="0" quotePrefix="0" xfId="0">
      <alignment horizontal="center" vertical="center" wrapText="1"/>
    </xf>
    <xf numFmtId="188" fontId="56" fillId="13" borderId="7" applyAlignment="1" pivotButton="0" quotePrefix="0" xfId="0">
      <alignment horizontal="center" vertical="center" wrapText="1"/>
    </xf>
    <xf numFmtId="0" fontId="68" fillId="11" borderId="7" applyAlignment="1" pivotButton="0" quotePrefix="0" xfId="0">
      <alignment horizontal="center" vertical="center" wrapText="1"/>
    </xf>
    <xf numFmtId="174" fontId="72" fillId="9" borderId="10" applyAlignment="1" applyProtection="1" pivotButton="0" quotePrefix="0" xfId="0">
      <alignment horizontal="center" vertical="center" wrapText="1"/>
      <protection locked="0" hidden="0"/>
    </xf>
    <xf numFmtId="175" fontId="72" fillId="13" borderId="0" applyAlignment="1" pivotButton="0" quotePrefix="0" xfId="0">
      <alignment horizontal="center" vertical="center" wrapText="1"/>
    </xf>
    <xf numFmtId="165" fontId="72" fillId="13" borderId="0" applyAlignment="1" pivotButton="0" quotePrefix="0" xfId="0">
      <alignment horizontal="center" vertical="center" wrapText="1"/>
    </xf>
    <xf numFmtId="1" fontId="57" fillId="13" borderId="1" applyAlignment="1" pivotButton="0" quotePrefix="0" xfId="0">
      <alignment horizontal="center" vertical="center" wrapText="1"/>
    </xf>
    <xf numFmtId="2" fontId="72" fillId="9" borderId="10" applyAlignment="1" applyProtection="1" pivotButton="0" quotePrefix="0" xfId="0">
      <alignment horizontal="center" vertical="center" wrapText="1"/>
      <protection locked="0" hidden="0"/>
    </xf>
    <xf numFmtId="172" fontId="57" fillId="9" borderId="10" applyAlignment="1" applyProtection="1" pivotButton="0" quotePrefix="0" xfId="0">
      <alignment horizontal="center" vertical="center" wrapText="1"/>
      <protection locked="0" hidden="0"/>
    </xf>
    <xf numFmtId="0" fontId="76" fillId="13" borderId="1" applyAlignment="1" pivotButton="0" quotePrefix="0" xfId="0">
      <alignment horizontal="center" vertical="center" wrapText="1"/>
    </xf>
    <xf numFmtId="3" fontId="72" fillId="13" borderId="0" applyAlignment="1" pivotButton="0" quotePrefix="0" xfId="0">
      <alignment horizontal="center" vertical="center" wrapText="1"/>
    </xf>
    <xf numFmtId="176" fontId="72" fillId="9" borderId="10" applyAlignment="1" applyProtection="1" pivotButton="0" quotePrefix="0" xfId="0">
      <alignment horizontal="center" vertical="center" wrapText="1"/>
      <protection locked="0" hidden="0"/>
    </xf>
    <xf numFmtId="168" fontId="71" fillId="13" borderId="2" applyAlignment="1" pivotButton="0" quotePrefix="0" xfId="0">
      <alignment horizontal="center" vertical="center" wrapText="1"/>
    </xf>
    <xf numFmtId="0" fontId="76" fillId="0" borderId="0" applyAlignment="1" pivotButton="0" quotePrefix="0" xfId="0">
      <alignment horizontal="left" vertical="center" wrapText="1"/>
    </xf>
    <xf numFmtId="172" fontId="72" fillId="13" borderId="0" applyAlignment="1" pivotButton="0" quotePrefix="0" xfId="0">
      <alignment horizontal="center" vertical="center" wrapText="1"/>
    </xf>
    <xf numFmtId="4" fontId="72" fillId="13" borderId="0" applyAlignment="1" pivotButton="0" quotePrefix="0" xfId="0">
      <alignment horizontal="center" vertical="center" wrapText="1"/>
    </xf>
    <xf numFmtId="175" fontId="72" fillId="9" borderId="10" applyAlignment="1" applyProtection="1" pivotButton="0" quotePrefix="0" xfId="0">
      <alignment horizontal="center" vertical="center" wrapText="1"/>
      <protection locked="0" hidden="0"/>
    </xf>
    <xf numFmtId="165" fontId="72" fillId="9" borderId="10" applyAlignment="1" applyProtection="1" pivotButton="0" quotePrefix="0" xfId="0">
      <alignment horizontal="center" vertical="center" wrapText="1"/>
      <protection locked="0" hidden="0"/>
    </xf>
    <xf numFmtId="165" fontId="67" fillId="13" borderId="1" applyAlignment="1" pivotButton="0" quotePrefix="0" xfId="0">
      <alignment horizontal="center" vertical="center" wrapText="1"/>
    </xf>
    <xf numFmtId="0" fontId="72" fillId="13" borderId="0" applyAlignment="1" pivotButton="0" quotePrefix="0" xfId="0">
      <alignment horizontal="center" vertical="center" wrapText="1"/>
    </xf>
    <xf numFmtId="4" fontId="72" fillId="9" borderId="10" applyAlignment="1" applyProtection="1" pivotButton="0" quotePrefix="0" xfId="0">
      <alignment horizontal="center" vertical="center" wrapText="1"/>
      <protection locked="0" hidden="0"/>
    </xf>
    <xf numFmtId="0" fontId="68" fillId="0" borderId="0" applyAlignment="1" pivotButton="0" quotePrefix="0" xfId="0">
      <alignment horizontal="left" vertical="top" wrapText="1" indent="1"/>
    </xf>
    <xf numFmtId="9" fontId="72" fillId="13" borderId="0" applyAlignment="1" pivotButton="0" quotePrefix="0" xfId="0">
      <alignment horizontal="center" vertical="center" wrapText="1"/>
    </xf>
    <xf numFmtId="177" fontId="72" fillId="9" borderId="10" applyAlignment="1" applyProtection="1" pivotButton="0" quotePrefix="0" xfId="0">
      <alignment horizontal="center" vertical="center" wrapText="1"/>
      <protection locked="0" hidden="0"/>
    </xf>
    <xf numFmtId="177" fontId="57" fillId="9" borderId="10" applyAlignment="1" applyProtection="1" pivotButton="0" quotePrefix="0" xfId="0">
      <alignment horizontal="center" vertical="center" wrapText="1"/>
      <protection locked="0" hidden="0"/>
    </xf>
    <xf numFmtId="3" fontId="61" fillId="13" borderId="1" applyAlignment="1" pivotButton="0" quotePrefix="0" xfId="0">
      <alignment horizontal="center" vertical="center" wrapText="1"/>
    </xf>
    <xf numFmtId="173" fontId="72" fillId="9" borderId="10" applyAlignment="1" applyProtection="1" pivotButton="0" quotePrefix="0" xfId="0">
      <alignment horizontal="center" vertical="center" wrapText="1"/>
      <protection locked="0" hidden="0"/>
    </xf>
    <xf numFmtId="182" fontId="61" fillId="13" borderId="1" applyAlignment="1" pivotButton="0" quotePrefix="0" xfId="0">
      <alignment horizontal="center" vertical="center" wrapText="1"/>
    </xf>
    <xf numFmtId="0" fontId="66" fillId="0" borderId="0" applyAlignment="1" pivotButton="0" quotePrefix="0" xfId="0">
      <alignment horizontal="left" vertical="top" wrapText="1"/>
    </xf>
    <xf numFmtId="0" fontId="61" fillId="13" borderId="1" applyAlignment="1" pivotButton="0" quotePrefix="0" xfId="0">
      <alignment horizontal="center" vertical="center" wrapText="1"/>
    </xf>
    <xf numFmtId="178" fontId="72" fillId="9" borderId="10" applyAlignment="1" applyProtection="1" pivotButton="0" quotePrefix="0" xfId="0">
      <alignment horizontal="center" vertical="center" wrapText="1"/>
      <protection locked="0" hidden="0"/>
    </xf>
    <xf numFmtId="0" fontId="66" fillId="0" borderId="1" applyAlignment="1" pivotButton="0" quotePrefix="0" xfId="0">
      <alignment horizontal="left" vertical="center" wrapText="1"/>
    </xf>
    <xf numFmtId="167" fontId="49" fillId="0" borderId="0" applyAlignment="1" pivotButton="0" quotePrefix="0" xfId="0">
      <alignment horizontal="right" vertical="center"/>
    </xf>
    <xf numFmtId="181" fontId="49" fillId="0" borderId="0" applyAlignment="1" pivotButton="0" quotePrefix="0" xfId="0">
      <alignment horizontal="right" vertical="center"/>
    </xf>
    <xf numFmtId="0" fontId="59" fillId="0" borderId="14" applyProtection="1" pivotButton="0" quotePrefix="0" xfId="0">
      <protection locked="0" hidden="0"/>
    </xf>
    <xf numFmtId="0" fontId="0" fillId="0" borderId="13" applyProtection="1" pivotButton="0" quotePrefix="0" xfId="0">
      <protection locked="0" hidden="0"/>
    </xf>
    <xf numFmtId="0" fontId="70" fillId="0" borderId="0" applyAlignment="1" pivotButton="0" quotePrefix="0" xfId="0">
      <alignment vertical="top" wrapText="1"/>
    </xf>
    <xf numFmtId="0" fontId="80" fillId="13" borderId="0" applyAlignment="1" pivotButton="0" quotePrefix="0" xfId="0">
      <alignment horizontal="center" vertical="center" wrapText="1"/>
    </xf>
    <xf numFmtId="172" fontId="71" fillId="13" borderId="2" applyAlignment="1" pivotButton="0" quotePrefix="0" xfId="0">
      <alignment horizontal="center" vertical="center" wrapText="1"/>
    </xf>
    <xf numFmtId="0" fontId="72" fillId="9" borderId="10" applyAlignment="1" applyProtection="1" pivotButton="0" quotePrefix="0" xfId="0">
      <alignment vertical="top" wrapText="1"/>
      <protection locked="0" hidden="0"/>
    </xf>
    <xf numFmtId="0" fontId="0" fillId="0" borderId="15" applyProtection="1" pivotButton="0" quotePrefix="0" xfId="0">
      <protection locked="0" hidden="0"/>
    </xf>
    <xf numFmtId="0" fontId="0" fillId="10" borderId="0" applyAlignment="1" pivotButton="0" quotePrefix="0" xfId="0">
      <alignment horizontal="center" vertical="center"/>
    </xf>
    <xf numFmtId="0" fontId="52" fillId="10" borderId="0" applyAlignment="1" pivotButton="0" quotePrefix="0" xfId="0">
      <alignment horizontal="center" vertical="center"/>
    </xf>
    <xf numFmtId="0" fontId="0" fillId="0" borderId="0" applyAlignment="1" pivotButton="0" quotePrefix="0" xfId="0">
      <alignment horizontal="center" vertical="center"/>
    </xf>
    <xf numFmtId="0" fontId="77" fillId="0" borderId="0" applyAlignment="1" pivotButton="0" quotePrefix="0" xfId="0">
      <alignment horizontal="left" vertical="center" wrapText="1"/>
    </xf>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0" fillId="9" borderId="10" applyAlignment="1" applyProtection="1" pivotButton="0" quotePrefix="0" xfId="0">
      <alignment horizontal="center" vertical="center"/>
      <protection locked="0" hidden="0"/>
    </xf>
    <xf numFmtId="0" fontId="0" fillId="13" borderId="10" applyAlignment="1" pivotButton="0" quotePrefix="0" xfId="0">
      <alignment horizontal="center" vertical="center"/>
    </xf>
    <xf numFmtId="0" fontId="0" fillId="11" borderId="10" applyAlignment="1" pivotButton="0" quotePrefix="0" xfId="0">
      <alignment horizontal="center" vertical="center"/>
    </xf>
    <xf numFmtId="0" fontId="56" fillId="0" borderId="0" applyAlignment="1" pivotButton="0" quotePrefix="0" xfId="0">
      <alignment horizontal="center" vertical="center"/>
    </xf>
    <xf numFmtId="0" fontId="0" fillId="12" borderId="10" applyAlignment="1" pivotButton="0" quotePrefix="0" xfId="0">
      <alignment horizontal="center" vertical="center"/>
    </xf>
    <xf numFmtId="0" fontId="0" fillId="10" borderId="10" applyAlignment="1" pivotButton="0" quotePrefix="0" xfId="0">
      <alignment horizontal="center" vertical="center"/>
    </xf>
    <xf numFmtId="0" fontId="79" fillId="10" borderId="0" applyAlignment="1" pivotButton="0" quotePrefix="0" xfId="0">
      <alignment horizontal="left" vertical="center" wrapText="1"/>
    </xf>
    <xf numFmtId="0" fontId="4" fillId="2" borderId="0" applyAlignment="1" pivotButton="0" quotePrefix="0" xfId="0">
      <alignment horizontal="center" vertical="center"/>
    </xf>
    <xf numFmtId="0" fontId="65" fillId="9" borderId="10" applyAlignment="1" applyProtection="1" pivotButton="0" quotePrefix="0" xfId="0">
      <alignment horizontal="center" vertical="center"/>
      <protection locked="0" hidden="0"/>
    </xf>
    <xf numFmtId="0" fontId="66" fillId="0" borderId="16" applyAlignment="1" pivotButton="0" quotePrefix="0" xfId="0">
      <alignment horizontal="left" vertical="center" wrapText="1"/>
    </xf>
    <xf numFmtId="0" fontId="0" fillId="0" borderId="18" pivotButton="0" quotePrefix="0" xfId="0"/>
    <xf numFmtId="0" fontId="0" fillId="0" borderId="16" pivotButton="0" quotePrefix="0" xfId="0"/>
    <xf numFmtId="0" fontId="59" fillId="0" borderId="14" applyAlignment="1" applyProtection="1" pivotButton="0" quotePrefix="0" xfId="0">
      <alignment horizontal="center" vertical="center"/>
      <protection locked="0" hidden="0"/>
    </xf>
    <xf numFmtId="0" fontId="67" fillId="0" borderId="0" applyAlignment="1" pivotButton="0" quotePrefix="0" xfId="0">
      <alignment horizontal="center" vertical="center"/>
    </xf>
    <xf numFmtId="0" fontId="55" fillId="9" borderId="10" applyAlignment="1" applyProtection="1" pivotButton="0" quotePrefix="0" xfId="0">
      <alignment horizontal="center" vertical="center"/>
      <protection locked="0" hidden="0"/>
    </xf>
    <xf numFmtId="0" fontId="56" fillId="9" borderId="10" applyAlignment="1" applyProtection="1" pivotButton="0" quotePrefix="0" xfId="0">
      <alignment horizontal="center" vertical="center"/>
      <protection locked="0" hidden="0"/>
    </xf>
    <xf numFmtId="0" fontId="68" fillId="9" borderId="10" applyAlignment="1" applyProtection="1" pivotButton="0" quotePrefix="0" xfId="0">
      <alignment horizontal="left" vertical="center" wrapText="1"/>
      <protection locked="0" hidden="0"/>
    </xf>
    <xf numFmtId="0" fontId="55" fillId="0" borderId="0" applyAlignment="1" pivotButton="0" quotePrefix="0" xfId="0">
      <alignment horizontal="center" vertical="center"/>
    </xf>
    <xf numFmtId="0" fontId="57" fillId="9" borderId="10" applyAlignment="1" applyProtection="1" pivotButton="0" quotePrefix="0" xfId="0">
      <alignment horizontal="center" vertical="center"/>
      <protection locked="0" hidden="0"/>
    </xf>
    <xf numFmtId="0" fontId="66" fillId="9" borderId="10" applyAlignment="1" applyProtection="1" pivotButton="0" quotePrefix="0" xfId="0">
      <alignment horizontal="left" vertical="center" wrapText="1"/>
      <protection locked="0" hidden="0"/>
    </xf>
    <xf numFmtId="0" fontId="66" fillId="9" borderId="10" applyAlignment="1" applyProtection="1" pivotButton="0" quotePrefix="0" xfId="0">
      <alignment horizontal="left" vertical="center"/>
      <protection locked="0" hidden="0"/>
    </xf>
    <xf numFmtId="0" fontId="69" fillId="2" borderId="1" applyAlignment="1" pivotButton="0" quotePrefix="0" xfId="0">
      <alignment horizontal="center" vertical="center"/>
    </xf>
    <xf numFmtId="0" fontId="70" fillId="0" borderId="0" applyAlignment="1" pivotButton="0" quotePrefix="0" xfId="0">
      <alignment horizontal="center" vertical="center"/>
    </xf>
    <xf numFmtId="0" fontId="71" fillId="9" borderId="10" applyAlignment="1" applyProtection="1" pivotButton="0" quotePrefix="0" xfId="0">
      <alignment horizontal="center" vertical="center"/>
      <protection locked="0" hidden="0"/>
    </xf>
    <xf numFmtId="0" fontId="71" fillId="9" borderId="10" applyAlignment="1" applyProtection="1" pivotButton="0" quotePrefix="0" xfId="0">
      <alignment horizontal="left" vertical="center" wrapText="1"/>
      <protection locked="0" hidden="0"/>
    </xf>
    <xf numFmtId="0" fontId="70"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5" fillId="0" borderId="0" applyAlignment="1" pivotButton="0" quotePrefix="0" xfId="0">
      <alignment horizontal="center" vertical="center"/>
    </xf>
    <xf numFmtId="0" fontId="69" fillId="10" borderId="7" applyAlignment="1" pivotButton="0" quotePrefix="0" xfId="0">
      <alignment horizontal="center" vertical="center"/>
    </xf>
    <xf numFmtId="0" fontId="69" fillId="10" borderId="7" applyAlignment="1" pivotButton="0" quotePrefix="0" xfId="0">
      <alignment horizontal="left" vertical="center" wrapText="1"/>
    </xf>
    <xf numFmtId="0" fontId="72" fillId="9" borderId="10" applyAlignment="1" applyProtection="1" pivotButton="0" quotePrefix="0" xfId="0">
      <alignment horizontal="center" vertical="center"/>
      <protection locked="0" hidden="0"/>
    </xf>
    <xf numFmtId="185" fontId="72" fillId="9" borderId="10" applyAlignment="1" applyProtection="1" pivotButton="0" quotePrefix="0" xfId="0">
      <alignment horizontal="center" vertical="center"/>
      <protection locked="0" hidden="0"/>
    </xf>
    <xf numFmtId="0" fontId="56" fillId="0" borderId="0" applyAlignment="1" pivotButton="0" quotePrefix="0" xfId="0">
      <alignment horizontal="center" vertical="center" wrapText="1"/>
    </xf>
    <xf numFmtId="3" fontId="61" fillId="11" borderId="8" applyAlignment="1" pivotButton="0" quotePrefix="0" xfId="0">
      <alignment horizontal="center" vertical="center"/>
    </xf>
    <xf numFmtId="0" fontId="61" fillId="11" borderId="8" applyAlignment="1" pivotButton="0" quotePrefix="0" xfId="0">
      <alignment horizontal="center" vertical="center"/>
    </xf>
    <xf numFmtId="0" fontId="56" fillId="3" borderId="1" applyAlignment="1" pivotButton="0" quotePrefix="0" xfId="0">
      <alignment horizontal="center" vertical="center"/>
    </xf>
    <xf numFmtId="0" fontId="56" fillId="9" borderId="10" applyAlignment="1" applyProtection="1" pivotButton="0" quotePrefix="0" xfId="0">
      <alignment horizontal="center" vertical="center" wrapText="1"/>
      <protection locked="0" hidden="0"/>
    </xf>
    <xf numFmtId="0" fontId="55"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6" fillId="0" borderId="0" applyAlignment="1" pivotButton="0" quotePrefix="0" xfId="0">
      <alignment horizontal="left" vertical="center"/>
    </xf>
    <xf numFmtId="0" fontId="70" fillId="5" borderId="1" applyAlignment="1" pivotButton="0" quotePrefix="0" xfId="0">
      <alignment horizontal="center" vertical="center"/>
    </xf>
    <xf numFmtId="1" fontId="72" fillId="9" borderId="10" applyAlignment="1" applyProtection="1" pivotButton="0" quotePrefix="0" xfId="0">
      <alignment horizontal="center" vertical="center"/>
      <protection locked="0" hidden="0"/>
    </xf>
    <xf numFmtId="3" fontId="57" fillId="9" borderId="10" applyAlignment="1" applyProtection="1" pivotButton="0" quotePrefix="0" xfId="0">
      <alignment horizontal="center" vertical="center"/>
      <protection locked="0" hidden="0"/>
    </xf>
    <xf numFmtId="1" fontId="57" fillId="9" borderId="10" applyAlignment="1" applyProtection="1" pivotButton="0" quotePrefix="0" xfId="0">
      <alignment horizontal="center" vertical="center"/>
      <protection locked="0" hidden="0"/>
    </xf>
    <xf numFmtId="164" fontId="57" fillId="9" borderId="10" applyAlignment="1" applyProtection="1" pivotButton="0" quotePrefix="0" xfId="0">
      <alignment horizontal="center" vertical="center"/>
      <protection locked="0" hidden="0"/>
    </xf>
    <xf numFmtId="0" fontId="55"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1" fillId="13" borderId="2" applyAlignment="1" pivotButton="0" quotePrefix="0" xfId="0">
      <alignment horizontal="center" vertical="center"/>
    </xf>
    <xf numFmtId="0" fontId="70" fillId="5" borderId="2" applyAlignment="1" pivotButton="0" quotePrefix="0" xfId="0">
      <alignment horizontal="left" vertical="center" wrapText="1"/>
    </xf>
    <xf numFmtId="0" fontId="74" fillId="7" borderId="0" applyAlignment="1" pivotButton="0" quotePrefix="0" xfId="0">
      <alignment horizontal="left" vertical="center" wrapText="1"/>
    </xf>
    <xf numFmtId="0" fontId="4" fillId="2" borderId="0" applyAlignment="1" pivotButton="0" quotePrefix="0" xfId="0">
      <alignment horizontal="left" vertical="center" wrapText="1"/>
    </xf>
    <xf numFmtId="0" fontId="72" fillId="9" borderId="10" applyAlignment="1" applyProtection="1" pivotButton="0" quotePrefix="0" xfId="0">
      <alignment horizontal="center" vertical="center" wrapText="1"/>
      <protection locked="0" hidden="0"/>
    </xf>
    <xf numFmtId="0" fontId="69" fillId="2" borderId="2" applyAlignment="1" pivotButton="0" quotePrefix="0" xfId="0">
      <alignment horizontal="center" vertical="center"/>
    </xf>
    <xf numFmtId="0" fontId="56" fillId="0" borderId="2" applyAlignment="1" pivotButton="0" quotePrefix="0" xfId="0">
      <alignment horizontal="center" vertical="center"/>
    </xf>
    <xf numFmtId="0" fontId="56" fillId="0" borderId="2" applyAlignment="1" pivotButton="0" quotePrefix="0" xfId="0">
      <alignment horizontal="left" vertical="center" wrapText="1"/>
    </xf>
    <xf numFmtId="0" fontId="56" fillId="0" borderId="2" applyAlignment="1" pivotButton="0" quotePrefix="0" xfId="0">
      <alignment horizontal="center" vertical="center" wrapText="1"/>
    </xf>
    <xf numFmtId="3" fontId="71" fillId="13" borderId="2" applyAlignment="1" pivotButton="0" quotePrefix="0" xfId="0">
      <alignment horizontal="center" vertical="center"/>
    </xf>
    <xf numFmtId="0" fontId="73" fillId="0" borderId="0" applyAlignment="1" pivotButton="0" quotePrefix="0" xfId="0">
      <alignment horizontal="left" vertical="center"/>
    </xf>
    <xf numFmtId="0" fontId="80" fillId="13" borderId="0" applyAlignment="1" pivotButton="0" quotePrefix="0" xfId="0">
      <alignment horizontal="center" vertical="center"/>
    </xf>
    <xf numFmtId="0" fontId="69" fillId="2" borderId="2" applyAlignment="1" pivotButton="0" quotePrefix="0" xfId="0">
      <alignment horizontal="center" vertical="center" wrapText="1"/>
    </xf>
    <xf numFmtId="3" fontId="70" fillId="5" borderId="2" applyAlignment="1" pivotButton="0" quotePrefix="0" xfId="0">
      <alignment horizontal="center" vertical="center"/>
    </xf>
    <xf numFmtId="4" fontId="70" fillId="5" borderId="2" applyAlignment="1" pivotButton="0" quotePrefix="0" xfId="0">
      <alignment horizontal="center" vertical="center"/>
    </xf>
    <xf numFmtId="0" fontId="65" fillId="13" borderId="0" applyAlignment="1" pivotButton="0" quotePrefix="0" xfId="0">
      <alignment horizontal="center" vertical="center"/>
    </xf>
    <xf numFmtId="3" fontId="72" fillId="9" borderId="10" applyAlignment="1" applyProtection="1" pivotButton="0" quotePrefix="0" xfId="0">
      <alignment horizontal="center" vertical="center"/>
      <protection locked="0" hidden="0"/>
    </xf>
    <xf numFmtId="0" fontId="70" fillId="13" borderId="2" applyAlignment="1" pivotButton="0" quotePrefix="0" xfId="0">
      <alignment horizontal="left" vertical="center" wrapText="1"/>
    </xf>
    <xf numFmtId="0" fontId="67" fillId="0" borderId="0" applyAlignment="1" pivotButton="0" quotePrefix="0" xfId="0">
      <alignment horizontal="center" vertical="center" wrapText="1"/>
    </xf>
    <xf numFmtId="0" fontId="70" fillId="5" borderId="2" applyAlignment="1" pivotButton="0" quotePrefix="0" xfId="0">
      <alignment horizontal="center" vertical="center"/>
    </xf>
    <xf numFmtId="165" fontId="57" fillId="9" borderId="10" applyAlignment="1" applyProtection="1" pivotButton="0" quotePrefix="0" xfId="0">
      <alignment horizontal="center" vertical="center"/>
      <protection locked="0" hidden="0"/>
    </xf>
    <xf numFmtId="4" fontId="57" fillId="9" borderId="10" applyAlignment="1" applyProtection="1" pivotButton="0" quotePrefix="0" xfId="0">
      <alignment horizontal="center" vertical="center"/>
      <protection locked="0" hidden="0"/>
    </xf>
    <xf numFmtId="165" fontId="70" fillId="5" borderId="2" applyAlignment="1" pivotButton="0" quotePrefix="0" xfId="0">
      <alignment horizontal="center" vertical="center"/>
    </xf>
    <xf numFmtId="166" fontId="70" fillId="5" borderId="2" applyAlignment="1" pivotButton="0" quotePrefix="0" xfId="0">
      <alignment horizontal="center" vertical="center"/>
    </xf>
    <xf numFmtId="167" fontId="70" fillId="5" borderId="2" applyAlignment="1" pivotButton="0" quotePrefix="0" xfId="0">
      <alignment horizontal="center" vertical="center"/>
    </xf>
    <xf numFmtId="168" fontId="70" fillId="5" borderId="2" applyAlignment="1" pivotButton="0" quotePrefix="0" xfId="0">
      <alignment horizontal="center" vertical="center"/>
    </xf>
    <xf numFmtId="167" fontId="57" fillId="9" borderId="10" applyAlignment="1" applyProtection="1" pivotButton="0" quotePrefix="0" xfId="0">
      <alignment horizontal="center" vertical="center"/>
      <protection locked="0" hidden="0"/>
    </xf>
    <xf numFmtId="167" fontId="71" fillId="13" borderId="2" applyAlignment="1" pivotButton="0" quotePrefix="0" xfId="0">
      <alignment horizontal="center" vertical="center"/>
    </xf>
    <xf numFmtId="4" fontId="71" fillId="13" borderId="2" applyAlignment="1" pivotButton="0" quotePrefix="0" xfId="0">
      <alignment horizontal="center" vertical="center"/>
    </xf>
    <xf numFmtId="168" fontId="56" fillId="13" borderId="2" applyAlignment="1" pivotButton="0" quotePrefix="0" xfId="0">
      <alignment horizontal="center" vertical="center"/>
    </xf>
    <xf numFmtId="172" fontId="71" fillId="13" borderId="2" applyAlignment="1" pivotButton="0" quotePrefix="0" xfId="0">
      <alignment horizontal="center" vertical="center"/>
    </xf>
    <xf numFmtId="0" fontId="56" fillId="13" borderId="2" applyAlignment="1" pivotButton="0" quotePrefix="0" xfId="0">
      <alignment horizontal="center" vertical="center"/>
    </xf>
    <xf numFmtId="169" fontId="56" fillId="13" borderId="2" applyAlignment="1" pivotButton="0" quotePrefix="0" xfId="0">
      <alignment horizontal="center" vertical="center"/>
    </xf>
    <xf numFmtId="170" fontId="56" fillId="13" borderId="2" applyAlignment="1" pivotButton="0" quotePrefix="0" xfId="0">
      <alignment horizontal="center" vertical="center"/>
    </xf>
    <xf numFmtId="171" fontId="56" fillId="13" borderId="2" applyAlignment="1" pivotButton="0" quotePrefix="0" xfId="0">
      <alignment horizontal="center" vertical="center"/>
    </xf>
    <xf numFmtId="3" fontId="56" fillId="13" borderId="2" applyAlignment="1" pivotButton="0" quotePrefix="0" xfId="0">
      <alignment horizontal="center" vertical="center"/>
    </xf>
    <xf numFmtId="3" fontId="61" fillId="8" borderId="1" applyAlignment="1" pivotButton="0" quotePrefix="0" xfId="0">
      <alignment horizontal="center" vertical="center"/>
    </xf>
    <xf numFmtId="165" fontId="61" fillId="8" borderId="1" applyAlignment="1" pivotButton="0" quotePrefix="0" xfId="0">
      <alignment horizontal="center" vertical="center"/>
    </xf>
    <xf numFmtId="0" fontId="65" fillId="0" borderId="0" applyAlignment="1" pivotButton="0" quotePrefix="0" xfId="0">
      <alignment horizontal="left" vertical="center" wrapText="1"/>
    </xf>
    <xf numFmtId="172" fontId="67" fillId="13" borderId="0" applyAlignment="1" pivotButton="0" quotePrefix="0" xfId="0">
      <alignment horizontal="center" vertical="center"/>
    </xf>
    <xf numFmtId="0" fontId="56" fillId="13" borderId="0" applyAlignment="1" pivotButton="0" quotePrefix="0" xfId="0">
      <alignment horizontal="center" vertical="center"/>
    </xf>
    <xf numFmtId="0" fontId="67" fillId="13" borderId="0" applyAlignment="1" pivotButton="0" quotePrefix="0" xfId="0">
      <alignment horizontal="center" vertical="center"/>
    </xf>
    <xf numFmtId="0" fontId="67" fillId="13" borderId="0" applyAlignment="1" pivotButton="0" quotePrefix="0" xfId="0">
      <alignment horizontal="left" vertical="center" wrapText="1"/>
    </xf>
    <xf numFmtId="165" fontId="56" fillId="13" borderId="0" applyAlignment="1" pivotButton="0" quotePrefix="0" xfId="0">
      <alignment horizontal="center" vertical="center"/>
    </xf>
    <xf numFmtId="0" fontId="74" fillId="7" borderId="0" applyAlignment="1" pivotButton="0" quotePrefix="0" xfId="0">
      <alignment horizontal="center" vertical="center"/>
    </xf>
    <xf numFmtId="0" fontId="56" fillId="13" borderId="0" applyAlignment="1" pivotButton="0" quotePrefix="0" xfId="0">
      <alignment horizontal="left" vertical="center" wrapText="1"/>
    </xf>
    <xf numFmtId="0" fontId="67" fillId="13" borderId="0" applyAlignment="1" pivotButton="0" quotePrefix="0" xfId="0">
      <alignment horizontal="left" vertical="center"/>
    </xf>
    <xf numFmtId="0" fontId="66" fillId="0" borderId="0" applyAlignment="1" pivotButton="0" quotePrefix="0" xfId="0">
      <alignment horizontal="center" vertical="center" indent="1"/>
    </xf>
    <xf numFmtId="0" fontId="65" fillId="13" borderId="0" applyAlignment="1" pivotButton="0" quotePrefix="0" xfId="0">
      <alignment horizontal="left" vertical="center" wrapText="1"/>
    </xf>
    <xf numFmtId="0" fontId="69" fillId="10" borderId="0" applyAlignment="1" pivotButton="0" quotePrefix="0" xfId="0">
      <alignment horizontal="center" vertical="center"/>
    </xf>
    <xf numFmtId="0" fontId="68" fillId="0" borderId="0" applyAlignment="1" pivotButton="0" quotePrefix="0" xfId="0">
      <alignment horizontal="left" vertical="center"/>
    </xf>
    <xf numFmtId="0" fontId="69" fillId="10" borderId="7" applyAlignment="1" pivotButton="0" quotePrefix="0" xfId="0">
      <alignment horizontal="center" vertical="center" wrapText="1"/>
    </xf>
    <xf numFmtId="0" fontId="56" fillId="13" borderId="7" applyAlignment="1" pivotButton="0" quotePrefix="0" xfId="0">
      <alignment horizontal="center" vertical="center"/>
    </xf>
    <xf numFmtId="172" fontId="56" fillId="13" borderId="7" applyAlignment="1" pivotButton="0" quotePrefix="0" xfId="0">
      <alignment horizontal="center" vertical="center"/>
    </xf>
    <xf numFmtId="3" fontId="56" fillId="13" borderId="7" applyAlignment="1" pivotButton="0" quotePrefix="0" xfId="0">
      <alignment horizontal="center" vertical="center"/>
    </xf>
    <xf numFmtId="10" fontId="56" fillId="13" borderId="7" applyAlignment="1" pivotButton="0" quotePrefix="0" xfId="0">
      <alignment horizontal="center" vertical="center"/>
    </xf>
    <xf numFmtId="186" fontId="56" fillId="13" borderId="7" applyAlignment="1" pivotButton="0" quotePrefix="0" xfId="0">
      <alignment horizontal="center" vertical="center"/>
    </xf>
    <xf numFmtId="0" fontId="56" fillId="13" borderId="7" applyAlignment="1" pivotButton="0" quotePrefix="0" xfId="0">
      <alignment horizontal="left" vertical="center" wrapText="1"/>
    </xf>
    <xf numFmtId="1" fontId="68" fillId="13" borderId="7" applyAlignment="1" pivotButton="0" quotePrefix="0" xfId="0">
      <alignment horizontal="center" vertical="center"/>
    </xf>
    <xf numFmtId="0" fontId="68" fillId="13" borderId="7" applyAlignment="1" pivotButton="0" quotePrefix="0" xfId="0">
      <alignment horizontal="center" vertical="center"/>
    </xf>
    <xf numFmtId="0" fontId="61" fillId="11" borderId="8" applyAlignment="1" pivotButton="0" quotePrefix="0" xfId="0">
      <alignment horizontal="left" vertical="center"/>
    </xf>
    <xf numFmtId="184" fontId="61" fillId="11" borderId="8" applyAlignment="1" pivotButton="0" quotePrefix="0" xfId="0">
      <alignment horizontal="center" vertical="center"/>
    </xf>
    <xf numFmtId="0" fontId="61" fillId="11" borderId="8" applyAlignment="1" pivotButton="0" quotePrefix="0" xfId="0">
      <alignment horizontal="left" vertical="center" wrapText="1"/>
    </xf>
    <xf numFmtId="187" fontId="56" fillId="13" borderId="7" applyAlignment="1" pivotButton="0" quotePrefix="0" xfId="0">
      <alignment horizontal="center" vertical="center"/>
    </xf>
    <xf numFmtId="3" fontId="67" fillId="13" borderId="7" applyAlignment="1" pivotButton="0" quotePrefix="0" xfId="0">
      <alignment horizontal="center" vertical="center"/>
    </xf>
    <xf numFmtId="184" fontId="67" fillId="13" borderId="7" applyAlignment="1" pivotButton="0" quotePrefix="0" xfId="0">
      <alignment horizontal="center" vertical="center"/>
    </xf>
    <xf numFmtId="172" fontId="61" fillId="11" borderId="8" applyAlignment="1" pivotButton="0" quotePrefix="0" xfId="0">
      <alignment horizontal="center" vertical="center"/>
    </xf>
    <xf numFmtId="0" fontId="63" fillId="0" borderId="0" applyAlignment="1" pivotButton="0" quotePrefix="0" xfId="0">
      <alignment horizontal="center" vertical="center" wrapText="1"/>
    </xf>
    <xf numFmtId="0" fontId="57" fillId="9" borderId="10" applyAlignment="1" applyProtection="1" pivotButton="0" quotePrefix="0" xfId="0">
      <alignment horizontal="center" vertical="center" wrapText="1"/>
      <protection locked="0" hidden="0"/>
    </xf>
    <xf numFmtId="0" fontId="56" fillId="0" borderId="7" applyAlignment="1" pivotButton="0" quotePrefix="0" xfId="0">
      <alignment horizontal="center" vertical="center"/>
    </xf>
    <xf numFmtId="3" fontId="56" fillId="13" borderId="7" applyAlignment="1" pivotButton="0" quotePrefix="0" xfId="0">
      <alignment horizontal="left" vertical="center" wrapText="1"/>
    </xf>
    <xf numFmtId="0" fontId="56" fillId="13" borderId="7" applyAlignment="1" pivotButton="0" quotePrefix="0" xfId="0">
      <alignment horizontal="left" vertical="center"/>
    </xf>
    <xf numFmtId="184" fontId="72" fillId="9" borderId="10" applyAlignment="1" applyProtection="1" pivotButton="0" quotePrefix="0" xfId="0">
      <alignment horizontal="center" vertical="center"/>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protection locked="0" hidden="0"/>
    </xf>
    <xf numFmtId="0" fontId="69" fillId="10" borderId="9" applyAlignment="1" pivotButton="0" quotePrefix="0" xfId="0">
      <alignment horizontal="center" vertical="center"/>
    </xf>
    <xf numFmtId="0" fontId="68" fillId="13" borderId="0" applyAlignment="1" pivotButton="0" quotePrefix="0" xfId="0">
      <alignment horizontal="left" vertical="center" wrapText="1"/>
    </xf>
    <xf numFmtId="2" fontId="56" fillId="13" borderId="7" applyAlignment="1" pivotButton="0" quotePrefix="0" xfId="0">
      <alignment horizontal="center" vertical="center"/>
    </xf>
    <xf numFmtId="166" fontId="56" fillId="13" borderId="7" applyAlignment="1" pivotButton="0" quotePrefix="0" xfId="0">
      <alignment horizontal="center" vertical="center"/>
    </xf>
    <xf numFmtId="184" fontId="56" fillId="13" borderId="7" applyAlignment="1" pivotButton="0" quotePrefix="0" xfId="0">
      <alignment horizontal="center" vertical="center"/>
    </xf>
    <xf numFmtId="9" fontId="57" fillId="9" borderId="10" applyAlignment="1" applyProtection="1" pivotButton="0" quotePrefix="0" xfId="0">
      <alignment horizontal="center" vertical="center"/>
      <protection locked="0" hidden="0"/>
    </xf>
    <xf numFmtId="167" fontId="72" fillId="9" borderId="10" applyAlignment="1" applyProtection="1" pivotButton="0" quotePrefix="0" xfId="0">
      <alignment horizontal="center" vertical="center"/>
      <protection locked="0" hidden="0"/>
    </xf>
    <xf numFmtId="0" fontId="56" fillId="0" borderId="1" applyAlignment="1" pivotButton="0" quotePrefix="0" xfId="0">
      <alignment horizontal="center" vertical="center"/>
    </xf>
    <xf numFmtId="165" fontId="56" fillId="9" borderId="10" applyAlignment="1" applyProtection="1" pivotButton="0" quotePrefix="0" xfId="0">
      <alignment horizontal="center" vertical="center"/>
      <protection locked="0" hidden="0"/>
    </xf>
    <xf numFmtId="0" fontId="66" fillId="0" borderId="0" applyAlignment="1" pivotButton="0" quotePrefix="0" xfId="0">
      <alignment horizontal="center" vertical="center"/>
    </xf>
    <xf numFmtId="0" fontId="70" fillId="5" borderId="0" applyAlignment="1" pivotButton="0" quotePrefix="0" xfId="0">
      <alignment horizontal="left" vertical="center" wrapText="1"/>
    </xf>
    <xf numFmtId="9" fontId="72" fillId="9" borderId="10" applyAlignment="1" applyProtection="1" pivotButton="0" quotePrefix="0" xfId="0">
      <alignment horizontal="center" vertical="center"/>
      <protection locked="0" hidden="0"/>
    </xf>
    <xf numFmtId="9" fontId="56" fillId="13" borderId="1" applyAlignment="1" pivotButton="0" quotePrefix="0" xfId="0">
      <alignment horizontal="center" vertical="center"/>
    </xf>
    <xf numFmtId="0" fontId="56" fillId="0" borderId="1" applyAlignment="1" pivotButton="0" quotePrefix="0" xfId="0">
      <alignment horizontal="center" vertical="center" wrapText="1"/>
    </xf>
    <xf numFmtId="165" fontId="76" fillId="8" borderId="1" applyAlignment="1" pivotButton="0" quotePrefix="0" xfId="0">
      <alignment horizontal="center" vertical="center"/>
    </xf>
    <xf numFmtId="0" fontId="67" fillId="0" borderId="1" applyAlignment="1" pivotButton="0" quotePrefix="0" xfId="0">
      <alignment horizontal="center" vertical="center"/>
    </xf>
    <xf numFmtId="0" fontId="67" fillId="0" borderId="1" applyAlignment="1" pivotButton="0" quotePrefix="0" xfId="0">
      <alignment horizontal="center" vertical="center" wrapText="1"/>
    </xf>
    <xf numFmtId="0" fontId="61" fillId="8" borderId="1" applyAlignment="1" pivotButton="0" quotePrefix="0" xfId="0">
      <alignment horizontal="left" vertical="center" wrapText="1"/>
    </xf>
    <xf numFmtId="10" fontId="72" fillId="9" borderId="10" applyAlignment="1" applyProtection="1" pivotButton="0" quotePrefix="0" xfId="0">
      <alignment horizontal="center" vertical="center"/>
      <protection locked="0" hidden="0"/>
    </xf>
    <xf numFmtId="0" fontId="61" fillId="8" borderId="1" applyAlignment="1" pivotButton="0" quotePrefix="0" xfId="0">
      <alignment horizontal="center" vertical="center"/>
    </xf>
    <xf numFmtId="0" fontId="61" fillId="9" borderId="10" applyAlignment="1" applyProtection="1" pivotButton="0" quotePrefix="0" xfId="0">
      <alignment horizontal="center" vertical="center"/>
      <protection locked="0" hidden="0"/>
    </xf>
    <xf numFmtId="173" fontId="57" fillId="9" borderId="10" applyAlignment="1" applyProtection="1" pivotButton="0" quotePrefix="0" xfId="0">
      <alignment horizontal="center" vertical="center"/>
      <protection locked="0" hidden="0"/>
    </xf>
    <xf numFmtId="0" fontId="52" fillId="10" borderId="0" applyAlignment="1" pivotButton="0" quotePrefix="0" xfId="0">
      <alignment horizontal="left" vertical="center" wrapText="1"/>
    </xf>
    <xf numFmtId="9" fontId="56" fillId="13" borderId="7" applyAlignment="1" pivotButton="0" quotePrefix="0" xfId="0">
      <alignment horizontal="center" vertical="center"/>
    </xf>
    <xf numFmtId="0" fontId="68" fillId="0" borderId="9" applyAlignment="1" pivotButton="0" quotePrefix="0" xfId="0">
      <alignment horizontal="left" vertical="center" wrapText="1"/>
    </xf>
    <xf numFmtId="9" fontId="56" fillId="0" borderId="7" applyAlignment="1" pivotButton="0" quotePrefix="0" xfId="0">
      <alignment horizontal="center" vertical="center"/>
    </xf>
    <xf numFmtId="0" fontId="67" fillId="11" borderId="7" applyAlignment="1" pivotButton="0" quotePrefix="0" xfId="0">
      <alignment horizontal="center" vertical="center"/>
    </xf>
    <xf numFmtId="184" fontId="67" fillId="11" borderId="7" applyAlignment="1" pivotButton="0" quotePrefix="0" xfId="0">
      <alignment horizontal="center" vertical="center"/>
    </xf>
    <xf numFmtId="0" fontId="68" fillId="11" borderId="9" applyAlignment="1" pivotButton="0" quotePrefix="0" xfId="0">
      <alignment horizontal="left" vertical="center" wrapText="1"/>
    </xf>
    <xf numFmtId="167" fontId="61" fillId="11" borderId="8" applyAlignment="1" pivotButton="0" quotePrefix="0" xfId="0">
      <alignment horizontal="center" vertical="center"/>
    </xf>
    <xf numFmtId="188" fontId="56" fillId="13" borderId="7" applyAlignment="1" pivotButton="0" quotePrefix="0" xfId="0">
      <alignment horizontal="center" vertical="center"/>
    </xf>
    <xf numFmtId="0" fontId="67" fillId="11" borderId="7" applyAlignment="1" pivotButton="0" quotePrefix="0" xfId="0">
      <alignment horizontal="center" vertical="center" wrapText="1"/>
    </xf>
    <xf numFmtId="0" fontId="68" fillId="11" borderId="7" applyAlignment="1" pivotButton="0" quotePrefix="0" xfId="0">
      <alignment horizontal="left" vertical="center"/>
    </xf>
    <xf numFmtId="174" fontId="72" fillId="9" borderId="10" applyAlignment="1" applyProtection="1" pivotButton="0" quotePrefix="0" xfId="0">
      <alignment horizontal="center" vertical="center"/>
      <protection locked="0" hidden="0"/>
    </xf>
    <xf numFmtId="175" fontId="72" fillId="13" borderId="0" applyAlignment="1" pivotButton="0" quotePrefix="0" xfId="0">
      <alignment horizontal="center" vertical="center"/>
    </xf>
    <xf numFmtId="165" fontId="72" fillId="13" borderId="0" applyAlignment="1" pivotButton="0" quotePrefix="0" xfId="0">
      <alignment horizontal="center" vertical="center"/>
    </xf>
    <xf numFmtId="1" fontId="57" fillId="13" borderId="1" applyAlignment="1" pivotButton="0" quotePrefix="0" xfId="0">
      <alignment horizontal="center" vertical="center"/>
    </xf>
    <xf numFmtId="2" fontId="72" fillId="9" borderId="10" applyAlignment="1" applyProtection="1" pivotButton="0" quotePrefix="0" xfId="0">
      <alignment horizontal="center" vertical="center"/>
      <protection locked="0" hidden="0"/>
    </xf>
    <xf numFmtId="172" fontId="57" fillId="9" borderId="10" applyAlignment="1" applyProtection="1" pivotButton="0" quotePrefix="0" xfId="0">
      <alignment horizontal="center" vertical="center"/>
      <protection locked="0" hidden="0"/>
    </xf>
    <xf numFmtId="0" fontId="76" fillId="13" borderId="1" applyAlignment="1" pivotButton="0" quotePrefix="0" xfId="0">
      <alignment horizontal="center" vertical="center"/>
    </xf>
    <xf numFmtId="3" fontId="72" fillId="13" borderId="0" applyAlignment="1" pivotButton="0" quotePrefix="0" xfId="0">
      <alignment horizontal="center" vertical="center"/>
    </xf>
    <xf numFmtId="176" fontId="72" fillId="9" borderId="10" applyAlignment="1" applyProtection="1" pivotButton="0" quotePrefix="0" xfId="0">
      <alignment horizontal="center" vertical="center"/>
      <protection locked="0" hidden="0"/>
    </xf>
    <xf numFmtId="168" fontId="71" fillId="13" borderId="2" applyAlignment="1" pivotButton="0" quotePrefix="0" xfId="0">
      <alignment horizontal="center" vertical="center"/>
    </xf>
    <xf numFmtId="0" fontId="76" fillId="0" borderId="0" applyAlignment="1" pivotButton="0" quotePrefix="0" xfId="0">
      <alignment horizontal="left" vertical="center" wrapText="1"/>
    </xf>
    <xf numFmtId="172" fontId="72" fillId="13" borderId="0" applyAlignment="1" pivotButton="0" quotePrefix="0" xfId="0">
      <alignment horizontal="center" vertical="center"/>
    </xf>
    <xf numFmtId="4" fontId="72" fillId="13" borderId="0" applyAlignment="1" pivotButton="0" quotePrefix="0" xfId="0">
      <alignment horizontal="center" vertical="center"/>
    </xf>
    <xf numFmtId="175" fontId="72" fillId="9" borderId="10" applyAlignment="1" applyProtection="1" pivotButton="0" quotePrefix="0" xfId="0">
      <alignment horizontal="center" vertical="center"/>
      <protection locked="0" hidden="0"/>
    </xf>
    <xf numFmtId="165" fontId="72" fillId="9" borderId="10" applyAlignment="1" applyProtection="1" pivotButton="0" quotePrefix="0" xfId="0">
      <alignment horizontal="center" vertical="center"/>
      <protection locked="0" hidden="0"/>
    </xf>
    <xf numFmtId="165" fontId="67" fillId="13" borderId="1" applyAlignment="1" pivotButton="0" quotePrefix="0" xfId="0">
      <alignment horizontal="center" vertical="center"/>
    </xf>
    <xf numFmtId="0" fontId="70" fillId="0" borderId="0" applyAlignment="1" pivotButton="0" quotePrefix="0" xfId="0">
      <alignment horizontal="center" vertical="center" wrapText="1"/>
    </xf>
    <xf numFmtId="0" fontId="72" fillId="13" borderId="0" applyAlignment="1" pivotButton="0" quotePrefix="0" xfId="0">
      <alignment horizontal="left" vertical="center" wrapText="1"/>
    </xf>
    <xf numFmtId="4" fontId="72" fillId="9" borderId="10" applyAlignment="1" applyProtection="1" pivotButton="0" quotePrefix="0" xfId="0">
      <alignment horizontal="center" vertical="center"/>
      <protection locked="0" hidden="0"/>
    </xf>
    <xf numFmtId="0" fontId="68" fillId="0" borderId="0" applyAlignment="1" pivotButton="0" quotePrefix="0" xfId="0">
      <alignment horizontal="center" vertical="center" indent="1"/>
    </xf>
    <xf numFmtId="9" fontId="72" fillId="13" borderId="0" applyAlignment="1" pivotButton="0" quotePrefix="0" xfId="0">
      <alignment horizontal="center" vertical="center"/>
    </xf>
    <xf numFmtId="0" fontId="72" fillId="13" borderId="0" applyAlignment="1" pivotButton="0" quotePrefix="0" xfId="0">
      <alignment horizontal="left" vertical="center"/>
    </xf>
    <xf numFmtId="177" fontId="72" fillId="9" borderId="10" applyAlignment="1" applyProtection="1" pivotButton="0" quotePrefix="0" xfId="0">
      <alignment horizontal="center" vertical="center"/>
      <protection locked="0" hidden="0"/>
    </xf>
    <xf numFmtId="177" fontId="57" fillId="9" borderId="10" applyAlignment="1" applyProtection="1" pivotButton="0" quotePrefix="0" xfId="0">
      <alignment horizontal="center" vertical="center"/>
      <protection locked="0" hidden="0"/>
    </xf>
    <xf numFmtId="3" fontId="61" fillId="13" borderId="1" applyAlignment="1" pivotButton="0" quotePrefix="0" xfId="0">
      <alignment horizontal="center" vertical="center"/>
    </xf>
    <xf numFmtId="173" fontId="72" fillId="9" borderId="10" applyAlignment="1" applyProtection="1" pivotButton="0" quotePrefix="0" xfId="0">
      <alignment horizontal="center" vertical="center"/>
      <protection locked="0" hidden="0"/>
    </xf>
    <xf numFmtId="182" fontId="61" fillId="13" borderId="1" applyAlignment="1" pivotButton="0" quotePrefix="0" xfId="0">
      <alignment horizontal="center" vertical="center"/>
    </xf>
    <xf numFmtId="0" fontId="61" fillId="13" borderId="1" applyAlignment="1" pivotButton="0" quotePrefix="0" xfId="0">
      <alignment horizontal="left" vertical="center" wrapText="1"/>
    </xf>
    <xf numFmtId="178" fontId="72" fillId="9" borderId="10" applyAlignment="1" applyProtection="1" pivotButton="0" quotePrefix="0" xfId="0">
      <alignment horizontal="center" vertical="center"/>
      <protection locked="0" hidden="0"/>
    </xf>
    <xf numFmtId="0" fontId="66" fillId="0" borderId="1" applyAlignment="1" pivotButton="0" quotePrefix="0" xfId="0">
      <alignment horizontal="left" vertical="center"/>
    </xf>
    <xf numFmtId="0" fontId="57" fillId="9" borderId="10" applyAlignment="1" applyProtection="1" pivotButton="0" quotePrefix="0" xfId="0">
      <alignment horizontal="left" vertical="center" wrapText="1"/>
      <protection locked="0" hidden="0"/>
    </xf>
    <xf numFmtId="0" fontId="12" fillId="2" borderId="1" applyAlignment="1" pivotButton="0" quotePrefix="0" xfId="0">
      <alignment horizontal="center" vertical="center"/>
    </xf>
    <xf numFmtId="0" fontId="28" fillId="0" borderId="0" applyAlignment="1" pivotButton="0" quotePrefix="0" xfId="0">
      <alignment horizontal="center" vertical="center"/>
    </xf>
    <xf numFmtId="0" fontId="33" fillId="7" borderId="0" applyAlignment="1" pivotButton="0" quotePrefix="0" xfId="0">
      <alignment horizontal="left" vertical="center" wrapText="1"/>
    </xf>
    <xf numFmtId="0" fontId="8" fillId="0" borderId="0" applyAlignment="1" pivotButton="0" quotePrefix="0" xfId="0">
      <alignment horizontal="center" vertical="center"/>
    </xf>
    <xf numFmtId="165" fontId="8" fillId="0" borderId="0" applyAlignment="1" pivotButton="0" quotePrefix="0" xfId="0">
      <alignment horizontal="center" vertical="center"/>
    </xf>
    <xf numFmtId="0" fontId="14" fillId="0" borderId="0" applyAlignment="1" pivotButton="0" quotePrefix="0" xfId="0">
      <alignment horizontal="center" vertical="center"/>
    </xf>
    <xf numFmtId="0" fontId="9" fillId="0" borderId="0" applyAlignment="1" pivotButton="0" quotePrefix="0" xfId="0">
      <alignment horizontal="left" vertical="center"/>
    </xf>
    <xf numFmtId="0" fontId="27" fillId="2" borderId="0" applyAlignment="1" pivotButton="0" quotePrefix="0" xfId="0">
      <alignment horizontal="center" vertical="center" indent="1"/>
    </xf>
    <xf numFmtId="0" fontId="27" fillId="2" borderId="0" applyAlignment="1" pivotButton="0" quotePrefix="0" xfId="0">
      <alignment horizontal="center" vertical="center"/>
    </xf>
    <xf numFmtId="0" fontId="27" fillId="2"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2" applyAlignment="1" pivotButton="0" quotePrefix="0" xfId="0">
      <alignment horizontal="center" vertical="center"/>
    </xf>
    <xf numFmtId="0" fontId="35" fillId="0" borderId="2" applyAlignment="1" pivotButton="0" quotePrefix="0" xfId="0">
      <alignment horizontal="center" vertical="center" wrapText="1"/>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0" fontId="38" fillId="0" borderId="0" applyAlignment="1" pivotButton="0" quotePrefix="0" xfId="0">
      <alignment horizontal="center" vertical="center"/>
    </xf>
    <xf numFmtId="0" fontId="8" fillId="0" borderId="0" applyAlignment="1" pivotButton="0" quotePrefix="0" xfId="0">
      <alignment horizontal="left" vertical="center" wrapText="1"/>
    </xf>
    <xf numFmtId="0" fontId="8" fillId="0" borderId="0" applyAlignment="1" pivotButton="0" quotePrefix="0" xfId="0">
      <alignment horizontal="left" vertical="center" wrapText="1" indent="1"/>
    </xf>
    <xf numFmtId="0" fontId="9" fillId="0" borderId="0" applyAlignment="1" pivotButton="0" quotePrefix="0" xfId="0">
      <alignment horizontal="left" vertical="center" wrapText="1"/>
    </xf>
    <xf numFmtId="0" fontId="10" fillId="0" borderId="0" applyAlignment="1" pivotButton="0" quotePrefix="0" xfId="0">
      <alignment horizontal="center" vertical="center" wrapText="1"/>
    </xf>
    <xf numFmtId="49" fontId="39" fillId="0" borderId="2" applyAlignment="1" pivotButton="0" quotePrefix="0" xfId="0">
      <alignment horizontal="center" vertical="center"/>
    </xf>
    <xf numFmtId="0" fontId="14" fillId="0" borderId="2" applyAlignment="1" pivotButton="0" quotePrefix="0" xfId="0">
      <alignment horizontal="center" vertical="center"/>
    </xf>
    <xf numFmtId="0" fontId="33" fillId="7" borderId="0" applyAlignment="1" pivotButton="0" quotePrefix="0" xfId="0">
      <alignment horizontal="left" vertical="center" wrapText="1"/>
    </xf>
    <xf numFmtId="0" fontId="16" fillId="0" borderId="0" applyAlignment="1" pivotButton="0" quotePrefix="0" xfId="0">
      <alignment horizontal="left" vertical="center" wrapText="1"/>
    </xf>
    <xf numFmtId="179" fontId="0" fillId="0" borderId="0" applyAlignment="1" pivotButton="0" quotePrefix="0" xfId="0">
      <alignment horizontal="center" vertical="center"/>
    </xf>
    <xf numFmtId="0" fontId="10" fillId="0" borderId="0" applyAlignment="1" pivotButton="0" quotePrefix="0" xfId="0">
      <alignment horizontal="left" vertical="center" wrapText="1" indent="1"/>
    </xf>
    <xf numFmtId="0" fontId="27" fillId="2" borderId="2" applyAlignment="1" pivotButton="0" quotePrefix="0" xfId="0">
      <alignment horizontal="center" vertical="center" indent="1"/>
    </xf>
    <xf numFmtId="0" fontId="27" fillId="2" borderId="2" applyAlignment="1" pivotButton="0" quotePrefix="0" xfId="0">
      <alignment horizontal="center" vertical="center"/>
    </xf>
    <xf numFmtId="0" fontId="27" fillId="2" borderId="2" applyAlignment="1" pivotButton="0" quotePrefix="0" xfId="0">
      <alignment horizontal="center" vertical="center" wrapText="1"/>
    </xf>
    <xf numFmtId="0" fontId="35" fillId="0" borderId="2" applyAlignment="1" pivotButton="0" quotePrefix="0" xfId="0">
      <alignment horizontal="center" vertical="center" indent="1"/>
    </xf>
    <xf numFmtId="0" fontId="40" fillId="0" borderId="2" applyAlignment="1" pivotButton="0" quotePrefix="0" xfId="0">
      <alignment horizontal="center" vertical="center"/>
    </xf>
    <xf numFmtId="0" fontId="41" fillId="0" borderId="2" applyAlignment="1" pivotButton="0" quotePrefix="0" xfId="0">
      <alignment horizontal="left" vertical="center" wrapText="1"/>
    </xf>
    <xf numFmtId="0" fontId="42" fillId="0" borderId="2" applyAlignment="1" pivotButton="0" quotePrefix="0" xfId="0">
      <alignment horizontal="left" vertical="center" wrapText="1"/>
    </xf>
    <xf numFmtId="0" fontId="42" fillId="0" borderId="2" applyAlignment="1" pivotButton="0" quotePrefix="0" xfId="0">
      <alignment horizontal="left" vertical="center" wrapText="1" indent="1"/>
    </xf>
    <xf numFmtId="0" fontId="39" fillId="0" borderId="0" applyAlignment="1" pivotButton="0" quotePrefix="0" xfId="0">
      <alignment horizontal="center" vertical="center" wrapText="1"/>
    </xf>
    <xf numFmtId="0" fontId="24" fillId="0" borderId="0" applyAlignment="1" pivotButton="0" quotePrefix="0" xfId="0">
      <alignment horizontal="left" vertical="center" wrapText="1"/>
    </xf>
    <xf numFmtId="0" fontId="4" fillId="2" borderId="0" applyAlignment="1" pivotButton="0" quotePrefix="0" xfId="0">
      <alignment horizontal="center" vertical="center" indent="1"/>
    </xf>
    <xf numFmtId="0" fontId="5" fillId="0" borderId="0" applyAlignment="1" pivotButton="0" quotePrefix="0" xfId="0">
      <alignment horizontal="left" vertical="center" wrapText="1" indent="1"/>
    </xf>
    <xf numFmtId="0" fontId="12" fillId="2" borderId="0" applyAlignment="1" pivotButton="0" quotePrefix="0" xfId="0">
      <alignment horizontal="center" vertical="center"/>
    </xf>
    <xf numFmtId="0" fontId="10" fillId="0" borderId="0" applyAlignment="1" pivotButton="0" quotePrefix="0" xfId="0">
      <alignment horizontal="center" vertical="center"/>
    </xf>
    <xf numFmtId="180" fontId="8" fillId="0" borderId="0" applyAlignment="1" pivotButton="0" quotePrefix="0" xfId="0">
      <alignment horizontal="center" vertical="center"/>
    </xf>
    <xf numFmtId="0" fontId="26" fillId="0" borderId="2" applyAlignment="1" pivotButton="0" quotePrefix="0" xfId="0">
      <alignment horizontal="center" vertical="center"/>
    </xf>
    <xf numFmtId="0" fontId="24" fillId="0" borderId="2" applyAlignment="1" pivotButton="0" quotePrefix="0" xfId="0">
      <alignment horizontal="left" vertical="center" wrapText="1"/>
    </xf>
    <xf numFmtId="3" fontId="14" fillId="0" borderId="2" applyAlignment="1" pivotButton="0" quotePrefix="0" xfId="0">
      <alignment horizontal="center" vertical="center"/>
    </xf>
    <xf numFmtId="0" fontId="26" fillId="0" borderId="2" applyAlignment="1" pivotButton="0" quotePrefix="0" xfId="0">
      <alignment horizontal="left" vertical="center" wrapText="1" indent="1"/>
    </xf>
    <xf numFmtId="2" fontId="14" fillId="0" borderId="2" applyAlignment="1" pivotButton="0" quotePrefix="0" xfId="0">
      <alignment horizontal="center" vertical="center"/>
    </xf>
    <xf numFmtId="0" fontId="30" fillId="7" borderId="2" applyAlignment="1" pivotButton="0" quotePrefix="0" xfId="0">
      <alignment horizontal="left" vertical="center" wrapText="1"/>
    </xf>
    <xf numFmtId="166" fontId="22" fillId="9" borderId="2" applyAlignment="1" applyProtection="1" pivotButton="0" quotePrefix="0" xfId="0">
      <alignment horizontal="center" vertical="center"/>
      <protection locked="0" hidden="0"/>
    </xf>
    <xf numFmtId="0" fontId="26" fillId="0" borderId="2" applyAlignment="1" pivotButton="0" quotePrefix="0" xfId="0">
      <alignment horizontal="left" vertical="center" wrapText="1"/>
    </xf>
    <xf numFmtId="0" fontId="6" fillId="0" borderId="0" applyAlignment="1" pivotButton="0" quotePrefix="0" xfId="0">
      <alignment horizontal="center" vertical="center" wrapText="1"/>
    </xf>
    <xf numFmtId="0" fontId="9" fillId="0" borderId="0" applyAlignment="1" pivotButton="0" quotePrefix="0" xfId="0">
      <alignment horizontal="left" vertical="center" wrapText="1" indent="1"/>
    </xf>
    <xf numFmtId="167" fontId="49" fillId="0" borderId="0" applyAlignment="1" pivotButton="0" quotePrefix="0" xfId="0">
      <alignment horizontal="center" vertical="center"/>
    </xf>
    <xf numFmtId="181" fontId="49" fillId="0" borderId="0" applyAlignment="1" pivotButton="0" quotePrefix="0" xfId="0">
      <alignment horizontal="center" vertical="center"/>
    </xf>
    <xf numFmtId="181" fontId="0" fillId="0" borderId="0" applyAlignment="1" pivotButton="0" quotePrefix="0" xfId="0">
      <alignment horizontal="center" vertical="center"/>
    </xf>
    <xf numFmtId="167" fontId="0" fillId="0" borderId="0" applyAlignment="1" pivotButton="0" quotePrefix="0" xfId="0">
      <alignment horizontal="center" vertical="center"/>
    </xf>
    <xf numFmtId="0" fontId="6" fillId="0" borderId="0" applyAlignment="1" pivotButton="0" quotePrefix="0" xfId="0">
      <alignment horizontal="center" vertical="center"/>
    </xf>
    <xf numFmtId="0" fontId="9" fillId="0" borderId="0" applyAlignment="1" pivotButton="0" quotePrefix="0" xfId="0">
      <alignment horizontal="left" vertical="center" wrapText="1"/>
    </xf>
    <xf numFmtId="2" fontId="49" fillId="0" borderId="0" applyAlignment="1" pivotButton="0" quotePrefix="0" xfId="0">
      <alignment horizontal="center" vertical="center"/>
    </xf>
    <xf numFmtId="183" fontId="49" fillId="0" borderId="0" applyAlignment="1" pivotButton="0" quotePrefix="0" xfId="0">
      <alignment horizontal="center" vertical="center"/>
    </xf>
    <xf numFmtId="0" fontId="49" fillId="0" borderId="0" applyAlignment="1" pivotButton="0" quotePrefix="0" xfId="0">
      <alignment horizontal="left" vertical="center" wrapText="1"/>
    </xf>
    <xf numFmtId="0" fontId="6" fillId="0" borderId="0" applyAlignment="1" pivotButton="0" quotePrefix="0" xfId="0">
      <alignment horizontal="left" vertical="center" wrapText="1"/>
    </xf>
    <xf numFmtId="0" fontId="12" fillId="2" borderId="2" applyAlignment="1" pivotButton="0" quotePrefix="0" xfId="0">
      <alignment horizontal="center" vertical="center"/>
    </xf>
    <xf numFmtId="0" fontId="43" fillId="0" borderId="0" applyAlignment="1" pivotButton="0" quotePrefix="0" xfId="0">
      <alignment horizontal="left" vertical="center" wrapText="1"/>
    </xf>
    <xf numFmtId="0" fontId="43" fillId="0" borderId="0" applyAlignment="1" pivotButton="0" quotePrefix="0" xfId="0">
      <alignment horizontal="left" vertical="center"/>
    </xf>
    <xf numFmtId="0" fontId="13" fillId="0" borderId="2" applyAlignment="1" pivotButton="0" quotePrefix="0" xfId="0">
      <alignment horizontal="center" vertical="center" indent="1"/>
    </xf>
    <xf numFmtId="0" fontId="13" fillId="0" borderId="2" applyAlignment="1" pivotButton="0" quotePrefix="0" xfId="0">
      <alignment horizontal="center" vertical="center"/>
    </xf>
    <xf numFmtId="0" fontId="44" fillId="0" borderId="2" applyAlignment="1" pivotButton="0" quotePrefix="0" xfId="0">
      <alignment horizontal="center" vertical="center"/>
    </xf>
    <xf numFmtId="0" fontId="49" fillId="0" borderId="0" applyAlignment="1" pivotButton="0" quotePrefix="0" xfId="0">
      <alignment horizontal="center" vertical="center"/>
    </xf>
    <xf numFmtId="0" fontId="45" fillId="0" borderId="2" applyAlignment="1" pivotButton="0" quotePrefix="0" xfId="0">
      <alignment horizontal="center" vertical="center"/>
    </xf>
    <xf numFmtId="0" fontId="44" fillId="0" borderId="2" applyAlignment="1" pivotButton="0" quotePrefix="0" xfId="0">
      <alignment horizontal="center" vertical="center" wrapText="1"/>
    </xf>
    <xf numFmtId="0" fontId="29" fillId="0" borderId="2" applyAlignment="1" pivotButton="0" quotePrefix="0" xfId="0">
      <alignment horizontal="left" vertical="center" wrapText="1"/>
    </xf>
    <xf numFmtId="0" fontId="29" fillId="0" borderId="2" applyAlignment="1" pivotButton="0" quotePrefix="0" xfId="0">
      <alignment horizontal="left" vertical="center"/>
    </xf>
    <xf numFmtId="0" fontId="14" fillId="0" borderId="2" applyAlignment="1" pivotButton="0" quotePrefix="0" xfId="0">
      <alignment horizontal="left" vertical="center" wrapText="1"/>
    </xf>
    <xf numFmtId="0" fontId="14" fillId="0" borderId="0" applyAlignment="1" pivotButton="0" quotePrefix="0" xfId="0">
      <alignment horizontal="left" vertical="center" wrapText="1"/>
    </xf>
    <xf numFmtId="0" fontId="14" fillId="0" borderId="2" applyAlignment="1" pivotButton="0" quotePrefix="0" xfId="0">
      <alignment horizontal="center" vertical="center" wrapText="1"/>
    </xf>
    <xf numFmtId="0" fontId="29" fillId="7" borderId="0" applyAlignment="1" pivotButton="0" quotePrefix="0" xfId="0">
      <alignment horizontal="left" vertical="center" wrapText="1"/>
    </xf>
    <xf numFmtId="0" fontId="0" fillId="0" borderId="2" applyAlignment="1" pivotButton="0" quotePrefix="0" xfId="0">
      <alignment horizontal="center" vertical="center"/>
    </xf>
    <xf numFmtId="0" fontId="13" fillId="0" borderId="2" applyAlignment="1" pivotButton="0" quotePrefix="0" xfId="0">
      <alignment horizontal="center" vertical="center" wrapText="1"/>
    </xf>
    <xf numFmtId="0" fontId="4" fillId="2" borderId="0" applyAlignment="1" pivotButton="0" quotePrefix="0" xfId="0">
      <alignment horizontal="center" vertical="center" wrapText="1"/>
    </xf>
    <xf numFmtId="0" fontId="16" fillId="0" borderId="0" applyAlignment="1" pivotButton="0" quotePrefix="0" xfId="0">
      <alignment horizontal="left" vertical="center" wrapText="1" indent="1"/>
    </xf>
    <xf numFmtId="0" fontId="13" fillId="0" borderId="2" applyAlignment="1" pivotButton="0" quotePrefix="0" xfId="0">
      <alignment horizontal="left" vertical="center" wrapText="1"/>
    </xf>
    <xf numFmtId="0" fontId="13" fillId="0" borderId="2" applyAlignment="1" pivotButton="0" quotePrefix="0" xfId="0">
      <alignment horizontal="center" vertical="center" wrapText="1" indent="1"/>
    </xf>
    <xf numFmtId="0" fontId="14" fillId="0" borderId="2" applyAlignment="1" pivotButton="0" quotePrefix="0" xfId="0">
      <alignment horizontal="center" vertical="center" indent="1"/>
    </xf>
    <xf numFmtId="175" fontId="14" fillId="0" borderId="2" applyAlignment="1" pivotButton="0" quotePrefix="0" xfId="0">
      <alignment horizontal="center" vertical="center"/>
    </xf>
    <xf numFmtId="165" fontId="14" fillId="0" borderId="2" applyAlignment="1" pivotButton="0" quotePrefix="0" xfId="0">
      <alignment horizontal="center" vertical="center"/>
    </xf>
    <xf numFmtId="0" fontId="46" fillId="5" borderId="2" applyAlignment="1" pivotButton="0" quotePrefix="0" xfId="0">
      <alignment horizontal="center" vertical="center"/>
    </xf>
    <xf numFmtId="0" fontId="47" fillId="0" borderId="2" applyAlignment="1" pivotButton="0" quotePrefix="0" xfId="0">
      <alignment horizontal="left" vertical="center" wrapText="1"/>
    </xf>
    <xf numFmtId="0" fontId="33" fillId="3" borderId="2" applyAlignment="1" pivotButton="0" quotePrefix="0" xfId="0">
      <alignment horizontal="left" vertical="center"/>
    </xf>
    <xf numFmtId="0" fontId="39" fillId="3" borderId="2" applyAlignment="1" pivotButton="0" quotePrefix="0" xfId="0">
      <alignment horizontal="center" vertical="center"/>
    </xf>
    <xf numFmtId="0" fontId="48" fillId="3" borderId="2" applyAlignment="1" pivotButton="0" quotePrefix="0" xfId="0">
      <alignment horizontal="left" vertical="center" wrapText="1"/>
    </xf>
    <xf numFmtId="0" fontId="46" fillId="5" borderId="2" applyAlignment="1" pivotButton="0" quotePrefix="0" xfId="0">
      <alignment horizontal="center" vertical="center" wrapText="1"/>
    </xf>
    <xf numFmtId="0" fontId="16" fillId="0" borderId="0" applyAlignment="1" pivotButton="0" quotePrefix="0" xfId="0">
      <alignment horizontal="center" vertical="center"/>
    </xf>
    <xf numFmtId="0" fontId="39" fillId="0" borderId="2" applyAlignment="1" pivotButton="0" quotePrefix="0" xfId="0">
      <alignment horizontal="center" vertical="center"/>
    </xf>
    <xf numFmtId="0" fontId="46" fillId="0" borderId="2" applyAlignment="1" pivotButton="0" quotePrefix="0" xfId="0">
      <alignment horizontal="center" vertical="center"/>
    </xf>
    <xf numFmtId="0" fontId="33" fillId="0" borderId="2" applyAlignment="1" pivotButton="0" quotePrefix="0" xfId="0">
      <alignment horizontal="center" vertical="center"/>
    </xf>
    <xf numFmtId="0" fontId="10" fillId="0" borderId="0" applyAlignment="1" pivotButton="0" quotePrefix="0" xfId="0">
      <alignment horizontal="left" vertical="center" wrapText="1"/>
    </xf>
    <xf numFmtId="0" fontId="33" fillId="0" borderId="2" applyAlignment="1" pivotButton="0" quotePrefix="0" xfId="0">
      <alignment horizontal="left" vertical="center"/>
    </xf>
    <xf numFmtId="0" fontId="39" fillId="0" borderId="2" applyAlignment="1" pivotButton="0" quotePrefix="0" xfId="0">
      <alignment horizontal="left" vertical="center" wrapText="1"/>
    </xf>
    <xf numFmtId="0" fontId="4" fillId="2" borderId="0" applyAlignment="1" pivotButton="0" quotePrefix="0" xfId="0">
      <alignment horizontal="center" vertical="center"/>
    </xf>
    <xf numFmtId="0" fontId="65" fillId="9" borderId="10" applyAlignment="1" applyProtection="1" pivotButton="0" quotePrefix="0" xfId="0">
      <alignment horizontal="center" vertical="center"/>
      <protection locked="0" hidden="0"/>
    </xf>
    <xf numFmtId="0" fontId="66" fillId="0" borderId="16" applyAlignment="1" pivotButton="0" quotePrefix="0" xfId="0">
      <alignment horizontal="left" vertical="center" wrapText="1"/>
    </xf>
    <xf numFmtId="0" fontId="59" fillId="0" borderId="14" applyAlignment="1" applyProtection="1" pivotButton="0" quotePrefix="0" xfId="0">
      <alignment horizontal="center" vertical="center"/>
      <protection locked="0" hidden="0"/>
    </xf>
    <xf numFmtId="0" fontId="67" fillId="0" borderId="0" applyAlignment="1" pivotButton="0" quotePrefix="0" xfId="0">
      <alignment horizontal="center" vertical="center"/>
    </xf>
    <xf numFmtId="0" fontId="55" fillId="9" borderId="10" applyAlignment="1" applyProtection="1" pivotButton="0" quotePrefix="0" xfId="0">
      <alignment horizontal="center" vertical="center"/>
      <protection locked="0" hidden="0"/>
    </xf>
    <xf numFmtId="0" fontId="56" fillId="9" borderId="10" applyAlignment="1" applyProtection="1" pivotButton="0" quotePrefix="0" xfId="0">
      <alignment horizontal="center" vertical="center"/>
      <protection locked="0" hidden="0"/>
    </xf>
    <xf numFmtId="0" fontId="68" fillId="9" borderId="10" applyAlignment="1" applyProtection="1" pivotButton="0" quotePrefix="0" xfId="0">
      <alignment horizontal="left" vertical="center" wrapText="1"/>
      <protection locked="0" hidden="0"/>
    </xf>
    <xf numFmtId="0" fontId="55" fillId="0" borderId="0" applyAlignment="1" pivotButton="0" quotePrefix="0" xfId="0">
      <alignment horizontal="center" vertical="center"/>
    </xf>
    <xf numFmtId="0" fontId="56" fillId="0" borderId="0" applyAlignment="1" pivotButton="0" quotePrefix="0" xfId="0">
      <alignment horizontal="center" vertical="center"/>
    </xf>
    <xf numFmtId="0" fontId="57" fillId="9" borderId="10" applyAlignment="1" applyProtection="1" pivotButton="0" quotePrefix="0" xfId="0">
      <alignment horizontal="center" vertical="center"/>
      <protection locked="0" hidden="0"/>
    </xf>
    <xf numFmtId="0" fontId="66" fillId="9" borderId="10" applyAlignment="1" applyProtection="1" pivotButton="0" quotePrefix="0" xfId="0">
      <alignment horizontal="left" vertical="center" wrapText="1"/>
      <protection locked="0" hidden="0"/>
    </xf>
    <xf numFmtId="0" fontId="66" fillId="9" borderId="10" applyAlignment="1" applyProtection="1" pivotButton="0" quotePrefix="0" xfId="0">
      <alignment horizontal="center" vertical="center"/>
      <protection locked="0" hidden="0"/>
    </xf>
    <xf numFmtId="0" fontId="69" fillId="2" borderId="1" applyAlignment="1" pivotButton="0" quotePrefix="0" xfId="0">
      <alignment horizontal="center" vertical="center"/>
    </xf>
    <xf numFmtId="0" fontId="70" fillId="0" borderId="0" applyAlignment="1" pivotButton="0" quotePrefix="0" xfId="0">
      <alignment horizontal="center" vertical="center"/>
    </xf>
    <xf numFmtId="0" fontId="71" fillId="9" borderId="10" applyAlignment="1" applyProtection="1" pivotButton="0" quotePrefix="0" xfId="0">
      <alignment horizontal="center" vertical="center"/>
      <protection locked="0" hidden="0"/>
    </xf>
    <xf numFmtId="0" fontId="71" fillId="9" borderId="10" applyAlignment="1" applyProtection="1" pivotButton="0" quotePrefix="0" xfId="0">
      <alignment horizontal="left" vertical="center" wrapText="1"/>
      <protection locked="0" hidden="0"/>
    </xf>
    <xf numFmtId="0" fontId="70" fillId="0" borderId="0" applyAlignment="1" pivotButton="0" quotePrefix="0" xfId="0">
      <alignment horizontal="left" vertical="center" wrapText="1"/>
    </xf>
    <xf numFmtId="0" fontId="0" fillId="0" borderId="0" applyAlignment="1" pivotButton="0" quotePrefix="0" xfId="0">
      <alignment horizontal="center" vertical="center"/>
    </xf>
    <xf numFmtId="0" fontId="41" fillId="0" borderId="2" applyAlignment="1" pivotButton="0" quotePrefix="0" xfId="0">
      <alignment vertical="top" wrapText="1"/>
    </xf>
    <xf numFmtId="0" fontId="0" fillId="10" borderId="0" applyAlignment="1" pivotButton="0" quotePrefix="0" xfId="0">
      <alignment horizontal="center" vertical="center"/>
    </xf>
    <xf numFmtId="0" fontId="52" fillId="10" borderId="0" applyAlignment="1" pivotButton="0" quotePrefix="0" xfId="0">
      <alignment horizontal="center" vertical="center"/>
    </xf>
    <xf numFmtId="0" fontId="0" fillId="0" borderId="0" applyAlignment="1" pivotButton="0" quotePrefix="0" xfId="0">
      <alignment horizontal="center" vertical="center"/>
    </xf>
    <xf numFmtId="0" fontId="77" fillId="0" borderId="0" applyAlignment="1" pivotButton="0" quotePrefix="0" xfId="0">
      <alignment horizontal="left" vertical="center" wrapText="1"/>
    </xf>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0" fillId="9" borderId="10" applyAlignment="1" applyProtection="1" pivotButton="0" quotePrefix="0" xfId="0">
      <alignment horizontal="center" vertical="center"/>
      <protection locked="0" hidden="0"/>
    </xf>
    <xf numFmtId="0" fontId="0" fillId="13" borderId="10" applyAlignment="1" pivotButton="0" quotePrefix="0" xfId="0">
      <alignment horizontal="center" vertical="center"/>
    </xf>
    <xf numFmtId="0" fontId="0" fillId="11" borderId="10" applyAlignment="1" pivotButton="0" quotePrefix="0" xfId="0">
      <alignment horizontal="center" vertical="center"/>
    </xf>
    <xf numFmtId="0" fontId="56" fillId="0" borderId="0" applyAlignment="1" pivotButton="0" quotePrefix="0" xfId="0">
      <alignment horizontal="center" vertical="center"/>
    </xf>
    <xf numFmtId="0" fontId="0" fillId="12" borderId="10" applyAlignment="1" pivotButton="0" quotePrefix="0" xfId="0">
      <alignment horizontal="center" vertical="center"/>
    </xf>
    <xf numFmtId="0" fontId="0" fillId="10" borderId="10" applyAlignment="1" pivotButton="0" quotePrefix="0" xfId="0">
      <alignment horizontal="center" vertical="center"/>
    </xf>
    <xf numFmtId="0" fontId="79" fillId="10" borderId="0" applyAlignment="1" pivotButton="0" quotePrefix="0" xfId="0">
      <alignment horizontal="left" vertical="center" wrapText="1"/>
    </xf>
    <xf numFmtId="0" fontId="4" fillId="2" borderId="0" applyAlignment="1" pivotButton="0" quotePrefix="0" xfId="0">
      <alignment horizontal="center" vertical="center"/>
    </xf>
    <xf numFmtId="0" fontId="65" fillId="9" borderId="10" applyAlignment="1" applyProtection="1" pivotButton="0" quotePrefix="0" xfId="0">
      <alignment horizontal="center" vertical="center"/>
      <protection locked="0" hidden="0"/>
    </xf>
    <xf numFmtId="0" fontId="66" fillId="0" borderId="16" applyAlignment="1" pivotButton="0" quotePrefix="0" xfId="0">
      <alignment horizontal="left" vertical="center" wrapText="1"/>
    </xf>
    <xf numFmtId="0" fontId="59" fillId="0" borderId="14" applyAlignment="1" applyProtection="1" pivotButton="0" quotePrefix="0" xfId="0">
      <alignment horizontal="center" vertical="center"/>
      <protection locked="0" hidden="0"/>
    </xf>
    <xf numFmtId="0" fontId="67" fillId="0" borderId="0" applyAlignment="1" pivotButton="0" quotePrefix="0" xfId="0">
      <alignment horizontal="center" vertical="center"/>
    </xf>
    <xf numFmtId="0" fontId="55" fillId="9" borderId="10" applyAlignment="1" applyProtection="1" pivotButton="0" quotePrefix="0" xfId="0">
      <alignment horizontal="center" vertical="center"/>
      <protection locked="0" hidden="0"/>
    </xf>
    <xf numFmtId="0" fontId="56" fillId="9" borderId="10" applyAlignment="1" applyProtection="1" pivotButton="0" quotePrefix="0" xfId="0">
      <alignment horizontal="center" vertical="center"/>
      <protection locked="0" hidden="0"/>
    </xf>
    <xf numFmtId="0" fontId="55" fillId="0" borderId="0" applyAlignment="1" pivotButton="0" quotePrefix="0" xfId="0">
      <alignment horizontal="center" vertical="center"/>
    </xf>
    <xf numFmtId="0" fontId="57" fillId="9" borderId="10" applyAlignment="1" applyProtection="1" pivotButton="0" quotePrefix="0" xfId="0">
      <alignment horizontal="center" vertical="center"/>
      <protection locked="0" hidden="0"/>
    </xf>
    <xf numFmtId="0" fontId="66" fillId="9" borderId="10" applyAlignment="1" applyProtection="1" pivotButton="0" quotePrefix="0" xfId="0">
      <alignment horizontal="left" vertical="center"/>
      <protection locked="0" hidden="0"/>
    </xf>
    <xf numFmtId="0" fontId="69" fillId="2" borderId="1" applyAlignment="1" pivotButton="0" quotePrefix="0" xfId="0">
      <alignment horizontal="center" vertical="center"/>
    </xf>
    <xf numFmtId="0" fontId="70" fillId="0" borderId="0" applyAlignment="1" pivotButton="0" quotePrefix="0" xfId="0">
      <alignment horizontal="center" vertical="center"/>
    </xf>
    <xf numFmtId="0" fontId="71" fillId="9" borderId="10" applyAlignment="1" applyProtection="1" pivotButton="0" quotePrefix="0" xfId="0">
      <alignment horizontal="center" vertical="center"/>
      <protection locked="0" hidden="0"/>
    </xf>
    <xf numFmtId="0" fontId="71" fillId="9" borderId="10" applyAlignment="1" applyProtection="1" pivotButton="0" quotePrefix="0" xfId="0">
      <alignment horizontal="left" vertical="center" wrapText="1"/>
      <protection locked="0" hidden="0"/>
    </xf>
    <xf numFmtId="0" fontId="70"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5" fillId="0" borderId="0" applyAlignment="1" pivotButton="0" quotePrefix="0" xfId="0">
      <alignment horizontal="center" vertical="center"/>
    </xf>
    <xf numFmtId="0" fontId="69" fillId="10" borderId="7" applyAlignment="1" pivotButton="0" quotePrefix="0" xfId="0">
      <alignment horizontal="center" vertical="center"/>
    </xf>
    <xf numFmtId="0" fontId="69" fillId="10" borderId="7" applyAlignment="1" pivotButton="0" quotePrefix="0" xfId="0">
      <alignment horizontal="left" vertical="center" wrapText="1"/>
    </xf>
    <xf numFmtId="0" fontId="72" fillId="9" borderId="10" applyAlignment="1" applyProtection="1" pivotButton="0" quotePrefix="0" xfId="0">
      <alignment horizontal="center" vertical="center"/>
      <protection locked="0" hidden="0"/>
    </xf>
    <xf numFmtId="185" fontId="72" fillId="9" borderId="10" applyAlignment="1" applyProtection="1" pivotButton="0" quotePrefix="0" xfId="0">
      <alignment horizontal="center" vertical="center"/>
      <protection locked="0" hidden="0"/>
    </xf>
    <xf numFmtId="0" fontId="56" fillId="0" borderId="0" applyAlignment="1" pivotButton="0" quotePrefix="0" xfId="0">
      <alignment horizontal="center" vertical="center" wrapText="1"/>
    </xf>
    <xf numFmtId="3" fontId="61" fillId="11" borderId="8" applyAlignment="1" pivotButton="0" quotePrefix="0" xfId="0">
      <alignment horizontal="center" vertical="center"/>
    </xf>
    <xf numFmtId="0" fontId="61" fillId="11" borderId="8" applyAlignment="1" pivotButton="0" quotePrefix="0" xfId="0">
      <alignment horizontal="center" vertical="center"/>
    </xf>
    <xf numFmtId="0" fontId="56" fillId="3" borderId="1" applyAlignment="1" pivotButton="0" quotePrefix="0" xfId="0">
      <alignment horizontal="center" vertical="center"/>
    </xf>
    <xf numFmtId="0" fontId="56" fillId="9" borderId="10" applyAlignment="1" applyProtection="1" pivotButton="0" quotePrefix="0" xfId="0">
      <alignment horizontal="center" vertical="center" wrapText="1"/>
      <protection locked="0" hidden="0"/>
    </xf>
    <xf numFmtId="0" fontId="55"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6" fillId="0" borderId="0" applyAlignment="1" pivotButton="0" quotePrefix="0" xfId="0">
      <alignment horizontal="left" vertical="center"/>
    </xf>
    <xf numFmtId="0" fontId="70" fillId="5" borderId="1" applyAlignment="1" pivotButton="0" quotePrefix="0" xfId="0">
      <alignment horizontal="center" vertical="center"/>
    </xf>
    <xf numFmtId="1" fontId="72" fillId="9" borderId="10" applyAlignment="1" applyProtection="1" pivotButton="0" quotePrefix="0" xfId="0">
      <alignment horizontal="center" vertical="center"/>
      <protection locked="0" hidden="0"/>
    </xf>
    <xf numFmtId="3" fontId="57" fillId="9" borderId="10" applyAlignment="1" applyProtection="1" pivotButton="0" quotePrefix="0" xfId="0">
      <alignment horizontal="center" vertical="center"/>
      <protection locked="0" hidden="0"/>
    </xf>
    <xf numFmtId="1" fontId="57" fillId="9" borderId="10" applyAlignment="1" applyProtection="1" pivotButton="0" quotePrefix="0" xfId="0">
      <alignment horizontal="center" vertical="center"/>
      <protection locked="0" hidden="0"/>
    </xf>
    <xf numFmtId="164" fontId="57" fillId="9" borderId="10" applyAlignment="1" applyProtection="1" pivotButton="0" quotePrefix="0" xfId="0">
      <alignment horizontal="center" vertical="center"/>
      <protection locked="0" hidden="0"/>
    </xf>
    <xf numFmtId="0" fontId="55"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1" fillId="13" borderId="2" applyAlignment="1" pivotButton="0" quotePrefix="0" xfId="0">
      <alignment horizontal="center" vertical="center"/>
    </xf>
    <xf numFmtId="0" fontId="70" fillId="5" borderId="2" applyAlignment="1" pivotButton="0" quotePrefix="0" xfId="0">
      <alignment horizontal="left" vertical="center" wrapText="1"/>
    </xf>
    <xf numFmtId="0" fontId="74" fillId="7" borderId="0" applyAlignment="1" pivotButton="0" quotePrefix="0" xfId="0">
      <alignment horizontal="left" vertical="center" wrapText="1"/>
    </xf>
    <xf numFmtId="0" fontId="4" fillId="2" borderId="0" applyAlignment="1" pivotButton="0" quotePrefix="0" xfId="0">
      <alignment horizontal="left" vertical="center" wrapText="1"/>
    </xf>
    <xf numFmtId="0" fontId="72" fillId="9" borderId="10" applyAlignment="1" applyProtection="1" pivotButton="0" quotePrefix="0" xfId="0">
      <alignment horizontal="center" vertical="center" wrapText="1"/>
      <protection locked="0" hidden="0"/>
    </xf>
    <xf numFmtId="0" fontId="69" fillId="2" borderId="2" applyAlignment="1" pivotButton="0" quotePrefix="0" xfId="0">
      <alignment horizontal="center" vertical="center"/>
    </xf>
    <xf numFmtId="0" fontId="56" fillId="0" borderId="2" applyAlignment="1" pivotButton="0" quotePrefix="0" xfId="0">
      <alignment horizontal="center" vertical="center"/>
    </xf>
    <xf numFmtId="0" fontId="56" fillId="0" borderId="2" applyAlignment="1" pivotButton="0" quotePrefix="0" xfId="0">
      <alignment horizontal="left" vertical="center" wrapText="1"/>
    </xf>
    <xf numFmtId="0" fontId="56" fillId="0" borderId="2" applyAlignment="1" pivotButton="0" quotePrefix="0" xfId="0">
      <alignment horizontal="center" vertical="center" wrapText="1"/>
    </xf>
    <xf numFmtId="3" fontId="71" fillId="13" borderId="2" applyAlignment="1" pivotButton="0" quotePrefix="0" xfId="0">
      <alignment horizontal="center" vertical="center"/>
    </xf>
    <xf numFmtId="0" fontId="73" fillId="0" borderId="0" applyAlignment="1" pivotButton="0" quotePrefix="0" xfId="0">
      <alignment horizontal="left" vertical="center"/>
    </xf>
    <xf numFmtId="0" fontId="80" fillId="13" borderId="0" applyAlignment="1" pivotButton="0" quotePrefix="0" xfId="0">
      <alignment horizontal="center" vertical="center"/>
    </xf>
    <xf numFmtId="0" fontId="69" fillId="2" borderId="2" applyAlignment="1" pivotButton="0" quotePrefix="0" xfId="0">
      <alignment horizontal="center" vertical="center" wrapText="1"/>
    </xf>
    <xf numFmtId="3" fontId="70" fillId="5" borderId="2" applyAlignment="1" pivotButton="0" quotePrefix="0" xfId="0">
      <alignment horizontal="center" vertical="center"/>
    </xf>
    <xf numFmtId="4" fontId="70" fillId="5" borderId="2" applyAlignment="1" pivotButton="0" quotePrefix="0" xfId="0">
      <alignment horizontal="center" vertical="center"/>
    </xf>
    <xf numFmtId="0" fontId="65" fillId="13" borderId="0" applyAlignment="1" pivotButton="0" quotePrefix="0" xfId="0">
      <alignment horizontal="center" vertical="center"/>
    </xf>
    <xf numFmtId="3" fontId="72" fillId="9" borderId="10" applyAlignment="1" applyProtection="1" pivotButton="0" quotePrefix="0" xfId="0">
      <alignment horizontal="center" vertical="center"/>
      <protection locked="0" hidden="0"/>
    </xf>
    <xf numFmtId="0" fontId="70" fillId="13" borderId="2" applyAlignment="1" pivotButton="0" quotePrefix="0" xfId="0">
      <alignment horizontal="left" vertical="center" wrapText="1"/>
    </xf>
    <xf numFmtId="0" fontId="67" fillId="0" borderId="0" applyAlignment="1" pivotButton="0" quotePrefix="0" xfId="0">
      <alignment horizontal="center" vertical="center" wrapText="1"/>
    </xf>
    <xf numFmtId="0" fontId="70" fillId="5" borderId="2" applyAlignment="1" pivotButton="0" quotePrefix="0" xfId="0">
      <alignment horizontal="center" vertical="center"/>
    </xf>
    <xf numFmtId="165" fontId="57" fillId="9" borderId="10" applyAlignment="1" applyProtection="1" pivotButton="0" quotePrefix="0" xfId="0">
      <alignment horizontal="center" vertical="center"/>
      <protection locked="0" hidden="0"/>
    </xf>
    <xf numFmtId="4" fontId="57" fillId="9" borderId="10" applyAlignment="1" applyProtection="1" pivotButton="0" quotePrefix="0" xfId="0">
      <alignment horizontal="center" vertical="center"/>
      <protection locked="0" hidden="0"/>
    </xf>
    <xf numFmtId="165" fontId="70" fillId="5" borderId="2" applyAlignment="1" pivotButton="0" quotePrefix="0" xfId="0">
      <alignment horizontal="center" vertical="center"/>
    </xf>
    <xf numFmtId="166" fontId="70" fillId="5" borderId="2" applyAlignment="1" pivotButton="0" quotePrefix="0" xfId="0">
      <alignment horizontal="center" vertical="center"/>
    </xf>
    <xf numFmtId="167" fontId="70" fillId="5" borderId="2" applyAlignment="1" pivotButton="0" quotePrefix="0" xfId="0">
      <alignment horizontal="center" vertical="center"/>
    </xf>
    <xf numFmtId="168" fontId="70" fillId="5" borderId="2" applyAlignment="1" pivotButton="0" quotePrefix="0" xfId="0">
      <alignment horizontal="center" vertical="center"/>
    </xf>
    <xf numFmtId="167" fontId="57" fillId="9" borderId="10" applyAlignment="1" applyProtection="1" pivotButton="0" quotePrefix="0" xfId="0">
      <alignment horizontal="center" vertical="center"/>
      <protection locked="0" hidden="0"/>
    </xf>
    <xf numFmtId="167" fontId="71" fillId="13" borderId="2" applyAlignment="1" pivotButton="0" quotePrefix="0" xfId="0">
      <alignment horizontal="center" vertical="center"/>
    </xf>
    <xf numFmtId="4" fontId="71" fillId="13" borderId="2" applyAlignment="1" pivotButton="0" quotePrefix="0" xfId="0">
      <alignment horizontal="center" vertical="center"/>
    </xf>
    <xf numFmtId="168" fontId="56" fillId="13" borderId="2" applyAlignment="1" pivotButton="0" quotePrefix="0" xfId="0">
      <alignment horizontal="center" vertical="center"/>
    </xf>
    <xf numFmtId="172" fontId="71" fillId="13" borderId="2" applyAlignment="1" pivotButton="0" quotePrefix="0" xfId="0">
      <alignment horizontal="center" vertical="center"/>
    </xf>
    <xf numFmtId="0" fontId="56" fillId="13" borderId="2" applyAlignment="1" pivotButton="0" quotePrefix="0" xfId="0">
      <alignment horizontal="center" vertical="center"/>
    </xf>
    <xf numFmtId="169" fontId="56" fillId="13" borderId="2" applyAlignment="1" pivotButton="0" quotePrefix="0" xfId="0">
      <alignment horizontal="center" vertical="center"/>
    </xf>
    <xf numFmtId="170" fontId="56" fillId="13" borderId="2" applyAlignment="1" pivotButton="0" quotePrefix="0" xfId="0">
      <alignment horizontal="center" vertical="center"/>
    </xf>
    <xf numFmtId="171" fontId="56" fillId="13" borderId="2" applyAlignment="1" pivotButton="0" quotePrefix="0" xfId="0">
      <alignment horizontal="center" vertical="center"/>
    </xf>
    <xf numFmtId="3" fontId="56" fillId="13" borderId="2" applyAlignment="1" pivotButton="0" quotePrefix="0" xfId="0">
      <alignment horizontal="center" vertical="center"/>
    </xf>
    <xf numFmtId="3" fontId="61" fillId="8" borderId="1" applyAlignment="1" pivotButton="0" quotePrefix="0" xfId="0">
      <alignment horizontal="center" vertical="center"/>
    </xf>
    <xf numFmtId="165" fontId="61" fillId="8" borderId="1" applyAlignment="1" pivotButton="0" quotePrefix="0" xfId="0">
      <alignment horizontal="center" vertical="center"/>
    </xf>
    <xf numFmtId="0" fontId="65" fillId="0" borderId="0" applyAlignment="1" pivotButton="0" quotePrefix="0" xfId="0">
      <alignment horizontal="left" vertical="center" wrapText="1"/>
    </xf>
    <xf numFmtId="172" fontId="67" fillId="13" borderId="0" applyAlignment="1" pivotButton="0" quotePrefix="0" xfId="0">
      <alignment horizontal="center" vertical="center"/>
    </xf>
    <xf numFmtId="0" fontId="56" fillId="13" borderId="0" applyAlignment="1" pivotButton="0" quotePrefix="0" xfId="0">
      <alignment horizontal="center" vertical="center"/>
    </xf>
    <xf numFmtId="0" fontId="67" fillId="13" borderId="0" applyAlignment="1" pivotButton="0" quotePrefix="0" xfId="0">
      <alignment horizontal="center" vertical="center"/>
    </xf>
    <xf numFmtId="0" fontId="67" fillId="13" borderId="0" applyAlignment="1" pivotButton="0" quotePrefix="0" xfId="0">
      <alignment horizontal="left" vertical="center" wrapText="1"/>
    </xf>
    <xf numFmtId="165" fontId="56" fillId="13" borderId="0" applyAlignment="1" pivotButton="0" quotePrefix="0" xfId="0">
      <alignment horizontal="center" vertical="center"/>
    </xf>
    <xf numFmtId="0" fontId="74" fillId="7" borderId="0" applyAlignment="1" pivotButton="0" quotePrefix="0" xfId="0">
      <alignment horizontal="center" vertical="center"/>
    </xf>
    <xf numFmtId="0" fontId="56" fillId="13" borderId="0" applyAlignment="1" pivotButton="0" quotePrefix="0" xfId="0">
      <alignment horizontal="left" vertical="center" wrapText="1"/>
    </xf>
    <xf numFmtId="0" fontId="67" fillId="13" borderId="0" applyAlignment="1" pivotButton="0" quotePrefix="0" xfId="0">
      <alignment horizontal="left" vertical="center"/>
    </xf>
    <xf numFmtId="0" fontId="66" fillId="0" borderId="0" applyAlignment="1" pivotButton="0" quotePrefix="0" xfId="0">
      <alignment horizontal="center" vertical="center" indent="1"/>
    </xf>
    <xf numFmtId="0" fontId="65" fillId="13" borderId="0" applyAlignment="1" pivotButton="0" quotePrefix="0" xfId="0">
      <alignment horizontal="left" vertical="center" wrapText="1"/>
    </xf>
    <xf numFmtId="0" fontId="69" fillId="10" borderId="0" applyAlignment="1" pivotButton="0" quotePrefix="0" xfId="0">
      <alignment horizontal="center" vertical="center"/>
    </xf>
    <xf numFmtId="0" fontId="68" fillId="0" borderId="0" applyAlignment="1" pivotButton="0" quotePrefix="0" xfId="0">
      <alignment horizontal="left" vertical="center"/>
    </xf>
    <xf numFmtId="0" fontId="69" fillId="10" borderId="7" applyAlignment="1" pivotButton="0" quotePrefix="0" xfId="0">
      <alignment horizontal="center" vertical="center" wrapText="1"/>
    </xf>
    <xf numFmtId="0" fontId="56" fillId="13" borderId="7" applyAlignment="1" pivotButton="0" quotePrefix="0" xfId="0">
      <alignment horizontal="center" vertical="center"/>
    </xf>
    <xf numFmtId="172" fontId="56" fillId="13" borderId="7" applyAlignment="1" pivotButton="0" quotePrefix="0" xfId="0">
      <alignment horizontal="center" vertical="center"/>
    </xf>
    <xf numFmtId="3" fontId="56" fillId="13" borderId="7" applyAlignment="1" pivotButton="0" quotePrefix="0" xfId="0">
      <alignment horizontal="center" vertical="center"/>
    </xf>
    <xf numFmtId="10" fontId="56" fillId="13" borderId="7" applyAlignment="1" pivotButton="0" quotePrefix="0" xfId="0">
      <alignment horizontal="center" vertical="center"/>
    </xf>
    <xf numFmtId="186" fontId="56" fillId="13" borderId="7" applyAlignment="1" pivotButton="0" quotePrefix="0" xfId="0">
      <alignment horizontal="center" vertical="center"/>
    </xf>
    <xf numFmtId="0" fontId="56" fillId="13" borderId="7" applyAlignment="1" pivotButton="0" quotePrefix="0" xfId="0">
      <alignment horizontal="left" vertical="center" wrapText="1"/>
    </xf>
    <xf numFmtId="1" fontId="68" fillId="13" borderId="7" applyAlignment="1" pivotButton="0" quotePrefix="0" xfId="0">
      <alignment horizontal="center" vertical="center"/>
    </xf>
    <xf numFmtId="0" fontId="68" fillId="13" borderId="7" applyAlignment="1" pivotButton="0" quotePrefix="0" xfId="0">
      <alignment horizontal="center" vertical="center"/>
    </xf>
    <xf numFmtId="0" fontId="61" fillId="11" borderId="8" applyAlignment="1" pivotButton="0" quotePrefix="0" xfId="0">
      <alignment horizontal="left" vertical="center"/>
    </xf>
    <xf numFmtId="184" fontId="61" fillId="11" borderId="8" applyAlignment="1" pivotButton="0" quotePrefix="0" xfId="0">
      <alignment horizontal="center" vertical="center"/>
    </xf>
    <xf numFmtId="0" fontId="61" fillId="11" borderId="8" applyAlignment="1" pivotButton="0" quotePrefix="0" xfId="0">
      <alignment horizontal="left" vertical="center" wrapText="1"/>
    </xf>
    <xf numFmtId="187" fontId="56" fillId="13" borderId="7" applyAlignment="1" pivotButton="0" quotePrefix="0" xfId="0">
      <alignment horizontal="center" vertical="center"/>
    </xf>
    <xf numFmtId="3" fontId="67" fillId="13" borderId="7" applyAlignment="1" pivotButton="0" quotePrefix="0" xfId="0">
      <alignment horizontal="center" vertical="center"/>
    </xf>
    <xf numFmtId="184" fontId="67" fillId="13" borderId="7" applyAlignment="1" pivotButton="0" quotePrefix="0" xfId="0">
      <alignment horizontal="center" vertical="center"/>
    </xf>
    <xf numFmtId="172" fontId="61" fillId="11" borderId="8" applyAlignment="1" pivotButton="0" quotePrefix="0" xfId="0">
      <alignment horizontal="center" vertical="center"/>
    </xf>
    <xf numFmtId="0" fontId="63" fillId="0" borderId="0" applyAlignment="1" pivotButton="0" quotePrefix="0" xfId="0">
      <alignment horizontal="center" vertical="center" wrapText="1"/>
    </xf>
    <xf numFmtId="0" fontId="57" fillId="9" borderId="10" applyAlignment="1" applyProtection="1" pivotButton="0" quotePrefix="0" xfId="0">
      <alignment horizontal="center" vertical="center" wrapText="1"/>
      <protection locked="0" hidden="0"/>
    </xf>
    <xf numFmtId="0" fontId="56" fillId="0" borderId="7" applyAlignment="1" pivotButton="0" quotePrefix="0" xfId="0">
      <alignment horizontal="center" vertical="center"/>
    </xf>
    <xf numFmtId="3" fontId="56" fillId="13" borderId="7" applyAlignment="1" pivotButton="0" quotePrefix="0" xfId="0">
      <alignment horizontal="left" vertical="center" wrapText="1"/>
    </xf>
    <xf numFmtId="0" fontId="56" fillId="13" borderId="7" applyAlignment="1" pivotButton="0" quotePrefix="0" xfId="0">
      <alignment horizontal="left" vertical="center"/>
    </xf>
    <xf numFmtId="184" fontId="72" fillId="9" borderId="10" applyAlignment="1" applyProtection="1" pivotButton="0" quotePrefix="0" xfId="0">
      <alignment horizontal="center" vertical="center"/>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protection locked="0" hidden="0"/>
    </xf>
    <xf numFmtId="0" fontId="69" fillId="10" borderId="9" applyAlignment="1" pivotButton="0" quotePrefix="0" xfId="0">
      <alignment horizontal="center" vertical="center"/>
    </xf>
    <xf numFmtId="0" fontId="68" fillId="13" borderId="0" applyAlignment="1" pivotButton="0" quotePrefix="0" xfId="0">
      <alignment horizontal="left" vertical="center" wrapText="1"/>
    </xf>
    <xf numFmtId="2" fontId="56" fillId="13" borderId="7" applyAlignment="1" pivotButton="0" quotePrefix="0" xfId="0">
      <alignment horizontal="center" vertical="center"/>
    </xf>
    <xf numFmtId="166" fontId="56" fillId="13" borderId="7" applyAlignment="1" pivotButton="0" quotePrefix="0" xfId="0">
      <alignment horizontal="center" vertical="center"/>
    </xf>
    <xf numFmtId="184" fontId="56" fillId="13" borderId="7" applyAlignment="1" pivotButton="0" quotePrefix="0" xfId="0">
      <alignment horizontal="center" vertical="center"/>
    </xf>
    <xf numFmtId="9" fontId="57" fillId="9" borderId="10" applyAlignment="1" applyProtection="1" pivotButton="0" quotePrefix="0" xfId="0">
      <alignment horizontal="center" vertical="center"/>
      <protection locked="0" hidden="0"/>
    </xf>
    <xf numFmtId="167" fontId="72" fillId="9" borderId="10" applyAlignment="1" applyProtection="1" pivotButton="0" quotePrefix="0" xfId="0">
      <alignment horizontal="center" vertical="center"/>
      <protection locked="0" hidden="0"/>
    </xf>
    <xf numFmtId="0" fontId="56" fillId="0" borderId="1" applyAlignment="1" pivotButton="0" quotePrefix="0" xfId="0">
      <alignment horizontal="center" vertical="center"/>
    </xf>
    <xf numFmtId="165" fontId="56" fillId="9" borderId="10" applyAlignment="1" applyProtection="1" pivotButton="0" quotePrefix="0" xfId="0">
      <alignment horizontal="center" vertical="center"/>
      <protection locked="0" hidden="0"/>
    </xf>
    <xf numFmtId="184" fontId="56" fillId="13" borderId="2" applyAlignment="1" pivotButton="0" quotePrefix="0" xfId="0">
      <alignment horizontal="center" vertical="center"/>
    </xf>
    <xf numFmtId="0" fontId="66" fillId="0" borderId="0" applyAlignment="1" pivotButton="0" quotePrefix="0" xfId="0">
      <alignment horizontal="center" vertical="center"/>
    </xf>
    <xf numFmtId="0" fontId="65" fillId="0" borderId="19" applyAlignment="1" pivotButton="0" quotePrefix="0" xfId="0">
      <alignment horizontal="left" vertical="center" wrapText="1"/>
    </xf>
    <xf numFmtId="0" fontId="0" fillId="0" borderId="21" pivotButton="0" quotePrefix="0" xfId="0"/>
    <xf numFmtId="0" fontId="0" fillId="0" borderId="19" pivotButton="0" quotePrefix="0" xfId="0"/>
    <xf numFmtId="0" fontId="56" fillId="0" borderId="14" applyAlignment="1" pivotButton="0" quotePrefix="0" xfId="0">
      <alignment horizontal="center" vertical="center"/>
    </xf>
    <xf numFmtId="0" fontId="65" fillId="0" borderId="14" applyAlignment="1" pivotButton="0" quotePrefix="0" xfId="0">
      <alignment horizontal="center" vertical="center"/>
    </xf>
    <xf numFmtId="0" fontId="70" fillId="5" borderId="0" applyAlignment="1" pivotButton="0" quotePrefix="0" xfId="0">
      <alignment horizontal="left" vertical="center" wrapText="1"/>
    </xf>
    <xf numFmtId="9" fontId="72" fillId="9" borderId="10" applyAlignment="1" applyProtection="1" pivotButton="0" quotePrefix="0" xfId="0">
      <alignment horizontal="center" vertical="center"/>
      <protection locked="0" hidden="0"/>
    </xf>
    <xf numFmtId="9" fontId="56" fillId="13" borderId="1" applyAlignment="1" pivotButton="0" quotePrefix="0" xfId="0">
      <alignment horizontal="center" vertical="center"/>
    </xf>
    <xf numFmtId="0" fontId="56" fillId="0" borderId="1" applyAlignment="1" pivotButton="0" quotePrefix="0" xfId="0">
      <alignment horizontal="center" vertical="center" wrapText="1"/>
    </xf>
    <xf numFmtId="165" fontId="76" fillId="8" borderId="1" applyAlignment="1" pivotButton="0" quotePrefix="0" xfId="0">
      <alignment horizontal="center" vertical="center"/>
    </xf>
    <xf numFmtId="0" fontId="67" fillId="0" borderId="1" applyAlignment="1" pivotButton="0" quotePrefix="0" xfId="0">
      <alignment horizontal="center" vertical="center"/>
    </xf>
    <xf numFmtId="0" fontId="67" fillId="0" borderId="1" applyAlignment="1" pivotButton="0" quotePrefix="0" xfId="0">
      <alignment horizontal="center" vertical="center" wrapText="1"/>
    </xf>
    <xf numFmtId="0" fontId="61" fillId="8" borderId="1" applyAlignment="1" pivotButton="0" quotePrefix="0" xfId="0">
      <alignment horizontal="left" vertical="center" wrapText="1"/>
    </xf>
    <xf numFmtId="10" fontId="72" fillId="9" borderId="10" applyAlignment="1" applyProtection="1" pivotButton="0" quotePrefix="0" xfId="0">
      <alignment horizontal="center" vertical="center"/>
      <protection locked="0" hidden="0"/>
    </xf>
    <xf numFmtId="0" fontId="61" fillId="8" borderId="1" applyAlignment="1" pivotButton="0" quotePrefix="0" xfId="0">
      <alignment horizontal="center" vertical="center"/>
    </xf>
    <xf numFmtId="0" fontId="61" fillId="9" borderId="10" applyAlignment="1" applyProtection="1" pivotButton="0" quotePrefix="0" xfId="0">
      <alignment horizontal="center" vertical="center"/>
      <protection locked="0" hidden="0"/>
    </xf>
    <xf numFmtId="173" fontId="57" fillId="9" borderId="10" applyAlignment="1" applyProtection="1" pivotButton="0" quotePrefix="0" xfId="0">
      <alignment horizontal="center" vertical="center"/>
      <protection locked="0" hidden="0"/>
    </xf>
    <xf numFmtId="0" fontId="52" fillId="10" borderId="0" applyAlignment="1" pivotButton="0" quotePrefix="0" xfId="0">
      <alignment horizontal="left" vertical="center" wrapText="1"/>
    </xf>
    <xf numFmtId="9" fontId="56" fillId="13" borderId="7" applyAlignment="1" pivotButton="0" quotePrefix="0" xfId="0">
      <alignment horizontal="center" vertical="center"/>
    </xf>
    <xf numFmtId="9" fontId="56" fillId="0" borderId="7" applyAlignment="1" pivotButton="0" quotePrefix="0" xfId="0">
      <alignment horizontal="center" vertical="center"/>
    </xf>
    <xf numFmtId="0" fontId="67" fillId="11" borderId="7" applyAlignment="1" pivotButton="0" quotePrefix="0" xfId="0">
      <alignment horizontal="center" vertical="center"/>
    </xf>
    <xf numFmtId="184" fontId="67" fillId="11" borderId="7" applyAlignment="1" pivotButton="0" quotePrefix="0" xfId="0">
      <alignment horizontal="center" vertical="center"/>
    </xf>
    <xf numFmtId="167" fontId="61" fillId="11" borderId="8" applyAlignment="1" pivotButton="0" quotePrefix="0" xfId="0">
      <alignment horizontal="center" vertical="center"/>
    </xf>
    <xf numFmtId="188" fontId="56" fillId="13" borderId="7" applyAlignment="1" pivotButton="0" quotePrefix="0" xfId="0">
      <alignment horizontal="center" vertical="center"/>
    </xf>
    <xf numFmtId="0" fontId="67" fillId="11" borderId="7" applyAlignment="1" pivotButton="0" quotePrefix="0" xfId="0">
      <alignment horizontal="center" vertical="center" wrapText="1"/>
    </xf>
    <xf numFmtId="0" fontId="68" fillId="11" borderId="7" applyAlignment="1" pivotButton="0" quotePrefix="0" xfId="0">
      <alignment horizontal="left" vertical="center"/>
    </xf>
    <xf numFmtId="174" fontId="72" fillId="9" borderId="10" applyAlignment="1" applyProtection="1" pivotButton="0" quotePrefix="0" xfId="0">
      <alignment horizontal="center" vertical="center"/>
      <protection locked="0" hidden="0"/>
    </xf>
    <xf numFmtId="175" fontId="72" fillId="13" borderId="0" applyAlignment="1" pivotButton="0" quotePrefix="0" xfId="0">
      <alignment horizontal="center" vertical="center"/>
    </xf>
    <xf numFmtId="165" fontId="72" fillId="13" borderId="0" applyAlignment="1" pivotButton="0" quotePrefix="0" xfId="0">
      <alignment horizontal="center" vertical="center"/>
    </xf>
    <xf numFmtId="1" fontId="57" fillId="13" borderId="1" applyAlignment="1" pivotButton="0" quotePrefix="0" xfId="0">
      <alignment horizontal="center" vertical="center"/>
    </xf>
    <xf numFmtId="2" fontId="72" fillId="9" borderId="10" applyAlignment="1" applyProtection="1" pivotButton="0" quotePrefix="0" xfId="0">
      <alignment horizontal="center" vertical="center"/>
      <protection locked="0" hidden="0"/>
    </xf>
    <xf numFmtId="172" fontId="57" fillId="9" borderId="10" applyAlignment="1" applyProtection="1" pivotButton="0" quotePrefix="0" xfId="0">
      <alignment horizontal="center" vertical="center"/>
      <protection locked="0" hidden="0"/>
    </xf>
    <xf numFmtId="0" fontId="76" fillId="13" borderId="1" applyAlignment="1" pivotButton="0" quotePrefix="0" xfId="0">
      <alignment horizontal="center" vertical="center"/>
    </xf>
    <xf numFmtId="3" fontId="72" fillId="13" borderId="0" applyAlignment="1" pivotButton="0" quotePrefix="0" xfId="0">
      <alignment horizontal="center" vertical="center"/>
    </xf>
    <xf numFmtId="176" fontId="72" fillId="9" borderId="10" applyAlignment="1" applyProtection="1" pivotButton="0" quotePrefix="0" xfId="0">
      <alignment horizontal="center" vertical="center"/>
      <protection locked="0" hidden="0"/>
    </xf>
    <xf numFmtId="168" fontId="71" fillId="13" borderId="2" applyAlignment="1" pivotButton="0" quotePrefix="0" xfId="0">
      <alignment horizontal="center" vertical="center"/>
    </xf>
    <xf numFmtId="0" fontId="76" fillId="0" borderId="0" applyAlignment="1" pivotButton="0" quotePrefix="0" xfId="0">
      <alignment horizontal="left" vertical="center" wrapText="1"/>
    </xf>
    <xf numFmtId="172" fontId="72" fillId="13" borderId="0" applyAlignment="1" pivotButton="0" quotePrefix="0" xfId="0">
      <alignment horizontal="center" vertical="center"/>
    </xf>
    <xf numFmtId="4" fontId="72" fillId="13" borderId="0" applyAlignment="1" pivotButton="0" quotePrefix="0" xfId="0">
      <alignment horizontal="center" vertical="center"/>
    </xf>
    <xf numFmtId="175" fontId="72" fillId="9" borderId="10" applyAlignment="1" applyProtection="1" pivotButton="0" quotePrefix="0" xfId="0">
      <alignment horizontal="center" vertical="center"/>
      <protection locked="0" hidden="0"/>
    </xf>
    <xf numFmtId="165" fontId="72" fillId="9" borderId="10" applyAlignment="1" applyProtection="1" pivotButton="0" quotePrefix="0" xfId="0">
      <alignment horizontal="center" vertical="center"/>
      <protection locked="0" hidden="0"/>
    </xf>
    <xf numFmtId="165" fontId="67" fillId="13" borderId="1" applyAlignment="1" pivotButton="0" quotePrefix="0" xfId="0">
      <alignment horizontal="center" vertical="center"/>
    </xf>
    <xf numFmtId="0" fontId="70" fillId="0" borderId="0" applyAlignment="1" pivotButton="0" quotePrefix="0" xfId="0">
      <alignment horizontal="center" vertical="center" wrapText="1"/>
    </xf>
    <xf numFmtId="0" fontId="72" fillId="13" borderId="0" applyAlignment="1" pivotButton="0" quotePrefix="0" xfId="0">
      <alignment horizontal="left" vertical="center" wrapText="1"/>
    </xf>
    <xf numFmtId="4" fontId="72" fillId="9" borderId="10" applyAlignment="1" applyProtection="1" pivotButton="0" quotePrefix="0" xfId="0">
      <alignment horizontal="center" vertical="center"/>
      <protection locked="0" hidden="0"/>
    </xf>
    <xf numFmtId="0" fontId="68" fillId="0" borderId="0" applyAlignment="1" pivotButton="0" quotePrefix="0" xfId="0">
      <alignment horizontal="center" vertical="center" indent="1"/>
    </xf>
    <xf numFmtId="9" fontId="72" fillId="13" borderId="0" applyAlignment="1" pivotButton="0" quotePrefix="0" xfId="0">
      <alignment horizontal="center" vertical="center"/>
    </xf>
    <xf numFmtId="0" fontId="72" fillId="13" borderId="0" applyAlignment="1" pivotButton="0" quotePrefix="0" xfId="0">
      <alignment horizontal="left" vertical="center"/>
    </xf>
    <xf numFmtId="177" fontId="72" fillId="9" borderId="10" applyAlignment="1" applyProtection="1" pivotButton="0" quotePrefix="0" xfId="0">
      <alignment horizontal="center" vertical="center"/>
      <protection locked="0" hidden="0"/>
    </xf>
    <xf numFmtId="177" fontId="57" fillId="9" borderId="10" applyAlignment="1" applyProtection="1" pivotButton="0" quotePrefix="0" xfId="0">
      <alignment horizontal="center" vertical="center"/>
      <protection locked="0" hidden="0"/>
    </xf>
    <xf numFmtId="3" fontId="61" fillId="13" borderId="1" applyAlignment="1" pivotButton="0" quotePrefix="0" xfId="0">
      <alignment horizontal="center" vertical="center"/>
    </xf>
    <xf numFmtId="173" fontId="72" fillId="9" borderId="10" applyAlignment="1" applyProtection="1" pivotButton="0" quotePrefix="0" xfId="0">
      <alignment horizontal="center" vertical="center"/>
      <protection locked="0" hidden="0"/>
    </xf>
    <xf numFmtId="182" fontId="61" fillId="13" borderId="1" applyAlignment="1" pivotButton="0" quotePrefix="0" xfId="0">
      <alignment horizontal="center" vertical="center"/>
    </xf>
    <xf numFmtId="0" fontId="61" fillId="13" borderId="1" applyAlignment="1" pivotButton="0" quotePrefix="0" xfId="0">
      <alignment horizontal="left" vertical="center" wrapText="1"/>
    </xf>
    <xf numFmtId="178" fontId="72" fillId="9" borderId="10" applyAlignment="1" applyProtection="1" pivotButton="0" quotePrefix="0" xfId="0">
      <alignment horizontal="center" vertical="center"/>
      <protection locked="0" hidden="0"/>
    </xf>
    <xf numFmtId="0" fontId="66" fillId="0" borderId="1" applyAlignment="1" pivotButton="0" quotePrefix="0" xfId="0">
      <alignment horizontal="left" vertical="center"/>
    </xf>
    <xf numFmtId="0" fontId="57" fillId="9" borderId="10" applyAlignment="1" applyProtection="1" pivotButton="0" quotePrefix="0" xfId="0">
      <alignment horizontal="left" vertical="center" wrapText="1"/>
      <protection locked="0" hidden="0"/>
    </xf>
    <xf numFmtId="0" fontId="12" fillId="2" borderId="1" applyAlignment="1" pivotButton="0" quotePrefix="0" xfId="0">
      <alignment horizontal="center" vertical="center"/>
    </xf>
    <xf numFmtId="0" fontId="28" fillId="0" borderId="0" applyAlignment="1" pivotButton="0" quotePrefix="0" xfId="0">
      <alignment horizontal="center" vertical="center"/>
    </xf>
    <xf numFmtId="0" fontId="8" fillId="0" borderId="0" applyAlignment="1" pivotButton="0" quotePrefix="0" xfId="0">
      <alignment horizontal="center" vertical="center"/>
    </xf>
    <xf numFmtId="165" fontId="8" fillId="0" borderId="0" applyAlignment="1" pivotButton="0" quotePrefix="0" xfId="0">
      <alignment horizontal="center" vertical="center"/>
    </xf>
    <xf numFmtId="0" fontId="14" fillId="0" borderId="0" applyAlignment="1" pivotButton="0" quotePrefix="0" xfId="0">
      <alignment horizontal="center" vertical="center"/>
    </xf>
    <xf numFmtId="0" fontId="9" fillId="0" borderId="0" applyAlignment="1" pivotButton="0" quotePrefix="0" xfId="0">
      <alignment horizontal="left" vertical="center"/>
    </xf>
    <xf numFmtId="0" fontId="27" fillId="2" borderId="0" applyAlignment="1" pivotButton="0" quotePrefix="0" xfId="0">
      <alignment horizontal="center" vertical="center" indent="1"/>
    </xf>
    <xf numFmtId="0" fontId="27" fillId="2" borderId="0" applyAlignment="1" pivotButton="0" quotePrefix="0" xfId="0">
      <alignment horizontal="center" vertical="center"/>
    </xf>
    <xf numFmtId="0" fontId="27" fillId="2"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2" applyAlignment="1" pivotButton="0" quotePrefix="0" xfId="0">
      <alignment horizontal="center" vertical="center"/>
    </xf>
    <xf numFmtId="0" fontId="35" fillId="0" borderId="2" applyAlignment="1" pivotButton="0" quotePrefix="0" xfId="0">
      <alignment horizontal="center" vertical="center" wrapText="1"/>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0" fontId="38" fillId="0" borderId="0" applyAlignment="1" pivotButton="0" quotePrefix="0" xfId="0">
      <alignment horizontal="center" vertical="center"/>
    </xf>
    <xf numFmtId="0" fontId="8" fillId="0" borderId="0" applyAlignment="1" pivotButton="0" quotePrefix="0" xfId="0">
      <alignment horizontal="left" vertical="center" wrapText="1"/>
    </xf>
    <xf numFmtId="0" fontId="8" fillId="0" borderId="0" applyAlignment="1" pivotButton="0" quotePrefix="0" xfId="0">
      <alignment horizontal="left" vertical="center" wrapText="1" indent="1"/>
    </xf>
    <xf numFmtId="0" fontId="10" fillId="0" borderId="0" applyAlignment="1" pivotButton="0" quotePrefix="0" xfId="0">
      <alignment horizontal="center" vertical="center" wrapText="1"/>
    </xf>
    <xf numFmtId="49" fontId="39" fillId="0" borderId="2" applyAlignment="1" pivotButton="0" quotePrefix="0" xfId="0">
      <alignment horizontal="center" vertical="center"/>
    </xf>
    <xf numFmtId="0" fontId="14" fillId="0" borderId="2" applyAlignment="1" pivotButton="0" quotePrefix="0" xfId="0">
      <alignment horizontal="center" vertical="center"/>
    </xf>
    <xf numFmtId="0" fontId="33" fillId="7" borderId="0" applyAlignment="1" pivotButton="0" quotePrefix="0" xfId="0">
      <alignment horizontal="left" vertical="center" wrapText="1"/>
    </xf>
    <xf numFmtId="0" fontId="16" fillId="0" borderId="0" applyAlignment="1" pivotButton="0" quotePrefix="0" xfId="0">
      <alignment horizontal="left" vertical="center" wrapText="1"/>
    </xf>
    <xf numFmtId="179" fontId="0" fillId="0" borderId="0" applyAlignment="1" pivotButton="0" quotePrefix="0" xfId="0">
      <alignment horizontal="center" vertical="center"/>
    </xf>
    <xf numFmtId="0" fontId="10" fillId="0" borderId="0" applyAlignment="1" pivotButton="0" quotePrefix="0" xfId="0">
      <alignment horizontal="left" vertical="center" wrapText="1" indent="1"/>
    </xf>
    <xf numFmtId="0" fontId="27" fillId="2" borderId="2" applyAlignment="1" pivotButton="0" quotePrefix="0" xfId="0">
      <alignment horizontal="center" vertical="center" indent="1"/>
    </xf>
    <xf numFmtId="0" fontId="27" fillId="2" borderId="2" applyAlignment="1" pivotButton="0" quotePrefix="0" xfId="0">
      <alignment horizontal="center" vertical="center"/>
    </xf>
    <xf numFmtId="0" fontId="27" fillId="2" borderId="2" applyAlignment="1" pivotButton="0" quotePrefix="0" xfId="0">
      <alignment horizontal="center" vertical="center" wrapText="1"/>
    </xf>
    <xf numFmtId="0" fontId="35" fillId="0" borderId="2" applyAlignment="1" pivotButton="0" quotePrefix="0" xfId="0">
      <alignment horizontal="center" vertical="center" indent="1"/>
    </xf>
    <xf numFmtId="0" fontId="40" fillId="0" borderId="2" applyAlignment="1" pivotButton="0" quotePrefix="0" xfId="0">
      <alignment horizontal="center" vertical="center"/>
    </xf>
    <xf numFmtId="0" fontId="42" fillId="0" borderId="2" applyAlignment="1" pivotButton="0" quotePrefix="0" xfId="0">
      <alignment horizontal="left" vertical="center" wrapText="1"/>
    </xf>
    <xf numFmtId="0" fontId="42" fillId="0" borderId="2" applyAlignment="1" pivotButton="0" quotePrefix="0" xfId="0">
      <alignment horizontal="left" vertical="center" wrapText="1" indent="1"/>
    </xf>
    <xf numFmtId="0" fontId="39" fillId="0" borderId="0" applyAlignment="1" pivotButton="0" quotePrefix="0" xfId="0">
      <alignment horizontal="center" vertical="center" wrapText="1"/>
    </xf>
    <xf numFmtId="0" fontId="4" fillId="2" borderId="0" applyAlignment="1" pivotButton="0" quotePrefix="0" xfId="0">
      <alignment horizontal="center" vertical="center" indent="1"/>
    </xf>
    <xf numFmtId="0" fontId="5" fillId="0" borderId="0" applyAlignment="1" pivotButton="0" quotePrefix="0" xfId="0">
      <alignment horizontal="left" vertical="center" wrapText="1" indent="1"/>
    </xf>
    <xf numFmtId="0" fontId="12" fillId="2" borderId="0" applyAlignment="1" pivotButton="0" quotePrefix="0" xfId="0">
      <alignment horizontal="center" vertical="center"/>
    </xf>
    <xf numFmtId="0" fontId="10" fillId="0" borderId="0" applyAlignment="1" pivotButton="0" quotePrefix="0" xfId="0">
      <alignment horizontal="center" vertical="center"/>
    </xf>
    <xf numFmtId="180" fontId="8" fillId="0" borderId="0" applyAlignment="1" pivotButton="0" quotePrefix="0" xfId="0">
      <alignment horizontal="center" vertical="center"/>
    </xf>
    <xf numFmtId="0" fontId="26" fillId="0" borderId="2" applyAlignment="1" pivotButton="0" quotePrefix="0" xfId="0">
      <alignment horizontal="center" vertical="center"/>
    </xf>
    <xf numFmtId="0" fontId="24" fillId="0" borderId="2" applyAlignment="1" pivotButton="0" quotePrefix="0" xfId="0">
      <alignment horizontal="left" vertical="center" wrapText="1"/>
    </xf>
    <xf numFmtId="3" fontId="14" fillId="0" borderId="2" applyAlignment="1" pivotButton="0" quotePrefix="0" xfId="0">
      <alignment horizontal="center" vertical="center"/>
    </xf>
    <xf numFmtId="0" fontId="26" fillId="0" borderId="2" applyAlignment="1" pivotButton="0" quotePrefix="0" xfId="0">
      <alignment horizontal="left" vertical="center" wrapText="1" indent="1"/>
    </xf>
    <xf numFmtId="2" fontId="14" fillId="0" borderId="2" applyAlignment="1" pivotButton="0" quotePrefix="0" xfId="0">
      <alignment horizontal="center" vertical="center"/>
    </xf>
    <xf numFmtId="0" fontId="30" fillId="7" borderId="2" applyAlignment="1" pivotButton="0" quotePrefix="0" xfId="0">
      <alignment horizontal="left" vertical="center" wrapText="1"/>
    </xf>
    <xf numFmtId="166" fontId="22" fillId="9" borderId="2" applyAlignment="1" applyProtection="1" pivotButton="0" quotePrefix="0" xfId="0">
      <alignment horizontal="center" vertical="center"/>
      <protection locked="0" hidden="0"/>
    </xf>
    <xf numFmtId="0" fontId="26" fillId="0" borderId="2" applyAlignment="1" pivotButton="0" quotePrefix="0" xfId="0">
      <alignment horizontal="left" vertical="center" wrapText="1"/>
    </xf>
    <xf numFmtId="0" fontId="6" fillId="0" borderId="0" applyAlignment="1" pivotButton="0" quotePrefix="0" xfId="0">
      <alignment horizontal="center" vertical="center" wrapText="1"/>
    </xf>
    <xf numFmtId="0" fontId="9" fillId="0" borderId="0" applyAlignment="1" pivotButton="0" quotePrefix="0" xfId="0">
      <alignment horizontal="left" vertical="center" wrapText="1" indent="1"/>
    </xf>
    <xf numFmtId="167" fontId="49" fillId="0" borderId="0" applyAlignment="1" pivotButton="0" quotePrefix="0" xfId="0">
      <alignment horizontal="center" vertical="center"/>
    </xf>
    <xf numFmtId="181" fontId="49" fillId="0" borderId="0" applyAlignment="1" pivotButton="0" quotePrefix="0" xfId="0">
      <alignment horizontal="center" vertical="center"/>
    </xf>
    <xf numFmtId="181" fontId="0" fillId="0" borderId="0" applyAlignment="1" pivotButton="0" quotePrefix="0" xfId="0">
      <alignment horizontal="center" vertical="center"/>
    </xf>
    <xf numFmtId="167" fontId="0" fillId="0" borderId="0" applyAlignment="1" pivotButton="0" quotePrefix="0" xfId="0">
      <alignment horizontal="center" vertical="center"/>
    </xf>
    <xf numFmtId="0" fontId="6" fillId="0" borderId="0" applyAlignment="1" pivotButton="0" quotePrefix="0" xfId="0">
      <alignment horizontal="center" vertical="center"/>
    </xf>
    <xf numFmtId="0" fontId="9" fillId="0" borderId="0" applyAlignment="1" pivotButton="0" quotePrefix="0" xfId="0">
      <alignment horizontal="left" vertical="center" wrapText="1"/>
    </xf>
    <xf numFmtId="2" fontId="49" fillId="0" borderId="0" applyAlignment="1" pivotButton="0" quotePrefix="0" xfId="0">
      <alignment horizontal="center" vertical="center"/>
    </xf>
    <xf numFmtId="183" fontId="49" fillId="0" borderId="0" applyAlignment="1" pivotButton="0" quotePrefix="0" xfId="0">
      <alignment horizontal="center" vertical="center"/>
    </xf>
    <xf numFmtId="0" fontId="49" fillId="0" borderId="0" applyAlignment="1" pivotButton="0" quotePrefix="0" xfId="0">
      <alignment horizontal="left" vertical="center" wrapText="1"/>
    </xf>
    <xf numFmtId="0" fontId="6" fillId="0" borderId="0" applyAlignment="1" pivotButton="0" quotePrefix="0" xfId="0">
      <alignment horizontal="left" vertical="center" wrapText="1"/>
    </xf>
    <xf numFmtId="0" fontId="12" fillId="2" borderId="2" applyAlignment="1" pivotButton="0" quotePrefix="0" xfId="0">
      <alignment horizontal="center" vertical="center"/>
    </xf>
    <xf numFmtId="0" fontId="43" fillId="0" borderId="0" applyAlignment="1" pivotButton="0" quotePrefix="0" xfId="0">
      <alignment horizontal="left" vertical="center"/>
    </xf>
    <xf numFmtId="0" fontId="13" fillId="0" borderId="2" applyAlignment="1" pivotButton="0" quotePrefix="0" xfId="0">
      <alignment horizontal="center" vertical="center" indent="1"/>
    </xf>
    <xf numFmtId="0" fontId="13" fillId="0" borderId="2" applyAlignment="1" pivotButton="0" quotePrefix="0" xfId="0">
      <alignment horizontal="center" vertical="center"/>
    </xf>
    <xf numFmtId="0" fontId="44" fillId="0" borderId="2" applyAlignment="1" pivotButton="0" quotePrefix="0" xfId="0">
      <alignment horizontal="center" vertical="center"/>
    </xf>
    <xf numFmtId="0" fontId="49" fillId="0" borderId="0" applyAlignment="1" pivotButton="0" quotePrefix="0" xfId="0">
      <alignment horizontal="center" vertical="center"/>
    </xf>
    <xf numFmtId="0" fontId="45" fillId="0" borderId="2" applyAlignment="1" pivotButton="0" quotePrefix="0" xfId="0">
      <alignment horizontal="center" vertical="center"/>
    </xf>
    <xf numFmtId="0" fontId="44" fillId="0" borderId="2" applyAlignment="1" pivotButton="0" quotePrefix="0" xfId="0">
      <alignment horizontal="center" vertical="center" wrapText="1"/>
    </xf>
    <xf numFmtId="0" fontId="29" fillId="0" borderId="2" applyAlignment="1" pivotButton="0" quotePrefix="0" xfId="0">
      <alignment horizontal="left" vertical="center"/>
    </xf>
    <xf numFmtId="0" fontId="14" fillId="0" borderId="2" applyAlignment="1" pivotButton="0" quotePrefix="0" xfId="0">
      <alignment horizontal="left" vertical="center" wrapText="1"/>
    </xf>
    <xf numFmtId="0" fontId="14" fillId="0" borderId="0" applyAlignment="1" pivotButton="0" quotePrefix="0" xfId="0">
      <alignment horizontal="left" vertical="center" wrapText="1"/>
    </xf>
    <xf numFmtId="0" fontId="14" fillId="0" borderId="2" applyAlignment="1" pivotButton="0" quotePrefix="0" xfId="0">
      <alignment horizontal="center" vertical="center" wrapText="1"/>
    </xf>
    <xf numFmtId="0" fontId="29" fillId="7" borderId="0" applyAlignment="1" pivotButton="0" quotePrefix="0" xfId="0">
      <alignment horizontal="left" vertical="center" wrapText="1"/>
    </xf>
    <xf numFmtId="0" fontId="0" fillId="0" borderId="2" applyAlignment="1" pivotButton="0" quotePrefix="0" xfId="0">
      <alignment horizontal="center" vertical="center"/>
    </xf>
    <xf numFmtId="0" fontId="13" fillId="0" borderId="2" applyAlignment="1" pivotButton="0" quotePrefix="0" xfId="0">
      <alignment horizontal="center" vertical="center" wrapText="1"/>
    </xf>
    <xf numFmtId="0" fontId="4" fillId="2" borderId="0" applyAlignment="1" pivotButton="0" quotePrefix="0" xfId="0">
      <alignment horizontal="center" vertical="center" wrapText="1"/>
    </xf>
    <xf numFmtId="0" fontId="16" fillId="0" borderId="0" applyAlignment="1" pivotButton="0" quotePrefix="0" xfId="0">
      <alignment horizontal="left" vertical="center" wrapText="1" indent="1"/>
    </xf>
    <xf numFmtId="0" fontId="13" fillId="0" borderId="2" applyAlignment="1" pivotButton="0" quotePrefix="0" xfId="0">
      <alignment horizontal="left" vertical="center" wrapText="1"/>
    </xf>
    <xf numFmtId="0" fontId="13" fillId="0" borderId="2" applyAlignment="1" pivotButton="0" quotePrefix="0" xfId="0">
      <alignment horizontal="center" vertical="center" wrapText="1" indent="1"/>
    </xf>
    <xf numFmtId="0" fontId="14" fillId="0" borderId="2" applyAlignment="1" pivotButton="0" quotePrefix="0" xfId="0">
      <alignment horizontal="center" vertical="center" indent="1"/>
    </xf>
    <xf numFmtId="175" fontId="14" fillId="0" borderId="2" applyAlignment="1" pivotButton="0" quotePrefix="0" xfId="0">
      <alignment horizontal="center" vertical="center"/>
    </xf>
    <xf numFmtId="165" fontId="14" fillId="0" borderId="2" applyAlignment="1" pivotButton="0" quotePrefix="0" xfId="0">
      <alignment horizontal="center" vertical="center"/>
    </xf>
    <xf numFmtId="0" fontId="46" fillId="5" borderId="2" applyAlignment="1" pivotButton="0" quotePrefix="0" xfId="0">
      <alignment horizontal="center" vertical="center"/>
    </xf>
    <xf numFmtId="0" fontId="33" fillId="3" borderId="2" applyAlignment="1" pivotButton="0" quotePrefix="0" xfId="0">
      <alignment horizontal="left" vertical="center"/>
    </xf>
    <xf numFmtId="0" fontId="39" fillId="3" borderId="2" applyAlignment="1" pivotButton="0" quotePrefix="0" xfId="0">
      <alignment horizontal="left" vertical="center" wrapText="1"/>
    </xf>
    <xf numFmtId="0" fontId="46" fillId="5" borderId="2" applyAlignment="1" pivotButton="0" quotePrefix="0" xfId="0">
      <alignment horizontal="center" vertical="center" wrapText="1"/>
    </xf>
    <xf numFmtId="0" fontId="16" fillId="0" borderId="0" applyAlignment="1" pivotButton="0" quotePrefix="0" xfId="0">
      <alignment horizontal="center" vertical="center"/>
    </xf>
    <xf numFmtId="0" fontId="39" fillId="0" borderId="2" applyAlignment="1" pivotButton="0" quotePrefix="0" xfId="0">
      <alignment horizontal="center" vertical="center"/>
    </xf>
    <xf numFmtId="0" fontId="46" fillId="0" borderId="2" applyAlignment="1" pivotButton="0" quotePrefix="0" xfId="0">
      <alignment horizontal="center" vertical="center"/>
    </xf>
    <xf numFmtId="0" fontId="33" fillId="0" borderId="2" applyAlignment="1" pivotButton="0" quotePrefix="0" xfId="0">
      <alignment horizontal="center" vertical="center"/>
    </xf>
    <xf numFmtId="0" fontId="10" fillId="0" borderId="0" applyAlignment="1" pivotButton="0" quotePrefix="0" xfId="0">
      <alignment horizontal="left" vertical="center" wrapText="1"/>
    </xf>
    <xf numFmtId="0" fontId="33" fillId="0" borderId="2" applyAlignment="1" pivotButton="0" quotePrefix="0" xfId="0">
      <alignment horizontal="left" vertical="center"/>
    </xf>
    <xf numFmtId="0" fontId="39" fillId="0" borderId="2" applyAlignment="1" pivotButton="0" quotePrefix="0" xfId="0">
      <alignment horizontal="left" vertical="center" wrapText="1"/>
    </xf>
    <xf numFmtId="0" fontId="4" fillId="2" borderId="0" applyAlignment="1" pivotButton="0" quotePrefix="0" xfId="0">
      <alignment horizontal="center" vertical="center"/>
    </xf>
    <xf numFmtId="0" fontId="65" fillId="9" borderId="10" applyAlignment="1" applyProtection="1" pivotButton="0" quotePrefix="0" xfId="0">
      <alignment horizontal="center" vertical="center"/>
      <protection locked="0" hidden="0"/>
    </xf>
    <xf numFmtId="0" fontId="66" fillId="0" borderId="16" applyAlignment="1" pivotButton="0" quotePrefix="0" xfId="0">
      <alignment horizontal="left" vertical="center" wrapText="1"/>
    </xf>
    <xf numFmtId="0" fontId="59" fillId="0" borderId="14" applyAlignment="1" applyProtection="1" pivotButton="0" quotePrefix="0" xfId="0">
      <alignment horizontal="center" vertical="center"/>
      <protection locked="0" hidden="0"/>
    </xf>
    <xf numFmtId="0" fontId="67" fillId="0" borderId="0" applyAlignment="1" pivotButton="0" quotePrefix="0" xfId="0">
      <alignment horizontal="center" vertical="center"/>
    </xf>
    <xf numFmtId="0" fontId="55" fillId="9" borderId="10" applyAlignment="1" applyProtection="1" pivotButton="0" quotePrefix="0" xfId="0">
      <alignment horizontal="center" vertical="center"/>
      <protection locked="0" hidden="0"/>
    </xf>
    <xf numFmtId="0" fontId="56" fillId="9" borderId="10" applyAlignment="1" applyProtection="1" pivotButton="0" quotePrefix="0" xfId="0">
      <alignment horizontal="center" vertical="center"/>
      <protection locked="0" hidden="0"/>
    </xf>
    <xf numFmtId="0" fontId="68" fillId="9" borderId="10" applyAlignment="1" applyProtection="1" pivotButton="0" quotePrefix="0" xfId="0">
      <alignment horizontal="left" vertical="center" wrapText="1"/>
      <protection locked="0" hidden="0"/>
    </xf>
    <xf numFmtId="0" fontId="55" fillId="0" borderId="0" applyAlignment="1" pivotButton="0" quotePrefix="0" xfId="0">
      <alignment horizontal="center" vertical="center"/>
    </xf>
    <xf numFmtId="0" fontId="56" fillId="0" borderId="0" applyAlignment="1" pivotButton="0" quotePrefix="0" xfId="0">
      <alignment horizontal="center" vertical="center"/>
    </xf>
    <xf numFmtId="0" fontId="57" fillId="9" borderId="10" applyAlignment="1" applyProtection="1" pivotButton="0" quotePrefix="0" xfId="0">
      <alignment horizontal="center" vertical="center"/>
      <protection locked="0" hidden="0"/>
    </xf>
    <xf numFmtId="0" fontId="66" fillId="9" borderId="10" applyAlignment="1" applyProtection="1" pivotButton="0" quotePrefix="0" xfId="0">
      <alignment horizontal="left" vertical="center" wrapText="1"/>
      <protection locked="0" hidden="0"/>
    </xf>
    <xf numFmtId="0" fontId="66" fillId="9" borderId="10" applyAlignment="1" applyProtection="1" pivotButton="0" quotePrefix="0" xfId="0">
      <alignment horizontal="center" vertical="center"/>
      <protection locked="0" hidden="0"/>
    </xf>
    <xf numFmtId="0" fontId="69" fillId="2" borderId="1" applyAlignment="1" pivotButton="0" quotePrefix="0" xfId="0">
      <alignment horizontal="center" vertical="center"/>
    </xf>
    <xf numFmtId="0" fontId="70" fillId="0" borderId="0" applyAlignment="1" pivotButton="0" quotePrefix="0" xfId="0">
      <alignment horizontal="center" vertical="center"/>
    </xf>
    <xf numFmtId="0" fontId="71" fillId="9" borderId="10" applyAlignment="1" applyProtection="1" pivotButton="0" quotePrefix="0" xfId="0">
      <alignment horizontal="center" vertical="center"/>
      <protection locked="0" hidden="0"/>
    </xf>
    <xf numFmtId="0" fontId="71" fillId="9" borderId="10" applyAlignment="1" applyProtection="1" pivotButton="0" quotePrefix="0" xfId="0">
      <alignment horizontal="left" vertical="center" wrapText="1"/>
      <protection locked="0" hidden="0"/>
    </xf>
    <xf numFmtId="0" fontId="70" fillId="0" borderId="0" applyAlignment="1" pivotButton="0" quotePrefix="0" xfId="0">
      <alignment horizontal="left" vertical="center" wrapText="1"/>
    </xf>
    <xf numFmtId="0" fontId="0" fillId="0" borderId="0" applyAlignment="1" pivotButton="0" quotePrefix="0" xfId="0">
      <alignment horizontal="center" vertical="center"/>
    </xf>
    <xf numFmtId="185" fontId="57" fillId="9" borderId="10" applyAlignment="1" applyProtection="1" pivotButton="0" quotePrefix="0" xfId="0">
      <alignment horizontal="center" vertical="center"/>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Arial"/>
        <color rgb="FFB0B0B0"/>
        <sz val="9"/>
      </font>
      <fill>
        <patternFill patternType="solid">
          <fgColor rgb="FFF2F2F2"/>
        </patternFill>
      </fill>
    </dxf>
  </dxf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3.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4.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5.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6.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2.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3.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4.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tabColor rgb="000E7C82"/>
    <outlinePr summaryBelow="1" summaryRight="1"/>
    <pageSetUpPr fitToPage="1"/>
  </sheetPr>
  <dimension ref="A1:B19"/>
  <sheetViews>
    <sheetView tabSelected="1" topLeftCell="A1" zoomScale="100" workbookViewId="0">
      <pane ySplit="2" topLeftCell="A3" activePane="bottomLeft" state="frozen"/>
      <selection pane="bottomLeft" activeCell="A3" sqref="A3"/>
    </sheetView>
  </sheetViews>
  <sheetFormatPr baseColWidth="8" defaultRowHeight="15"/>
  <cols>
    <col width="6" customWidth="1" style="254" min="1" max="1"/>
    <col width="100" customWidth="1" style="254" min="2" max="2"/>
  </cols>
  <sheetData>
    <row r="1" ht="15" customHeight="1" s="254">
      <c r="A1" s="1260" t="n"/>
      <c r="B1" s="1261" t="inlineStr">
        <is>
          <t>START HERE — how to fill this intake</t>
        </is>
      </c>
    </row>
    <row r="2" ht="15" customHeight="1" s="254">
      <c r="A2" s="1561" t="n"/>
      <c r="B2" s="1263" t="inlineStr">
        <is>
          <t>Two minutes to read. The tabs run left to right in the order you should fill them.</t>
        </is>
      </c>
    </row>
    <row r="3" ht="15" customHeight="1" s="254">
      <c r="A3" s="1561" t="n"/>
      <c r="B3" s="1561" t="n"/>
    </row>
    <row r="4" ht="40" customHeight="1" s="254">
      <c r="A4" s="1264" t="inlineStr">
        <is>
          <t>1</t>
        </is>
      </c>
      <c r="B4" s="1265" t="inlineStr">
        <is>
          <t>Fill the tabs in order: Project → Equipment → Electrical → Construction → Commercial → Revenue → Carbon. Existing is for sites that already have chargers OR an existing service the new chargers will connect to; Deal_Structure and Overrides only if they apply; Pricing computes itself.</t>
        </is>
      </c>
    </row>
    <row r="5" ht="15" customHeight="1" s="254">
      <c r="A5" s="1264" t="inlineStr">
        <is>
          <t>2</t>
        </is>
      </c>
      <c r="B5" s="1265" t="inlineStr">
        <is>
          <t>Blue cells are yours. Type only in blue cells. Everything else is locked and works itself out.</t>
        </is>
      </c>
    </row>
    <row r="6" ht="27.5" customHeight="1" s="254">
      <c r="A6" s="1264" t="inlineStr">
        <is>
          <t>3</t>
        </is>
      </c>
      <c r="B6" s="1265" t="inlineStr">
        <is>
          <t>Pick from the dropdown where one is offered. The price book, the rate library and the utility list sit behind the dropdowns on hidden tabs — right-click any tab and choose Unhide if you need to see them.</t>
        </is>
      </c>
    </row>
    <row r="7" ht="40" customHeight="1" s="254">
      <c r="A7" s="1264" t="inlineStr">
        <is>
          <t>4</t>
        </is>
      </c>
      <c r="B7" s="1265" t="inlineStr">
        <is>
          <t>A [+] in the left margin means a block is folded away because most sites do not need it — entry checks, replacement-site sections, power-cabinet runs, derived working. The heading stays visible; click [+] to open it.</t>
        </is>
      </c>
    </row>
    <row r="8" ht="27.5" customHeight="1" s="254">
      <c r="A8" s="1264" t="inlineStr">
        <is>
          <t>5</t>
        </is>
      </c>
      <c r="B8" s="1265" t="inlineStr">
        <is>
          <t>Leave a blue cell blank if you do not know the answer. Never type N/A, ?, TBC or a note into a number cell — a blank is read correctly, a word breaks the calculation.</t>
        </is>
      </c>
    </row>
    <row r="9" ht="27.5" customHeight="1" s="254">
      <c r="A9" s="1264" t="inlineStr">
        <is>
          <t>6</t>
        </is>
      </c>
      <c r="B9" s="1265" t="inlineStr">
        <is>
          <t>Before you send it back, look at the verdict lines: ENTRY CHECKS ALL PASS at the foot of Equipment, the verdict column on the Electrical charger runs, and any line reading FIX or MISMATCH.</t>
        </is>
      </c>
    </row>
    <row r="10" ht="27.5" customHeight="1" s="254">
      <c r="A10" s="1264" t="inlineStr">
        <is>
          <t>7</t>
        </is>
      </c>
      <c r="B10" s="1265" t="inlineStr">
        <is>
          <t>Do not add rows, columns or tabs, and do not move anything. The model reads this file by its labels. Save it with the revision letter in the file name and record what you changed on the Revisions tab.</t>
        </is>
      </c>
    </row>
    <row r="11" ht="15" customHeight="1" s="254">
      <c r="A11" s="1561" t="n"/>
      <c r="B11" s="1561" t="n"/>
    </row>
    <row r="12" ht="15" customHeight="1" s="254">
      <c r="A12" s="1561" t="n"/>
      <c r="B12" s="1264" t="inlineStr">
        <is>
          <t>What the colours mean</t>
        </is>
      </c>
    </row>
    <row r="13" ht="15" customHeight="1" s="254">
      <c r="A13" s="1266" t="inlineStr"/>
      <c r="B13" s="1265" t="inlineStr">
        <is>
          <t>Blue — yours to fill. Unlocked. A dropdown may be attached.</t>
        </is>
      </c>
    </row>
    <row r="14" ht="15" customHeight="1" s="254">
      <c r="A14" s="1267" t="inlineStr"/>
      <c r="B14" s="1265" t="inlineStr">
        <is>
          <t>Grey — computed. Locked. Reads your blue cells and the reference tabs.</t>
        </is>
      </c>
    </row>
    <row r="15" ht="15" customHeight="1" s="254">
      <c r="A15" s="1268" t="inlineStr"/>
      <c r="B15" s="1552" t="inlineStr">
        <is>
          <t>Green — a check that passes, or a total.</t>
        </is>
      </c>
    </row>
    <row r="16" ht="15" customHeight="1" s="254">
      <c r="A16" s="1270" t="inlineStr"/>
      <c r="B16" s="1265" t="inlineStr">
        <is>
          <t>Amber — a caution note worth reading before you fill the block above it.</t>
        </is>
      </c>
    </row>
    <row r="17" ht="15" customHeight="1" s="254">
      <c r="A17" s="1271" t="inlineStr"/>
      <c r="B17" s="1272" t="inlineStr">
        <is>
          <t>Teal band — a table header. The table's rows are below it.</t>
        </is>
      </c>
    </row>
    <row r="18" ht="15" customHeight="1" s="254">
      <c r="A18" s="1561" t="n"/>
      <c r="B18" s="1561" t="n"/>
    </row>
    <row r="19" ht="15" customHeight="1" s="254">
      <c r="A19" s="1561" t="n"/>
      <c r="B19" s="1263" t="inlineStr">
        <is>
          <t>Questions go to the Zero Impact Energy EV Charging Infrastructure 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fitToHeight="0" fitToWidth="1"/>
</worksheet>
</file>

<file path=xl/worksheets/sheet2.xml><?xml version="1.0" encoding="utf-8"?>
<worksheet xmlns="http://schemas.openxmlformats.org/spreadsheetml/2006/main">
  <sheetPr filterMode="0">
    <tabColor rgb="000E7C82"/>
    <outlinePr summaryBelow="1" summaryRight="1"/>
    <pageSetUpPr fitToPage="1"/>
  </sheetPr>
  <dimension ref="A1:D6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32" customWidth="1" style="253" min="1" max="1"/>
    <col width="24" customWidth="1" style="253" min="2" max="2"/>
    <col width="80" customWidth="1" style="253" min="3" max="3"/>
    <col width="10" customWidth="1" style="253" min="4" max="4"/>
  </cols>
  <sheetData>
    <row r="1" ht="15" customHeight="1" s="254">
      <c r="A1" s="1543" t="inlineStr">
        <is>
          <t>DOCUMENT CONTROL</t>
        </is>
      </c>
      <c r="D1" s="1544" t="n"/>
    </row>
    <row r="2" ht="15" customHeight="1" s="254">
      <c r="A2" s="1545" t="inlineStr">
        <is>
          <t>Hardcoded. These values identify which generation of the template a returned file came from — never make them formulas.</t>
        </is>
      </c>
      <c r="B2" s="965" t="n"/>
      <c r="C2" s="965" t="n"/>
      <c r="D2" s="966" t="n"/>
    </row>
    <row r="3" ht="15" customHeight="1" s="254">
      <c r="A3" s="1546" t="n"/>
      <c r="B3" s="1546" t="n"/>
      <c r="C3" s="1546" t="n"/>
      <c r="D3" s="1546" t="n"/>
    </row>
    <row r="4" ht="15" customHeight="1" s="254">
      <c r="A4" s="1547" t="inlineStr">
        <is>
          <t>Template version</t>
        </is>
      </c>
      <c r="B4" s="1548" t="inlineStr">
        <is>
          <t>3.8.3</t>
        </is>
      </c>
      <c r="C4" s="1544" t="n"/>
      <c r="D4" s="1544" t="n"/>
    </row>
    <row r="5" ht="15" customHeight="1" s="254">
      <c r="A5" s="1547" t="inlineStr">
        <is>
          <t>Released</t>
        </is>
      </c>
      <c r="B5" s="1549" t="inlineStr">
        <is>
          <t>2026-09-27</t>
        </is>
      </c>
      <c r="C5" s="1544" t="n"/>
      <c r="D5" s="1544" t="n"/>
    </row>
    <row r="6" ht="15" customHeight="1" s="254">
      <c r="A6" s="1547" t="inlineStr">
        <is>
          <t>Template name</t>
        </is>
      </c>
      <c r="B6" s="1549" t="inlineStr">
        <is>
          <t>EVSE Project Intake</t>
        </is>
      </c>
      <c r="C6" s="1544" t="n"/>
      <c r="D6" s="1544" t="n"/>
    </row>
    <row r="7" ht="15" customHeight="1" s="254">
      <c r="A7" s="1547" t="inlineStr">
        <is>
          <t>Issued by</t>
        </is>
      </c>
      <c r="B7" s="1549" t="inlineStr">
        <is>
          <t>Zero Impact Energy</t>
        </is>
      </c>
      <c r="C7" s="1544" t="n"/>
      <c r="D7" s="1544" t="n"/>
    </row>
    <row r="8" ht="27.5" customHeight="1" s="254">
      <c r="A8" s="1547" t="inlineStr">
        <is>
          <t>Template content hash</t>
        </is>
      </c>
      <c r="B8" s="1548" t="inlineStr">
        <is>
          <t>c67e6ff9adce3595</t>
        </is>
      </c>
      <c r="C8" s="1550" t="inlineStr">
        <is>
          <t>The hash of the BLANK template this file was built from, frozen at its release. It does not change when you fill the sheet in.</t>
        </is>
      </c>
      <c r="D8" s="943" t="n"/>
    </row>
    <row r="9" ht="15" customHeight="1" s="254">
      <c r="A9" s="1551" t="inlineStr">
        <is>
          <t>Completed by — fill these in</t>
        </is>
      </c>
      <c r="B9" s="1544" t="n"/>
      <c r="C9" s="1544" t="n"/>
      <c r="D9" s="1544" t="n"/>
    </row>
    <row r="10" ht="15" customHeight="1" s="254">
      <c r="A10" s="1552" t="inlineStr">
        <is>
          <t>This file version</t>
        </is>
      </c>
      <c r="B10" s="1553" t="inlineStr">
        <is>
          <t>Rev A</t>
        </is>
      </c>
      <c r="C10" s="1554" t="inlineStr">
        <is>
          <t>e.g. Rev A, Rev B — increment each time you send it back</t>
        </is>
      </c>
      <c r="D10" s="943" t="n"/>
    </row>
    <row r="11" ht="15" customHeight="1" s="254">
      <c r="A11" s="1552" t="inlineStr">
        <is>
          <t>Date completed</t>
        </is>
      </c>
      <c r="B11" s="1562" t="n">
        <v>46267</v>
      </c>
      <c r="C11" s="1544" t="n"/>
      <c r="D11" s="1544" t="n"/>
    </row>
    <row r="12" ht="15" customHeight="1" s="254">
      <c r="A12" s="1552" t="inlineStr">
        <is>
          <t>Completed by</t>
        </is>
      </c>
      <c r="B12" s="1553" t="inlineStr">
        <is>
          <t>Test CPM</t>
        </is>
      </c>
      <c r="C12" s="1544" t="n"/>
      <c r="D12" s="1544" t="n"/>
    </row>
    <row r="13" ht="15" customHeight="1" s="254">
      <c r="A13" s="1552" t="inlineStr">
        <is>
          <t>Project reference</t>
        </is>
      </c>
      <c r="B13" s="1553" t="inlineStr">
        <is>
          <t>BW-TEST-001</t>
        </is>
      </c>
      <c r="C13" s="1544" t="n"/>
      <c r="D13" s="1544" t="n"/>
    </row>
    <row r="14" ht="15" customHeight="1" s="254">
      <c r="A14" s="1552" t="inlineStr">
        <is>
          <t>Notes on this revision</t>
        </is>
      </c>
      <c r="B14" s="1553" t="inlineStr">
        <is>
          <t>Fixture for the importer test</t>
        </is>
      </c>
      <c r="C14" s="1555" t="inlineStr">
        <is>
          <t>What changed since the last version you sent</t>
        </is>
      </c>
      <c r="D14" s="1544" t="n"/>
    </row>
    <row r="15" ht="27.5" customHeight="1" s="254">
      <c r="A15" s="1552" t="inlineStr">
        <is>
          <t>File content hash</t>
        </is>
      </c>
      <c r="B15" s="1544" t="inlineStr">
        <is>
          <t>c67e6ff9adce3595</t>
        </is>
      </c>
      <c r="C15" s="1550" t="inlineStr">
        <is>
          <t>A hash of THIS workbook. It changes every time someone edits it, and it is what a model records so you can tell whether the model was built from the file in front of you.</t>
        </is>
      </c>
      <c r="D15" s="943" t="n"/>
    </row>
    <row r="16" ht="15" customHeight="1" s="254">
      <c r="A16" s="1551" t="inlineStr">
        <is>
          <t>Changelog</t>
        </is>
      </c>
      <c r="B16" s="1544" t="n"/>
      <c r="C16" s="1544" t="n"/>
      <c r="D16" s="1544" t="n"/>
    </row>
    <row r="17" ht="15" customHeight="1" s="254">
      <c r="A17" s="1556" t="inlineStr">
        <is>
          <t>Version</t>
        </is>
      </c>
      <c r="B17" s="1556" t="inlineStr">
        <is>
          <t>Released</t>
        </is>
      </c>
      <c r="C17" s="1556" t="inlineStr">
        <is>
          <t>What changed</t>
        </is>
      </c>
      <c r="D17" s="1544" t="n"/>
    </row>
    <row r="18" ht="27.5" customHeight="1" s="254">
      <c r="A18" s="1557" t="inlineStr">
        <is>
          <t>1.0.0</t>
        </is>
      </c>
      <c r="B18" s="1558" t="inlineStr">
        <is>
          <t>2026-08-26</t>
        </is>
      </c>
      <c r="C18" s="1559" t="inlineStr">
        <is>
          <t>Initial release — project, equipment, electrical, construction, commercial, revenue and carbon intake with live consistency checks.</t>
        </is>
      </c>
      <c r="D18" s="943" t="n"/>
    </row>
    <row r="19" ht="15" customHeight="1" s="254">
      <c r="A19" s="1557" t="inlineStr">
        <is>
          <t>1.1.0</t>
        </is>
      </c>
      <c r="B19" s="1558" t="inlineStr">
        <is>
          <t>2026-08-26</t>
        </is>
      </c>
      <c r="C19" s="1559" t="inlineStr">
        <is>
          <t>Deal structure knobs and the override register. Base case unchanged at zero.</t>
        </is>
      </c>
      <c r="D19" s="943" t="n"/>
    </row>
    <row r="20" ht="27.5" customHeight="1" s="254">
      <c r="A20" s="1557" t="inlineStr">
        <is>
          <t>1.2.0</t>
        </is>
      </c>
      <c r="B20" s="1558" t="inlineStr">
        <is>
          <t>2026-08-26</t>
        </is>
      </c>
      <c r="C20" s="1559" t="inlineStr">
        <is>
          <t>PG&amp;E Rule 29 interconnection capture. Electrical materials costed independently of the EVSE price book.</t>
        </is>
      </c>
      <c r="D20" s="943" t="n"/>
    </row>
    <row r="21" ht="27.5" customHeight="1" s="254">
      <c r="A21" s="1557" t="inlineStr">
        <is>
          <t>1.3.0</t>
        </is>
      </c>
      <c r="B21" s="1558" t="inlineStr">
        <is>
          <t>2026-08-26</t>
        </is>
      </c>
      <c r="C21" s="1559" t="inlineStr">
        <is>
          <t>Utility rate engine across PG&amp;E, SCE and SDG&amp;E. Market benchmarks. Demand subscription ramps with concurrency.</t>
        </is>
      </c>
      <c r="D21" s="943" t="n"/>
    </row>
    <row r="22" ht="27.5" customHeight="1" s="254">
      <c r="A22" s="1557" t="inlineStr">
        <is>
          <t>1.4.0</t>
        </is>
      </c>
      <c r="B22" s="1558" t="inlineStr">
        <is>
          <t>2026-08-26</t>
        </is>
      </c>
      <c r="C22" s="1559" t="inlineStr">
        <is>
          <t>Scope of supply controls — each service line can be provided by us, by others, or not required. Document control added.</t>
        </is>
      </c>
      <c r="D22" s="943" t="n"/>
    </row>
    <row r="23" ht="27.5" customHeight="1" s="254">
      <c r="A23" s="1557" t="inlineStr">
        <is>
          <t>1.5.0</t>
        </is>
      </c>
      <c r="B23" s="1558" t="inlineStr">
        <is>
          <t>2026-08-26</t>
        </is>
      </c>
      <c r="C23" s="1559" t="inlineStr">
        <is>
          <t>Mixed-fleet fix — accessories no longer counted as charging units, and the placement check compares against DC cabinets only.</t>
        </is>
      </c>
      <c r="D23" s="943" t="n"/>
    </row>
    <row r="24" ht="27.5" customHeight="1" s="254">
      <c r="A24" s="1557" t="inlineStr">
        <is>
          <t>1.6.0</t>
        </is>
      </c>
      <c r="B24" s="1558" t="inlineStr">
        <is>
          <t>2026-08-26</t>
        </is>
      </c>
      <c r="C24" s="1559" t="inlineStr">
        <is>
          <t>Description was not recorded at the time. The change sits between the mixed-fleet fix (1.5.0) and the rip-and-replace capability (1.7.0).</t>
        </is>
      </c>
      <c r="D24" s="943" t="n"/>
    </row>
    <row r="25" ht="52.5" customHeight="1" s="254">
      <c r="A25" s="1557" t="inlineStr">
        <is>
          <t>1.7.0</t>
        </is>
      </c>
      <c r="B25" s="1558" t="inlineStr">
        <is>
          <t>2026-08-26</t>
        </is>
      </c>
      <c r="C25" s="1559"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943" t="n"/>
    </row>
    <row r="26" ht="77.5" customHeight="1" s="254">
      <c r="A26" s="1557" t="inlineStr">
        <is>
          <t>1.8.0</t>
        </is>
      </c>
      <c r="B26" s="1558" t="inlineStr">
        <is>
          <t>2026-08-26</t>
        </is>
      </c>
      <c r="C26" s="1559"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943" t="n"/>
    </row>
    <row r="27" ht="52.5" customHeight="1" s="254">
      <c r="A27" s="1557" t="inlineStr">
        <is>
          <t>1.9.0</t>
        </is>
      </c>
      <c r="B27" s="1558" t="inlineStr">
        <is>
          <t>2026-08-27</t>
        </is>
      </c>
      <c r="C27" s="1559"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943" t="n"/>
    </row>
    <row r="28" ht="77.5" customHeight="1" s="254">
      <c r="A28" s="1557" t="inlineStr">
        <is>
          <t>1.10.0</t>
        </is>
      </c>
      <c r="B28" s="1558" t="inlineStr">
        <is>
          <t>2026-08-27</t>
        </is>
      </c>
      <c r="C28" s="1559"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943" t="n"/>
    </row>
    <row r="29" ht="102.5" customHeight="1" s="254">
      <c r="A29" s="1557" t="inlineStr">
        <is>
          <t>1.11.0</t>
        </is>
      </c>
      <c r="B29" s="1558" t="inlineStr">
        <is>
          <t>2026-08-27</t>
        </is>
      </c>
      <c r="C29" s="1559"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943" t="n"/>
    </row>
    <row r="30" ht="102.5" customHeight="1" s="254">
      <c r="A30" s="1557" t="inlineStr">
        <is>
          <t>1.12.0</t>
        </is>
      </c>
      <c r="B30" s="1558" t="inlineStr">
        <is>
          <t>2026-08-27</t>
        </is>
      </c>
      <c r="C30" s="1559"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943" t="n"/>
    </row>
    <row r="31" ht="52.5" customHeight="1" s="254">
      <c r="A31" s="1557" t="inlineStr">
        <is>
          <t>1.12.1</t>
        </is>
      </c>
      <c r="B31" s="1558" t="inlineStr">
        <is>
          <t>2026-08-27</t>
        </is>
      </c>
      <c r="C31" s="1559"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943" t="n"/>
    </row>
    <row r="32" ht="52.5" customHeight="1" s="254">
      <c r="A32" s="1557" t="inlineStr">
        <is>
          <t>1.13.0</t>
        </is>
      </c>
      <c r="B32" s="1558" t="inlineStr">
        <is>
          <t>2026-08-27</t>
        </is>
      </c>
      <c r="C32" s="1559"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943" t="n"/>
    </row>
    <row r="33" ht="90" customHeight="1" s="254">
      <c r="A33" s="1557" t="inlineStr">
        <is>
          <t>1.14.0</t>
        </is>
      </c>
      <c r="B33" s="1558" t="inlineStr">
        <is>
          <t>2026-08-27</t>
        </is>
      </c>
      <c r="C33" s="1559"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943" t="n"/>
    </row>
    <row r="34" ht="65" customHeight="1" s="254">
      <c r="A34" s="1557" t="inlineStr">
        <is>
          <t>2.0.0</t>
        </is>
      </c>
      <c r="B34" s="1558" t="inlineStr">
        <is>
          <t>2026-08-28</t>
        </is>
      </c>
      <c r="C34" s="1559"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943" t="n"/>
    </row>
    <row r="35" ht="127.5" customHeight="1" s="254">
      <c r="A35" s="1557" t="inlineStr">
        <is>
          <t>2.1.0</t>
        </is>
      </c>
      <c r="B35" s="1558" t="inlineStr">
        <is>
          <t>2026-08-28</t>
        </is>
      </c>
      <c r="C35" s="1559"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943" t="n"/>
    </row>
    <row r="36" ht="77.5" customHeight="1" s="254">
      <c r="A36" s="1557" t="inlineStr">
        <is>
          <t>2.1.1</t>
        </is>
      </c>
      <c r="B36" s="1558" t="inlineStr">
        <is>
          <t>2026-08-28</t>
        </is>
      </c>
      <c r="C36" s="1559"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943" t="n"/>
    </row>
    <row r="37" ht="40" customHeight="1" s="254">
      <c r="A37" s="1557" t="inlineStr">
        <is>
          <t>2.1.2</t>
        </is>
      </c>
      <c r="B37" s="1558" t="inlineStr">
        <is>
          <t>2026-08-28</t>
        </is>
      </c>
      <c r="C37" s="1559" t="inlineStr">
        <is>
          <t>Removed a duplicate hash row this script had created by matching only the pre-rename label — two hashes for one workbook, inside the mechanism built to stop exactly that. Both scripts now accept either label.</t>
        </is>
      </c>
      <c r="D37" s="943" t="n"/>
    </row>
    <row r="38" ht="152.5" customHeight="1" s="254">
      <c r="A38" s="1557" t="inlineStr">
        <is>
          <t>2.2.0</t>
        </is>
      </c>
      <c r="B38" s="1558" t="inlineStr">
        <is>
          <t>2026-08-28</t>
        </is>
      </c>
      <c r="C38" s="1559"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943" t="n"/>
    </row>
    <row r="39" ht="409" customHeight="1" s="254">
      <c r="A39" s="1557" t="inlineStr">
        <is>
          <t>2.5.0</t>
        </is>
      </c>
      <c r="B39" s="1558" t="inlineStr">
        <is>
          <t>2026-08-28</t>
        </is>
      </c>
      <c r="C39" s="1559"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943" t="n"/>
    </row>
    <row r="40" ht="265" customHeight="1" s="254">
      <c r="A40" s="1557" t="inlineStr">
        <is>
          <t>2.6.0</t>
        </is>
      </c>
      <c r="B40" s="1558" t="inlineStr">
        <is>
          <t>2026-08-28</t>
        </is>
      </c>
      <c r="C40" s="1559"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943" t="n"/>
    </row>
    <row r="41" ht="102.5" customHeight="1" s="254">
      <c r="A41" s="1557" t="inlineStr">
        <is>
          <t>2.7.0</t>
        </is>
      </c>
      <c r="B41" s="1558" t="inlineStr">
        <is>
          <t>2026-08-28</t>
        </is>
      </c>
      <c r="C41" s="1559"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943" t="n"/>
    </row>
    <row r="42" ht="115" customHeight="1" s="254">
      <c r="A42" s="1557" t="inlineStr">
        <is>
          <t>2.7.1</t>
        </is>
      </c>
      <c r="B42" s="1558" t="inlineStr">
        <is>
          <t>2026-08-28</t>
        </is>
      </c>
      <c r="C42" s="1559"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943" t="n"/>
    </row>
    <row r="43" ht="165" customHeight="1" s="254">
      <c r="A43" s="1557" t="inlineStr">
        <is>
          <t>2.7.2</t>
        </is>
      </c>
      <c r="B43" s="1558" t="inlineStr">
        <is>
          <t>2026-08-28</t>
        </is>
      </c>
      <c r="C43" s="1559"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943" t="n"/>
    </row>
    <row r="44" ht="102.5" customHeight="1" s="254">
      <c r="A44" s="1557" t="inlineStr">
        <is>
          <t>2.8.0</t>
        </is>
      </c>
      <c r="B44" s="1558" t="inlineStr">
        <is>
          <t>2026-08-29</t>
        </is>
      </c>
      <c r="C44" s="1559"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943" t="n"/>
    </row>
    <row r="45" ht="152.5" customHeight="1" s="254">
      <c r="A45" s="1557" t="inlineStr">
        <is>
          <t>2.8.1</t>
        </is>
      </c>
      <c r="B45" s="1558" t="inlineStr">
        <is>
          <t>2026-08-29</t>
        </is>
      </c>
      <c r="C45" s="1559"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943" t="n"/>
    </row>
    <row r="46" ht="102.5" customHeight="1" s="254">
      <c r="A46" s="1557" t="inlineStr">
        <is>
          <t>2.9.0</t>
        </is>
      </c>
      <c r="B46" s="1558" t="inlineStr">
        <is>
          <t>2026-08-29</t>
        </is>
      </c>
      <c r="C46" s="1559"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943" t="n"/>
    </row>
    <row r="47" ht="302.5" customHeight="1" s="254">
      <c r="A47" s="1557" t="inlineStr">
        <is>
          <t>3.0.0</t>
        </is>
      </c>
      <c r="B47" s="1558" t="inlineStr">
        <is>
          <t>2026-09-01</t>
        </is>
      </c>
      <c r="C47" s="1559"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943" t="n"/>
    </row>
    <row r="48" ht="227.5" customHeight="1" s="254">
      <c r="A48" s="1557" t="inlineStr">
        <is>
          <t>3.1.0</t>
        </is>
      </c>
      <c r="B48" s="1558" t="inlineStr">
        <is>
          <t>2026-09-03</t>
        </is>
      </c>
      <c r="C48" s="1559"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943" t="n"/>
    </row>
    <row r="49" ht="240" customHeight="1" s="254">
      <c r="A49" s="1557" t="inlineStr">
        <is>
          <t>3.2.0</t>
        </is>
      </c>
      <c r="B49" s="1557" t="inlineStr">
        <is>
          <t>2026-09-04</t>
        </is>
      </c>
      <c r="C49" s="1560"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row>
    <row r="50" ht="127.5" customHeight="1" s="254">
      <c r="A50" s="1557" t="inlineStr">
        <is>
          <t>3.2.1</t>
        </is>
      </c>
      <c r="B50" s="1557" t="inlineStr">
        <is>
          <t>2026-09-11</t>
        </is>
      </c>
      <c r="C50" s="1560" t="inlineStr">
        <is>
          <t>Two fixes from the first greenfield DC + Level 2 site. (1) Level 2 branch circuits get a material take-off: the table sized and checked every circuit but priced none of them, so the engine refused the site; columns L-Q now carry conduit size (input), two ungrounded conductors, the NEC 250.122 ground, conduit feet and the cost at RefData rates, totalled at "Level 2 branch material cost ($)". (2) Switchgear frame ladder learns 2,500 A. A 1,621 kW site with a 2,500 A switchboard quoted read UNDERSIZED because the RefData ladder jumped from 2,000 A to 3,200 A; 2,500 A is a standard rating and the same tab prices a 2,500 A main. Ladder rows rewritten with a 2,000-2,500 step (Electrical "Standard frame required per board" now reads RefData A4:B16), and the 2,500 A price-table row retyped as text so the adequacy check can find it. No other cell changed.</t>
        </is>
      </c>
    </row>
    <row r="51" ht="140" customHeight="1" s="254">
      <c r="A51" s="1557" t="inlineStr">
        <is>
          <t>3.3.0</t>
        </is>
      </c>
      <c r="B51" s="1557" t="inlineStr">
        <is>
          <t>2026-09-12</t>
        </is>
      </c>
      <c r="C51" s="1560" t="inlineStr">
        <is>
          <t>The Electrical tab rebuilt around how sites are built. ONE charger-run table, generated from the Equipment tab: every standalone DC charger, power cabinet and Level 2 unit is listed automatically with what it is, its supply and its kW; the human types the distance and the tab sizes the conductor for ampacity and voltage drop, picks the breaker, ground and conduit, prices the run and gives a verdict per row (override columns for the drawings; Level 2 pedestals share a circuit by name). The dispenser table is used only when a power cabinet is scheduled and says NOT USED otherwise, its rows built from the cabinet lines. Three run tables, three placement checks and three sets of totals became one of each. Equipment gains auto columns Q-V numbering the units; RefData gains a conduit-by-conductor table and the site sizing table; the Version tab gains a Revisions tab for the filled file's own history. Cross-sheet reads of the Electrical tab rewired by label. Engine 3.4.0 reads the new tables.</t>
        </is>
      </c>
    </row>
    <row r="52" ht="65" customHeight="1" s="254">
      <c r="A52" s="1557" t="inlineStr">
        <is>
          <t>3.3.1</t>
        </is>
      </c>
      <c r="B52" s="1557" t="inlineStr">
        <is>
          <t>2026-09-12</t>
        </is>
      </c>
      <c r="C52" s="1560" t="inlineStr">
        <is>
          <t>Excel fix, same day. The run tables located a unit's equipment line with SUMPRODUCT(MAX(ISNUMBER(...)*...)); LibreOffice and the Excel-rules engine both computed it, Excel returned #VALUE! on every row of the charger-run table. Replaced with COUNTIF over a cumulative unit count on the Equipment tab (columns S and V are now cumulative and numeric on every line). No other change.</t>
        </is>
      </c>
    </row>
    <row r="53" ht="102.5" customHeight="1" s="254">
      <c r="A53" s="1557" t="inlineStr">
        <is>
          <t>3.4.0</t>
        </is>
      </c>
      <c r="B53" s="1557" t="inlineStr">
        <is>
          <t>2026-09-12</t>
        </is>
      </c>
      <c r="C53" s="1560" t="inlineStr">
        <is>
          <t>A PRICING tab beside the Commercial tab. Until now the intake showed the equipment MSRP before and after discount and nothing else priced: no service and warranty figure, EVOLV at list only, no sales tax, no site-works, rental, wire or switchgear line with the markup on it, no discount in dollars, no grand total — a discount typed on the Commercial tab could not be seen until a model was built. The tab computes every line of the customer price the way the model does (list, discount, customer price), with the service and warranty class matched from the price book as the engine matches it, an EVOLV block, what is already paid and the balance to finance. Engine 3.4.2 refuses to build if its price and this tab disagree. Nothing on the tab is typed.</t>
        </is>
      </c>
    </row>
    <row r="54" ht="77.5" customHeight="1" s="254">
      <c r="A54" s="1557" t="inlineStr">
        <is>
          <t>3.5.0</t>
        </is>
      </c>
      <c r="B54" s="1557" t="inlineStr">
        <is>
          <t>2026-09-12</t>
        </is>
      </c>
      <c r="C54" s="1560" t="inlineStr">
        <is>
          <t>Human-facing release. One input colour (blue, unlocked); everything else locked including notes, defaults and the reference tabs. Values centred, labels left, notes wrapped, row heights and column widths sized to content, Arial 10. Rarely-needed blocks (entry checks, derived blocks, replacement-only and power-cabinet-only sections) grouped and collapsed behind a [+]. Reference tabs hidden. START HERE tab added. No label, row, tab or formula moved — engine 3.4.5 reads it unchanged and a filled 3.4.0 transfers cell for cell.</t>
        </is>
      </c>
    </row>
    <row r="55" ht="102.5" customHeight="1" s="254">
      <c r="A55" s="1557" t="inlineStr">
        <is>
          <t>3.6.0</t>
        </is>
      </c>
      <c r="B55" s="1557" t="inlineStr">
        <is>
          <t>2026-09-18</t>
        </is>
      </c>
      <c r="C55" s="1560" t="inlineStr">
        <is>
          <t>3.6.0 — Added the project type "Greenfield — add load to existing service" for a site with no chargers whose existing service and switchgear carry the new load. Existing tab section I (capacity of the existing service) tests the added load three ways — NEC 220.87 measured peak demand, stated spare capacity, or service size — and the service/switchgear verdicts on rows 60–61 read it. Section headers say whether they apply to the chosen project type. Electrical: service feeder can be "Existing — retained"; retained-infrastructure block and scope profile know the new type. Construction: site-works profile and removal-scope error know it. No rows inserted; every 3.5.0 presentation upgrade kept.</t>
        </is>
      </c>
    </row>
    <row r="56" ht="252.5" customHeight="1" s="254">
      <c r="A56" s="1557" t="inlineStr">
        <is>
          <t>3.7.3</t>
        </is>
      </c>
      <c r="B56" s="1557" t="inlineStr">
        <is>
          <t>2026-09-20</t>
        </is>
      </c>
      <c r="C56" s="1560" t="inlineStr">
        <is>
          <t>3.7.0 — Distribution feeders priced. New Electrical block I: one row per feeder between the items on the distribution schedule (existing board to EV panel, breaker to transformer, transformer to Level 2 panel, panel to panel), auto-sized from the site conductor table at the floor set by the item fed, with ground, conduit, parallel sets, voltage drop, material at RefData rates and a verdict per row. "Distribution feeder material ($)" joins the wire line on the Pricing tab and in engine 3.4.7. Until now nothing in the workbook priced the wire between the boxes. No rows inserted. 3.7.1 — Excel repair fix: the From/To dropdowns in block I were stored with a leading "=" in the validation formula, which Excel reports as corrupt content and strips on open. Stored form corrected; excel_limits.py now checks every delivered workbook for it. Rate-schedule picker: the SDG&amp;E EV-HP entries now carry the rate library's exact names (the lookup is by text) and EV-HP Primary joins the list. Every row address as 3.7.0. 3.7.2 — Nine formulas (Electrical N160, B211:C213, B214; Construction B66) had been one closing bracket short since 3.6.0. LibreOffice closes an unbalanced formula silently, so every filled revision was whole; Excel deletes it, so every blank template since 3.6.0 opened through the repair prompt. Brackets restored at the source; every delivered workbook is now checked for bracket and quote balance. 3.7.3 — Two things a person could not do in Excel since 3.4.0: the Revenue tab was saved scrolled to row 43 under its frozen header, so rows 3–42 (utility, rate schedule, voltage level) could not be reached; and the scope-of-work sentence (Equipment B27) was a locked cell with no input style. Every sheet now opens at A1, B27 is a blue input cell, and style_check.py refuses both defects.</t>
        </is>
      </c>
    </row>
    <row r="57" ht="115" customHeight="1" s="254">
      <c r="A57" s="1557" t="inlineStr">
        <is>
          <t>3.8.0</t>
        </is>
      </c>
      <c r="B57" s="1557" t="inlineStr">
        <is>
          <t>2026-09-20</t>
        </is>
      </c>
      <c r="C57" s="1560" t="inlineStr">
        <is>
          <t>3.8.0 — Electrical block B holds thirty charger runs (rows 18–47), not sixty; everything below moves up thirty rows on that tab only. Block B prices nothing on a row with no charger. If every run is marked as sharing a trench, the longest run owns one. The service-feeder verdict asks for the design ambient when it is blank. The Revenue subscription verdict stands down on a demand-charge schedule. Rentals carry a "Rate per" column (day / week / month) with the duration in that unit. Presentation: every cell vertically centred, short text and numbers centred, prose left and wrapped, every row sized to its text, every sheet opening at A1. Engine 3.4.9 reads the run table to its totals heading.</t>
        </is>
      </c>
      <c r="D57" s="1561" t="n"/>
    </row>
    <row r="58" ht="90" customHeight="1" s="254">
      <c r="A58" s="1557" t="inlineStr">
        <is>
          <t>3.8.1</t>
        </is>
      </c>
      <c r="B58" s="1557" t="inlineStr">
        <is>
          <t>2026-09-25</t>
        </is>
      </c>
      <c r="C58" s="1560" t="inlineStr">
        <is>
          <t>3.8.1 — Rate library: SCE TOU-EV-7/8/9 filled from the filed Cal. PUC sheets effective Oct 1, 2025 (bundled, &lt;2 kV; no demand charge, no subscription block; customer charge $511.90/mo on EV-9); the 2021 placeholder rows superseded. Revenue subscription verdict stands down on a schedule with no capacity charge. California DCFC price benchmark $0.69/kWh (Sept 2026 network averages). Notes on blending a TOU row into one $/kWh, on tariff escalation, and on the demand-limiting setpoint. No row moved; engine 3.4.10 reads it unchanged.</t>
        </is>
      </c>
      <c r="D58" s="1561" t="n"/>
    </row>
    <row r="59" ht="77.5" customHeight="1" s="254">
      <c r="A59" s="1557" t="inlineStr">
        <is>
          <t>3.8.2</t>
        </is>
      </c>
      <c r="B59" s="1557" t="inlineStr">
        <is>
          <t>2026-09-26</t>
        </is>
      </c>
      <c r="C59" s="1560" t="inlineStr">
        <is>
          <t>3.8.2 — Dispenser runs carry sets per pole (new input column O; blank = 1), so a distributed system that parallels two conductors per pole per port is priced whole. Standard frame ladder steps 2,500 -&gt; 3,000 -&gt; 4,000 A (NEC 240.6; the price list already held a 3,000 A main). CTX-DSPB-1280 architecture row confirmed from the ChargeTronix / Sinexcel single-line: nameplate 2,320 A at 480 V, (4) 700 A MCCB inputs, 1,928.9 kVA. No row or column moved; engine 3.4.12 reads it unchanged.</t>
        </is>
      </c>
      <c r="D59" s="1561" t="n"/>
    </row>
    <row r="60" ht="115" customHeight="1" s="254">
      <c r="A60" s="1557" t="inlineStr">
        <is>
          <t>3.8.3</t>
        </is>
      </c>
      <c r="B60" s="1557" t="inlineStr">
        <is>
          <t>2026-09-27</t>
        </is>
      </c>
      <c r="C60" s="1560" t="inlineStr">
        <is>
          <t>3.8.3 — Construction tab: a "Line total ($)" column at the end of the site-works table (column F, rows 14–27, quantity x unit cost on every line marked Y) and of the equipment-rentals table (column G, rows 39–52, quantity x unit cost x duration), each with a total row beneath it (rows 28 and 53) — the cost of each element as it is typed, before the materials markup the Pricing tab adds. No value, formula or address elsewhere changes. RateLibrary: the City of Palo Alto Utilities row is E-4 (below 1,000 kW, season-weighted from the sheet effective July 1, 2026); E-7 re-entered corrected on row 42, and both added to the Revenue rate-schedule dropdown (Utilities H5:H30), which never carried them.</t>
        </is>
      </c>
      <c r="D60" s="1561" t="n"/>
    </row>
  </sheetData>
  <sheetProtection selectLockedCells="0" selectUnlockedCells="0" sheet="1" objects="0" insertRows="1" insertHyperlinks="1" autoFilter="1" scenarios="0" formatColumns="0" deleteColumns="1" insertColumns="1" pivotTables="1" deleteRows="1" formatCells="0" formatRows="0" sort="1"/>
  <mergeCells count="44">
    <mergeCell ref="C34:D34"/>
    <mergeCell ref="C30:D30"/>
    <mergeCell ref="C24:D24"/>
    <mergeCell ref="C15:D15"/>
    <mergeCell ref="C33:D33"/>
    <mergeCell ref="C42:D42"/>
    <mergeCell ref="C45:D45"/>
    <mergeCell ref="C26:D26"/>
    <mergeCell ref="C35:D35"/>
    <mergeCell ref="C20:D20"/>
    <mergeCell ref="C29:D29"/>
    <mergeCell ref="C10:D10"/>
    <mergeCell ref="C47:D47"/>
    <mergeCell ref="C54:D54"/>
    <mergeCell ref="C25:D25"/>
    <mergeCell ref="C41:D41"/>
    <mergeCell ref="C55:D55"/>
    <mergeCell ref="C50:D50"/>
    <mergeCell ref="C44:D44"/>
    <mergeCell ref="C22:D22"/>
    <mergeCell ref="C40:D40"/>
    <mergeCell ref="C31:D31"/>
    <mergeCell ref="C56:D56"/>
    <mergeCell ref="C43:D43"/>
    <mergeCell ref="C46:D46"/>
    <mergeCell ref="C21:D21"/>
    <mergeCell ref="C51:D51"/>
    <mergeCell ref="C27:D27"/>
    <mergeCell ref="C36:D36"/>
    <mergeCell ref="C52:D52"/>
    <mergeCell ref="C48:D48"/>
    <mergeCell ref="C23:D23"/>
    <mergeCell ref="C39:D39"/>
    <mergeCell ref="C8:D8"/>
    <mergeCell ref="C32:D32"/>
    <mergeCell ref="C38:D38"/>
    <mergeCell ref="A1:C1"/>
    <mergeCell ref="C19:D19"/>
    <mergeCell ref="C37:D37"/>
    <mergeCell ref="C28:D28"/>
    <mergeCell ref="A2:D2"/>
    <mergeCell ref="C18:D18"/>
    <mergeCell ref="C53:D53"/>
    <mergeCell ref="C49:D4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tabColor rgb="000E7C82"/>
    <outlinePr summaryBelow="1" summaryRight="1"/>
    <pageSetUpPr fitToPage="1"/>
  </sheetPr>
  <dimension ref="A1:D20"/>
  <sheetViews>
    <sheetView showGridLines="0" tabSelected="0" topLeftCell="A1" zoomScale="100" workbookViewId="0">
      <pane ySplit="4" topLeftCell="A5" activePane="bottomLeft" state="frozen"/>
      <selection pane="bottomLeft" activeCell="A5" sqref="A5"/>
    </sheetView>
  </sheetViews>
  <sheetFormatPr baseColWidth="8" defaultRowHeight="15"/>
  <cols>
    <col width="14" customWidth="1" style="254" min="1" max="1"/>
    <col width="14" customWidth="1" style="254" min="2" max="2"/>
    <col width="22" customWidth="1" style="254" min="3" max="3"/>
    <col width="90" customWidth="1" style="254" min="4" max="4"/>
  </cols>
  <sheetData>
    <row r="1" ht="15" customHeight="1" s="254">
      <c r="A1" s="1261" t="inlineStr">
        <is>
          <t>PROJECT REVISION HISTORY</t>
        </is>
      </c>
    </row>
    <row r="2" ht="40" customHeight="1" s="254">
      <c r="A2" s="1288" t="inlineStr">
        <is>
          <t>This filled file's own history, one row per revision sent or received — Rev A is the first issue, Rev B the first return with corrections, and so on. The template's own changelog is on the Version tab. The engine copies this table onto the model's Version tab, so the model says which revision it was built from and what changed on the way there.</t>
        </is>
      </c>
    </row>
    <row r="3" ht="15" customHeight="1" s="254">
      <c r="A3" s="1289" t="n"/>
      <c r="B3" s="1289" t="n"/>
      <c r="C3" s="1289" t="n"/>
      <c r="D3" s="1289" t="n"/>
    </row>
    <row r="4" ht="15" customHeight="1" s="254">
      <c r="A4" s="1290" t="inlineStr">
        <is>
          <t>Rev</t>
        </is>
      </c>
      <c r="B4" s="1290" t="inlineStr">
        <is>
          <t>Date</t>
        </is>
      </c>
      <c r="C4" s="1290" t="inlineStr">
        <is>
          <t>By</t>
        </is>
      </c>
      <c r="D4" s="1291" t="inlineStr">
        <is>
          <t>What changed — the facts that moved, the decisions taken, what is still open</t>
        </is>
      </c>
    </row>
    <row r="5" ht="15" customHeight="1" s="254">
      <c r="A5" s="1292" t="n"/>
      <c r="B5" s="1293" t="n"/>
      <c r="C5" s="1292" t="n"/>
      <c r="D5" s="1292" t="n"/>
    </row>
    <row r="6" ht="15" customHeight="1" s="254">
      <c r="A6" s="1292" t="n"/>
      <c r="B6" s="1293" t="n"/>
      <c r="C6" s="1292" t="n"/>
      <c r="D6" s="1292" t="n"/>
    </row>
    <row r="7" ht="15" customHeight="1" s="254">
      <c r="A7" s="1292" t="n"/>
      <c r="B7" s="1293" t="n"/>
      <c r="C7" s="1292" t="n"/>
      <c r="D7" s="1292" t="n"/>
    </row>
    <row r="8" ht="15" customHeight="1" s="254">
      <c r="A8" s="1292" t="n"/>
      <c r="B8" s="1293" t="n"/>
      <c r="C8" s="1292" t="n"/>
      <c r="D8" s="1292" t="n"/>
    </row>
    <row r="9" ht="15" customHeight="1" s="254">
      <c r="A9" s="1292" t="n"/>
      <c r="B9" s="1293" t="n"/>
      <c r="C9" s="1292" t="n"/>
      <c r="D9" s="1292" t="n"/>
    </row>
    <row r="10" ht="15" customHeight="1" s="254">
      <c r="A10" s="1292" t="n"/>
      <c r="B10" s="1293" t="n"/>
      <c r="C10" s="1292" t="n"/>
      <c r="D10" s="1292" t="n"/>
    </row>
    <row r="11" ht="15" customHeight="1" s="254">
      <c r="A11" s="1292" t="n"/>
      <c r="B11" s="1293" t="n"/>
      <c r="C11" s="1292" t="n"/>
      <c r="D11" s="1292" t="n"/>
    </row>
    <row r="12" ht="15" customHeight="1" s="254">
      <c r="A12" s="1292" t="n"/>
      <c r="B12" s="1293" t="n"/>
      <c r="C12" s="1292" t="n"/>
      <c r="D12" s="1292" t="n"/>
    </row>
    <row r="13" ht="15" customHeight="1" s="254">
      <c r="A13" s="1292" t="n"/>
      <c r="B13" s="1293" t="n"/>
      <c r="C13" s="1292" t="n"/>
      <c r="D13" s="1292" t="n"/>
    </row>
    <row r="14" ht="15" customHeight="1" s="254">
      <c r="A14" s="1292" t="n"/>
      <c r="B14" s="1293" t="n"/>
      <c r="C14" s="1292" t="n"/>
      <c r="D14" s="1292" t="n"/>
    </row>
    <row r="15" ht="15" customHeight="1" s="254">
      <c r="A15" s="1292" t="n"/>
      <c r="B15" s="1293" t="n"/>
      <c r="C15" s="1292" t="n"/>
      <c r="D15" s="1292" t="n"/>
    </row>
    <row r="16" ht="15" customHeight="1" s="254">
      <c r="A16" s="1292" t="n"/>
      <c r="B16" s="1293" t="n"/>
      <c r="C16" s="1292" t="n"/>
      <c r="D16" s="1292" t="n"/>
    </row>
    <row r="17" ht="15" customHeight="1" s="254">
      <c r="A17" s="1289" t="n"/>
      <c r="B17" s="1289" t="n"/>
      <c r="C17" s="1289" t="n"/>
      <c r="D17" s="1289" t="n"/>
    </row>
    <row r="18" ht="27.5" customHeight="1" s="254">
      <c r="A18" s="1294" t="inlineStr">
        <is>
          <t>Revisions recorded</t>
        </is>
      </c>
      <c r="B18" s="1295">
        <f>COUNTA($A$5:$A$16)</f>
        <v/>
      </c>
      <c r="C18" s="1289" t="n"/>
      <c r="D18" s="1289" t="n"/>
    </row>
    <row r="19" ht="27.5" customHeight="1" s="254">
      <c r="A19" s="1294" t="inlineStr">
        <is>
          <t>Latest revision on this table</t>
        </is>
      </c>
      <c r="B19" s="1296">
        <f>IF(COUNTA($A$5:$A$16)=0,"none yet",INDEX($A$5:$A$16,COUNTA($A$5:$A$16)))</f>
        <v/>
      </c>
      <c r="C19" s="1289" t="n"/>
      <c r="D19" s="1289" t="n"/>
    </row>
    <row r="20" ht="52.5" customHeight="1" s="254">
      <c r="A20" s="1294" t="inlineStr">
        <is>
          <t>Matches "This file version" on the Version tab?</t>
        </is>
      </c>
      <c r="B20" s="1296">
        <f>IF(COUNTA($A$5:$A$16)=0,"nothing recorded — add a row for this revision",IF(TRIM($B$19)=TRIM(Version!$B$10),"OK — the Version tab and this table agree","MISMATCH — the Version tab says "&amp;Version!$B$10&amp;" and the latest row here is "&amp;$B$19))</f>
        <v/>
      </c>
      <c r="C20" s="1289" t="n"/>
      <c r="D20" s="1289" t="n"/>
    </row>
  </sheetData>
  <sheetProtection selectLockedCells="0" selectUnlockedCells="0" sheet="1" objects="0" insertRows="1" insertHyperlinks="1" autoFilter="1" scenarios="0" formatColumns="0" deleteColumns="1" insertColumns="1" pivotTables="1" deleteRows="1" formatCells="1" formatRows="0" sort="1"/>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42" customWidth="1" style="253" min="1" max="1"/>
    <col width="14" customWidth="1" style="254" min="2" max="2"/>
    <col width="46" customWidth="1" style="253" min="3" max="3"/>
    <col width="10" customWidth="1" style="253" min="4" max="4"/>
    <col width="12" customWidth="1" style="254" min="5" max="6"/>
  </cols>
  <sheetData>
    <row r="1" ht="15" customHeight="1" s="254">
      <c r="A1" s="1543" t="inlineStr">
        <is>
          <t>EVSE PROJECT INTAKE</t>
        </is>
      </c>
    </row>
    <row r="2" ht="15" customHeight="1" s="254">
      <c r="A2" s="1288" t="inlineStr">
        <is>
          <t>Zero Impact Energy — one form, one project. Fill the blue cells; everything else is derived.</t>
        </is>
      </c>
    </row>
    <row r="3" ht="15" customHeight="1" s="254">
      <c r="A3" s="1289" t="n"/>
      <c r="B3" s="1289" t="n"/>
      <c r="C3" s="1289" t="n"/>
      <c r="D3" s="1289" t="n"/>
      <c r="E3" s="1289" t="n"/>
      <c r="F3" s="1289" t="n"/>
    </row>
    <row r="4" ht="15" customHeight="1" s="254">
      <c r="A4" s="1551" t="inlineStr">
        <is>
          <t>How to use this workbook</t>
        </is>
      </c>
      <c r="B4" s="1289" t="n"/>
      <c r="C4" s="1289" t="n"/>
      <c r="D4" s="1289" t="n"/>
      <c r="E4" s="1289" t="n"/>
      <c r="F4" s="1289" t="n"/>
    </row>
    <row r="5" ht="27.5" customHeight="1" s="254">
      <c r="A5" s="1552" t="inlineStr">
        <is>
          <t>•</t>
        </is>
      </c>
      <c r="B5" s="1265" t="inlineStr">
        <is>
          <t>Fill in every BLUE cell you can. Leave a cell blank rather than guessing — a blank is a question we will ask; a guess becomes a number in a proposal.</t>
        </is>
      </c>
    </row>
    <row r="6" ht="27.5" customHeight="1" s="254">
      <c r="A6" s="1552" t="inlineStr">
        <is>
          <t>•</t>
        </is>
      </c>
      <c r="B6" s="1265" t="inlineStr">
        <is>
          <t>YELLOW cells are key commercial assumptions. They have sensible defaults, but they drive the return — change them deliberately, not by habit.</t>
        </is>
      </c>
    </row>
    <row r="7" ht="27.5" customHeight="1" s="254">
      <c r="A7" s="1552" t="inlineStr">
        <is>
          <t>•</t>
        </is>
      </c>
      <c r="B7" s="1265" t="inlineStr">
        <is>
          <t>GREEN cells are live checks. They recalculate as you type. If a green cell turns into a warning, the sheet is telling you two of your inputs disagree.</t>
        </is>
      </c>
    </row>
    <row r="8" ht="27.5" customHeight="1" s="254">
      <c r="A8" s="1552" t="inlineStr">
        <is>
          <t>•</t>
        </is>
      </c>
      <c r="B8" s="1265" t="inlineStr">
        <is>
          <t>GREY tabs (Lists, PriceBook, RefData) are reference data. Do not edit them unless prices have actually changed.</t>
        </is>
      </c>
      <c r="D8" s="1289" t="n"/>
      <c r="E8" s="1289" t="n"/>
      <c r="F8" s="1289" t="n"/>
    </row>
    <row r="9" ht="27.5" customHeight="1" s="254">
      <c r="A9" s="1552" t="inlineStr">
        <is>
          <t>•</t>
        </is>
      </c>
      <c r="B9" s="1265" t="inlineStr">
        <is>
          <t>When the form is complete, send the file back. Everything downstream — electrical sizing, materials, labour, revenue, carbon, financing, the proposal — is computed from these inputs alone.</t>
        </is>
      </c>
    </row>
    <row r="10" ht="15" customHeight="1" s="254">
      <c r="A10" s="1289" t="n"/>
      <c r="B10" s="1289" t="n"/>
      <c r="C10" s="1289" t="n"/>
      <c r="D10" s="1289" t="n"/>
      <c r="E10" s="1289" t="n"/>
      <c r="F10" s="1289" t="n"/>
    </row>
    <row r="11" ht="15" customHeight="1" s="254">
      <c r="A11" s="1551" t="inlineStr">
        <is>
          <t>Cell legend</t>
        </is>
      </c>
      <c r="B11" s="1289" t="n"/>
      <c r="C11" s="1289" t="n"/>
      <c r="D11" s="1289" t="n"/>
      <c r="E11" s="1289" t="n"/>
      <c r="F11" s="1289" t="n"/>
    </row>
    <row r="12" ht="15" customHeight="1" s="254">
      <c r="A12" s="1556" t="inlineStr">
        <is>
          <t>Appearance</t>
        </is>
      </c>
      <c r="B12" s="1556" t="inlineStr">
        <is>
          <t>Meaning</t>
        </is>
      </c>
      <c r="C12" s="1556" t="inlineStr">
        <is>
          <t>What to do</t>
        </is>
      </c>
      <c r="D12" s="1289" t="n"/>
      <c r="E12" s="1289" t="n"/>
      <c r="F12" s="1289" t="n"/>
    </row>
    <row r="13" ht="15" customHeight="1" s="254">
      <c r="A13" s="1549" t="inlineStr">
        <is>
          <t>Blue fill, blue text</t>
        </is>
      </c>
      <c r="B13" s="1549" t="inlineStr">
        <is>
          <t>Human input</t>
        </is>
      </c>
      <c r="C13" s="1549" t="inlineStr">
        <is>
          <t>Fill it in</t>
        </is>
      </c>
      <c r="D13" s="1289" t="n"/>
      <c r="E13" s="1289" t="n"/>
      <c r="F13" s="1289" t="n"/>
    </row>
    <row r="14" ht="27.5" customHeight="1" s="254">
      <c r="A14" s="1297" t="inlineStr">
        <is>
          <t>Yellow fill, blue bold</t>
        </is>
      </c>
      <c r="B14" s="1298" t="inlineStr">
        <is>
          <t>Key commercial assumption</t>
        </is>
      </c>
      <c r="C14" s="1549" t="inlineStr">
        <is>
          <t>Review the default, change deliberately</t>
        </is>
      </c>
      <c r="D14" s="1289" t="n"/>
      <c r="E14" s="1289" t="n"/>
      <c r="F14" s="1289" t="n"/>
    </row>
    <row r="15" ht="27.5" customHeight="1" s="254">
      <c r="A15" s="1549" t="inlineStr">
        <is>
          <t>Green fill, green text</t>
        </is>
      </c>
      <c r="B15" s="1298" t="inlineStr">
        <is>
          <t>Live check / derived</t>
        </is>
      </c>
      <c r="C15" s="1549" t="inlineStr">
        <is>
          <t>Read it — never type over it</t>
        </is>
      </c>
      <c r="D15" s="1289" t="n"/>
      <c r="E15" s="1289" t="n"/>
      <c r="F15" s="1289" t="n"/>
    </row>
    <row r="16" ht="15" customHeight="1" s="254">
      <c r="A16" s="1297" t="inlineStr">
        <is>
          <t>Grey</t>
        </is>
      </c>
      <c r="B16" s="1549" t="inlineStr">
        <is>
          <t>Reference data</t>
        </is>
      </c>
      <c r="C16" s="1549" t="inlineStr">
        <is>
          <t>Leave alone</t>
        </is>
      </c>
      <c r="D16" s="1289" t="n"/>
      <c r="E16" s="1289" t="n"/>
      <c r="F16" s="1289" t="n"/>
    </row>
    <row r="17" ht="15" customHeight="1" s="254">
      <c r="A17" s="1289" t="n"/>
      <c r="B17" s="1289" t="n"/>
      <c r="C17" s="1289" t="n"/>
      <c r="D17" s="1289" t="n"/>
      <c r="E17" s="1289" t="n"/>
      <c r="F17" s="1289" t="n"/>
    </row>
    <row r="18" ht="15" customHeight="1" s="254">
      <c r="A18" s="1299" t="inlineStr">
        <is>
          <t>Tabs, in the order you should fill them</t>
        </is>
      </c>
      <c r="B18" s="1289" t="n"/>
      <c r="C18" s="1289" t="n"/>
      <c r="D18" s="1289" t="n"/>
      <c r="E18" s="1289" t="n"/>
      <c r="F18" s="1289" t="n"/>
    </row>
    <row r="19" ht="15" customHeight="1" s="254">
      <c r="A19" s="1547" t="inlineStr">
        <is>
          <t>1_Project</t>
        </is>
      </c>
      <c r="B19" s="1265" t="inlineStr">
        <is>
          <t>Who, where, which utility, and how the site is accessed</t>
        </is>
      </c>
    </row>
    <row r="20" ht="15" customHeight="1" s="254">
      <c r="A20" s="1547" t="inlineStr">
        <is>
          <t>2_Equipment</t>
        </is>
      </c>
      <c r="B20" s="1265" t="inlineStr">
        <is>
          <t>What is being sold — pick SKUs from the price book</t>
        </is>
      </c>
    </row>
    <row r="21" ht="27.5" customHeight="1" s="254">
      <c r="A21" s="1547" t="inlineStr">
        <is>
          <t>3_Electrical</t>
        </is>
      </c>
      <c r="B21" s="1265" t="inlineStr">
        <is>
          <t>Distances, wire, existing service. Drives every electrical cost.</t>
        </is>
      </c>
      <c r="D21" s="1289" t="n"/>
      <c r="E21" s="1289" t="n"/>
      <c r="F21" s="1289" t="n"/>
    </row>
    <row r="22" ht="52.5" customHeight="1" s="254">
      <c r="A22" s="1547" t="inlineStr">
        <is>
          <t>4_Construction</t>
        </is>
      </c>
      <c r="B22" s="1294" t="inlineStr">
        <is>
          <t>Site works, labour days, ADA, permits, rentals</t>
        </is>
      </c>
      <c r="C22" s="1289" t="n"/>
      <c r="D22" s="1289" t="n"/>
      <c r="E22" s="1289" t="n"/>
      <c r="F22" s="1289" t="n"/>
    </row>
    <row r="23" ht="15" customHeight="1" s="254">
      <c r="A23" s="1547" t="inlineStr">
        <is>
          <t>5_Commercial</t>
        </is>
      </c>
      <c r="B23" s="1265" t="inlineStr">
        <is>
          <t>Discounts, financing terms, service and network term</t>
        </is>
      </c>
    </row>
    <row r="24" ht="40" customHeight="1" s="254">
      <c r="A24" s="1547" t="inlineStr">
        <is>
          <t>6_Revenue</t>
        </is>
      </c>
      <c r="B24" s="1294" t="inlineStr">
        <is>
          <t>Pricing, utilisation, ramp and growth</t>
        </is>
      </c>
      <c r="C24" s="1289" t="n"/>
      <c r="D24" s="1289" t="n"/>
      <c r="E24" s="1289" t="n"/>
      <c r="F24" s="1289" t="n"/>
    </row>
    <row r="25" ht="52.5" customHeight="1" s="254">
      <c r="A25" s="1547" t="inlineStr">
        <is>
          <t>7_Carbon</t>
        </is>
      </c>
      <c r="B25" s="1294" t="inlineStr">
        <is>
          <t>FCI credit rate, aggregator, eligibility, grants</t>
        </is>
      </c>
      <c r="C25" s="1289" t="n"/>
      <c r="D25" s="1289" t="n"/>
      <c r="E25" s="1289" t="n"/>
      <c r="F25" s="1289" t="n"/>
    </row>
    <row r="26" ht="15" customHeight="1" s="254">
      <c r="A26" s="1289" t="n"/>
      <c r="B26" s="1289" t="n"/>
      <c r="C26" s="1289" t="n"/>
      <c r="D26" s="1289" t="n"/>
      <c r="E26" s="1289" t="n"/>
      <c r="F26" s="1289" t="n"/>
    </row>
    <row r="27" ht="27.5" customHeight="1" s="254">
      <c r="A27" s="1547" t="inlineStr">
        <is>
          <t>8_Deal_Structure</t>
        </is>
      </c>
      <c r="B27" s="1265" t="inlineStr">
        <is>
          <t>Optional. Knobs for trading price against a share of credits or revenue.</t>
        </is>
      </c>
      <c r="D27" s="1289" t="n"/>
      <c r="E27" s="1289" t="n"/>
      <c r="F27" s="1289" t="n"/>
    </row>
    <row r="28" ht="27.5" customHeight="1" s="254">
      <c r="A28" s="1547" t="inlineStr">
        <is>
          <t>9_Overrides</t>
        </is>
      </c>
      <c r="B28" s="1265" t="inlineStr">
        <is>
          <t>Optional. Force any derived value when you have a quote or a measurement.</t>
        </is>
      </c>
      <c r="D28" s="1289" t="n"/>
      <c r="E28" s="1289" t="n"/>
      <c r="F28" s="1289" t="n"/>
    </row>
    <row r="29" ht="15" customHeight="1" s="254">
      <c r="A29" s="1289" t="n"/>
      <c r="B29" s="1289" t="n"/>
      <c r="C29" s="1289" t="n"/>
      <c r="D29" s="1289" t="n"/>
      <c r="E29" s="1289" t="n"/>
      <c r="F29" s="1289" t="n"/>
    </row>
    <row r="30" ht="15" customHeight="1" s="254">
      <c r="A30" s="1547" t="inlineStr">
        <is>
          <t>Version</t>
        </is>
      </c>
      <c r="B30" s="1265" t="inlineStr">
        <is>
          <t>Template 1.4.0, released 2026-08-26 — see the Version tab</t>
        </is>
      </c>
      <c r="D30" s="1289" t="n"/>
      <c r="E30" s="1289" t="n"/>
      <c r="F30" s="1289" t="n"/>
    </row>
    <row r="31" ht="15" customHeight="1" s="254">
      <c r="A31" s="1289" t="n"/>
      <c r="B31" s="1289" t="n"/>
      <c r="C31" s="1289" t="n"/>
      <c r="D31" s="1289" t="n"/>
      <c r="E31" s="1289" t="n"/>
      <c r="F31" s="1289" t="n"/>
    </row>
    <row r="32" ht="15" customHeight="1" s="254">
      <c r="A32" s="1551" t="inlineStr">
        <is>
          <t>Replacement projects</t>
        </is>
      </c>
      <c r="B32" s="1289" t="n"/>
      <c r="C32" s="1289" t="n"/>
      <c r="D32" s="1289" t="n"/>
      <c r="E32" s="1289" t="n"/>
      <c r="F32" s="1289" t="n"/>
    </row>
    <row r="33" ht="52.5" customHeight="1" s="254">
      <c r="A33" s="1552" t="inlineStr">
        <is>
          <t>•</t>
        </is>
      </c>
      <c r="B33" s="1265" t="inlineStr">
        <is>
          <t>The Existing tab covers three situations: a site that adds EV load to a service and switchboard it already has, a charger swap, and a replace-and-expand. Complete it whenever the site already has a service you intend to use or charging equipment you intend to replace.</t>
        </is>
      </c>
      <c r="E33" s="1289" t="n"/>
      <c r="F33" s="1289" t="n"/>
    </row>
    <row r="34" ht="40" customHeight="1" s="254">
      <c r="A34" s="1552" t="inlineStr">
        <is>
          <t>•</t>
        </is>
      </c>
      <c r="B34" s="1265" t="inlineStr">
        <is>
          <t>Set the project type on the Existing tab section A first — every section header on that tab then says whether it applies, and every check keys off it.</t>
        </is>
      </c>
      <c r="E34" s="1289" t="n"/>
      <c r="F34" s="1289" t="n"/>
    </row>
    <row r="35" ht="52.5" customHeight="1" s="254">
      <c r="A35" s="1552" t="inlineStr">
        <is>
          <t>•</t>
        </is>
      </c>
      <c r="B35" s="1265" t="inlineStr">
        <is>
          <t>Section B is the register that decides the cost. Marking the service, feeder, switchgear and conduit as RETAIN removes most of the electrical and civil scope; the Electrical and Construction tabs then tell you exactly which lines to zero.</t>
        </is>
      </c>
      <c r="E35" s="1289" t="n"/>
      <c r="F35" s="1289" t="n"/>
    </row>
    <row r="36" ht="52.5" customHeight="1" s="254">
      <c r="A36" s="1552" t="inlineStr">
        <is>
          <t>•</t>
        </is>
      </c>
      <c r="B36" s="1265" t="inlineStr">
        <is>
          <t>Section E is the most valuable page in the whole intake. Twelve months of metered history beats every market assumption on the Revenue tab, and twenty-four months beats twelve. Enter outage months as they happened — do not smooth them.</t>
        </is>
      </c>
      <c r="E36" s="1289" t="n"/>
      <c r="F36" s="1289" t="n"/>
    </row>
    <row r="37" ht="40" customHeight="1" s="254">
      <c r="A37" s="1552" t="inlineStr">
        <is>
          <t>•</t>
        </is>
      </c>
      <c r="B37" s="1265" t="inlineStr">
        <is>
          <t>Sections F and G turn the old installation into a projection: availability recovered, ports added, connector coverage widened and power increased, each with its own capture factor you can argue with.</t>
        </is>
      </c>
      <c r="E37" s="1289" t="n"/>
      <c r="F37" s="1289" t="n"/>
    </row>
    <row r="38" ht="40" customHeight="1" s="254">
      <c r="A38" s="1552" t="inlineStr">
        <is>
          <t>•</t>
        </is>
      </c>
      <c r="B38" s="1265" t="inlineStr">
        <is>
          <t>Section H is the removal scope. It is zero on a greenfield or add-load project and real money on a replacement. Section I is the capacity test for any site that keeps its service.</t>
        </is>
      </c>
      <c r="E38" s="1289" t="n"/>
      <c r="F38" s="1289" t="n"/>
    </row>
    <row r="39" ht="27.5" customHeight="1" s="254">
      <c r="A39" s="1552" t="inlineStr">
        <is>
          <t>•</t>
        </is>
      </c>
      <c r="B39" s="1265" t="inlineStr">
        <is>
          <t>Set the revenue basis at the foot of the Revenue tab to "Historical actuals" on any replacement site with twelve or more months of data.</t>
        </is>
      </c>
      <c r="E39" s="1289" t="n"/>
      <c r="F39" s="1289" t="n"/>
    </row>
    <row r="40" ht="15" customHeight="1" s="254">
      <c r="A40" s="1289" t="n"/>
      <c r="B40" s="1289" t="n"/>
      <c r="C40" s="1289" t="n"/>
      <c r="D40" s="1289" t="n"/>
      <c r="E40" s="1289" t="n"/>
      <c r="F40" s="1289" t="n"/>
    </row>
    <row r="41" ht="15" customHeight="1" s="254">
      <c r="A41" s="1551" t="inlineStr">
        <is>
          <t>Choosing the utility</t>
        </is>
      </c>
      <c r="B41" s="1289" t="n"/>
      <c r="C41" s="1289" t="n"/>
      <c r="D41" s="1289" t="n"/>
      <c r="E41" s="1289" t="n"/>
      <c r="F41" s="1289" t="n"/>
    </row>
    <row r="42" ht="52.5" customHeight="1" s="254">
      <c r="A42" s="1552" t="inlineStr">
        <is>
          <t>•</t>
        </is>
      </c>
      <c r="B42" s="1265" t="inlineStr">
        <is>
          <t>Pick the DELIVERY utility on the Project tab — the one that owns the wires and sets the tariff. If the site buys generation from a community choice aggregator, still pick the delivery utility; the CCA is a separate field below it.</t>
        </is>
      </c>
      <c r="E42" s="1289" t="n"/>
      <c r="F42" s="1289" t="n"/>
    </row>
    <row r="43" ht="40" customHeight="1" s="254">
      <c r="A43" s="1552" t="inlineStr">
        <is>
          <t>•</t>
        </is>
      </c>
      <c r="B43" s="1265" t="inlineStr">
        <is>
          <t>A CCA changes only the generation cents per kWh. Eligibility, time-of-use periods, the demand subscription and every delivery charge stay with the utility. Build the bill from the delivery tariff and substitute one line.</t>
        </is>
      </c>
      <c r="E43" s="1289" t="n"/>
      <c r="F43" s="1289" t="n"/>
    </row>
    <row r="44" ht="52.5" customHeight="1" s="254">
      <c r="A44" s="1552" t="inlineStr">
        <is>
          <t>•</t>
        </is>
      </c>
      <c r="B44" s="1265" t="inlineStr">
        <is>
          <t>Rule 29 exists only at investor-owned utilities. A municipal utility, irrigation district or cooperative has its own line-extension policy and the cost split can be completely different — do not carry a Rule 29 allowance on a POU site.</t>
        </is>
      </c>
      <c r="E44" s="1289" t="n"/>
      <c r="F44" s="1289" t="n"/>
    </row>
    <row r="45" ht="52.5" customHeight="1" s="254">
      <c r="A45" s="1552" t="inlineStr">
        <is>
          <t>•</t>
        </is>
      </c>
      <c r="B45" s="1265"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E45" s="1289" t="n"/>
      <c r="F45" s="1289" t="n"/>
    </row>
    <row r="46" ht="52.5" customHeight="1" s="254">
      <c r="A46" s="1552" t="inlineStr">
        <is>
          <t>•</t>
        </is>
      </c>
      <c r="B46" s="1265" t="inlineStr">
        <is>
          <t>Whether a utility has an EV tariff at all is often worth more than the cents per kWh. A site on a utility with no EV rate pays full demand charges on a general commercial schedule, which at low utilisation dominates the bill.</t>
        </is>
      </c>
      <c r="E46" s="1289" t="n"/>
      <c r="F46" s="1289" t="n"/>
    </row>
    <row r="47" ht="15" customHeight="1" s="254">
      <c r="A47" s="1289" t="n"/>
      <c r="B47" s="1289" t="n"/>
      <c r="C47" s="1289" t="n"/>
      <c r="D47" s="1289" t="n"/>
      <c r="E47" s="1289" t="n"/>
      <c r="F47" s="1289" t="n"/>
    </row>
    <row r="48" ht="15" customHeight="1" s="254">
      <c r="A48" s="1547" t="inlineStr">
        <is>
          <t>Returning this workbook</t>
        </is>
      </c>
      <c r="B48" s="1289" t="n"/>
      <c r="C48" s="1289" t="n"/>
      <c r="D48" s="1289" t="n"/>
      <c r="E48" s="1289" t="n"/>
      <c r="F48" s="1289" t="n"/>
    </row>
    <row r="49" ht="27.5" customHeight="1" s="254">
      <c r="A49" s="1552" t="inlineStr">
        <is>
          <t>•</t>
        </is>
      </c>
      <c r="B49" s="1300" t="inlineStr">
        <is>
          <t>Send the whole workbook back, not extracts. The version tab is how we know which generation of questions you answered.</t>
        </is>
      </c>
      <c r="D49" s="1289" t="n"/>
      <c r="E49" s="1289" t="n"/>
      <c r="F49" s="1289" t="n"/>
    </row>
    <row r="50" ht="27.5" customHeight="1" s="254">
      <c r="A50" s="1552" t="inlineStr">
        <is>
          <t>•</t>
        </is>
      </c>
      <c r="B50" s="1300" t="inlineStr">
        <is>
          <t>If you are returning a file built on an older template, say so in Notes — some fields will have moved.</t>
        </is>
      </c>
      <c r="D50" s="1289" t="n"/>
      <c r="E50" s="1289" t="n"/>
      <c r="F50" s="1289"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8">
    <mergeCell ref="B42:D42"/>
    <mergeCell ref="B7:F7"/>
    <mergeCell ref="B44:D44"/>
    <mergeCell ref="B27:C27"/>
    <mergeCell ref="B38:D38"/>
    <mergeCell ref="B34:D34"/>
    <mergeCell ref="A2:F2"/>
    <mergeCell ref="B21:C21"/>
    <mergeCell ref="B37:D37"/>
    <mergeCell ref="B23:F23"/>
    <mergeCell ref="B8:C8"/>
    <mergeCell ref="B33:D33"/>
    <mergeCell ref="B36:D36"/>
    <mergeCell ref="B45:D45"/>
    <mergeCell ref="B35:D35"/>
    <mergeCell ref="B28:C28"/>
    <mergeCell ref="B19:F19"/>
    <mergeCell ref="B49:C49"/>
    <mergeCell ref="B9:F9"/>
    <mergeCell ref="B30:C30"/>
    <mergeCell ref="B6:F6"/>
    <mergeCell ref="B46:D46"/>
    <mergeCell ref="B20:F20"/>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0"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1"/>
  <cols>
    <col width="36" customWidth="1" style="253" min="1" max="1"/>
    <col width="30" customWidth="1" style="253" min="2" max="2"/>
    <col width="56" customWidth="1" style="253" min="3" max="3"/>
    <col width="9" customWidth="1" style="253" min="4" max="4"/>
    <col width="9" customWidth="1" style="254" min="5" max="6"/>
  </cols>
  <sheetData>
    <row r="1" ht="15" customHeight="1" s="254">
      <c r="A1" s="1543" t="inlineStr">
        <is>
          <t>1 · PROJECT AND SITE</t>
        </is>
      </c>
    </row>
    <row r="2" ht="27.5" customHeight="1" s="254">
      <c r="A2" s="1301" t="inlineStr">
        <is>
          <t>Identity, location, utility and access policy.</t>
        </is>
      </c>
      <c r="B2" s="1289" t="n"/>
      <c r="C2" s="1289" t="n"/>
      <c r="D2" s="1289" t="n"/>
      <c r="E2" s="1289" t="n"/>
      <c r="F2" s="1289" t="n"/>
    </row>
    <row r="3" ht="15" customHeight="1" s="254">
      <c r="A3" s="1289" t="n"/>
      <c r="B3" s="1289" t="n"/>
      <c r="C3" s="1289" t="n"/>
      <c r="D3" s="1289" t="n"/>
      <c r="E3" s="1289" t="n"/>
      <c r="F3" s="1289" t="n"/>
    </row>
    <row r="4" ht="15" customHeight="1" s="254">
      <c r="A4" s="1551" t="inlineStr">
        <is>
          <t>Client</t>
        </is>
      </c>
      <c r="B4" s="1289" t="n"/>
      <c r="C4" s="1289" t="n"/>
      <c r="D4" s="1289" t="n"/>
      <c r="E4" s="1289" t="n"/>
      <c r="F4" s="1289" t="n"/>
    </row>
    <row r="5" ht="15" customHeight="1" s="254">
      <c r="A5" s="1552" t="inlineStr">
        <is>
          <t>Client legal name</t>
        </is>
      </c>
      <c r="B5" s="1553" t="inlineStr">
        <is>
          <t>Best Western Hawthorne</t>
        </is>
      </c>
      <c r="C5" s="1302" t="inlineStr">
        <is>
          <t>As it will appear on the proposal</t>
        </is>
      </c>
      <c r="D5" s="1289" t="n"/>
      <c r="E5" s="1289" t="n"/>
      <c r="F5" s="1289" t="n"/>
    </row>
    <row r="6" ht="15" customHeight="1" s="254">
      <c r="A6" s="1552" t="inlineStr">
        <is>
          <t>Client contact name</t>
        </is>
      </c>
      <c r="B6" s="1553" t="inlineStr">
        <is>
          <t>Mohammad Noorali</t>
        </is>
      </c>
      <c r="C6" s="1289" t="n"/>
      <c r="D6" s="1289" t="n"/>
      <c r="E6" s="1289" t="n"/>
      <c r="F6" s="1289" t="n"/>
    </row>
    <row r="7" ht="15" customHeight="1" s="254">
      <c r="A7" s="1552" t="inlineStr">
        <is>
          <t>Contact title</t>
        </is>
      </c>
      <c r="B7" s="1553" t="inlineStr">
        <is>
          <t>General Manager</t>
        </is>
      </c>
      <c r="C7" s="1289" t="n"/>
      <c r="D7" s="1289" t="n"/>
      <c r="E7" s="1289" t="n"/>
      <c r="F7" s="1289" t="n"/>
    </row>
    <row r="8" ht="15" customHeight="1" s="254">
      <c r="A8" s="1552" t="inlineStr">
        <is>
          <t>Contact email</t>
        </is>
      </c>
      <c r="B8" s="1553" t="inlineStr">
        <is>
          <t>gm@example.com</t>
        </is>
      </c>
      <c r="C8" s="1289" t="n"/>
      <c r="D8" s="1289" t="n"/>
      <c r="E8" s="1289" t="n"/>
      <c r="F8" s="1289" t="n"/>
    </row>
    <row r="9" ht="15" customHeight="1" s="254">
      <c r="A9" s="1552" t="inlineStr">
        <is>
          <t>Contact phone</t>
        </is>
      </c>
      <c r="B9" s="1553" t="inlineStr">
        <is>
          <t>310-555-0100</t>
        </is>
      </c>
      <c r="C9" s="1289" t="n"/>
      <c r="D9" s="1289" t="n"/>
      <c r="E9" s="1289" t="n"/>
      <c r="F9" s="1289" t="n"/>
    </row>
    <row r="10" ht="15" customHeight="1" s="254">
      <c r="A10" s="1289" t="n"/>
      <c r="B10" s="1289" t="n"/>
      <c r="C10" s="1289" t="n"/>
      <c r="D10" s="1289" t="n"/>
      <c r="E10" s="1289" t="n"/>
      <c r="F10" s="1289" t="n"/>
    </row>
    <row r="11" ht="15" customHeight="1" s="254">
      <c r="A11" s="1551" t="inlineStr">
        <is>
          <t>Site</t>
        </is>
      </c>
      <c r="B11" s="1289" t="n"/>
      <c r="C11" s="1289" t="n"/>
      <c r="D11" s="1289" t="n"/>
      <c r="E11" s="1289" t="n"/>
      <c r="F11" s="1289" t="n"/>
    </row>
    <row r="12" ht="15" customHeight="1" s="254">
      <c r="A12" s="1552" t="inlineStr">
        <is>
          <t>Site name</t>
        </is>
      </c>
      <c r="B12" s="1553" t="inlineStr">
        <is>
          <t>Best Western Hawthorne</t>
        </is>
      </c>
      <c r="C12" s="1289" t="n"/>
      <c r="D12" s="1289" t="n"/>
      <c r="E12" s="1289" t="n"/>
      <c r="F12" s="1289" t="n"/>
    </row>
    <row r="13" ht="15" customHeight="1" s="254">
      <c r="A13" s="1552" t="inlineStr">
        <is>
          <t>Street address</t>
        </is>
      </c>
      <c r="B13" s="1553" t="inlineStr">
        <is>
          <t>15000 Hawthorn Blvd</t>
        </is>
      </c>
      <c r="C13" s="1289" t="n"/>
      <c r="D13" s="1289" t="n"/>
      <c r="E13" s="1289" t="n"/>
      <c r="F13" s="1289" t="n"/>
    </row>
    <row r="14" ht="15" customHeight="1" s="254">
      <c r="A14" s="1552" t="inlineStr">
        <is>
          <t>City / State / ZIP</t>
        </is>
      </c>
      <c r="B14" s="1553" t="inlineStr">
        <is>
          <t>Hawthorne, CA 90260</t>
        </is>
      </c>
      <c r="C14" s="1289" t="n"/>
      <c r="D14" s="1289" t="n"/>
      <c r="E14" s="1289" t="n"/>
      <c r="F14" s="1289" t="n"/>
    </row>
    <row r="15" ht="15" customHeight="1" s="254">
      <c r="A15" s="1552" t="inlineStr">
        <is>
          <t>County</t>
        </is>
      </c>
      <c r="B15" s="1553" t="inlineStr">
        <is>
          <t>Los Angeles</t>
        </is>
      </c>
      <c r="C15" s="1289" t="n"/>
      <c r="D15" s="1289" t="n"/>
      <c r="E15" s="1289" t="n"/>
      <c r="F15" s="1289" t="n"/>
    </row>
    <row r="16" ht="15" customHeight="1" s="254">
      <c r="A16" s="1552" t="inlineStr">
        <is>
          <t>Property type</t>
        </is>
      </c>
      <c r="B16" s="1553" t="inlineStr">
        <is>
          <t>Hotel</t>
        </is>
      </c>
      <c r="C16" s="1302" t="inlineStr">
        <is>
          <t>Retail, dealership, fleet depot, hotel, grocery…</t>
        </is>
      </c>
      <c r="D16" s="1289" t="n"/>
      <c r="E16" s="1289" t="n"/>
      <c r="F16" s="1289" t="n"/>
    </row>
    <row r="17" ht="40" customHeight="1" s="254">
      <c r="A17" s="1552" t="inlineStr">
        <is>
          <t>Project type</t>
        </is>
      </c>
      <c r="B17" s="1303">
        <f>Existing!B5</f>
        <v/>
      </c>
      <c r="C17" s="1309" t="inlineStr">
        <is>
          <t>Set this on the Existing tab. An add-load site completes the Existing tab sections B, D and I; a replacement site completes it in full; a greenfield site with a new service leaves it alone.</t>
        </is>
      </c>
    </row>
    <row r="18" ht="15" customHeight="1" s="254">
      <c r="A18" s="1552" t="inlineStr">
        <is>
          <t>Existing chargers on site?</t>
        </is>
      </c>
      <c r="B18" s="1303">
        <f>IF(Existing!B43=0,"None",TEXT(Existing!B43,"0")&amp;" ports across "&amp;TEXT(Existing!B42,"0")&amp;" units — see the Existing tab")</f>
        <v/>
      </c>
      <c r="C18" s="1309" t="inlineStr">
        <is>
          <t>Derived from the equipment schedule on the Existing tab.</t>
        </is>
      </c>
      <c r="E18" s="1289" t="n"/>
      <c r="F18" s="1289" t="n"/>
    </row>
    <row r="19" ht="15" customHeight="1" s="254">
      <c r="A19" s="1289" t="n"/>
      <c r="B19" s="1289" t="n"/>
      <c r="C19" s="1289" t="n"/>
      <c r="D19" s="1289" t="n"/>
      <c r="E19" s="1289" t="n"/>
      <c r="F19" s="1289" t="n"/>
    </row>
    <row r="20" ht="15" customHeight="1" s="254">
      <c r="A20" s="1551" t="inlineStr">
        <is>
          <t>Access and operating policy</t>
        </is>
      </c>
      <c r="B20" s="1289" t="n"/>
      <c r="C20" s="1289" t="n"/>
      <c r="D20" s="1289" t="n"/>
      <c r="E20" s="1289" t="n"/>
      <c r="F20" s="1289" t="n"/>
    </row>
    <row r="21" ht="15" customHeight="1" s="254">
      <c r="A21" s="1552" t="inlineStr">
        <is>
          <t>Public access</t>
        </is>
      </c>
      <c r="B21" s="1553" t="inlineStr">
        <is>
          <t>Public 24/7</t>
        </is>
      </c>
      <c r="C21" s="1288" t="inlineStr">
        <is>
          <t>Public 24/7 / Public during business hours / Restricted</t>
        </is>
      </c>
    </row>
    <row r="22" ht="15" customHeight="1" s="254">
      <c r="A22" s="1552" t="inlineStr">
        <is>
          <t>Hours open per day</t>
        </is>
      </c>
      <c r="B22" s="1304" t="n">
        <v>24</v>
      </c>
      <c r="C22" s="1302" t="inlineStr">
        <is>
          <t>CRITICAL: 24 unless access is genuinely gated</t>
        </is>
      </c>
      <c r="D22" s="1289" t="n"/>
      <c r="E22" s="1289" t="n"/>
      <c r="F22" s="1289" t="n"/>
    </row>
    <row r="23" ht="15" customHeight="1" s="254">
      <c r="A23" s="1552" t="inlineStr">
        <is>
          <t>Days open per year</t>
        </is>
      </c>
      <c r="B23" s="1304" t="n">
        <v>365</v>
      </c>
      <c r="C23" s="1302" t="inlineStr">
        <is>
          <t>Use 365 unless the site closes seasonally</t>
        </is>
      </c>
      <c r="D23" s="1289" t="n"/>
      <c r="E23" s="1289" t="n"/>
      <c r="F23" s="1289" t="n"/>
    </row>
    <row r="24" ht="15" customHeight="1" s="254">
      <c r="A24" s="1289" t="n"/>
      <c r="B24" s="1289" t="n"/>
      <c r="C24" s="1289" t="n"/>
      <c r="D24" s="1289" t="n"/>
      <c r="E24" s="1289" t="n"/>
      <c r="F24" s="1289" t="n"/>
    </row>
    <row r="25" ht="15" customHeight="1" s="254">
      <c r="A25" s="1551" t="inlineStr">
        <is>
          <t>Utility</t>
        </is>
      </c>
      <c r="B25" s="1289" t="n"/>
      <c r="C25" s="1289" t="n"/>
      <c r="D25" s="1289" t="n"/>
      <c r="E25" s="1289" t="n"/>
      <c r="F25" s="1289" t="n"/>
    </row>
    <row r="26" ht="40" customHeight="1" s="254">
      <c r="A26" s="1552" t="inlineStr">
        <is>
          <t>Electric utility (delivery)</t>
        </is>
      </c>
      <c r="B26" s="1292" t="inlineStr">
        <is>
          <t>SCE — Southern California Edison</t>
        </is>
      </c>
      <c r="C26" s="1309" t="inlineStr">
        <is>
          <t>Pick from the list. This is the utility that DELIVERS power and therefore sets the EV tariff — see the Utilities tab. If the site is served by a community choice aggregator, still pick the delivery utility here.</t>
        </is>
      </c>
    </row>
    <row r="27" ht="15" customHeight="1" s="254">
      <c r="A27" s="1552" t="inlineStr">
        <is>
          <t>Current rate schedule</t>
        </is>
      </c>
      <c r="B27" s="1553" t="inlineStr">
        <is>
          <t>TOU-GS-2</t>
        </is>
      </c>
      <c r="C27" s="1302" t="inlineStr">
        <is>
          <t>From a recent bill</t>
        </is>
      </c>
      <c r="D27" s="1289" t="n"/>
      <c r="E27" s="1289" t="n"/>
      <c r="F27" s="1289" t="n"/>
    </row>
    <row r="28" ht="15" customHeight="1" s="254">
      <c r="A28" s="1552" t="inlineStr">
        <is>
          <t>Existing service size (A)</t>
        </is>
      </c>
      <c r="B28" s="1305" t="n">
        <v>800</v>
      </c>
      <c r="C28" s="1302" t="inlineStr">
        <is>
          <t>Main service amperage today</t>
        </is>
      </c>
      <c r="D28" s="1289" t="n"/>
      <c r="E28" s="1289" t="n"/>
      <c r="F28" s="1289" t="n"/>
    </row>
    <row r="29" ht="15" customHeight="1" s="254">
      <c r="A29" s="1552" t="inlineStr">
        <is>
          <t>Service voltage</t>
        </is>
      </c>
      <c r="B29" s="1306" t="n">
        <v>480</v>
      </c>
      <c r="C29" s="1302" t="inlineStr">
        <is>
          <t>Usually 480V 3-phase for DC fast charging</t>
        </is>
      </c>
      <c r="D29" s="1289" t="n"/>
      <c r="E29" s="1289" t="n"/>
      <c r="F29" s="1289" t="n"/>
    </row>
    <row r="30" ht="15" customHeight="1" s="254">
      <c r="A30" s="1552" t="inlineStr">
        <is>
          <t>12 months of bills obtained?</t>
        </is>
      </c>
      <c r="B30" s="1553" t="inlineStr">
        <is>
          <t>Yes</t>
        </is>
      </c>
      <c r="C30" s="1302" t="inlineStr">
        <is>
          <t>Yes / No — needed to validate the energy cost</t>
        </is>
      </c>
      <c r="D30" s="1289" t="n"/>
      <c r="E30" s="1289" t="n"/>
      <c r="F30" s="1289" t="n"/>
    </row>
    <row r="31" ht="15" customHeight="1" s="254">
      <c r="A31" s="1289" t="n"/>
      <c r="B31" s="1289" t="n"/>
      <c r="C31" s="1289" t="n"/>
      <c r="D31" s="1289" t="n"/>
      <c r="E31" s="1289" t="n"/>
      <c r="F31" s="1289" t="n"/>
    </row>
    <row r="32" ht="15" customHeight="1" s="254">
      <c r="A32" s="1551" t="inlineStr">
        <is>
          <t>Commercial</t>
        </is>
      </c>
      <c r="B32" s="1289" t="n"/>
      <c r="C32" s="1289" t="n"/>
      <c r="D32" s="1289" t="n"/>
      <c r="E32" s="1289" t="n"/>
      <c r="F32" s="1289" t="n"/>
    </row>
    <row r="33" ht="15" customHeight="1" s="254">
      <c r="A33" s="1552" t="inlineStr">
        <is>
          <t>Proposal date</t>
        </is>
      </c>
      <c r="B33" s="1307" t="n">
        <v>46266</v>
      </c>
      <c r="C33" s="1289" t="n"/>
      <c r="D33" s="1289" t="n"/>
      <c r="E33" s="1289" t="n"/>
      <c r="F33" s="1289" t="n"/>
    </row>
    <row r="34" ht="15" customHeight="1" s="254">
      <c r="A34" s="1552" t="inlineStr">
        <is>
          <t>Proposal validity (days)</t>
        </is>
      </c>
      <c r="B34" s="1306" t="n">
        <v>30</v>
      </c>
      <c r="C34" s="1289" t="n"/>
      <c r="D34" s="1289" t="n"/>
      <c r="E34" s="1289" t="n"/>
      <c r="F34" s="1289" t="n"/>
    </row>
    <row r="35" ht="15" customHeight="1" s="254">
      <c r="A35" s="1552" t="inlineStr">
        <is>
          <t>Prepared by</t>
        </is>
      </c>
      <c r="B35" s="1553" t="inlineStr">
        <is>
          <t>Vatsal Patel</t>
        </is>
      </c>
      <c r="C35" s="1289" t="n"/>
      <c r="D35" s="1289" t="n"/>
      <c r="E35" s="1289" t="n"/>
      <c r="F35" s="1289" t="n"/>
    </row>
    <row r="36" ht="15" customHeight="1" s="254">
      <c r="A36" s="1552" t="inlineStr">
        <is>
          <t>RSM / account owner</t>
        </is>
      </c>
      <c r="B36" s="1553" t="inlineStr">
        <is>
          <t>Account Owner</t>
        </is>
      </c>
      <c r="C36" s="1289" t="n"/>
      <c r="D36" s="1289" t="n"/>
      <c r="E36" s="1289" t="n"/>
      <c r="F36" s="1289" t="n"/>
    </row>
    <row r="37" ht="15" customHeight="1" s="254">
      <c r="A37" s="1289" t="n"/>
      <c r="B37" s="1289" t="n"/>
      <c r="C37" s="1289" t="n"/>
      <c r="D37" s="1289" t="n"/>
      <c r="E37" s="1289" t="n"/>
      <c r="F37" s="1289" t="n"/>
    </row>
    <row r="38" ht="15" customHeight="1" s="254">
      <c r="A38" s="1289" t="n"/>
      <c r="B38" s="1289" t="n"/>
      <c r="C38" s="1289" t="n"/>
      <c r="D38" s="1289" t="n"/>
      <c r="E38" s="1289" t="n"/>
      <c r="F38" s="1289" t="n"/>
    </row>
    <row r="39" ht="15" customHeight="1" s="254">
      <c r="A39" s="1308" t="inlineStr">
        <is>
          <t>Utility context — derived from the selection above</t>
        </is>
      </c>
    </row>
    <row r="40" hidden="1" outlineLevel="1" ht="27.5" customHeight="1" s="254">
      <c r="A40" s="1309" t="inlineStr">
        <is>
          <t>These read the Utilities and RateLibrary tabs. They tell you what tariff regime the site sits in before anyone opens a tariff book.</t>
        </is>
      </c>
      <c r="D40" s="1289" t="n"/>
      <c r="E40" s="1289" t="n"/>
      <c r="F40" s="1289" t="n"/>
    </row>
    <row r="41" hidden="1" outlineLevel="1" ht="27.5" customHeight="1" s="254">
      <c r="A41" s="1552" t="inlineStr">
        <is>
          <t>Utility type</t>
        </is>
      </c>
      <c r="B41" s="1310">
        <f>IFERROR(INDEX(Utilities!$K$5:$K$78,MATCH($B$26,Utilities!$J$5:$J$78,0)),"")</f>
        <v/>
      </c>
      <c r="C41" s="1309" t="inlineStr">
        <is>
          <t>IOU utilities are CPUC-regulated and follow Rule 29. POUs and co-ops set their own rules — no Rule 29, no PCIA, their own interconnection process.</t>
        </is>
      </c>
    </row>
    <row r="42" hidden="1" outlineLevel="1" ht="15" customHeight="1" s="254">
      <c r="A42" s="1552" t="inlineStr">
        <is>
          <t>Service territory</t>
        </is>
      </c>
      <c r="B42" s="1310">
        <f>IFERROR(INDEX(Utilities!$L$5:$L$78,MATCH($B$26,Utilities!$J$5:$J$78,0)),"")</f>
        <v/>
      </c>
      <c r="C42" s="1289" t="n"/>
      <c r="D42" s="1289" t="n"/>
      <c r="E42" s="1289" t="n"/>
      <c r="F42" s="1289" t="n"/>
    </row>
    <row r="43" hidden="1" outlineLevel="1" ht="40" customHeight="1" s="254">
      <c r="A43" s="1552" t="inlineStr">
        <is>
          <t>EV rate status</t>
        </is>
      </c>
      <c r="B43" s="1310">
        <f>IFERROR(INDEX(Utilities!$M$5:$M$78,MATCH($B$26,Utilities!$J$5:$J$78,0)),"")</f>
        <v/>
      </c>
      <c r="C43" s="1309" t="inlineStr">
        <is>
          <t>Whether this utility publishes a commercial EV tariff at all. Where it does not, the site pays full demand charges on a general commercial schedule — usually the single largest difference between two otherwise identical sites.</t>
        </is>
      </c>
    </row>
    <row r="44" hidden="1" outlineLevel="1" ht="27.5" customHeight="1" s="254">
      <c r="A44" s="1552" t="inlineStr">
        <is>
          <t>Rate rows in the library</t>
        </is>
      </c>
      <c r="B44" s="1310">
        <f>COUNTIF(RATE_UTIL,$B$26)</f>
        <v/>
      </c>
      <c r="C44" s="1309" t="inlineStr">
        <is>
          <t>How many schedules the library carries for this utility. Zero means it has not been researched — obtain the tariff.</t>
        </is>
      </c>
      <c r="E44" s="1289" t="n"/>
      <c r="F44" s="1289" t="n"/>
    </row>
    <row r="45" hidden="1" outlineLevel="1" ht="40" customHeight="1" s="254">
      <c r="A45" s="1547" t="inlineStr">
        <is>
          <t>Best status in the library</t>
        </is>
      </c>
      <c r="B45" s="1311">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1309" t="inlineStr">
        <is>
          <t>Never price a project from a NOT PUBLISHED row. Get the tariff sheet or a written rate quotation.</t>
        </is>
      </c>
      <c r="E45" s="1289" t="n"/>
      <c r="F45" s="1289" t="n"/>
    </row>
    <row r="46" hidden="1" outlineLevel="1" ht="27.5" customHeight="1" s="254">
      <c r="A46" s="1552" t="inlineStr">
        <is>
          <t>Community choice aggregator, if any</t>
        </is>
      </c>
      <c r="B46" s="1553" t="inlineStr">
        <is>
          <t>Clean Power Alliance</t>
        </is>
      </c>
      <c r="C46" s="1309" t="inlineStr">
        <is>
          <t>A CCA changes ONLY the generation $/kWh. Eligibility, time-of-use periods, the demand subscription and every delivery charge stay with the utility above.</t>
        </is>
      </c>
    </row>
    <row r="47" hidden="1" outlineLevel="1" ht="52.5" customHeight="1" s="254">
      <c r="A47" s="1547" t="inlineStr">
        <is>
          <t>CCA delivery utility check</t>
        </is>
      </c>
      <c r="B47" s="1311">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1300"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idden="1" outlineLevel="1" ht="52.5" customHeight="1" s="254">
      <c r="A48" s="1547" t="inlineStr">
        <is>
          <t>Interconnection regime</t>
        </is>
      </c>
      <c r="B48" s="1311">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1300" t="inlineStr">
        <is>
          <t>Decides whether the Rule 29 questions on the Electrical tab are worth asking. Outside a California investor-owned utility they are not, and nothing reads them.</t>
        </is>
      </c>
    </row>
    <row r="49" hidden="1" outlineLevel="1" ht="52.5" customHeight="1" s="254">
      <c r="A49" s="1312"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1289" t="n"/>
      <c r="E49" s="1289" t="n"/>
      <c r="F49" s="1289" t="n"/>
    </row>
  </sheetData>
  <sheetProtection selectLockedCells="0" selectUnlockedCells="0" sheet="1" objects="0" insertRows="1" insertHyperlinks="1" autoFilter="1" scenarios="0" formatColumns="0" deleteColumns="1" insertColumns="1" pivotTables="1" deleteRows="1" formatCells="0" formatRows="0" sort="1"/>
  <mergeCells count="15">
    <mergeCell ref="C48:F48"/>
    <mergeCell ref="A49:C49"/>
    <mergeCell ref="C17:F17"/>
    <mergeCell ref="C41:F41"/>
    <mergeCell ref="C26:F26"/>
    <mergeCell ref="A1:F1"/>
    <mergeCell ref="C43:F43"/>
    <mergeCell ref="A40:C40"/>
    <mergeCell ref="C46:F46"/>
    <mergeCell ref="C45:D45"/>
    <mergeCell ref="C44:D44"/>
    <mergeCell ref="C21:F21"/>
    <mergeCell ref="C18:D18"/>
    <mergeCell ref="C47:F47"/>
    <mergeCell ref="A39:F39"/>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filterMode="0">
    <tabColor rgb="006B4C9A"/>
    <outlinePr summaryBelow="1" summaryRight="1"/>
    <pageSetUpPr fitToPage="1"/>
  </sheetPr>
  <dimension ref="A1:G20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34" customWidth="1" style="253" min="1" max="1"/>
    <col width="22" customWidth="1" style="253" min="2" max="2"/>
    <col width="36" customWidth="1" style="253" min="3" max="3"/>
    <col width="30" customWidth="1" style="253" min="4" max="4"/>
    <col width="9" customWidth="1" style="254" min="5" max="7"/>
  </cols>
  <sheetData>
    <row r="1" ht="15" customHeight="1" s="254">
      <c r="A1" s="1313" t="inlineStr">
        <is>
          <t>1B · EXISTING SITE — existing service, rip and replace, or replace and expand</t>
        </is>
      </c>
    </row>
    <row r="2" ht="27.5" customHeight="1" s="254">
      <c r="A2" s="1309" t="inlineStr">
        <is>
          <t>Complete this tab when the site already has an electrical service you intend to use, or charging equipment you intend to replace. Set the project type first: it decides which sections below apply, and every check on this tab and on the Electrical and Construction tabs keys off it.</t>
        </is>
      </c>
    </row>
    <row r="3" ht="15" customHeight="1" s="254">
      <c r="A3" s="1289" t="n"/>
      <c r="B3" s="1289" t="n"/>
      <c r="C3" s="1289" t="n"/>
      <c r="D3" s="1289" t="n"/>
      <c r="E3" s="1289" t="n"/>
      <c r="F3" s="1289" t="n"/>
      <c r="G3" s="1289" t="n"/>
    </row>
    <row r="4" ht="15" customHeight="1" s="254">
      <c r="A4" s="1551" t="inlineStr">
        <is>
          <t>A · Project type</t>
        </is>
      </c>
      <c r="B4" s="1289" t="n"/>
      <c r="C4" s="1289" t="n"/>
      <c r="D4" s="1289" t="n"/>
      <c r="E4" s="1289" t="n"/>
      <c r="F4" s="1289" t="n"/>
      <c r="G4" s="1289" t="n"/>
    </row>
    <row r="5" ht="65" customHeight="1" s="254">
      <c r="A5" s="1552" t="inlineStr">
        <is>
          <t>Project type</t>
        </is>
      </c>
      <c r="B5" s="1314" t="inlineStr">
        <is>
          <t>Rip and replace — reuse infrastructure</t>
        </is>
      </c>
      <c r="C5" s="1309" t="inlineStr">
        <is>
          <t>Four types. GREENFIELD — NEW SERVICE builds everything, including a new utility service; only section A applies here. GREENFIELD — ADD LOAD TO EXISTING SERVICE: no chargers today, but a service and switchboard that can take the new load — complete sections B (service, feeder and switchgear rows), D and I; the others stand down. RIP AND REPLACE and REPLACE AND EXPAND: chargers exist today — complete every section.</t>
        </is>
      </c>
    </row>
    <row r="6" ht="27.5" customHeight="1" s="254">
      <c r="A6" s="1294" t="inlineStr">
        <is>
          <t>Age of the existing installation (years)</t>
        </is>
      </c>
      <c r="B6" s="1305" t="n">
        <v>7</v>
      </c>
      <c r="C6" s="1309" t="inlineStr">
        <is>
          <t>Drives whether the existing conductors and gear are worth reusing.</t>
        </is>
      </c>
      <c r="E6" s="1289" t="n"/>
      <c r="F6" s="1289" t="n"/>
      <c r="G6" s="1289" t="n"/>
    </row>
    <row r="7" ht="27.5" customHeight="1" s="254">
      <c r="A7" s="1552" t="inlineStr">
        <is>
          <t>Reason for replacement</t>
        </is>
      </c>
      <c r="B7" s="1553" t="inlineStr">
        <is>
          <t>End of life and unreliable</t>
        </is>
      </c>
      <c r="C7" s="1309" t="inlineStr">
        <is>
          <t>End of life, unreliability, obsolete connectors, insufficient power, or a commercial decision.</t>
        </is>
      </c>
      <c r="E7" s="1289" t="n"/>
      <c r="F7" s="1289" t="n"/>
      <c r="G7" s="1289" t="n"/>
    </row>
    <row r="8" ht="15" customHeight="1" s="254">
      <c r="A8" s="1552" t="inlineStr">
        <is>
          <t>Who owns the existing equipment?</t>
        </is>
      </c>
      <c r="B8" s="1553" t="inlineStr">
        <is>
          <t>Client</t>
        </is>
      </c>
      <c r="C8" s="1309" t="inlineStr">
        <is>
          <t>If a third party owns it, removal and disposal need their agreement.</t>
        </is>
      </c>
      <c r="E8" s="1289" t="n"/>
      <c r="F8" s="1289" t="n"/>
      <c r="G8" s="1289" t="n"/>
    </row>
    <row r="9" ht="15" customHeight="1" s="254">
      <c r="A9" s="1289" t="n"/>
      <c r="B9" s="1289" t="n"/>
      <c r="C9" s="1289" t="n"/>
      <c r="D9" s="1289" t="n"/>
      <c r="E9" s="1289" t="n"/>
      <c r="F9" s="1289" t="n"/>
      <c r="G9" s="1289" t="n"/>
    </row>
    <row r="10" ht="29" customHeight="1" s="254">
      <c r="A10" s="1299" t="inlineStr">
        <is>
          <t>B · What is retained and what is replaced</t>
        </is>
      </c>
      <c r="B10" s="1289" t="n"/>
      <c r="C10" s="1289" t="n"/>
      <c r="D10" s="1289" t="n"/>
      <c r="E10" s="1289" t="n"/>
      <c r="F10" s="1289" t="n"/>
      <c r="G10" s="1289" t="n"/>
    </row>
    <row r="11" ht="27.5" customHeight="1" s="254">
      <c r="A11" s="1309" t="inlineStr">
        <is>
          <t>This register is the whole commercial difference between a greenfield build, an added load on an existing service and a charger swap. On an add-load site the first three rows are RETAIN and the rest are NOT PRESENT — there are no chargers to keep or replace.</t>
        </is>
      </c>
    </row>
    <row r="12" ht="15" customHeight="1" s="254">
      <c r="A12" s="1315" t="inlineStr">
        <is>
          <t>Element</t>
        </is>
      </c>
      <c r="B12" s="1315" t="inlineStr">
        <is>
          <t>Decision</t>
        </is>
      </c>
      <c r="C12" s="1315" t="inlineStr">
        <is>
          <t>Basis for the decision</t>
        </is>
      </c>
      <c r="D12" s="1315" t="n"/>
      <c r="E12" s="1315" t="n"/>
      <c r="F12" s="1315" t="n"/>
      <c r="G12" s="1315" t="n"/>
    </row>
    <row r="13" ht="15" customHeight="1" s="254">
      <c r="A13" s="1316" t="inlineStr">
        <is>
          <t>Utility service and meter</t>
        </is>
      </c>
      <c r="B13" s="1553" t="inlineStr">
        <is>
          <t>RETAIN</t>
        </is>
      </c>
      <c r="C13" s="1317" t="inlineStr">
        <is>
          <t>Existing service stays. No Rule 29 application, no new meter.</t>
        </is>
      </c>
      <c r="D13" s="299" t="n"/>
      <c r="E13" s="1289" t="n"/>
      <c r="F13" s="1289" t="n"/>
      <c r="G13" s="1289" t="n"/>
    </row>
    <row r="14" ht="15" customHeight="1" s="254">
      <c r="A14" s="1316" t="inlineStr">
        <is>
          <t>Service feeder to switchgear</t>
        </is>
      </c>
      <c r="B14" s="1553" t="inlineStr">
        <is>
          <t>RETAIN</t>
        </is>
      </c>
      <c r="C14" s="1317" t="inlineStr">
        <is>
          <t>Conductor from the point of delivery to the switchboard.</t>
        </is>
      </c>
      <c r="D14" s="299" t="n"/>
      <c r="E14" s="1289" t="n"/>
      <c r="F14" s="1289" t="n"/>
      <c r="G14" s="1289" t="n"/>
    </row>
    <row r="15" ht="27.5" customHeight="1" s="254">
      <c r="A15" s="1316" t="inlineStr">
        <is>
          <t>Main distribution switchgear</t>
        </is>
      </c>
      <c r="B15" s="1553" t="inlineStr">
        <is>
          <t>REPLACE</t>
        </is>
      </c>
      <c r="C15" s="1318" t="inlineStr">
        <is>
          <t>Switchboard, main breaker and metering section.</t>
        </is>
      </c>
      <c r="D15" s="1289" t="n"/>
      <c r="E15" s="1289" t="n"/>
      <c r="F15" s="1289" t="n"/>
      <c r="G15" s="1289" t="n"/>
    </row>
    <row r="16" ht="27.5" customHeight="1" s="254">
      <c r="A16" s="1316" t="inlineStr">
        <is>
          <t>Branch conductors to each charger</t>
        </is>
      </c>
      <c r="B16" s="1553" t="inlineStr">
        <is>
          <t>RETAIN</t>
        </is>
      </c>
      <c r="C16" s="1317" t="inlineStr">
        <is>
          <t>The feeders from switchgear to cabinet. The single largest reuse saving.</t>
        </is>
      </c>
      <c r="D16" s="299" t="n"/>
      <c r="E16" s="1289" t="n"/>
      <c r="F16" s="1289" t="n"/>
      <c r="G16" s="1289" t="n"/>
    </row>
    <row r="17" ht="27.5" customHeight="1" s="254">
      <c r="A17" s="1316" t="inlineStr">
        <is>
          <t>Conduit and trench</t>
        </is>
      </c>
      <c r="B17" s="1553" t="inlineStr">
        <is>
          <t>RETAIN</t>
        </is>
      </c>
      <c r="C17" s="1317" t="inlineStr">
        <is>
          <t>Existing conduit reused; no re-trenching if the new cabinets land on the same pads.</t>
        </is>
      </c>
      <c r="D17" s="299" t="n"/>
      <c r="E17" s="1289" t="n"/>
      <c r="F17" s="1289" t="n"/>
      <c r="G17" s="1289" t="n"/>
    </row>
    <row r="18" ht="27.5" customHeight="1" s="254">
      <c r="A18" s="1316" t="inlineStr">
        <is>
          <t>Branch breakers</t>
        </is>
      </c>
      <c r="B18" s="1553" t="inlineStr">
        <is>
          <t>REPLACE</t>
        </is>
      </c>
      <c r="C18" s="1317" t="inlineStr">
        <is>
          <t>Sized to the new cabinet, not the old one. Usually cheap and always worth replacing.</t>
        </is>
      </c>
      <c r="D18" s="299" t="n"/>
      <c r="E18" s="1289" t="n"/>
      <c r="F18" s="1289" t="n"/>
      <c r="G18" s="1289" t="n"/>
    </row>
    <row r="19" ht="15" customHeight="1" s="254">
      <c r="A19" s="1316" t="inlineStr">
        <is>
          <t>Concrete pads</t>
        </is>
      </c>
      <c r="B19" s="1553" t="inlineStr">
        <is>
          <t>REPLACE</t>
        </is>
      </c>
      <c r="C19" s="1317" t="inlineStr">
        <is>
          <t>New cabinets rarely match the old footprint or anchor pattern.</t>
        </is>
      </c>
      <c r="D19" s="299" t="n"/>
      <c r="E19" s="1289" t="n"/>
      <c r="F19" s="1289" t="n"/>
      <c r="G19" s="1289" t="n"/>
    </row>
    <row r="20" ht="15" customHeight="1" s="254">
      <c r="A20" s="1316" t="inlineStr">
        <is>
          <t>Bollards and equipment protection</t>
        </is>
      </c>
      <c r="B20" s="1553" t="inlineStr">
        <is>
          <t>REPLACE</t>
        </is>
      </c>
      <c r="C20" s="1316" t="inlineStr">
        <is>
          <t>Usually disturbed by pad removal.</t>
        </is>
      </c>
      <c r="D20" s="1289" t="n"/>
      <c r="E20" s="1289" t="n"/>
      <c r="F20" s="1289" t="n"/>
      <c r="G20" s="1289" t="n"/>
    </row>
    <row r="21" ht="27.5" customHeight="1" s="254">
      <c r="A21" s="1316" t="inlineStr">
        <is>
          <t>Paving and striping</t>
        </is>
      </c>
      <c r="B21" s="1553" t="inlineStr">
        <is>
          <t>PARTIAL</t>
        </is>
      </c>
      <c r="C21" s="1318" t="inlineStr">
        <is>
          <t>Reinstatement around the new pads only.</t>
        </is>
      </c>
      <c r="D21" s="1289" t="n"/>
      <c r="E21" s="1289" t="n"/>
      <c r="F21" s="1289" t="n"/>
      <c r="G21" s="1289" t="n"/>
    </row>
    <row r="22" ht="15" customHeight="1" s="254">
      <c r="A22" s="1316" t="inlineStr">
        <is>
          <t>ADA stalls and route</t>
        </is>
      </c>
      <c r="B22" s="1553" t="inlineStr">
        <is>
          <t>RETAIN</t>
        </is>
      </c>
      <c r="C22" s="1317" t="inlineStr">
        <is>
          <t>Reused if the layout is unchanged and still compliant.</t>
        </is>
      </c>
      <c r="D22" s="299" t="n"/>
      <c r="E22" s="299" t="n"/>
      <c r="F22" s="299" t="n"/>
      <c r="G22" s="299" t="n"/>
    </row>
    <row r="23" ht="15" customHeight="1" s="254">
      <c r="A23" s="1316" t="inlineStr">
        <is>
          <t>Signage</t>
        </is>
      </c>
      <c r="B23" s="1553" t="inlineStr">
        <is>
          <t>REPLACE</t>
        </is>
      </c>
      <c r="C23" s="1317" t="inlineStr">
        <is>
          <t>Network branding, pricing and connector types all change.</t>
        </is>
      </c>
      <c r="D23" s="299" t="n"/>
      <c r="E23" s="1289" t="n"/>
      <c r="F23" s="1289" t="n"/>
      <c r="G23" s="1289" t="n"/>
    </row>
    <row r="24" ht="15" customHeight="1" s="254">
      <c r="A24" s="1316" t="inlineStr">
        <is>
          <t>Network and payment hardware</t>
        </is>
      </c>
      <c r="B24" s="1553" t="inlineStr">
        <is>
          <t>REPLACE</t>
        </is>
      </c>
      <c r="C24" s="1316" t="inlineStr">
        <is>
          <t>Integrated in the new cabinets.</t>
        </is>
      </c>
      <c r="D24" s="1289" t="n"/>
      <c r="E24" s="1289" t="n"/>
      <c r="F24" s="1289" t="n"/>
      <c r="G24" s="1289" t="n"/>
    </row>
    <row r="25" ht="15" customHeight="1" s="254">
      <c r="A25" s="1289" t="n"/>
      <c r="B25" s="1289" t="n"/>
      <c r="C25" s="1289" t="n"/>
      <c r="D25" s="1289" t="n"/>
      <c r="E25" s="1289" t="n"/>
      <c r="F25" s="1289" t="n"/>
      <c r="G25" s="1289" t="n"/>
    </row>
    <row r="26" ht="15" customHeight="1" s="254">
      <c r="A26" s="1552" t="inlineStr">
        <is>
          <t>Elements retained</t>
        </is>
      </c>
      <c r="B26" s="1319">
        <f>COUNTIF($B$13:$B$24,"RETAIN")</f>
        <v/>
      </c>
      <c r="C26" s="1320" t="inlineStr">
        <is>
          <t>Of 12 in the register.</t>
        </is>
      </c>
      <c r="D26" s="1289" t="n"/>
      <c r="E26" s="1289" t="n"/>
      <c r="F26" s="1289" t="n"/>
      <c r="G26" s="1289" t="n"/>
    </row>
    <row r="27" ht="15" customHeight="1" s="254">
      <c r="A27" s="1552" t="inlineStr">
        <is>
          <t>Elements replaced</t>
        </is>
      </c>
      <c r="B27" s="1319">
        <f>COUNTIF($B$13:$B$24,"REPLACE")+COUNTIF($B$13:$B$24,"PARTIAL")</f>
        <v/>
      </c>
      <c r="C27" s="1289" t="n"/>
      <c r="D27" s="1289" t="n"/>
      <c r="E27" s="1289" t="n"/>
      <c r="F27" s="1289" t="n"/>
      <c r="G27" s="1289" t="n"/>
    </row>
    <row r="28" ht="40" customHeight="1" s="254">
      <c r="A28" s="1547" t="inlineStr">
        <is>
          <t>Scope profile</t>
        </is>
      </c>
      <c r="B28" s="1311">
        <f>IF($B$5="Greenfield — add load to existing service","Add load to existing service — no new service, no new feeder; connect at the existing switchgear and price the distribution from there inward",IF($B$13="RETAIN",IF($B$14="RETAIN","Infrastructure reuse — no new service, no new feeder","Service retained, feeder replaced"),"New or upgraded service — price this as greenfield electrical"))</f>
        <v/>
      </c>
      <c r="C28" s="299" t="n"/>
      <c r="D28" s="1309" t="inlineStr">
        <is>
          <t>What the retained register implies for the electrical scope on the Electrical tab.</t>
        </is>
      </c>
      <c r="F28" s="1289" t="n"/>
      <c r="G28" s="1289" t="n"/>
    </row>
    <row r="29" ht="15" customHeight="1" s="254">
      <c r="A29" s="1289" t="n"/>
      <c r="B29" s="1289" t="n"/>
      <c r="C29" s="1289" t="n"/>
      <c r="D29" s="1289" t="n"/>
      <c r="E29" s="1289" t="n"/>
      <c r="F29" s="1289" t="n"/>
      <c r="G29" s="1289" t="n"/>
    </row>
    <row r="30" ht="29" customHeight="1" s="254">
      <c r="A30" s="1299" t="inlineStr">
        <is>
          <t>C · Existing equipment being removed</t>
        </is>
      </c>
      <c r="B30" s="1321">
        <f>IF(OR($B$5="Greenfield — new service",$B$5="Greenfield — add load to existing service"),"— skip: no existing chargers","— complete this section")</f>
        <v/>
      </c>
      <c r="C30" s="1289" t="n"/>
      <c r="D30" s="1289" t="n"/>
      <c r="E30" s="1289" t="n"/>
      <c r="F30" s="1289" t="n"/>
      <c r="G30" s="1289" t="n"/>
    </row>
    <row r="31" ht="27.5" customHeight="1" s="254">
      <c r="A31" s="1309" t="inlineStr">
        <is>
          <t>One row per existing cabinet or unit. This drives the demolition, disconnection and disposal scope on the Construction tab, and the port comparison in section F.</t>
        </is>
      </c>
    </row>
    <row r="32" ht="27.5" customHeight="1" s="254">
      <c r="A32" s="1315" t="inlineStr">
        <is>
          <t>Make and model</t>
        </is>
      </c>
      <c r="B32" s="1315" t="inlineStr">
        <is>
          <t>Rating kW</t>
        </is>
      </c>
      <c r="C32" s="1315" t="inlineStr">
        <is>
          <t>Ports</t>
        </is>
      </c>
      <c r="D32" s="1315" t="inlineStr">
        <is>
          <t>Connectors</t>
        </is>
      </c>
      <c r="E32" s="1315" t="inlineStr">
        <is>
          <t>Qty</t>
        </is>
      </c>
      <c r="F32" s="1322" t="inlineStr">
        <is>
          <t>Year installed</t>
        </is>
      </c>
      <c r="G32" s="1315" t="inlineStr">
        <is>
          <t>Working?</t>
        </is>
      </c>
    </row>
    <row r="33" ht="15" customHeight="1" s="254">
      <c r="A33" s="1553" t="inlineStr">
        <is>
          <t>ABB Terra 54</t>
        </is>
      </c>
      <c r="B33" s="1305" t="n">
        <v>50</v>
      </c>
      <c r="C33" s="1305" t="n">
        <v>2</v>
      </c>
      <c r="D33" s="1553" t="inlineStr">
        <is>
          <t>CCS1 / CHAdeMO</t>
        </is>
      </c>
      <c r="E33" s="1305" t="n">
        <v>2</v>
      </c>
      <c r="F33" s="1306" t="n">
        <v>2018</v>
      </c>
      <c r="G33" s="1553" t="inlineStr">
        <is>
          <t>Working</t>
        </is>
      </c>
    </row>
    <row r="34" ht="15" customHeight="1" s="254">
      <c r="A34" s="1553" t="inlineStr">
        <is>
          <t>ChargePoint Express 250</t>
        </is>
      </c>
      <c r="B34" s="1305" t="n">
        <v>62.5</v>
      </c>
      <c r="C34" s="1305" t="n">
        <v>1</v>
      </c>
      <c r="D34" s="1553" t="inlineStr">
        <is>
          <t>CCS1</t>
        </is>
      </c>
      <c r="E34" s="1305" t="n">
        <v>2</v>
      </c>
      <c r="F34" s="1306" t="n">
        <v>2019</v>
      </c>
      <c r="G34" s="1553" t="inlineStr">
        <is>
          <t>Failed</t>
        </is>
      </c>
    </row>
    <row r="35" ht="15" customHeight="1" s="254">
      <c r="A35" s="1553" t="n"/>
      <c r="B35" s="1305" t="n"/>
      <c r="C35" s="1305" t="n"/>
      <c r="D35" s="1553" t="n"/>
      <c r="E35" s="1305" t="n"/>
      <c r="F35" s="1306" t="n"/>
      <c r="G35" s="1553" t="n"/>
    </row>
    <row r="36" ht="15" customHeight="1" s="254">
      <c r="A36" s="1553" t="n"/>
      <c r="B36" s="1305" t="n"/>
      <c r="C36" s="1305" t="n"/>
      <c r="D36" s="1553" t="n"/>
      <c r="E36" s="1305" t="n"/>
      <c r="F36" s="1306" t="n"/>
      <c r="G36" s="1553" t="n"/>
    </row>
    <row r="37" ht="15" customHeight="1" s="254">
      <c r="A37" s="1553" t="n"/>
      <c r="B37" s="1305" t="n"/>
      <c r="C37" s="1305" t="n"/>
      <c r="D37" s="1553" t="n"/>
      <c r="E37" s="1305" t="n"/>
      <c r="F37" s="1306" t="n"/>
      <c r="G37" s="1553" t="n"/>
    </row>
    <row r="38" ht="15" customHeight="1" s="254">
      <c r="A38" s="1553" t="n"/>
      <c r="B38" s="1305" t="n"/>
      <c r="C38" s="1305" t="n"/>
      <c r="D38" s="1553" t="n"/>
      <c r="E38" s="1305" t="n"/>
      <c r="F38" s="1306" t="n"/>
      <c r="G38" s="1553" t="n"/>
    </row>
    <row r="39" ht="15" customHeight="1" s="254">
      <c r="A39" s="1553" t="n"/>
      <c r="B39" s="1305" t="n"/>
      <c r="C39" s="1305" t="n"/>
      <c r="D39" s="1553" t="n"/>
      <c r="E39" s="1305" t="n"/>
      <c r="F39" s="1306" t="n"/>
      <c r="G39" s="1553" t="n"/>
    </row>
    <row r="40" ht="15" customHeight="1" s="254">
      <c r="A40" s="1553" t="n"/>
      <c r="B40" s="1305" t="n"/>
      <c r="C40" s="1305" t="n"/>
      <c r="D40" s="1553" t="n"/>
      <c r="E40" s="1305" t="n"/>
      <c r="F40" s="1306" t="n"/>
      <c r="G40" s="1553" t="n"/>
    </row>
    <row r="41" ht="15" customHeight="1" s="254">
      <c r="A41" s="1289" t="n"/>
      <c r="B41" s="1289" t="n"/>
      <c r="C41" s="1289" t="n"/>
      <c r="D41" s="1289" t="n"/>
      <c r="E41" s="1289" t="n"/>
      <c r="F41" s="1289" t="n"/>
      <c r="G41" s="1289" t="n"/>
    </row>
    <row r="42" ht="27.5" customHeight="1" s="254">
      <c r="A42" s="1547" t="inlineStr">
        <is>
          <t>Existing units on site</t>
        </is>
      </c>
      <c r="B42" s="1323">
        <f>SUM($E$33:$E$40)</f>
        <v/>
      </c>
      <c r="C42" s="1309" t="inlineStr">
        <is>
          <t>Cabinets or standalone units to be removed.</t>
        </is>
      </c>
      <c r="D42" s="1289" t="n"/>
      <c r="E42" s="1289" t="n"/>
      <c r="F42" s="1289" t="n"/>
      <c r="G42" s="1289" t="n"/>
    </row>
    <row r="43" ht="15" customHeight="1" s="254">
      <c r="A43" s="1547" t="inlineStr">
        <is>
          <t>Existing ports on site</t>
        </is>
      </c>
      <c r="B43" s="1323">
        <f>SUMPRODUCT($C$33:$C$40,$E$33:$E$40)</f>
        <v/>
      </c>
      <c r="C43" s="1320" t="inlineStr">
        <is>
          <t>Ports the site presents today.</t>
        </is>
      </c>
      <c r="D43" s="1289" t="n"/>
      <c r="E43" s="1289" t="n"/>
      <c r="F43" s="1289" t="n"/>
      <c r="G43" s="1289" t="n"/>
    </row>
    <row r="44" ht="27.5" customHeight="1" s="254">
      <c r="A44" s="1547" t="inlineStr">
        <is>
          <t>Existing connected load (kW)</t>
        </is>
      </c>
      <c r="B44" s="1324">
        <f>SUMPRODUCT($B$33:$B$40,$E$33:$E$40)</f>
        <v/>
      </c>
      <c r="C44" s="1309" t="inlineStr">
        <is>
          <t>The load the existing service was sized for. Compare against the new load on the Electrical tab.</t>
        </is>
      </c>
      <c r="E44" s="1289" t="n"/>
      <c r="F44" s="1289" t="n"/>
      <c r="G44" s="1289" t="n"/>
    </row>
    <row r="45" ht="27.5" customHeight="1" s="254">
      <c r="A45" s="1547" t="inlineStr">
        <is>
          <t>Units fully working</t>
        </is>
      </c>
      <c r="B45" s="1323">
        <f>SUMIF($G$33:$G$40,"Working",$E$33:$E$40)</f>
        <v/>
      </c>
      <c r="C45" s="1309" t="inlineStr">
        <is>
          <t>Quantity, not row count. The gap against units on site is the availability the new equipment recovers.</t>
        </is>
      </c>
      <c r="E45" s="1289" t="n"/>
      <c r="F45" s="1289" t="n"/>
      <c r="G45" s="1289" t="n"/>
    </row>
    <row r="46" ht="27.5" customHeight="1" s="254">
      <c r="A46" s="1552" t="inlineStr">
        <is>
          <t>Units failed or intermittent</t>
        </is>
      </c>
      <c r="B46" s="1319">
        <f>SUMIF($G$33:$G$40,"Failed",$E$33:$E$40)+SUMIF($G$33:$G$40,"Intermittent",$E$33:$E$40)</f>
        <v/>
      </c>
      <c r="C46" s="1309" t="inlineStr">
        <is>
          <t>What the replacement is actually fixing.</t>
        </is>
      </c>
      <c r="D46" s="1289" t="n"/>
      <c r="E46" s="1289" t="n"/>
      <c r="F46" s="1289" t="n"/>
      <c r="G46" s="1289" t="n"/>
    </row>
    <row r="47" ht="27.5" customHeight="1" s="254">
      <c r="A47" s="1552" t="inlineStr">
        <is>
          <t>Units of unknown condition</t>
        </is>
      </c>
      <c r="B47" s="1325">
        <f>SUMIF($G$33:$G$40,"Unknown",$E$33:$E$40)</f>
        <v/>
      </c>
      <c r="C47" s="1300" t="inlineStr">
        <is>
          <t>The availability uplift on the revenue projection is built from what was working and what was not. Anything in this row is a projection input nobody has established yet.</t>
        </is>
      </c>
    </row>
    <row r="48" ht="29" customHeight="1" s="254">
      <c r="A48" s="1299" t="inlineStr">
        <is>
          <t>D · Existing electrical infrastructure</t>
        </is>
      </c>
      <c r="B48" s="1321">
        <f>IF($B$5&lt;&gt;"Greenfield — new service","— complete this section","— skip: new service")</f>
        <v/>
      </c>
      <c r="C48" s="1289" t="n"/>
      <c r="D48" s="1289" t="n"/>
      <c r="E48" s="1289" t="n"/>
      <c r="F48" s="1289" t="n"/>
      <c r="G48" s="1289" t="n"/>
    </row>
    <row r="49" ht="27.5" customHeight="1" s="254">
      <c r="A49" s="1309" t="inlineStr">
        <is>
          <t>What is already in the ground. Where a line is being retained — including on an add-load site — this is what the new design has to work with; where it is being replaced, this is what has to come out. The capacity verdicts on rows 60 and 61 are computed in section I at the foot of this tab.</t>
        </is>
      </c>
    </row>
    <row r="50" ht="27.5" customHeight="1" s="254">
      <c r="A50" s="1552" t="inlineStr">
        <is>
          <t>Existing service size (A)</t>
        </is>
      </c>
      <c r="B50" s="1326" t="n">
        <v>800</v>
      </c>
      <c r="C50" s="1309" t="inlineStr">
        <is>
          <t>From the meter panel or the utility bill.</t>
        </is>
      </c>
      <c r="D50" s="1289" t="n"/>
      <c r="E50" s="1289" t="n"/>
      <c r="F50" s="1289" t="n"/>
      <c r="G50" s="1289" t="n"/>
    </row>
    <row r="51" ht="40" customHeight="1" s="254">
      <c r="A51" s="1552" t="inlineStr">
        <is>
          <t>Existing service voltage</t>
        </is>
      </c>
      <c r="B51" s="1327" t="n">
        <v>480</v>
      </c>
      <c r="C51" s="1309" t="inlineStr">
        <is>
          <t>Derived. When the service is retained this IS the service voltage on the Project tab, and the electrical checks read that cell — it was a second home for one fact, and on a Level 2 replacement the two disagreed by 272 V. Set the voltage on the Project tab.</t>
        </is>
      </c>
    </row>
    <row r="52" ht="27.5" customHeight="1" s="254">
      <c r="A52" s="1294" t="inlineStr">
        <is>
          <t>Spare capacity in the existing gear (A)</t>
        </is>
      </c>
      <c r="B52" s="1305" t="n">
        <v>200</v>
      </c>
      <c r="C52" s="1309" t="inlineStr">
        <is>
          <t>What is available for the new equipment without an upgrade.</t>
        </is>
      </c>
      <c r="E52" s="1289" t="n"/>
      <c r="F52" s="1289" t="n"/>
      <c r="G52" s="1289" t="n"/>
    </row>
    <row r="53" ht="15" customHeight="1" s="254">
      <c r="A53" s="1552" t="inlineStr">
        <is>
          <t>Existing switchgear frame (A)</t>
        </is>
      </c>
      <c r="B53" s="1305" t="n">
        <v>800</v>
      </c>
      <c r="C53" s="1320" t="inlineStr">
        <is>
          <t>The main breaker frame size.</t>
        </is>
      </c>
      <c r="D53" s="1289" t="n"/>
      <c r="E53" s="1289" t="n"/>
      <c r="F53" s="1289" t="n"/>
      <c r="G53" s="1289" t="n"/>
    </row>
    <row r="54" ht="15" customHeight="1" s="254">
      <c r="A54" s="1552" t="inlineStr">
        <is>
          <t>Existing branch conductor size</t>
        </is>
      </c>
      <c r="B54" s="1553" t="inlineStr">
        <is>
          <t>250 KCMIL Cu</t>
        </is>
      </c>
      <c r="C54" s="1309" t="inlineStr">
        <is>
          <t>e.g. 250 KCMIL Cu. Determines whether it can carry the new cabinet.</t>
        </is>
      </c>
      <c r="E54" s="1289" t="n"/>
      <c r="F54" s="1289" t="n"/>
      <c r="G54" s="1289" t="n"/>
    </row>
    <row r="55" ht="15" customHeight="1" s="254">
      <c r="A55" s="1552" t="inlineStr">
        <is>
          <t>Average branch run length (ft)</t>
        </is>
      </c>
      <c r="B55" s="1305" t="n">
        <v>120</v>
      </c>
      <c r="C55" s="1320" t="inlineStr">
        <is>
          <t>Switchgear to cabinet, per position.</t>
        </is>
      </c>
      <c r="D55" s="1289" t="n"/>
      <c r="E55" s="1289" t="n"/>
      <c r="F55" s="1289" t="n"/>
      <c r="G55" s="1289" t="n"/>
    </row>
    <row r="56" ht="27.5" customHeight="1" s="254">
      <c r="A56" s="1552" t="inlineStr">
        <is>
          <t>Existing conduit size and type</t>
        </is>
      </c>
      <c r="B56" s="1553" t="inlineStr">
        <is>
          <t>2-1/2 in PVC</t>
        </is>
      </c>
      <c r="C56" s="1309" t="inlineStr">
        <is>
          <t>e.g. 2-1/2 in PVC. Determines whether a larger conductor could be pulled if needed.</t>
        </is>
      </c>
      <c r="E56" s="1289" t="n"/>
      <c r="F56" s="1289" t="n"/>
      <c r="G56" s="1289" t="n"/>
    </row>
    <row r="57" ht="27.5" customHeight="1" s="254">
      <c r="A57" s="1552" t="inlineStr">
        <is>
          <t>Existing rate schedule</t>
        </is>
      </c>
      <c r="B57" s="1553" t="inlineStr">
        <is>
          <t>TOU-GS-2</t>
        </is>
      </c>
      <c r="C57" s="1309" t="inlineStr">
        <is>
          <t>The tariff the site is billed on today.</t>
        </is>
      </c>
      <c r="D57" s="1289" t="n"/>
      <c r="E57" s="1289" t="n"/>
      <c r="F57" s="1289" t="n"/>
      <c r="G57" s="1289" t="n"/>
    </row>
    <row r="58" ht="15" customHeight="1" s="254">
      <c r="A58" s="1552" t="inlineStr">
        <is>
          <t>Separately metered for EV today?</t>
        </is>
      </c>
      <c r="B58" s="1553" t="inlineStr">
        <is>
          <t>No</t>
        </is>
      </c>
      <c r="C58" s="1309" t="inlineStr">
        <is>
          <t>If not, a separate EV meter may be needed to reach the EV tariff.</t>
        </is>
      </c>
      <c r="E58" s="1289" t="n"/>
      <c r="F58" s="1289" t="n"/>
      <c r="G58" s="1289" t="n"/>
    </row>
    <row r="59" ht="15" customHeight="1" s="254">
      <c r="A59" s="1289" t="n"/>
      <c r="B59" s="1289" t="n"/>
      <c r="C59" s="1289" t="n"/>
      <c r="D59" s="1289" t="n"/>
      <c r="E59" s="1289" t="n"/>
      <c r="F59" s="1289" t="n"/>
      <c r="G59" s="1289" t="n"/>
    </row>
    <row r="60" ht="27.5" customHeight="1" s="254">
      <c r="A60" s="1328" t="inlineStr">
        <is>
          <t>Does the existing service carry the new load?</t>
        </is>
      </c>
      <c r="B60" s="1329">
        <f>$B$198</f>
        <v/>
      </c>
      <c r="C60" s="299" t="n"/>
      <c r="D60" s="1300" t="inlineStr">
        <is>
          <t>Read from section I. Names the basis it used — measured peak demand, stated spare capacity, or service size.</t>
        </is>
      </c>
    </row>
    <row r="61" ht="40" customHeight="1" s="254">
      <c r="A61" s="1328" t="inlineStr">
        <is>
          <t>Does the existing switchgear carry the new load?</t>
        </is>
      </c>
      <c r="B61" s="1329">
        <f>$B$199</f>
        <v/>
      </c>
      <c r="C61" s="299" t="n"/>
      <c r="D61" s="1300" t="inlineStr">
        <is>
          <t>Read from section I. The engine reads this row: a site that keeps its switchgear must read OK here before a model is built.</t>
        </is>
      </c>
    </row>
    <row r="62" ht="40" customHeight="1" s="254">
      <c r="A62" s="1328" t="inlineStr">
        <is>
          <t>Load change from the existing installation</t>
        </is>
      </c>
      <c r="B62" s="1311">
        <f>IF($B$5="Greenfield — add load to existing service","n/a — no existing chargers; the added load is "&amp;TEXT(N(Equipment!B23),"#,##0")&amp;" kW on top of the building load",IF(OR($B$44=0,N(Equipment!B23)=0),"enter the existing equipment and the new equipment",TEXT(Equipment!B23-$B$44,"+#,##0;-#,##0")&amp;" kW ("&amp;TEXT(Equipment!B23/$B$44-1,"+0%;-0%")&amp;") against the existing "&amp;TEXT($B$44,"#,##0")&amp;" kW"))</f>
        <v/>
      </c>
      <c r="C62" s="299" t="n"/>
      <c r="D62" s="1309" t="inlineStr">
        <is>
          <t>A replacement that raises connected load is the case where reuse assumptions break.</t>
        </is>
      </c>
      <c r="F62" s="1289" t="n"/>
      <c r="G62" s="1289" t="n"/>
    </row>
    <row r="63" ht="15" customHeight="1" s="254">
      <c r="A63" s="1289" t="n"/>
      <c r="B63" s="1289" t="n"/>
      <c r="C63" s="1289" t="n"/>
      <c r="D63" s="1289" t="n"/>
      <c r="E63" s="1289" t="n"/>
      <c r="F63" s="1289" t="n"/>
      <c r="G63" s="1289" t="n"/>
    </row>
    <row r="64" ht="15" customHeight="1" s="254">
      <c r="A64" s="1299" t="inlineStr">
        <is>
          <t>E · Historical usage and billing</t>
        </is>
      </c>
      <c r="B64" s="1321">
        <f>IF(OR($B$5="Greenfield — new service",$B$5="Greenfield — add load to existing service"),"— skip: no charging history","— complete this section")</f>
        <v/>
      </c>
      <c r="C64" s="1289" t="n"/>
      <c r="D64" s="1289" t="n"/>
      <c r="E64" s="1289" t="n"/>
      <c r="F64" s="1289" t="n"/>
      <c r="G64" s="1289" t="n"/>
    </row>
    <row r="65" ht="40" customHeight="1" s="254">
      <c r="A65" s="1309"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27.5" customHeight="1" s="254">
      <c r="A66" s="1315" t="inlineStr">
        <is>
          <t>Month (YYYY-MM)</t>
        </is>
      </c>
      <c r="B66" s="1315" t="inlineStr">
        <is>
          <t>kWh dispensed</t>
        </is>
      </c>
      <c r="C66" s="1315" t="inlineStr">
        <is>
          <t>Gross revenue</t>
        </is>
      </c>
      <c r="D66" s="1315" t="inlineStr">
        <is>
          <t>Sessions</t>
        </is>
      </c>
      <c r="E66" s="1322" t="inlineStr">
        <is>
          <t>Utility cost</t>
        </is>
      </c>
      <c r="F66" s="1322" t="inlineStr">
        <is>
          <t>Ports working</t>
        </is>
      </c>
      <c r="G66" s="1322" t="inlineStr">
        <is>
          <t>Note / outage</t>
        </is>
      </c>
    </row>
    <row r="67" ht="15" customHeight="1" s="254">
      <c r="A67" s="1553" t="inlineStr">
        <is>
          <t>2025-09</t>
        </is>
      </c>
      <c r="B67" s="1305" t="n">
        <v>9800</v>
      </c>
      <c r="C67" s="1330" t="n">
        <v>5390</v>
      </c>
      <c r="D67" s="1305" t="n">
        <v>306</v>
      </c>
      <c r="E67" s="1330" t="n">
        <v>2744</v>
      </c>
      <c r="F67" s="1331" t="n">
        <v>4</v>
      </c>
      <c r="G67" s="1553" t="n"/>
    </row>
    <row r="68" ht="15" customHeight="1" s="254">
      <c r="A68" s="1553" t="inlineStr">
        <is>
          <t>2025-10</t>
        </is>
      </c>
      <c r="B68" s="1305" t="n">
        <v>10200</v>
      </c>
      <c r="C68" s="1330" t="n">
        <v>5610</v>
      </c>
      <c r="D68" s="1305" t="n">
        <v>319</v>
      </c>
      <c r="E68" s="1330" t="n">
        <v>2856</v>
      </c>
      <c r="F68" s="1331" t="n">
        <v>4</v>
      </c>
      <c r="G68" s="1553" t="n"/>
    </row>
    <row r="69" ht="15" customHeight="1" s="254">
      <c r="A69" s="1553" t="inlineStr">
        <is>
          <t>2025-11</t>
        </is>
      </c>
      <c r="B69" s="1305" t="n">
        <v>9900</v>
      </c>
      <c r="C69" s="1330" t="n">
        <v>5445</v>
      </c>
      <c r="D69" s="1305" t="n">
        <v>309</v>
      </c>
      <c r="E69" s="1330" t="n">
        <v>2772</v>
      </c>
      <c r="F69" s="1331" t="n">
        <v>3</v>
      </c>
      <c r="G69" s="1553" t="inlineStr">
        <is>
          <t>Two units down all month</t>
        </is>
      </c>
    </row>
    <row r="70" ht="15" customHeight="1" s="254">
      <c r="A70" s="1553" t="inlineStr">
        <is>
          <t>2025-12</t>
        </is>
      </c>
      <c r="B70" s="1305" t="n">
        <v>11500</v>
      </c>
      <c r="C70" s="1330" t="n">
        <v>6325</v>
      </c>
      <c r="D70" s="1305" t="n">
        <v>359</v>
      </c>
      <c r="E70" s="1330" t="n">
        <v>3220</v>
      </c>
      <c r="F70" s="1331" t="n">
        <v>3</v>
      </c>
      <c r="G70" s="1553" t="n"/>
    </row>
    <row r="71" ht="15" customHeight="1" s="254">
      <c r="A71" s="1553" t="inlineStr">
        <is>
          <t>2026-01</t>
        </is>
      </c>
      <c r="B71" s="1305" t="n">
        <v>12000</v>
      </c>
      <c r="C71" s="1330" t="n">
        <v>6600</v>
      </c>
      <c r="D71" s="1305" t="n">
        <v>375</v>
      </c>
      <c r="E71" s="1330" t="n">
        <v>3360</v>
      </c>
      <c r="F71" s="1331" t="n">
        <v>3</v>
      </c>
      <c r="G71" s="1553" t="n"/>
    </row>
    <row r="72" ht="15" customHeight="1" s="254">
      <c r="A72" s="1553" t="inlineStr">
        <is>
          <t>2026-02</t>
        </is>
      </c>
      <c r="B72" s="1305" t="n">
        <v>11800</v>
      </c>
      <c r="C72" s="1330" t="n">
        <v>6490</v>
      </c>
      <c r="D72" s="1305" t="n">
        <v>369</v>
      </c>
      <c r="E72" s="1330" t="n">
        <v>3304</v>
      </c>
      <c r="F72" s="1331" t="n">
        <v>4</v>
      </c>
      <c r="G72" s="1553" t="n"/>
    </row>
    <row r="73" ht="15" customHeight="1" s="254">
      <c r="A73" s="1553" t="inlineStr">
        <is>
          <t>2026-03</t>
        </is>
      </c>
      <c r="B73" s="1305" t="n">
        <v>12500</v>
      </c>
      <c r="C73" s="1330" t="n">
        <v>6875</v>
      </c>
      <c r="D73" s="1305" t="n">
        <v>391</v>
      </c>
      <c r="E73" s="1330" t="n">
        <v>3500</v>
      </c>
      <c r="F73" s="1331" t="n">
        <v>3</v>
      </c>
      <c r="G73" s="1553" t="n"/>
    </row>
    <row r="74" ht="15" customHeight="1" s="254">
      <c r="A74" s="1553" t="inlineStr">
        <is>
          <t>2026-04</t>
        </is>
      </c>
      <c r="B74" s="1305" t="n">
        <v>13100</v>
      </c>
      <c r="C74" s="1330" t="n">
        <v>7205</v>
      </c>
      <c r="D74" s="1305" t="n">
        <v>409</v>
      </c>
      <c r="E74" s="1330" t="n">
        <v>3668</v>
      </c>
      <c r="F74" s="1331" t="n">
        <v>3</v>
      </c>
      <c r="G74" s="1553" t="n"/>
    </row>
    <row r="75" ht="15" customHeight="1" s="254">
      <c r="A75" s="1553" t="inlineStr">
        <is>
          <t>2026-05</t>
        </is>
      </c>
      <c r="B75" s="1305" t="n">
        <v>12800</v>
      </c>
      <c r="C75" s="1330" t="n">
        <v>7040</v>
      </c>
      <c r="D75" s="1305" t="n">
        <v>400</v>
      </c>
      <c r="E75" s="1330" t="n">
        <v>3584</v>
      </c>
      <c r="F75" s="1331" t="n">
        <v>3</v>
      </c>
      <c r="G75" s="1553" t="n"/>
    </row>
    <row r="76" ht="15" customHeight="1" s="254">
      <c r="A76" s="1553" t="inlineStr">
        <is>
          <t>2026-06</t>
        </is>
      </c>
      <c r="B76" s="1305" t="n">
        <v>13400</v>
      </c>
      <c r="C76" s="1330" t="n">
        <v>7370</v>
      </c>
      <c r="D76" s="1305" t="n">
        <v>419</v>
      </c>
      <c r="E76" s="1330" t="n">
        <v>3752</v>
      </c>
      <c r="F76" s="1331" t="n">
        <v>4</v>
      </c>
      <c r="G76" s="1553" t="n"/>
    </row>
    <row r="77" ht="15" customHeight="1" s="254">
      <c r="A77" s="1553" t="inlineStr">
        <is>
          <t>2026-07</t>
        </is>
      </c>
      <c r="B77" s="1305" t="n">
        <v>13900</v>
      </c>
      <c r="C77" s="1330" t="n">
        <v>7645</v>
      </c>
      <c r="D77" s="1305" t="n">
        <v>434</v>
      </c>
      <c r="E77" s="1330" t="n">
        <v>3892</v>
      </c>
      <c r="F77" s="1331" t="n">
        <v>4</v>
      </c>
      <c r="G77" s="1553" t="n"/>
    </row>
    <row r="78" ht="15" customHeight="1" s="254">
      <c r="A78" s="1553" t="inlineStr">
        <is>
          <t>2026-08</t>
        </is>
      </c>
      <c r="B78" s="1305" t="n">
        <v>14100</v>
      </c>
      <c r="C78" s="1330" t="n">
        <v>7755</v>
      </c>
      <c r="D78" s="1305" t="n">
        <v>441</v>
      </c>
      <c r="E78" s="1330" t="n">
        <v>3948</v>
      </c>
      <c r="F78" s="1331" t="n">
        <v>4</v>
      </c>
      <c r="G78" s="1553" t="n"/>
    </row>
    <row r="79" ht="15" customHeight="1" s="254">
      <c r="A79" s="1553" t="n"/>
      <c r="B79" s="1305" t="n"/>
      <c r="C79" s="1330" t="n"/>
      <c r="D79" s="1305" t="n"/>
      <c r="E79" s="1330" t="n"/>
      <c r="F79" s="1331" t="n"/>
      <c r="G79" s="1553" t="n"/>
    </row>
    <row r="80" ht="15" customHeight="1" s="254">
      <c r="A80" s="1553" t="n"/>
      <c r="B80" s="1305" t="n"/>
      <c r="C80" s="1330" t="n"/>
      <c r="D80" s="1305" t="n"/>
      <c r="E80" s="1330" t="n"/>
      <c r="F80" s="1331" t="n"/>
      <c r="G80" s="1553" t="n"/>
    </row>
    <row r="81" ht="15" customHeight="1" s="254">
      <c r="A81" s="1553" t="n"/>
      <c r="B81" s="1305" t="n"/>
      <c r="C81" s="1330" t="n"/>
      <c r="D81" s="1305" t="n"/>
      <c r="E81" s="1330" t="n"/>
      <c r="F81" s="1331" t="n"/>
      <c r="G81" s="1553" t="n"/>
    </row>
    <row r="82" ht="15" customHeight="1" s="254">
      <c r="A82" s="1553" t="n"/>
      <c r="B82" s="1305" t="n"/>
      <c r="C82" s="1330" t="n"/>
      <c r="D82" s="1305" t="n"/>
      <c r="E82" s="1330" t="n"/>
      <c r="F82" s="1331" t="n"/>
      <c r="G82" s="1553" t="n"/>
    </row>
    <row r="83" ht="15" customHeight="1" s="254">
      <c r="A83" s="1553" t="n"/>
      <c r="B83" s="1305" t="n"/>
      <c r="C83" s="1330" t="n"/>
      <c r="D83" s="1305" t="n"/>
      <c r="E83" s="1330" t="n"/>
      <c r="F83" s="1331" t="n"/>
      <c r="G83" s="1553" t="n"/>
    </row>
    <row r="84" ht="15" customHeight="1" s="254">
      <c r="A84" s="1553" t="n"/>
      <c r="B84" s="1305" t="n"/>
      <c r="C84" s="1330" t="n"/>
      <c r="D84" s="1305" t="n"/>
      <c r="E84" s="1330" t="n"/>
      <c r="F84" s="1331" t="n"/>
      <c r="G84" s="1553" t="n"/>
    </row>
    <row r="85" ht="15" customHeight="1" s="254">
      <c r="A85" s="1553" t="n"/>
      <c r="B85" s="1305" t="n"/>
      <c r="C85" s="1330" t="n"/>
      <c r="D85" s="1305" t="n"/>
      <c r="E85" s="1330" t="n"/>
      <c r="F85" s="1331" t="n"/>
      <c r="G85" s="1553" t="n"/>
    </row>
    <row r="86" ht="15" customHeight="1" s="254">
      <c r="A86" s="1553" t="n"/>
      <c r="B86" s="1305" t="n"/>
      <c r="C86" s="1330" t="n"/>
      <c r="D86" s="1305" t="n"/>
      <c r="E86" s="1330" t="n"/>
      <c r="F86" s="1331" t="n"/>
      <c r="G86" s="1553" t="n"/>
    </row>
    <row r="87" ht="15" customHeight="1" s="254">
      <c r="A87" s="1553" t="n"/>
      <c r="B87" s="1305" t="n"/>
      <c r="C87" s="1330" t="n"/>
      <c r="D87" s="1305" t="n"/>
      <c r="E87" s="1330" t="n"/>
      <c r="F87" s="1331" t="n"/>
      <c r="G87" s="1553" t="n"/>
    </row>
    <row r="88" ht="15" customHeight="1" s="254">
      <c r="A88" s="1553" t="n"/>
      <c r="B88" s="1305" t="n"/>
      <c r="C88" s="1330" t="n"/>
      <c r="D88" s="1305" t="n"/>
      <c r="E88" s="1330" t="n"/>
      <c r="F88" s="1331" t="n"/>
      <c r="G88" s="1553" t="n"/>
    </row>
    <row r="89" ht="15" customHeight="1" s="254">
      <c r="A89" s="1553" t="n"/>
      <c r="B89" s="1305" t="n"/>
      <c r="C89" s="1330" t="n"/>
      <c r="D89" s="1305" t="n"/>
      <c r="E89" s="1330" t="n"/>
      <c r="F89" s="1331" t="n"/>
      <c r="G89" s="1553" t="n"/>
    </row>
    <row r="90" ht="15" customHeight="1" s="254">
      <c r="A90" s="1553" t="n"/>
      <c r="B90" s="1305" t="n"/>
      <c r="C90" s="1330" t="n"/>
      <c r="D90" s="1305" t="n"/>
      <c r="E90" s="1330" t="n"/>
      <c r="F90" s="1331" t="n"/>
      <c r="G90" s="1553" t="n"/>
    </row>
    <row r="91" ht="15" customHeight="1" s="254">
      <c r="A91" s="1553" t="n"/>
      <c r="B91" s="1305" t="n"/>
      <c r="C91" s="1330" t="n"/>
      <c r="D91" s="1305" t="n"/>
      <c r="E91" s="1330" t="n"/>
      <c r="F91" s="1331" t="n"/>
      <c r="G91" s="1553" t="n"/>
    </row>
    <row r="92" ht="15" customHeight="1" s="254">
      <c r="A92" s="1553" t="n"/>
      <c r="B92" s="1305" t="n"/>
      <c r="C92" s="1330" t="n"/>
      <c r="D92" s="1305" t="n"/>
      <c r="E92" s="1330" t="n"/>
      <c r="F92" s="1331" t="n"/>
      <c r="G92" s="1553" t="n"/>
    </row>
    <row r="93" ht="15" customHeight="1" s="254">
      <c r="A93" s="1553" t="n"/>
      <c r="B93" s="1305" t="n"/>
      <c r="C93" s="1330" t="n"/>
      <c r="D93" s="1305" t="n"/>
      <c r="E93" s="1330" t="n"/>
      <c r="F93" s="1331" t="n"/>
      <c r="G93" s="1553" t="n"/>
    </row>
    <row r="94" ht="15" customHeight="1" s="254">
      <c r="A94" s="1553" t="n"/>
      <c r="B94" s="1305" t="n"/>
      <c r="C94" s="1330" t="n"/>
      <c r="D94" s="1305" t="n"/>
      <c r="E94" s="1330" t="n"/>
      <c r="F94" s="1331" t="n"/>
      <c r="G94" s="1553" t="n"/>
    </row>
    <row r="95" ht="15" customHeight="1" s="254">
      <c r="A95" s="1553" t="n"/>
      <c r="B95" s="1305" t="n"/>
      <c r="C95" s="1330" t="n"/>
      <c r="D95" s="1305" t="n"/>
      <c r="E95" s="1330" t="n"/>
      <c r="F95" s="1331" t="n"/>
      <c r="G95" s="1553" t="n"/>
    </row>
    <row r="96" ht="15" customHeight="1" s="254">
      <c r="A96" s="1553" t="n"/>
      <c r="B96" s="1305" t="n"/>
      <c r="C96" s="1330" t="n"/>
      <c r="D96" s="1305" t="n"/>
      <c r="E96" s="1330" t="n"/>
      <c r="F96" s="1331" t="n"/>
      <c r="G96" s="1553" t="n"/>
    </row>
    <row r="97" ht="15" customHeight="1" s="254">
      <c r="A97" s="1553" t="n"/>
      <c r="B97" s="1305" t="n"/>
      <c r="C97" s="1330" t="n"/>
      <c r="D97" s="1305" t="n"/>
      <c r="E97" s="1330" t="n"/>
      <c r="F97" s="1331" t="n"/>
      <c r="G97" s="1553" t="n"/>
    </row>
    <row r="98" ht="15" customHeight="1" s="254">
      <c r="A98" s="1553" t="n"/>
      <c r="B98" s="1305" t="n"/>
      <c r="C98" s="1330" t="n"/>
      <c r="D98" s="1305" t="n"/>
      <c r="E98" s="1330" t="n"/>
      <c r="F98" s="1331" t="n"/>
      <c r="G98" s="1553" t="n"/>
    </row>
    <row r="99" ht="15" customHeight="1" s="254">
      <c r="A99" s="1553" t="n"/>
      <c r="B99" s="1305" t="n"/>
      <c r="C99" s="1330" t="n"/>
      <c r="D99" s="1305" t="n"/>
      <c r="E99" s="1330" t="n"/>
      <c r="F99" s="1331" t="n"/>
      <c r="G99" s="1553" t="n"/>
    </row>
    <row r="100" ht="15" customHeight="1" s="254">
      <c r="A100" s="1553" t="n"/>
      <c r="B100" s="1305" t="n"/>
      <c r="C100" s="1330" t="n"/>
      <c r="D100" s="1305" t="n"/>
      <c r="E100" s="1330" t="n"/>
      <c r="F100" s="1331" t="n"/>
      <c r="G100" s="1553" t="n"/>
    </row>
    <row r="101" ht="15" customHeight="1" s="254">
      <c r="A101" s="1553" t="n"/>
      <c r="B101" s="1305" t="n"/>
      <c r="C101" s="1330" t="n"/>
      <c r="D101" s="1305" t="n"/>
      <c r="E101" s="1330" t="n"/>
      <c r="F101" s="1331" t="n"/>
      <c r="G101" s="1553" t="n"/>
    </row>
    <row r="102" ht="15" customHeight="1" s="254">
      <c r="A102" s="1553" t="n"/>
      <c r="B102" s="1305" t="n"/>
      <c r="C102" s="1330" t="n"/>
      <c r="D102" s="1305" t="n"/>
      <c r="E102" s="1330" t="n"/>
      <c r="F102" s="1331" t="n"/>
      <c r="G102" s="1553" t="n"/>
    </row>
    <row r="103" ht="15" customHeight="1" s="254">
      <c r="A103" s="1289" t="n"/>
      <c r="B103" s="1289" t="n"/>
      <c r="C103" s="1289" t="n"/>
      <c r="D103" s="1289" t="n"/>
      <c r="E103" s="1289" t="n"/>
      <c r="F103" s="1289" t="n"/>
      <c r="G103" s="1289" t="n"/>
    </row>
    <row r="104" ht="15" customHeight="1" s="254">
      <c r="A104" s="1547" t="inlineStr">
        <is>
          <t>Months with data</t>
        </is>
      </c>
      <c r="B104" s="1323">
        <f>COUNT($B$67:$B$102)</f>
        <v/>
      </c>
      <c r="C104" s="1309" t="inlineStr">
        <is>
          <t>Twelve is the minimum for a credible run rate; twenty-four is better.</t>
        </is>
      </c>
      <c r="E104" s="1289" t="n"/>
      <c r="F104" s="1289" t="n"/>
      <c r="G104" s="1289" t="n"/>
    </row>
    <row r="105" ht="15" customHeight="1" s="254">
      <c r="A105" s="1547" t="inlineStr">
        <is>
          <t>Total kWh dispensed</t>
        </is>
      </c>
      <c r="B105" s="1323">
        <f>SUM($B$67:$B$102)</f>
        <v/>
      </c>
      <c r="C105" s="1289" t="n"/>
      <c r="D105" s="1289" t="n"/>
      <c r="E105" s="1289" t="n"/>
      <c r="F105" s="1289" t="n"/>
      <c r="G105" s="1289" t="n"/>
    </row>
    <row r="106" ht="15" customHeight="1" s="254">
      <c r="A106" s="1547" t="inlineStr">
        <is>
          <t>Total gross revenue</t>
        </is>
      </c>
      <c r="B106" s="1332">
        <f>SUM($C$67:$C$102)</f>
        <v/>
      </c>
      <c r="C106" s="1289" t="n"/>
      <c r="D106" s="1289" t="n"/>
      <c r="E106" s="1289" t="n"/>
      <c r="F106" s="1289" t="n"/>
      <c r="G106" s="1289" t="n"/>
    </row>
    <row r="107" ht="15" customHeight="1" s="254">
      <c r="A107" s="1547" t="inlineStr">
        <is>
          <t>Total sessions</t>
        </is>
      </c>
      <c r="B107" s="1323">
        <f>SUM($D$67:$D$102)</f>
        <v/>
      </c>
      <c r="C107" s="1289" t="n"/>
      <c r="D107" s="1289" t="n"/>
      <c r="E107" s="1289" t="n"/>
      <c r="F107" s="1289" t="n"/>
      <c r="G107" s="1289" t="n"/>
    </row>
    <row r="108" ht="15" customHeight="1" s="254">
      <c r="A108" s="1547" t="inlineStr">
        <is>
          <t>Total utility cost</t>
        </is>
      </c>
      <c r="B108" s="1332">
        <f>SUM($E$67:$E$102)</f>
        <v/>
      </c>
      <c r="C108" s="1289" t="n"/>
      <c r="D108" s="1289" t="n"/>
      <c r="E108" s="1289" t="n"/>
      <c r="F108" s="1289" t="n"/>
      <c r="G108" s="1289" t="n"/>
    </row>
    <row r="109" ht="15" customHeight="1" s="254">
      <c r="A109" s="1289" t="n"/>
      <c r="B109" s="1289" t="n"/>
      <c r="C109" s="1289" t="n"/>
      <c r="D109" s="1289" t="n"/>
      <c r="E109" s="1289" t="n"/>
      <c r="F109" s="1289" t="n"/>
      <c r="G109" s="1289" t="n"/>
    </row>
    <row r="110" ht="15" customHeight="1" s="254">
      <c r="A110" s="1547" t="inlineStr">
        <is>
          <t>Average kWh per month</t>
        </is>
      </c>
      <c r="B110" s="1323">
        <f>IFERROR(SUM($B$67:$B$102)/COUNT($B$67:$B$102),0)</f>
        <v/>
      </c>
      <c r="C110" s="1289" t="n"/>
      <c r="D110" s="1289" t="n"/>
      <c r="E110" s="1289" t="n"/>
      <c r="F110" s="1289" t="n"/>
      <c r="G110" s="1289" t="n"/>
    </row>
    <row r="111" ht="27.5" customHeight="1" s="254">
      <c r="A111" s="1547" t="inlineStr">
        <is>
          <t>Average kWh per day</t>
        </is>
      </c>
      <c r="B111" s="1324">
        <f>IFERROR(SUM($B$67:$B$102)/COUNT($B$67:$B$102)*12/365,0)</f>
        <v/>
      </c>
      <c r="C111" s="1309" t="inlineStr">
        <is>
          <t>The historical daily run rate. This is the number the new projection is built from.</t>
        </is>
      </c>
      <c r="E111" s="1289" t="n"/>
      <c r="F111" s="1289" t="n"/>
      <c r="G111" s="1289" t="n"/>
    </row>
    <row r="112" ht="15" customHeight="1" s="254">
      <c r="A112" s="1547" t="inlineStr">
        <is>
          <t>Historical kWh per year</t>
        </is>
      </c>
      <c r="B112" s="1323">
        <f>IFERROR(SUM($B$67:$B$102)/COUNT($B$67:$B$102)*12,0)</f>
        <v/>
      </c>
      <c r="C112" s="1289" t="n"/>
      <c r="D112" s="1289" t="n"/>
      <c r="E112" s="1289" t="n"/>
      <c r="F112" s="1289" t="n"/>
      <c r="G112" s="1289" t="n"/>
    </row>
    <row r="113" ht="15" customHeight="1" s="254">
      <c r="A113" s="1547" t="inlineStr">
        <is>
          <t>Historical gross revenue per year</t>
        </is>
      </c>
      <c r="B113" s="1332">
        <f>IFERROR(SUM($C$67:$C$102)/COUNT($C$67:$C$102)*12,0)</f>
        <v/>
      </c>
      <c r="C113" s="1289" t="n"/>
      <c r="D113" s="1289" t="n"/>
      <c r="E113" s="1289" t="n"/>
      <c r="F113" s="1289" t="n"/>
      <c r="G113" s="1289" t="n"/>
    </row>
    <row r="114" ht="15" customHeight="1" s="254">
      <c r="A114" s="1547" t="inlineStr">
        <is>
          <t>Historical utility cost per year</t>
        </is>
      </c>
      <c r="B114" s="1332">
        <f>IFERROR(SUM($E$67:$E$102)/COUNT($E$67:$E$102)*12,0)</f>
        <v/>
      </c>
      <c r="C114" s="1289" t="n"/>
      <c r="D114" s="1289" t="n"/>
      <c r="E114" s="1289" t="n"/>
      <c r="F114" s="1289" t="n"/>
      <c r="G114" s="1289" t="n"/>
    </row>
    <row r="115" ht="15" customHeight="1" s="254">
      <c r="A115" s="1547" t="inlineStr">
        <is>
          <t>Historical net before card fees</t>
        </is>
      </c>
      <c r="B115" s="1332">
        <f>$B$113-$B$114</f>
        <v/>
      </c>
      <c r="C115" s="1289" t="n"/>
      <c r="D115" s="1289" t="n"/>
      <c r="E115" s="1289" t="n"/>
      <c r="F115" s="1289" t="n"/>
      <c r="G115" s="1289" t="n"/>
    </row>
    <row r="116" ht="27.5" customHeight="1" s="254">
      <c r="A116" s="1547" t="inlineStr">
        <is>
          <t>Implied retail price $/kWh</t>
        </is>
      </c>
      <c r="B116" s="1333">
        <f>IFERROR(SUM($C$67:$C$102)/SUM($B$67:$B$102),0)</f>
        <v/>
      </c>
      <c r="C116" s="1309" t="inlineStr">
        <is>
          <t>What drivers actually paid. Compare against the price proposed on the Revenue tab.</t>
        </is>
      </c>
      <c r="E116" s="1289" t="n"/>
      <c r="F116" s="1289" t="n"/>
      <c r="G116" s="1289" t="n"/>
    </row>
    <row r="117" ht="27.5" customHeight="1" s="254">
      <c r="A117" s="1547" t="inlineStr">
        <is>
          <t>Implied delivered cost $/kWh</t>
        </is>
      </c>
      <c r="B117" s="1333">
        <f>IFERROR(SUM($E$67:$E$102)/SUM($B$67:$B$102),0)</f>
        <v/>
      </c>
      <c r="C117" s="1309" t="inlineStr">
        <is>
          <t>What the utility actually charged, all-in. Far better than any tariff estimate.</t>
        </is>
      </c>
      <c r="E117" s="1289" t="n"/>
      <c r="F117" s="1289" t="n"/>
      <c r="G117" s="1289" t="n"/>
    </row>
    <row r="118" ht="27.5" customHeight="1" s="254">
      <c r="A118" s="1547" t="inlineStr">
        <is>
          <t>Average kWh per session</t>
        </is>
      </c>
      <c r="B118" s="1324">
        <f>IFERROR(SUM($B$67:$B$102)/SUM($D$67:$D$102),0)</f>
        <v/>
      </c>
      <c r="C118" s="1309" t="inlineStr">
        <is>
          <t>Typically 25 to 55 kWh on DC. A low figure suggests failed or abandoned sessions.</t>
        </is>
      </c>
      <c r="E118" s="1289" t="n"/>
      <c r="F118" s="1289" t="n"/>
      <c r="G118" s="1289" t="n"/>
    </row>
    <row r="119" ht="27.5" customHeight="1" s="254">
      <c r="A119" s="1547" t="inlineStr">
        <is>
          <t>Average ports working</t>
        </is>
      </c>
      <c r="B119" s="1324">
        <f>IFERROR(AVERAGE($F$67:$F$102),0)</f>
        <v/>
      </c>
      <c r="C119" s="1309" t="inlineStr">
        <is>
          <t>Against the ports installed. The gap between them is the availability the new equipment recovers.</t>
        </is>
      </c>
      <c r="E119" s="1289" t="n"/>
      <c r="F119" s="1289" t="n"/>
      <c r="G119" s="1289" t="n"/>
    </row>
    <row r="120" ht="27.5" customHeight="1" s="254">
      <c r="A120" s="1547" t="inlineStr">
        <is>
          <t>Historical availability</t>
        </is>
      </c>
      <c r="B120" s="1334">
        <f>IFERROR(AVERAGE($F$67:$F$102)/$B$43,0)</f>
        <v/>
      </c>
      <c r="C120" s="1309" t="inlineStr">
        <is>
          <t>Ports working as a share of ports installed. This is the recovery opportunity, quantified.</t>
        </is>
      </c>
      <c r="E120" s="1289" t="n"/>
      <c r="F120" s="1289" t="n"/>
      <c r="G120" s="1289" t="n"/>
    </row>
    <row r="121" ht="15" customHeight="1" s="254">
      <c r="A121" s="1289" t="n"/>
      <c r="B121" s="1289" t="n"/>
      <c r="C121" s="1289" t="n"/>
      <c r="D121" s="1289" t="n"/>
      <c r="E121" s="1289" t="n"/>
      <c r="F121" s="1289" t="n"/>
      <c r="G121" s="1289" t="n"/>
    </row>
    <row r="122" ht="40" customHeight="1" s="254">
      <c r="A122" s="1312"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ht="15" customHeight="1" s="254">
      <c r="A123" s="1289" t="n"/>
      <c r="B123" s="1289" t="n"/>
      <c r="C123" s="1289" t="n"/>
      <c r="D123" s="1289" t="n"/>
      <c r="E123" s="1289" t="n"/>
      <c r="F123" s="1289" t="n"/>
      <c r="G123" s="1289" t="n"/>
    </row>
    <row r="124" ht="29" customHeight="1" s="254">
      <c r="A124" s="1299" t="inlineStr">
        <is>
          <t>F · Port expansion and connector coverage</t>
        </is>
      </c>
      <c r="B124" s="1321">
        <f>IF(OR($B$5="Greenfield — new service",$B$5="Greenfield — add load to existing service"),"— skip: nothing to expand from","— complete this section")</f>
        <v/>
      </c>
      <c r="C124" s="1289" t="n"/>
      <c r="D124" s="1289" t="n"/>
      <c r="E124" s="1289" t="n"/>
      <c r="F124" s="1289" t="n"/>
      <c r="G124" s="1289" t="n"/>
    </row>
    <row r="125" ht="27.5" customHeight="1" s="254">
      <c r="A125" s="1309" t="inlineStr">
        <is>
          <t>What the new equipment adds over the old. Each uplift below is stated separately so it can be challenged individually rather than hidden inside one optimistic growth rate.</t>
        </is>
      </c>
    </row>
    <row r="126" ht="15" customHeight="1" s="254">
      <c r="A126" s="1552" t="inlineStr">
        <is>
          <t>Existing ports</t>
        </is>
      </c>
      <c r="B126" s="1319">
        <f>$B$43</f>
        <v/>
      </c>
      <c r="C126" s="1289" t="n"/>
      <c r="D126" s="1289" t="n"/>
      <c r="E126" s="1289" t="n"/>
      <c r="F126" s="1289" t="n"/>
      <c r="G126" s="1289" t="n"/>
    </row>
    <row r="127" ht="27.5" customHeight="1" s="254">
      <c r="A127" s="1552" t="inlineStr">
        <is>
          <t>New ports</t>
        </is>
      </c>
      <c r="B127" s="1319">
        <f>N(Equipment!B22)</f>
        <v/>
      </c>
      <c r="C127" s="1309" t="inlineStr">
        <is>
          <t>From the Equipment tab. Dual-port cabinets present two positions each.</t>
        </is>
      </c>
      <c r="E127" s="1289" t="n"/>
      <c r="F127" s="1289" t="n"/>
      <c r="G127" s="1289" t="n"/>
    </row>
    <row r="128" ht="27.5" customHeight="1" s="254">
      <c r="A128" s="1547" t="inlineStr">
        <is>
          <t>Port count multiple</t>
        </is>
      </c>
      <c r="B128" s="1335">
        <f>IF(OR($B$43=0,N(Equipment!B22)=0),1,Equipment!B22/$B$43)</f>
        <v/>
      </c>
      <c r="C128" s="1309" t="inlineStr">
        <is>
          <t>More positions means more simultaneous vehicles, not proportionally more energy — see the capture factor below.</t>
        </is>
      </c>
      <c r="E128" s="1289" t="n"/>
      <c r="F128" s="1289" t="n"/>
      <c r="G128" s="1289" t="n"/>
    </row>
    <row r="129" ht="15" customHeight="1" s="254">
      <c r="A129" s="1289" t="n"/>
      <c r="B129" s="1289" t="n"/>
      <c r="C129" s="1289" t="n"/>
      <c r="D129" s="1289" t="n"/>
      <c r="E129" s="1289" t="n"/>
      <c r="F129" s="1289" t="n"/>
      <c r="G129" s="1289" t="n"/>
    </row>
    <row r="130" ht="27.5" customHeight="1" s="254">
      <c r="A130" s="1315" t="inlineStr">
        <is>
          <t>Connector</t>
        </is>
      </c>
      <c r="B130" s="1322" t="inlineStr">
        <is>
          <t>On the existing equipment</t>
        </is>
      </c>
      <c r="C130" s="1315" t="inlineStr">
        <is>
          <t>On the new equipment</t>
        </is>
      </c>
      <c r="D130" s="1315" t="inlineStr">
        <is>
          <t>Share of the California fleet</t>
        </is>
      </c>
      <c r="E130" s="1315" t="n"/>
      <c r="F130" s="1315" t="n"/>
      <c r="G130" s="1315" t="n"/>
    </row>
    <row r="131" ht="15" customHeight="1" s="254">
      <c r="A131" s="1316" t="inlineStr">
        <is>
          <t>NACS / Tesla</t>
        </is>
      </c>
      <c r="B131" s="1553" t="inlineStr">
        <is>
          <t>No</t>
        </is>
      </c>
      <c r="C131" s="1553" t="inlineStr">
        <is>
          <t>Yes</t>
        </is>
      </c>
      <c r="D131" s="1336" t="n">
        <v>0.55</v>
      </c>
      <c r="E131" s="1289" t="n"/>
      <c r="F131" s="1289" t="n"/>
      <c r="G131" s="1289" t="n"/>
    </row>
    <row r="132" ht="15" customHeight="1" s="254">
      <c r="A132" s="1316" t="inlineStr">
        <is>
          <t>CCS1</t>
        </is>
      </c>
      <c r="B132" s="1553" t="inlineStr">
        <is>
          <t>Yes</t>
        </is>
      </c>
      <c r="C132" s="1553" t="inlineStr">
        <is>
          <t>Yes</t>
        </is>
      </c>
      <c r="D132" s="1336" t="n">
        <v>0.4</v>
      </c>
      <c r="E132" s="1289" t="n"/>
      <c r="F132" s="1289" t="n"/>
      <c r="G132" s="1289" t="n"/>
    </row>
    <row r="133" ht="15" customHeight="1" s="254">
      <c r="A133" s="1316" t="inlineStr">
        <is>
          <t>CHAdeMO</t>
        </is>
      </c>
      <c r="B133" s="1553" t="inlineStr">
        <is>
          <t>Yes</t>
        </is>
      </c>
      <c r="C133" s="1553" t="inlineStr">
        <is>
          <t>No</t>
        </is>
      </c>
      <c r="D133" s="1336" t="n">
        <v>0.03</v>
      </c>
      <c r="E133" s="1289" t="n"/>
      <c r="F133" s="1289" t="n"/>
      <c r="G133" s="1289" t="n"/>
    </row>
    <row r="134" ht="15" customHeight="1" s="254">
      <c r="A134" s="1316" t="inlineStr">
        <is>
          <t>J1772 (Level 2)</t>
        </is>
      </c>
      <c r="B134" s="1553" t="inlineStr">
        <is>
          <t>No</t>
        </is>
      </c>
      <c r="C134" s="1553" t="inlineStr">
        <is>
          <t>Yes</t>
        </is>
      </c>
      <c r="D134" s="1336" t="n">
        <v>0.02</v>
      </c>
      <c r="E134" s="1289" t="n"/>
      <c r="F134" s="1289" t="n"/>
      <c r="G134" s="1289" t="n"/>
    </row>
    <row r="135" ht="15" customHeight="1" s="254">
      <c r="A135" s="1289" t="n"/>
      <c r="B135" s="1289" t="n"/>
      <c r="C135" s="1289" t="n"/>
      <c r="D135" s="1289" t="n"/>
      <c r="E135" s="1289" t="n"/>
      <c r="F135" s="1289" t="n"/>
      <c r="G135" s="1289" t="n"/>
    </row>
    <row r="136" ht="27.5" customHeight="1" s="254">
      <c r="A136" s="1309" t="inlineStr">
        <is>
          <t>Enter the share of the local fleet each connector reaches. Tesla vehicles are the largest single population in California, so a site that could not serve them natively was turning away a large share of passing demand.</t>
        </is>
      </c>
    </row>
    <row r="137" ht="15" customHeight="1" s="254">
      <c r="A137" s="1552" t="inlineStr">
        <is>
          <t>Fleet coverage today</t>
        </is>
      </c>
      <c r="B137" s="1337">
        <f>SUMIF($B$131:$B$134,"Yes",$D$131:$D$134)</f>
        <v/>
      </c>
      <c r="C137" s="1309" t="inlineStr">
        <is>
          <t>Share of the fleet the existing connectors serve natively.</t>
        </is>
      </c>
      <c r="E137" s="1289" t="n"/>
      <c r="F137" s="1289" t="n"/>
      <c r="G137" s="1289" t="n"/>
    </row>
    <row r="138" ht="15" customHeight="1" s="254">
      <c r="A138" s="1552" t="inlineStr">
        <is>
          <t>Fleet coverage after replacement</t>
        </is>
      </c>
      <c r="B138" s="1337">
        <f>SUMIF($C$131:$C$134,"Yes",$D$131:$D$134)</f>
        <v/>
      </c>
      <c r="C138" s="1289" t="n"/>
      <c r="D138" s="1289" t="n"/>
      <c r="E138" s="1289" t="n"/>
      <c r="F138" s="1289" t="n"/>
      <c r="G138" s="1289" t="n"/>
    </row>
    <row r="139" ht="27.5" customHeight="1" s="254">
      <c r="A139" s="1547" t="inlineStr">
        <is>
          <t>Coverage multiple</t>
        </is>
      </c>
      <c r="B139" s="1335">
        <f>IFERROR($B$138/$B$137,1)</f>
        <v/>
      </c>
      <c r="C139" s="1309" t="inlineStr">
        <is>
          <t>Adding NACS to a CCS-only site is the single largest addressable-market change available on a replacement project.</t>
        </is>
      </c>
      <c r="E139" s="1289" t="n"/>
      <c r="F139" s="1289" t="n"/>
      <c r="G139" s="1289" t="n"/>
    </row>
    <row r="140" ht="15" customHeight="1" s="254">
      <c r="A140" s="1289" t="n"/>
      <c r="B140" s="1289" t="n"/>
      <c r="C140" s="1289" t="n"/>
      <c r="D140" s="1289" t="n"/>
      <c r="E140" s="1289" t="n"/>
      <c r="F140" s="1289" t="n"/>
      <c r="G140" s="1289" t="n"/>
    </row>
    <row r="141" ht="27.5" customHeight="1" s="254">
      <c r="A141" s="1552" t="inlineStr">
        <is>
          <t>Existing power per position (kW)</t>
        </is>
      </c>
      <c r="B141" s="1338">
        <f>IFERROR(SUMPRODUCT(--($B$33:$B$40&gt;=30),$B$33:$B$40,$E$33:$E$40)/SUMPRODUCT(--($B$33:$B$40&gt;=30),$C$33:$C$40,$E$33:$E$40),0)</f>
        <v/>
      </c>
      <c r="C141" s="1309" t="inlineStr">
        <is>
          <t>DC positions only. Blending Level 2 into this average understates the old power and inflates the uplift.</t>
        </is>
      </c>
      <c r="E141" s="1289" t="n"/>
      <c r="F141" s="1289" t="n"/>
      <c r="G141" s="1289" t="n"/>
    </row>
    <row r="142" ht="15" customHeight="1" s="254">
      <c r="A142" s="1552" t="inlineStr">
        <is>
          <t>New power per position (kW)</t>
        </is>
      </c>
      <c r="B142" s="1338">
        <f>IF(N(Equipment!B22)=0,0,Equipment!B23/Equipment!B22)</f>
        <v/>
      </c>
      <c r="C142" s="1289" t="n"/>
      <c r="D142" s="1289" t="n"/>
      <c r="E142" s="1289" t="n"/>
      <c r="F142" s="1289" t="n"/>
      <c r="G142" s="1289" t="n"/>
    </row>
    <row r="143" ht="40" customHeight="1" s="254">
      <c r="A143" s="1547" t="inlineStr">
        <is>
          <t>Power multiple</t>
        </is>
      </c>
      <c r="B143" s="1335">
        <f>IF(OR($B$141=0,$B$142=0),1,MIN(2,$B$142/$B$141))</f>
        <v/>
      </c>
      <c r="C143" s="1309" t="inlineStr">
        <is>
          <t>Capped at 2.00x. Faster charging frees the stall sooner, but beyond roughly double the constraint stops being how fast the hardware charges and becomes how many vehicles arrive. Raising the cap does not make demand appear.</t>
        </is>
      </c>
    </row>
    <row r="144" ht="15" customHeight="1" s="254">
      <c r="A144" s="1289" t="n"/>
      <c r="B144" s="1289" t="n"/>
      <c r="C144" s="1289" t="n"/>
      <c r="D144" s="1289" t="n"/>
      <c r="E144" s="1289" t="n"/>
      <c r="F144" s="1289" t="n"/>
      <c r="G144" s="1289" t="n"/>
    </row>
    <row r="145" ht="29" customHeight="1" s="254">
      <c r="A145" s="1299" t="inlineStr">
        <is>
          <t>G · Projected baseline — history plus stated uplifts</t>
        </is>
      </c>
      <c r="B145" s="1321">
        <f>IF(OR($B$5="Greenfield — new service",$B$5="Greenfield — add load to existing service"),"— skip: projection is on the Revenue tab","— derived from E and F")</f>
        <v/>
      </c>
      <c r="C145" s="1289" t="n"/>
      <c r="D145" s="1289" t="n"/>
      <c r="E145" s="1289" t="n"/>
      <c r="F145" s="1289" t="n"/>
      <c r="G145" s="1289" t="n"/>
    </row>
    <row r="146" ht="40" customHeight="1" s="254">
      <c r="A146" s="1309"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5" customHeight="1" s="254">
      <c r="A147" s="1552" t="inlineStr">
        <is>
          <t>Historical kWh per year</t>
        </is>
      </c>
      <c r="B147" s="1319">
        <f>$B$112</f>
        <v/>
      </c>
      <c r="C147" s="1320" t="inlineStr">
        <is>
          <t>From section E. The starting point.</t>
        </is>
      </c>
      <c r="D147" s="1289" t="n"/>
      <c r="E147" s="1289" t="n"/>
      <c r="F147" s="1289" t="n"/>
      <c r="G147" s="1289" t="n"/>
    </row>
    <row r="148" ht="15" customHeight="1" s="254">
      <c r="A148" s="1289" t="n"/>
      <c r="B148" s="1289" t="n"/>
      <c r="C148" s="1289" t="n"/>
      <c r="D148" s="1289" t="n"/>
      <c r="E148" s="1289" t="n"/>
      <c r="F148" s="1289" t="n"/>
      <c r="G148" s="1289" t="n"/>
    </row>
    <row r="149" ht="15" customHeight="1" s="254">
      <c r="A149" s="1315" t="inlineStr">
        <is>
          <t>Uplift</t>
        </is>
      </c>
      <c r="B149" s="1315" t="inlineStr">
        <is>
          <t>Theoretical multiple</t>
        </is>
      </c>
      <c r="C149" s="1315" t="inlineStr">
        <is>
          <t>Capture factor</t>
        </is>
      </c>
      <c r="D149" s="1315" t="inlineStr">
        <is>
          <t>Applied multiple</t>
        </is>
      </c>
      <c r="E149" s="1315" t="inlineStr">
        <is>
          <t>Basis</t>
        </is>
      </c>
      <c r="F149" s="1315" t="n"/>
      <c r="G149" s="1315" t="n"/>
    </row>
    <row r="150" ht="65" customHeight="1" s="254">
      <c r="A150" s="1316" t="inlineStr">
        <is>
          <t>Availability recovered</t>
        </is>
      </c>
      <c r="B150" s="1339">
        <f>IFERROR(1/$B$120,1)</f>
        <v/>
      </c>
      <c r="C150" s="1336" t="n">
        <v>0.85</v>
      </c>
      <c r="D150" s="1339">
        <f>1+($B$150-1)*$C$150</f>
        <v/>
      </c>
      <c r="E150" s="1317" t="inlineStr">
        <is>
          <t>Ports that were dark now work. The most defensible uplift on the list — the demand was already there and was turned away.</t>
        </is>
      </c>
      <c r="F150" s="299" t="n"/>
      <c r="G150" s="299" t="n"/>
    </row>
    <row r="151" ht="65" customHeight="1" s="254">
      <c r="A151" s="1316" t="inlineStr">
        <is>
          <t>Ports added</t>
        </is>
      </c>
      <c r="B151" s="1339">
        <f>$B$128</f>
        <v/>
      </c>
      <c r="C151" s="1336" t="n">
        <v>0.4</v>
      </c>
      <c r="D151" s="1339">
        <f>1+($B$151-1)*$C$151</f>
        <v/>
      </c>
      <c r="E151" s="1317" t="inlineStr">
        <is>
          <t>More positions capture more simultaneous arrivals, but a second position does not double demand — it shortens the queue.</t>
        </is>
      </c>
      <c r="F151" s="299" t="n"/>
      <c r="G151" s="299" t="n"/>
    </row>
    <row r="152" ht="65" customHeight="1" s="254">
      <c r="A152" s="1316" t="inlineStr">
        <is>
          <t>Connector coverage widened</t>
        </is>
      </c>
      <c r="B152" s="1339">
        <f>$B$139</f>
        <v/>
      </c>
      <c r="C152" s="1336" t="n">
        <v>0.5</v>
      </c>
      <c r="D152" s="1339">
        <f>1+($B$152-1)*$C$152</f>
        <v/>
      </c>
      <c r="E152" s="1317" t="inlineStr">
        <is>
          <t>Vehicles that could not charge here now can. Capture is below one because some of those drivers were already served nearby.</t>
        </is>
      </c>
      <c r="F152" s="299" t="n"/>
      <c r="G152" s="299" t="n"/>
    </row>
    <row r="153" ht="52.5" customHeight="1" s="254">
      <c r="A153" s="1316" t="inlineStr">
        <is>
          <t>Higher delivered power</t>
        </is>
      </c>
      <c r="B153" s="1339">
        <f>$B$143</f>
        <v/>
      </c>
      <c r="C153" s="1336" t="n">
        <v>0.25</v>
      </c>
      <c r="D153" s="1339">
        <f>1+($B$153-1)*$C$153</f>
        <v/>
      </c>
      <c r="E153" s="1317" t="inlineStr">
        <is>
          <t>Faster sessions free the stall sooner. Only converts to energy where demand is waiting for a stall.</t>
        </is>
      </c>
      <c r="F153" s="299" t="n"/>
      <c r="G153" s="299" t="n"/>
    </row>
    <row r="154" ht="15" customHeight="1" s="254">
      <c r="A154" s="1289" t="n"/>
      <c r="B154" s="1289" t="n"/>
      <c r="C154" s="1289" t="n"/>
      <c r="D154" s="1289" t="n"/>
      <c r="E154" s="1289" t="n"/>
      <c r="F154" s="1289" t="n"/>
      <c r="G154" s="1289" t="n"/>
    </row>
    <row r="155" ht="27.5" customHeight="1" s="254">
      <c r="A155" s="1547" t="inlineStr">
        <is>
          <t>Combined uplift multiple</t>
        </is>
      </c>
      <c r="B155" s="1335">
        <f>$D$150*$D$151*$D$152*$D$153</f>
        <v/>
      </c>
      <c r="C155" s="1309" t="inlineStr">
        <is>
          <t>The four applied multiples compounded. Sense-check it against the site factor on the Revenue tab.</t>
        </is>
      </c>
      <c r="E155" s="1289" t="n"/>
      <c r="F155" s="1289" t="n"/>
      <c r="G155" s="1289" t="n"/>
    </row>
    <row r="156" ht="27.5" customHeight="1" s="254">
      <c r="A156" s="1328" t="inlineStr">
        <is>
          <t>Projected kWh per year at steady state</t>
        </is>
      </c>
      <c r="B156" s="1323">
        <f>$B$147*$B$155</f>
        <v/>
      </c>
      <c r="C156" s="1309" t="inlineStr">
        <is>
          <t>History times the combined uplift. This is what the Revenue tab should use instead of the market benchmark.</t>
        </is>
      </c>
      <c r="E156" s="1289" t="n"/>
      <c r="F156" s="1289" t="n"/>
      <c r="G156" s="1289" t="n"/>
    </row>
    <row r="157" ht="15" customHeight="1" s="254">
      <c r="A157" s="1547" t="inlineStr">
        <is>
          <t>Projected kWh per day</t>
        </is>
      </c>
      <c r="B157" s="1324">
        <f>$B$156/365</f>
        <v/>
      </c>
      <c r="C157" s="1289" t="n"/>
      <c r="D157" s="1289" t="n"/>
      <c r="E157" s="1289" t="n"/>
      <c r="F157" s="1289" t="n"/>
      <c r="G157" s="1289" t="n"/>
    </row>
    <row r="158" ht="15" customHeight="1" s="254">
      <c r="A158" s="1289" t="n"/>
      <c r="B158" s="1289" t="n"/>
      <c r="C158" s="1289" t="n"/>
      <c r="D158" s="1289" t="n"/>
      <c r="E158" s="1289" t="n"/>
      <c r="F158" s="1289" t="n"/>
      <c r="G158" s="1289" t="n"/>
    </row>
    <row r="159" ht="40" customHeight="1" s="254">
      <c r="A159" s="1547" t="inlineStr">
        <is>
          <t>Sanity check against capacity</t>
        </is>
      </c>
      <c r="B159" s="1311">
        <f>IF(OR($B$156=0,N(Equipment!B23)=0),"enter history and the new equipment",IF($B$156/365/(24*Equipment!B23*0.7)&gt;0.35,"TOO HIGH — the projection implies more than 35% port-time utilisation. Reduce a capture factor.","OK — implies "&amp;TEXT($B$156/365/(24*Equipment!B23*0.7),"0.0%")&amp;" port-time utilisation"))</f>
        <v/>
      </c>
      <c r="C159" s="299" t="n"/>
      <c r="D159" s="1309" t="inlineStr">
        <is>
          <t>Stops an optimistic stack of uplifts producing a number the hardware cannot physically deliver.</t>
        </is>
      </c>
      <c r="F159" s="1289" t="n"/>
      <c r="G159" s="1289" t="n"/>
    </row>
    <row r="160" ht="15" customHeight="1" s="254">
      <c r="A160" s="1547" t="inlineStr">
        <is>
          <t>Projection against history</t>
        </is>
      </c>
      <c r="B160" s="1329">
        <f>IF($B$147=0,"enter history",TEXT($B$155,"0.00")&amp;"x the historical run rate — "&amp;TEXT($B$156-$B$147,"+#,##0;-#,##0")&amp;" kWh a year")</f>
        <v/>
      </c>
      <c r="C160" s="299" t="n"/>
      <c r="D160" s="1289" t="n"/>
      <c r="E160" s="1289" t="n"/>
      <c r="F160" s="1289" t="n"/>
      <c r="G160" s="1289" t="n"/>
    </row>
    <row r="161" ht="15" customHeight="1" s="254">
      <c r="A161" s="1289" t="n"/>
      <c r="B161" s="1289" t="n"/>
      <c r="C161" s="1289" t="n"/>
      <c r="D161" s="1289" t="n"/>
      <c r="E161" s="1289" t="n"/>
      <c r="F161" s="1289" t="n"/>
      <c r="G161" s="1289" t="n"/>
    </row>
    <row r="162" ht="15" customHeight="1" s="254">
      <c r="A162" s="1551" t="inlineStr">
        <is>
          <t>Cross-check against the market</t>
        </is>
      </c>
      <c r="B162" s="1289" t="n"/>
      <c r="C162" s="1289" t="n"/>
      <c r="D162" s="1289" t="n"/>
      <c r="E162" s="1289" t="n"/>
      <c r="F162" s="1289" t="n"/>
      <c r="G162" s="1289" t="n"/>
    </row>
    <row r="163" ht="27.5" customHeight="1" s="254">
      <c r="A163" s="1309" t="inlineStr">
        <is>
          <t>The capacity check above asks whether the hardware could physically deliver the projection. This asks whether the market would. Both have to pass, and the market one is usually the binding constraint.</t>
        </is>
      </c>
    </row>
    <row r="164" ht="40" customHeight="1" s="254">
      <c r="A164" s="1552" t="inlineStr">
        <is>
          <t>Implied port-time utilisation</t>
        </is>
      </c>
      <c r="B164" s="1337">
        <f>IF(N(Equipment!$B$26)&gt;0,IF(LEFT(Revenue!$B$59,10)="Historical",N($B$156),N(Revenue!$B$78))/365/(24*Equipment!$B$26*0.7),IF(OR(N(Revenue!$B$107)=0,N(Revenue!$B$108)=0),0,IF(LEFT(Revenue!$B$59,10)="Historical",N($B$156)/365/Revenue!$B$107,Revenue!$B$111)/(24*Revenue!$B$108*Revenue!$B$15)))</f>
        <v/>
      </c>
      <c r="C164" s="1309" t="inlineStr">
        <is>
          <t>Share of the day each position delivers energy, at whichever projection is in force — history where history exists, the greenfield basis otherwise. On a site with DC capacity this is the DC stream; on an all-Level-2 site it is the Level 2 stream, in the same unit.</t>
        </is>
      </c>
    </row>
    <row r="165" ht="52.5" customHeight="1" s="254">
      <c r="A165" s="1552" t="inlineStr">
        <is>
          <t>Benchmark port utilisation</t>
        </is>
      </c>
      <c r="B165" s="1337">
        <f>IF(Revenue!$B$45="",0,IF(N(Equipment!$B$26)&gt;0,IFERROR(INDEX(BM_UTIL,MATCH(Revenue!$B$45,BM_STATE,0)),0),IF(N(Revenue!$B$108)*N(Revenue!$B$15)=0,0,IFERROR(INDEX(BM_L2_KWH,MATCH(Revenue!$B$45,BM_L2_STATE,0)),0)/(24*Revenue!$B$108*Revenue!$B$15))))</f>
        <v/>
      </c>
      <c r="C165" s="1300"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row>
    <row r="166" ht="27.5" customHeight="1" s="254">
      <c r="A166" s="1294" t="inlineStr">
        <is>
          <t>Projection as a share of the state average</t>
        </is>
      </c>
      <c r="B166" s="1337">
        <f>IF(N($B$165)=0,0,N($B$164)/N($B$165))</f>
        <v/>
      </c>
      <c r="C166" s="1309" t="inlineStr">
        <is>
          <t>Above 100% means the projection assumes this site beats the average Californian port.</t>
        </is>
      </c>
      <c r="E166" s="1289" t="n"/>
      <c r="F166" s="1289" t="n"/>
      <c r="G166" s="1289" t="n"/>
    </row>
    <row r="167" ht="65" customHeight="1" s="254">
      <c r="A167" s="1547" t="inlineStr">
        <is>
          <t>Market plausibility</t>
        </is>
      </c>
      <c r="B167" s="1311">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1309" t="inlineStr">
        <is>
          <t>A replacement can transform a site, but it cannot make it beat the market by a wide margin without a reason a reader can check. Tested against the DC benchmark on a DC site and the Level 2 benchmark on an all-Level-2 site.</t>
        </is>
      </c>
      <c r="G167" s="1289" t="n"/>
    </row>
    <row r="168" ht="15" customHeight="1" s="254">
      <c r="A168" s="1289" t="inlineStr">
        <is>
          <t>Market the benchmark is for</t>
        </is>
      </c>
      <c r="B168" s="1310">
        <f>IF(Revenue!$B$45="","NO MARKET CHOSEN — set it on the Revenue tab",Revenue!$B$45)</f>
        <v/>
      </c>
      <c r="C168" s="1300" t="inlineStr">
        <is>
          <t>Reads the Revenue tab. It is not a second place to type a market.</t>
        </is>
      </c>
      <c r="E168" s="1289" t="n"/>
      <c r="F168" s="1289" t="n"/>
      <c r="G168" s="1289" t="n"/>
    </row>
    <row r="169" ht="40" customHeight="1" s="254">
      <c r="A169" s="1312"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ht="15" customHeight="1" s="254">
      <c r="A170" s="1289" t="n"/>
      <c r="B170" s="1289" t="n"/>
      <c r="C170" s="1289" t="n"/>
      <c r="D170" s="1289" t="n"/>
      <c r="E170" s="1289" t="n"/>
      <c r="F170" s="1289" t="n"/>
      <c r="G170" s="1289" t="n"/>
    </row>
    <row r="171" ht="29" customHeight="1" s="254">
      <c r="A171" s="1299" t="inlineStr">
        <is>
          <t>H · Removal, disposal and site protection</t>
        </is>
      </c>
      <c r="B171" s="1321">
        <f>IF(OR($B$5="Greenfield — new service",$B$5="Greenfield — add load to existing service"),"— skip: nothing to remove","— complete this section")</f>
        <v/>
      </c>
      <c r="C171" s="1289" t="n"/>
      <c r="D171" s="1289" t="n"/>
      <c r="E171" s="1289" t="n"/>
      <c r="F171" s="1289" t="n"/>
      <c r="G171" s="1289" t="n"/>
    </row>
    <row r="172" ht="15" customHeight="1" s="254">
      <c r="A172" s="1309" t="inlineStr">
        <is>
          <t>What it costs to take the old installation out. This is real scope on a replacement project and zero on a greenfield one.</t>
        </is>
      </c>
    </row>
    <row r="173" ht="15" customHeight="1" s="254">
      <c r="A173" s="1315" t="inlineStr">
        <is>
          <t>Item</t>
        </is>
      </c>
      <c r="B173" s="1315" t="inlineStr">
        <is>
          <t>Quantity</t>
        </is>
      </c>
      <c r="C173" s="1315" t="inlineStr">
        <is>
          <t>Note</t>
        </is>
      </c>
      <c r="D173" s="1315" t="n"/>
      <c r="E173" s="1315" t="n"/>
      <c r="F173" s="1315" t="n"/>
      <c r="G173" s="1315" t="n"/>
    </row>
    <row r="174" ht="27.5" customHeight="1" s="254">
      <c r="A174" s="1318" t="inlineStr">
        <is>
          <t>Cabinets to disconnect and remove (ea)</t>
        </is>
      </c>
      <c r="B174" s="1305" t="n">
        <v>4</v>
      </c>
      <c r="C174" s="1318" t="inlineStr">
        <is>
          <t>Includes de-energising, lockout and terminations</t>
        </is>
      </c>
      <c r="D174" s="1289" t="n"/>
      <c r="E174" s="1289" t="n"/>
      <c r="F174" s="1289" t="n"/>
      <c r="G174" s="1289" t="n"/>
    </row>
    <row r="175" ht="15" customHeight="1" s="254">
      <c r="A175" s="1316" t="inlineStr">
        <is>
          <t>Concrete pads to break out (ea)</t>
        </is>
      </c>
      <c r="B175" s="1305" t="n">
        <v>4</v>
      </c>
      <c r="C175" s="1316" t="inlineStr">
        <is>
          <t>Saw-cut, break, remove and dispose</t>
        </is>
      </c>
      <c r="D175" s="1289" t="n"/>
      <c r="E175" s="1289" t="n"/>
      <c r="F175" s="1289" t="n"/>
      <c r="G175" s="1289" t="n"/>
    </row>
    <row r="176" ht="15" customHeight="1" s="254">
      <c r="A176" s="1316" t="inlineStr">
        <is>
          <t>Bollards to remove (ea)</t>
        </is>
      </c>
      <c r="B176" s="1305" t="n">
        <v>8</v>
      </c>
      <c r="C176" s="1316" t="n"/>
      <c r="D176" s="1289" t="n"/>
      <c r="E176" s="1289" t="n"/>
      <c r="F176" s="1289" t="n"/>
      <c r="G176" s="1289" t="n"/>
    </row>
    <row r="177" ht="15" customHeight="1" s="254">
      <c r="A177" s="1316" t="inlineStr">
        <is>
          <t>Signage to remove (ea)</t>
        </is>
      </c>
      <c r="B177" s="1305" t="n">
        <v>4</v>
      </c>
      <c r="C177" s="1316" t="n"/>
      <c r="D177" s="1289" t="n"/>
      <c r="E177" s="1289" t="n"/>
      <c r="F177" s="1289" t="n"/>
      <c r="G177" s="1289" t="n"/>
    </row>
    <row r="178" ht="27.5" customHeight="1" s="254">
      <c r="A178" s="1316" t="inlineStr">
        <is>
          <t>Disposal loads (ea)</t>
        </is>
      </c>
      <c r="B178" s="1305" t="n">
        <v>2</v>
      </c>
      <c r="C178" s="1318" t="inlineStr">
        <is>
          <t>Concrete and steel to a licensed facility</t>
        </is>
      </c>
      <c r="D178" s="1289" t="n"/>
      <c r="E178" s="1289" t="n"/>
      <c r="F178" s="1289" t="n"/>
      <c r="G178" s="1289" t="n"/>
    </row>
    <row r="179" ht="15" customHeight="1" s="254">
      <c r="A179" s="1316" t="inlineStr">
        <is>
          <t>Equipment recycling or resale?</t>
        </is>
      </c>
      <c r="B179" s="1553" t="inlineStr">
        <is>
          <t>Yes</t>
        </is>
      </c>
      <c r="C179" s="1318" t="inlineStr">
        <is>
          <t>Working units may carry salvage value</t>
        </is>
      </c>
      <c r="D179" s="1289" t="n"/>
      <c r="E179" s="1289" t="n"/>
      <c r="F179" s="1289" t="n"/>
      <c r="G179" s="1289" t="n"/>
    </row>
    <row r="180" ht="15" customHeight="1" s="254">
      <c r="A180" s="1316" t="inlineStr">
        <is>
          <t>Hazardous material identified?</t>
        </is>
      </c>
      <c r="B180" s="1553" t="inlineStr">
        <is>
          <t>No</t>
        </is>
      </c>
      <c r="C180" s="1317" t="inlineStr">
        <is>
          <t>Older units may contain fluids requiring special handling</t>
        </is>
      </c>
      <c r="D180" s="299" t="n"/>
      <c r="E180" s="1289" t="n"/>
      <c r="F180" s="1289" t="n"/>
      <c r="G180" s="1289" t="n"/>
    </row>
    <row r="181" ht="27.5" customHeight="1" s="254">
      <c r="A181" s="1318" t="inlineStr">
        <is>
          <t>Temporary charging required during works?</t>
        </is>
      </c>
      <c r="B181" s="1553" t="inlineStr">
        <is>
          <t>No</t>
        </is>
      </c>
      <c r="C181" s="1317" t="inlineStr">
        <is>
          <t>If the site cannot go dark, this is a separate cost</t>
        </is>
      </c>
      <c r="D181" s="299" t="n"/>
      <c r="E181" s="299" t="n"/>
      <c r="F181" s="299" t="n"/>
      <c r="G181" s="299" t="n"/>
    </row>
    <row r="182" ht="27.5" customHeight="1" s="254">
      <c r="A182" s="1318" t="inlineStr">
        <is>
          <t>Site protection and traffic control (days)</t>
        </is>
      </c>
      <c r="B182" s="1305" t="n">
        <v>5</v>
      </c>
      <c r="C182" s="1317" t="inlineStr">
        <is>
          <t>Barriers, cones and signage around a live customer lot</t>
        </is>
      </c>
      <c r="D182" s="299" t="n"/>
      <c r="E182" s="299" t="n"/>
      <c r="F182" s="299" t="n"/>
      <c r="G182" s="299" t="n"/>
    </row>
    <row r="183" ht="15" customHeight="1" s="254">
      <c r="A183" s="1289" t="n"/>
      <c r="B183" s="1289" t="n"/>
      <c r="C183" s="1289" t="n"/>
      <c r="D183" s="1289" t="n"/>
      <c r="E183" s="1289" t="n"/>
      <c r="F183" s="1289" t="n"/>
      <c r="G183" s="1289" t="n"/>
    </row>
    <row r="184" ht="27.5" customHeight="1" s="254">
      <c r="A184" s="1552" t="inlineStr">
        <is>
          <t>•</t>
        </is>
      </c>
      <c r="B184" s="1265" t="inlineStr">
        <is>
          <t>Removal, disposal and pad replacement are entered on the Construction tab as quantities like any other construction line. This section is where the quantities come from.</t>
        </is>
      </c>
    </row>
    <row r="185" ht="27.5" customHeight="1" s="254">
      <c r="A185" s="1552" t="inlineStr">
        <is>
          <t>•</t>
        </is>
      </c>
      <c r="B185" s="1265" t="inlineStr">
        <is>
          <t>A site that must keep charging during the works needs a phased programme and possibly temporary units. That is not in the standard scope and should be priced separately.</t>
        </is>
      </c>
    </row>
    <row r="186" ht="27.5" customHeight="1" s="254">
      <c r="A186" s="1552" t="inlineStr">
        <is>
          <t>•</t>
        </is>
      </c>
      <c r="B186" s="1265" t="inlineStr">
        <is>
          <t>Working units removed from service can carry salvage value. Where the client wants that credited, it belongs on the Overrides tab as an override, not buried in the construction estimate.</t>
        </is>
      </c>
    </row>
    <row r="187" ht="15" customHeight="1" s="254">
      <c r="A187" s="1289" t="n"/>
      <c r="B187" s="1289" t="n"/>
      <c r="C187" s="1289" t="n"/>
      <c r="D187" s="1289" t="n"/>
      <c r="E187" s="1289" t="n"/>
      <c r="F187" s="1289" t="n"/>
      <c r="G187" s="1289" t="n"/>
    </row>
    <row r="188" ht="42.5" customHeight="1" s="254">
      <c r="A188" s="1299" t="inlineStr">
        <is>
          <t>I · Capacity of the existing service — add-load and replacement projects</t>
        </is>
      </c>
      <c r="B188" s="1321">
        <f>IF($B$5&lt;&gt;"Greenfield — new service","— complete this section","— skip: new service")</f>
        <v/>
      </c>
      <c r="C188" s="1289" t="n"/>
      <c r="D188" s="1289" t="n"/>
      <c r="E188" s="1289" t="n"/>
      <c r="F188" s="1289" t="n"/>
      <c r="G188" s="1289" t="n"/>
    </row>
    <row r="189" ht="52.5" customHeight="1" s="254">
      <c r="A189" s="1309" t="inlineStr">
        <is>
          <t>The one question this tab has to answer for a site that keeps its service: does the existing service and switchgear carry the new load? Three ways to answer it, in order of strength. (1) The highest fifteen-minute demand on the last twelve months of utility interval data or bills — NEC 220.87 lets the existing load be taken at 125% of that figure. (2) The spare capacity the engineer or the utility states for the gear. (3) The service size alone, which only works when the service serves nothing else. The verdict names the basis it used, so a reader knows how much to trust it.</t>
        </is>
      </c>
    </row>
    <row r="190" ht="27.5" customHeight="1" s="254">
      <c r="A190" s="1552" t="inlineStr">
        <is>
          <t>New load to be added (kW)</t>
        </is>
      </c>
      <c r="B190" s="1340">
        <f>N(Electrical!$B$107)</f>
        <v/>
      </c>
      <c r="C190" s="1309" t="inlineStr">
        <is>
          <t>From the Electrical tab: full nameplate from the equipment schedule, or the managed cap when load management is proposed.</t>
        </is>
      </c>
    </row>
    <row r="191" ht="27.5" customHeight="1" s="254">
      <c r="A191" s="1552" t="inlineStr">
        <is>
          <t>New load at 125% (A)</t>
        </is>
      </c>
      <c r="B191" s="1319">
        <f>IF(OR(N($B$190)=0,NOT(ISNUMBER($B$51))),0,$B$190*1000/($B$51*SQRT(3))*1.25)</f>
        <v/>
      </c>
      <c r="C191" s="1309" t="inlineStr">
        <is>
          <t>kW × 1000 ÷ (V × √3) × 1.25 — the continuous-load rule. This is what the existing service has to have free.</t>
        </is>
      </c>
    </row>
    <row r="192" ht="40" customHeight="1" s="254">
      <c r="A192" s="1294" t="inlineStr">
        <is>
          <t>Existing peak demand, last 12 months (kW)</t>
        </is>
      </c>
      <c r="B192" s="1305" t="n">
        <v>320</v>
      </c>
      <c r="C192" s="1309" t="inlineStr">
        <is>
          <t>Highest fifteen-minute demand on the utility interval data or bills for the last twelve months (NEC 220.87). The strongest basis there is. Leave blank if you do not have it — the row below then falls back to the spare capacity on row 52.</t>
        </is>
      </c>
    </row>
    <row r="193" ht="27.5" customHeight="1" s="254">
      <c r="A193" s="1552" t="inlineStr">
        <is>
          <t>Existing peak demand at 125% (A)</t>
        </is>
      </c>
      <c r="B193" s="1319">
        <f>IF(OR(NOT(ISNUMBER($B$192)),NOT(ISNUMBER($B$51))),0,$B$192*1000/($B$51*SQRT(3))*1.25)</f>
        <v/>
      </c>
      <c r="C193" s="1309" t="inlineStr">
        <is>
          <t>What the code takes the existing load to be. Service headroom is the service size less this figure.</t>
        </is>
      </c>
    </row>
    <row r="194" ht="27.5" customHeight="1" s="254">
      <c r="A194" s="1552" t="inlineStr">
        <is>
          <t>Load basis in force</t>
        </is>
      </c>
      <c r="B194" s="1310">
        <f>IF(ISNUMBER($B$192),"NEC 220.87 — measured peak demand",IF(ISNUMBER($B$52),"Spare capacity stated on row 52",IF(ISNUMBER($B$50),"Service size only — no existing-load data","no basis yet")))</f>
        <v/>
      </c>
      <c r="C194" s="1309" t="inlineStr">
        <is>
          <t>Which of the three answers the verdict rests on. Measured demand beats a stated figure; a stated figure beats the service size.</t>
        </is>
      </c>
    </row>
    <row r="195" ht="27.5" customHeight="1" s="254">
      <c r="A195" s="1294" t="inlineStr">
        <is>
          <t>Capacity available for the new load (A)</t>
        </is>
      </c>
      <c r="B195" s="1319">
        <f>IF(NOT(ISNUMBER($B$51)),0,IF(ISNUMBER($B$192),MAX(0,N($B$50)-$B$193),IF(ISNUMBER($B$52),$B$52+IF(AND(NOT(OR($B$5="Greenfield — new service",$B$5="Greenfield — add load to existing service")),$B$44&gt;0),$B$44*1000/($B$51*SQRT(3)),0),N($B$50))))</f>
        <v/>
      </c>
      <c r="C195" s="1309" t="inlineStr">
        <is>
          <t>Service size less the existing demand at 125%; or the stated spare capacity plus, on a replacement, the current the removed chargers give back; or the bare service size.</t>
        </is>
      </c>
    </row>
    <row r="196" ht="27.5" customHeight="1" s="254">
      <c r="A196" s="1294" t="inlineStr">
        <is>
          <t>Space on the existing gear for the new feeder?</t>
        </is>
      </c>
      <c r="B196" s="1553" t="inlineStr">
        <is>
          <t>Yes</t>
        </is>
      </c>
      <c r="C196" s="1309" t="inlineStr">
        <is>
          <t>A spare main-section breaker, a spare section or a tap position to land the new feeder. If there is none, a section extension or a tap box goes on the Electrical distribution schedule.</t>
        </is>
      </c>
    </row>
    <row r="197" ht="40" customHeight="1" s="254">
      <c r="A197" s="1294" t="inlineStr">
        <is>
          <t>Utility notified of the added load?</t>
        </is>
      </c>
      <c r="B197" s="1553" t="inlineStr">
        <is>
          <t>Yes</t>
        </is>
      </c>
      <c r="C197" s="1309" t="inlineStr">
        <is>
          <t>Adding load to an existing service is still an application with most utilities (an added-load or increase-in-load request above a threshold), even when no new service is built. Record the application in Electrical section F.</t>
        </is>
      </c>
    </row>
    <row r="198" ht="40" customHeight="1" s="254">
      <c r="A198" s="1547" t="inlineStr">
        <is>
          <t>Service verdict</t>
        </is>
      </c>
      <c r="B198" s="1311">
        <f>IF($B$5="Greenfield — new service","n/a — greenfield, there is no existing service",IF(N($B$191)=0,"enter the new equipment and the existing service voltage",IF($B$194="no basis yet","enter the existing service size, its spare capacity or its peak demand",IF($B$191&lt;=$B$195,"OK — "&amp;TEXT($B$195,"#,##0")&amp;" A available against "&amp;TEXT($B$191,"#,##0")&amp;" A the new load needs at 125% ("&amp;$B$194&amp;")","UPGRADE NEEDED — "&amp;TEXT($B$191,"#,##0")&amp;" A required against "&amp;TEXT($B$195,"#,##0")&amp;" A available ("&amp;$B$194&amp;")"))))</f>
        <v/>
      </c>
      <c r="C198" s="299" t="n"/>
      <c r="D198" s="1300" t="inlineStr">
        <is>
          <t>Row 60 reads this. UPGRADE NEEDED means a new or enlarged service: change the project type or the register, and price the service as greenfield electrical.</t>
        </is>
      </c>
    </row>
    <row r="199" ht="52.5" customHeight="1" s="254">
      <c r="A199" s="1547" t="inlineStr">
        <is>
          <t>Switchgear frame verdict</t>
        </is>
      </c>
      <c r="B199" s="1311">
        <f>IF($B$5="Greenfield — new service","n/a — greenfield, there is no existing gear",IF(NOT(ISNUMBER($B$53)),"enter the existing frame as a NUMBER",IF(N($B$191)=0,"enter the new equipment",IF(ISNUMBER($B$192),IF($B$53&gt;=$B$193+$B$191,"OK — the "&amp;TEXT($B$53,"#,##0")&amp;" A frame carries the existing demand plus the new load at 125%","UNDERSIZED — "&amp;TEXT($B$193+$B$191,"#,##0")&amp;" A on a "&amp;TEXT($B$53,"#,##0")&amp;" A frame"),IF($B$53&gt;=$B$191+IF(ISNUMBER($B$52),MAX(0,N($B$50)-$B$52),0),"OK — existing frame is adequate for the new load"&amp;IF(ISNUMBER($B$52)," on top of the load already on it",""),"UNDERSIZED — the existing frame does not cover the new load at 125%")))))</f>
        <v/>
      </c>
      <c r="C199" s="299" t="n"/>
      <c r="D199" s="1300" t="inlineStr">
        <is>
          <t>Row 61 reads this, and so does the engine. With measured demand the frame must carry existing demand plus the new load; with spare capacity it must carry the load already on it plus the new load.</t>
        </is>
      </c>
    </row>
    <row r="200" ht="27.5" customHeight="1" s="254">
      <c r="A200" s="1328" t="inlineStr">
        <is>
          <t>Consistent with the Electrical and Project tabs?</t>
        </is>
      </c>
      <c r="B200" s="1311">
        <f>IF($B$5="Greenfield — new service","n/a — greenfield",IF(AND(ISNUMBER(SEARCH("Existing",Electrical!$B$118)),N(Electrical!$B$119)=N($B$52),Electrical!$B$155="Added load to existing service",OR($B$14&lt;&gt;"RETAIN",LEFT(Electrical!$B$125,8)="Existing"),N(Project!$B$28)=N($B$50)),"OK — point of connection, spare capacity, service type, feeder and service size agree across the tabs","CHECK — the Electrical tab should read: point of connection Existing MSB, spare capacity "&amp;TEXT(N($B$52),"#,##0")&amp;" A, service type Added load to existing service"&amp;IF($B$14="RETAIN",", feeder Existing — retained","")&amp;"; the Project tab service size should be "&amp;TEXT(N($B$50),"#,##0")&amp;" A"))</f>
        <v/>
      </c>
      <c r="C200" s="299" t="n"/>
      <c r="D200" s="1300" t="inlineStr">
        <is>
          <t>The same facts are entered on three tabs. This row says whether they agree; it does not fix them.</t>
        </is>
      </c>
    </row>
    <row r="201" ht="27.5" customHeight="1" s="254">
      <c r="A201" s="1547" t="inlineStr">
        <is>
          <t>Ready for the engine?</t>
        </is>
      </c>
      <c r="B201" s="1311">
        <f>IF($B$5="Greenfield — new service","n/a — greenfield, the service is priced new",IF(AND(LEFT($B$198,2)="OK",LEFT($B$199,2)="OK",LEFT($B$200,2)="OK"),"OK — the existing service and switchgear carry the added load and the tabs agree","NOT YET — "&amp;IF(LEFT($B$198,2)&lt;&gt;"OK","service: "&amp;$B$198&amp;"; ","")&amp;IF(LEFT($B$199,2)&lt;&gt;"OK","frame: "&amp;$B$199&amp;"; ","")&amp;IF(LEFT($B$200,2)&lt;&gt;"OK","tabs: "&amp;$B$200,"")))</f>
        <v/>
      </c>
      <c r="C201" s="299" t="n"/>
      <c r="D201" s="1300" t="inlineStr">
        <is>
          <t>One line for the reviewer. OK here means the electrical scope can be priced from the existing switchgear inward.</t>
        </is>
      </c>
    </row>
  </sheetData>
  <sheetProtection selectLockedCells="0" selectUnlockedCells="0" sheet="1" objects="0" insertRows="1" insertHyperlinks="1" autoFilter="1" scenarios="0" formatColumns="0" deleteColumns="1" insertColumns="1" pivotTables="1" deleteRows="1" formatCells="0" formatRows="0" sort="1"/>
  <mergeCells count="92">
    <mergeCell ref="C6:D6"/>
    <mergeCell ref="D201:G201"/>
    <mergeCell ref="C5:G5"/>
    <mergeCell ref="C116:D116"/>
    <mergeCell ref="C54:D54"/>
    <mergeCell ref="C47:G47"/>
    <mergeCell ref="D60:G60"/>
    <mergeCell ref="B61:C61"/>
    <mergeCell ref="C193:G193"/>
    <mergeCell ref="A11:G11"/>
    <mergeCell ref="C56:D56"/>
    <mergeCell ref="A169:G169"/>
    <mergeCell ref="C192:G192"/>
    <mergeCell ref="C120:D120"/>
    <mergeCell ref="D62:E62"/>
    <mergeCell ref="C119:D119"/>
    <mergeCell ref="C194:G194"/>
    <mergeCell ref="C17:D17"/>
    <mergeCell ref="C181:G181"/>
    <mergeCell ref="E151:G151"/>
    <mergeCell ref="A136:G136"/>
    <mergeCell ref="C165:G165"/>
    <mergeCell ref="C19:D19"/>
    <mergeCell ref="C111:D111"/>
    <mergeCell ref="B200:C200"/>
    <mergeCell ref="C45:D45"/>
    <mergeCell ref="C14:D14"/>
    <mergeCell ref="C196:G196"/>
    <mergeCell ref="C143:G143"/>
    <mergeCell ref="C137:D137"/>
    <mergeCell ref="C22:G22"/>
    <mergeCell ref="A49:G49"/>
    <mergeCell ref="A1:G1"/>
    <mergeCell ref="C139:D139"/>
    <mergeCell ref="C182:G182"/>
    <mergeCell ref="C51:G51"/>
    <mergeCell ref="A65:G65"/>
    <mergeCell ref="D198:G198"/>
    <mergeCell ref="C8:D8"/>
    <mergeCell ref="D61:G61"/>
    <mergeCell ref="B160:C160"/>
    <mergeCell ref="C155:D155"/>
    <mergeCell ref="C18:D18"/>
    <mergeCell ref="E153:G153"/>
    <mergeCell ref="C166:D166"/>
    <mergeCell ref="C195:G195"/>
    <mergeCell ref="B199:C199"/>
    <mergeCell ref="C58:D58"/>
    <mergeCell ref="C141:D141"/>
    <mergeCell ref="C128:D128"/>
    <mergeCell ref="C197:G197"/>
    <mergeCell ref="C44:D44"/>
    <mergeCell ref="B60:C60"/>
    <mergeCell ref="C127:D127"/>
    <mergeCell ref="A146:G146"/>
    <mergeCell ref="B28:C28"/>
    <mergeCell ref="D28:E28"/>
    <mergeCell ref="A172:G172"/>
    <mergeCell ref="C23:D23"/>
    <mergeCell ref="B185:G185"/>
    <mergeCell ref="C7:D7"/>
    <mergeCell ref="A189:G189"/>
    <mergeCell ref="B184:G184"/>
    <mergeCell ref="B198:C198"/>
    <mergeCell ref="A2:G2"/>
    <mergeCell ref="B62:C62"/>
    <mergeCell ref="A122:G122"/>
    <mergeCell ref="C104:D104"/>
    <mergeCell ref="C156:D156"/>
    <mergeCell ref="B159:C159"/>
    <mergeCell ref="C191:G191"/>
    <mergeCell ref="A125:G125"/>
    <mergeCell ref="D159:E159"/>
    <mergeCell ref="B167:C167"/>
    <mergeCell ref="C16:D16"/>
    <mergeCell ref="A31:G31"/>
    <mergeCell ref="B186:G186"/>
    <mergeCell ref="C117:D117"/>
    <mergeCell ref="C168:D168"/>
    <mergeCell ref="D167:F167"/>
    <mergeCell ref="C164:G164"/>
    <mergeCell ref="C180:D180"/>
    <mergeCell ref="C118:D118"/>
    <mergeCell ref="D199:G199"/>
    <mergeCell ref="C52:D52"/>
    <mergeCell ref="B201:C201"/>
    <mergeCell ref="E150:G150"/>
    <mergeCell ref="D200:G200"/>
    <mergeCell ref="A163:G163"/>
    <mergeCell ref="C190:G190"/>
    <mergeCell ref="C13:D13"/>
    <mergeCell ref="E152:G152"/>
  </mergeCells>
  <dataValidations count="11">
    <dataValidation sqref="B5" showDropDown="0" showInputMessage="0" showErrorMessage="0" allowBlank="1" promptTitle="Choose one" prompt="Pick from the list" type="list" errorStyle="stop" operator="between">
      <formula1>"Greenfield — new service,Greenfield — add load to existing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 sqref="B196" showDropDown="0" showInputMessage="0" showErrorMessage="0" allowBlank="1" type="list">
      <formula1>"Yes,No,Unknown"</formula1>
    </dataValidation>
    <dataValidation sqref="B197" showDropDown="0" showInputMessage="0" showErrorMessage="0" allowBlank="1" type="list">
      <formula1>"Yes,No,Not required,Unknown"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7.xml><?xml version="1.0" encoding="utf-8"?>
<worksheet xmlns="http://schemas.openxmlformats.org/spreadsheetml/2006/main">
  <sheetPr filterMode="0">
    <tabColor rgb="006B4C9A"/>
    <outlinePr summaryBelow="0" summaryRight="1"/>
    <pageSetUpPr fitToPage="1"/>
  </sheetPr>
  <dimension ref="A1:V55"/>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bottomLeft" activeCell="A7" sqref="A7"/>
    </sheetView>
  </sheetViews>
  <sheetFormatPr baseColWidth="8" defaultColWidth="8.66796875" defaultRowHeight="14.25" zeroHeight="0" outlineLevelRow="1"/>
  <cols>
    <col width="36" customWidth="1" style="253" min="1" max="1"/>
    <col width="16" customWidth="1" style="253" min="2" max="2"/>
    <col width="24" customWidth="1" style="254" min="3" max="3"/>
    <col width="44" customWidth="1" style="253" min="4" max="4"/>
    <col width="14" customWidth="1" style="254" min="5" max="5"/>
    <col width="14" customWidth="1" style="253" min="6" max="6"/>
    <col width="16" customWidth="1" style="254" min="7" max="7"/>
    <col width="16" customWidth="1" style="253" min="8" max="8"/>
    <col width="12" customWidth="1" style="253" min="9" max="9"/>
    <col width="16" customWidth="1" style="253" min="10" max="11"/>
    <col width="24" customWidth="1" style="253" min="12" max="12"/>
    <col width="14" customWidth="1" style="253" min="13" max="13"/>
    <col width="14" customWidth="1" style="254" min="14" max="14"/>
    <col width="14" customWidth="1" style="253" min="15" max="15"/>
    <col width="16" customWidth="1" style="253" min="16" max="16"/>
    <col width="13" customWidth="1" style="254" min="17" max="22"/>
  </cols>
  <sheetData>
    <row r="1" ht="15" customHeight="1" s="254">
      <c r="A1" s="1543" t="inlineStr">
        <is>
          <t>2 · EQUIPMENT SCHEDULE</t>
        </is>
      </c>
      <c r="I1" s="1289" t="n"/>
      <c r="J1" s="1289" t="n"/>
      <c r="K1" s="1289" t="n"/>
      <c r="L1" s="1289" t="n"/>
      <c r="M1" s="1289" t="n"/>
      <c r="N1" s="1289" t="n"/>
      <c r="O1" s="1289" t="n"/>
      <c r="P1" s="1289" t="n"/>
      <c r="Q1" s="1289" t="n"/>
      <c r="R1" s="1289" t="n"/>
      <c r="S1" s="1289" t="n"/>
      <c r="T1" s="1289" t="n"/>
      <c r="U1" s="1289" t="n"/>
      <c r="V1" s="1289" t="n"/>
    </row>
    <row r="2" ht="15" customHeight="1" s="254">
      <c r="A2" s="1288" t="inlineStr">
        <is>
          <t>Pick the CAPACITY first, then the SKU. A distributed system is TWO kinds of line: the power cabinet, and each dispenser it feeds.</t>
        </is>
      </c>
      <c r="I2" s="1289" t="n"/>
      <c r="J2" s="1289" t="n"/>
      <c r="K2" s="1289" t="n"/>
      <c r="L2" s="1289" t="n"/>
      <c r="M2" s="1289" t="n"/>
      <c r="N2" s="1289" t="n"/>
      <c r="O2" s="1289" t="n"/>
      <c r="P2" s="1289" t="n"/>
      <c r="Q2" s="1289" t="n"/>
      <c r="R2" s="1289" t="n"/>
      <c r="S2" s="1289" t="n"/>
      <c r="T2" s="1289" t="n"/>
      <c r="U2" s="1289" t="n"/>
      <c r="V2" s="1289" t="n"/>
    </row>
    <row r="3" ht="15" customHeight="1" s="254">
      <c r="A3" s="1289" t="n"/>
      <c r="B3" s="1289" t="n"/>
      <c r="C3" s="1289" t="n"/>
      <c r="D3" s="1289" t="n"/>
      <c r="E3" s="1289" t="n"/>
      <c r="F3" s="1289" t="n"/>
      <c r="G3" s="1289" t="n"/>
      <c r="H3" s="1289" t="n"/>
      <c r="I3" s="1289" t="n"/>
      <c r="J3" s="1289" t="n"/>
      <c r="K3" s="1289" t="n"/>
      <c r="L3" s="1289" t="n"/>
      <c r="M3" s="1289" t="n"/>
      <c r="N3" s="1289" t="n"/>
      <c r="O3" s="1289" t="n"/>
      <c r="P3" s="1289" t="n"/>
      <c r="Q3" s="1289" t="n"/>
      <c r="R3" s="1289" t="n"/>
      <c r="S3" s="1289" t="n"/>
      <c r="T3" s="1289" t="n"/>
      <c r="U3" s="1289" t="n"/>
      <c r="V3" s="1289" t="n"/>
    </row>
    <row r="4" ht="15" customHeight="1" s="254">
      <c r="A4" s="1288" t="inlineStr">
        <is>
          <t>Enter one row per SKU. Qty is the number of CABINETS, not ports. Columns Q-V are auto: they number the units and dispensers so the Electrical tab can list every run for you.</t>
        </is>
      </c>
      <c r="I4" s="1289" t="n"/>
      <c r="J4" s="1289" t="n"/>
      <c r="K4" s="1289" t="n"/>
      <c r="L4" s="1289" t="n"/>
      <c r="M4" s="1289" t="n"/>
      <c r="N4" s="1289" t="n"/>
      <c r="O4" s="1289" t="n"/>
      <c r="P4" s="1289" t="n"/>
      <c r="Q4" s="1289" t="n"/>
      <c r="R4" s="1289" t="n"/>
      <c r="S4" s="1289" t="n"/>
      <c r="T4" s="1289" t="n"/>
      <c r="U4" s="1289" t="n"/>
      <c r="V4" s="1289" t="n"/>
    </row>
    <row r="5" ht="15" customHeight="1" s="254">
      <c r="A5" s="1289" t="n"/>
      <c r="B5" s="1289" t="n"/>
      <c r="C5" s="1289" t="n"/>
      <c r="D5" s="1289" t="n"/>
      <c r="E5" s="1289" t="n"/>
      <c r="F5" s="1289" t="n"/>
      <c r="G5" s="1289" t="n"/>
      <c r="H5" s="1289" t="n"/>
      <c r="I5" s="1289" t="n"/>
      <c r="J5" s="1289" t="n"/>
      <c r="K5" s="1289" t="n"/>
      <c r="L5" s="1289" t="n"/>
      <c r="M5" s="1289" t="n"/>
      <c r="N5" s="1289" t="n"/>
      <c r="O5" s="1289" t="n"/>
      <c r="P5" s="1289" t="n"/>
      <c r="Q5" s="1289" t="n"/>
      <c r="R5" s="1289" t="n"/>
      <c r="S5" s="1289" t="n"/>
      <c r="T5" s="1289" t="n"/>
      <c r="U5" s="1289" t="n"/>
      <c r="V5" s="1289" t="n"/>
    </row>
    <row r="6" ht="27.5" customHeight="1" s="254">
      <c r="A6" s="1315" t="inlineStr">
        <is>
          <t>Line</t>
        </is>
      </c>
      <c r="B6" s="1315" t="inlineStr">
        <is>
          <t>Capacity</t>
        </is>
      </c>
      <c r="C6" s="1315" t="inlineStr">
        <is>
          <t>SKU</t>
        </is>
      </c>
      <c r="D6" s="1315" t="inlineStr">
        <is>
          <t>Description (auto)</t>
        </is>
      </c>
      <c r="E6" s="1315" t="inlineStr">
        <is>
          <t>Role (auto)</t>
        </is>
      </c>
      <c r="F6" s="1322" t="inlineStr">
        <is>
          <t>DC output kW (auto)</t>
        </is>
      </c>
      <c r="G6" s="1322" t="inlineStr">
        <is>
          <t>AC input kW (auto)</t>
        </is>
      </c>
      <c r="H6" s="1322" t="inlineStr">
        <is>
          <t>Connectors (auto)</t>
        </is>
      </c>
      <c r="I6" s="1315" t="inlineStr">
        <is>
          <t>Qty (units)</t>
        </is>
      </c>
      <c r="J6" s="1322" t="inlineStr">
        <is>
          <t>Discount (Commercial tab)</t>
        </is>
      </c>
      <c r="K6" s="1315" t="inlineStr">
        <is>
          <t>MSRP each (auto)</t>
        </is>
      </c>
      <c r="L6" s="1322" t="inlineStr">
        <is>
          <t>Dispenser SKU (distributed only)</t>
        </is>
      </c>
      <c r="M6" s="1322" t="inlineStr">
        <is>
          <t>Max dispensers (auto)</t>
        </is>
      </c>
      <c r="N6" s="1322" t="inlineStr">
        <is>
          <t>Dispensers per cabinet</t>
        </is>
      </c>
      <c r="O6" s="1322" t="inlineStr">
        <is>
          <t>Connectors per dispenser</t>
        </is>
      </c>
      <c r="P6" s="1322" t="inlineStr">
        <is>
          <t>Dispenser MSRP each (auto)</t>
        </is>
      </c>
      <c r="Q6" s="1322" t="inlineStr">
        <is>
          <t>Circuits (auto)</t>
        </is>
      </c>
      <c r="R6" s="1322" t="inlineStr">
        <is>
          <t>First unit # (auto)</t>
        </is>
      </c>
      <c r="S6" s="1322" t="inlineStr">
        <is>
          <t>Units through (auto)</t>
        </is>
      </c>
      <c r="T6" s="1322" t="inlineStr">
        <is>
          <t>Dispensers here (auto)</t>
        </is>
      </c>
      <c r="U6" s="1322" t="inlineStr">
        <is>
          <t>First dispenser # (auto)</t>
        </is>
      </c>
      <c r="V6" s="1322" t="inlineStr">
        <is>
          <t>Dispensers through (auto)</t>
        </is>
      </c>
    </row>
    <row r="7" ht="15" customHeight="1" s="254">
      <c r="A7" s="1316" t="n">
        <v>1</v>
      </c>
      <c r="B7" s="1292" t="inlineStr">
        <is>
          <t>360 kW DC</t>
        </is>
      </c>
      <c r="C7" s="1292" t="inlineStr">
        <is>
          <t>TP5-360-480-2-300</t>
        </is>
      </c>
      <c r="D7" s="1341">
        <f>IFERROR(INDEX(PriceBook!$C$2:$C$203,MATCH($C7,PriceBook!$B$2:$B$203,0)),"")</f>
        <v/>
      </c>
      <c r="E7" s="1341">
        <f>IF($C7="","",IFERROR(INDEX(ROLE_VAL,MATCH($C7,ROLE_SKU,0)),"all_in_one"))</f>
        <v/>
      </c>
      <c r="F7" s="1342">
        <f>IF($C7="",0,IFERROR(INDEX(SPEC_DCKW,MATCH($C7,SPEC_SKU,0)),IF($E7="dispenser",0,IF($E7="accessory",0,IFERROR(IF(N(INDEX(PriceBook!$E$2:$E$203,MATCH($C7,PriceBook!$B$2:$B$203,0)))&gt;0,INDEX(PriceBook!$E$2:$E$203,MATCH($C7,PriceBook!$B$2:$B$203,0)),INDEX(RATED_KW,MATCH($B7,CAPACITY_LIST,0))*IF(INDEX(PER_PORT,MATCH($B7,CAPACITY_LIST,0))=1,MAX(1,N($H7)),1)),0)))))</f>
        <v/>
      </c>
      <c r="G7" s="1343">
        <f>IF($C7="",0,IFERROR(INDEX(SPEC_ACKW,MATCH($C7,SPEC_SKU,0)),$F7)*IF(AND($E7="level_2",N($B$30)&gt;0,$B$30&lt;240),$B$30/240,1))</f>
        <v/>
      </c>
      <c r="H7" s="1342">
        <f>IF($C7="",0,IF($E7="power_cabinet",N($N7)*N($O7),IFERROR(INDEX(SPEC_OUTS,MATCH($C7,SPEC_SKU,0)),IFERROR(INDEX(SKU_CONN,MATCH($C7,SKU_ALL,0)),0))))</f>
        <v/>
      </c>
      <c r="I7" s="1326" t="n">
        <v>4</v>
      </c>
      <c r="J7" s="1316" t="n"/>
      <c r="K7" s="1344">
        <f>IFERROR(INDEX(PriceBook!$D$2:$D$203,MATCH($C7,PriceBook!$B$2:$B$203,0)),0)</f>
        <v/>
      </c>
      <c r="L7" s="1292" t="n"/>
      <c r="M7" s="1342">
        <f>IF($E7&lt;&gt;"power_cabinet",0,IFERROR(INDEX(SPEC_MAXDISP,MATCH($C7,SPEC_SKU,0)),0))</f>
        <v/>
      </c>
      <c r="N7" s="1326" t="n"/>
      <c r="O7" s="1326" t="n"/>
      <c r="P7" s="1344">
        <f>IF($L7="",0,IFERROR(INDEX(PriceBook!$D$2:$D$203,MATCH($L7,PriceBook!$B$2:$B$203,0)),0))</f>
        <v/>
      </c>
      <c r="Q7" s="1345">
        <f>IF(OR($E7="all_in_one",$E7="power_cabinet",$E7="level_2"),N($I7),0)</f>
        <v/>
      </c>
      <c r="R7" s="1345">
        <f>IF(N($Q7)=0,"",SUM($Q$7:$Q7)-N($Q7)+1)</f>
        <v/>
      </c>
      <c r="S7" s="1345">
        <f>SUM($Q$7:$Q7)</f>
        <v/>
      </c>
      <c r="T7" s="1345">
        <f>IF($E7="power_cabinet",N($I7)*N($N7),0)</f>
        <v/>
      </c>
      <c r="U7" s="1345">
        <f>IF(N($T7)=0,"",SUM($T$7:$T7)-N($T7)+1)</f>
        <v/>
      </c>
      <c r="V7" s="1345">
        <f>SUM($T$7:$T7)</f>
        <v/>
      </c>
    </row>
    <row r="8" ht="15" customHeight="1" s="254">
      <c r="A8" s="1316" t="n">
        <v>2</v>
      </c>
      <c r="B8" s="1292" t="inlineStr">
        <is>
          <t>Level 2 AC</t>
        </is>
      </c>
      <c r="C8" s="1292" t="inlineStr">
        <is>
          <t>CTX-C40-240-2</t>
        </is>
      </c>
      <c r="D8" s="1341">
        <f>IFERROR(INDEX(PriceBook!$C$2:$C$203,MATCH($C8,PriceBook!$B$2:$B$203,0)),"")</f>
        <v/>
      </c>
      <c r="E8" s="1341">
        <f>IF($C8="","",IFERROR(INDEX(ROLE_VAL,MATCH($C8,ROLE_SKU,0)),"all_in_one"))</f>
        <v/>
      </c>
      <c r="F8" s="1342">
        <f>IF($C8="",0,IFERROR(INDEX(SPEC_DCKW,MATCH($C8,SPEC_SKU,0)),IF($E8="dispenser",0,IF($E8="accessory",0,IFERROR(IF(N(INDEX(PriceBook!$E$2:$E$203,MATCH($C8,PriceBook!$B$2:$B$203,0)))&gt;0,INDEX(PriceBook!$E$2:$E$203,MATCH($C8,PriceBook!$B$2:$B$203,0)),INDEX(RATED_KW,MATCH($B8,CAPACITY_LIST,0))*IF(INDEX(PER_PORT,MATCH($B8,CAPACITY_LIST,0))=1,MAX(1,N($H8)),1)),0)))))</f>
        <v/>
      </c>
      <c r="G8" s="1343">
        <f>IF($C8="",0,IFERROR(INDEX(SPEC_ACKW,MATCH($C8,SPEC_SKU,0)),$F8)*IF(AND($E8="level_2",N($B$30)&gt;0,$B$30&lt;240),$B$30/240,1))</f>
        <v/>
      </c>
      <c r="H8" s="1342">
        <f>IF($C8="",0,IF($E8="power_cabinet",N($N8)*N($O8),IFERROR(INDEX(SPEC_OUTS,MATCH($C8,SPEC_SKU,0)),IFERROR(INDEX(SKU_CONN,MATCH($C8,SKU_ALL,0)),0))))</f>
        <v/>
      </c>
      <c r="I8" s="1326" t="n">
        <v>2</v>
      </c>
      <c r="J8" s="1316" t="n"/>
      <c r="K8" s="1344">
        <f>IFERROR(INDEX(PriceBook!$D$2:$D$203,MATCH($C8,PriceBook!$B$2:$B$203,0)),0)</f>
        <v/>
      </c>
      <c r="L8" s="1292" t="n"/>
      <c r="M8" s="1342">
        <f>IF($E8&lt;&gt;"power_cabinet",0,IFERROR(INDEX(SPEC_MAXDISP,MATCH($C8,SPEC_SKU,0)),0))</f>
        <v/>
      </c>
      <c r="N8" s="1326" t="n"/>
      <c r="O8" s="1326" t="n"/>
      <c r="P8" s="1344">
        <f>IF($L8="",0,IFERROR(INDEX(PriceBook!$D$2:$D$203,MATCH($L8,PriceBook!$B$2:$B$203,0)),0))</f>
        <v/>
      </c>
      <c r="Q8" s="1345">
        <f>IF(OR($E8="all_in_one",$E8="power_cabinet",$E8="level_2"),N($I8),0)</f>
        <v/>
      </c>
      <c r="R8" s="1345">
        <f>IF(N($Q8)=0,"",SUM($Q$7:$Q8)-N($Q8)+1)</f>
        <v/>
      </c>
      <c r="S8" s="1345">
        <f>SUM($Q$7:$Q8)</f>
        <v/>
      </c>
      <c r="T8" s="1345">
        <f>IF($E8="power_cabinet",N($I8)*N($N8),0)</f>
        <v/>
      </c>
      <c r="U8" s="1345">
        <f>IF(N($T8)=0,"",SUM($T$7:$T8)-N($T8)+1)</f>
        <v/>
      </c>
      <c r="V8" s="1345">
        <f>SUM($T$7:$T8)</f>
        <v/>
      </c>
    </row>
    <row r="9" ht="15" customHeight="1" s="254">
      <c r="A9" s="1316" t="n">
        <v>3</v>
      </c>
      <c r="B9" s="1292" t="n"/>
      <c r="C9" s="1292" t="n"/>
      <c r="D9" s="1341">
        <f>IFERROR(INDEX(PriceBook!$C$2:$C$203,MATCH($C9,PriceBook!$B$2:$B$203,0)),"")</f>
        <v/>
      </c>
      <c r="E9" s="1341">
        <f>IF($C9="","",IFERROR(INDEX(ROLE_VAL,MATCH($C9,ROLE_SKU,0)),"all_in_one"))</f>
        <v/>
      </c>
      <c r="F9" s="1342">
        <f>IF($C9="",0,IFERROR(INDEX(SPEC_DCKW,MATCH($C9,SPEC_SKU,0)),IF($E9="dispenser",0,IF($E9="accessory",0,IFERROR(IF(N(INDEX(PriceBook!$E$2:$E$203,MATCH($C9,PriceBook!$B$2:$B$203,0)))&gt;0,INDEX(PriceBook!$E$2:$E$203,MATCH($C9,PriceBook!$B$2:$B$203,0)),INDEX(RATED_KW,MATCH($B9,CAPACITY_LIST,0))*IF(INDEX(PER_PORT,MATCH($B9,CAPACITY_LIST,0))=1,MAX(1,N($H9)),1)),0)))))</f>
        <v/>
      </c>
      <c r="G9" s="1343">
        <f>IF($C9="",0,IFERROR(INDEX(SPEC_ACKW,MATCH($C9,SPEC_SKU,0)),$F9)*IF(AND($E9="level_2",N($B$30)&gt;0,$B$30&lt;240),$B$30/240,1))</f>
        <v/>
      </c>
      <c r="H9" s="1342">
        <f>IF($C9="",0,IF($E9="power_cabinet",N($N9)*N($O9),IFERROR(INDEX(SPEC_OUTS,MATCH($C9,SPEC_SKU,0)),IFERROR(INDEX(SKU_CONN,MATCH($C9,SKU_ALL,0)),0))))</f>
        <v/>
      </c>
      <c r="I9" s="1326" t="n"/>
      <c r="J9" s="1316" t="n"/>
      <c r="K9" s="1344">
        <f>IFERROR(INDEX(PriceBook!$D$2:$D$203,MATCH($C9,PriceBook!$B$2:$B$203,0)),0)</f>
        <v/>
      </c>
      <c r="L9" s="1292" t="n"/>
      <c r="M9" s="1342">
        <f>IF($E9&lt;&gt;"power_cabinet",0,IFERROR(INDEX(SPEC_MAXDISP,MATCH($C9,SPEC_SKU,0)),0))</f>
        <v/>
      </c>
      <c r="N9" s="1326" t="n"/>
      <c r="O9" s="1326" t="n"/>
      <c r="P9" s="1344">
        <f>IF($L9="",0,IFERROR(INDEX(PriceBook!$D$2:$D$203,MATCH($L9,PriceBook!$B$2:$B$203,0)),0))</f>
        <v/>
      </c>
      <c r="Q9" s="1345">
        <f>IF(OR($E9="all_in_one",$E9="power_cabinet",$E9="level_2"),N($I9),0)</f>
        <v/>
      </c>
      <c r="R9" s="1345">
        <f>IF(N($Q9)=0,"",SUM($Q$7:$Q9)-N($Q9)+1)</f>
        <v/>
      </c>
      <c r="S9" s="1345">
        <f>SUM($Q$7:$Q9)</f>
        <v/>
      </c>
      <c r="T9" s="1345">
        <f>IF($E9="power_cabinet",N($I9)*N($N9),0)</f>
        <v/>
      </c>
      <c r="U9" s="1345">
        <f>IF(N($T9)=0,"",SUM($T$7:$T9)-N($T9)+1)</f>
        <v/>
      </c>
      <c r="V9" s="1345">
        <f>SUM($T$7:$T9)</f>
        <v/>
      </c>
    </row>
    <row r="10" ht="15" customHeight="1" s="254">
      <c r="A10" s="1316" t="n">
        <v>4</v>
      </c>
      <c r="B10" s="1292" t="n"/>
      <c r="C10" s="1292" t="n"/>
      <c r="D10" s="1341">
        <f>IFERROR(INDEX(PriceBook!$C$2:$C$203,MATCH($C10,PriceBook!$B$2:$B$203,0)),"")</f>
        <v/>
      </c>
      <c r="E10" s="1341">
        <f>IF($C10="","",IFERROR(INDEX(ROLE_VAL,MATCH($C10,ROLE_SKU,0)),"all_in_one"))</f>
        <v/>
      </c>
      <c r="F10" s="1342">
        <f>IF($C10="",0,IFERROR(INDEX(SPEC_DCKW,MATCH($C10,SPEC_SKU,0)),IF($E10="dispenser",0,IF($E10="accessory",0,IFERROR(IF(N(INDEX(PriceBook!$E$2:$E$203,MATCH($C10,PriceBook!$B$2:$B$203,0)))&gt;0,INDEX(PriceBook!$E$2:$E$203,MATCH($C10,PriceBook!$B$2:$B$203,0)),INDEX(RATED_KW,MATCH($B10,CAPACITY_LIST,0))*IF(INDEX(PER_PORT,MATCH($B10,CAPACITY_LIST,0))=1,MAX(1,N($H10)),1)),0)))))</f>
        <v/>
      </c>
      <c r="G10" s="1343">
        <f>IF($C10="",0,IFERROR(INDEX(SPEC_ACKW,MATCH($C10,SPEC_SKU,0)),$F10)*IF(AND($E10="level_2",N($B$30)&gt;0,$B$30&lt;240),$B$30/240,1))</f>
        <v/>
      </c>
      <c r="H10" s="1342">
        <f>IF($C10="",0,IF($E10="power_cabinet",N($N10)*N($O10),IFERROR(INDEX(SPEC_OUTS,MATCH($C10,SPEC_SKU,0)),IFERROR(INDEX(SKU_CONN,MATCH($C10,SKU_ALL,0)),0))))</f>
        <v/>
      </c>
      <c r="I10" s="1326" t="n"/>
      <c r="J10" s="1316" t="n"/>
      <c r="K10" s="1344">
        <f>IFERROR(INDEX(PriceBook!$D$2:$D$203,MATCH($C10,PriceBook!$B$2:$B$203,0)),0)</f>
        <v/>
      </c>
      <c r="L10" s="1292" t="n"/>
      <c r="M10" s="1342">
        <f>IF($E10&lt;&gt;"power_cabinet",0,IFERROR(INDEX(SPEC_MAXDISP,MATCH($C10,SPEC_SKU,0)),0))</f>
        <v/>
      </c>
      <c r="N10" s="1326" t="n"/>
      <c r="O10" s="1326" t="n"/>
      <c r="P10" s="1344">
        <f>IF($L10="",0,IFERROR(INDEX(PriceBook!$D$2:$D$203,MATCH($L10,PriceBook!$B$2:$B$203,0)),0))</f>
        <v/>
      </c>
      <c r="Q10" s="1345">
        <f>IF(OR($E10="all_in_one",$E10="power_cabinet",$E10="level_2"),N($I10),0)</f>
        <v/>
      </c>
      <c r="R10" s="1345">
        <f>IF(N($Q10)=0,"",SUM($Q$7:$Q10)-N($Q10)+1)</f>
        <v/>
      </c>
      <c r="S10" s="1345">
        <f>SUM($Q$7:$Q10)</f>
        <v/>
      </c>
      <c r="T10" s="1345">
        <f>IF($E10="power_cabinet",N($I10)*N($N10),0)</f>
        <v/>
      </c>
      <c r="U10" s="1345">
        <f>IF(N($T10)=0,"",SUM($T$7:$T10)-N($T10)+1)</f>
        <v/>
      </c>
      <c r="V10" s="1345">
        <f>SUM($T$7:$T10)</f>
        <v/>
      </c>
    </row>
    <row r="11" ht="15" customHeight="1" s="254">
      <c r="A11" s="1316" t="n">
        <v>5</v>
      </c>
      <c r="B11" s="1292" t="n"/>
      <c r="C11" s="1292" t="n"/>
      <c r="D11" s="1341">
        <f>IFERROR(INDEX(PriceBook!$C$2:$C$203,MATCH($C11,PriceBook!$B$2:$B$203,0)),"")</f>
        <v/>
      </c>
      <c r="E11" s="1341">
        <f>IF($C11="","",IFERROR(INDEX(ROLE_VAL,MATCH($C11,ROLE_SKU,0)),"all_in_one"))</f>
        <v/>
      </c>
      <c r="F11" s="1342">
        <f>IF($C11="",0,IFERROR(INDEX(SPEC_DCKW,MATCH($C11,SPEC_SKU,0)),IF($E11="dispenser",0,IF($E11="accessory",0,IFERROR(IF(N(INDEX(PriceBook!$E$2:$E$203,MATCH($C11,PriceBook!$B$2:$B$203,0)))&gt;0,INDEX(PriceBook!$E$2:$E$203,MATCH($C11,PriceBook!$B$2:$B$203,0)),INDEX(RATED_KW,MATCH($B11,CAPACITY_LIST,0))*IF(INDEX(PER_PORT,MATCH($B11,CAPACITY_LIST,0))=1,MAX(1,N($H11)),1)),0)))))</f>
        <v/>
      </c>
      <c r="G11" s="1343">
        <f>IF($C11="",0,IFERROR(INDEX(SPEC_ACKW,MATCH($C11,SPEC_SKU,0)),$F11)*IF(AND($E11="level_2",N($B$30)&gt;0,$B$30&lt;240),$B$30/240,1))</f>
        <v/>
      </c>
      <c r="H11" s="1342">
        <f>IF($C11="",0,IF($E11="power_cabinet",N($N11)*N($O11),IFERROR(INDEX(SPEC_OUTS,MATCH($C11,SPEC_SKU,0)),IFERROR(INDEX(SKU_CONN,MATCH($C11,SKU_ALL,0)),0))))</f>
        <v/>
      </c>
      <c r="I11" s="1326" t="n"/>
      <c r="J11" s="1316" t="n"/>
      <c r="K11" s="1344">
        <f>IFERROR(INDEX(PriceBook!$D$2:$D$203,MATCH($C11,PriceBook!$B$2:$B$203,0)),0)</f>
        <v/>
      </c>
      <c r="L11" s="1292" t="n"/>
      <c r="M11" s="1342">
        <f>IF($E11&lt;&gt;"power_cabinet",0,IFERROR(INDEX(SPEC_MAXDISP,MATCH($C11,SPEC_SKU,0)),0))</f>
        <v/>
      </c>
      <c r="N11" s="1326" t="n"/>
      <c r="O11" s="1326" t="n"/>
      <c r="P11" s="1344">
        <f>IF($L11="",0,IFERROR(INDEX(PriceBook!$D$2:$D$203,MATCH($L11,PriceBook!$B$2:$B$203,0)),0))</f>
        <v/>
      </c>
      <c r="Q11" s="1345">
        <f>IF(OR($E11="all_in_one",$E11="power_cabinet",$E11="level_2"),N($I11),0)</f>
        <v/>
      </c>
      <c r="R11" s="1345">
        <f>IF(N($Q11)=0,"",SUM($Q$7:$Q11)-N($Q11)+1)</f>
        <v/>
      </c>
      <c r="S11" s="1345">
        <f>SUM($Q$7:$Q11)</f>
        <v/>
      </c>
      <c r="T11" s="1345">
        <f>IF($E11="power_cabinet",N($I11)*N($N11),0)</f>
        <v/>
      </c>
      <c r="U11" s="1345">
        <f>IF(N($T11)=0,"",SUM($T$7:$T11)-N($T11)+1)</f>
        <v/>
      </c>
      <c r="V11" s="1345">
        <f>SUM($T$7:$T11)</f>
        <v/>
      </c>
    </row>
    <row r="12" ht="15" customHeight="1" s="254">
      <c r="A12" s="1316" t="n">
        <v>6</v>
      </c>
      <c r="B12" s="1292" t="n"/>
      <c r="C12" s="1292" t="n"/>
      <c r="D12" s="1341">
        <f>IFERROR(INDEX(PriceBook!$C$2:$C$203,MATCH($C12,PriceBook!$B$2:$B$203,0)),"")</f>
        <v/>
      </c>
      <c r="E12" s="1341">
        <f>IF($C12="","",IFERROR(INDEX(ROLE_VAL,MATCH($C12,ROLE_SKU,0)),"all_in_one"))</f>
        <v/>
      </c>
      <c r="F12" s="1342">
        <f>IF($C12="",0,IFERROR(INDEX(SPEC_DCKW,MATCH($C12,SPEC_SKU,0)),IF($E12="dispenser",0,IF($E12="accessory",0,IFERROR(IF(N(INDEX(PriceBook!$E$2:$E$203,MATCH($C12,PriceBook!$B$2:$B$203,0)))&gt;0,INDEX(PriceBook!$E$2:$E$203,MATCH($C12,PriceBook!$B$2:$B$203,0)),INDEX(RATED_KW,MATCH($B12,CAPACITY_LIST,0))*IF(INDEX(PER_PORT,MATCH($B12,CAPACITY_LIST,0))=1,MAX(1,N($H12)),1)),0)))))</f>
        <v/>
      </c>
      <c r="G12" s="1343">
        <f>IF($C12="",0,IFERROR(INDEX(SPEC_ACKW,MATCH($C12,SPEC_SKU,0)),$F12)*IF(AND($E12="level_2",N($B$30)&gt;0,$B$30&lt;240),$B$30/240,1))</f>
        <v/>
      </c>
      <c r="H12" s="1342">
        <f>IF($C12="",0,IF($E12="power_cabinet",N($N12)*N($O12),IFERROR(INDEX(SPEC_OUTS,MATCH($C12,SPEC_SKU,0)),IFERROR(INDEX(SKU_CONN,MATCH($C12,SKU_ALL,0)),0))))</f>
        <v/>
      </c>
      <c r="I12" s="1326" t="n"/>
      <c r="J12" s="1316" t="n"/>
      <c r="K12" s="1344">
        <f>IFERROR(INDEX(PriceBook!$D$2:$D$203,MATCH($C12,PriceBook!$B$2:$B$203,0)),0)</f>
        <v/>
      </c>
      <c r="L12" s="1292" t="n"/>
      <c r="M12" s="1342">
        <f>IF($E12&lt;&gt;"power_cabinet",0,IFERROR(INDEX(SPEC_MAXDISP,MATCH($C12,SPEC_SKU,0)),0))</f>
        <v/>
      </c>
      <c r="N12" s="1326" t="n"/>
      <c r="O12" s="1326" t="n"/>
      <c r="P12" s="1344">
        <f>IF($L12="",0,IFERROR(INDEX(PriceBook!$D$2:$D$203,MATCH($L12,PriceBook!$B$2:$B$203,0)),0))</f>
        <v/>
      </c>
      <c r="Q12" s="1345">
        <f>IF(OR($E12="all_in_one",$E12="power_cabinet",$E12="level_2"),N($I12),0)</f>
        <v/>
      </c>
      <c r="R12" s="1345">
        <f>IF(N($Q12)=0,"",SUM($Q$7:$Q12)-N($Q12)+1)</f>
        <v/>
      </c>
      <c r="S12" s="1345">
        <f>SUM($Q$7:$Q12)</f>
        <v/>
      </c>
      <c r="T12" s="1345">
        <f>IF($E12="power_cabinet",N($I12)*N($N12),0)</f>
        <v/>
      </c>
      <c r="U12" s="1345">
        <f>IF(N($T12)=0,"",SUM($T$7:$T12)-N($T12)+1)</f>
        <v/>
      </c>
      <c r="V12" s="1345">
        <f>SUM($T$7:$T12)</f>
        <v/>
      </c>
    </row>
    <row r="13" ht="15" customHeight="1" s="254">
      <c r="A13" s="1316" t="n">
        <v>7</v>
      </c>
      <c r="B13" s="1292" t="n"/>
      <c r="C13" s="1292" t="n"/>
      <c r="D13" s="1341">
        <f>IFERROR(INDEX(PriceBook!$C$2:$C$203,MATCH($C13,PriceBook!$B$2:$B$203,0)),"")</f>
        <v/>
      </c>
      <c r="E13" s="1341">
        <f>IF($C13="","",IFERROR(INDEX(ROLE_VAL,MATCH($C13,ROLE_SKU,0)),"all_in_one"))</f>
        <v/>
      </c>
      <c r="F13" s="1342">
        <f>IF($C13="",0,IFERROR(INDEX(SPEC_DCKW,MATCH($C13,SPEC_SKU,0)),IF($E13="dispenser",0,IF($E13="accessory",0,IFERROR(IF(N(INDEX(PriceBook!$E$2:$E$203,MATCH($C13,PriceBook!$B$2:$B$203,0)))&gt;0,INDEX(PriceBook!$E$2:$E$203,MATCH($C13,PriceBook!$B$2:$B$203,0)),INDEX(RATED_KW,MATCH($B13,CAPACITY_LIST,0))*IF(INDEX(PER_PORT,MATCH($B13,CAPACITY_LIST,0))=1,MAX(1,N($H13)),1)),0)))))</f>
        <v/>
      </c>
      <c r="G13" s="1343">
        <f>IF($C13="",0,IFERROR(INDEX(SPEC_ACKW,MATCH($C13,SPEC_SKU,0)),$F13)*IF(AND($E13="level_2",N($B$30)&gt;0,$B$30&lt;240),$B$30/240,1))</f>
        <v/>
      </c>
      <c r="H13" s="1342">
        <f>IF($C13="",0,IF($E13="power_cabinet",N($N13)*N($O13),IFERROR(INDEX(SPEC_OUTS,MATCH($C13,SPEC_SKU,0)),IFERROR(INDEX(SKU_CONN,MATCH($C13,SKU_ALL,0)),0))))</f>
        <v/>
      </c>
      <c r="I13" s="1326" t="n"/>
      <c r="J13" s="1316" t="n"/>
      <c r="K13" s="1344">
        <f>IFERROR(INDEX(PriceBook!$D$2:$D$203,MATCH($C13,PriceBook!$B$2:$B$203,0)),0)</f>
        <v/>
      </c>
      <c r="L13" s="1292" t="n"/>
      <c r="M13" s="1342">
        <f>IF($E13&lt;&gt;"power_cabinet",0,IFERROR(INDEX(SPEC_MAXDISP,MATCH($C13,SPEC_SKU,0)),0))</f>
        <v/>
      </c>
      <c r="N13" s="1326" t="n"/>
      <c r="O13" s="1326" t="n"/>
      <c r="P13" s="1344">
        <f>IF($L13="",0,IFERROR(INDEX(PriceBook!$D$2:$D$203,MATCH($L13,PriceBook!$B$2:$B$203,0)),0))</f>
        <v/>
      </c>
      <c r="Q13" s="1345">
        <f>IF(OR($E13="all_in_one",$E13="power_cabinet",$E13="level_2"),N($I13),0)</f>
        <v/>
      </c>
      <c r="R13" s="1345">
        <f>IF(N($Q13)=0,"",SUM($Q$7:$Q13)-N($Q13)+1)</f>
        <v/>
      </c>
      <c r="S13" s="1345">
        <f>SUM($Q$7:$Q13)</f>
        <v/>
      </c>
      <c r="T13" s="1345">
        <f>IF($E13="power_cabinet",N($I13)*N($N13),0)</f>
        <v/>
      </c>
      <c r="U13" s="1345">
        <f>IF(N($T13)=0,"",SUM($T$7:$T13)-N($T13)+1)</f>
        <v/>
      </c>
      <c r="V13" s="1345">
        <f>SUM($T$7:$T13)</f>
        <v/>
      </c>
    </row>
    <row r="14" ht="15" customHeight="1" s="254">
      <c r="A14" s="1316" t="n">
        <v>8</v>
      </c>
      <c r="B14" s="1292" t="n"/>
      <c r="C14" s="1292" t="n"/>
      <c r="D14" s="1341">
        <f>IFERROR(INDEX(PriceBook!$C$2:$C$203,MATCH($C14,PriceBook!$B$2:$B$203,0)),"")</f>
        <v/>
      </c>
      <c r="E14" s="1341">
        <f>IF($C14="","",IFERROR(INDEX(ROLE_VAL,MATCH($C14,ROLE_SKU,0)),"all_in_one"))</f>
        <v/>
      </c>
      <c r="F14" s="1342">
        <f>IF($C14="",0,IFERROR(INDEX(SPEC_DCKW,MATCH($C14,SPEC_SKU,0)),IF($E14="dispenser",0,IF($E14="accessory",0,IFERROR(IF(N(INDEX(PriceBook!$E$2:$E$203,MATCH($C14,PriceBook!$B$2:$B$203,0)))&gt;0,INDEX(PriceBook!$E$2:$E$203,MATCH($C14,PriceBook!$B$2:$B$203,0)),INDEX(RATED_KW,MATCH($B14,CAPACITY_LIST,0))*IF(INDEX(PER_PORT,MATCH($B14,CAPACITY_LIST,0))=1,MAX(1,N($H14)),1)),0)))))</f>
        <v/>
      </c>
      <c r="G14" s="1343">
        <f>IF($C14="",0,IFERROR(INDEX(SPEC_ACKW,MATCH($C14,SPEC_SKU,0)),$F14)*IF(AND($E14="level_2",N($B$30)&gt;0,$B$30&lt;240),$B$30/240,1))</f>
        <v/>
      </c>
      <c r="H14" s="1342">
        <f>IF($C14="",0,IF($E14="power_cabinet",N($N14)*N($O14),IFERROR(INDEX(SPEC_OUTS,MATCH($C14,SPEC_SKU,0)),IFERROR(INDEX(SKU_CONN,MATCH($C14,SKU_ALL,0)),0))))</f>
        <v/>
      </c>
      <c r="I14" s="1326" t="n"/>
      <c r="J14" s="1316" t="n"/>
      <c r="K14" s="1344">
        <f>IFERROR(INDEX(PriceBook!$D$2:$D$203,MATCH($C14,PriceBook!$B$2:$B$203,0)),0)</f>
        <v/>
      </c>
      <c r="L14" s="1292" t="n"/>
      <c r="M14" s="1342">
        <f>IF($E14&lt;&gt;"power_cabinet",0,IFERROR(INDEX(SPEC_MAXDISP,MATCH($C14,SPEC_SKU,0)),0))</f>
        <v/>
      </c>
      <c r="N14" s="1326" t="n"/>
      <c r="O14" s="1326" t="n"/>
      <c r="P14" s="1344">
        <f>IF($L14="",0,IFERROR(INDEX(PriceBook!$D$2:$D$203,MATCH($L14,PriceBook!$B$2:$B$203,0)),0))</f>
        <v/>
      </c>
      <c r="Q14" s="1345">
        <f>IF(OR($E14="all_in_one",$E14="power_cabinet",$E14="level_2"),N($I14),0)</f>
        <v/>
      </c>
      <c r="R14" s="1345">
        <f>IF(N($Q14)=0,"",SUM($Q$7:$Q14)-N($Q14)+1)</f>
        <v/>
      </c>
      <c r="S14" s="1345">
        <f>SUM($Q$7:$Q14)</f>
        <v/>
      </c>
      <c r="T14" s="1345">
        <f>IF($E14="power_cabinet",N($I14)*N($N14),0)</f>
        <v/>
      </c>
      <c r="U14" s="1345">
        <f>IF(N($T14)=0,"",SUM($T$7:$T14)-N($T14)+1)</f>
        <v/>
      </c>
      <c r="V14" s="1345">
        <f>SUM($T$7:$T14)</f>
        <v/>
      </c>
    </row>
    <row r="15" ht="15" customHeight="1" s="254">
      <c r="A15" s="1316" t="n">
        <v>9</v>
      </c>
      <c r="B15" s="1292" t="n"/>
      <c r="C15" s="1292" t="n"/>
      <c r="D15" s="1341">
        <f>IFERROR(INDEX(PriceBook!$C$2:$C$203,MATCH($C15,PriceBook!$B$2:$B$203,0)),"")</f>
        <v/>
      </c>
      <c r="E15" s="1341">
        <f>IF($C15="","",IFERROR(INDEX(ROLE_VAL,MATCH($C15,ROLE_SKU,0)),"all_in_one"))</f>
        <v/>
      </c>
      <c r="F15" s="1342">
        <f>IF($C15="",0,IFERROR(INDEX(SPEC_DCKW,MATCH($C15,SPEC_SKU,0)),IF($E15="dispenser",0,IF($E15="accessory",0,IFERROR(IF(N(INDEX(PriceBook!$E$2:$E$203,MATCH($C15,PriceBook!$B$2:$B$203,0)))&gt;0,INDEX(PriceBook!$E$2:$E$203,MATCH($C15,PriceBook!$B$2:$B$203,0)),INDEX(RATED_KW,MATCH($B15,CAPACITY_LIST,0))*IF(INDEX(PER_PORT,MATCH($B15,CAPACITY_LIST,0))=1,MAX(1,N($H15)),1)),0)))))</f>
        <v/>
      </c>
      <c r="G15" s="1343">
        <f>IF($C15="",0,IFERROR(INDEX(SPEC_ACKW,MATCH($C15,SPEC_SKU,0)),$F15)*IF(AND($E15="level_2",N($B$30)&gt;0,$B$30&lt;240),$B$30/240,1))</f>
        <v/>
      </c>
      <c r="H15" s="1342">
        <f>IF($C15="",0,IF($E15="power_cabinet",N($N15)*N($O15),IFERROR(INDEX(SPEC_OUTS,MATCH($C15,SPEC_SKU,0)),IFERROR(INDEX(SKU_CONN,MATCH($C15,SKU_ALL,0)),0))))</f>
        <v/>
      </c>
      <c r="I15" s="1326" t="n"/>
      <c r="J15" s="1316" t="n"/>
      <c r="K15" s="1344">
        <f>IFERROR(INDEX(PriceBook!$D$2:$D$203,MATCH($C15,PriceBook!$B$2:$B$203,0)),0)</f>
        <v/>
      </c>
      <c r="L15" s="1292" t="n"/>
      <c r="M15" s="1342">
        <f>IF($E15&lt;&gt;"power_cabinet",0,IFERROR(INDEX(SPEC_MAXDISP,MATCH($C15,SPEC_SKU,0)),0))</f>
        <v/>
      </c>
      <c r="N15" s="1326" t="n"/>
      <c r="O15" s="1326" t="n"/>
      <c r="P15" s="1344">
        <f>IF($L15="",0,IFERROR(INDEX(PriceBook!$D$2:$D$203,MATCH($L15,PriceBook!$B$2:$B$203,0)),0))</f>
        <v/>
      </c>
      <c r="Q15" s="1345">
        <f>IF(OR($E15="all_in_one",$E15="power_cabinet",$E15="level_2"),N($I15),0)</f>
        <v/>
      </c>
      <c r="R15" s="1345">
        <f>IF(N($Q15)=0,"",SUM($Q$7:$Q15)-N($Q15)+1)</f>
        <v/>
      </c>
      <c r="S15" s="1345">
        <f>SUM($Q$7:$Q15)</f>
        <v/>
      </c>
      <c r="T15" s="1345">
        <f>IF($E15="power_cabinet",N($I15)*N($N15),0)</f>
        <v/>
      </c>
      <c r="U15" s="1345">
        <f>IF(N($T15)=0,"",SUM($T$7:$T15)-N($T15)+1)</f>
        <v/>
      </c>
      <c r="V15" s="1345">
        <f>SUM($T$7:$T15)</f>
        <v/>
      </c>
    </row>
    <row r="16" ht="15" customHeight="1" s="254">
      <c r="A16" s="1316" t="n">
        <v>10</v>
      </c>
      <c r="B16" s="1292" t="n"/>
      <c r="C16" s="1292" t="n"/>
      <c r="D16" s="1341">
        <f>IFERROR(INDEX(PriceBook!$C$2:$C$203,MATCH($C16,PriceBook!$B$2:$B$203,0)),"")</f>
        <v/>
      </c>
      <c r="E16" s="1341">
        <f>IF($C16="","",IFERROR(INDEX(ROLE_VAL,MATCH($C16,ROLE_SKU,0)),"all_in_one"))</f>
        <v/>
      </c>
      <c r="F16" s="1342">
        <f>IF($C16="",0,IFERROR(INDEX(SPEC_DCKW,MATCH($C16,SPEC_SKU,0)),IF($E16="dispenser",0,IF($E16="accessory",0,IFERROR(IF(N(INDEX(PriceBook!$E$2:$E$203,MATCH($C16,PriceBook!$B$2:$B$203,0)))&gt;0,INDEX(PriceBook!$E$2:$E$203,MATCH($C16,PriceBook!$B$2:$B$203,0)),INDEX(RATED_KW,MATCH($B16,CAPACITY_LIST,0))*IF(INDEX(PER_PORT,MATCH($B16,CAPACITY_LIST,0))=1,MAX(1,N($H16)),1)),0)))))</f>
        <v/>
      </c>
      <c r="G16" s="1343">
        <f>IF($C16="",0,IFERROR(INDEX(SPEC_ACKW,MATCH($C16,SPEC_SKU,0)),$F16)*IF(AND($E16="level_2",N($B$30)&gt;0,$B$30&lt;240),$B$30/240,1))</f>
        <v/>
      </c>
      <c r="H16" s="1342">
        <f>IF($C16="",0,IF($E16="power_cabinet",N($N16)*N($O16),IFERROR(INDEX(SPEC_OUTS,MATCH($C16,SPEC_SKU,0)),IFERROR(INDEX(SKU_CONN,MATCH($C16,SKU_ALL,0)),0))))</f>
        <v/>
      </c>
      <c r="I16" s="1326" t="n"/>
      <c r="J16" s="1316" t="n"/>
      <c r="K16" s="1344">
        <f>IFERROR(INDEX(PriceBook!$D$2:$D$203,MATCH($C16,PriceBook!$B$2:$B$203,0)),0)</f>
        <v/>
      </c>
      <c r="L16" s="1292" t="n"/>
      <c r="M16" s="1342">
        <f>IF($E16&lt;&gt;"power_cabinet",0,IFERROR(INDEX(SPEC_MAXDISP,MATCH($C16,SPEC_SKU,0)),0))</f>
        <v/>
      </c>
      <c r="N16" s="1326" t="n"/>
      <c r="O16" s="1326" t="n"/>
      <c r="P16" s="1344">
        <f>IF($L16="",0,IFERROR(INDEX(PriceBook!$D$2:$D$203,MATCH($L16,PriceBook!$B$2:$B$203,0)),0))</f>
        <v/>
      </c>
      <c r="Q16" s="1345">
        <f>IF(OR($E16="all_in_one",$E16="power_cabinet",$E16="level_2"),N($I16),0)</f>
        <v/>
      </c>
      <c r="R16" s="1345">
        <f>IF(N($Q16)=0,"",SUM($Q$7:$Q16)-N($Q16)+1)</f>
        <v/>
      </c>
      <c r="S16" s="1345">
        <f>SUM($Q$7:$Q16)</f>
        <v/>
      </c>
      <c r="T16" s="1345">
        <f>IF($E16="power_cabinet",N($I16)*N($N16),0)</f>
        <v/>
      </c>
      <c r="U16" s="1345">
        <f>IF(N($T16)=0,"",SUM($T$7:$T16)-N($T16)+1)</f>
        <v/>
      </c>
      <c r="V16" s="1345">
        <f>SUM($T$7:$T16)</f>
        <v/>
      </c>
    </row>
    <row r="17" ht="15" customHeight="1" s="254">
      <c r="A17" s="1316" t="n">
        <v>11</v>
      </c>
      <c r="B17" s="1292" t="n"/>
      <c r="C17" s="1292" t="n"/>
      <c r="D17" s="1341">
        <f>IFERROR(INDEX(PriceBook!$C$2:$C$203,MATCH($C17,PriceBook!$B$2:$B$203,0)),"")</f>
        <v/>
      </c>
      <c r="E17" s="1341">
        <f>IF($C17="","",IFERROR(INDEX(ROLE_VAL,MATCH($C17,ROLE_SKU,0)),"all_in_one"))</f>
        <v/>
      </c>
      <c r="F17" s="1342">
        <f>IF($C17="",0,IFERROR(INDEX(SPEC_DCKW,MATCH($C17,SPEC_SKU,0)),IF($E17="dispenser",0,IF($E17="accessory",0,IFERROR(IF(N(INDEX(PriceBook!$E$2:$E$203,MATCH($C17,PriceBook!$B$2:$B$203,0)))&gt;0,INDEX(PriceBook!$E$2:$E$203,MATCH($C17,PriceBook!$B$2:$B$203,0)),INDEX(RATED_KW,MATCH($B17,CAPACITY_LIST,0))*IF(INDEX(PER_PORT,MATCH($B17,CAPACITY_LIST,0))=1,MAX(1,N($H17)),1)),0)))))</f>
        <v/>
      </c>
      <c r="G17" s="1343">
        <f>IF($C17="",0,IFERROR(INDEX(SPEC_ACKW,MATCH($C17,SPEC_SKU,0)),$F17)*IF(AND($E17="level_2",N($B$30)&gt;0,$B$30&lt;240),$B$30/240,1))</f>
        <v/>
      </c>
      <c r="H17" s="1342">
        <f>IF($C17="",0,IF($E17="power_cabinet",N($N17)*N($O17),IFERROR(INDEX(SPEC_OUTS,MATCH($C17,SPEC_SKU,0)),IFERROR(INDEX(SKU_CONN,MATCH($C17,SKU_ALL,0)),0))))</f>
        <v/>
      </c>
      <c r="I17" s="1326" t="n"/>
      <c r="J17" s="1316" t="n"/>
      <c r="K17" s="1344">
        <f>IFERROR(INDEX(PriceBook!$D$2:$D$203,MATCH($C17,PriceBook!$B$2:$B$203,0)),0)</f>
        <v/>
      </c>
      <c r="L17" s="1292" t="n"/>
      <c r="M17" s="1342">
        <f>IF($E17&lt;&gt;"power_cabinet",0,IFERROR(INDEX(SPEC_MAXDISP,MATCH($C17,SPEC_SKU,0)),0))</f>
        <v/>
      </c>
      <c r="N17" s="1326" t="n"/>
      <c r="O17" s="1326" t="n"/>
      <c r="P17" s="1344">
        <f>IF($L17="",0,IFERROR(INDEX(PriceBook!$D$2:$D$203,MATCH($L17,PriceBook!$B$2:$B$203,0)),0))</f>
        <v/>
      </c>
      <c r="Q17" s="1345">
        <f>IF(OR($E17="all_in_one",$E17="power_cabinet",$E17="level_2"),N($I17),0)</f>
        <v/>
      </c>
      <c r="R17" s="1345">
        <f>IF(N($Q17)=0,"",SUM($Q$7:$Q17)-N($Q17)+1)</f>
        <v/>
      </c>
      <c r="S17" s="1345">
        <f>SUM($Q$7:$Q17)</f>
        <v/>
      </c>
      <c r="T17" s="1345">
        <f>IF($E17="power_cabinet",N($I17)*N($N17),0)</f>
        <v/>
      </c>
      <c r="U17" s="1345">
        <f>IF(N($T17)=0,"",SUM($T$7:$T17)-N($T17)+1)</f>
        <v/>
      </c>
      <c r="V17" s="1345">
        <f>SUM($T$7:$T17)</f>
        <v/>
      </c>
    </row>
    <row r="18" ht="15" customHeight="1" s="254">
      <c r="A18" s="1316" t="n">
        <v>12</v>
      </c>
      <c r="B18" s="1292" t="n"/>
      <c r="C18" s="1292" t="n"/>
      <c r="D18" s="1341">
        <f>IFERROR(INDEX(PriceBook!$C$2:$C$203,MATCH($C18,PriceBook!$B$2:$B$203,0)),"")</f>
        <v/>
      </c>
      <c r="E18" s="1341">
        <f>IF($C18="","",IFERROR(INDEX(ROLE_VAL,MATCH($C18,ROLE_SKU,0)),"all_in_one"))</f>
        <v/>
      </c>
      <c r="F18" s="1342">
        <f>IF($C18="",0,IFERROR(INDEX(SPEC_DCKW,MATCH($C18,SPEC_SKU,0)),IF($E18="dispenser",0,IF($E18="accessory",0,IFERROR(IF(N(INDEX(PriceBook!$E$2:$E$203,MATCH($C18,PriceBook!$B$2:$B$203,0)))&gt;0,INDEX(PriceBook!$E$2:$E$203,MATCH($C18,PriceBook!$B$2:$B$203,0)),INDEX(RATED_KW,MATCH($B18,CAPACITY_LIST,0))*IF(INDEX(PER_PORT,MATCH($B18,CAPACITY_LIST,0))=1,MAX(1,N($H18)),1)),0)))))</f>
        <v/>
      </c>
      <c r="G18" s="1343">
        <f>IF($C18="",0,IFERROR(INDEX(SPEC_ACKW,MATCH($C18,SPEC_SKU,0)),$F18)*IF(AND($E18="level_2",N($B$30)&gt;0,$B$30&lt;240),$B$30/240,1))</f>
        <v/>
      </c>
      <c r="H18" s="1342">
        <f>IF($C18="",0,IF($E18="power_cabinet",N($N18)*N($O18),IFERROR(INDEX(SPEC_OUTS,MATCH($C18,SPEC_SKU,0)),IFERROR(INDEX(SKU_CONN,MATCH($C18,SKU_ALL,0)),0))))</f>
        <v/>
      </c>
      <c r="I18" s="1326" t="n"/>
      <c r="J18" s="1316" t="n"/>
      <c r="K18" s="1344">
        <f>IFERROR(INDEX(PriceBook!$D$2:$D$203,MATCH($C18,PriceBook!$B$2:$B$203,0)),0)</f>
        <v/>
      </c>
      <c r="L18" s="1292" t="n"/>
      <c r="M18" s="1342">
        <f>IF($E18&lt;&gt;"power_cabinet",0,IFERROR(INDEX(SPEC_MAXDISP,MATCH($C18,SPEC_SKU,0)),0))</f>
        <v/>
      </c>
      <c r="N18" s="1326" t="n"/>
      <c r="O18" s="1326" t="n"/>
      <c r="P18" s="1344">
        <f>IF($L18="",0,IFERROR(INDEX(PriceBook!$D$2:$D$203,MATCH($L18,PriceBook!$B$2:$B$203,0)),0))</f>
        <v/>
      </c>
      <c r="Q18" s="1345">
        <f>IF(OR($E18="all_in_one",$E18="power_cabinet",$E18="level_2"),N($I18),0)</f>
        <v/>
      </c>
      <c r="R18" s="1345">
        <f>IF(N($Q18)=0,"",SUM($Q$7:$Q18)-N($Q18)+1)</f>
        <v/>
      </c>
      <c r="S18" s="1345">
        <f>SUM($Q$7:$Q18)</f>
        <v/>
      </c>
      <c r="T18" s="1345">
        <f>IF($E18="power_cabinet",N($I18)*N($N18),0)</f>
        <v/>
      </c>
      <c r="U18" s="1345">
        <f>IF(N($T18)=0,"",SUM($T$7:$T18)-N($T18)+1)</f>
        <v/>
      </c>
      <c r="V18" s="1345">
        <f>SUM($T$7:$T18)</f>
        <v/>
      </c>
    </row>
    <row r="19" ht="15" customHeight="1" s="254">
      <c r="A19" s="1289" t="n"/>
      <c r="B19" s="1289" t="n"/>
      <c r="C19" s="1289" t="n"/>
      <c r="D19" s="1289" t="n"/>
      <c r="E19" s="1289" t="n"/>
      <c r="F19" s="1289" t="n"/>
      <c r="G19" s="1289" t="n"/>
      <c r="H19" s="1289" t="n"/>
      <c r="I19" s="1289" t="n"/>
      <c r="J19" s="1289" t="n"/>
      <c r="K19" s="1289" t="n"/>
      <c r="L19" s="1289" t="n"/>
      <c r="M19" s="1289" t="n"/>
      <c r="N19" s="1289" t="n"/>
      <c r="O19" s="1289" t="n"/>
      <c r="P19" s="1289" t="n"/>
      <c r="Q19" s="1289" t="n"/>
      <c r="R19" s="1289" t="n"/>
      <c r="S19" s="1289" t="n"/>
      <c r="T19" s="1289" t="n"/>
      <c r="U19" s="1289" t="n"/>
      <c r="V19" s="1289" t="n"/>
    </row>
    <row r="20" ht="15" customHeight="1" s="254">
      <c r="A20" s="1294" t="inlineStr">
        <is>
          <t>Charging units (excludes accessories)</t>
        </is>
      </c>
      <c r="B20" s="1346">
        <f>SUMPRODUCT(--($H$7:$H$18&gt;0),$I$7:$I$18)</f>
        <v/>
      </c>
      <c r="C20" s="1288" t="inlineStr">
        <is>
          <t>Units a driver plugs into — dispensers, all-in-one chargers and Level 2. A power cabinet has no connectors and is not one.</t>
        </is>
      </c>
      <c r="L20" s="1289" t="n"/>
      <c r="M20" s="1289" t="n"/>
      <c r="N20" s="1289" t="n"/>
      <c r="O20" s="1289" t="n"/>
      <c r="P20" s="1289" t="n"/>
      <c r="Q20" s="1289" t="n"/>
      <c r="R20" s="1289" t="n"/>
      <c r="S20" s="1289" t="n"/>
      <c r="T20" s="1289" t="n"/>
      <c r="U20" s="1289" t="n"/>
      <c r="V20" s="1289" t="n"/>
    </row>
    <row r="21" ht="27.5" customHeight="1" s="254">
      <c r="A21" s="1294" t="inlineStr">
        <is>
          <t>AC-connected units — cabinets and all-in-ones</t>
        </is>
      </c>
      <c r="B21" s="1346">
        <f>SUMPRODUCT(($E$7:$E$18="power_cabinet")+($E$7:$E$18="all_in_one"),$I$7:$I$18)</f>
        <v/>
      </c>
      <c r="C21" s="1288" t="inlineStr">
        <is>
          <t>Each of these needs its own AC run from the switchgear, and a placement distance on the Electrical tab.</t>
        </is>
      </c>
      <c r="G21" s="1289" t="n"/>
      <c r="H21" s="1289" t="n"/>
      <c r="I21" s="1289" t="n"/>
      <c r="J21" s="1289" t="n"/>
      <c r="K21" s="1289" t="n"/>
      <c r="L21" s="1289" t="n"/>
      <c r="M21" s="1289" t="n"/>
      <c r="N21" s="1289" t="n"/>
      <c r="O21" s="1289" t="n"/>
      <c r="P21" s="1289" t="n"/>
      <c r="Q21" s="1289" t="n"/>
      <c r="R21" s="1289" t="n"/>
      <c r="S21" s="1289" t="n"/>
      <c r="T21" s="1289" t="n"/>
      <c r="U21" s="1289" t="n"/>
      <c r="V21" s="1289" t="n"/>
    </row>
    <row r="22" ht="15" customHeight="1" s="254">
      <c r="A22" s="1552" t="inlineStr">
        <is>
          <t>Total ports</t>
        </is>
      </c>
      <c r="B22" s="1346">
        <f>SUMPRODUCT($H$7:$H$18,$I$7:$I$18)</f>
        <v/>
      </c>
      <c r="C22" s="1288" t="inlineStr">
        <is>
          <t>Connectors x units. The EVOLV billing basis. Dispensers carry the ports on a distributed system; the cabinet carries none.</t>
        </is>
      </c>
      <c r="L22" s="1289" t="n"/>
      <c r="M22" s="1289" t="n"/>
      <c r="N22" s="1289" t="n"/>
      <c r="O22" s="1289" t="n"/>
      <c r="P22" s="1289" t="n"/>
      <c r="Q22" s="1289" t="n"/>
      <c r="R22" s="1289" t="n"/>
      <c r="S22" s="1289" t="n"/>
      <c r="T22" s="1289" t="n"/>
      <c r="U22" s="1289" t="n"/>
      <c r="V22" s="1289" t="n"/>
    </row>
    <row r="23" ht="15" customHeight="1" s="254">
      <c r="A23" s="1552" t="inlineStr">
        <is>
          <t>Total connected load (kW)</t>
        </is>
      </c>
      <c r="B23" s="1346">
        <f>SUMPRODUCT(($E$7:$E$18="power_cabinet")+($E$7:$E$18="all_in_one")+($E$7:$E$18="level_2"),$G$7:$G$18,$I$7:$I$18)</f>
        <v/>
      </c>
      <c r="C23" s="1288" t="inlineStr">
        <is>
          <t>AC input, which is what the switchgear sees — a 480 kW cabinet draws 524 kW. Dispensers add nothing: their power comes from the cabinet, not the switchgear.</t>
        </is>
      </c>
      <c r="L23" s="1289" t="n"/>
      <c r="M23" s="1289" t="n"/>
      <c r="N23" s="1289" t="n"/>
      <c r="O23" s="1289" t="n"/>
      <c r="P23" s="1289" t="n"/>
      <c r="Q23" s="1289" t="n"/>
      <c r="R23" s="1289" t="n"/>
      <c r="S23" s="1289" t="n"/>
      <c r="T23" s="1289" t="n"/>
      <c r="U23" s="1289" t="n"/>
      <c r="V23" s="1289" t="n"/>
    </row>
    <row r="24" ht="15" customHeight="1" s="254">
      <c r="A24" s="1552" t="inlineStr">
        <is>
          <t>Equipment MSRP total</t>
        </is>
      </c>
      <c r="B24" s="1347">
        <f>SUMPRODUCT($I$7:$I$18,$K$7:$K$18)+SUMPRODUCT($I$7:$I$18,$N$7:$N$18,$P$7:$P$18)</f>
        <v/>
      </c>
      <c r="C24" s="1348" t="inlineStr">
        <is>
          <t>Catalogue SKUs at their price-book price, plus any dispensers priced by hand on the cabinet row.</t>
        </is>
      </c>
      <c r="G24" s="1289" t="n"/>
      <c r="H24" s="1289" t="n"/>
      <c r="I24" s="1289" t="n"/>
      <c r="J24" s="1289" t="n"/>
      <c r="K24" s="1289" t="n"/>
      <c r="L24" s="1289" t="n"/>
      <c r="M24" s="1289" t="n"/>
      <c r="N24" s="1289" t="n"/>
      <c r="O24" s="1289" t="n"/>
      <c r="P24" s="1289" t="n"/>
      <c r="Q24" s="1289" t="n"/>
      <c r="R24" s="1289" t="n"/>
      <c r="S24" s="1289" t="n"/>
      <c r="T24" s="1289" t="n"/>
      <c r="U24" s="1289" t="n"/>
      <c r="V24" s="1289" t="n"/>
    </row>
    <row r="25" ht="15" customHeight="1" s="254">
      <c r="A25" s="1552" t="inlineStr">
        <is>
          <t>Equipment after discount</t>
        </is>
      </c>
      <c r="B25" s="1347">
        <f>$B$24*(1-Commercial!$B$5)</f>
        <v/>
      </c>
      <c r="C25" s="1288" t="inlineStr">
        <is>
          <t>Sales tax is computed on THIS, not on MSRP. The discount is the one on the Commercial tab — there is no per-line discount any more.</t>
        </is>
      </c>
      <c r="L25" s="1289" t="n"/>
      <c r="M25" s="1289" t="n"/>
      <c r="N25" s="1289" t="n"/>
      <c r="O25" s="1289" t="n"/>
      <c r="P25" s="1289" t="n"/>
      <c r="Q25" s="1289" t="n"/>
      <c r="R25" s="1289" t="n"/>
      <c r="S25" s="1289" t="n"/>
      <c r="T25" s="1289" t="n"/>
      <c r="U25" s="1289" t="n"/>
      <c r="V25" s="1289" t="n"/>
    </row>
    <row r="26" ht="27.5" customHeight="1" s="254">
      <c r="A26" s="1328" t="inlineStr">
        <is>
          <t>of which DC fast-charging capacity (kW)</t>
        </is>
      </c>
      <c r="B26" s="1349">
        <f>SUMPRODUCT(($E$7:$E$18="power_cabinet")+($E$7:$E$18="all_in_one"),$F$7:$F$18,$I$7:$I$18)</f>
        <v/>
      </c>
      <c r="C26" s="1309" t="inlineStr">
        <is>
          <t>DC output. The LCFS credit basis. Counted once, at the cabinet — never again at the dispenser.</t>
        </is>
      </c>
      <c r="G26" s="1289" t="n"/>
      <c r="H26" s="1289" t="n"/>
      <c r="I26" s="1289" t="n"/>
      <c r="J26" s="1289" t="n"/>
      <c r="K26" s="1289" t="n"/>
      <c r="L26" s="1289" t="n"/>
      <c r="M26" s="1289" t="n"/>
      <c r="N26" s="1289" t="n"/>
      <c r="O26" s="1289" t="n"/>
      <c r="P26" s="1289" t="n"/>
      <c r="Q26" s="1289" t="n"/>
      <c r="R26" s="1289" t="n"/>
      <c r="S26" s="1289" t="n"/>
      <c r="T26" s="1289" t="n"/>
      <c r="U26" s="1289" t="n"/>
      <c r="V26" s="1289" t="n"/>
    </row>
    <row r="27" ht="29" customHeight="1" s="254">
      <c r="A27" s="1299" t="inlineStr">
        <is>
          <t>Scope of work sentence (one line, must match the rows above)</t>
        </is>
      </c>
      <c r="B27" s="1292" t="inlineStr">
        <is>
          <t>Installation of (4) 360 kW dual-port DC fast chargers and (2) dual Level 2 units — 12 charging positions</t>
        </is>
      </c>
      <c r="C27" s="948" t="n"/>
      <c r="D27" s="948" t="n"/>
      <c r="E27" s="948" t="n"/>
      <c r="F27" s="948" t="n"/>
      <c r="G27" s="948" t="n"/>
      <c r="H27" s="943" t="n"/>
      <c r="I27" s="1289" t="n"/>
      <c r="J27" s="1289" t="n"/>
      <c r="K27" s="1289" t="n"/>
      <c r="L27" s="1289" t="n"/>
      <c r="M27" s="1289" t="n"/>
      <c r="N27" s="1289" t="n"/>
      <c r="O27" s="1289" t="n"/>
      <c r="P27" s="1289" t="n"/>
      <c r="Q27" s="1289" t="n"/>
      <c r="R27" s="1289" t="n"/>
      <c r="S27" s="1289" t="n"/>
      <c r="T27" s="1289" t="n"/>
      <c r="U27" s="1289" t="n"/>
      <c r="V27" s="1289" t="n"/>
    </row>
    <row r="28" ht="15" customHeight="1" s="254">
      <c r="A28" s="1552" t="n"/>
      <c r="B28" s="1552" t="n"/>
      <c r="C28" s="1552" t="n"/>
      <c r="D28" s="1552" t="n"/>
      <c r="E28" s="1552" t="n"/>
      <c r="F28" s="1552" t="n"/>
      <c r="G28" s="1552" t="n"/>
      <c r="H28" s="1552" t="n"/>
      <c r="I28" s="1552" t="n"/>
      <c r="J28" s="1552" t="n"/>
      <c r="K28" s="1552" t="n"/>
      <c r="L28" s="1552" t="n"/>
      <c r="M28" s="1552" t="n"/>
      <c r="N28" s="1552" t="n"/>
      <c r="O28" s="1552" t="n"/>
      <c r="P28" s="1552" t="n"/>
      <c r="Q28" s="1289" t="n"/>
      <c r="R28" s="1289" t="n"/>
      <c r="S28" s="1289" t="n"/>
      <c r="T28" s="1289" t="n"/>
      <c r="U28" s="1289" t="n"/>
      <c r="V28" s="1289" t="n"/>
    </row>
    <row r="29" ht="27.5" customHeight="1" s="254">
      <c r="A29" s="1289" t="n"/>
      <c r="B29" s="1288" t="inlineStr">
        <is>
          <t>Write it from the table, e.g. "Installation of (4) 360 kW dual-port DC fast chargers — 8 charging positions".</t>
        </is>
      </c>
      <c r="E29" s="1289" t="n"/>
      <c r="F29" s="1289" t="n"/>
      <c r="G29" s="1289" t="n"/>
      <c r="H29" s="1289" t="n"/>
      <c r="I29" s="1289" t="n"/>
      <c r="J29" s="1289" t="n"/>
      <c r="K29" s="1289" t="n"/>
      <c r="L29" s="1289" t="n"/>
      <c r="M29" s="1289" t="n"/>
      <c r="N29" s="1289" t="n"/>
      <c r="O29" s="1289" t="n"/>
      <c r="P29" s="1289" t="n"/>
      <c r="Q29" s="1289" t="n"/>
      <c r="R29" s="1289" t="n"/>
      <c r="S29" s="1289" t="n"/>
      <c r="T29" s="1289" t="n"/>
      <c r="U29" s="1289" t="n"/>
      <c r="V29" s="1289" t="n"/>
    </row>
    <row r="30" ht="40" customHeight="1" s="254">
      <c r="A30" s="1547" t="inlineStr">
        <is>
          <t>Level 2 supply voltage (V)</t>
        </is>
      </c>
      <c r="B30" s="1326" t="n"/>
      <c r="C30" s="1288"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I30" s="1289" t="n"/>
      <c r="J30" s="1289" t="n"/>
      <c r="K30" s="1289" t="n"/>
      <c r="L30" s="1289" t="n"/>
      <c r="M30" s="1289" t="n"/>
      <c r="N30" s="1289" t="n"/>
      <c r="O30" s="1289" t="n"/>
      <c r="P30" s="1289" t="n"/>
      <c r="Q30" s="1289" t="n"/>
      <c r="R30" s="1289" t="n"/>
      <c r="S30" s="1289" t="n"/>
      <c r="T30" s="1289" t="n"/>
      <c r="U30" s="1289" t="n"/>
      <c r="V30" s="1289" t="n"/>
    </row>
    <row r="31" ht="15" customHeight="1" s="254">
      <c r="A31" s="1289" t="n"/>
      <c r="B31" s="1289" t="n"/>
      <c r="C31" s="1289" t="n"/>
      <c r="D31" s="1289" t="n"/>
      <c r="E31" s="1289" t="n"/>
      <c r="F31" s="1289" t="n"/>
      <c r="G31" s="1289" t="n"/>
      <c r="H31" s="1289" t="n"/>
      <c r="I31" s="1289" t="n"/>
      <c r="J31" s="1289" t="n"/>
      <c r="K31" s="1289" t="n"/>
      <c r="L31" s="1289" t="n"/>
      <c r="M31" s="1289" t="n"/>
      <c r="N31" s="1289" t="n"/>
      <c r="O31" s="1289" t="n"/>
      <c r="P31" s="1289" t="n"/>
      <c r="Q31" s="1289" t="n"/>
      <c r="R31" s="1289" t="n"/>
      <c r="S31" s="1289" t="n"/>
      <c r="T31" s="1289" t="n"/>
      <c r="U31" s="1289" t="n"/>
      <c r="V31" s="1289" t="n"/>
    </row>
    <row r="32" ht="15" customHeight="1" s="254">
      <c r="A32" s="1308" t="inlineStr">
        <is>
          <t>Distributed system — do the dispensers fit the cabinets?</t>
        </is>
      </c>
      <c r="I32" s="1289" t="n"/>
      <c r="J32" s="1289" t="n"/>
      <c r="K32" s="1289" t="n"/>
      <c r="L32" s="1289" t="n"/>
      <c r="M32" s="1289" t="n"/>
      <c r="N32" s="1289" t="n"/>
      <c r="O32" s="1289" t="n"/>
      <c r="P32" s="1289" t="n"/>
      <c r="Q32" s="1289" t="n"/>
      <c r="R32" s="1289" t="n"/>
      <c r="S32" s="1289" t="n"/>
      <c r="T32" s="1289" t="n"/>
      <c r="U32" s="1289" t="n"/>
      <c r="V32" s="1289" t="n"/>
    </row>
    <row r="33" hidden="1" outlineLevel="1" ht="27.5" customHeight="1" s="254">
      <c r="A33" s="1309" t="inlineStr">
        <is>
          <t>Only relevant when a power cabinet is on the schedule. A cabinet feeds a limited number of DC outputs; each dual dispenser consumes two of them. Every dispenser also needs a DC run back to its cabinet — schedule those on the Electrical tab.</t>
        </is>
      </c>
      <c r="I33" s="1289" t="n"/>
      <c r="J33" s="1289" t="n"/>
      <c r="K33" s="1289" t="n"/>
      <c r="L33" s="1289" t="n"/>
      <c r="M33" s="1289" t="n"/>
      <c r="N33" s="1289" t="n"/>
      <c r="O33" s="1289" t="n"/>
      <c r="P33" s="1289" t="n"/>
      <c r="Q33" s="1289" t="n"/>
      <c r="R33" s="1289" t="n"/>
      <c r="S33" s="1289" t="n"/>
      <c r="T33" s="1289" t="n"/>
      <c r="U33" s="1289" t="n"/>
      <c r="V33" s="1289" t="n"/>
    </row>
    <row r="34" hidden="1" outlineLevel="1" ht="15" customHeight="1" s="254">
      <c r="A34" s="1552" t="inlineStr">
        <is>
          <t>Power cabinets on site</t>
        </is>
      </c>
      <c r="B34" s="1350">
        <f>SUMPRODUCT(--($E$7:$E$18="power_cabinet"),$I$7:$I$18)</f>
        <v/>
      </c>
      <c r="C34" s="1289" t="n"/>
      <c r="D34" s="1289" t="n"/>
      <c r="E34" s="1289" t="n"/>
      <c r="F34" s="1289" t="n"/>
      <c r="G34" s="1289" t="n"/>
      <c r="H34" s="1289" t="n"/>
      <c r="I34" s="1289" t="n"/>
      <c r="J34" s="1289" t="n"/>
      <c r="K34" s="1289" t="n"/>
      <c r="L34" s="1289" t="n"/>
      <c r="M34" s="1289" t="n"/>
      <c r="N34" s="1289" t="n"/>
      <c r="O34" s="1289" t="n"/>
      <c r="P34" s="1289" t="n"/>
      <c r="Q34" s="1289" t="n"/>
      <c r="R34" s="1289" t="n"/>
      <c r="S34" s="1289" t="n"/>
      <c r="T34" s="1289" t="n"/>
      <c r="U34" s="1289" t="n"/>
      <c r="V34" s="1289" t="n"/>
    </row>
    <row r="35" hidden="1" outlineLevel="1" ht="15" customHeight="1" s="254">
      <c r="A35" s="1552" t="inlineStr">
        <is>
          <t>Dispensers those cabinets can take</t>
        </is>
      </c>
      <c r="B35" s="1350">
        <f>SUMPRODUCT($M$7:$M$18,$I$7:$I$18)</f>
        <v/>
      </c>
      <c r="C35" s="1309" t="inlineStr">
        <is>
          <t>From the architecture table: a 480 kW cabinet takes up to 3 dual dispensers, a 1.28 MW up to 8.</t>
        </is>
      </c>
      <c r="I35" s="1289" t="n"/>
      <c r="J35" s="1289" t="n"/>
      <c r="K35" s="1289" t="n"/>
      <c r="L35" s="1289" t="n"/>
      <c r="M35" s="1289" t="n"/>
      <c r="N35" s="1289" t="n"/>
      <c r="O35" s="1289" t="n"/>
      <c r="P35" s="1289" t="n"/>
      <c r="Q35" s="1289" t="n"/>
      <c r="R35" s="1289" t="n"/>
      <c r="S35" s="1289" t="n"/>
      <c r="T35" s="1289" t="n"/>
      <c r="U35" s="1289" t="n"/>
      <c r="V35" s="1289" t="n"/>
    </row>
    <row r="36" hidden="1" outlineLevel="1" ht="15" customHeight="1" s="254">
      <c r="A36" s="1552" t="inlineStr">
        <is>
          <t>Dispensers on the cabinet rows</t>
        </is>
      </c>
      <c r="B36" s="1350">
        <f>SUMPRODUCT(--($E$7:$E$18="power_cabinet"),$N$7:$N$18,$I$7:$I$18)</f>
        <v/>
      </c>
      <c r="C36" s="1309" t="inlineStr">
        <is>
          <t>Dispensers per cabinet x the number of cabinets. This is now the only way a dispenser is entered.</t>
        </is>
      </c>
      <c r="I36" s="1289" t="n"/>
      <c r="J36" s="1289" t="n"/>
      <c r="K36" s="1289" t="n"/>
      <c r="L36" s="1289" t="n"/>
      <c r="M36" s="1289" t="n"/>
      <c r="N36" s="1289" t="n"/>
      <c r="O36" s="1289" t="n"/>
      <c r="P36" s="1289" t="n"/>
      <c r="Q36" s="1289" t="n"/>
      <c r="R36" s="1289" t="n"/>
      <c r="S36" s="1289" t="n"/>
      <c r="T36" s="1289" t="n"/>
      <c r="U36" s="1289" t="n"/>
      <c r="V36" s="1289" t="n"/>
    </row>
    <row r="37" hidden="1" outlineLevel="1" ht="27.5" customHeight="1" s="254">
      <c r="A37" s="1294" t="inlineStr">
        <is>
          <t>Dispensers entered on a line of their own</t>
        </is>
      </c>
      <c r="B37" s="1350">
        <f>SUMPRODUCT(--($E$7:$E$18="dispenser"),$I$7:$I$18)</f>
        <v/>
      </c>
      <c r="C37" s="1309" t="inlineStr">
        <is>
          <t>Should always be zero. A dispenser belongs on its cabinet row, not on a line of its own.</t>
        </is>
      </c>
      <c r="I37" s="1289" t="n"/>
      <c r="J37" s="1289" t="n"/>
      <c r="K37" s="1289" t="n"/>
      <c r="L37" s="1289" t="n"/>
      <c r="M37" s="1289" t="n"/>
      <c r="N37" s="1289" t="n"/>
      <c r="O37" s="1289" t="n"/>
      <c r="P37" s="1289" t="n"/>
      <c r="Q37" s="1289" t="n"/>
      <c r="R37" s="1289" t="n"/>
      <c r="S37" s="1289" t="n"/>
      <c r="T37" s="1289" t="n"/>
      <c r="U37" s="1289" t="n"/>
      <c r="V37" s="1289" t="n"/>
    </row>
    <row r="38" hidden="1" outlineLevel="1" ht="15" customHeight="1" s="254">
      <c r="A38" s="1547" t="inlineStr">
        <is>
          <t>Dispensers in total</t>
        </is>
      </c>
      <c r="B38" s="1351">
        <f>$B$36+$B$37</f>
        <v/>
      </c>
      <c r="C38" s="1289" t="n"/>
      <c r="D38" s="1289" t="n"/>
      <c r="E38" s="1289" t="n"/>
      <c r="F38" s="1289" t="n"/>
      <c r="G38" s="1289" t="n"/>
      <c r="H38" s="1289" t="n"/>
      <c r="I38" s="1289" t="n"/>
      <c r="J38" s="1289" t="n"/>
      <c r="K38" s="1289" t="n"/>
      <c r="L38" s="1289" t="n"/>
      <c r="M38" s="1289" t="n"/>
      <c r="N38" s="1289" t="n"/>
      <c r="O38" s="1289" t="n"/>
      <c r="P38" s="1289" t="n"/>
      <c r="Q38" s="1289" t="n"/>
      <c r="R38" s="1289" t="n"/>
      <c r="S38" s="1289" t="n"/>
      <c r="T38" s="1289" t="n"/>
      <c r="U38" s="1289" t="n"/>
      <c r="V38" s="1289" t="n"/>
    </row>
    <row r="39" hidden="1" outlineLevel="1" ht="15" customHeight="1" s="254">
      <c r="A39" s="1552" t="inlineStr">
        <is>
          <t>Connectors those dispensers carry</t>
        </is>
      </c>
      <c r="B39" s="1350">
        <f>SUMPRODUCT(--($E$7:$E$18="power_cabinet"),$H$7:$H$18,$I$7:$I$18)</f>
        <v/>
      </c>
      <c r="C39" s="1289" t="n"/>
      <c r="D39" s="1289" t="n"/>
      <c r="E39" s="1289" t="n"/>
      <c r="F39" s="1289" t="n"/>
      <c r="G39" s="1289" t="n"/>
      <c r="H39" s="1289" t="n"/>
      <c r="I39" s="1289" t="n"/>
      <c r="J39" s="1289" t="n"/>
      <c r="K39" s="1289" t="n"/>
      <c r="L39" s="1289" t="n"/>
      <c r="M39" s="1289" t="n"/>
      <c r="N39" s="1289" t="n"/>
      <c r="O39" s="1289" t="n"/>
      <c r="P39" s="1289" t="n"/>
      <c r="Q39" s="1289" t="n"/>
      <c r="R39" s="1289" t="n"/>
      <c r="S39" s="1289" t="n"/>
      <c r="T39" s="1289" t="n"/>
      <c r="U39" s="1289" t="n"/>
      <c r="V39" s="1289" t="n"/>
    </row>
    <row r="40" ht="27.5" customHeight="1" s="254">
      <c r="A40" s="1547" t="inlineStr">
        <is>
          <t>DISTRIBUTED SYSTEM CHECK</t>
        </is>
      </c>
      <c r="B40" s="1352">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1289" t="n"/>
      <c r="J40" s="1289" t="n"/>
      <c r="K40" s="1289" t="n"/>
      <c r="L40" s="1289" t="n"/>
      <c r="M40" s="1289" t="n"/>
      <c r="N40" s="1289" t="n"/>
      <c r="O40" s="1289" t="n"/>
      <c r="P40" s="1289" t="n"/>
      <c r="Q40" s="1289" t="n"/>
      <c r="R40" s="1289" t="n"/>
      <c r="S40" s="1289" t="n"/>
      <c r="T40" s="1289" t="n"/>
      <c r="U40" s="1289" t="n"/>
      <c r="V40" s="1289" t="n"/>
    </row>
    <row r="41" hidden="1" outlineLevel="1" ht="15" customHeight="1" s="254">
      <c r="A41" s="1552" t="inlineStr">
        <is>
          <t>Dispenser value at list</t>
        </is>
      </c>
      <c r="B41" s="1353">
        <f>SUMPRODUCT($I$7:$I$18,$N$7:$N$18,$P$7:$P$18)</f>
        <v/>
      </c>
      <c r="C41" s="1309" t="inlineStr">
        <is>
          <t>Dispensers x their price-book price. Included in the two equipment totals above.</t>
        </is>
      </c>
      <c r="I41" s="1289" t="n"/>
      <c r="J41" s="1289" t="n"/>
      <c r="K41" s="1289" t="n"/>
      <c r="L41" s="1289" t="n"/>
      <c r="M41" s="1289" t="n"/>
      <c r="N41" s="1289" t="n"/>
      <c r="O41" s="1289" t="n"/>
      <c r="P41" s="1289" t="n"/>
      <c r="Q41" s="1289" t="n"/>
      <c r="R41" s="1289" t="n"/>
      <c r="S41" s="1289" t="n"/>
      <c r="T41" s="1289" t="n"/>
      <c r="U41" s="1289" t="n"/>
      <c r="V41" s="1289" t="n"/>
    </row>
    <row r="42" hidden="1" outlineLevel="1" ht="27.5" customHeight="1" s="254">
      <c r="A42" s="1328" t="inlineStr">
        <is>
          <t>Is a dispenser SKU picked where dispensers are scheduled?</t>
        </is>
      </c>
      <c r="B42" s="1354">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I42" s="1289" t="n"/>
      <c r="J42" s="1289" t="n"/>
      <c r="K42" s="1289" t="n"/>
      <c r="L42" s="1289" t="n"/>
      <c r="M42" s="1289" t="n"/>
      <c r="N42" s="1289" t="n"/>
      <c r="O42" s="1289" t="n"/>
      <c r="P42" s="1289" t="n"/>
      <c r="Q42" s="1289" t="n"/>
      <c r="R42" s="1289" t="n"/>
      <c r="S42" s="1289" t="n"/>
      <c r="T42" s="1289" t="n"/>
      <c r="U42" s="1289" t="n"/>
      <c r="V42" s="1289" t="n"/>
    </row>
    <row r="43" hidden="1" outlineLevel="1" ht="52.5" customHeight="1" s="254">
      <c r="A43" s="1552" t="inlineStr">
        <is>
          <t>Any dispenser on a line of its own?</t>
        </is>
      </c>
      <c r="B43" s="1355">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1300" t="inlineStr">
        <is>
          <t>It used to fire whenever a dispenser was on its own line at all, which is a legitimate entry now the dispenser SKU is in the price book. The thing that is actually wrong is using both routes, because the totals sum them.</t>
        </is>
      </c>
      <c r="L43" s="1289" t="n"/>
      <c r="M43" s="1289" t="n"/>
      <c r="N43" s="1289" t="n"/>
      <c r="O43" s="1289" t="n"/>
      <c r="P43" s="1289" t="n"/>
      <c r="Q43" s="1289" t="n"/>
      <c r="R43" s="1289" t="n"/>
      <c r="S43" s="1289" t="n"/>
      <c r="T43" s="1289" t="n"/>
      <c r="U43" s="1289" t="n"/>
      <c r="V43" s="1289" t="n"/>
    </row>
    <row r="44" hidden="1" outlineLevel="1" ht="27.5" customHeight="1" s="254">
      <c r="A44" s="1294" t="inlineStr">
        <is>
          <t>Level 2 units rated at their supply voltage?</t>
        </is>
      </c>
      <c r="B44" s="1356">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1357" t="n"/>
      <c r="D44" s="1289" t="n"/>
      <c r="E44" s="1289" t="n"/>
      <c r="F44" s="1289" t="n"/>
      <c r="G44" s="1289" t="n"/>
      <c r="H44" s="1289" t="n"/>
      <c r="I44" s="1289" t="n"/>
      <c r="J44" s="1289" t="n"/>
      <c r="K44" s="1289" t="n"/>
      <c r="L44" s="1289" t="n"/>
      <c r="M44" s="1289" t="n"/>
      <c r="N44" s="1289" t="n"/>
      <c r="O44" s="1289" t="n"/>
      <c r="P44" s="1289" t="n"/>
      <c r="Q44" s="1289" t="n"/>
      <c r="R44" s="1289" t="n"/>
      <c r="S44" s="1289" t="n"/>
      <c r="T44" s="1289" t="n"/>
      <c r="U44" s="1289" t="n"/>
      <c r="V44" s="1289" t="n"/>
    </row>
    <row r="45" hidden="1" outlineLevel="1" ht="15" customHeight="1" s="254">
      <c r="A45" s="1289" t="n"/>
      <c r="B45" s="1289" t="n"/>
      <c r="C45" s="1289" t="n"/>
      <c r="D45" s="1289" t="n"/>
      <c r="E45" s="1289" t="n"/>
      <c r="F45" s="1289" t="n"/>
      <c r="G45" s="1289" t="n"/>
      <c r="H45" s="1289" t="n"/>
      <c r="I45" s="1289" t="n"/>
      <c r="J45" s="1289" t="n"/>
      <c r="K45" s="1289" t="n"/>
      <c r="L45" s="1289" t="n"/>
      <c r="M45" s="1289" t="n"/>
      <c r="N45" s="1289" t="n"/>
      <c r="O45" s="1289" t="n"/>
      <c r="P45" s="1289" t="n"/>
      <c r="Q45" s="1289" t="n"/>
      <c r="R45" s="1289" t="n"/>
      <c r="S45" s="1289" t="n"/>
      <c r="T45" s="1289" t="n"/>
      <c r="U45" s="1289" t="n"/>
      <c r="V45" s="1289" t="n"/>
    </row>
    <row r="46" ht="15" customHeight="1" s="254">
      <c r="A46" s="1551" t="inlineStr">
        <is>
          <t>ENTRY CHECKS — what a wrong entry looks like</t>
        </is>
      </c>
      <c r="Q46" s="1289" t="n"/>
      <c r="R46" s="1289" t="n"/>
      <c r="S46" s="1289" t="n"/>
      <c r="T46" s="1289" t="n"/>
      <c r="U46" s="1289" t="n"/>
      <c r="V46" s="1289" t="n"/>
    </row>
    <row r="47" hidden="1" outlineLevel="1" ht="15" customHeight="1" s="254">
      <c r="A47" s="1309" t="inlineStr">
        <is>
          <t>Each of these is a real way to get a wrong answer out of this tab. None of them used to say anything.</t>
        </is>
      </c>
      <c r="Q47" s="1289" t="n"/>
      <c r="R47" s="1289" t="n"/>
      <c r="S47" s="1289" t="n"/>
      <c r="T47" s="1289" t="n"/>
      <c r="U47" s="1289" t="n"/>
      <c r="V47" s="1289" t="n"/>
    </row>
    <row r="48" hidden="1" outlineLevel="1" ht="27.5" customHeight="1" s="254">
      <c r="A48" s="1294" t="inlineStr">
        <is>
          <t>Any discount typed on an equipment line?</t>
        </is>
      </c>
      <c r="B48" s="1352">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c r="Q48" s="1289" t="n"/>
      <c r="R48" s="1289" t="n"/>
      <c r="S48" s="1289" t="n"/>
      <c r="T48" s="1289" t="n"/>
      <c r="U48" s="1289" t="n"/>
      <c r="V48" s="1289" t="n"/>
    </row>
    <row r="49" hidden="1" outlineLevel="1" ht="15" customHeight="1" s="254">
      <c r="A49" s="1552" t="inlineStr">
        <is>
          <t>Dispensers counted twice?</t>
        </is>
      </c>
      <c r="B49" s="1352">
        <f>IF(AND(SUMPRODUCT(--($E$7:$E$18="power_cabinet"),$N$7:$N$18)&gt;0,SUMPRODUCT(--($E$7:$E$18="dispenser"))&gt;0),"ERROR — DOUBLE COUNTED. Dispensers appear both on a cabinet row and on a line of their own. Delete the separate line; the cabinet row is the only place they belong.","OK — dispensers are entered one way only")</f>
        <v/>
      </c>
      <c r="Q49" s="1289" t="n"/>
      <c r="R49" s="1289" t="n"/>
      <c r="S49" s="1289" t="n"/>
      <c r="T49" s="1289" t="n"/>
      <c r="U49" s="1289" t="n"/>
      <c r="V49" s="1289" t="n"/>
    </row>
    <row r="50" hidden="1" outlineLevel="1" ht="15" customHeight="1" s="254">
      <c r="A50" s="1552" t="inlineStr">
        <is>
          <t>Anything entered below the table?</t>
        </is>
      </c>
      <c r="B50" s="1352">
        <f>IF(COUNTA($B$19:$C$19)&gt;0,"ERROR — SOMETHING IS ENTERED BELOW LINE 12. Every total on this tab covers rows 7 to 18 only, so a line entered underneath is not counted and not priced. Move it into the table.","OK — nothing entered below the table")</f>
        <v/>
      </c>
      <c r="Q50" s="1289" t="n"/>
      <c r="R50" s="1289" t="n"/>
      <c r="S50" s="1289" t="n"/>
      <c r="T50" s="1289" t="n"/>
      <c r="U50" s="1289" t="n"/>
      <c r="V50" s="1289" t="n"/>
    </row>
    <row r="51" hidden="1" outlineLevel="1" ht="15" customHeight="1" s="254">
      <c r="A51" s="1552" t="inlineStr">
        <is>
          <t>Every SKU found in the price book?</t>
        </is>
      </c>
      <c r="B51" s="1352">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c r="Q51" s="1289" t="n"/>
      <c r="R51" s="1289" t="n"/>
      <c r="S51" s="1289" t="n"/>
      <c r="T51" s="1289" t="n"/>
      <c r="U51" s="1289" t="n"/>
      <c r="V51" s="1289" t="n"/>
    </row>
    <row r="52" hidden="1" outlineLevel="1" ht="15" customHeight="1" s="254">
      <c r="A52" s="1294" t="inlineStr">
        <is>
          <t>Every line with a SKU has a quantity?</t>
        </is>
      </c>
      <c r="B52" s="1352">
        <f>IF(SUMPRODUCT(($C$7:$C$18&lt;&gt;"")*($I$7:$I$18=0))&gt;0,"ERROR — A LINE HAS A SKU BUT NO QUANTITY. Description, role, connectors and MSRP all populate from the SKU, so the line looks finished; quantity is what every total multiplies by, so it contributes nothing.","OK — every line with a SKU has a quantity")</f>
        <v/>
      </c>
      <c r="Q52" s="1289" t="n"/>
      <c r="R52" s="1289" t="n"/>
      <c r="S52" s="1289" t="n"/>
      <c r="T52" s="1289" t="n"/>
      <c r="U52" s="1289" t="n"/>
      <c r="V52" s="1289" t="n"/>
    </row>
    <row r="53" hidden="1" outlineLevel="1" ht="15" customHeight="1" s="254">
      <c r="A53" s="1294" t="inlineStr">
        <is>
          <t>Every line with a capacity has a SKU?</t>
        </is>
      </c>
      <c r="B53" s="1352">
        <f>IF(SUMPRODUCT(($B$7:$B$18&lt;&gt;"")*($C$7:$C$18=""))&gt;0,"INCOMPLETE — a capacity is picked on a line with no SKU. The line is inert until the SKU is chosen.","OK — every line with a capacity has a SKU")</f>
        <v/>
      </c>
      <c r="Q53" s="1289" t="n"/>
      <c r="R53" s="1289" t="n"/>
      <c r="S53" s="1289" t="n"/>
      <c r="T53" s="1289" t="n"/>
      <c r="U53" s="1289" t="n"/>
      <c r="V53" s="1289" t="n"/>
    </row>
    <row r="54" hidden="1" outlineLevel="1" ht="52.5" customHeight="1" s="254">
      <c r="A54" s="1552" t="inlineStr">
        <is>
          <t>Every SKU has a connector count?</t>
        </is>
      </c>
      <c r="B54" s="1358">
        <f>IF(COUNTA($C$7:$C$18)=0,"OK — nothing scheduled yet",IF(SUMPRODUCT(--($C$7:$C$18&lt;&gt;""),--($E$7:$E$18&lt;&gt;"accessory"),--($E$7:$E$18&lt;&gt;"power_cabinet"),--(H$7:H$18=0))&gt;0,"A SCHEDULED SKU HAS NO CONNECTOR COUNT — add it to the price book column I; the sheet will not guess","OK — every scheduled SKU carries a connector count"))</f>
        <v/>
      </c>
      <c r="C54" s="1300" t="inlineStr">
        <is>
          <t>Power cabinets are exempt: their connectors are on their dispensers, which are scheduled separately. Accessories are exempt for the same reason — they are not charging positions.</t>
        </is>
      </c>
      <c r="L54" s="1289" t="n"/>
      <c r="M54" s="1289" t="n"/>
      <c r="N54" s="1289" t="n"/>
      <c r="O54" s="1289" t="n"/>
      <c r="P54" s="1289" t="n"/>
      <c r="Q54" s="1289" t="n"/>
      <c r="R54" s="1289" t="n"/>
      <c r="S54" s="1289" t="n"/>
      <c r="T54" s="1289" t="n"/>
      <c r="U54" s="1289" t="n"/>
      <c r="V54" s="1289" t="n"/>
    </row>
    <row r="55" ht="15" customHeight="1" s="254">
      <c r="A55" s="1352">
        <f>IF(SUMPRODUCT(--($B$43:$B$54&lt;&gt;""),--(LEFT($B$43:$B$54,2)&lt;&gt;"OK"))&gt;0,"FIX "&amp;TEXT(SUMPRODUCT(--($B$43:$B$54&lt;&gt;""),--(LEFT($B$43:$B$54,2)&lt;&gt;"OK")),"0")&amp;" ITEM(S) ABOVE — the equipment totals on this tab are wrong until you do","ENTRY CHECKS ALL PASS")</f>
        <v/>
      </c>
      <c r="Q55" s="1289" t="n"/>
      <c r="R55" s="1289" t="n"/>
      <c r="S55" s="1289" t="n"/>
      <c r="T55" s="1289" t="n"/>
      <c r="U55" s="1289" t="n"/>
      <c r="V55" s="1289" t="n"/>
    </row>
  </sheetData>
  <sheetProtection selectLockedCells="0" selectUnlockedCells="0" sheet="1" objects="0" insertRows="1" insertHyperlinks="1" autoFilter="1" scenarios="0" formatColumns="0" deleteColumns="1" insertColumns="1" pivotTables="1" deleteRows="1" formatCells="0" formatRows="0" sort="1"/>
  <mergeCells count="32">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32:H32"/>
    <mergeCell ref="C30:H30"/>
    <mergeCell ref="A4:H4"/>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8.xml><?xml version="1.0" encoding="utf-8"?>
<worksheet xmlns="http://schemas.openxmlformats.org/spreadsheetml/2006/main">
  <sheetPr>
    <tabColor rgb="006B4C9A"/>
    <outlinePr summaryBelow="0" summaryRight="1"/>
    <pageSetUpPr fitToPage="1"/>
  </sheetPr>
  <dimension ref="A1:X229"/>
  <sheetViews>
    <sheetView showGridLines="0" tabSelected="0" topLeftCell="A1" zoomScale="100" workbookViewId="0">
      <pane ySplit="2" topLeftCell="A3" activePane="bottomLeft" state="frozen"/>
      <selection pane="bottomLeft" activeCell="A3" sqref="A3"/>
    </sheetView>
  </sheetViews>
  <sheetFormatPr baseColWidth="8" defaultRowHeight="15" outlineLevelRow="1"/>
  <cols>
    <col width="32" customWidth="1" style="254" min="1" max="1"/>
    <col width="30" customWidth="1" style="254" min="2" max="2"/>
    <col width="24" customWidth="1" style="254" min="3" max="3"/>
    <col width="11" customWidth="1" style="254" min="4" max="4"/>
    <col width="12" customWidth="1" style="254" min="5" max="5"/>
    <col width="11" customWidth="1" style="254" min="6" max="6"/>
    <col width="11" customWidth="1" style="254" min="7" max="7"/>
    <col width="11" customWidth="1" style="254" min="8" max="8"/>
    <col width="11" customWidth="1" style="254" min="9" max="9"/>
    <col width="11" customWidth="1" style="254" min="10" max="10"/>
    <col width="11" customWidth="1" style="254" min="11" max="11"/>
    <col width="11" customWidth="1" style="254" min="12" max="12"/>
    <col width="11" customWidth="1" style="254" min="13" max="13"/>
    <col width="11" customWidth="1" style="254" min="14" max="14"/>
    <col width="13" customWidth="1" style="254" min="15" max="15"/>
    <col width="11" customWidth="1" style="254" min="16" max="16"/>
    <col width="11" customWidth="1" style="254" min="17" max="17"/>
    <col width="30" customWidth="1" style="254" min="18" max="18"/>
    <col width="12" customWidth="1" style="254" min="19" max="19"/>
    <col width="46" customWidth="1" style="254" min="20" max="20"/>
    <col width="11" customWidth="1" style="254" min="21" max="21"/>
    <col width="11" customWidth="1" style="254" min="22" max="22"/>
    <col width="11" customWidth="1" style="254" min="23" max="23"/>
    <col width="11" customWidth="1" style="254" min="24" max="24"/>
  </cols>
  <sheetData>
    <row r="1" ht="15" customHeight="1" s="254">
      <c r="A1" s="1261" t="inlineStr">
        <is>
          <t>3 · SITE AND ELECTRICAL</t>
        </is>
      </c>
      <c r="I1" s="1359" t="n"/>
      <c r="J1" s="1359" t="n"/>
      <c r="K1" s="1359" t="n"/>
      <c r="L1" s="1359" t="n"/>
      <c r="M1" s="1359" t="n"/>
      <c r="N1" s="1359" t="n"/>
      <c r="O1" s="1359" t="n"/>
      <c r="P1" s="1359" t="n"/>
      <c r="Q1" s="1359" t="n"/>
      <c r="R1" s="1359" t="n"/>
      <c r="S1" s="1359" t="n"/>
      <c r="T1" s="1359" t="n"/>
      <c r="U1" s="1359" t="n"/>
      <c r="V1" s="1359" t="n"/>
      <c r="W1" s="1359" t="n"/>
      <c r="X1" s="1359" t="n"/>
    </row>
    <row r="2" ht="27.5" customHeight="1" s="254">
      <c r="A2" s="1288" t="inlineStr">
        <is>
          <t>Distances and materials. This tab drives the largest single cost in the project — and it is built for you: the chargers are listed from the Equipment tab, you type the distances.</t>
        </is>
      </c>
      <c r="I2" s="1289" t="n"/>
      <c r="J2" s="1289" t="n"/>
      <c r="K2" s="1289" t="n"/>
      <c r="L2" s="1289" t="n"/>
      <c r="M2" s="1289" t="n"/>
      <c r="N2" s="1289" t="n"/>
      <c r="O2" s="1289" t="n"/>
      <c r="P2" s="1289" t="n"/>
      <c r="Q2" s="1289" t="n"/>
      <c r="R2" s="1289" t="n"/>
      <c r="S2" s="1289" t="n"/>
      <c r="T2" s="1289" t="n"/>
      <c r="U2" s="1289" t="n"/>
      <c r="V2" s="1289" t="n"/>
      <c r="W2" s="1289" t="n"/>
      <c r="X2" s="1289" t="n"/>
    </row>
    <row r="3" ht="40" customHeight="1" s="254">
      <c r="A3" s="1300" t="inlineStr">
        <is>
          <t>HOW TO FILL THIS TAB. Three entries and the tab does the rest. (1) Block B lists every charger from the Equipment tab — type the DISTANCE from the switchgear or panel to each one; the conductor, breaker, ground, conduit and cost are sized and priced for you, with a verdict on every row. A Level 2 dual pedestal is two units on one circuit: give both the same circuit name in column E and the distance on the first. (2) Block C is for DISPENSERS, which exist only on a power-cabinet system; on any other site it reads NOT USED and is left alone. (3) Block D wants the switchgear frame you are quoting and block E the boards, panels and transformers between the service and the chargers. Override a conductor or a conduit only when the drawings say so. (4) If the schedule in block E has panels, transformers or remote disconnects, block I at the foot of the tab prices the feeders between them — one row each, FROM and TO picked from the schedule, distance typed.</t>
        </is>
      </c>
      <c r="U3" s="1289" t="n"/>
      <c r="V3" s="1289" t="n"/>
      <c r="W3" s="1289" t="n"/>
      <c r="X3" s="1289" t="n"/>
    </row>
    <row r="4" ht="15" customHeight="1" s="254">
      <c r="A4" s="1289" t="n"/>
      <c r="B4" s="1289" t="n"/>
      <c r="C4" s="1289" t="n"/>
      <c r="D4" s="1289" t="n"/>
      <c r="E4" s="1289" t="n"/>
      <c r="F4" s="1289" t="n"/>
      <c r="G4" s="1289" t="n"/>
      <c r="H4" s="1289" t="n"/>
      <c r="I4" s="1289" t="n"/>
      <c r="J4" s="1289" t="n"/>
      <c r="K4" s="1289" t="n"/>
      <c r="L4" s="1289" t="n"/>
      <c r="M4" s="1289" t="n"/>
      <c r="N4" s="1289" t="n"/>
      <c r="O4" s="1289" t="n"/>
      <c r="P4" s="1289" t="n"/>
      <c r="Q4" s="1289" t="n"/>
      <c r="R4" s="1289" t="n"/>
      <c r="S4" s="1289" t="n"/>
      <c r="T4" s="1289" t="n"/>
      <c r="U4" s="1289" t="n"/>
      <c r="V4" s="1289" t="n"/>
      <c r="W4" s="1289" t="n"/>
      <c r="X4" s="1289" t="n"/>
    </row>
    <row r="5" ht="15" customHeight="1" s="254">
      <c r="A5" s="1308" t="inlineStr">
        <is>
          <t>A · SIZING BASIS — materials and the conductor design</t>
        </is>
      </c>
      <c r="I5" s="1289" t="n"/>
      <c r="J5" s="1289" t="n"/>
      <c r="K5" s="1289" t="n"/>
      <c r="L5" s="1289" t="n"/>
      <c r="M5" s="1289" t="n"/>
      <c r="N5" s="1289" t="n"/>
      <c r="O5" s="1289" t="n"/>
      <c r="P5" s="1289" t="n"/>
      <c r="Q5" s="1289" t="n"/>
      <c r="R5" s="1289" t="n"/>
      <c r="S5" s="1289" t="n"/>
      <c r="T5" s="1289" t="n"/>
      <c r="U5" s="1289" t="n"/>
      <c r="V5" s="1289" t="n"/>
      <c r="W5" s="1289" t="n"/>
      <c r="X5" s="1289" t="n"/>
    </row>
    <row r="6" ht="15" customHeight="1" s="254">
      <c r="A6" s="1552" t="inlineStr">
        <is>
          <t>Feeder conductor material</t>
        </is>
      </c>
      <c r="B6" s="1553" t="inlineStr">
        <is>
          <t>Cu</t>
        </is>
      </c>
      <c r="C6" s="1360" t="inlineStr">
        <is>
          <t>Cu or Al</t>
        </is>
      </c>
      <c r="I6" s="1289" t="n"/>
      <c r="J6" s="1289" t="n"/>
      <c r="K6" s="1289" t="n"/>
      <c r="L6" s="1289" t="n"/>
      <c r="M6" s="1289" t="n"/>
      <c r="N6" s="1289" t="n"/>
      <c r="O6" s="1289" t="n"/>
      <c r="P6" s="1289" t="n"/>
      <c r="Q6" s="1289" t="n"/>
      <c r="R6" s="1289" t="n"/>
      <c r="S6" s="1289" t="n"/>
      <c r="T6" s="1289" t="n"/>
      <c r="U6" s="1289" t="n"/>
      <c r="V6" s="1289" t="n"/>
      <c r="W6" s="1289" t="n"/>
      <c r="X6" s="1289" t="n"/>
    </row>
    <row r="7" ht="15" customHeight="1" s="254">
      <c r="A7" s="1552" t="inlineStr">
        <is>
          <t>Conduit type</t>
        </is>
      </c>
      <c r="B7" s="1553" t="inlineStr">
        <is>
          <t>PVC</t>
        </is>
      </c>
      <c r="C7" s="1360" t="inlineStr">
        <is>
          <t>PVC or EMT</t>
        </is>
      </c>
      <c r="I7" s="1289" t="n"/>
      <c r="J7" s="1289" t="n"/>
      <c r="K7" s="1289" t="n"/>
      <c r="L7" s="1289" t="n"/>
      <c r="M7" s="1289" t="n"/>
      <c r="N7" s="1289" t="n"/>
      <c r="O7" s="1289" t="n"/>
      <c r="P7" s="1289" t="n"/>
      <c r="Q7" s="1289" t="n"/>
      <c r="R7" s="1289" t="n"/>
      <c r="S7" s="1289" t="n"/>
      <c r="T7" s="1289" t="n"/>
      <c r="U7" s="1289" t="n"/>
      <c r="V7" s="1289" t="n"/>
      <c r="W7" s="1289" t="n"/>
      <c r="X7" s="1289" t="n"/>
    </row>
    <row r="8" ht="15" customHeight="1" s="254">
      <c r="A8" s="1552" t="inlineStr">
        <is>
          <t>Trench surface</t>
        </is>
      </c>
      <c r="B8" s="1553" t="inlineStr">
        <is>
          <t>Asphalt</t>
        </is>
      </c>
      <c r="C8" s="1360" t="inlineStr">
        <is>
          <t>Asphalt / concrete / landscape / mixed</t>
        </is>
      </c>
      <c r="I8" s="1289" t="n"/>
      <c r="J8" s="1289" t="n"/>
      <c r="K8" s="1289" t="n"/>
      <c r="L8" s="1289" t="n"/>
      <c r="M8" s="1289" t="n"/>
      <c r="N8" s="1289" t="n"/>
      <c r="O8" s="1289" t="n"/>
      <c r="P8" s="1289" t="n"/>
      <c r="Q8" s="1289" t="n"/>
      <c r="R8" s="1289" t="n"/>
      <c r="S8" s="1289" t="n"/>
      <c r="T8" s="1289" t="n"/>
      <c r="U8" s="1289" t="n"/>
      <c r="V8" s="1289" t="n"/>
      <c r="W8" s="1289" t="n"/>
      <c r="X8" s="1289" t="n"/>
    </row>
    <row r="9" ht="15" customHeight="1" s="254">
      <c r="A9" s="1552" t="inlineStr">
        <is>
          <t>Trench depth (in)</t>
        </is>
      </c>
      <c r="B9" s="1305" t="n">
        <v>24</v>
      </c>
      <c r="C9" s="1300" t="inlineStr">
        <is>
          <t>Sets the trench width used for the restoration figure (width = depth / 12 in feet).</t>
        </is>
      </c>
      <c r="I9" s="1289" t="n"/>
      <c r="J9" s="1289" t="n"/>
      <c r="K9" s="1289" t="n"/>
      <c r="L9" s="1289" t="n"/>
      <c r="M9" s="1289" t="n"/>
      <c r="N9" s="1289" t="n"/>
      <c r="O9" s="1289" t="n"/>
      <c r="P9" s="1289" t="n"/>
      <c r="Q9" s="1289" t="n"/>
      <c r="R9" s="1289" t="n"/>
      <c r="S9" s="1289" t="n"/>
      <c r="T9" s="1289" t="n"/>
      <c r="U9" s="1289" t="n"/>
      <c r="V9" s="1289" t="n"/>
      <c r="W9" s="1289" t="n"/>
      <c r="X9" s="1289" t="n"/>
    </row>
    <row r="10" ht="40" customHeight="1" s="254">
      <c r="A10" s="1552" t="inlineStr">
        <is>
          <t>Design ambient (C)</t>
        </is>
      </c>
      <c r="B10" s="1305" t="n">
        <v>40</v>
      </c>
      <c r="C10" s="1300" t="inlineStr">
        <is>
          <t>SITE DATA, no house default: the ASHRAE 2% design dry-bulb for the location, or the duct-bank temperature if the runs are buried. NEC 310.15(B)(1) corrects every ampacity on this tab from it — leave it blank and every verdict says so.</t>
        </is>
      </c>
      <c r="I10" s="1289" t="n"/>
      <c r="J10" s="1289" t="n"/>
      <c r="K10" s="1289" t="n"/>
      <c r="L10" s="1289" t="n"/>
      <c r="M10" s="1289" t="n"/>
      <c r="N10" s="1289" t="n"/>
      <c r="O10" s="1289" t="n"/>
      <c r="P10" s="1289" t="n"/>
      <c r="Q10" s="1289" t="n"/>
      <c r="R10" s="1289" t="n"/>
      <c r="S10" s="1289" t="n"/>
      <c r="T10" s="1289" t="n"/>
      <c r="U10" s="1289" t="n"/>
      <c r="V10" s="1289" t="n"/>
      <c r="W10" s="1289" t="n"/>
      <c r="X10" s="1289" t="n"/>
    </row>
    <row r="11" ht="27.5" customHeight="1" s="254">
      <c r="A11" s="1552" t="inlineStr">
        <is>
          <t>Conductor insulation rating (C)</t>
        </is>
      </c>
      <c r="B11" s="1305" t="n">
        <v>90</v>
      </c>
      <c r="C11" s="1300" t="inlineStr">
        <is>
          <t>What the wire is rated for. THHN/XHHW-2 is 90 C. The ambient correction is applied to this column.</t>
        </is>
      </c>
      <c r="I11" s="1289" t="n"/>
      <c r="J11" s="1289" t="n"/>
      <c r="K11" s="1289" t="n"/>
      <c r="L11" s="1289" t="n"/>
      <c r="M11" s="1289" t="n"/>
      <c r="N11" s="1289" t="n"/>
      <c r="O11" s="1289" t="n"/>
      <c r="P11" s="1289" t="n"/>
      <c r="Q11" s="1289" t="n"/>
      <c r="R11" s="1289" t="n"/>
      <c r="S11" s="1289" t="n"/>
      <c r="T11" s="1289" t="n"/>
      <c r="U11" s="1289" t="n"/>
      <c r="V11" s="1289" t="n"/>
      <c r="W11" s="1289" t="n"/>
      <c r="X11" s="1289" t="n"/>
    </row>
    <row r="12" ht="27.5" customHeight="1" s="254">
      <c r="A12" s="1552" t="inlineStr">
        <is>
          <t>Termination rating (C)</t>
        </is>
      </c>
      <c r="B12" s="1305" t="n">
        <v>75</v>
      </c>
      <c r="C12" s="1300" t="inlineStr">
        <is>
          <t>NEC 110.14(C). The corrected ampacity is capped here. 60 C lugs on the gear or the charger change every size on this tab.</t>
        </is>
      </c>
      <c r="I12" s="1289" t="n"/>
      <c r="J12" s="1289" t="n"/>
      <c r="K12" s="1289" t="n"/>
      <c r="L12" s="1289" t="n"/>
      <c r="M12" s="1289" t="n"/>
      <c r="N12" s="1289" t="n"/>
      <c r="O12" s="1289" t="n"/>
      <c r="P12" s="1289" t="n"/>
      <c r="Q12" s="1289" t="n"/>
      <c r="R12" s="1289" t="n"/>
      <c r="S12" s="1289" t="n"/>
      <c r="T12" s="1289" t="n"/>
      <c r="U12" s="1289" t="n"/>
      <c r="V12" s="1289" t="n"/>
      <c r="W12" s="1289" t="n"/>
      <c r="X12" s="1289" t="n"/>
    </row>
    <row r="13" ht="27.5" customHeight="1" s="254">
      <c r="A13" s="1552" t="inlineStr">
        <is>
          <t>Allowable voltage drop (%)</t>
        </is>
      </c>
      <c r="B13" s="1336" t="n">
        <v>0.03</v>
      </c>
      <c r="C13" s="1300" t="inlineStr">
        <is>
          <t>NEC treats voltage drop as an informational note, not a requirement. On a long run it is usually what decides the size, and the auto-sizing honours it.</t>
        </is>
      </c>
      <c r="I13" s="1289" t="n"/>
      <c r="J13" s="1289" t="n"/>
      <c r="K13" s="1289" t="n"/>
      <c r="L13" s="1289" t="n"/>
      <c r="M13" s="1289" t="n"/>
      <c r="N13" s="1289" t="n"/>
      <c r="O13" s="1289" t="n"/>
      <c r="P13" s="1289" t="n"/>
      <c r="Q13" s="1289" t="n"/>
      <c r="R13" s="1289" t="n"/>
      <c r="S13" s="1289" t="n"/>
      <c r="T13" s="1289" t="n"/>
      <c r="U13" s="1289" t="n"/>
      <c r="V13" s="1289" t="n"/>
      <c r="W13" s="1289" t="n"/>
      <c r="X13" s="1289" t="n"/>
    </row>
    <row r="14" ht="15" customHeight="1" s="254">
      <c r="A14" s="1289" t="n"/>
      <c r="B14" s="1289" t="n"/>
      <c r="C14" s="1289" t="n"/>
      <c r="D14" s="1289" t="n"/>
      <c r="E14" s="1289" t="n"/>
      <c r="F14" s="1289" t="n"/>
      <c r="G14" s="1289" t="n"/>
      <c r="H14" s="1289" t="n"/>
      <c r="I14" s="1289" t="n"/>
      <c r="J14" s="1289" t="n"/>
      <c r="K14" s="1289" t="n"/>
      <c r="L14" s="1289" t="n"/>
      <c r="M14" s="1289" t="n"/>
      <c r="N14" s="1289" t="n"/>
      <c r="O14" s="1289" t="n"/>
      <c r="P14" s="1289" t="n"/>
      <c r="Q14" s="1289" t="n"/>
      <c r="R14" s="1289" t="n"/>
      <c r="S14" s="1289" t="n"/>
      <c r="T14" s="1289" t="n"/>
      <c r="U14" s="1289" t="n"/>
      <c r="V14" s="1289" t="n"/>
      <c r="W14" s="1289" t="n"/>
      <c r="X14" s="1289" t="n"/>
    </row>
    <row r="15" ht="15" customHeight="1" s="254">
      <c r="A15" s="1308" t="inlineStr">
        <is>
          <t>B · CHARGER RUNS — switchgear or panel to every charger, built from the Equipment tab</t>
        </is>
      </c>
      <c r="I15" s="1289" t="n"/>
      <c r="J15" s="1289" t="n"/>
      <c r="K15" s="1289" t="n"/>
      <c r="L15" s="1289" t="n"/>
      <c r="M15" s="1289" t="n"/>
      <c r="N15" s="1289" t="n"/>
      <c r="O15" s="1289" t="n"/>
      <c r="P15" s="1289" t="n"/>
      <c r="Q15" s="1289" t="n"/>
      <c r="R15" s="1289" t="n"/>
      <c r="S15" s="1289" t="n"/>
      <c r="T15" s="1289" t="n"/>
      <c r="U15" s="1289" t="n"/>
      <c r="V15" s="1289" t="n"/>
      <c r="W15" s="1289" t="n"/>
      <c r="X15" s="1289" t="n"/>
    </row>
    <row r="16" ht="40" customHeight="1" s="254">
      <c r="A16" s="1300" t="inlineStr">
        <is>
          <t>One row per charger unit — a standalone DC charger, a power cabinet or a Level 2 unit — listed in the order of the Equipment tab. Thirty rows; rows beyond the schedule stay blank. Type the DISTANCE (column F). Everything else is derived: the supply from the Project and Equipment tabs, the breaker from NEC 210/215 at 125%, the conductor from the corrected ampacity AND the voltage-drop allowance (block H shows the table), the ground from NEC 250.122, the conduit from RefData, the cost at RefData rates. A DC run carries a comms conduit; a Level 2 unit does not (it has its own modem). Overrides (L, M, R) are for the drawings; the verdict says when one is needed. Column E, Circuit: leave blank for a run of its own; give two rows the same name when they share one circuit.</t>
        </is>
      </c>
      <c r="U16" s="1289" t="n"/>
      <c r="V16" s="1289" t="n"/>
      <c r="W16" s="1289" t="n"/>
      <c r="X16" s="1289" t="n"/>
    </row>
    <row r="17" ht="27.5" customHeight="1" s="254">
      <c r="A17" s="1290" t="inlineStr">
        <is>
          <t>Charger (auto)</t>
        </is>
      </c>
      <c r="B17" s="1290" t="inlineStr">
        <is>
          <t>Equipment (auto)</t>
        </is>
      </c>
      <c r="C17" s="1290" t="inlineStr">
        <is>
          <t>Supply (auto)</t>
        </is>
      </c>
      <c r="D17" s="1290" t="inlineStr">
        <is>
          <t>kW (auto)</t>
        </is>
      </c>
      <c r="E17" s="1290" t="inlineStr">
        <is>
          <t>Circuit</t>
        </is>
      </c>
      <c r="F17" s="1361" t="inlineStr">
        <is>
          <t>Distance (ft)</t>
        </is>
      </c>
      <c r="G17" s="1361" t="inlineStr">
        <is>
          <t>Shares a trench? (Yes)</t>
        </is>
      </c>
      <c r="H17" s="1361" t="inlineStr">
        <is>
          <t>Design A (auto)</t>
        </is>
      </c>
      <c r="I17" s="1361" t="inlineStr">
        <is>
          <t>125% A (auto)</t>
        </is>
      </c>
      <c r="J17" s="1361" t="inlineStr">
        <is>
          <t>Breaker A (auto)</t>
        </is>
      </c>
      <c r="K17" s="1361" t="inlineStr">
        <is>
          <t>Conductor (auto)</t>
        </is>
      </c>
      <c r="L17" s="1361" t="inlineStr">
        <is>
          <t>Conductor override</t>
        </is>
      </c>
      <c r="M17" s="1361" t="inlineStr">
        <is>
          <t>Sets (blank = auto)</t>
        </is>
      </c>
      <c r="N17" s="1361" t="inlineStr">
        <is>
          <t>Ampacity A (auto)</t>
        </is>
      </c>
      <c r="O17" s="1361" t="inlineStr">
        <is>
          <t>Volt drop (auto)</t>
        </is>
      </c>
      <c r="P17" s="1361" t="inlineStr">
        <is>
          <t>Ground (auto)</t>
        </is>
      </c>
      <c r="Q17" s="1361" t="inlineStr">
        <is>
          <t>Conduit (auto)</t>
        </is>
      </c>
      <c r="R17" s="1290" t="inlineStr">
        <is>
          <t>Conduit override</t>
        </is>
      </c>
      <c r="S17" s="1361" t="inlineStr">
        <is>
          <t>Material $ (auto)</t>
        </is>
      </c>
      <c r="T17" s="1290" t="inlineStr">
        <is>
          <t>Verdict (auto)</t>
        </is>
      </c>
      <c r="U17" s="1361" t="inlineStr">
        <is>
          <t>Needs dist. (auto)</t>
        </is>
      </c>
      <c r="V17" s="1361" t="inlineStr">
        <is>
          <t>Stream (auto)</t>
        </is>
      </c>
      <c r="W17" s="1290" t="inlineStr">
        <is>
          <t>Line (auto)</t>
        </is>
      </c>
      <c r="X17" s="1361" t="inlineStr">
        <is>
          <t>Sets in force (auto)</t>
        </is>
      </c>
    </row>
    <row r="18" ht="27.5" customHeight="1" s="254">
      <c r="A18" s="1362">
        <f>IF($W18="","","Charger 1")</f>
        <v/>
      </c>
      <c r="B18" s="1362">
        <f>IF($W18="","","Line "&amp;$W18&amp;" · "&amp;INDEX(Equipment!$C$7:$C$18,$W18)&amp;" · "&amp;INDEX(Equipment!$B$7:$B$18,$W18)&amp;" · #"&amp;(1-INDEX(Equipment!$R$7:$R$18,$W18)+1)&amp;" of "&amp;INDEX(Equipment!$I$7:$I$18,$W18))</f>
        <v/>
      </c>
      <c r="C18" s="1362">
        <f>IF($W18="","",IF($V18="L2",TEXT(N(Equipment!$B$30),"0")&amp;" V 1-ph",TEXT(Project!$B$29,"0")&amp;" V 3-ph"))</f>
        <v/>
      </c>
      <c r="D18" s="1363">
        <f>IF($W18="","",INDEX(Equipment!$G$7:$G$18,$W18))</f>
        <v/>
      </c>
      <c r="E18" s="1292" t="n"/>
      <c r="F18" s="1326" t="n">
        <v>80</v>
      </c>
      <c r="G18" s="1292" t="n"/>
      <c r="H18" s="1364">
        <f>IF($U18&lt;&gt;1,"",IF($E18="",N($D18),SUMIF($E$18:$E$47,$E18,$D$18:$D$47))*1000/(IF($V18="L2",N(Equipment!$B$30),Project!$B$29)*IF($V18="L2",1,SQRT(3))))</f>
        <v/>
      </c>
      <c r="I18" s="1364">
        <f>IF(N($H18)=0,"",N($H18)*1.25)</f>
        <v/>
      </c>
      <c r="J18" s="1364">
        <f>IF(N($I18)=0,"",IF(ISNUMBER(MATCH($I18,OCPD_LIST,0)),$I18,IF($I18&gt;MAX(OCPD_LIST),"ABOVE LIST",INDEX(OCPD_LIST,MATCH($I18,OCPD_LIST,1)+1))))</f>
        <v/>
      </c>
      <c r="K18" s="1362">
        <f>IF(OR(N($I18)=0,$B$10=""),"",IF(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gt;ROWS(SZ_SIZE),"PARALLEL SETS",INDEX(SZ_SIZE,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f>
        <v/>
      </c>
      <c r="L18" s="1292" t="inlineStr">
        <is>
          <t>300 KCMIL</t>
        </is>
      </c>
      <c r="M18" s="1326" t="n">
        <v>2</v>
      </c>
      <c r="N18" s="1364">
        <f>IF(OR(IF($L18&lt;&gt;"",$L18,$K18)="",IF($L18&lt;&gt;"",$L18,$K18)="PARALLEL SETS"),"",IFERROR(INDEX(SZ_AMP,MATCH(IF($L18&lt;&gt;"",$L18,$K18),SZ_SIZE,0))*IF(N($M18)&gt;0,N($M18),MAX(1,N(IFERROR(INDEX(SPEC_CIRC,MATCH(INDEX(Equipment!$C$7:$C$18,MAX(1,N($W18))),SPEC_SKU,0)),1)))),""))</f>
        <v/>
      </c>
      <c r="O18" s="1365">
        <f>IF(OR(N($N18)=0,N($F18)=0),"",IFERROR(IF($V18="L2",2,SQRT(3))*N($H18)/IF(N($M18)&gt;0,N($M18),MAX(1,N(IFERROR(INDEX(SPEC_CIRC,MATCH(INDEX(Equipment!$C$7:$C$18,MAX(1,N($W18))),SPEC_SKU,0)),1))))*N($F18)*INDEX(SZ_Z,MATCH(IF($L18&lt;&gt;"",$L18,$K18),SZ_SIZE,0))/1000/IF($V18="L2",N(Equipment!$B$30),Project!$B$29),""))</f>
        <v/>
      </c>
      <c r="P18" s="1362">
        <f>IF(N($J18)=0,"",IFERROR(INDEX(IF($B$6="Cu",EGC_CU,EGC_AL),MATCH($J18,EGC_OCPD,1)+IF(ISNUMBER(MATCH($J18,EGC_OCPD,0)),0,1)),""))</f>
        <v/>
      </c>
      <c r="Q18" s="1362">
        <f>IF(N($N18)=0,"",IFERROR(INDEX(IF($V18="L2",CND_2G,CND_3G),MATCH(IF($L18&lt;&gt;"",$L18,$K18),CND_SIZE,0)),""))</f>
        <v/>
      </c>
      <c r="R18" s="1292" t="inlineStr">
        <is>
          <t xml:space="preserve">(3") </t>
        </is>
      </c>
      <c r="S18" s="1366">
        <f>IF(OR($W18="",N($F18)=0,N($N18)=0),0,IFERROR(N($F18)*IF(N($M18)&gt;0,N($M18),MAX(1,N(IFERROR(INDEX(SPEC_CIRC,MATCH(INDEX(Equipment!$C$7:$C$18,MAX(1,N($W18))),SPEC_SKU,0)),1))))*IF($V18="L2",2,3)*INDEX(IF($B$6="Cu",WIRE_CU,WIRE_AL),MATCH(IF($L18&lt;&gt;"",$L18,$K18),WIRE_SIZE,0)),0)+IFERROR(N($F18)*IF(N($M18)&gt;0,N($M18),MAX(1,N(IFERROR(INDEX(SPEC_CIRC,MATCH(INDEX(Equipment!$C$7:$C$18,MAX(1,N($W18))),SPEC_SKU,0)),1))))*INDEX(IF($B$6="Cu",WIRE_CU,WIRE_AL),MATCH($P18,WIRE_SIZE,0)),0)+IFERROR(N($F18)*IF(N($M18)&gt;0,N($M18),MAX(1,N(IFERROR(INDEX(SPEC_CIRC,MATCH(INDEX(Equipment!$C$7:$C$18,MAX(1,N($W18))),SPEC_SKU,0)),1))))*INDEX(PVC_RATE,MATCH(IF($R18&lt;&gt;"",$R18,$Q18),PVC_SIZE,0)),0)+IF($V18="L2",0,IFERROR(N($F18)*INDEX(PVC_RATE,MATCH("(3/4"")",PVC_SIZE,0)),0)))</f>
        <v/>
      </c>
      <c r="T18" s="1367">
        <f>IF($W18="","",IF($U18=0,"shared — on circuit "&amp;$E18&amp;", sized and priced on its first unit",IF(N($F18)=0,"ENTER THE DISTANCE",IF($B$10="","SET THE DESIGN AMBIENT in block A — nothing on this row can be trusted until it is",IF(IF($L18&lt;&gt;"",$L18,$K18)="PARALLEL SETS","PARALLEL SETS NEEDED — no single conductor carries "&amp;TEXT(N($I18),"#,##0")&amp;" A within the drop allowance; enter sets in column M",IF(N($N18)=0,"no ampacity on file for the override size — NEC Table 310.16 does not list it",IF(N($N18)&lt;IF(N($J18)&gt;800,N($J18),N($I18)),"UNDERSIZED — "&amp;TEXT(N($N18),"#,##0")&amp;" A provided against a floor of "&amp;TEXT(IF(N($J18)&gt;800,N($J18),N($I18)),"#,##0")&amp;" A",IF(N($O18)&gt;$B$13,"ampacity OK but voltage drop "&amp;TEXT(N($O18),"0.0%")&amp;" exceeds the allowance — ADVISORY, upsize the override","OK — "&amp;IF(IF(N($M18)&gt;0,N($M18),MAX(1,N(IFERROR(INDEX(SPEC_CIRC,MATCH(INDEX(Equipment!$C$7:$C$18,MAX(1,N($W18))),SPEC_SKU,0)),1))))&gt;1,TEXT(IF(N($M18)&gt;0,N($M18),MAX(1,N(IFERROR(INDEX(SPEC_CIRC,MATCH(INDEX(Equipment!$C$7:$C$18,MAX(1,N($W18))),SPEC_SKU,0)),1)))),"0")&amp;" sets of ","")&amp;IF($L18&lt;&gt;"",$L18,$K18)&amp;IF($L18&lt;&gt;""," (override)","")&amp;", "&amp;TEXT(N($N18),"#,##0")&amp;" A against a "&amp;TEXT(IF(N($J18)&gt;800,N($J18),N($I18)),"#,##0")&amp;" A floor; drop "&amp;TEXT(N($O18),"0.0%")&amp;" (ADVISORY)"))))))))</f>
        <v/>
      </c>
      <c r="U18" s="1368">
        <f>IF($W18="",0,IF($E18="",1,IF(MATCH($E18,$E$18:$E$47,0)=1,1,0)))</f>
        <v/>
      </c>
      <c r="V18" s="1369">
        <f>IF($W18="","",IF(INDEX(Equipment!$E$7:$E$18,$W18)="level_2","L2",IF(INDEX(Equipment!$E$7:$E$18,$W18)="power_cabinet","CAB","DC")))</f>
        <v/>
      </c>
      <c r="W18" s="1368">
        <f>IF(N($B$50)&gt;=1,COUNTIF(Equipment!$S$7:$S$18,"&lt;1")+1,"")</f>
        <v/>
      </c>
      <c r="X18" s="1368">
        <f>IF($U18&lt;&gt;1,"",IF(N($M18)&gt;0,N($M18),MAX(1,N(IFERROR(INDEX(SPEC_CIRC,MATCH(INDEX(Equipment!$C$7:$C$18,MAX(1,N($W18))),SPEC_SKU,0)),1)))))</f>
        <v/>
      </c>
    </row>
    <row r="19" ht="27.5" customHeight="1" s="254">
      <c r="A19" s="1362">
        <f>IF($W19="","","Charger 2")</f>
        <v/>
      </c>
      <c r="B19" s="1362">
        <f>IF($W19="","","Line "&amp;$W19&amp;" · "&amp;INDEX(Equipment!$C$7:$C$18,$W19)&amp;" · "&amp;INDEX(Equipment!$B$7:$B$18,$W19)&amp;" · #"&amp;(2-INDEX(Equipment!$R$7:$R$18,$W19)+1)&amp;" of "&amp;INDEX(Equipment!$I$7:$I$18,$W19))</f>
        <v/>
      </c>
      <c r="C19" s="1362">
        <f>IF($W19="","",IF($V19="L2",TEXT(N(Equipment!$B$30),"0")&amp;" V 1-ph",TEXT(Project!$B$29,"0")&amp;" V 3-ph"))</f>
        <v/>
      </c>
      <c r="D19" s="1363">
        <f>IF($W19="","",INDEX(Equipment!$G$7:$G$18,$W19))</f>
        <v/>
      </c>
      <c r="E19" s="1292" t="n"/>
      <c r="F19" s="1326" t="n">
        <v>95</v>
      </c>
      <c r="G19" s="1292" t="n"/>
      <c r="H19" s="1364">
        <f>IF($U19&lt;&gt;1,"",IF($E19="",N($D19),SUMIF($E$18:$E$47,$E19,$D$18:$D$47))*1000/(IF($V19="L2",N(Equipment!$B$30),Project!$B$29)*IF($V19="L2",1,SQRT(3))))</f>
        <v/>
      </c>
      <c r="I19" s="1364">
        <f>IF(N($H19)=0,"",N($H19)*1.25)</f>
        <v/>
      </c>
      <c r="J19" s="1364">
        <f>IF(N($I19)=0,"",IF(ISNUMBER(MATCH($I19,OCPD_LIST,0)),$I19,IF($I19&gt;MAX(OCPD_LIST),"ABOVE LIST",INDEX(OCPD_LIST,MATCH($I19,OCPD_LIST,1)+1))))</f>
        <v/>
      </c>
      <c r="K19" s="1362">
        <f>IF(OR(N($I19)=0,$B$10=""),"",IF(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gt;ROWS(SZ_SIZE),"PARALLEL SETS",INDEX(SZ_SIZE,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f>
        <v/>
      </c>
      <c r="L19" s="1292" t="inlineStr">
        <is>
          <t>300 KCMIL</t>
        </is>
      </c>
      <c r="M19" s="1326" t="n">
        <v>2</v>
      </c>
      <c r="N19" s="1364">
        <f>IF(OR(IF($L19&lt;&gt;"",$L19,$K19)="",IF($L19&lt;&gt;"",$L19,$K19)="PARALLEL SETS"),"",IFERROR(INDEX(SZ_AMP,MATCH(IF($L19&lt;&gt;"",$L19,$K19),SZ_SIZE,0))*IF(N($M19)&gt;0,N($M19),MAX(1,N(IFERROR(INDEX(SPEC_CIRC,MATCH(INDEX(Equipment!$C$7:$C$18,MAX(1,N($W19))),SPEC_SKU,0)),1)))),""))</f>
        <v/>
      </c>
      <c r="O19" s="1365">
        <f>IF(OR(N($N19)=0,N($F19)=0),"",IFERROR(IF($V19="L2",2,SQRT(3))*N($H19)/IF(N($M19)&gt;0,N($M19),MAX(1,N(IFERROR(INDEX(SPEC_CIRC,MATCH(INDEX(Equipment!$C$7:$C$18,MAX(1,N($W19))),SPEC_SKU,0)),1))))*N($F19)*INDEX(SZ_Z,MATCH(IF($L19&lt;&gt;"",$L19,$K19),SZ_SIZE,0))/1000/IF($V19="L2",N(Equipment!$B$30),Project!$B$29),""))</f>
        <v/>
      </c>
      <c r="P19" s="1362">
        <f>IF(N($J19)=0,"",IFERROR(INDEX(IF($B$6="Cu",EGC_CU,EGC_AL),MATCH($J19,EGC_OCPD,1)+IF(ISNUMBER(MATCH($J19,EGC_OCPD,0)),0,1)),""))</f>
        <v/>
      </c>
      <c r="Q19" s="1362">
        <f>IF(N($N19)=0,"",IFERROR(INDEX(IF($V19="L2",CND_2G,CND_3G),MATCH(IF($L19&lt;&gt;"",$L19,$K19),CND_SIZE,0)),""))</f>
        <v/>
      </c>
      <c r="R19" s="1292" t="inlineStr">
        <is>
          <t xml:space="preserve">(3") </t>
        </is>
      </c>
      <c r="S19" s="1366">
        <f>IF(OR($W19="",N($F19)=0,N($N19)=0),0,IFERROR(N($F19)*IF(N($M19)&gt;0,N($M19),MAX(1,N(IFERROR(INDEX(SPEC_CIRC,MATCH(INDEX(Equipment!$C$7:$C$18,MAX(1,N($W19))),SPEC_SKU,0)),1))))*IF($V19="L2",2,3)*INDEX(IF($B$6="Cu",WIRE_CU,WIRE_AL),MATCH(IF($L19&lt;&gt;"",$L19,$K19),WIRE_SIZE,0)),0)+IFERROR(N($F19)*IF(N($M19)&gt;0,N($M19),MAX(1,N(IFERROR(INDEX(SPEC_CIRC,MATCH(INDEX(Equipment!$C$7:$C$18,MAX(1,N($W19))),SPEC_SKU,0)),1))))*INDEX(IF($B$6="Cu",WIRE_CU,WIRE_AL),MATCH($P19,WIRE_SIZE,0)),0)+IFERROR(N($F19)*IF(N($M19)&gt;0,N($M19),MAX(1,N(IFERROR(INDEX(SPEC_CIRC,MATCH(INDEX(Equipment!$C$7:$C$18,MAX(1,N($W19))),SPEC_SKU,0)),1))))*INDEX(PVC_RATE,MATCH(IF($R19&lt;&gt;"",$R19,$Q19),PVC_SIZE,0)),0)+IF($V19="L2",0,IFERROR(N($F19)*INDEX(PVC_RATE,MATCH("(3/4"")",PVC_SIZE,0)),0)))</f>
        <v/>
      </c>
      <c r="T19" s="1367">
        <f>IF($W19="","",IF($U19=0,"shared — on circuit "&amp;$E19&amp;", sized and priced on its first unit",IF(N($F19)=0,"ENTER THE DISTANCE",IF($B$10="","SET THE DESIGN AMBIENT in block A — nothing on this row can be trusted until it is",IF(IF($L19&lt;&gt;"",$L19,$K19)="PARALLEL SETS","PARALLEL SETS NEEDED — no single conductor carries "&amp;TEXT(N($I19),"#,##0")&amp;" A within the drop allowance; enter sets in column M",IF(N($N19)=0,"no ampacity on file for the override size — NEC Table 310.16 does not list it",IF(N($N19)&lt;IF(N($J19)&gt;800,N($J19),N($I19)),"UNDERSIZED — "&amp;TEXT(N($N19),"#,##0")&amp;" A provided against a floor of "&amp;TEXT(IF(N($J19)&gt;800,N($J19),N($I19)),"#,##0")&amp;" A",IF(N($O19)&gt;$B$13,"ampacity OK but voltage drop "&amp;TEXT(N($O19),"0.0%")&amp;" exceeds the allowance — ADVISORY, upsize the override","OK — "&amp;IF(IF(N($M19)&gt;0,N($M19),MAX(1,N(IFERROR(INDEX(SPEC_CIRC,MATCH(INDEX(Equipment!$C$7:$C$18,MAX(1,N($W19))),SPEC_SKU,0)),1))))&gt;1,TEXT(IF(N($M19)&gt;0,N($M19),MAX(1,N(IFERROR(INDEX(SPEC_CIRC,MATCH(INDEX(Equipment!$C$7:$C$18,MAX(1,N($W19))),SPEC_SKU,0)),1)))),"0")&amp;" sets of ","")&amp;IF($L19&lt;&gt;"",$L19,$K19)&amp;IF($L19&lt;&gt;""," (override)","")&amp;", "&amp;TEXT(N($N19),"#,##0")&amp;" A against a "&amp;TEXT(IF(N($J19)&gt;800,N($J19),N($I19)),"#,##0")&amp;" A floor; drop "&amp;TEXT(N($O19),"0.0%")&amp;" (ADVISORY)"))))))))</f>
        <v/>
      </c>
      <c r="U19" s="1368">
        <f>IF($W19="",0,IF($E19="",1,IF(MATCH($E19,$E$18:$E$47,0)=2,1,0)))</f>
        <v/>
      </c>
      <c r="V19" s="1369">
        <f>IF($W19="","",IF(INDEX(Equipment!$E$7:$E$18,$W19)="level_2","L2",IF(INDEX(Equipment!$E$7:$E$18,$W19)="power_cabinet","CAB","DC")))</f>
        <v/>
      </c>
      <c r="W19" s="1368">
        <f>IF(N($B$50)&gt;=2,COUNTIF(Equipment!$S$7:$S$18,"&lt;2")+1,"")</f>
        <v/>
      </c>
      <c r="X19" s="1368">
        <f>IF($U19&lt;&gt;1,"",IF(N($M19)&gt;0,N($M19),MAX(1,N(IFERROR(INDEX(SPEC_CIRC,MATCH(INDEX(Equipment!$C$7:$C$18,MAX(1,N($W19))),SPEC_SKU,0)),1)))))</f>
        <v/>
      </c>
    </row>
    <row r="20" ht="27.5" customHeight="1" s="254">
      <c r="A20" s="1362">
        <f>IF($W20="","","Charger 3")</f>
        <v/>
      </c>
      <c r="B20" s="1362">
        <f>IF($W20="","","Line "&amp;$W20&amp;" · "&amp;INDEX(Equipment!$C$7:$C$18,$W20)&amp;" · "&amp;INDEX(Equipment!$B$7:$B$18,$W20)&amp;" · #"&amp;(3-INDEX(Equipment!$R$7:$R$18,$W20)+1)&amp;" of "&amp;INDEX(Equipment!$I$7:$I$18,$W20))</f>
        <v/>
      </c>
      <c r="C20" s="1362">
        <f>IF($W20="","",IF($V20="L2",TEXT(N(Equipment!$B$30),"0")&amp;" V 1-ph",TEXT(Project!$B$29,"0")&amp;" V 3-ph"))</f>
        <v/>
      </c>
      <c r="D20" s="1363">
        <f>IF($W20="","",INDEX(Equipment!$G$7:$G$18,$W20))</f>
        <v/>
      </c>
      <c r="E20" s="1292" t="n"/>
      <c r="F20" s="1326" t="n">
        <v>110</v>
      </c>
      <c r="G20" s="1292" t="n"/>
      <c r="H20" s="1364">
        <f>IF($U20&lt;&gt;1,"",IF($E20="",N($D20),SUMIF($E$18:$E$47,$E20,$D$18:$D$47))*1000/(IF($V20="L2",N(Equipment!$B$30),Project!$B$29)*IF($V20="L2",1,SQRT(3))))</f>
        <v/>
      </c>
      <c r="I20" s="1364">
        <f>IF(N($H20)=0,"",N($H20)*1.25)</f>
        <v/>
      </c>
      <c r="J20" s="1364">
        <f>IF(N($I20)=0,"",IF(ISNUMBER(MATCH($I20,OCPD_LIST,0)),$I20,IF($I20&gt;MAX(OCPD_LIST),"ABOVE LIST",INDEX(OCPD_LIST,MATCH($I20,OCPD_LIST,1)+1))))</f>
        <v/>
      </c>
      <c r="K20" s="1362">
        <f>IF(OR(N($I20)=0,$B$10=""),"",IF(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gt;ROWS(SZ_SIZE),"PARALLEL SETS",INDEX(SZ_SIZE,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f>
        <v/>
      </c>
      <c r="L20" s="1292" t="inlineStr">
        <is>
          <t>300 KCMIL</t>
        </is>
      </c>
      <c r="M20" s="1326" t="n">
        <v>2</v>
      </c>
      <c r="N20" s="1364">
        <f>IF(OR(IF($L20&lt;&gt;"",$L20,$K20)="",IF($L20&lt;&gt;"",$L20,$K20)="PARALLEL SETS"),"",IFERROR(INDEX(SZ_AMP,MATCH(IF($L20&lt;&gt;"",$L20,$K20),SZ_SIZE,0))*IF(N($M20)&gt;0,N($M20),MAX(1,N(IFERROR(INDEX(SPEC_CIRC,MATCH(INDEX(Equipment!$C$7:$C$18,MAX(1,N($W20))),SPEC_SKU,0)),1)))),""))</f>
        <v/>
      </c>
      <c r="O20" s="1365">
        <f>IF(OR(N($N20)=0,N($F20)=0),"",IFERROR(IF($V20="L2",2,SQRT(3))*N($H20)/IF(N($M20)&gt;0,N($M20),MAX(1,N(IFERROR(INDEX(SPEC_CIRC,MATCH(INDEX(Equipment!$C$7:$C$18,MAX(1,N($W20))),SPEC_SKU,0)),1))))*N($F20)*INDEX(SZ_Z,MATCH(IF($L20&lt;&gt;"",$L20,$K20),SZ_SIZE,0))/1000/IF($V20="L2",N(Equipment!$B$30),Project!$B$29),""))</f>
        <v/>
      </c>
      <c r="P20" s="1362">
        <f>IF(N($J20)=0,"",IFERROR(INDEX(IF($B$6="Cu",EGC_CU,EGC_AL),MATCH($J20,EGC_OCPD,1)+IF(ISNUMBER(MATCH($J20,EGC_OCPD,0)),0,1)),""))</f>
        <v/>
      </c>
      <c r="Q20" s="1362">
        <f>IF(N($N20)=0,"",IFERROR(INDEX(IF($V20="L2",CND_2G,CND_3G),MATCH(IF($L20&lt;&gt;"",$L20,$K20),CND_SIZE,0)),""))</f>
        <v/>
      </c>
      <c r="R20" s="1292" t="inlineStr">
        <is>
          <t xml:space="preserve">(3") </t>
        </is>
      </c>
      <c r="S20" s="1366">
        <f>IF(OR($W20="",N($F20)=0,N($N20)=0),0,IFERROR(N($F20)*IF(N($M20)&gt;0,N($M20),MAX(1,N(IFERROR(INDEX(SPEC_CIRC,MATCH(INDEX(Equipment!$C$7:$C$18,MAX(1,N($W20))),SPEC_SKU,0)),1))))*IF($V20="L2",2,3)*INDEX(IF($B$6="Cu",WIRE_CU,WIRE_AL),MATCH(IF($L20&lt;&gt;"",$L20,$K20),WIRE_SIZE,0)),0)+IFERROR(N($F20)*IF(N($M20)&gt;0,N($M20),MAX(1,N(IFERROR(INDEX(SPEC_CIRC,MATCH(INDEX(Equipment!$C$7:$C$18,MAX(1,N($W20))),SPEC_SKU,0)),1))))*INDEX(IF($B$6="Cu",WIRE_CU,WIRE_AL),MATCH($P20,WIRE_SIZE,0)),0)+IFERROR(N($F20)*IF(N($M20)&gt;0,N($M20),MAX(1,N(IFERROR(INDEX(SPEC_CIRC,MATCH(INDEX(Equipment!$C$7:$C$18,MAX(1,N($W20))),SPEC_SKU,0)),1))))*INDEX(PVC_RATE,MATCH(IF($R20&lt;&gt;"",$R20,$Q20),PVC_SIZE,0)),0)+IF($V20="L2",0,IFERROR(N($F20)*INDEX(PVC_RATE,MATCH("(3/4"")",PVC_SIZE,0)),0)))</f>
        <v/>
      </c>
      <c r="T20" s="1367">
        <f>IF($W20="","",IF($U20=0,"shared — on circuit "&amp;$E20&amp;", sized and priced on its first unit",IF(N($F20)=0,"ENTER THE DISTANCE",IF($B$10="","SET THE DESIGN AMBIENT in block A — nothing on this row can be trusted until it is",IF(IF($L20&lt;&gt;"",$L20,$K20)="PARALLEL SETS","PARALLEL SETS NEEDED — no single conductor carries "&amp;TEXT(N($I20),"#,##0")&amp;" A within the drop allowance; enter sets in column M",IF(N($N20)=0,"no ampacity on file for the override size — NEC Table 310.16 does not list it",IF(N($N20)&lt;IF(N($J20)&gt;800,N($J20),N($I20)),"UNDERSIZED — "&amp;TEXT(N($N20),"#,##0")&amp;" A provided against a floor of "&amp;TEXT(IF(N($J20)&gt;800,N($J20),N($I20)),"#,##0")&amp;" A",IF(N($O20)&gt;$B$13,"ampacity OK but voltage drop "&amp;TEXT(N($O20),"0.0%")&amp;" exceeds the allowance — ADVISORY, upsize the override","OK — "&amp;IF(IF(N($M20)&gt;0,N($M20),MAX(1,N(IFERROR(INDEX(SPEC_CIRC,MATCH(INDEX(Equipment!$C$7:$C$18,MAX(1,N($W20))),SPEC_SKU,0)),1))))&gt;1,TEXT(IF(N($M20)&gt;0,N($M20),MAX(1,N(IFERROR(INDEX(SPEC_CIRC,MATCH(INDEX(Equipment!$C$7:$C$18,MAX(1,N($W20))),SPEC_SKU,0)),1)))),"0")&amp;" sets of ","")&amp;IF($L20&lt;&gt;"",$L20,$K20)&amp;IF($L20&lt;&gt;""," (override)","")&amp;", "&amp;TEXT(N($N20),"#,##0")&amp;" A against a "&amp;TEXT(IF(N($J20)&gt;800,N($J20),N($I20)),"#,##0")&amp;" A floor; drop "&amp;TEXT(N($O20),"0.0%")&amp;" (ADVISORY)"))))))))</f>
        <v/>
      </c>
      <c r="U20" s="1368">
        <f>IF($W20="",0,IF($E20="",1,IF(MATCH($E20,$E$18:$E$47,0)=3,1,0)))</f>
        <v/>
      </c>
      <c r="V20" s="1369">
        <f>IF($W20="","",IF(INDEX(Equipment!$E$7:$E$18,$W20)="level_2","L2",IF(INDEX(Equipment!$E$7:$E$18,$W20)="power_cabinet","CAB","DC")))</f>
        <v/>
      </c>
      <c r="W20" s="1368">
        <f>IF(N($B$50)&gt;=3,COUNTIF(Equipment!$S$7:$S$18,"&lt;3")+1,"")</f>
        <v/>
      </c>
      <c r="X20" s="1368">
        <f>IF($U20&lt;&gt;1,"",IF(N($M20)&gt;0,N($M20),MAX(1,N(IFERROR(INDEX(SPEC_CIRC,MATCH(INDEX(Equipment!$C$7:$C$18,MAX(1,N($W20))),SPEC_SKU,0)),1)))))</f>
        <v/>
      </c>
    </row>
    <row r="21" ht="27.5" customHeight="1" s="254">
      <c r="A21" s="1362">
        <f>IF($W21="","","Charger 4")</f>
        <v/>
      </c>
      <c r="B21" s="1362">
        <f>IF($W21="","","Line "&amp;$W21&amp;" · "&amp;INDEX(Equipment!$C$7:$C$18,$W21)&amp;" · "&amp;INDEX(Equipment!$B$7:$B$18,$W21)&amp;" · #"&amp;(4-INDEX(Equipment!$R$7:$R$18,$W21)+1)&amp;" of "&amp;INDEX(Equipment!$I$7:$I$18,$W21))</f>
        <v/>
      </c>
      <c r="C21" s="1362">
        <f>IF($W21="","",IF($V21="L2",TEXT(N(Equipment!$B$30),"0")&amp;" V 1-ph",TEXT(Project!$B$29,"0")&amp;" V 3-ph"))</f>
        <v/>
      </c>
      <c r="D21" s="1363">
        <f>IF($W21="","",INDEX(Equipment!$G$7:$G$18,$W21))</f>
        <v/>
      </c>
      <c r="E21" s="1292" t="n"/>
      <c r="F21" s="1326" t="n">
        <v>125</v>
      </c>
      <c r="G21" s="1292" t="n"/>
      <c r="H21" s="1364">
        <f>IF($U21&lt;&gt;1,"",IF($E21="",N($D21),SUMIF($E$18:$E$47,$E21,$D$18:$D$47))*1000/(IF($V21="L2",N(Equipment!$B$30),Project!$B$29)*IF($V21="L2",1,SQRT(3))))</f>
        <v/>
      </c>
      <c r="I21" s="1364">
        <f>IF(N($H21)=0,"",N($H21)*1.25)</f>
        <v/>
      </c>
      <c r="J21" s="1364">
        <f>IF(N($I21)=0,"",IF(ISNUMBER(MATCH($I21,OCPD_LIST,0)),$I21,IF($I21&gt;MAX(OCPD_LIST),"ABOVE LIST",INDEX(OCPD_LIST,MATCH($I21,OCPD_LIST,1)+1))))</f>
        <v/>
      </c>
      <c r="K21" s="1362">
        <f>IF(OR(N($I21)=0,$B$10=""),"",IF(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gt;ROWS(SZ_SIZE),"PARALLEL SETS",INDEX(SZ_SIZE,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f>
        <v/>
      </c>
      <c r="L21" s="1292" t="inlineStr">
        <is>
          <t>300 KCMIL</t>
        </is>
      </c>
      <c r="M21" s="1326" t="n">
        <v>2</v>
      </c>
      <c r="N21" s="1364">
        <f>IF(OR(IF($L21&lt;&gt;"",$L21,$K21)="",IF($L21&lt;&gt;"",$L21,$K21)="PARALLEL SETS"),"",IFERROR(INDEX(SZ_AMP,MATCH(IF($L21&lt;&gt;"",$L21,$K21),SZ_SIZE,0))*IF(N($M21)&gt;0,N($M21),MAX(1,N(IFERROR(INDEX(SPEC_CIRC,MATCH(INDEX(Equipment!$C$7:$C$18,MAX(1,N($W21))),SPEC_SKU,0)),1)))),""))</f>
        <v/>
      </c>
      <c r="O21" s="1365">
        <f>IF(OR(N($N21)=0,N($F21)=0),"",IFERROR(IF($V21="L2",2,SQRT(3))*N($H21)/IF(N($M21)&gt;0,N($M21),MAX(1,N(IFERROR(INDEX(SPEC_CIRC,MATCH(INDEX(Equipment!$C$7:$C$18,MAX(1,N($W21))),SPEC_SKU,0)),1))))*N($F21)*INDEX(SZ_Z,MATCH(IF($L21&lt;&gt;"",$L21,$K21),SZ_SIZE,0))/1000/IF($V21="L2",N(Equipment!$B$30),Project!$B$29),""))</f>
        <v/>
      </c>
      <c r="P21" s="1362">
        <f>IF(N($J21)=0,"",IFERROR(INDEX(IF($B$6="Cu",EGC_CU,EGC_AL),MATCH($J21,EGC_OCPD,1)+IF(ISNUMBER(MATCH($J21,EGC_OCPD,0)),0,1)),""))</f>
        <v/>
      </c>
      <c r="Q21" s="1362">
        <f>IF(N($N21)=0,"",IFERROR(INDEX(IF($V21="L2",CND_2G,CND_3G),MATCH(IF($L21&lt;&gt;"",$L21,$K21),CND_SIZE,0)),""))</f>
        <v/>
      </c>
      <c r="R21" s="1292" t="inlineStr">
        <is>
          <t xml:space="preserve">(3") </t>
        </is>
      </c>
      <c r="S21" s="1366">
        <f>IF(OR($W21="",N($F21)=0,N($N21)=0),0,IFERROR(N($F21)*IF(N($M21)&gt;0,N($M21),MAX(1,N(IFERROR(INDEX(SPEC_CIRC,MATCH(INDEX(Equipment!$C$7:$C$18,MAX(1,N($W21))),SPEC_SKU,0)),1))))*IF($V21="L2",2,3)*INDEX(IF($B$6="Cu",WIRE_CU,WIRE_AL),MATCH(IF($L21&lt;&gt;"",$L21,$K21),WIRE_SIZE,0)),0)+IFERROR(N($F21)*IF(N($M21)&gt;0,N($M21),MAX(1,N(IFERROR(INDEX(SPEC_CIRC,MATCH(INDEX(Equipment!$C$7:$C$18,MAX(1,N($W21))),SPEC_SKU,0)),1))))*INDEX(IF($B$6="Cu",WIRE_CU,WIRE_AL),MATCH($P21,WIRE_SIZE,0)),0)+IFERROR(N($F21)*IF(N($M21)&gt;0,N($M21),MAX(1,N(IFERROR(INDEX(SPEC_CIRC,MATCH(INDEX(Equipment!$C$7:$C$18,MAX(1,N($W21))),SPEC_SKU,0)),1))))*INDEX(PVC_RATE,MATCH(IF($R21&lt;&gt;"",$R21,$Q21),PVC_SIZE,0)),0)+IF($V21="L2",0,IFERROR(N($F21)*INDEX(PVC_RATE,MATCH("(3/4"")",PVC_SIZE,0)),0)))</f>
        <v/>
      </c>
      <c r="T21" s="1367">
        <f>IF($W21="","",IF($U21=0,"shared — on circuit "&amp;$E21&amp;", sized and priced on its first unit",IF(N($F21)=0,"ENTER THE DISTANCE",IF($B$10="","SET THE DESIGN AMBIENT in block A — nothing on this row can be trusted until it is",IF(IF($L21&lt;&gt;"",$L21,$K21)="PARALLEL SETS","PARALLEL SETS NEEDED — no single conductor carries "&amp;TEXT(N($I21),"#,##0")&amp;" A within the drop allowance; enter sets in column M",IF(N($N21)=0,"no ampacity on file for the override size — NEC Table 310.16 does not list it",IF(N($N21)&lt;IF(N($J21)&gt;800,N($J21),N($I21)),"UNDERSIZED — "&amp;TEXT(N($N21),"#,##0")&amp;" A provided against a floor of "&amp;TEXT(IF(N($J21)&gt;800,N($J21),N($I21)),"#,##0")&amp;" A",IF(N($O21)&gt;$B$13,"ampacity OK but voltage drop "&amp;TEXT(N($O21),"0.0%")&amp;" exceeds the allowance — ADVISORY, upsize the override","OK — "&amp;IF(IF(N($M21)&gt;0,N($M21),MAX(1,N(IFERROR(INDEX(SPEC_CIRC,MATCH(INDEX(Equipment!$C$7:$C$18,MAX(1,N($W21))),SPEC_SKU,0)),1))))&gt;1,TEXT(IF(N($M21)&gt;0,N($M21),MAX(1,N(IFERROR(INDEX(SPEC_CIRC,MATCH(INDEX(Equipment!$C$7:$C$18,MAX(1,N($W21))),SPEC_SKU,0)),1)))),"0")&amp;" sets of ","")&amp;IF($L21&lt;&gt;"",$L21,$K21)&amp;IF($L21&lt;&gt;""," (override)","")&amp;", "&amp;TEXT(N($N21),"#,##0")&amp;" A against a "&amp;TEXT(IF(N($J21)&gt;800,N($J21),N($I21)),"#,##0")&amp;" A floor; drop "&amp;TEXT(N($O21),"0.0%")&amp;" (ADVISORY)"))))))))</f>
        <v/>
      </c>
      <c r="U21" s="1368">
        <f>IF($W21="",0,IF($E21="",1,IF(MATCH($E21,$E$18:$E$47,0)=4,1,0)))</f>
        <v/>
      </c>
      <c r="V21" s="1369">
        <f>IF($W21="","",IF(INDEX(Equipment!$E$7:$E$18,$W21)="level_2","L2",IF(INDEX(Equipment!$E$7:$E$18,$W21)="power_cabinet","CAB","DC")))</f>
        <v/>
      </c>
      <c r="W21" s="1368">
        <f>IF(N($B$50)&gt;=4,COUNTIF(Equipment!$S$7:$S$18,"&lt;4")+1,"")</f>
        <v/>
      </c>
      <c r="X21" s="1368">
        <f>IF($U21&lt;&gt;1,"",IF(N($M21)&gt;0,N($M21),MAX(1,N(IFERROR(INDEX(SPEC_CIRC,MATCH(INDEX(Equipment!$C$7:$C$18,MAX(1,N($W21))),SPEC_SKU,0)),1)))))</f>
        <v/>
      </c>
    </row>
    <row r="22" ht="27.5" customHeight="1" s="254">
      <c r="A22" s="1362">
        <f>IF($W22="","","Charger 5")</f>
        <v/>
      </c>
      <c r="B22" s="1362">
        <f>IF($W22="","","Line "&amp;$W22&amp;" · "&amp;INDEX(Equipment!$C$7:$C$18,$W22)&amp;" · "&amp;INDEX(Equipment!$B$7:$B$18,$W22)&amp;" · #"&amp;(5-INDEX(Equipment!$R$7:$R$18,$W22)+1)&amp;" of "&amp;INDEX(Equipment!$I$7:$I$18,$W22))</f>
        <v/>
      </c>
      <c r="C22" s="1362">
        <f>IF($W22="","",IF($V22="L2",TEXT(N(Equipment!$B$30),"0")&amp;" V 1-ph",TEXT(Project!$B$29,"0")&amp;" V 3-ph"))</f>
        <v/>
      </c>
      <c r="D22" s="1363">
        <f>IF($W22="","",INDEX(Equipment!$G$7:$G$18,$W22))</f>
        <v/>
      </c>
      <c r="E22" s="1292" t="n"/>
      <c r="F22" s="1326" t="n">
        <v>60</v>
      </c>
      <c r="G22" s="1292" t="n"/>
      <c r="H22" s="1364">
        <f>IF($U22&lt;&gt;1,"",IF($E22="",N($D22),SUMIF($E$18:$E$47,$E22,$D$18:$D$47))*1000/(IF($V22="L2",N(Equipment!$B$30),Project!$B$29)*IF($V22="L2",1,SQRT(3))))</f>
        <v/>
      </c>
      <c r="I22" s="1364">
        <f>IF(N($H22)=0,"",N($H22)*1.25)</f>
        <v/>
      </c>
      <c r="J22" s="1364">
        <f>IF(N($I22)=0,"",IF(ISNUMBER(MATCH($I22,OCPD_LIST,0)),$I22,IF($I22&gt;MAX(OCPD_LIST),"ABOVE LIST",INDEX(OCPD_LIST,MATCH($I22,OCPD_LIST,1)+1))))</f>
        <v/>
      </c>
      <c r="K22" s="1362">
        <f>IF(OR(N($I22)=0,$B$10=""),"",IF(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gt;ROWS(SZ_SIZE),"PARALLEL SETS",INDEX(SZ_SIZE,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f>
        <v/>
      </c>
      <c r="L22" s="1292" t="inlineStr">
        <is>
          <t>8 AWG</t>
        </is>
      </c>
      <c r="M22" s="1326" t="n">
        <v>2</v>
      </c>
      <c r="N22" s="1364">
        <f>IF(OR(IF($L22&lt;&gt;"",$L22,$K22)="",IF($L22&lt;&gt;"",$L22,$K22)="PARALLEL SETS"),"",IFERROR(INDEX(SZ_AMP,MATCH(IF($L22&lt;&gt;"",$L22,$K22),SZ_SIZE,0))*IF(N($M22)&gt;0,N($M22),MAX(1,N(IFERROR(INDEX(SPEC_CIRC,MATCH(INDEX(Equipment!$C$7:$C$18,MAX(1,N($W22))),SPEC_SKU,0)),1)))),""))</f>
        <v/>
      </c>
      <c r="O22" s="1365">
        <f>IF(OR(N($N22)=0,N($F22)=0),"",IFERROR(IF($V22="L2",2,SQRT(3))*N($H22)/IF(N($M22)&gt;0,N($M22),MAX(1,N(IFERROR(INDEX(SPEC_CIRC,MATCH(INDEX(Equipment!$C$7:$C$18,MAX(1,N($W22))),SPEC_SKU,0)),1))))*N($F22)*INDEX(SZ_Z,MATCH(IF($L22&lt;&gt;"",$L22,$K22),SZ_SIZE,0))/1000/IF($V22="L2",N(Equipment!$B$30),Project!$B$29),""))</f>
        <v/>
      </c>
      <c r="P22" s="1362">
        <f>IF(N($J22)=0,"",IFERROR(INDEX(IF($B$6="Cu",EGC_CU,EGC_AL),MATCH($J22,EGC_OCPD,1)+IF(ISNUMBER(MATCH($J22,EGC_OCPD,0)),0,1)),""))</f>
        <v/>
      </c>
      <c r="Q22" s="1362">
        <f>IF(N($N22)=0,"",IFERROR(INDEX(IF($V22="L2",CND_2G,CND_3G),MATCH(IF($L22&lt;&gt;"",$L22,$K22),CND_SIZE,0)),""))</f>
        <v/>
      </c>
      <c r="R22" s="1292" t="n"/>
      <c r="S22" s="1366">
        <f>IF(OR($W22="",N($F22)=0,N($N22)=0),0,IFERROR(N($F22)*IF(N($M22)&gt;0,N($M22),MAX(1,N(IFERROR(INDEX(SPEC_CIRC,MATCH(INDEX(Equipment!$C$7:$C$18,MAX(1,N($W22))),SPEC_SKU,0)),1))))*IF($V22="L2",2,3)*INDEX(IF($B$6="Cu",WIRE_CU,WIRE_AL),MATCH(IF($L22&lt;&gt;"",$L22,$K22),WIRE_SIZE,0)),0)+IFERROR(N($F22)*IF(N($M22)&gt;0,N($M22),MAX(1,N(IFERROR(INDEX(SPEC_CIRC,MATCH(INDEX(Equipment!$C$7:$C$18,MAX(1,N($W22))),SPEC_SKU,0)),1))))*INDEX(IF($B$6="Cu",WIRE_CU,WIRE_AL),MATCH($P22,WIRE_SIZE,0)),0)+IFERROR(N($F22)*IF(N($M22)&gt;0,N($M22),MAX(1,N(IFERROR(INDEX(SPEC_CIRC,MATCH(INDEX(Equipment!$C$7:$C$18,MAX(1,N($W22))),SPEC_SKU,0)),1))))*INDEX(PVC_RATE,MATCH(IF($R22&lt;&gt;"",$R22,$Q22),PVC_SIZE,0)),0)+IF($V22="L2",0,IFERROR(N($F22)*INDEX(PVC_RATE,MATCH("(3/4"")",PVC_SIZE,0)),0)))</f>
        <v/>
      </c>
      <c r="T22" s="1367">
        <f>IF($W22="","",IF($U22=0,"shared — on circuit "&amp;$E22&amp;", sized and priced on its first unit",IF(N($F22)=0,"ENTER THE DISTANCE",IF($B$10="","SET THE DESIGN AMBIENT in block A — nothing on this row can be trusted until it is",IF(IF($L22&lt;&gt;"",$L22,$K22)="PARALLEL SETS","PARALLEL SETS NEEDED — no single conductor carries "&amp;TEXT(N($I22),"#,##0")&amp;" A within the drop allowance; enter sets in column M",IF(N($N22)=0,"no ampacity on file for the override size — NEC Table 310.16 does not list it",IF(N($N22)&lt;IF(N($J22)&gt;800,N($J22),N($I22)),"UNDERSIZED — "&amp;TEXT(N($N22),"#,##0")&amp;" A provided against a floor of "&amp;TEXT(IF(N($J22)&gt;800,N($J22),N($I22)),"#,##0")&amp;" A",IF(N($O22)&gt;$B$13,"ampacity OK but voltage drop "&amp;TEXT(N($O22),"0.0%")&amp;" exceeds the allowance — ADVISORY, upsize the override","OK — "&amp;IF(IF(N($M22)&gt;0,N($M22),MAX(1,N(IFERROR(INDEX(SPEC_CIRC,MATCH(INDEX(Equipment!$C$7:$C$18,MAX(1,N($W22))),SPEC_SKU,0)),1))))&gt;1,TEXT(IF(N($M22)&gt;0,N($M22),MAX(1,N(IFERROR(INDEX(SPEC_CIRC,MATCH(INDEX(Equipment!$C$7:$C$18,MAX(1,N($W22))),SPEC_SKU,0)),1)))),"0")&amp;" sets of ","")&amp;IF($L22&lt;&gt;"",$L22,$K22)&amp;IF($L22&lt;&gt;""," (override)","")&amp;", "&amp;TEXT(N($N22),"#,##0")&amp;" A against a "&amp;TEXT(IF(N($J22)&gt;800,N($J22),N($I22)),"#,##0")&amp;" A floor; drop "&amp;TEXT(N($O22),"0.0%")&amp;" (ADVISORY)"))))))))</f>
        <v/>
      </c>
      <c r="U22" s="1368">
        <f>IF($W22="",0,IF($E22="",1,IF(MATCH($E22,$E$18:$E$47,0)=5,1,0)))</f>
        <v/>
      </c>
      <c r="V22" s="1369">
        <f>IF($W22="","",IF(INDEX(Equipment!$E$7:$E$18,$W22)="level_2","L2",IF(INDEX(Equipment!$E$7:$E$18,$W22)="power_cabinet","CAB","DC")))</f>
        <v/>
      </c>
      <c r="W22" s="1368">
        <f>IF(N($B$50)&gt;=5,COUNTIF(Equipment!$S$7:$S$18,"&lt;5")+1,"")</f>
        <v/>
      </c>
      <c r="X22" s="1368">
        <f>IF($U22&lt;&gt;1,"",IF(N($M22)&gt;0,N($M22),MAX(1,N(IFERROR(INDEX(SPEC_CIRC,MATCH(INDEX(Equipment!$C$7:$C$18,MAX(1,N($W22))),SPEC_SKU,0)),1)))))</f>
        <v/>
      </c>
    </row>
    <row r="23" ht="27.5" customHeight="1" s="254">
      <c r="A23" s="1362">
        <f>IF($W23="","","Charger 6")</f>
        <v/>
      </c>
      <c r="B23" s="1362">
        <f>IF($W23="","","Line "&amp;$W23&amp;" · "&amp;INDEX(Equipment!$C$7:$C$18,$W23)&amp;" · "&amp;INDEX(Equipment!$B$7:$B$18,$W23)&amp;" · #"&amp;(6-INDEX(Equipment!$R$7:$R$18,$W23)+1)&amp;" of "&amp;INDEX(Equipment!$I$7:$I$18,$W23))</f>
        <v/>
      </c>
      <c r="C23" s="1362">
        <f>IF($W23="","",IF($V23="L2",TEXT(N(Equipment!$B$30),"0")&amp;" V 1-ph",TEXT(Project!$B$29,"0")&amp;" V 3-ph"))</f>
        <v/>
      </c>
      <c r="D23" s="1363">
        <f>IF($W23="","",INDEX(Equipment!$G$7:$G$18,$W23))</f>
        <v/>
      </c>
      <c r="E23" s="1292" t="n"/>
      <c r="F23" s="1326" t="n">
        <v>75</v>
      </c>
      <c r="G23" s="1292" t="n"/>
      <c r="H23" s="1364">
        <f>IF($U23&lt;&gt;1,"",IF($E23="",N($D23),SUMIF($E$18:$E$47,$E23,$D$18:$D$47))*1000/(IF($V23="L2",N(Equipment!$B$30),Project!$B$29)*IF($V23="L2",1,SQRT(3))))</f>
        <v/>
      </c>
      <c r="I23" s="1364">
        <f>IF(N($H23)=0,"",N($H23)*1.25)</f>
        <v/>
      </c>
      <c r="J23" s="1364">
        <f>IF(N($I23)=0,"",IF(ISNUMBER(MATCH($I23,OCPD_LIST,0)),$I23,IF($I23&gt;MAX(OCPD_LIST),"ABOVE LIST",INDEX(OCPD_LIST,MATCH($I23,OCPD_LIST,1)+1))))</f>
        <v/>
      </c>
      <c r="K23" s="1362">
        <f>IF(OR(N($I23)=0,$B$10=""),"",IF(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gt;ROWS(SZ_SIZE),"PARALLEL SETS",INDEX(SZ_SIZE,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f>
        <v/>
      </c>
      <c r="L23" s="1292" t="inlineStr">
        <is>
          <t>8 AWG</t>
        </is>
      </c>
      <c r="M23" s="1326" t="n">
        <v>2</v>
      </c>
      <c r="N23" s="1364">
        <f>IF(OR(IF($L23&lt;&gt;"",$L23,$K23)="",IF($L23&lt;&gt;"",$L23,$K23)="PARALLEL SETS"),"",IFERROR(INDEX(SZ_AMP,MATCH(IF($L23&lt;&gt;"",$L23,$K23),SZ_SIZE,0))*IF(N($M23)&gt;0,N($M23),MAX(1,N(IFERROR(INDEX(SPEC_CIRC,MATCH(INDEX(Equipment!$C$7:$C$18,MAX(1,N($W23))),SPEC_SKU,0)),1)))),""))</f>
        <v/>
      </c>
      <c r="O23" s="1365">
        <f>IF(OR(N($N23)=0,N($F23)=0),"",IFERROR(IF($V23="L2",2,SQRT(3))*N($H23)/IF(N($M23)&gt;0,N($M23),MAX(1,N(IFERROR(INDEX(SPEC_CIRC,MATCH(INDEX(Equipment!$C$7:$C$18,MAX(1,N($W23))),SPEC_SKU,0)),1))))*N($F23)*INDEX(SZ_Z,MATCH(IF($L23&lt;&gt;"",$L23,$K23),SZ_SIZE,0))/1000/IF($V23="L2",N(Equipment!$B$30),Project!$B$29),""))</f>
        <v/>
      </c>
      <c r="P23" s="1362">
        <f>IF(N($J23)=0,"",IFERROR(INDEX(IF($B$6="Cu",EGC_CU,EGC_AL),MATCH($J23,EGC_OCPD,1)+IF(ISNUMBER(MATCH($J23,EGC_OCPD,0)),0,1)),""))</f>
        <v/>
      </c>
      <c r="Q23" s="1362">
        <f>IF(N($N23)=0,"",IFERROR(INDEX(IF($V23="L2",CND_2G,CND_3G),MATCH(IF($L23&lt;&gt;"",$L23,$K23),CND_SIZE,0)),""))</f>
        <v/>
      </c>
      <c r="R23" s="1292" t="n"/>
      <c r="S23" s="1366">
        <f>IF(OR($W23="",N($F23)=0,N($N23)=0),0,IFERROR(N($F23)*IF(N($M23)&gt;0,N($M23),MAX(1,N(IFERROR(INDEX(SPEC_CIRC,MATCH(INDEX(Equipment!$C$7:$C$18,MAX(1,N($W23))),SPEC_SKU,0)),1))))*IF($V23="L2",2,3)*INDEX(IF($B$6="Cu",WIRE_CU,WIRE_AL),MATCH(IF($L23&lt;&gt;"",$L23,$K23),WIRE_SIZE,0)),0)+IFERROR(N($F23)*IF(N($M23)&gt;0,N($M23),MAX(1,N(IFERROR(INDEX(SPEC_CIRC,MATCH(INDEX(Equipment!$C$7:$C$18,MAX(1,N($W23))),SPEC_SKU,0)),1))))*INDEX(IF($B$6="Cu",WIRE_CU,WIRE_AL),MATCH($P23,WIRE_SIZE,0)),0)+IFERROR(N($F23)*IF(N($M23)&gt;0,N($M23),MAX(1,N(IFERROR(INDEX(SPEC_CIRC,MATCH(INDEX(Equipment!$C$7:$C$18,MAX(1,N($W23))),SPEC_SKU,0)),1))))*INDEX(PVC_RATE,MATCH(IF($R23&lt;&gt;"",$R23,$Q23),PVC_SIZE,0)),0)+IF($V23="L2",0,IFERROR(N($F23)*INDEX(PVC_RATE,MATCH("(3/4"")",PVC_SIZE,0)),0)))</f>
        <v/>
      </c>
      <c r="T23" s="1367">
        <f>IF($W23="","",IF($U23=0,"shared — on circuit "&amp;$E23&amp;", sized and priced on its first unit",IF(N($F23)=0,"ENTER THE DISTANCE",IF($B$10="","SET THE DESIGN AMBIENT in block A — nothing on this row can be trusted until it is",IF(IF($L23&lt;&gt;"",$L23,$K23)="PARALLEL SETS","PARALLEL SETS NEEDED — no single conductor carries "&amp;TEXT(N($I23),"#,##0")&amp;" A within the drop allowance; enter sets in column M",IF(N($N23)=0,"no ampacity on file for the override size — NEC Table 310.16 does not list it",IF(N($N23)&lt;IF(N($J23)&gt;800,N($J23),N($I23)),"UNDERSIZED — "&amp;TEXT(N($N23),"#,##0")&amp;" A provided against a floor of "&amp;TEXT(IF(N($J23)&gt;800,N($J23),N($I23)),"#,##0")&amp;" A",IF(N($O23)&gt;$B$13,"ampacity OK but voltage drop "&amp;TEXT(N($O23),"0.0%")&amp;" exceeds the allowance — ADVISORY, upsize the override","OK — "&amp;IF(IF(N($M23)&gt;0,N($M23),MAX(1,N(IFERROR(INDEX(SPEC_CIRC,MATCH(INDEX(Equipment!$C$7:$C$18,MAX(1,N($W23))),SPEC_SKU,0)),1))))&gt;1,TEXT(IF(N($M23)&gt;0,N($M23),MAX(1,N(IFERROR(INDEX(SPEC_CIRC,MATCH(INDEX(Equipment!$C$7:$C$18,MAX(1,N($W23))),SPEC_SKU,0)),1)))),"0")&amp;" sets of ","")&amp;IF($L23&lt;&gt;"",$L23,$K23)&amp;IF($L23&lt;&gt;""," (override)","")&amp;", "&amp;TEXT(N($N23),"#,##0")&amp;" A against a "&amp;TEXT(IF(N($J23)&gt;800,N($J23),N($I23)),"#,##0")&amp;" A floor; drop "&amp;TEXT(N($O23),"0.0%")&amp;" (ADVISORY)"))))))))</f>
        <v/>
      </c>
      <c r="U23" s="1368">
        <f>IF($W23="",0,IF($E23="",1,IF(MATCH($E23,$E$18:$E$47,0)=6,1,0)))</f>
        <v/>
      </c>
      <c r="V23" s="1369">
        <f>IF($W23="","",IF(INDEX(Equipment!$E$7:$E$18,$W23)="level_2","L2",IF(INDEX(Equipment!$E$7:$E$18,$W23)="power_cabinet","CAB","DC")))</f>
        <v/>
      </c>
      <c r="W23" s="1368">
        <f>IF(N($B$50)&gt;=6,COUNTIF(Equipment!$S$7:$S$18,"&lt;6")+1,"")</f>
        <v/>
      </c>
      <c r="X23" s="1368">
        <f>IF($U23&lt;&gt;1,"",IF(N($M23)&gt;0,N($M23),MAX(1,N(IFERROR(INDEX(SPEC_CIRC,MATCH(INDEX(Equipment!$C$7:$C$18,MAX(1,N($W23))),SPEC_SKU,0)),1)))))</f>
        <v/>
      </c>
    </row>
    <row r="24" ht="27.5" customHeight="1" s="254">
      <c r="A24" s="1362">
        <f>IF($W24="","","Charger 7")</f>
        <v/>
      </c>
      <c r="B24" s="1362">
        <f>IF($W24="","","Line "&amp;$W24&amp;" · "&amp;INDEX(Equipment!$C$7:$C$18,$W24)&amp;" · "&amp;INDEX(Equipment!$B$7:$B$18,$W24)&amp;" · #"&amp;(7-INDEX(Equipment!$R$7:$R$18,$W24)+1)&amp;" of "&amp;INDEX(Equipment!$I$7:$I$18,$W24))</f>
        <v/>
      </c>
      <c r="C24" s="1362">
        <f>IF($W24="","",IF($V24="L2",TEXT(N(Equipment!$B$30),"0")&amp;" V 1-ph",TEXT(Project!$B$29,"0")&amp;" V 3-ph"))</f>
        <v/>
      </c>
      <c r="D24" s="1363">
        <f>IF($W24="","",INDEX(Equipment!$G$7:$G$18,$W24))</f>
        <v/>
      </c>
      <c r="E24" s="1292" t="n"/>
      <c r="F24" s="1326" t="n"/>
      <c r="G24" s="1292" t="n"/>
      <c r="H24" s="1364">
        <f>IF($U24&lt;&gt;1,"",IF($E24="",N($D24),SUMIF($E$18:$E$47,$E24,$D$18:$D$47))*1000/(IF($V24="L2",N(Equipment!$B$30),Project!$B$29)*IF($V24="L2",1,SQRT(3))))</f>
        <v/>
      </c>
      <c r="I24" s="1364">
        <f>IF(N($H24)=0,"",N($H24)*1.25)</f>
        <v/>
      </c>
      <c r="J24" s="1364">
        <f>IF(N($I24)=0,"",IF(ISNUMBER(MATCH($I24,OCPD_LIST,0)),$I24,IF($I24&gt;MAX(OCPD_LIST),"ABOVE LIST",INDEX(OCPD_LIST,MATCH($I24,OCPD_LIST,1)+1))))</f>
        <v/>
      </c>
      <c r="K24" s="1362">
        <f>IF(OR(N($I24)=0,$B$10=""),"",IF(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gt;ROWS(SZ_SIZE),"PARALLEL SETS",INDEX(SZ_SIZE,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f>
        <v/>
      </c>
      <c r="L24" s="1292" t="n"/>
      <c r="M24" s="1326" t="n"/>
      <c r="N24" s="1364">
        <f>IF(OR(IF($L24&lt;&gt;"",$L24,$K24)="",IF($L24&lt;&gt;"",$L24,$K24)="PARALLEL SETS"),"",IFERROR(INDEX(SZ_AMP,MATCH(IF($L24&lt;&gt;"",$L24,$K24),SZ_SIZE,0))*IF(N($M24)&gt;0,N($M24),MAX(1,N(IFERROR(INDEX(SPEC_CIRC,MATCH(INDEX(Equipment!$C$7:$C$18,MAX(1,N($W24))),SPEC_SKU,0)),1)))),""))</f>
        <v/>
      </c>
      <c r="O24" s="1365">
        <f>IF(OR(N($N24)=0,N($F24)=0),"",IFERROR(IF($V24="L2",2,SQRT(3))*N($H24)/IF(N($M24)&gt;0,N($M24),MAX(1,N(IFERROR(INDEX(SPEC_CIRC,MATCH(INDEX(Equipment!$C$7:$C$18,MAX(1,N($W24))),SPEC_SKU,0)),1))))*N($F24)*INDEX(SZ_Z,MATCH(IF($L24&lt;&gt;"",$L24,$K24),SZ_SIZE,0))/1000/IF($V24="L2",N(Equipment!$B$30),Project!$B$29),""))</f>
        <v/>
      </c>
      <c r="P24" s="1362">
        <f>IF(N($J24)=0,"",IFERROR(INDEX(IF($B$6="Cu",EGC_CU,EGC_AL),MATCH($J24,EGC_OCPD,1)+IF(ISNUMBER(MATCH($J24,EGC_OCPD,0)),0,1)),""))</f>
        <v/>
      </c>
      <c r="Q24" s="1362">
        <f>IF(N($N24)=0,"",IFERROR(INDEX(IF($V24="L2",CND_2G,CND_3G),MATCH(IF($L24&lt;&gt;"",$L24,$K24),CND_SIZE,0)),""))</f>
        <v/>
      </c>
      <c r="R24" s="1292" t="n"/>
      <c r="S24" s="1366">
        <f>IF(OR($W24="",N($F24)=0,N($N24)=0),0,IFERROR(N($F24)*IF(N($M24)&gt;0,N($M24),MAX(1,N(IFERROR(INDEX(SPEC_CIRC,MATCH(INDEX(Equipment!$C$7:$C$18,MAX(1,N($W24))),SPEC_SKU,0)),1))))*IF($V24="L2",2,3)*INDEX(IF($B$6="Cu",WIRE_CU,WIRE_AL),MATCH(IF($L24&lt;&gt;"",$L24,$K24),WIRE_SIZE,0)),0)+IFERROR(N($F24)*IF(N($M24)&gt;0,N($M24),MAX(1,N(IFERROR(INDEX(SPEC_CIRC,MATCH(INDEX(Equipment!$C$7:$C$18,MAX(1,N($W24))),SPEC_SKU,0)),1))))*INDEX(IF($B$6="Cu",WIRE_CU,WIRE_AL),MATCH($P24,WIRE_SIZE,0)),0)+IFERROR(N($F24)*IF(N($M24)&gt;0,N($M24),MAX(1,N(IFERROR(INDEX(SPEC_CIRC,MATCH(INDEX(Equipment!$C$7:$C$18,MAX(1,N($W24))),SPEC_SKU,0)),1))))*INDEX(PVC_RATE,MATCH(IF($R24&lt;&gt;"",$R24,$Q24),PVC_SIZE,0)),0)+IF($V24="L2",0,IFERROR(N($F24)*INDEX(PVC_RATE,MATCH("(3/4"")",PVC_SIZE,0)),0)))</f>
        <v/>
      </c>
      <c r="T24" s="1367">
        <f>IF($W24="","",IF($U24=0,"shared — on circuit "&amp;$E24&amp;", sized and priced on its first unit",IF(N($F24)=0,"ENTER THE DISTANCE",IF($B$10="","SET THE DESIGN AMBIENT in block A — nothing on this row can be trusted until it is",IF(IF($L24&lt;&gt;"",$L24,$K24)="PARALLEL SETS","PARALLEL SETS NEEDED — no single conductor carries "&amp;TEXT(N($I24),"#,##0")&amp;" A within the drop allowance; enter sets in column M",IF(N($N24)=0,"no ampacity on file for the override size — NEC Table 310.16 does not list it",IF(N($N24)&lt;IF(N($J24)&gt;800,N($J24),N($I24)),"UNDERSIZED — "&amp;TEXT(N($N24),"#,##0")&amp;" A provided against a floor of "&amp;TEXT(IF(N($J24)&gt;800,N($J24),N($I24)),"#,##0")&amp;" A",IF(N($O24)&gt;$B$13,"ampacity OK but voltage drop "&amp;TEXT(N($O24),"0.0%")&amp;" exceeds the allowance — ADVISORY, upsize the override","OK — "&amp;IF(IF(N($M24)&gt;0,N($M24),MAX(1,N(IFERROR(INDEX(SPEC_CIRC,MATCH(INDEX(Equipment!$C$7:$C$18,MAX(1,N($W24))),SPEC_SKU,0)),1))))&gt;1,TEXT(IF(N($M24)&gt;0,N($M24),MAX(1,N(IFERROR(INDEX(SPEC_CIRC,MATCH(INDEX(Equipment!$C$7:$C$18,MAX(1,N($W24))),SPEC_SKU,0)),1)))),"0")&amp;" sets of ","")&amp;IF($L24&lt;&gt;"",$L24,$K24)&amp;IF($L24&lt;&gt;""," (override)","")&amp;", "&amp;TEXT(N($N24),"#,##0")&amp;" A against a "&amp;TEXT(IF(N($J24)&gt;800,N($J24),N($I24)),"#,##0")&amp;" A floor; drop "&amp;TEXT(N($O24),"0.0%")&amp;" (ADVISORY)"))))))))</f>
        <v/>
      </c>
      <c r="U24" s="1368">
        <f>IF($W24="",0,IF($E24="",1,IF(MATCH($E24,$E$18:$E$47,0)=7,1,0)))</f>
        <v/>
      </c>
      <c r="V24" s="1369">
        <f>IF($W24="","",IF(INDEX(Equipment!$E$7:$E$18,$W24)="level_2","L2",IF(INDEX(Equipment!$E$7:$E$18,$W24)="power_cabinet","CAB","DC")))</f>
        <v/>
      </c>
      <c r="W24" s="1368">
        <f>IF(N($B$50)&gt;=7,COUNTIF(Equipment!$S$7:$S$18,"&lt;7")+1,"")</f>
        <v/>
      </c>
      <c r="X24" s="1368">
        <f>IF($U24&lt;&gt;1,"",IF(N($M24)&gt;0,N($M24),MAX(1,N(IFERROR(INDEX(SPEC_CIRC,MATCH(INDEX(Equipment!$C$7:$C$18,MAX(1,N($W24))),SPEC_SKU,0)),1)))))</f>
        <v/>
      </c>
    </row>
    <row r="25" ht="27.5" customHeight="1" s="254">
      <c r="A25" s="1362">
        <f>IF($W25="","","Charger 8")</f>
        <v/>
      </c>
      <c r="B25" s="1362">
        <f>IF($W25="","","Line "&amp;$W25&amp;" · "&amp;INDEX(Equipment!$C$7:$C$18,$W25)&amp;" · "&amp;INDEX(Equipment!$B$7:$B$18,$W25)&amp;" · #"&amp;(8-INDEX(Equipment!$R$7:$R$18,$W25)+1)&amp;" of "&amp;INDEX(Equipment!$I$7:$I$18,$W25))</f>
        <v/>
      </c>
      <c r="C25" s="1362">
        <f>IF($W25="","",IF($V25="L2",TEXT(N(Equipment!$B$30),"0")&amp;" V 1-ph",TEXT(Project!$B$29,"0")&amp;" V 3-ph"))</f>
        <v/>
      </c>
      <c r="D25" s="1363">
        <f>IF($W25="","",INDEX(Equipment!$G$7:$G$18,$W25))</f>
        <v/>
      </c>
      <c r="E25" s="1292" t="n"/>
      <c r="F25" s="1326" t="n"/>
      <c r="G25" s="1292" t="n"/>
      <c r="H25" s="1364">
        <f>IF($U25&lt;&gt;1,"",IF($E25="",N($D25),SUMIF($E$18:$E$47,$E25,$D$18:$D$47))*1000/(IF($V25="L2",N(Equipment!$B$30),Project!$B$29)*IF($V25="L2",1,SQRT(3))))</f>
        <v/>
      </c>
      <c r="I25" s="1364">
        <f>IF(N($H25)=0,"",N($H25)*1.25)</f>
        <v/>
      </c>
      <c r="J25" s="1364">
        <f>IF(N($I25)=0,"",IF(ISNUMBER(MATCH($I25,OCPD_LIST,0)),$I25,IF($I25&gt;MAX(OCPD_LIST),"ABOVE LIST",INDEX(OCPD_LIST,MATCH($I25,OCPD_LIST,1)+1))))</f>
        <v/>
      </c>
      <c r="K25" s="1362">
        <f>IF(OR(N($I25)=0,$B$10=""),"",IF(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gt;ROWS(SZ_SIZE),"PARALLEL SETS",INDEX(SZ_SIZE,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f>
        <v/>
      </c>
      <c r="L25" s="1292" t="n"/>
      <c r="M25" s="1326" t="n"/>
      <c r="N25" s="1364">
        <f>IF(OR(IF($L25&lt;&gt;"",$L25,$K25)="",IF($L25&lt;&gt;"",$L25,$K25)="PARALLEL SETS"),"",IFERROR(INDEX(SZ_AMP,MATCH(IF($L25&lt;&gt;"",$L25,$K25),SZ_SIZE,0))*IF(N($M25)&gt;0,N($M25),MAX(1,N(IFERROR(INDEX(SPEC_CIRC,MATCH(INDEX(Equipment!$C$7:$C$18,MAX(1,N($W25))),SPEC_SKU,0)),1)))),""))</f>
        <v/>
      </c>
      <c r="O25" s="1365">
        <f>IF(OR(N($N25)=0,N($F25)=0),"",IFERROR(IF($V25="L2",2,SQRT(3))*N($H25)/IF(N($M25)&gt;0,N($M25),MAX(1,N(IFERROR(INDEX(SPEC_CIRC,MATCH(INDEX(Equipment!$C$7:$C$18,MAX(1,N($W25))),SPEC_SKU,0)),1))))*N($F25)*INDEX(SZ_Z,MATCH(IF($L25&lt;&gt;"",$L25,$K25),SZ_SIZE,0))/1000/IF($V25="L2",N(Equipment!$B$30),Project!$B$29),""))</f>
        <v/>
      </c>
      <c r="P25" s="1362">
        <f>IF(N($J25)=0,"",IFERROR(INDEX(IF($B$6="Cu",EGC_CU,EGC_AL),MATCH($J25,EGC_OCPD,1)+IF(ISNUMBER(MATCH($J25,EGC_OCPD,0)),0,1)),""))</f>
        <v/>
      </c>
      <c r="Q25" s="1362">
        <f>IF(N($N25)=0,"",IFERROR(INDEX(IF($V25="L2",CND_2G,CND_3G),MATCH(IF($L25&lt;&gt;"",$L25,$K25),CND_SIZE,0)),""))</f>
        <v/>
      </c>
      <c r="R25" s="1292" t="n"/>
      <c r="S25" s="1366">
        <f>IF(OR($W25="",N($F25)=0,N($N25)=0),0,IFERROR(N($F25)*IF(N($M25)&gt;0,N($M25),MAX(1,N(IFERROR(INDEX(SPEC_CIRC,MATCH(INDEX(Equipment!$C$7:$C$18,MAX(1,N($W25))),SPEC_SKU,0)),1))))*IF($V25="L2",2,3)*INDEX(IF($B$6="Cu",WIRE_CU,WIRE_AL),MATCH(IF($L25&lt;&gt;"",$L25,$K25),WIRE_SIZE,0)),0)+IFERROR(N($F25)*IF(N($M25)&gt;0,N($M25),MAX(1,N(IFERROR(INDEX(SPEC_CIRC,MATCH(INDEX(Equipment!$C$7:$C$18,MAX(1,N($W25))),SPEC_SKU,0)),1))))*INDEX(IF($B$6="Cu",WIRE_CU,WIRE_AL),MATCH($P25,WIRE_SIZE,0)),0)+IFERROR(N($F25)*IF(N($M25)&gt;0,N($M25),MAX(1,N(IFERROR(INDEX(SPEC_CIRC,MATCH(INDEX(Equipment!$C$7:$C$18,MAX(1,N($W25))),SPEC_SKU,0)),1))))*INDEX(PVC_RATE,MATCH(IF($R25&lt;&gt;"",$R25,$Q25),PVC_SIZE,0)),0)+IF($V25="L2",0,IFERROR(N($F25)*INDEX(PVC_RATE,MATCH("(3/4"")",PVC_SIZE,0)),0)))</f>
        <v/>
      </c>
      <c r="T25" s="1367">
        <f>IF($W25="","",IF($U25=0,"shared — on circuit "&amp;$E25&amp;", sized and priced on its first unit",IF(N($F25)=0,"ENTER THE DISTANCE",IF($B$10="","SET THE DESIGN AMBIENT in block A — nothing on this row can be trusted until it is",IF(IF($L25&lt;&gt;"",$L25,$K25)="PARALLEL SETS","PARALLEL SETS NEEDED — no single conductor carries "&amp;TEXT(N($I25),"#,##0")&amp;" A within the drop allowance; enter sets in column M",IF(N($N25)=0,"no ampacity on file for the override size — NEC Table 310.16 does not list it",IF(N($N25)&lt;IF(N($J25)&gt;800,N($J25),N($I25)),"UNDERSIZED — "&amp;TEXT(N($N25),"#,##0")&amp;" A provided against a floor of "&amp;TEXT(IF(N($J25)&gt;800,N($J25),N($I25)),"#,##0")&amp;" A",IF(N($O25)&gt;$B$13,"ampacity OK but voltage drop "&amp;TEXT(N($O25),"0.0%")&amp;" exceeds the allowance — ADVISORY, upsize the override","OK — "&amp;IF(IF(N($M25)&gt;0,N($M25),MAX(1,N(IFERROR(INDEX(SPEC_CIRC,MATCH(INDEX(Equipment!$C$7:$C$18,MAX(1,N($W25))),SPEC_SKU,0)),1))))&gt;1,TEXT(IF(N($M25)&gt;0,N($M25),MAX(1,N(IFERROR(INDEX(SPEC_CIRC,MATCH(INDEX(Equipment!$C$7:$C$18,MAX(1,N($W25))),SPEC_SKU,0)),1)))),"0")&amp;" sets of ","")&amp;IF($L25&lt;&gt;"",$L25,$K25)&amp;IF($L25&lt;&gt;""," (override)","")&amp;", "&amp;TEXT(N($N25),"#,##0")&amp;" A against a "&amp;TEXT(IF(N($J25)&gt;800,N($J25),N($I25)),"#,##0")&amp;" A floor; drop "&amp;TEXT(N($O25),"0.0%")&amp;" (ADVISORY)"))))))))</f>
        <v/>
      </c>
      <c r="U25" s="1368">
        <f>IF($W25="",0,IF($E25="",1,IF(MATCH($E25,$E$18:$E$47,0)=8,1,0)))</f>
        <v/>
      </c>
      <c r="V25" s="1369">
        <f>IF($W25="","",IF(INDEX(Equipment!$E$7:$E$18,$W25)="level_2","L2",IF(INDEX(Equipment!$E$7:$E$18,$W25)="power_cabinet","CAB","DC")))</f>
        <v/>
      </c>
      <c r="W25" s="1368">
        <f>IF(N($B$50)&gt;=8,COUNTIF(Equipment!$S$7:$S$18,"&lt;8")+1,"")</f>
        <v/>
      </c>
      <c r="X25" s="1368">
        <f>IF($U25&lt;&gt;1,"",IF(N($M25)&gt;0,N($M25),MAX(1,N(IFERROR(INDEX(SPEC_CIRC,MATCH(INDEX(Equipment!$C$7:$C$18,MAX(1,N($W25))),SPEC_SKU,0)),1)))))</f>
        <v/>
      </c>
    </row>
    <row r="26" ht="27.5" customHeight="1" s="254">
      <c r="A26" s="1362">
        <f>IF($W26="","","Charger 9")</f>
        <v/>
      </c>
      <c r="B26" s="1362">
        <f>IF($W26="","","Line "&amp;$W26&amp;" · "&amp;INDEX(Equipment!$C$7:$C$18,$W26)&amp;" · "&amp;INDEX(Equipment!$B$7:$B$18,$W26)&amp;" · #"&amp;(9-INDEX(Equipment!$R$7:$R$18,$W26)+1)&amp;" of "&amp;INDEX(Equipment!$I$7:$I$18,$W26))</f>
        <v/>
      </c>
      <c r="C26" s="1362">
        <f>IF($W26="","",IF($V26="L2",TEXT(N(Equipment!$B$30),"0")&amp;" V 1-ph",TEXT(Project!$B$29,"0")&amp;" V 3-ph"))</f>
        <v/>
      </c>
      <c r="D26" s="1363">
        <f>IF($W26="","",INDEX(Equipment!$G$7:$G$18,$W26))</f>
        <v/>
      </c>
      <c r="E26" s="1292" t="n"/>
      <c r="F26" s="1326" t="n"/>
      <c r="G26" s="1292" t="n"/>
      <c r="H26" s="1364">
        <f>IF($U26&lt;&gt;1,"",IF($E26="",N($D26),SUMIF($E$18:$E$47,$E26,$D$18:$D$47))*1000/(IF($V26="L2",N(Equipment!$B$30),Project!$B$29)*IF($V26="L2",1,SQRT(3))))</f>
        <v/>
      </c>
      <c r="I26" s="1364">
        <f>IF(N($H26)=0,"",N($H26)*1.25)</f>
        <v/>
      </c>
      <c r="J26" s="1364">
        <f>IF(N($I26)=0,"",IF(ISNUMBER(MATCH($I26,OCPD_LIST,0)),$I26,IF($I26&gt;MAX(OCPD_LIST),"ABOVE LIST",INDEX(OCPD_LIST,MATCH($I26,OCPD_LIST,1)+1))))</f>
        <v/>
      </c>
      <c r="K26" s="1362">
        <f>IF(OR(N($I26)=0,$B$10=""),"",IF(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gt;ROWS(SZ_SIZE),"PARALLEL SETS",INDEX(SZ_SIZE,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f>
        <v/>
      </c>
      <c r="L26" s="1292" t="n"/>
      <c r="M26" s="1326" t="n"/>
      <c r="N26" s="1364">
        <f>IF(OR(IF($L26&lt;&gt;"",$L26,$K26)="",IF($L26&lt;&gt;"",$L26,$K26)="PARALLEL SETS"),"",IFERROR(INDEX(SZ_AMP,MATCH(IF($L26&lt;&gt;"",$L26,$K26),SZ_SIZE,0))*IF(N($M26)&gt;0,N($M26),MAX(1,N(IFERROR(INDEX(SPEC_CIRC,MATCH(INDEX(Equipment!$C$7:$C$18,MAX(1,N($W26))),SPEC_SKU,0)),1)))),""))</f>
        <v/>
      </c>
      <c r="O26" s="1365">
        <f>IF(OR(N($N26)=0,N($F26)=0),"",IFERROR(IF($V26="L2",2,SQRT(3))*N($H26)/IF(N($M26)&gt;0,N($M26),MAX(1,N(IFERROR(INDEX(SPEC_CIRC,MATCH(INDEX(Equipment!$C$7:$C$18,MAX(1,N($W26))),SPEC_SKU,0)),1))))*N($F26)*INDEX(SZ_Z,MATCH(IF($L26&lt;&gt;"",$L26,$K26),SZ_SIZE,0))/1000/IF($V26="L2",N(Equipment!$B$30),Project!$B$29),""))</f>
        <v/>
      </c>
      <c r="P26" s="1362">
        <f>IF(N($J26)=0,"",IFERROR(INDEX(IF($B$6="Cu",EGC_CU,EGC_AL),MATCH($J26,EGC_OCPD,1)+IF(ISNUMBER(MATCH($J26,EGC_OCPD,0)),0,1)),""))</f>
        <v/>
      </c>
      <c r="Q26" s="1362">
        <f>IF(N($N26)=0,"",IFERROR(INDEX(IF($V26="L2",CND_2G,CND_3G),MATCH(IF($L26&lt;&gt;"",$L26,$K26),CND_SIZE,0)),""))</f>
        <v/>
      </c>
      <c r="R26" s="1292" t="n"/>
      <c r="S26" s="1366">
        <f>IF(OR($W26="",N($F26)=0,N($N26)=0),0,IFERROR(N($F26)*IF(N($M26)&gt;0,N($M26),MAX(1,N(IFERROR(INDEX(SPEC_CIRC,MATCH(INDEX(Equipment!$C$7:$C$18,MAX(1,N($W26))),SPEC_SKU,0)),1))))*IF($V26="L2",2,3)*INDEX(IF($B$6="Cu",WIRE_CU,WIRE_AL),MATCH(IF($L26&lt;&gt;"",$L26,$K26),WIRE_SIZE,0)),0)+IFERROR(N($F26)*IF(N($M26)&gt;0,N($M26),MAX(1,N(IFERROR(INDEX(SPEC_CIRC,MATCH(INDEX(Equipment!$C$7:$C$18,MAX(1,N($W26))),SPEC_SKU,0)),1))))*INDEX(IF($B$6="Cu",WIRE_CU,WIRE_AL),MATCH($P26,WIRE_SIZE,0)),0)+IFERROR(N($F26)*IF(N($M26)&gt;0,N($M26),MAX(1,N(IFERROR(INDEX(SPEC_CIRC,MATCH(INDEX(Equipment!$C$7:$C$18,MAX(1,N($W26))),SPEC_SKU,0)),1))))*INDEX(PVC_RATE,MATCH(IF($R26&lt;&gt;"",$R26,$Q26),PVC_SIZE,0)),0)+IF($V26="L2",0,IFERROR(N($F26)*INDEX(PVC_RATE,MATCH("(3/4"")",PVC_SIZE,0)),0)))</f>
        <v/>
      </c>
      <c r="T26" s="1367">
        <f>IF($W26="","",IF($U26=0,"shared — on circuit "&amp;$E26&amp;", sized and priced on its first unit",IF(N($F26)=0,"ENTER THE DISTANCE",IF($B$10="","SET THE DESIGN AMBIENT in block A — nothing on this row can be trusted until it is",IF(IF($L26&lt;&gt;"",$L26,$K26)="PARALLEL SETS","PARALLEL SETS NEEDED — no single conductor carries "&amp;TEXT(N($I26),"#,##0")&amp;" A within the drop allowance; enter sets in column M",IF(N($N26)=0,"no ampacity on file for the override size — NEC Table 310.16 does not list it",IF(N($N26)&lt;IF(N($J26)&gt;800,N($J26),N($I26)),"UNDERSIZED — "&amp;TEXT(N($N26),"#,##0")&amp;" A provided against a floor of "&amp;TEXT(IF(N($J26)&gt;800,N($J26),N($I26)),"#,##0")&amp;" A",IF(N($O26)&gt;$B$13,"ampacity OK but voltage drop "&amp;TEXT(N($O26),"0.0%")&amp;" exceeds the allowance — ADVISORY, upsize the override","OK — "&amp;IF(IF(N($M26)&gt;0,N($M26),MAX(1,N(IFERROR(INDEX(SPEC_CIRC,MATCH(INDEX(Equipment!$C$7:$C$18,MAX(1,N($W26))),SPEC_SKU,0)),1))))&gt;1,TEXT(IF(N($M26)&gt;0,N($M26),MAX(1,N(IFERROR(INDEX(SPEC_CIRC,MATCH(INDEX(Equipment!$C$7:$C$18,MAX(1,N($W26))),SPEC_SKU,0)),1)))),"0")&amp;" sets of ","")&amp;IF($L26&lt;&gt;"",$L26,$K26)&amp;IF($L26&lt;&gt;""," (override)","")&amp;", "&amp;TEXT(N($N26),"#,##0")&amp;" A against a "&amp;TEXT(IF(N($J26)&gt;800,N($J26),N($I26)),"#,##0")&amp;" A floor; drop "&amp;TEXT(N($O26),"0.0%")&amp;" (ADVISORY)"))))))))</f>
        <v/>
      </c>
      <c r="U26" s="1368">
        <f>IF($W26="",0,IF($E26="",1,IF(MATCH($E26,$E$18:$E$47,0)=9,1,0)))</f>
        <v/>
      </c>
      <c r="V26" s="1369">
        <f>IF($W26="","",IF(INDEX(Equipment!$E$7:$E$18,$W26)="level_2","L2",IF(INDEX(Equipment!$E$7:$E$18,$W26)="power_cabinet","CAB","DC")))</f>
        <v/>
      </c>
      <c r="W26" s="1368">
        <f>IF(N($B$50)&gt;=9,COUNTIF(Equipment!$S$7:$S$18,"&lt;9")+1,"")</f>
        <v/>
      </c>
      <c r="X26" s="1368">
        <f>IF($U26&lt;&gt;1,"",IF(N($M26)&gt;0,N($M26),MAX(1,N(IFERROR(INDEX(SPEC_CIRC,MATCH(INDEX(Equipment!$C$7:$C$18,MAX(1,N($W26))),SPEC_SKU,0)),1)))))</f>
        <v/>
      </c>
    </row>
    <row r="27" ht="27.5" customHeight="1" s="254">
      <c r="A27" s="1362">
        <f>IF($W27="","","Charger 10")</f>
        <v/>
      </c>
      <c r="B27" s="1362">
        <f>IF($W27="","","Line "&amp;$W27&amp;" · "&amp;INDEX(Equipment!$C$7:$C$18,$W27)&amp;" · "&amp;INDEX(Equipment!$B$7:$B$18,$W27)&amp;" · #"&amp;(10-INDEX(Equipment!$R$7:$R$18,$W27)+1)&amp;" of "&amp;INDEX(Equipment!$I$7:$I$18,$W27))</f>
        <v/>
      </c>
      <c r="C27" s="1362">
        <f>IF($W27="","",IF($V27="L2",TEXT(N(Equipment!$B$30),"0")&amp;" V 1-ph",TEXT(Project!$B$29,"0")&amp;" V 3-ph"))</f>
        <v/>
      </c>
      <c r="D27" s="1363">
        <f>IF($W27="","",INDEX(Equipment!$G$7:$G$18,$W27))</f>
        <v/>
      </c>
      <c r="E27" s="1292" t="n"/>
      <c r="F27" s="1326" t="n"/>
      <c r="G27" s="1292" t="n"/>
      <c r="H27" s="1364">
        <f>IF($U27&lt;&gt;1,"",IF($E27="",N($D27),SUMIF($E$18:$E$47,$E27,$D$18:$D$47))*1000/(IF($V27="L2",N(Equipment!$B$30),Project!$B$29)*IF($V27="L2",1,SQRT(3))))</f>
        <v/>
      </c>
      <c r="I27" s="1364">
        <f>IF(N($H27)=0,"",N($H27)*1.25)</f>
        <v/>
      </c>
      <c r="J27" s="1364">
        <f>IF(N($I27)=0,"",IF(ISNUMBER(MATCH($I27,OCPD_LIST,0)),$I27,IF($I27&gt;MAX(OCPD_LIST),"ABOVE LIST",INDEX(OCPD_LIST,MATCH($I27,OCPD_LIST,1)+1))))</f>
        <v/>
      </c>
      <c r="K27" s="1362">
        <f>IF(OR(N($I27)=0,$B$10=""),"",IF(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gt;ROWS(SZ_SIZE),"PARALLEL SETS",INDEX(SZ_SIZE,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f>
        <v/>
      </c>
      <c r="L27" s="1292" t="n"/>
      <c r="M27" s="1326" t="n"/>
      <c r="N27" s="1364">
        <f>IF(OR(IF($L27&lt;&gt;"",$L27,$K27)="",IF($L27&lt;&gt;"",$L27,$K27)="PARALLEL SETS"),"",IFERROR(INDEX(SZ_AMP,MATCH(IF($L27&lt;&gt;"",$L27,$K27),SZ_SIZE,0))*IF(N($M27)&gt;0,N($M27),MAX(1,N(IFERROR(INDEX(SPEC_CIRC,MATCH(INDEX(Equipment!$C$7:$C$18,MAX(1,N($W27))),SPEC_SKU,0)),1)))),""))</f>
        <v/>
      </c>
      <c r="O27" s="1365">
        <f>IF(OR(N($N27)=0,N($F27)=0),"",IFERROR(IF($V27="L2",2,SQRT(3))*N($H27)/IF(N($M27)&gt;0,N($M27),MAX(1,N(IFERROR(INDEX(SPEC_CIRC,MATCH(INDEX(Equipment!$C$7:$C$18,MAX(1,N($W27))),SPEC_SKU,0)),1))))*N($F27)*INDEX(SZ_Z,MATCH(IF($L27&lt;&gt;"",$L27,$K27),SZ_SIZE,0))/1000/IF($V27="L2",N(Equipment!$B$30),Project!$B$29),""))</f>
        <v/>
      </c>
      <c r="P27" s="1362">
        <f>IF(N($J27)=0,"",IFERROR(INDEX(IF($B$6="Cu",EGC_CU,EGC_AL),MATCH($J27,EGC_OCPD,1)+IF(ISNUMBER(MATCH($J27,EGC_OCPD,0)),0,1)),""))</f>
        <v/>
      </c>
      <c r="Q27" s="1362">
        <f>IF(N($N27)=0,"",IFERROR(INDEX(IF($V27="L2",CND_2G,CND_3G),MATCH(IF($L27&lt;&gt;"",$L27,$K27),CND_SIZE,0)),""))</f>
        <v/>
      </c>
      <c r="R27" s="1292" t="n"/>
      <c r="S27" s="1366">
        <f>IF(OR($W27="",N($F27)=0,N($N27)=0),0,IFERROR(N($F27)*IF(N($M27)&gt;0,N($M27),MAX(1,N(IFERROR(INDEX(SPEC_CIRC,MATCH(INDEX(Equipment!$C$7:$C$18,MAX(1,N($W27))),SPEC_SKU,0)),1))))*IF($V27="L2",2,3)*INDEX(IF($B$6="Cu",WIRE_CU,WIRE_AL),MATCH(IF($L27&lt;&gt;"",$L27,$K27),WIRE_SIZE,0)),0)+IFERROR(N($F27)*IF(N($M27)&gt;0,N($M27),MAX(1,N(IFERROR(INDEX(SPEC_CIRC,MATCH(INDEX(Equipment!$C$7:$C$18,MAX(1,N($W27))),SPEC_SKU,0)),1))))*INDEX(IF($B$6="Cu",WIRE_CU,WIRE_AL),MATCH($P27,WIRE_SIZE,0)),0)+IFERROR(N($F27)*IF(N($M27)&gt;0,N($M27),MAX(1,N(IFERROR(INDEX(SPEC_CIRC,MATCH(INDEX(Equipment!$C$7:$C$18,MAX(1,N($W27))),SPEC_SKU,0)),1))))*INDEX(PVC_RATE,MATCH(IF($R27&lt;&gt;"",$R27,$Q27),PVC_SIZE,0)),0)+IF($V27="L2",0,IFERROR(N($F27)*INDEX(PVC_RATE,MATCH("(3/4"")",PVC_SIZE,0)),0)))</f>
        <v/>
      </c>
      <c r="T27" s="1367">
        <f>IF($W27="","",IF($U27=0,"shared — on circuit "&amp;$E27&amp;", sized and priced on its first unit",IF(N($F27)=0,"ENTER THE DISTANCE",IF($B$10="","SET THE DESIGN AMBIENT in block A — nothing on this row can be trusted until it is",IF(IF($L27&lt;&gt;"",$L27,$K27)="PARALLEL SETS","PARALLEL SETS NEEDED — no single conductor carries "&amp;TEXT(N($I27),"#,##0")&amp;" A within the drop allowance; enter sets in column M",IF(N($N27)=0,"no ampacity on file for the override size — NEC Table 310.16 does not list it",IF(N($N27)&lt;IF(N($J27)&gt;800,N($J27),N($I27)),"UNDERSIZED — "&amp;TEXT(N($N27),"#,##0")&amp;" A provided against a floor of "&amp;TEXT(IF(N($J27)&gt;800,N($J27),N($I27)),"#,##0")&amp;" A",IF(N($O27)&gt;$B$13,"ampacity OK but voltage drop "&amp;TEXT(N($O27),"0.0%")&amp;" exceeds the allowance — ADVISORY, upsize the override","OK — "&amp;IF(IF(N($M27)&gt;0,N($M27),MAX(1,N(IFERROR(INDEX(SPEC_CIRC,MATCH(INDEX(Equipment!$C$7:$C$18,MAX(1,N($W27))),SPEC_SKU,0)),1))))&gt;1,TEXT(IF(N($M27)&gt;0,N($M27),MAX(1,N(IFERROR(INDEX(SPEC_CIRC,MATCH(INDEX(Equipment!$C$7:$C$18,MAX(1,N($W27))),SPEC_SKU,0)),1)))),"0")&amp;" sets of ","")&amp;IF($L27&lt;&gt;"",$L27,$K27)&amp;IF($L27&lt;&gt;""," (override)","")&amp;", "&amp;TEXT(N($N27),"#,##0")&amp;" A against a "&amp;TEXT(IF(N($J27)&gt;800,N($J27),N($I27)),"#,##0")&amp;" A floor; drop "&amp;TEXT(N($O27),"0.0%")&amp;" (ADVISORY)"))))))))</f>
        <v/>
      </c>
      <c r="U27" s="1368">
        <f>IF($W27="",0,IF($E27="",1,IF(MATCH($E27,$E$18:$E$47,0)=10,1,0)))</f>
        <v/>
      </c>
      <c r="V27" s="1369">
        <f>IF($W27="","",IF(INDEX(Equipment!$E$7:$E$18,$W27)="level_2","L2",IF(INDEX(Equipment!$E$7:$E$18,$W27)="power_cabinet","CAB","DC")))</f>
        <v/>
      </c>
      <c r="W27" s="1368">
        <f>IF(N($B$50)&gt;=10,COUNTIF(Equipment!$S$7:$S$18,"&lt;10")+1,"")</f>
        <v/>
      </c>
      <c r="X27" s="1368">
        <f>IF($U27&lt;&gt;1,"",IF(N($M27)&gt;0,N($M27),MAX(1,N(IFERROR(INDEX(SPEC_CIRC,MATCH(INDEX(Equipment!$C$7:$C$18,MAX(1,N($W27))),SPEC_SKU,0)),1)))))</f>
        <v/>
      </c>
    </row>
    <row r="28" ht="27.5" customHeight="1" s="254">
      <c r="A28" s="1362">
        <f>IF($W28="","","Charger 11")</f>
        <v/>
      </c>
      <c r="B28" s="1362">
        <f>IF($W28="","","Line "&amp;$W28&amp;" · "&amp;INDEX(Equipment!$C$7:$C$18,$W28)&amp;" · "&amp;INDEX(Equipment!$B$7:$B$18,$W28)&amp;" · #"&amp;(11-INDEX(Equipment!$R$7:$R$18,$W28)+1)&amp;" of "&amp;INDEX(Equipment!$I$7:$I$18,$W28))</f>
        <v/>
      </c>
      <c r="C28" s="1362">
        <f>IF($W28="","",IF($V28="L2",TEXT(N(Equipment!$B$30),"0")&amp;" V 1-ph",TEXT(Project!$B$29,"0")&amp;" V 3-ph"))</f>
        <v/>
      </c>
      <c r="D28" s="1363">
        <f>IF($W28="","",INDEX(Equipment!$G$7:$G$18,$W28))</f>
        <v/>
      </c>
      <c r="E28" s="1292" t="n"/>
      <c r="F28" s="1326" t="n"/>
      <c r="G28" s="1292" t="n"/>
      <c r="H28" s="1364">
        <f>IF($U28&lt;&gt;1,"",IF($E28="",N($D28),SUMIF($E$18:$E$47,$E28,$D$18:$D$47))*1000/(IF($V28="L2",N(Equipment!$B$30),Project!$B$29)*IF($V28="L2",1,SQRT(3))))</f>
        <v/>
      </c>
      <c r="I28" s="1364">
        <f>IF(N($H28)=0,"",N($H28)*1.25)</f>
        <v/>
      </c>
      <c r="J28" s="1364">
        <f>IF(N($I28)=0,"",IF(ISNUMBER(MATCH($I28,OCPD_LIST,0)),$I28,IF($I28&gt;MAX(OCPD_LIST),"ABOVE LIST",INDEX(OCPD_LIST,MATCH($I28,OCPD_LIST,1)+1))))</f>
        <v/>
      </c>
      <c r="K28" s="1362">
        <f>IF(OR(N($I28)=0,$B$10=""),"",IF(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gt;ROWS(SZ_SIZE),"PARALLEL SETS",INDEX(SZ_SIZE,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f>
        <v/>
      </c>
      <c r="L28" s="1292" t="n"/>
      <c r="M28" s="1326" t="n"/>
      <c r="N28" s="1364">
        <f>IF(OR(IF($L28&lt;&gt;"",$L28,$K28)="",IF($L28&lt;&gt;"",$L28,$K28)="PARALLEL SETS"),"",IFERROR(INDEX(SZ_AMP,MATCH(IF($L28&lt;&gt;"",$L28,$K28),SZ_SIZE,0))*IF(N($M28)&gt;0,N($M28),MAX(1,N(IFERROR(INDEX(SPEC_CIRC,MATCH(INDEX(Equipment!$C$7:$C$18,MAX(1,N($W28))),SPEC_SKU,0)),1)))),""))</f>
        <v/>
      </c>
      <c r="O28" s="1365">
        <f>IF(OR(N($N28)=0,N($F28)=0),"",IFERROR(IF($V28="L2",2,SQRT(3))*N($H28)/IF(N($M28)&gt;0,N($M28),MAX(1,N(IFERROR(INDEX(SPEC_CIRC,MATCH(INDEX(Equipment!$C$7:$C$18,MAX(1,N($W28))),SPEC_SKU,0)),1))))*N($F28)*INDEX(SZ_Z,MATCH(IF($L28&lt;&gt;"",$L28,$K28),SZ_SIZE,0))/1000/IF($V28="L2",N(Equipment!$B$30),Project!$B$29),""))</f>
        <v/>
      </c>
      <c r="P28" s="1362">
        <f>IF(N($J28)=0,"",IFERROR(INDEX(IF($B$6="Cu",EGC_CU,EGC_AL),MATCH($J28,EGC_OCPD,1)+IF(ISNUMBER(MATCH($J28,EGC_OCPD,0)),0,1)),""))</f>
        <v/>
      </c>
      <c r="Q28" s="1362">
        <f>IF(N($N28)=0,"",IFERROR(INDEX(IF($V28="L2",CND_2G,CND_3G),MATCH(IF($L28&lt;&gt;"",$L28,$K28),CND_SIZE,0)),""))</f>
        <v/>
      </c>
      <c r="R28" s="1292" t="n"/>
      <c r="S28" s="1366">
        <f>IF(OR($W28="",N($F28)=0,N($N28)=0),0,IFERROR(N($F28)*IF(N($M28)&gt;0,N($M28),MAX(1,N(IFERROR(INDEX(SPEC_CIRC,MATCH(INDEX(Equipment!$C$7:$C$18,MAX(1,N($W28))),SPEC_SKU,0)),1))))*IF($V28="L2",2,3)*INDEX(IF($B$6="Cu",WIRE_CU,WIRE_AL),MATCH(IF($L28&lt;&gt;"",$L28,$K28),WIRE_SIZE,0)),0)+IFERROR(N($F28)*IF(N($M28)&gt;0,N($M28),MAX(1,N(IFERROR(INDEX(SPEC_CIRC,MATCH(INDEX(Equipment!$C$7:$C$18,MAX(1,N($W28))),SPEC_SKU,0)),1))))*INDEX(IF($B$6="Cu",WIRE_CU,WIRE_AL),MATCH($P28,WIRE_SIZE,0)),0)+IFERROR(N($F28)*IF(N($M28)&gt;0,N($M28),MAX(1,N(IFERROR(INDEX(SPEC_CIRC,MATCH(INDEX(Equipment!$C$7:$C$18,MAX(1,N($W28))),SPEC_SKU,0)),1))))*INDEX(PVC_RATE,MATCH(IF($R28&lt;&gt;"",$R28,$Q28),PVC_SIZE,0)),0)+IF($V28="L2",0,IFERROR(N($F28)*INDEX(PVC_RATE,MATCH("(3/4"")",PVC_SIZE,0)),0)))</f>
        <v/>
      </c>
      <c r="T28" s="1367">
        <f>IF($W28="","",IF($U28=0,"shared — on circuit "&amp;$E28&amp;", sized and priced on its first unit",IF(N($F28)=0,"ENTER THE DISTANCE",IF($B$10="","SET THE DESIGN AMBIENT in block A — nothing on this row can be trusted until it is",IF(IF($L28&lt;&gt;"",$L28,$K28)="PARALLEL SETS","PARALLEL SETS NEEDED — no single conductor carries "&amp;TEXT(N($I28),"#,##0")&amp;" A within the drop allowance; enter sets in column M",IF(N($N28)=0,"no ampacity on file for the override size — NEC Table 310.16 does not list it",IF(N($N28)&lt;IF(N($J28)&gt;800,N($J28),N($I28)),"UNDERSIZED — "&amp;TEXT(N($N28),"#,##0")&amp;" A provided against a floor of "&amp;TEXT(IF(N($J28)&gt;800,N($J28),N($I28)),"#,##0")&amp;" A",IF(N($O28)&gt;$B$13,"ampacity OK but voltage drop "&amp;TEXT(N($O28),"0.0%")&amp;" exceeds the allowance — ADVISORY, upsize the override","OK — "&amp;IF(IF(N($M28)&gt;0,N($M28),MAX(1,N(IFERROR(INDEX(SPEC_CIRC,MATCH(INDEX(Equipment!$C$7:$C$18,MAX(1,N($W28))),SPEC_SKU,0)),1))))&gt;1,TEXT(IF(N($M28)&gt;0,N($M28),MAX(1,N(IFERROR(INDEX(SPEC_CIRC,MATCH(INDEX(Equipment!$C$7:$C$18,MAX(1,N($W28))),SPEC_SKU,0)),1)))),"0")&amp;" sets of ","")&amp;IF($L28&lt;&gt;"",$L28,$K28)&amp;IF($L28&lt;&gt;""," (override)","")&amp;", "&amp;TEXT(N($N28),"#,##0")&amp;" A against a "&amp;TEXT(IF(N($J28)&gt;800,N($J28),N($I28)),"#,##0")&amp;" A floor; drop "&amp;TEXT(N($O28),"0.0%")&amp;" (ADVISORY)"))))))))</f>
        <v/>
      </c>
      <c r="U28" s="1368">
        <f>IF($W28="",0,IF($E28="",1,IF(MATCH($E28,$E$18:$E$47,0)=11,1,0)))</f>
        <v/>
      </c>
      <c r="V28" s="1369">
        <f>IF($W28="","",IF(INDEX(Equipment!$E$7:$E$18,$W28)="level_2","L2",IF(INDEX(Equipment!$E$7:$E$18,$W28)="power_cabinet","CAB","DC")))</f>
        <v/>
      </c>
      <c r="W28" s="1368">
        <f>IF(N($B$50)&gt;=11,COUNTIF(Equipment!$S$7:$S$18,"&lt;11")+1,"")</f>
        <v/>
      </c>
      <c r="X28" s="1368">
        <f>IF($U28&lt;&gt;1,"",IF(N($M28)&gt;0,N($M28),MAX(1,N(IFERROR(INDEX(SPEC_CIRC,MATCH(INDEX(Equipment!$C$7:$C$18,MAX(1,N($W28))),SPEC_SKU,0)),1)))))</f>
        <v/>
      </c>
    </row>
    <row r="29" ht="27.5" customHeight="1" s="254">
      <c r="A29" s="1362">
        <f>IF($W29="","","Charger 12")</f>
        <v/>
      </c>
      <c r="B29" s="1362">
        <f>IF($W29="","","Line "&amp;$W29&amp;" · "&amp;INDEX(Equipment!$C$7:$C$18,$W29)&amp;" · "&amp;INDEX(Equipment!$B$7:$B$18,$W29)&amp;" · #"&amp;(12-INDEX(Equipment!$R$7:$R$18,$W29)+1)&amp;" of "&amp;INDEX(Equipment!$I$7:$I$18,$W29))</f>
        <v/>
      </c>
      <c r="C29" s="1362">
        <f>IF($W29="","",IF($V29="L2",TEXT(N(Equipment!$B$30),"0")&amp;" V 1-ph",TEXT(Project!$B$29,"0")&amp;" V 3-ph"))</f>
        <v/>
      </c>
      <c r="D29" s="1363">
        <f>IF($W29="","",INDEX(Equipment!$G$7:$G$18,$W29))</f>
        <v/>
      </c>
      <c r="E29" s="1292" t="n"/>
      <c r="F29" s="1326" t="n"/>
      <c r="G29" s="1292" t="n"/>
      <c r="H29" s="1364">
        <f>IF($U29&lt;&gt;1,"",IF($E29="",N($D29),SUMIF($E$18:$E$47,$E29,$D$18:$D$47))*1000/(IF($V29="L2",N(Equipment!$B$30),Project!$B$29)*IF($V29="L2",1,SQRT(3))))</f>
        <v/>
      </c>
      <c r="I29" s="1364">
        <f>IF(N($H29)=0,"",N($H29)*1.25)</f>
        <v/>
      </c>
      <c r="J29" s="1364">
        <f>IF(N($I29)=0,"",IF(ISNUMBER(MATCH($I29,OCPD_LIST,0)),$I29,IF($I29&gt;MAX(OCPD_LIST),"ABOVE LIST",INDEX(OCPD_LIST,MATCH($I29,OCPD_LIST,1)+1))))</f>
        <v/>
      </c>
      <c r="K29" s="1362">
        <f>IF(OR(N($I29)=0,$B$10=""),"",IF(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gt;ROWS(SZ_SIZE),"PARALLEL SETS",INDEX(SZ_SIZE,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f>
        <v/>
      </c>
      <c r="L29" s="1292" t="n"/>
      <c r="M29" s="1326" t="n"/>
      <c r="N29" s="1364">
        <f>IF(OR(IF($L29&lt;&gt;"",$L29,$K29)="",IF($L29&lt;&gt;"",$L29,$K29)="PARALLEL SETS"),"",IFERROR(INDEX(SZ_AMP,MATCH(IF($L29&lt;&gt;"",$L29,$K29),SZ_SIZE,0))*IF(N($M29)&gt;0,N($M29),MAX(1,N(IFERROR(INDEX(SPEC_CIRC,MATCH(INDEX(Equipment!$C$7:$C$18,MAX(1,N($W29))),SPEC_SKU,0)),1)))),""))</f>
        <v/>
      </c>
      <c r="O29" s="1365">
        <f>IF(OR(N($N29)=0,N($F29)=0),"",IFERROR(IF($V29="L2",2,SQRT(3))*N($H29)/IF(N($M29)&gt;0,N($M29),MAX(1,N(IFERROR(INDEX(SPEC_CIRC,MATCH(INDEX(Equipment!$C$7:$C$18,MAX(1,N($W29))),SPEC_SKU,0)),1))))*N($F29)*INDEX(SZ_Z,MATCH(IF($L29&lt;&gt;"",$L29,$K29),SZ_SIZE,0))/1000/IF($V29="L2",N(Equipment!$B$30),Project!$B$29),""))</f>
        <v/>
      </c>
      <c r="P29" s="1362">
        <f>IF(N($J29)=0,"",IFERROR(INDEX(IF($B$6="Cu",EGC_CU,EGC_AL),MATCH($J29,EGC_OCPD,1)+IF(ISNUMBER(MATCH($J29,EGC_OCPD,0)),0,1)),""))</f>
        <v/>
      </c>
      <c r="Q29" s="1362">
        <f>IF(N($N29)=0,"",IFERROR(INDEX(IF($V29="L2",CND_2G,CND_3G),MATCH(IF($L29&lt;&gt;"",$L29,$K29),CND_SIZE,0)),""))</f>
        <v/>
      </c>
      <c r="R29" s="1292" t="n"/>
      <c r="S29" s="1366">
        <f>IF(OR($W29="",N($F29)=0,N($N29)=0),0,IFERROR(N($F29)*IF(N($M29)&gt;0,N($M29),MAX(1,N(IFERROR(INDEX(SPEC_CIRC,MATCH(INDEX(Equipment!$C$7:$C$18,MAX(1,N($W29))),SPEC_SKU,0)),1))))*IF($V29="L2",2,3)*INDEX(IF($B$6="Cu",WIRE_CU,WIRE_AL),MATCH(IF($L29&lt;&gt;"",$L29,$K29),WIRE_SIZE,0)),0)+IFERROR(N($F29)*IF(N($M29)&gt;0,N($M29),MAX(1,N(IFERROR(INDEX(SPEC_CIRC,MATCH(INDEX(Equipment!$C$7:$C$18,MAX(1,N($W29))),SPEC_SKU,0)),1))))*INDEX(IF($B$6="Cu",WIRE_CU,WIRE_AL),MATCH($P29,WIRE_SIZE,0)),0)+IFERROR(N($F29)*IF(N($M29)&gt;0,N($M29),MAX(1,N(IFERROR(INDEX(SPEC_CIRC,MATCH(INDEX(Equipment!$C$7:$C$18,MAX(1,N($W29))),SPEC_SKU,0)),1))))*INDEX(PVC_RATE,MATCH(IF($R29&lt;&gt;"",$R29,$Q29),PVC_SIZE,0)),0)+IF($V29="L2",0,IFERROR(N($F29)*INDEX(PVC_RATE,MATCH("(3/4"")",PVC_SIZE,0)),0)))</f>
        <v/>
      </c>
      <c r="T29" s="1367">
        <f>IF($W29="","",IF($U29=0,"shared — on circuit "&amp;$E29&amp;", sized and priced on its first unit",IF(N($F29)=0,"ENTER THE DISTANCE",IF($B$10="","SET THE DESIGN AMBIENT in block A — nothing on this row can be trusted until it is",IF(IF($L29&lt;&gt;"",$L29,$K29)="PARALLEL SETS","PARALLEL SETS NEEDED — no single conductor carries "&amp;TEXT(N($I29),"#,##0")&amp;" A within the drop allowance; enter sets in column M",IF(N($N29)=0,"no ampacity on file for the override size — NEC Table 310.16 does not list it",IF(N($N29)&lt;IF(N($J29)&gt;800,N($J29),N($I29)),"UNDERSIZED — "&amp;TEXT(N($N29),"#,##0")&amp;" A provided against a floor of "&amp;TEXT(IF(N($J29)&gt;800,N($J29),N($I29)),"#,##0")&amp;" A",IF(N($O29)&gt;$B$13,"ampacity OK but voltage drop "&amp;TEXT(N($O29),"0.0%")&amp;" exceeds the allowance — ADVISORY, upsize the override","OK — "&amp;IF(IF(N($M29)&gt;0,N($M29),MAX(1,N(IFERROR(INDEX(SPEC_CIRC,MATCH(INDEX(Equipment!$C$7:$C$18,MAX(1,N($W29))),SPEC_SKU,0)),1))))&gt;1,TEXT(IF(N($M29)&gt;0,N($M29),MAX(1,N(IFERROR(INDEX(SPEC_CIRC,MATCH(INDEX(Equipment!$C$7:$C$18,MAX(1,N($W29))),SPEC_SKU,0)),1)))),"0")&amp;" sets of ","")&amp;IF($L29&lt;&gt;"",$L29,$K29)&amp;IF($L29&lt;&gt;""," (override)","")&amp;", "&amp;TEXT(N($N29),"#,##0")&amp;" A against a "&amp;TEXT(IF(N($J29)&gt;800,N($J29),N($I29)),"#,##0")&amp;" A floor; drop "&amp;TEXT(N($O29),"0.0%")&amp;" (ADVISORY)"))))))))</f>
        <v/>
      </c>
      <c r="U29" s="1368">
        <f>IF($W29="",0,IF($E29="",1,IF(MATCH($E29,$E$18:$E$47,0)=12,1,0)))</f>
        <v/>
      </c>
      <c r="V29" s="1369">
        <f>IF($W29="","",IF(INDEX(Equipment!$E$7:$E$18,$W29)="level_2","L2",IF(INDEX(Equipment!$E$7:$E$18,$W29)="power_cabinet","CAB","DC")))</f>
        <v/>
      </c>
      <c r="W29" s="1368">
        <f>IF(N($B$50)&gt;=12,COUNTIF(Equipment!$S$7:$S$18,"&lt;12")+1,"")</f>
        <v/>
      </c>
      <c r="X29" s="1368">
        <f>IF($U29&lt;&gt;1,"",IF(N($M29)&gt;0,N($M29),MAX(1,N(IFERROR(INDEX(SPEC_CIRC,MATCH(INDEX(Equipment!$C$7:$C$18,MAX(1,N($W29))),SPEC_SKU,0)),1)))))</f>
        <v/>
      </c>
    </row>
    <row r="30" ht="27.5" customHeight="1" s="254">
      <c r="A30" s="1362">
        <f>IF($W30="","","Charger 13")</f>
        <v/>
      </c>
      <c r="B30" s="1362">
        <f>IF($W30="","","Line "&amp;$W30&amp;" · "&amp;INDEX(Equipment!$C$7:$C$18,$W30)&amp;" · "&amp;INDEX(Equipment!$B$7:$B$18,$W30)&amp;" · #"&amp;(13-INDEX(Equipment!$R$7:$R$18,$W30)+1)&amp;" of "&amp;INDEX(Equipment!$I$7:$I$18,$W30))</f>
        <v/>
      </c>
      <c r="C30" s="1362">
        <f>IF($W30="","",IF($V30="L2",TEXT(N(Equipment!$B$30),"0")&amp;" V 1-ph",TEXT(Project!$B$29,"0")&amp;" V 3-ph"))</f>
        <v/>
      </c>
      <c r="D30" s="1363">
        <f>IF($W30="","",INDEX(Equipment!$G$7:$G$18,$W30))</f>
        <v/>
      </c>
      <c r="E30" s="1292" t="n"/>
      <c r="F30" s="1326" t="n"/>
      <c r="G30" s="1292" t="n"/>
      <c r="H30" s="1364">
        <f>IF($U30&lt;&gt;1,"",IF($E30="",N($D30),SUMIF($E$18:$E$47,$E30,$D$18:$D$47))*1000/(IF($V30="L2",N(Equipment!$B$30),Project!$B$29)*IF($V30="L2",1,SQRT(3))))</f>
        <v/>
      </c>
      <c r="I30" s="1364">
        <f>IF(N($H30)=0,"",N($H30)*1.25)</f>
        <v/>
      </c>
      <c r="J30" s="1364">
        <f>IF(N($I30)=0,"",IF(ISNUMBER(MATCH($I30,OCPD_LIST,0)),$I30,IF($I30&gt;MAX(OCPD_LIST),"ABOVE LIST",INDEX(OCPD_LIST,MATCH($I30,OCPD_LIST,1)+1))))</f>
        <v/>
      </c>
      <c r="K30" s="1362">
        <f>IF(OR(N($I30)=0,$B$10=""),"",IF(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gt;ROWS(SZ_SIZE),"PARALLEL SETS",INDEX(SZ_SIZE,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f>
        <v/>
      </c>
      <c r="L30" s="1292" t="n"/>
      <c r="M30" s="1326" t="n"/>
      <c r="N30" s="1364">
        <f>IF(OR(IF($L30&lt;&gt;"",$L30,$K30)="",IF($L30&lt;&gt;"",$L30,$K30)="PARALLEL SETS"),"",IFERROR(INDEX(SZ_AMP,MATCH(IF($L30&lt;&gt;"",$L30,$K30),SZ_SIZE,0))*IF(N($M30)&gt;0,N($M30),MAX(1,N(IFERROR(INDEX(SPEC_CIRC,MATCH(INDEX(Equipment!$C$7:$C$18,MAX(1,N($W30))),SPEC_SKU,0)),1)))),""))</f>
        <v/>
      </c>
      <c r="O30" s="1365">
        <f>IF(OR(N($N30)=0,N($F30)=0),"",IFERROR(IF($V30="L2",2,SQRT(3))*N($H30)/IF(N($M30)&gt;0,N($M30),MAX(1,N(IFERROR(INDEX(SPEC_CIRC,MATCH(INDEX(Equipment!$C$7:$C$18,MAX(1,N($W30))),SPEC_SKU,0)),1))))*N($F30)*INDEX(SZ_Z,MATCH(IF($L30&lt;&gt;"",$L30,$K30),SZ_SIZE,0))/1000/IF($V30="L2",N(Equipment!$B$30),Project!$B$29),""))</f>
        <v/>
      </c>
      <c r="P30" s="1362">
        <f>IF(N($J30)=0,"",IFERROR(INDEX(IF($B$6="Cu",EGC_CU,EGC_AL),MATCH($J30,EGC_OCPD,1)+IF(ISNUMBER(MATCH($J30,EGC_OCPD,0)),0,1)),""))</f>
        <v/>
      </c>
      <c r="Q30" s="1362">
        <f>IF(N($N30)=0,"",IFERROR(INDEX(IF($V30="L2",CND_2G,CND_3G),MATCH(IF($L30&lt;&gt;"",$L30,$K30),CND_SIZE,0)),""))</f>
        <v/>
      </c>
      <c r="R30" s="1292" t="n"/>
      <c r="S30" s="1366">
        <f>IF(OR($W30="",N($F30)=0,N($N30)=0),0,IFERROR(N($F30)*IF(N($M30)&gt;0,N($M30),MAX(1,N(IFERROR(INDEX(SPEC_CIRC,MATCH(INDEX(Equipment!$C$7:$C$18,MAX(1,N($W30))),SPEC_SKU,0)),1))))*IF($V30="L2",2,3)*INDEX(IF($B$6="Cu",WIRE_CU,WIRE_AL),MATCH(IF($L30&lt;&gt;"",$L30,$K30),WIRE_SIZE,0)),0)+IFERROR(N($F30)*IF(N($M30)&gt;0,N($M30),MAX(1,N(IFERROR(INDEX(SPEC_CIRC,MATCH(INDEX(Equipment!$C$7:$C$18,MAX(1,N($W30))),SPEC_SKU,0)),1))))*INDEX(IF($B$6="Cu",WIRE_CU,WIRE_AL),MATCH($P30,WIRE_SIZE,0)),0)+IFERROR(N($F30)*IF(N($M30)&gt;0,N($M30),MAX(1,N(IFERROR(INDEX(SPEC_CIRC,MATCH(INDEX(Equipment!$C$7:$C$18,MAX(1,N($W30))),SPEC_SKU,0)),1))))*INDEX(PVC_RATE,MATCH(IF($R30&lt;&gt;"",$R30,$Q30),PVC_SIZE,0)),0)+IF($V30="L2",0,IFERROR(N($F30)*INDEX(PVC_RATE,MATCH("(3/4"")",PVC_SIZE,0)),0)))</f>
        <v/>
      </c>
      <c r="T30" s="1367">
        <f>IF($W30="","",IF($U30=0,"shared — on circuit "&amp;$E30&amp;", sized and priced on its first unit",IF(N($F30)=0,"ENTER THE DISTANCE",IF($B$10="","SET THE DESIGN AMBIENT in block A — nothing on this row can be trusted until it is",IF(IF($L30&lt;&gt;"",$L30,$K30)="PARALLEL SETS","PARALLEL SETS NEEDED — no single conductor carries "&amp;TEXT(N($I30),"#,##0")&amp;" A within the drop allowance; enter sets in column M",IF(N($N30)=0,"no ampacity on file for the override size — NEC Table 310.16 does not list it",IF(N($N30)&lt;IF(N($J30)&gt;800,N($J30),N($I30)),"UNDERSIZED — "&amp;TEXT(N($N30),"#,##0")&amp;" A provided against a floor of "&amp;TEXT(IF(N($J30)&gt;800,N($J30),N($I30)),"#,##0")&amp;" A",IF(N($O30)&gt;$B$13,"ampacity OK but voltage drop "&amp;TEXT(N($O30),"0.0%")&amp;" exceeds the allowance — ADVISORY, upsize the override","OK — "&amp;IF(IF(N($M30)&gt;0,N($M30),MAX(1,N(IFERROR(INDEX(SPEC_CIRC,MATCH(INDEX(Equipment!$C$7:$C$18,MAX(1,N($W30))),SPEC_SKU,0)),1))))&gt;1,TEXT(IF(N($M30)&gt;0,N($M30),MAX(1,N(IFERROR(INDEX(SPEC_CIRC,MATCH(INDEX(Equipment!$C$7:$C$18,MAX(1,N($W30))),SPEC_SKU,0)),1)))),"0")&amp;" sets of ","")&amp;IF($L30&lt;&gt;"",$L30,$K30)&amp;IF($L30&lt;&gt;""," (override)","")&amp;", "&amp;TEXT(N($N30),"#,##0")&amp;" A against a "&amp;TEXT(IF(N($J30)&gt;800,N($J30),N($I30)),"#,##0")&amp;" A floor; drop "&amp;TEXT(N($O30),"0.0%")&amp;" (ADVISORY)"))))))))</f>
        <v/>
      </c>
      <c r="U30" s="1368">
        <f>IF($W30="",0,IF($E30="",1,IF(MATCH($E30,$E$18:$E$47,0)=13,1,0)))</f>
        <v/>
      </c>
      <c r="V30" s="1369">
        <f>IF($W30="","",IF(INDEX(Equipment!$E$7:$E$18,$W30)="level_2","L2",IF(INDEX(Equipment!$E$7:$E$18,$W30)="power_cabinet","CAB","DC")))</f>
        <v/>
      </c>
      <c r="W30" s="1368">
        <f>IF(N($B$50)&gt;=13,COUNTIF(Equipment!$S$7:$S$18,"&lt;13")+1,"")</f>
        <v/>
      </c>
      <c r="X30" s="1368">
        <f>IF($U30&lt;&gt;1,"",IF(N($M30)&gt;0,N($M30),MAX(1,N(IFERROR(INDEX(SPEC_CIRC,MATCH(INDEX(Equipment!$C$7:$C$18,MAX(1,N($W30))),SPEC_SKU,0)),1)))))</f>
        <v/>
      </c>
    </row>
    <row r="31" ht="27.5" customHeight="1" s="254">
      <c r="A31" s="1362">
        <f>IF($W31="","","Charger 14")</f>
        <v/>
      </c>
      <c r="B31" s="1362">
        <f>IF($W31="","","Line "&amp;$W31&amp;" · "&amp;INDEX(Equipment!$C$7:$C$18,$W31)&amp;" · "&amp;INDEX(Equipment!$B$7:$B$18,$W31)&amp;" · #"&amp;(14-INDEX(Equipment!$R$7:$R$18,$W31)+1)&amp;" of "&amp;INDEX(Equipment!$I$7:$I$18,$W31))</f>
        <v/>
      </c>
      <c r="C31" s="1362">
        <f>IF($W31="","",IF($V31="L2",TEXT(N(Equipment!$B$30),"0")&amp;" V 1-ph",TEXT(Project!$B$29,"0")&amp;" V 3-ph"))</f>
        <v/>
      </c>
      <c r="D31" s="1363">
        <f>IF($W31="","",INDEX(Equipment!$G$7:$G$18,$W31))</f>
        <v/>
      </c>
      <c r="E31" s="1292" t="n"/>
      <c r="F31" s="1326" t="n"/>
      <c r="G31" s="1292" t="n"/>
      <c r="H31" s="1364">
        <f>IF($U31&lt;&gt;1,"",IF($E31="",N($D31),SUMIF($E$18:$E$47,$E31,$D$18:$D$47))*1000/(IF($V31="L2",N(Equipment!$B$30),Project!$B$29)*IF($V31="L2",1,SQRT(3))))</f>
        <v/>
      </c>
      <c r="I31" s="1364">
        <f>IF(N($H31)=0,"",N($H31)*1.25)</f>
        <v/>
      </c>
      <c r="J31" s="1364">
        <f>IF(N($I31)=0,"",IF(ISNUMBER(MATCH($I31,OCPD_LIST,0)),$I31,IF($I31&gt;MAX(OCPD_LIST),"ABOVE LIST",INDEX(OCPD_LIST,MATCH($I31,OCPD_LIST,1)+1))))</f>
        <v/>
      </c>
      <c r="K31" s="1362">
        <f>IF(OR(N($I31)=0,$B$10=""),"",IF(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gt;ROWS(SZ_SIZE),"PARALLEL SETS",INDEX(SZ_SIZE,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f>
        <v/>
      </c>
      <c r="L31" s="1292" t="n"/>
      <c r="M31" s="1326" t="n"/>
      <c r="N31" s="1364">
        <f>IF(OR(IF($L31&lt;&gt;"",$L31,$K31)="",IF($L31&lt;&gt;"",$L31,$K31)="PARALLEL SETS"),"",IFERROR(INDEX(SZ_AMP,MATCH(IF($L31&lt;&gt;"",$L31,$K31),SZ_SIZE,0))*IF(N($M31)&gt;0,N($M31),MAX(1,N(IFERROR(INDEX(SPEC_CIRC,MATCH(INDEX(Equipment!$C$7:$C$18,MAX(1,N($W31))),SPEC_SKU,0)),1)))),""))</f>
        <v/>
      </c>
      <c r="O31" s="1365">
        <f>IF(OR(N($N31)=0,N($F31)=0),"",IFERROR(IF($V31="L2",2,SQRT(3))*N($H31)/IF(N($M31)&gt;0,N($M31),MAX(1,N(IFERROR(INDEX(SPEC_CIRC,MATCH(INDEX(Equipment!$C$7:$C$18,MAX(1,N($W31))),SPEC_SKU,0)),1))))*N($F31)*INDEX(SZ_Z,MATCH(IF($L31&lt;&gt;"",$L31,$K31),SZ_SIZE,0))/1000/IF($V31="L2",N(Equipment!$B$30),Project!$B$29),""))</f>
        <v/>
      </c>
      <c r="P31" s="1362">
        <f>IF(N($J31)=0,"",IFERROR(INDEX(IF($B$6="Cu",EGC_CU,EGC_AL),MATCH($J31,EGC_OCPD,1)+IF(ISNUMBER(MATCH($J31,EGC_OCPD,0)),0,1)),""))</f>
        <v/>
      </c>
      <c r="Q31" s="1362">
        <f>IF(N($N31)=0,"",IFERROR(INDEX(IF($V31="L2",CND_2G,CND_3G),MATCH(IF($L31&lt;&gt;"",$L31,$K31),CND_SIZE,0)),""))</f>
        <v/>
      </c>
      <c r="R31" s="1292" t="n"/>
      <c r="S31" s="1366">
        <f>IF(OR($W31="",N($F31)=0,N($N31)=0),0,IFERROR(N($F31)*IF(N($M31)&gt;0,N($M31),MAX(1,N(IFERROR(INDEX(SPEC_CIRC,MATCH(INDEX(Equipment!$C$7:$C$18,MAX(1,N($W31))),SPEC_SKU,0)),1))))*IF($V31="L2",2,3)*INDEX(IF($B$6="Cu",WIRE_CU,WIRE_AL),MATCH(IF($L31&lt;&gt;"",$L31,$K31),WIRE_SIZE,0)),0)+IFERROR(N($F31)*IF(N($M31)&gt;0,N($M31),MAX(1,N(IFERROR(INDEX(SPEC_CIRC,MATCH(INDEX(Equipment!$C$7:$C$18,MAX(1,N($W31))),SPEC_SKU,0)),1))))*INDEX(IF($B$6="Cu",WIRE_CU,WIRE_AL),MATCH($P31,WIRE_SIZE,0)),0)+IFERROR(N($F31)*IF(N($M31)&gt;0,N($M31),MAX(1,N(IFERROR(INDEX(SPEC_CIRC,MATCH(INDEX(Equipment!$C$7:$C$18,MAX(1,N($W31))),SPEC_SKU,0)),1))))*INDEX(PVC_RATE,MATCH(IF($R31&lt;&gt;"",$R31,$Q31),PVC_SIZE,0)),0)+IF($V31="L2",0,IFERROR(N($F31)*INDEX(PVC_RATE,MATCH("(3/4"")",PVC_SIZE,0)),0)))</f>
        <v/>
      </c>
      <c r="T31" s="1367">
        <f>IF($W31="","",IF($U31=0,"shared — on circuit "&amp;$E31&amp;", sized and priced on its first unit",IF(N($F31)=0,"ENTER THE DISTANCE",IF($B$10="","SET THE DESIGN AMBIENT in block A — nothing on this row can be trusted until it is",IF(IF($L31&lt;&gt;"",$L31,$K31)="PARALLEL SETS","PARALLEL SETS NEEDED — no single conductor carries "&amp;TEXT(N($I31),"#,##0")&amp;" A within the drop allowance; enter sets in column M",IF(N($N31)=0,"no ampacity on file for the override size — NEC Table 310.16 does not list it",IF(N($N31)&lt;IF(N($J31)&gt;800,N($J31),N($I31)),"UNDERSIZED — "&amp;TEXT(N($N31),"#,##0")&amp;" A provided against a floor of "&amp;TEXT(IF(N($J31)&gt;800,N($J31),N($I31)),"#,##0")&amp;" A",IF(N($O31)&gt;$B$13,"ampacity OK but voltage drop "&amp;TEXT(N($O31),"0.0%")&amp;" exceeds the allowance — ADVISORY, upsize the override","OK — "&amp;IF(IF(N($M31)&gt;0,N($M31),MAX(1,N(IFERROR(INDEX(SPEC_CIRC,MATCH(INDEX(Equipment!$C$7:$C$18,MAX(1,N($W31))),SPEC_SKU,0)),1))))&gt;1,TEXT(IF(N($M31)&gt;0,N($M31),MAX(1,N(IFERROR(INDEX(SPEC_CIRC,MATCH(INDEX(Equipment!$C$7:$C$18,MAX(1,N($W31))),SPEC_SKU,0)),1)))),"0")&amp;" sets of ","")&amp;IF($L31&lt;&gt;"",$L31,$K31)&amp;IF($L31&lt;&gt;""," (override)","")&amp;", "&amp;TEXT(N($N31),"#,##0")&amp;" A against a "&amp;TEXT(IF(N($J31)&gt;800,N($J31),N($I31)),"#,##0")&amp;" A floor; drop "&amp;TEXT(N($O31),"0.0%")&amp;" (ADVISORY)"))))))))</f>
        <v/>
      </c>
      <c r="U31" s="1368">
        <f>IF($W31="",0,IF($E31="",1,IF(MATCH($E31,$E$18:$E$47,0)=14,1,0)))</f>
        <v/>
      </c>
      <c r="V31" s="1369">
        <f>IF($W31="","",IF(INDEX(Equipment!$E$7:$E$18,$W31)="level_2","L2",IF(INDEX(Equipment!$E$7:$E$18,$W31)="power_cabinet","CAB","DC")))</f>
        <v/>
      </c>
      <c r="W31" s="1368">
        <f>IF(N($B$50)&gt;=14,COUNTIF(Equipment!$S$7:$S$18,"&lt;14")+1,"")</f>
        <v/>
      </c>
      <c r="X31" s="1368">
        <f>IF($U31&lt;&gt;1,"",IF(N($M31)&gt;0,N($M31),MAX(1,N(IFERROR(INDEX(SPEC_CIRC,MATCH(INDEX(Equipment!$C$7:$C$18,MAX(1,N($W31))),SPEC_SKU,0)),1)))))</f>
        <v/>
      </c>
    </row>
    <row r="32" ht="27.5" customHeight="1" s="254">
      <c r="A32" s="1362">
        <f>IF($W32="","","Charger 15")</f>
        <v/>
      </c>
      <c r="B32" s="1362">
        <f>IF($W32="","","Line "&amp;$W32&amp;" · "&amp;INDEX(Equipment!$C$7:$C$18,$W32)&amp;" · "&amp;INDEX(Equipment!$B$7:$B$18,$W32)&amp;" · #"&amp;(15-INDEX(Equipment!$R$7:$R$18,$W32)+1)&amp;" of "&amp;INDEX(Equipment!$I$7:$I$18,$W32))</f>
        <v/>
      </c>
      <c r="C32" s="1362">
        <f>IF($W32="","",IF($V32="L2",TEXT(N(Equipment!$B$30),"0")&amp;" V 1-ph",TEXT(Project!$B$29,"0")&amp;" V 3-ph"))</f>
        <v/>
      </c>
      <c r="D32" s="1363">
        <f>IF($W32="","",INDEX(Equipment!$G$7:$G$18,$W32))</f>
        <v/>
      </c>
      <c r="E32" s="1292" t="n"/>
      <c r="F32" s="1326" t="n"/>
      <c r="G32" s="1292" t="n"/>
      <c r="H32" s="1364">
        <f>IF($U32&lt;&gt;1,"",IF($E32="",N($D32),SUMIF($E$18:$E$47,$E32,$D$18:$D$47))*1000/(IF($V32="L2",N(Equipment!$B$30),Project!$B$29)*IF($V32="L2",1,SQRT(3))))</f>
        <v/>
      </c>
      <c r="I32" s="1364">
        <f>IF(N($H32)=0,"",N($H32)*1.25)</f>
        <v/>
      </c>
      <c r="J32" s="1364">
        <f>IF(N($I32)=0,"",IF(ISNUMBER(MATCH($I32,OCPD_LIST,0)),$I32,IF($I32&gt;MAX(OCPD_LIST),"ABOVE LIST",INDEX(OCPD_LIST,MATCH($I32,OCPD_LIST,1)+1))))</f>
        <v/>
      </c>
      <c r="K32" s="1362">
        <f>IF(OR(N($I32)=0,$B$10=""),"",IF(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gt;ROWS(SZ_SIZE),"PARALLEL SETS",INDEX(SZ_SIZE,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f>
        <v/>
      </c>
      <c r="L32" s="1292" t="n"/>
      <c r="M32" s="1326" t="n"/>
      <c r="N32" s="1364">
        <f>IF(OR(IF($L32&lt;&gt;"",$L32,$K32)="",IF($L32&lt;&gt;"",$L32,$K32)="PARALLEL SETS"),"",IFERROR(INDEX(SZ_AMP,MATCH(IF($L32&lt;&gt;"",$L32,$K32),SZ_SIZE,0))*IF(N($M32)&gt;0,N($M32),MAX(1,N(IFERROR(INDEX(SPEC_CIRC,MATCH(INDEX(Equipment!$C$7:$C$18,MAX(1,N($W32))),SPEC_SKU,0)),1)))),""))</f>
        <v/>
      </c>
      <c r="O32" s="1365">
        <f>IF(OR(N($N32)=0,N($F32)=0),"",IFERROR(IF($V32="L2",2,SQRT(3))*N($H32)/IF(N($M32)&gt;0,N($M32),MAX(1,N(IFERROR(INDEX(SPEC_CIRC,MATCH(INDEX(Equipment!$C$7:$C$18,MAX(1,N($W32))),SPEC_SKU,0)),1))))*N($F32)*INDEX(SZ_Z,MATCH(IF($L32&lt;&gt;"",$L32,$K32),SZ_SIZE,0))/1000/IF($V32="L2",N(Equipment!$B$30),Project!$B$29),""))</f>
        <v/>
      </c>
      <c r="P32" s="1362">
        <f>IF(N($J32)=0,"",IFERROR(INDEX(IF($B$6="Cu",EGC_CU,EGC_AL),MATCH($J32,EGC_OCPD,1)+IF(ISNUMBER(MATCH($J32,EGC_OCPD,0)),0,1)),""))</f>
        <v/>
      </c>
      <c r="Q32" s="1362">
        <f>IF(N($N32)=0,"",IFERROR(INDEX(IF($V32="L2",CND_2G,CND_3G),MATCH(IF($L32&lt;&gt;"",$L32,$K32),CND_SIZE,0)),""))</f>
        <v/>
      </c>
      <c r="R32" s="1292" t="n"/>
      <c r="S32" s="1366">
        <f>IF(OR($W32="",N($F32)=0,N($N32)=0),0,IFERROR(N($F32)*IF(N($M32)&gt;0,N($M32),MAX(1,N(IFERROR(INDEX(SPEC_CIRC,MATCH(INDEX(Equipment!$C$7:$C$18,MAX(1,N($W32))),SPEC_SKU,0)),1))))*IF($V32="L2",2,3)*INDEX(IF($B$6="Cu",WIRE_CU,WIRE_AL),MATCH(IF($L32&lt;&gt;"",$L32,$K32),WIRE_SIZE,0)),0)+IFERROR(N($F32)*IF(N($M32)&gt;0,N($M32),MAX(1,N(IFERROR(INDEX(SPEC_CIRC,MATCH(INDEX(Equipment!$C$7:$C$18,MAX(1,N($W32))),SPEC_SKU,0)),1))))*INDEX(IF($B$6="Cu",WIRE_CU,WIRE_AL),MATCH($P32,WIRE_SIZE,0)),0)+IFERROR(N($F32)*IF(N($M32)&gt;0,N($M32),MAX(1,N(IFERROR(INDEX(SPEC_CIRC,MATCH(INDEX(Equipment!$C$7:$C$18,MAX(1,N($W32))),SPEC_SKU,0)),1))))*INDEX(PVC_RATE,MATCH(IF($R32&lt;&gt;"",$R32,$Q32),PVC_SIZE,0)),0)+IF($V32="L2",0,IFERROR(N($F32)*INDEX(PVC_RATE,MATCH("(3/4"")",PVC_SIZE,0)),0)))</f>
        <v/>
      </c>
      <c r="T32" s="1367">
        <f>IF($W32="","",IF($U32=0,"shared — on circuit "&amp;$E32&amp;", sized and priced on its first unit",IF(N($F32)=0,"ENTER THE DISTANCE",IF($B$10="","SET THE DESIGN AMBIENT in block A — nothing on this row can be trusted until it is",IF(IF($L32&lt;&gt;"",$L32,$K32)="PARALLEL SETS","PARALLEL SETS NEEDED — no single conductor carries "&amp;TEXT(N($I32),"#,##0")&amp;" A within the drop allowance; enter sets in column M",IF(N($N32)=0,"no ampacity on file for the override size — NEC Table 310.16 does not list it",IF(N($N32)&lt;IF(N($J32)&gt;800,N($J32),N($I32)),"UNDERSIZED — "&amp;TEXT(N($N32),"#,##0")&amp;" A provided against a floor of "&amp;TEXT(IF(N($J32)&gt;800,N($J32),N($I32)),"#,##0")&amp;" A",IF(N($O32)&gt;$B$13,"ampacity OK but voltage drop "&amp;TEXT(N($O32),"0.0%")&amp;" exceeds the allowance — ADVISORY, upsize the override","OK — "&amp;IF(IF(N($M32)&gt;0,N($M32),MAX(1,N(IFERROR(INDEX(SPEC_CIRC,MATCH(INDEX(Equipment!$C$7:$C$18,MAX(1,N($W32))),SPEC_SKU,0)),1))))&gt;1,TEXT(IF(N($M32)&gt;0,N($M32),MAX(1,N(IFERROR(INDEX(SPEC_CIRC,MATCH(INDEX(Equipment!$C$7:$C$18,MAX(1,N($W32))),SPEC_SKU,0)),1)))),"0")&amp;" sets of ","")&amp;IF($L32&lt;&gt;"",$L32,$K32)&amp;IF($L32&lt;&gt;""," (override)","")&amp;", "&amp;TEXT(N($N32),"#,##0")&amp;" A against a "&amp;TEXT(IF(N($J32)&gt;800,N($J32),N($I32)),"#,##0")&amp;" A floor; drop "&amp;TEXT(N($O32),"0.0%")&amp;" (ADVISORY)"))))))))</f>
        <v/>
      </c>
      <c r="U32" s="1368">
        <f>IF($W32="",0,IF($E32="",1,IF(MATCH($E32,$E$18:$E$47,0)=15,1,0)))</f>
        <v/>
      </c>
      <c r="V32" s="1369">
        <f>IF($W32="","",IF(INDEX(Equipment!$E$7:$E$18,$W32)="level_2","L2",IF(INDEX(Equipment!$E$7:$E$18,$W32)="power_cabinet","CAB","DC")))</f>
        <v/>
      </c>
      <c r="W32" s="1368">
        <f>IF(N($B$50)&gt;=15,COUNTIF(Equipment!$S$7:$S$18,"&lt;15")+1,"")</f>
        <v/>
      </c>
      <c r="X32" s="1368">
        <f>IF($U32&lt;&gt;1,"",IF(N($M32)&gt;0,N($M32),MAX(1,N(IFERROR(INDEX(SPEC_CIRC,MATCH(INDEX(Equipment!$C$7:$C$18,MAX(1,N($W32))),SPEC_SKU,0)),1)))))</f>
        <v/>
      </c>
    </row>
    <row r="33" ht="27.5" customHeight="1" s="254">
      <c r="A33" s="1362">
        <f>IF($W33="","","Charger 16")</f>
        <v/>
      </c>
      <c r="B33" s="1362">
        <f>IF($W33="","","Line "&amp;$W33&amp;" · "&amp;INDEX(Equipment!$C$7:$C$18,$W33)&amp;" · "&amp;INDEX(Equipment!$B$7:$B$18,$W33)&amp;" · #"&amp;(16-INDEX(Equipment!$R$7:$R$18,$W33)+1)&amp;" of "&amp;INDEX(Equipment!$I$7:$I$18,$W33))</f>
        <v/>
      </c>
      <c r="C33" s="1362">
        <f>IF($W33="","",IF($V33="L2",TEXT(N(Equipment!$B$30),"0")&amp;" V 1-ph",TEXT(Project!$B$29,"0")&amp;" V 3-ph"))</f>
        <v/>
      </c>
      <c r="D33" s="1363">
        <f>IF($W33="","",INDEX(Equipment!$G$7:$G$18,$W33))</f>
        <v/>
      </c>
      <c r="E33" s="1292" t="n"/>
      <c r="F33" s="1326" t="n"/>
      <c r="G33" s="1292" t="n"/>
      <c r="H33" s="1364">
        <f>IF($U33&lt;&gt;1,"",IF($E33="",N($D33),SUMIF($E$18:$E$47,$E33,$D$18:$D$47))*1000/(IF($V33="L2",N(Equipment!$B$30),Project!$B$29)*IF($V33="L2",1,SQRT(3))))</f>
        <v/>
      </c>
      <c r="I33" s="1364">
        <f>IF(N($H33)=0,"",N($H33)*1.25)</f>
        <v/>
      </c>
      <c r="J33" s="1364">
        <f>IF(N($I33)=0,"",IF(ISNUMBER(MATCH($I33,OCPD_LIST,0)),$I33,IF($I33&gt;MAX(OCPD_LIST),"ABOVE LIST",INDEX(OCPD_LIST,MATCH($I33,OCPD_LIST,1)+1))))</f>
        <v/>
      </c>
      <c r="K33" s="1362">
        <f>IF(OR(N($I33)=0,$B$10=""),"",IF(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gt;ROWS(SZ_SIZE),"PARALLEL SETS",INDEX(SZ_SIZE,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f>
        <v/>
      </c>
      <c r="L33" s="1292" t="n"/>
      <c r="M33" s="1326" t="n"/>
      <c r="N33" s="1364">
        <f>IF(OR(IF($L33&lt;&gt;"",$L33,$K33)="",IF($L33&lt;&gt;"",$L33,$K33)="PARALLEL SETS"),"",IFERROR(INDEX(SZ_AMP,MATCH(IF($L33&lt;&gt;"",$L33,$K33),SZ_SIZE,0))*IF(N($M33)&gt;0,N($M33),MAX(1,N(IFERROR(INDEX(SPEC_CIRC,MATCH(INDEX(Equipment!$C$7:$C$18,MAX(1,N($W33))),SPEC_SKU,0)),1)))),""))</f>
        <v/>
      </c>
      <c r="O33" s="1365">
        <f>IF(OR(N($N33)=0,N($F33)=0),"",IFERROR(IF($V33="L2",2,SQRT(3))*N($H33)/IF(N($M33)&gt;0,N($M33),MAX(1,N(IFERROR(INDEX(SPEC_CIRC,MATCH(INDEX(Equipment!$C$7:$C$18,MAX(1,N($W33))),SPEC_SKU,0)),1))))*N($F33)*INDEX(SZ_Z,MATCH(IF($L33&lt;&gt;"",$L33,$K33),SZ_SIZE,0))/1000/IF($V33="L2",N(Equipment!$B$30),Project!$B$29),""))</f>
        <v/>
      </c>
      <c r="P33" s="1362">
        <f>IF(N($J33)=0,"",IFERROR(INDEX(IF($B$6="Cu",EGC_CU,EGC_AL),MATCH($J33,EGC_OCPD,1)+IF(ISNUMBER(MATCH($J33,EGC_OCPD,0)),0,1)),""))</f>
        <v/>
      </c>
      <c r="Q33" s="1362">
        <f>IF(N($N33)=0,"",IFERROR(INDEX(IF($V33="L2",CND_2G,CND_3G),MATCH(IF($L33&lt;&gt;"",$L33,$K33),CND_SIZE,0)),""))</f>
        <v/>
      </c>
      <c r="R33" s="1292" t="n"/>
      <c r="S33" s="1366">
        <f>IF(OR($W33="",N($F33)=0,N($N33)=0),0,IFERROR(N($F33)*IF(N($M33)&gt;0,N($M33),MAX(1,N(IFERROR(INDEX(SPEC_CIRC,MATCH(INDEX(Equipment!$C$7:$C$18,MAX(1,N($W33))),SPEC_SKU,0)),1))))*IF($V33="L2",2,3)*INDEX(IF($B$6="Cu",WIRE_CU,WIRE_AL),MATCH(IF($L33&lt;&gt;"",$L33,$K33),WIRE_SIZE,0)),0)+IFERROR(N($F33)*IF(N($M33)&gt;0,N($M33),MAX(1,N(IFERROR(INDEX(SPEC_CIRC,MATCH(INDEX(Equipment!$C$7:$C$18,MAX(1,N($W33))),SPEC_SKU,0)),1))))*INDEX(IF($B$6="Cu",WIRE_CU,WIRE_AL),MATCH($P33,WIRE_SIZE,0)),0)+IFERROR(N($F33)*IF(N($M33)&gt;0,N($M33),MAX(1,N(IFERROR(INDEX(SPEC_CIRC,MATCH(INDEX(Equipment!$C$7:$C$18,MAX(1,N($W33))),SPEC_SKU,0)),1))))*INDEX(PVC_RATE,MATCH(IF($R33&lt;&gt;"",$R33,$Q33),PVC_SIZE,0)),0)+IF($V33="L2",0,IFERROR(N($F33)*INDEX(PVC_RATE,MATCH("(3/4"")",PVC_SIZE,0)),0)))</f>
        <v/>
      </c>
      <c r="T33" s="1367">
        <f>IF($W33="","",IF($U33=0,"shared — on circuit "&amp;$E33&amp;", sized and priced on its first unit",IF(N($F33)=0,"ENTER THE DISTANCE",IF($B$10="","SET THE DESIGN AMBIENT in block A — nothing on this row can be trusted until it is",IF(IF($L33&lt;&gt;"",$L33,$K33)="PARALLEL SETS","PARALLEL SETS NEEDED — no single conductor carries "&amp;TEXT(N($I33),"#,##0")&amp;" A within the drop allowance; enter sets in column M",IF(N($N33)=0,"no ampacity on file for the override size — NEC Table 310.16 does not list it",IF(N($N33)&lt;IF(N($J33)&gt;800,N($J33),N($I33)),"UNDERSIZED — "&amp;TEXT(N($N33),"#,##0")&amp;" A provided against a floor of "&amp;TEXT(IF(N($J33)&gt;800,N($J33),N($I33)),"#,##0")&amp;" A",IF(N($O33)&gt;$B$13,"ampacity OK but voltage drop "&amp;TEXT(N($O33),"0.0%")&amp;" exceeds the allowance — ADVISORY, upsize the override","OK — "&amp;IF(IF(N($M33)&gt;0,N($M33),MAX(1,N(IFERROR(INDEX(SPEC_CIRC,MATCH(INDEX(Equipment!$C$7:$C$18,MAX(1,N($W33))),SPEC_SKU,0)),1))))&gt;1,TEXT(IF(N($M33)&gt;0,N($M33),MAX(1,N(IFERROR(INDEX(SPEC_CIRC,MATCH(INDEX(Equipment!$C$7:$C$18,MAX(1,N($W33))),SPEC_SKU,0)),1)))),"0")&amp;" sets of ","")&amp;IF($L33&lt;&gt;"",$L33,$K33)&amp;IF($L33&lt;&gt;""," (override)","")&amp;", "&amp;TEXT(N($N33),"#,##0")&amp;" A against a "&amp;TEXT(IF(N($J33)&gt;800,N($J33),N($I33)),"#,##0")&amp;" A floor; drop "&amp;TEXT(N($O33),"0.0%")&amp;" (ADVISORY)"))))))))</f>
        <v/>
      </c>
      <c r="U33" s="1368">
        <f>IF($W33="",0,IF($E33="",1,IF(MATCH($E33,$E$18:$E$47,0)=16,1,0)))</f>
        <v/>
      </c>
      <c r="V33" s="1369">
        <f>IF($W33="","",IF(INDEX(Equipment!$E$7:$E$18,$W33)="level_2","L2",IF(INDEX(Equipment!$E$7:$E$18,$W33)="power_cabinet","CAB","DC")))</f>
        <v/>
      </c>
      <c r="W33" s="1368">
        <f>IF(N($B$50)&gt;=16,COUNTIF(Equipment!$S$7:$S$18,"&lt;16")+1,"")</f>
        <v/>
      </c>
      <c r="X33" s="1368">
        <f>IF($U33&lt;&gt;1,"",IF(N($M33)&gt;0,N($M33),MAX(1,N(IFERROR(INDEX(SPEC_CIRC,MATCH(INDEX(Equipment!$C$7:$C$18,MAX(1,N($W33))),SPEC_SKU,0)),1)))))</f>
        <v/>
      </c>
    </row>
    <row r="34" ht="27.5" customHeight="1" s="254">
      <c r="A34" s="1362">
        <f>IF($W34="","","Charger 17")</f>
        <v/>
      </c>
      <c r="B34" s="1362">
        <f>IF($W34="","","Line "&amp;$W34&amp;" · "&amp;INDEX(Equipment!$C$7:$C$18,$W34)&amp;" · "&amp;INDEX(Equipment!$B$7:$B$18,$W34)&amp;" · #"&amp;(17-INDEX(Equipment!$R$7:$R$18,$W34)+1)&amp;" of "&amp;INDEX(Equipment!$I$7:$I$18,$W34))</f>
        <v/>
      </c>
      <c r="C34" s="1362">
        <f>IF($W34="","",IF($V34="L2",TEXT(N(Equipment!$B$30),"0")&amp;" V 1-ph",TEXT(Project!$B$29,"0")&amp;" V 3-ph"))</f>
        <v/>
      </c>
      <c r="D34" s="1363">
        <f>IF($W34="","",INDEX(Equipment!$G$7:$G$18,$W34))</f>
        <v/>
      </c>
      <c r="E34" s="1292" t="n"/>
      <c r="F34" s="1326" t="n"/>
      <c r="G34" s="1292" t="n"/>
      <c r="H34" s="1364">
        <f>IF($U34&lt;&gt;1,"",IF($E34="",N($D34),SUMIF($E$18:$E$47,$E34,$D$18:$D$47))*1000/(IF($V34="L2",N(Equipment!$B$30),Project!$B$29)*IF($V34="L2",1,SQRT(3))))</f>
        <v/>
      </c>
      <c r="I34" s="1364">
        <f>IF(N($H34)=0,"",N($H34)*1.25)</f>
        <v/>
      </c>
      <c r="J34" s="1364">
        <f>IF(N($I34)=0,"",IF(ISNUMBER(MATCH($I34,OCPD_LIST,0)),$I34,IF($I34&gt;MAX(OCPD_LIST),"ABOVE LIST",INDEX(OCPD_LIST,MATCH($I34,OCPD_LIST,1)+1))))</f>
        <v/>
      </c>
      <c r="K34" s="1362">
        <f>IF(OR(N($I34)=0,$B$10=""),"",IF(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gt;ROWS(SZ_SIZE),"PARALLEL SETS",INDEX(SZ_SIZE,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f>
        <v/>
      </c>
      <c r="L34" s="1292" t="n"/>
      <c r="M34" s="1326" t="n"/>
      <c r="N34" s="1364">
        <f>IF(OR(IF($L34&lt;&gt;"",$L34,$K34)="",IF($L34&lt;&gt;"",$L34,$K34)="PARALLEL SETS"),"",IFERROR(INDEX(SZ_AMP,MATCH(IF($L34&lt;&gt;"",$L34,$K34),SZ_SIZE,0))*IF(N($M34)&gt;0,N($M34),MAX(1,N(IFERROR(INDEX(SPEC_CIRC,MATCH(INDEX(Equipment!$C$7:$C$18,MAX(1,N($W34))),SPEC_SKU,0)),1)))),""))</f>
        <v/>
      </c>
      <c r="O34" s="1365">
        <f>IF(OR(N($N34)=0,N($F34)=0),"",IFERROR(IF($V34="L2",2,SQRT(3))*N($H34)/IF(N($M34)&gt;0,N($M34),MAX(1,N(IFERROR(INDEX(SPEC_CIRC,MATCH(INDEX(Equipment!$C$7:$C$18,MAX(1,N($W34))),SPEC_SKU,0)),1))))*N($F34)*INDEX(SZ_Z,MATCH(IF($L34&lt;&gt;"",$L34,$K34),SZ_SIZE,0))/1000/IF($V34="L2",N(Equipment!$B$30),Project!$B$29),""))</f>
        <v/>
      </c>
      <c r="P34" s="1362">
        <f>IF(N($J34)=0,"",IFERROR(INDEX(IF($B$6="Cu",EGC_CU,EGC_AL),MATCH($J34,EGC_OCPD,1)+IF(ISNUMBER(MATCH($J34,EGC_OCPD,0)),0,1)),""))</f>
        <v/>
      </c>
      <c r="Q34" s="1362">
        <f>IF(N($N34)=0,"",IFERROR(INDEX(IF($V34="L2",CND_2G,CND_3G),MATCH(IF($L34&lt;&gt;"",$L34,$K34),CND_SIZE,0)),""))</f>
        <v/>
      </c>
      <c r="R34" s="1292" t="n"/>
      <c r="S34" s="1366">
        <f>IF(OR($W34="",N($F34)=0,N($N34)=0),0,IFERROR(N($F34)*IF(N($M34)&gt;0,N($M34),MAX(1,N(IFERROR(INDEX(SPEC_CIRC,MATCH(INDEX(Equipment!$C$7:$C$18,MAX(1,N($W34))),SPEC_SKU,0)),1))))*IF($V34="L2",2,3)*INDEX(IF($B$6="Cu",WIRE_CU,WIRE_AL),MATCH(IF($L34&lt;&gt;"",$L34,$K34),WIRE_SIZE,0)),0)+IFERROR(N($F34)*IF(N($M34)&gt;0,N($M34),MAX(1,N(IFERROR(INDEX(SPEC_CIRC,MATCH(INDEX(Equipment!$C$7:$C$18,MAX(1,N($W34))),SPEC_SKU,0)),1))))*INDEX(IF($B$6="Cu",WIRE_CU,WIRE_AL),MATCH($P34,WIRE_SIZE,0)),0)+IFERROR(N($F34)*IF(N($M34)&gt;0,N($M34),MAX(1,N(IFERROR(INDEX(SPEC_CIRC,MATCH(INDEX(Equipment!$C$7:$C$18,MAX(1,N($W34))),SPEC_SKU,0)),1))))*INDEX(PVC_RATE,MATCH(IF($R34&lt;&gt;"",$R34,$Q34),PVC_SIZE,0)),0)+IF($V34="L2",0,IFERROR(N($F34)*INDEX(PVC_RATE,MATCH("(3/4"")",PVC_SIZE,0)),0)))</f>
        <v/>
      </c>
      <c r="T34" s="1367">
        <f>IF($W34="","",IF($U34=0,"shared — on circuit "&amp;$E34&amp;", sized and priced on its first unit",IF(N($F34)=0,"ENTER THE DISTANCE",IF($B$10="","SET THE DESIGN AMBIENT in block A — nothing on this row can be trusted until it is",IF(IF($L34&lt;&gt;"",$L34,$K34)="PARALLEL SETS","PARALLEL SETS NEEDED — no single conductor carries "&amp;TEXT(N($I34),"#,##0")&amp;" A within the drop allowance; enter sets in column M",IF(N($N34)=0,"no ampacity on file for the override size — NEC Table 310.16 does not list it",IF(N($N34)&lt;IF(N($J34)&gt;800,N($J34),N($I34)),"UNDERSIZED — "&amp;TEXT(N($N34),"#,##0")&amp;" A provided against a floor of "&amp;TEXT(IF(N($J34)&gt;800,N($J34),N($I34)),"#,##0")&amp;" A",IF(N($O34)&gt;$B$13,"ampacity OK but voltage drop "&amp;TEXT(N($O34),"0.0%")&amp;" exceeds the allowance — ADVISORY, upsize the override","OK — "&amp;IF(IF(N($M34)&gt;0,N($M34),MAX(1,N(IFERROR(INDEX(SPEC_CIRC,MATCH(INDEX(Equipment!$C$7:$C$18,MAX(1,N($W34))),SPEC_SKU,0)),1))))&gt;1,TEXT(IF(N($M34)&gt;0,N($M34),MAX(1,N(IFERROR(INDEX(SPEC_CIRC,MATCH(INDEX(Equipment!$C$7:$C$18,MAX(1,N($W34))),SPEC_SKU,0)),1)))),"0")&amp;" sets of ","")&amp;IF($L34&lt;&gt;"",$L34,$K34)&amp;IF($L34&lt;&gt;""," (override)","")&amp;", "&amp;TEXT(N($N34),"#,##0")&amp;" A against a "&amp;TEXT(IF(N($J34)&gt;800,N($J34),N($I34)),"#,##0")&amp;" A floor; drop "&amp;TEXT(N($O34),"0.0%")&amp;" (ADVISORY)"))))))))</f>
        <v/>
      </c>
      <c r="U34" s="1368">
        <f>IF($W34="",0,IF($E34="",1,IF(MATCH($E34,$E$18:$E$47,0)=17,1,0)))</f>
        <v/>
      </c>
      <c r="V34" s="1369">
        <f>IF($W34="","",IF(INDEX(Equipment!$E$7:$E$18,$W34)="level_2","L2",IF(INDEX(Equipment!$E$7:$E$18,$W34)="power_cabinet","CAB","DC")))</f>
        <v/>
      </c>
      <c r="W34" s="1368">
        <f>IF(N($B$50)&gt;=17,COUNTIF(Equipment!$S$7:$S$18,"&lt;17")+1,"")</f>
        <v/>
      </c>
      <c r="X34" s="1368">
        <f>IF($U34&lt;&gt;1,"",IF(N($M34)&gt;0,N($M34),MAX(1,N(IFERROR(INDEX(SPEC_CIRC,MATCH(INDEX(Equipment!$C$7:$C$18,MAX(1,N($W34))),SPEC_SKU,0)),1)))))</f>
        <v/>
      </c>
    </row>
    <row r="35" ht="27.5" customHeight="1" s="254">
      <c r="A35" s="1362">
        <f>IF($W35="","","Charger 18")</f>
        <v/>
      </c>
      <c r="B35" s="1362">
        <f>IF($W35="","","Line "&amp;$W35&amp;" · "&amp;INDEX(Equipment!$C$7:$C$18,$W35)&amp;" · "&amp;INDEX(Equipment!$B$7:$B$18,$W35)&amp;" · #"&amp;(18-INDEX(Equipment!$R$7:$R$18,$W35)+1)&amp;" of "&amp;INDEX(Equipment!$I$7:$I$18,$W35))</f>
        <v/>
      </c>
      <c r="C35" s="1362">
        <f>IF($W35="","",IF($V35="L2",TEXT(N(Equipment!$B$30),"0")&amp;" V 1-ph",TEXT(Project!$B$29,"0")&amp;" V 3-ph"))</f>
        <v/>
      </c>
      <c r="D35" s="1363">
        <f>IF($W35="","",INDEX(Equipment!$G$7:$G$18,$W35))</f>
        <v/>
      </c>
      <c r="E35" s="1292" t="n"/>
      <c r="F35" s="1326" t="n"/>
      <c r="G35" s="1292" t="n"/>
      <c r="H35" s="1364">
        <f>IF($U35&lt;&gt;1,"",IF($E35="",N($D35),SUMIF($E$18:$E$47,$E35,$D$18:$D$47))*1000/(IF($V35="L2",N(Equipment!$B$30),Project!$B$29)*IF($V35="L2",1,SQRT(3))))</f>
        <v/>
      </c>
      <c r="I35" s="1364">
        <f>IF(N($H35)=0,"",N($H35)*1.25)</f>
        <v/>
      </c>
      <c r="J35" s="1364">
        <f>IF(N($I35)=0,"",IF(ISNUMBER(MATCH($I35,OCPD_LIST,0)),$I35,IF($I35&gt;MAX(OCPD_LIST),"ABOVE LIST",INDEX(OCPD_LIST,MATCH($I35,OCPD_LIST,1)+1))))</f>
        <v/>
      </c>
      <c r="K35" s="1362">
        <f>IF(OR(N($I35)=0,$B$10=""),"",IF(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gt;ROWS(SZ_SIZE),"PARALLEL SETS",INDEX(SZ_SIZE,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f>
        <v/>
      </c>
      <c r="L35" s="1292" t="n"/>
      <c r="M35" s="1326" t="n"/>
      <c r="N35" s="1364">
        <f>IF(OR(IF($L35&lt;&gt;"",$L35,$K35)="",IF($L35&lt;&gt;"",$L35,$K35)="PARALLEL SETS"),"",IFERROR(INDEX(SZ_AMP,MATCH(IF($L35&lt;&gt;"",$L35,$K35),SZ_SIZE,0))*IF(N($M35)&gt;0,N($M35),MAX(1,N(IFERROR(INDEX(SPEC_CIRC,MATCH(INDEX(Equipment!$C$7:$C$18,MAX(1,N($W35))),SPEC_SKU,0)),1)))),""))</f>
        <v/>
      </c>
      <c r="O35" s="1365">
        <f>IF(OR(N($N35)=0,N($F35)=0),"",IFERROR(IF($V35="L2",2,SQRT(3))*N($H35)/IF(N($M35)&gt;0,N($M35),MAX(1,N(IFERROR(INDEX(SPEC_CIRC,MATCH(INDEX(Equipment!$C$7:$C$18,MAX(1,N($W35))),SPEC_SKU,0)),1))))*N($F35)*INDEX(SZ_Z,MATCH(IF($L35&lt;&gt;"",$L35,$K35),SZ_SIZE,0))/1000/IF($V35="L2",N(Equipment!$B$30),Project!$B$29),""))</f>
        <v/>
      </c>
      <c r="P35" s="1362">
        <f>IF(N($J35)=0,"",IFERROR(INDEX(IF($B$6="Cu",EGC_CU,EGC_AL),MATCH($J35,EGC_OCPD,1)+IF(ISNUMBER(MATCH($J35,EGC_OCPD,0)),0,1)),""))</f>
        <v/>
      </c>
      <c r="Q35" s="1362">
        <f>IF(N($N35)=0,"",IFERROR(INDEX(IF($V35="L2",CND_2G,CND_3G),MATCH(IF($L35&lt;&gt;"",$L35,$K35),CND_SIZE,0)),""))</f>
        <v/>
      </c>
      <c r="R35" s="1292" t="n"/>
      <c r="S35" s="1366">
        <f>IF(OR($W35="",N($F35)=0,N($N35)=0),0,IFERROR(N($F35)*IF(N($M35)&gt;0,N($M35),MAX(1,N(IFERROR(INDEX(SPEC_CIRC,MATCH(INDEX(Equipment!$C$7:$C$18,MAX(1,N($W35))),SPEC_SKU,0)),1))))*IF($V35="L2",2,3)*INDEX(IF($B$6="Cu",WIRE_CU,WIRE_AL),MATCH(IF($L35&lt;&gt;"",$L35,$K35),WIRE_SIZE,0)),0)+IFERROR(N($F35)*IF(N($M35)&gt;0,N($M35),MAX(1,N(IFERROR(INDEX(SPEC_CIRC,MATCH(INDEX(Equipment!$C$7:$C$18,MAX(1,N($W35))),SPEC_SKU,0)),1))))*INDEX(IF($B$6="Cu",WIRE_CU,WIRE_AL),MATCH($P35,WIRE_SIZE,0)),0)+IFERROR(N($F35)*IF(N($M35)&gt;0,N($M35),MAX(1,N(IFERROR(INDEX(SPEC_CIRC,MATCH(INDEX(Equipment!$C$7:$C$18,MAX(1,N($W35))),SPEC_SKU,0)),1))))*INDEX(PVC_RATE,MATCH(IF($R35&lt;&gt;"",$R35,$Q35),PVC_SIZE,0)),0)+IF($V35="L2",0,IFERROR(N($F35)*INDEX(PVC_RATE,MATCH("(3/4"")",PVC_SIZE,0)),0)))</f>
        <v/>
      </c>
      <c r="T35" s="1367">
        <f>IF($W35="","",IF($U35=0,"shared — on circuit "&amp;$E35&amp;", sized and priced on its first unit",IF(N($F35)=0,"ENTER THE DISTANCE",IF($B$10="","SET THE DESIGN AMBIENT in block A — nothing on this row can be trusted until it is",IF(IF($L35&lt;&gt;"",$L35,$K35)="PARALLEL SETS","PARALLEL SETS NEEDED — no single conductor carries "&amp;TEXT(N($I35),"#,##0")&amp;" A within the drop allowance; enter sets in column M",IF(N($N35)=0,"no ampacity on file for the override size — NEC Table 310.16 does not list it",IF(N($N35)&lt;IF(N($J35)&gt;800,N($J35),N($I35)),"UNDERSIZED — "&amp;TEXT(N($N35),"#,##0")&amp;" A provided against a floor of "&amp;TEXT(IF(N($J35)&gt;800,N($J35),N($I35)),"#,##0")&amp;" A",IF(N($O35)&gt;$B$13,"ampacity OK but voltage drop "&amp;TEXT(N($O35),"0.0%")&amp;" exceeds the allowance — ADVISORY, upsize the override","OK — "&amp;IF(IF(N($M35)&gt;0,N($M35),MAX(1,N(IFERROR(INDEX(SPEC_CIRC,MATCH(INDEX(Equipment!$C$7:$C$18,MAX(1,N($W35))),SPEC_SKU,0)),1))))&gt;1,TEXT(IF(N($M35)&gt;0,N($M35),MAX(1,N(IFERROR(INDEX(SPEC_CIRC,MATCH(INDEX(Equipment!$C$7:$C$18,MAX(1,N($W35))),SPEC_SKU,0)),1)))),"0")&amp;" sets of ","")&amp;IF($L35&lt;&gt;"",$L35,$K35)&amp;IF($L35&lt;&gt;""," (override)","")&amp;", "&amp;TEXT(N($N35),"#,##0")&amp;" A against a "&amp;TEXT(IF(N($J35)&gt;800,N($J35),N($I35)),"#,##0")&amp;" A floor; drop "&amp;TEXT(N($O35),"0.0%")&amp;" (ADVISORY)"))))))))</f>
        <v/>
      </c>
      <c r="U35" s="1368">
        <f>IF($W35="",0,IF($E35="",1,IF(MATCH($E35,$E$18:$E$47,0)=18,1,0)))</f>
        <v/>
      </c>
      <c r="V35" s="1369">
        <f>IF($W35="","",IF(INDEX(Equipment!$E$7:$E$18,$W35)="level_2","L2",IF(INDEX(Equipment!$E$7:$E$18,$W35)="power_cabinet","CAB","DC")))</f>
        <v/>
      </c>
      <c r="W35" s="1368">
        <f>IF(N($B$50)&gt;=18,COUNTIF(Equipment!$S$7:$S$18,"&lt;18")+1,"")</f>
        <v/>
      </c>
      <c r="X35" s="1368">
        <f>IF($U35&lt;&gt;1,"",IF(N($M35)&gt;0,N($M35),MAX(1,N(IFERROR(INDEX(SPEC_CIRC,MATCH(INDEX(Equipment!$C$7:$C$18,MAX(1,N($W35))),SPEC_SKU,0)),1)))))</f>
        <v/>
      </c>
    </row>
    <row r="36" ht="27.5" customHeight="1" s="254">
      <c r="A36" s="1362">
        <f>IF($W36="","","Charger 19")</f>
        <v/>
      </c>
      <c r="B36" s="1362">
        <f>IF($W36="","","Line "&amp;$W36&amp;" · "&amp;INDEX(Equipment!$C$7:$C$18,$W36)&amp;" · "&amp;INDEX(Equipment!$B$7:$B$18,$W36)&amp;" · #"&amp;(19-INDEX(Equipment!$R$7:$R$18,$W36)+1)&amp;" of "&amp;INDEX(Equipment!$I$7:$I$18,$W36))</f>
        <v/>
      </c>
      <c r="C36" s="1362">
        <f>IF($W36="","",IF($V36="L2",TEXT(N(Equipment!$B$30),"0")&amp;" V 1-ph",TEXT(Project!$B$29,"0")&amp;" V 3-ph"))</f>
        <v/>
      </c>
      <c r="D36" s="1363">
        <f>IF($W36="","",INDEX(Equipment!$G$7:$G$18,$W36))</f>
        <v/>
      </c>
      <c r="E36" s="1292" t="n"/>
      <c r="F36" s="1326" t="n"/>
      <c r="G36" s="1292" t="n"/>
      <c r="H36" s="1364">
        <f>IF($U36&lt;&gt;1,"",IF($E36="",N($D36),SUMIF($E$18:$E$47,$E36,$D$18:$D$47))*1000/(IF($V36="L2",N(Equipment!$B$30),Project!$B$29)*IF($V36="L2",1,SQRT(3))))</f>
        <v/>
      </c>
      <c r="I36" s="1364">
        <f>IF(N($H36)=0,"",N($H36)*1.25)</f>
        <v/>
      </c>
      <c r="J36" s="1364">
        <f>IF(N($I36)=0,"",IF(ISNUMBER(MATCH($I36,OCPD_LIST,0)),$I36,IF($I36&gt;MAX(OCPD_LIST),"ABOVE LIST",INDEX(OCPD_LIST,MATCH($I36,OCPD_LIST,1)+1))))</f>
        <v/>
      </c>
      <c r="K36" s="1362">
        <f>IF(OR(N($I36)=0,$B$10=""),"",IF(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gt;ROWS(SZ_SIZE),"PARALLEL SETS",INDEX(SZ_SIZE,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f>
        <v/>
      </c>
      <c r="L36" s="1292" t="n"/>
      <c r="M36" s="1326" t="n"/>
      <c r="N36" s="1364">
        <f>IF(OR(IF($L36&lt;&gt;"",$L36,$K36)="",IF($L36&lt;&gt;"",$L36,$K36)="PARALLEL SETS"),"",IFERROR(INDEX(SZ_AMP,MATCH(IF($L36&lt;&gt;"",$L36,$K36),SZ_SIZE,0))*IF(N($M36)&gt;0,N($M36),MAX(1,N(IFERROR(INDEX(SPEC_CIRC,MATCH(INDEX(Equipment!$C$7:$C$18,MAX(1,N($W36))),SPEC_SKU,0)),1)))),""))</f>
        <v/>
      </c>
      <c r="O36" s="1365">
        <f>IF(OR(N($N36)=0,N($F36)=0),"",IFERROR(IF($V36="L2",2,SQRT(3))*N($H36)/IF(N($M36)&gt;0,N($M36),MAX(1,N(IFERROR(INDEX(SPEC_CIRC,MATCH(INDEX(Equipment!$C$7:$C$18,MAX(1,N($W36))),SPEC_SKU,0)),1))))*N($F36)*INDEX(SZ_Z,MATCH(IF($L36&lt;&gt;"",$L36,$K36),SZ_SIZE,0))/1000/IF($V36="L2",N(Equipment!$B$30),Project!$B$29),""))</f>
        <v/>
      </c>
      <c r="P36" s="1362">
        <f>IF(N($J36)=0,"",IFERROR(INDEX(IF($B$6="Cu",EGC_CU,EGC_AL),MATCH($J36,EGC_OCPD,1)+IF(ISNUMBER(MATCH($J36,EGC_OCPD,0)),0,1)),""))</f>
        <v/>
      </c>
      <c r="Q36" s="1362">
        <f>IF(N($N36)=0,"",IFERROR(INDEX(IF($V36="L2",CND_2G,CND_3G),MATCH(IF($L36&lt;&gt;"",$L36,$K36),CND_SIZE,0)),""))</f>
        <v/>
      </c>
      <c r="R36" s="1292" t="n"/>
      <c r="S36" s="1366">
        <f>IF(OR($W36="",N($F36)=0,N($N36)=0),0,IFERROR(N($F36)*IF(N($M36)&gt;0,N($M36),MAX(1,N(IFERROR(INDEX(SPEC_CIRC,MATCH(INDEX(Equipment!$C$7:$C$18,MAX(1,N($W36))),SPEC_SKU,0)),1))))*IF($V36="L2",2,3)*INDEX(IF($B$6="Cu",WIRE_CU,WIRE_AL),MATCH(IF($L36&lt;&gt;"",$L36,$K36),WIRE_SIZE,0)),0)+IFERROR(N($F36)*IF(N($M36)&gt;0,N($M36),MAX(1,N(IFERROR(INDEX(SPEC_CIRC,MATCH(INDEX(Equipment!$C$7:$C$18,MAX(1,N($W36))),SPEC_SKU,0)),1))))*INDEX(IF($B$6="Cu",WIRE_CU,WIRE_AL),MATCH($P36,WIRE_SIZE,0)),0)+IFERROR(N($F36)*IF(N($M36)&gt;0,N($M36),MAX(1,N(IFERROR(INDEX(SPEC_CIRC,MATCH(INDEX(Equipment!$C$7:$C$18,MAX(1,N($W36))),SPEC_SKU,0)),1))))*INDEX(PVC_RATE,MATCH(IF($R36&lt;&gt;"",$R36,$Q36),PVC_SIZE,0)),0)+IF($V36="L2",0,IFERROR(N($F36)*INDEX(PVC_RATE,MATCH("(3/4"")",PVC_SIZE,0)),0)))</f>
        <v/>
      </c>
      <c r="T36" s="1367">
        <f>IF($W36="","",IF($U36=0,"shared — on circuit "&amp;$E36&amp;", sized and priced on its first unit",IF(N($F36)=0,"ENTER THE DISTANCE",IF($B$10="","SET THE DESIGN AMBIENT in block A — nothing on this row can be trusted until it is",IF(IF($L36&lt;&gt;"",$L36,$K36)="PARALLEL SETS","PARALLEL SETS NEEDED — no single conductor carries "&amp;TEXT(N($I36),"#,##0")&amp;" A within the drop allowance; enter sets in column M",IF(N($N36)=0,"no ampacity on file for the override size — NEC Table 310.16 does not list it",IF(N($N36)&lt;IF(N($J36)&gt;800,N($J36),N($I36)),"UNDERSIZED — "&amp;TEXT(N($N36),"#,##0")&amp;" A provided against a floor of "&amp;TEXT(IF(N($J36)&gt;800,N($J36),N($I36)),"#,##0")&amp;" A",IF(N($O36)&gt;$B$13,"ampacity OK but voltage drop "&amp;TEXT(N($O36),"0.0%")&amp;" exceeds the allowance — ADVISORY, upsize the override","OK — "&amp;IF(IF(N($M36)&gt;0,N($M36),MAX(1,N(IFERROR(INDEX(SPEC_CIRC,MATCH(INDEX(Equipment!$C$7:$C$18,MAX(1,N($W36))),SPEC_SKU,0)),1))))&gt;1,TEXT(IF(N($M36)&gt;0,N($M36),MAX(1,N(IFERROR(INDEX(SPEC_CIRC,MATCH(INDEX(Equipment!$C$7:$C$18,MAX(1,N($W36))),SPEC_SKU,0)),1)))),"0")&amp;" sets of ","")&amp;IF($L36&lt;&gt;"",$L36,$K36)&amp;IF($L36&lt;&gt;""," (override)","")&amp;", "&amp;TEXT(N($N36),"#,##0")&amp;" A against a "&amp;TEXT(IF(N($J36)&gt;800,N($J36),N($I36)),"#,##0")&amp;" A floor; drop "&amp;TEXT(N($O36),"0.0%")&amp;" (ADVISORY)"))))))))</f>
        <v/>
      </c>
      <c r="U36" s="1368">
        <f>IF($W36="",0,IF($E36="",1,IF(MATCH($E36,$E$18:$E$47,0)=19,1,0)))</f>
        <v/>
      </c>
      <c r="V36" s="1369">
        <f>IF($W36="","",IF(INDEX(Equipment!$E$7:$E$18,$W36)="level_2","L2",IF(INDEX(Equipment!$E$7:$E$18,$W36)="power_cabinet","CAB","DC")))</f>
        <v/>
      </c>
      <c r="W36" s="1368">
        <f>IF(N($B$50)&gt;=19,COUNTIF(Equipment!$S$7:$S$18,"&lt;19")+1,"")</f>
        <v/>
      </c>
      <c r="X36" s="1368">
        <f>IF($U36&lt;&gt;1,"",IF(N($M36)&gt;0,N($M36),MAX(1,N(IFERROR(INDEX(SPEC_CIRC,MATCH(INDEX(Equipment!$C$7:$C$18,MAX(1,N($W36))),SPEC_SKU,0)),1)))))</f>
        <v/>
      </c>
    </row>
    <row r="37" ht="27.5" customHeight="1" s="254">
      <c r="A37" s="1362">
        <f>IF($W37="","","Charger 20")</f>
        <v/>
      </c>
      <c r="B37" s="1362">
        <f>IF($W37="","","Line "&amp;$W37&amp;" · "&amp;INDEX(Equipment!$C$7:$C$18,$W37)&amp;" · "&amp;INDEX(Equipment!$B$7:$B$18,$W37)&amp;" · #"&amp;(20-INDEX(Equipment!$R$7:$R$18,$W37)+1)&amp;" of "&amp;INDEX(Equipment!$I$7:$I$18,$W37))</f>
        <v/>
      </c>
      <c r="C37" s="1362">
        <f>IF($W37="","",IF($V37="L2",TEXT(N(Equipment!$B$30),"0")&amp;" V 1-ph",TEXT(Project!$B$29,"0")&amp;" V 3-ph"))</f>
        <v/>
      </c>
      <c r="D37" s="1363">
        <f>IF($W37="","",INDEX(Equipment!$G$7:$G$18,$W37))</f>
        <v/>
      </c>
      <c r="E37" s="1292" t="n"/>
      <c r="F37" s="1326" t="n"/>
      <c r="G37" s="1292" t="n"/>
      <c r="H37" s="1364">
        <f>IF($U37&lt;&gt;1,"",IF($E37="",N($D37),SUMIF($E$18:$E$47,$E37,$D$18:$D$47))*1000/(IF($V37="L2",N(Equipment!$B$30),Project!$B$29)*IF($V37="L2",1,SQRT(3))))</f>
        <v/>
      </c>
      <c r="I37" s="1364">
        <f>IF(N($H37)=0,"",N($H37)*1.25)</f>
        <v/>
      </c>
      <c r="J37" s="1364">
        <f>IF(N($I37)=0,"",IF(ISNUMBER(MATCH($I37,OCPD_LIST,0)),$I37,IF($I37&gt;MAX(OCPD_LIST),"ABOVE LIST",INDEX(OCPD_LIST,MATCH($I37,OCPD_LIST,1)+1))))</f>
        <v/>
      </c>
      <c r="K37" s="1362">
        <f>IF(OR(N($I37)=0,$B$10=""),"",IF(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gt;ROWS(SZ_SIZE),"PARALLEL SETS",INDEX(SZ_SIZE,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f>
        <v/>
      </c>
      <c r="L37" s="1292" t="n"/>
      <c r="M37" s="1326" t="n"/>
      <c r="N37" s="1364">
        <f>IF(OR(IF($L37&lt;&gt;"",$L37,$K37)="",IF($L37&lt;&gt;"",$L37,$K37)="PARALLEL SETS"),"",IFERROR(INDEX(SZ_AMP,MATCH(IF($L37&lt;&gt;"",$L37,$K37),SZ_SIZE,0))*IF(N($M37)&gt;0,N($M37),MAX(1,N(IFERROR(INDEX(SPEC_CIRC,MATCH(INDEX(Equipment!$C$7:$C$18,MAX(1,N($W37))),SPEC_SKU,0)),1)))),""))</f>
        <v/>
      </c>
      <c r="O37" s="1365">
        <f>IF(OR(N($N37)=0,N($F37)=0),"",IFERROR(IF($V37="L2",2,SQRT(3))*N($H37)/IF(N($M37)&gt;0,N($M37),MAX(1,N(IFERROR(INDEX(SPEC_CIRC,MATCH(INDEX(Equipment!$C$7:$C$18,MAX(1,N($W37))),SPEC_SKU,0)),1))))*N($F37)*INDEX(SZ_Z,MATCH(IF($L37&lt;&gt;"",$L37,$K37),SZ_SIZE,0))/1000/IF($V37="L2",N(Equipment!$B$30),Project!$B$29),""))</f>
        <v/>
      </c>
      <c r="P37" s="1362">
        <f>IF(N($J37)=0,"",IFERROR(INDEX(IF($B$6="Cu",EGC_CU,EGC_AL),MATCH($J37,EGC_OCPD,1)+IF(ISNUMBER(MATCH($J37,EGC_OCPD,0)),0,1)),""))</f>
        <v/>
      </c>
      <c r="Q37" s="1362">
        <f>IF(N($N37)=0,"",IFERROR(INDEX(IF($V37="L2",CND_2G,CND_3G),MATCH(IF($L37&lt;&gt;"",$L37,$K37),CND_SIZE,0)),""))</f>
        <v/>
      </c>
      <c r="R37" s="1292" t="n"/>
      <c r="S37" s="1366">
        <f>IF(OR($W37="",N($F37)=0,N($N37)=0),0,IFERROR(N($F37)*IF(N($M37)&gt;0,N($M37),MAX(1,N(IFERROR(INDEX(SPEC_CIRC,MATCH(INDEX(Equipment!$C$7:$C$18,MAX(1,N($W37))),SPEC_SKU,0)),1))))*IF($V37="L2",2,3)*INDEX(IF($B$6="Cu",WIRE_CU,WIRE_AL),MATCH(IF($L37&lt;&gt;"",$L37,$K37),WIRE_SIZE,0)),0)+IFERROR(N($F37)*IF(N($M37)&gt;0,N($M37),MAX(1,N(IFERROR(INDEX(SPEC_CIRC,MATCH(INDEX(Equipment!$C$7:$C$18,MAX(1,N($W37))),SPEC_SKU,0)),1))))*INDEX(IF($B$6="Cu",WIRE_CU,WIRE_AL),MATCH($P37,WIRE_SIZE,0)),0)+IFERROR(N($F37)*IF(N($M37)&gt;0,N($M37),MAX(1,N(IFERROR(INDEX(SPEC_CIRC,MATCH(INDEX(Equipment!$C$7:$C$18,MAX(1,N($W37))),SPEC_SKU,0)),1))))*INDEX(PVC_RATE,MATCH(IF($R37&lt;&gt;"",$R37,$Q37),PVC_SIZE,0)),0)+IF($V37="L2",0,IFERROR(N($F37)*INDEX(PVC_RATE,MATCH("(3/4"")",PVC_SIZE,0)),0)))</f>
        <v/>
      </c>
      <c r="T37" s="1367">
        <f>IF($W37="","",IF($U37=0,"shared — on circuit "&amp;$E37&amp;", sized and priced on its first unit",IF(N($F37)=0,"ENTER THE DISTANCE",IF($B$10="","SET THE DESIGN AMBIENT in block A — nothing on this row can be trusted until it is",IF(IF($L37&lt;&gt;"",$L37,$K37)="PARALLEL SETS","PARALLEL SETS NEEDED — no single conductor carries "&amp;TEXT(N($I37),"#,##0")&amp;" A within the drop allowance; enter sets in column M",IF(N($N37)=0,"no ampacity on file for the override size — NEC Table 310.16 does not list it",IF(N($N37)&lt;IF(N($J37)&gt;800,N($J37),N($I37)),"UNDERSIZED — "&amp;TEXT(N($N37),"#,##0")&amp;" A provided against a floor of "&amp;TEXT(IF(N($J37)&gt;800,N($J37),N($I37)),"#,##0")&amp;" A",IF(N($O37)&gt;$B$13,"ampacity OK but voltage drop "&amp;TEXT(N($O37),"0.0%")&amp;" exceeds the allowance — ADVISORY, upsize the override","OK — "&amp;IF(IF(N($M37)&gt;0,N($M37),MAX(1,N(IFERROR(INDEX(SPEC_CIRC,MATCH(INDEX(Equipment!$C$7:$C$18,MAX(1,N($W37))),SPEC_SKU,0)),1))))&gt;1,TEXT(IF(N($M37)&gt;0,N($M37),MAX(1,N(IFERROR(INDEX(SPEC_CIRC,MATCH(INDEX(Equipment!$C$7:$C$18,MAX(1,N($W37))),SPEC_SKU,0)),1)))),"0")&amp;" sets of ","")&amp;IF($L37&lt;&gt;"",$L37,$K37)&amp;IF($L37&lt;&gt;""," (override)","")&amp;", "&amp;TEXT(N($N37),"#,##0")&amp;" A against a "&amp;TEXT(IF(N($J37)&gt;800,N($J37),N($I37)),"#,##0")&amp;" A floor; drop "&amp;TEXT(N($O37),"0.0%")&amp;" (ADVISORY)"))))))))</f>
        <v/>
      </c>
      <c r="U37" s="1368">
        <f>IF($W37="",0,IF($E37="",1,IF(MATCH($E37,$E$18:$E$47,0)=20,1,0)))</f>
        <v/>
      </c>
      <c r="V37" s="1369">
        <f>IF($W37="","",IF(INDEX(Equipment!$E$7:$E$18,$W37)="level_2","L2",IF(INDEX(Equipment!$E$7:$E$18,$W37)="power_cabinet","CAB","DC")))</f>
        <v/>
      </c>
      <c r="W37" s="1368">
        <f>IF(N($B$50)&gt;=20,COUNTIF(Equipment!$S$7:$S$18,"&lt;20")+1,"")</f>
        <v/>
      </c>
      <c r="X37" s="1368">
        <f>IF($U37&lt;&gt;1,"",IF(N($M37)&gt;0,N($M37),MAX(1,N(IFERROR(INDEX(SPEC_CIRC,MATCH(INDEX(Equipment!$C$7:$C$18,MAX(1,N($W37))),SPEC_SKU,0)),1)))))</f>
        <v/>
      </c>
    </row>
    <row r="38" ht="27.5" customHeight="1" s="254">
      <c r="A38" s="1362">
        <f>IF($W38="","","Charger 21")</f>
        <v/>
      </c>
      <c r="B38" s="1362">
        <f>IF($W38="","","Line "&amp;$W38&amp;" · "&amp;INDEX(Equipment!$C$7:$C$18,$W38)&amp;" · "&amp;INDEX(Equipment!$B$7:$B$18,$W38)&amp;" · #"&amp;(21-INDEX(Equipment!$R$7:$R$18,$W38)+1)&amp;" of "&amp;INDEX(Equipment!$I$7:$I$18,$W38))</f>
        <v/>
      </c>
      <c r="C38" s="1362">
        <f>IF($W38="","",IF($V38="L2",TEXT(N(Equipment!$B$30),"0")&amp;" V 1-ph",TEXT(Project!$B$29,"0")&amp;" V 3-ph"))</f>
        <v/>
      </c>
      <c r="D38" s="1363">
        <f>IF($W38="","",INDEX(Equipment!$G$7:$G$18,$W38))</f>
        <v/>
      </c>
      <c r="E38" s="1292" t="n"/>
      <c r="F38" s="1326" t="n"/>
      <c r="G38" s="1292" t="n"/>
      <c r="H38" s="1364">
        <f>IF($U38&lt;&gt;1,"",IF($E38="",N($D38),SUMIF($E$18:$E$47,$E38,$D$18:$D$47))*1000/(IF($V38="L2",N(Equipment!$B$30),Project!$B$29)*IF($V38="L2",1,SQRT(3))))</f>
        <v/>
      </c>
      <c r="I38" s="1364">
        <f>IF(N($H38)=0,"",N($H38)*1.25)</f>
        <v/>
      </c>
      <c r="J38" s="1364">
        <f>IF(N($I38)=0,"",IF(ISNUMBER(MATCH($I38,OCPD_LIST,0)),$I38,IF($I38&gt;MAX(OCPD_LIST),"ABOVE LIST",INDEX(OCPD_LIST,MATCH($I38,OCPD_LIST,1)+1))))</f>
        <v/>
      </c>
      <c r="K38" s="1362">
        <f>IF(OR(N($I38)=0,$B$10=""),"",IF(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gt;ROWS(SZ_SIZE),"PARALLEL SETS",INDEX(SZ_SIZE,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f>
        <v/>
      </c>
      <c r="L38" s="1292" t="n"/>
      <c r="M38" s="1326" t="n"/>
      <c r="N38" s="1364">
        <f>IF(OR(IF($L38&lt;&gt;"",$L38,$K38)="",IF($L38&lt;&gt;"",$L38,$K38)="PARALLEL SETS"),"",IFERROR(INDEX(SZ_AMP,MATCH(IF($L38&lt;&gt;"",$L38,$K38),SZ_SIZE,0))*IF(N($M38)&gt;0,N($M38),MAX(1,N(IFERROR(INDEX(SPEC_CIRC,MATCH(INDEX(Equipment!$C$7:$C$18,MAX(1,N($W38))),SPEC_SKU,0)),1)))),""))</f>
        <v/>
      </c>
      <c r="O38" s="1365">
        <f>IF(OR(N($N38)=0,N($F38)=0),"",IFERROR(IF($V38="L2",2,SQRT(3))*N($H38)/IF(N($M38)&gt;0,N($M38),MAX(1,N(IFERROR(INDEX(SPEC_CIRC,MATCH(INDEX(Equipment!$C$7:$C$18,MAX(1,N($W38))),SPEC_SKU,0)),1))))*N($F38)*INDEX(SZ_Z,MATCH(IF($L38&lt;&gt;"",$L38,$K38),SZ_SIZE,0))/1000/IF($V38="L2",N(Equipment!$B$30),Project!$B$29),""))</f>
        <v/>
      </c>
      <c r="P38" s="1362">
        <f>IF(N($J38)=0,"",IFERROR(INDEX(IF($B$6="Cu",EGC_CU,EGC_AL),MATCH($J38,EGC_OCPD,1)+IF(ISNUMBER(MATCH($J38,EGC_OCPD,0)),0,1)),""))</f>
        <v/>
      </c>
      <c r="Q38" s="1362">
        <f>IF(N($N38)=0,"",IFERROR(INDEX(IF($V38="L2",CND_2G,CND_3G),MATCH(IF($L38&lt;&gt;"",$L38,$K38),CND_SIZE,0)),""))</f>
        <v/>
      </c>
      <c r="R38" s="1292" t="n"/>
      <c r="S38" s="1366">
        <f>IF(OR($W38="",N($F38)=0,N($N38)=0),0,IFERROR(N($F38)*IF(N($M38)&gt;0,N($M38),MAX(1,N(IFERROR(INDEX(SPEC_CIRC,MATCH(INDEX(Equipment!$C$7:$C$18,MAX(1,N($W38))),SPEC_SKU,0)),1))))*IF($V38="L2",2,3)*INDEX(IF($B$6="Cu",WIRE_CU,WIRE_AL),MATCH(IF($L38&lt;&gt;"",$L38,$K38),WIRE_SIZE,0)),0)+IFERROR(N($F38)*IF(N($M38)&gt;0,N($M38),MAX(1,N(IFERROR(INDEX(SPEC_CIRC,MATCH(INDEX(Equipment!$C$7:$C$18,MAX(1,N($W38))),SPEC_SKU,0)),1))))*INDEX(IF($B$6="Cu",WIRE_CU,WIRE_AL),MATCH($P38,WIRE_SIZE,0)),0)+IFERROR(N($F38)*IF(N($M38)&gt;0,N($M38),MAX(1,N(IFERROR(INDEX(SPEC_CIRC,MATCH(INDEX(Equipment!$C$7:$C$18,MAX(1,N($W38))),SPEC_SKU,0)),1))))*INDEX(PVC_RATE,MATCH(IF($R38&lt;&gt;"",$R38,$Q38),PVC_SIZE,0)),0)+IF($V38="L2",0,IFERROR(N($F38)*INDEX(PVC_RATE,MATCH("(3/4"")",PVC_SIZE,0)),0)))</f>
        <v/>
      </c>
      <c r="T38" s="1367">
        <f>IF($W38="","",IF($U38=0,"shared — on circuit "&amp;$E38&amp;", sized and priced on its first unit",IF(N($F38)=0,"ENTER THE DISTANCE",IF($B$10="","SET THE DESIGN AMBIENT in block A — nothing on this row can be trusted until it is",IF(IF($L38&lt;&gt;"",$L38,$K38)="PARALLEL SETS","PARALLEL SETS NEEDED — no single conductor carries "&amp;TEXT(N($I38),"#,##0")&amp;" A within the drop allowance; enter sets in column M",IF(N($N38)=0,"no ampacity on file for the override size — NEC Table 310.16 does not list it",IF(N($N38)&lt;IF(N($J38)&gt;800,N($J38),N($I38)),"UNDERSIZED — "&amp;TEXT(N($N38),"#,##0")&amp;" A provided against a floor of "&amp;TEXT(IF(N($J38)&gt;800,N($J38),N($I38)),"#,##0")&amp;" A",IF(N($O38)&gt;$B$13,"ampacity OK but voltage drop "&amp;TEXT(N($O38),"0.0%")&amp;" exceeds the allowance — ADVISORY, upsize the override","OK — "&amp;IF(IF(N($M38)&gt;0,N($M38),MAX(1,N(IFERROR(INDEX(SPEC_CIRC,MATCH(INDEX(Equipment!$C$7:$C$18,MAX(1,N($W38))),SPEC_SKU,0)),1))))&gt;1,TEXT(IF(N($M38)&gt;0,N($M38),MAX(1,N(IFERROR(INDEX(SPEC_CIRC,MATCH(INDEX(Equipment!$C$7:$C$18,MAX(1,N($W38))),SPEC_SKU,0)),1)))),"0")&amp;" sets of ","")&amp;IF($L38&lt;&gt;"",$L38,$K38)&amp;IF($L38&lt;&gt;""," (override)","")&amp;", "&amp;TEXT(N($N38),"#,##0")&amp;" A against a "&amp;TEXT(IF(N($J38)&gt;800,N($J38),N($I38)),"#,##0")&amp;" A floor; drop "&amp;TEXT(N($O38),"0.0%")&amp;" (ADVISORY)"))))))))</f>
        <v/>
      </c>
      <c r="U38" s="1368">
        <f>IF($W38="",0,IF($E38="",1,IF(MATCH($E38,$E$18:$E$47,0)=21,1,0)))</f>
        <v/>
      </c>
      <c r="V38" s="1369">
        <f>IF($W38="","",IF(INDEX(Equipment!$E$7:$E$18,$W38)="level_2","L2",IF(INDEX(Equipment!$E$7:$E$18,$W38)="power_cabinet","CAB","DC")))</f>
        <v/>
      </c>
      <c r="W38" s="1368">
        <f>IF(N($B$50)&gt;=21,COUNTIF(Equipment!$S$7:$S$18,"&lt;21")+1,"")</f>
        <v/>
      </c>
      <c r="X38" s="1368">
        <f>IF($U38&lt;&gt;1,"",IF(N($M38)&gt;0,N($M38),MAX(1,N(IFERROR(INDEX(SPEC_CIRC,MATCH(INDEX(Equipment!$C$7:$C$18,MAX(1,N($W38))),SPEC_SKU,0)),1)))))</f>
        <v/>
      </c>
    </row>
    <row r="39" ht="27.5" customHeight="1" s="254">
      <c r="A39" s="1362">
        <f>IF($W39="","","Charger 22")</f>
        <v/>
      </c>
      <c r="B39" s="1362">
        <f>IF($W39="","","Line "&amp;$W39&amp;" · "&amp;INDEX(Equipment!$C$7:$C$18,$W39)&amp;" · "&amp;INDEX(Equipment!$B$7:$B$18,$W39)&amp;" · #"&amp;(22-INDEX(Equipment!$R$7:$R$18,$W39)+1)&amp;" of "&amp;INDEX(Equipment!$I$7:$I$18,$W39))</f>
        <v/>
      </c>
      <c r="C39" s="1362">
        <f>IF($W39="","",IF($V39="L2",TEXT(N(Equipment!$B$30),"0")&amp;" V 1-ph",TEXT(Project!$B$29,"0")&amp;" V 3-ph"))</f>
        <v/>
      </c>
      <c r="D39" s="1363">
        <f>IF($W39="","",INDEX(Equipment!$G$7:$G$18,$W39))</f>
        <v/>
      </c>
      <c r="E39" s="1292" t="n"/>
      <c r="F39" s="1326" t="n"/>
      <c r="G39" s="1292" t="n"/>
      <c r="H39" s="1364">
        <f>IF($U39&lt;&gt;1,"",IF($E39="",N($D39),SUMIF($E$18:$E$47,$E39,$D$18:$D$47))*1000/(IF($V39="L2",N(Equipment!$B$30),Project!$B$29)*IF($V39="L2",1,SQRT(3))))</f>
        <v/>
      </c>
      <c r="I39" s="1364">
        <f>IF(N($H39)=0,"",N($H39)*1.25)</f>
        <v/>
      </c>
      <c r="J39" s="1364">
        <f>IF(N($I39)=0,"",IF(ISNUMBER(MATCH($I39,OCPD_LIST,0)),$I39,IF($I39&gt;MAX(OCPD_LIST),"ABOVE LIST",INDEX(OCPD_LIST,MATCH($I39,OCPD_LIST,1)+1))))</f>
        <v/>
      </c>
      <c r="K39" s="1362">
        <f>IF(OR(N($I39)=0,$B$10=""),"",IF(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gt;ROWS(SZ_SIZE),"PARALLEL SETS",INDEX(SZ_SIZE,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f>
        <v/>
      </c>
      <c r="L39" s="1292" t="n"/>
      <c r="M39" s="1326" t="n"/>
      <c r="N39" s="1364">
        <f>IF(OR(IF($L39&lt;&gt;"",$L39,$K39)="",IF($L39&lt;&gt;"",$L39,$K39)="PARALLEL SETS"),"",IFERROR(INDEX(SZ_AMP,MATCH(IF($L39&lt;&gt;"",$L39,$K39),SZ_SIZE,0))*IF(N($M39)&gt;0,N($M39),MAX(1,N(IFERROR(INDEX(SPEC_CIRC,MATCH(INDEX(Equipment!$C$7:$C$18,MAX(1,N($W39))),SPEC_SKU,0)),1)))),""))</f>
        <v/>
      </c>
      <c r="O39" s="1365">
        <f>IF(OR(N($N39)=0,N($F39)=0),"",IFERROR(IF($V39="L2",2,SQRT(3))*N($H39)/IF(N($M39)&gt;0,N($M39),MAX(1,N(IFERROR(INDEX(SPEC_CIRC,MATCH(INDEX(Equipment!$C$7:$C$18,MAX(1,N($W39))),SPEC_SKU,0)),1))))*N($F39)*INDEX(SZ_Z,MATCH(IF($L39&lt;&gt;"",$L39,$K39),SZ_SIZE,0))/1000/IF($V39="L2",N(Equipment!$B$30),Project!$B$29),""))</f>
        <v/>
      </c>
      <c r="P39" s="1362">
        <f>IF(N($J39)=0,"",IFERROR(INDEX(IF($B$6="Cu",EGC_CU,EGC_AL),MATCH($J39,EGC_OCPD,1)+IF(ISNUMBER(MATCH($J39,EGC_OCPD,0)),0,1)),""))</f>
        <v/>
      </c>
      <c r="Q39" s="1362">
        <f>IF(N($N39)=0,"",IFERROR(INDEX(IF($V39="L2",CND_2G,CND_3G),MATCH(IF($L39&lt;&gt;"",$L39,$K39),CND_SIZE,0)),""))</f>
        <v/>
      </c>
      <c r="R39" s="1292" t="n"/>
      <c r="S39" s="1366">
        <f>IF(OR($W39="",N($F39)=0,N($N39)=0),0,IFERROR(N($F39)*IF(N($M39)&gt;0,N($M39),MAX(1,N(IFERROR(INDEX(SPEC_CIRC,MATCH(INDEX(Equipment!$C$7:$C$18,MAX(1,N($W39))),SPEC_SKU,0)),1))))*IF($V39="L2",2,3)*INDEX(IF($B$6="Cu",WIRE_CU,WIRE_AL),MATCH(IF($L39&lt;&gt;"",$L39,$K39),WIRE_SIZE,0)),0)+IFERROR(N($F39)*IF(N($M39)&gt;0,N($M39),MAX(1,N(IFERROR(INDEX(SPEC_CIRC,MATCH(INDEX(Equipment!$C$7:$C$18,MAX(1,N($W39))),SPEC_SKU,0)),1))))*INDEX(IF($B$6="Cu",WIRE_CU,WIRE_AL),MATCH($P39,WIRE_SIZE,0)),0)+IFERROR(N($F39)*IF(N($M39)&gt;0,N($M39),MAX(1,N(IFERROR(INDEX(SPEC_CIRC,MATCH(INDEX(Equipment!$C$7:$C$18,MAX(1,N($W39))),SPEC_SKU,0)),1))))*INDEX(PVC_RATE,MATCH(IF($R39&lt;&gt;"",$R39,$Q39),PVC_SIZE,0)),0)+IF($V39="L2",0,IFERROR(N($F39)*INDEX(PVC_RATE,MATCH("(3/4"")",PVC_SIZE,0)),0)))</f>
        <v/>
      </c>
      <c r="T39" s="1367">
        <f>IF($W39="","",IF($U39=0,"shared — on circuit "&amp;$E39&amp;", sized and priced on its first unit",IF(N($F39)=0,"ENTER THE DISTANCE",IF($B$10="","SET THE DESIGN AMBIENT in block A — nothing on this row can be trusted until it is",IF(IF($L39&lt;&gt;"",$L39,$K39)="PARALLEL SETS","PARALLEL SETS NEEDED — no single conductor carries "&amp;TEXT(N($I39),"#,##0")&amp;" A within the drop allowance; enter sets in column M",IF(N($N39)=0,"no ampacity on file for the override size — NEC Table 310.16 does not list it",IF(N($N39)&lt;IF(N($J39)&gt;800,N($J39),N($I39)),"UNDERSIZED — "&amp;TEXT(N($N39),"#,##0")&amp;" A provided against a floor of "&amp;TEXT(IF(N($J39)&gt;800,N($J39),N($I39)),"#,##0")&amp;" A",IF(N($O39)&gt;$B$13,"ampacity OK but voltage drop "&amp;TEXT(N($O39),"0.0%")&amp;" exceeds the allowance — ADVISORY, upsize the override","OK — "&amp;IF(IF(N($M39)&gt;0,N($M39),MAX(1,N(IFERROR(INDEX(SPEC_CIRC,MATCH(INDEX(Equipment!$C$7:$C$18,MAX(1,N($W39))),SPEC_SKU,0)),1))))&gt;1,TEXT(IF(N($M39)&gt;0,N($M39),MAX(1,N(IFERROR(INDEX(SPEC_CIRC,MATCH(INDEX(Equipment!$C$7:$C$18,MAX(1,N($W39))),SPEC_SKU,0)),1)))),"0")&amp;" sets of ","")&amp;IF($L39&lt;&gt;"",$L39,$K39)&amp;IF($L39&lt;&gt;""," (override)","")&amp;", "&amp;TEXT(N($N39),"#,##0")&amp;" A against a "&amp;TEXT(IF(N($J39)&gt;800,N($J39),N($I39)),"#,##0")&amp;" A floor; drop "&amp;TEXT(N($O39),"0.0%")&amp;" (ADVISORY)"))))))))</f>
        <v/>
      </c>
      <c r="U39" s="1368">
        <f>IF($W39="",0,IF($E39="",1,IF(MATCH($E39,$E$18:$E$47,0)=22,1,0)))</f>
        <v/>
      </c>
      <c r="V39" s="1369">
        <f>IF($W39="","",IF(INDEX(Equipment!$E$7:$E$18,$W39)="level_2","L2",IF(INDEX(Equipment!$E$7:$E$18,$W39)="power_cabinet","CAB","DC")))</f>
        <v/>
      </c>
      <c r="W39" s="1368">
        <f>IF(N($B$50)&gt;=22,COUNTIF(Equipment!$S$7:$S$18,"&lt;22")+1,"")</f>
        <v/>
      </c>
      <c r="X39" s="1368">
        <f>IF($U39&lt;&gt;1,"",IF(N($M39)&gt;0,N($M39),MAX(1,N(IFERROR(INDEX(SPEC_CIRC,MATCH(INDEX(Equipment!$C$7:$C$18,MAX(1,N($W39))),SPEC_SKU,0)),1)))))</f>
        <v/>
      </c>
    </row>
    <row r="40" ht="27.5" customHeight="1" s="254">
      <c r="A40" s="1362">
        <f>IF($W40="","","Charger 23")</f>
        <v/>
      </c>
      <c r="B40" s="1362">
        <f>IF($W40="","","Line "&amp;$W40&amp;" · "&amp;INDEX(Equipment!$C$7:$C$18,$W40)&amp;" · "&amp;INDEX(Equipment!$B$7:$B$18,$W40)&amp;" · #"&amp;(23-INDEX(Equipment!$R$7:$R$18,$W40)+1)&amp;" of "&amp;INDEX(Equipment!$I$7:$I$18,$W40))</f>
        <v/>
      </c>
      <c r="C40" s="1362">
        <f>IF($W40="","",IF($V40="L2",TEXT(N(Equipment!$B$30),"0")&amp;" V 1-ph",TEXT(Project!$B$29,"0")&amp;" V 3-ph"))</f>
        <v/>
      </c>
      <c r="D40" s="1363">
        <f>IF($W40="","",INDEX(Equipment!$G$7:$G$18,$W40))</f>
        <v/>
      </c>
      <c r="E40" s="1292" t="n"/>
      <c r="F40" s="1326" t="n"/>
      <c r="G40" s="1292" t="n"/>
      <c r="H40" s="1364">
        <f>IF($U40&lt;&gt;1,"",IF($E40="",N($D40),SUMIF($E$18:$E$47,$E40,$D$18:$D$47))*1000/(IF($V40="L2",N(Equipment!$B$30),Project!$B$29)*IF($V40="L2",1,SQRT(3))))</f>
        <v/>
      </c>
      <c r="I40" s="1364">
        <f>IF(N($H40)=0,"",N($H40)*1.25)</f>
        <v/>
      </c>
      <c r="J40" s="1364">
        <f>IF(N($I40)=0,"",IF(ISNUMBER(MATCH($I40,OCPD_LIST,0)),$I40,IF($I40&gt;MAX(OCPD_LIST),"ABOVE LIST",INDEX(OCPD_LIST,MATCH($I40,OCPD_LIST,1)+1))))</f>
        <v/>
      </c>
      <c r="K40" s="1362">
        <f>IF(OR(N($I40)=0,$B$10=""),"",IF(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gt;ROWS(SZ_SIZE),"PARALLEL SETS",INDEX(SZ_SIZE,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f>
        <v/>
      </c>
      <c r="L40" s="1292" t="n"/>
      <c r="M40" s="1326" t="n"/>
      <c r="N40" s="1364">
        <f>IF(OR(IF($L40&lt;&gt;"",$L40,$K40)="",IF($L40&lt;&gt;"",$L40,$K40)="PARALLEL SETS"),"",IFERROR(INDEX(SZ_AMP,MATCH(IF($L40&lt;&gt;"",$L40,$K40),SZ_SIZE,0))*IF(N($M40)&gt;0,N($M40),MAX(1,N(IFERROR(INDEX(SPEC_CIRC,MATCH(INDEX(Equipment!$C$7:$C$18,MAX(1,N($W40))),SPEC_SKU,0)),1)))),""))</f>
        <v/>
      </c>
      <c r="O40" s="1365">
        <f>IF(OR(N($N40)=0,N($F40)=0),"",IFERROR(IF($V40="L2",2,SQRT(3))*N($H40)/IF(N($M40)&gt;0,N($M40),MAX(1,N(IFERROR(INDEX(SPEC_CIRC,MATCH(INDEX(Equipment!$C$7:$C$18,MAX(1,N($W40))),SPEC_SKU,0)),1))))*N($F40)*INDEX(SZ_Z,MATCH(IF($L40&lt;&gt;"",$L40,$K40),SZ_SIZE,0))/1000/IF($V40="L2",N(Equipment!$B$30),Project!$B$29),""))</f>
        <v/>
      </c>
      <c r="P40" s="1362">
        <f>IF(N($J40)=0,"",IFERROR(INDEX(IF($B$6="Cu",EGC_CU,EGC_AL),MATCH($J40,EGC_OCPD,1)+IF(ISNUMBER(MATCH($J40,EGC_OCPD,0)),0,1)),""))</f>
        <v/>
      </c>
      <c r="Q40" s="1362">
        <f>IF(N($N40)=0,"",IFERROR(INDEX(IF($V40="L2",CND_2G,CND_3G),MATCH(IF($L40&lt;&gt;"",$L40,$K40),CND_SIZE,0)),""))</f>
        <v/>
      </c>
      <c r="R40" s="1292" t="n"/>
      <c r="S40" s="1366">
        <f>IF(OR($W40="",N($F40)=0,N($N40)=0),0,IFERROR(N($F40)*IF(N($M40)&gt;0,N($M40),MAX(1,N(IFERROR(INDEX(SPEC_CIRC,MATCH(INDEX(Equipment!$C$7:$C$18,MAX(1,N($W40))),SPEC_SKU,0)),1))))*IF($V40="L2",2,3)*INDEX(IF($B$6="Cu",WIRE_CU,WIRE_AL),MATCH(IF($L40&lt;&gt;"",$L40,$K40),WIRE_SIZE,0)),0)+IFERROR(N($F40)*IF(N($M40)&gt;0,N($M40),MAX(1,N(IFERROR(INDEX(SPEC_CIRC,MATCH(INDEX(Equipment!$C$7:$C$18,MAX(1,N($W40))),SPEC_SKU,0)),1))))*INDEX(IF($B$6="Cu",WIRE_CU,WIRE_AL),MATCH($P40,WIRE_SIZE,0)),0)+IFERROR(N($F40)*IF(N($M40)&gt;0,N($M40),MAX(1,N(IFERROR(INDEX(SPEC_CIRC,MATCH(INDEX(Equipment!$C$7:$C$18,MAX(1,N($W40))),SPEC_SKU,0)),1))))*INDEX(PVC_RATE,MATCH(IF($R40&lt;&gt;"",$R40,$Q40),PVC_SIZE,0)),0)+IF($V40="L2",0,IFERROR(N($F40)*INDEX(PVC_RATE,MATCH("(3/4"")",PVC_SIZE,0)),0)))</f>
        <v/>
      </c>
      <c r="T40" s="1367">
        <f>IF($W40="","",IF($U40=0,"shared — on circuit "&amp;$E40&amp;", sized and priced on its first unit",IF(N($F40)=0,"ENTER THE DISTANCE",IF($B$10="","SET THE DESIGN AMBIENT in block A — nothing on this row can be trusted until it is",IF(IF($L40&lt;&gt;"",$L40,$K40)="PARALLEL SETS","PARALLEL SETS NEEDED — no single conductor carries "&amp;TEXT(N($I40),"#,##0")&amp;" A within the drop allowance; enter sets in column M",IF(N($N40)=0,"no ampacity on file for the override size — NEC Table 310.16 does not list it",IF(N($N40)&lt;IF(N($J40)&gt;800,N($J40),N($I40)),"UNDERSIZED — "&amp;TEXT(N($N40),"#,##0")&amp;" A provided against a floor of "&amp;TEXT(IF(N($J40)&gt;800,N($J40),N($I40)),"#,##0")&amp;" A",IF(N($O40)&gt;$B$13,"ampacity OK but voltage drop "&amp;TEXT(N($O40),"0.0%")&amp;" exceeds the allowance — ADVISORY, upsize the override","OK — "&amp;IF(IF(N($M40)&gt;0,N($M40),MAX(1,N(IFERROR(INDEX(SPEC_CIRC,MATCH(INDEX(Equipment!$C$7:$C$18,MAX(1,N($W40))),SPEC_SKU,0)),1))))&gt;1,TEXT(IF(N($M40)&gt;0,N($M40),MAX(1,N(IFERROR(INDEX(SPEC_CIRC,MATCH(INDEX(Equipment!$C$7:$C$18,MAX(1,N($W40))),SPEC_SKU,0)),1)))),"0")&amp;" sets of ","")&amp;IF($L40&lt;&gt;"",$L40,$K40)&amp;IF($L40&lt;&gt;""," (override)","")&amp;", "&amp;TEXT(N($N40),"#,##0")&amp;" A against a "&amp;TEXT(IF(N($J40)&gt;800,N($J40),N($I40)),"#,##0")&amp;" A floor; drop "&amp;TEXT(N($O40),"0.0%")&amp;" (ADVISORY)"))))))))</f>
        <v/>
      </c>
      <c r="U40" s="1368">
        <f>IF($W40="",0,IF($E40="",1,IF(MATCH($E40,$E$18:$E$47,0)=23,1,0)))</f>
        <v/>
      </c>
      <c r="V40" s="1369">
        <f>IF($W40="","",IF(INDEX(Equipment!$E$7:$E$18,$W40)="level_2","L2",IF(INDEX(Equipment!$E$7:$E$18,$W40)="power_cabinet","CAB","DC")))</f>
        <v/>
      </c>
      <c r="W40" s="1368">
        <f>IF(N($B$50)&gt;=23,COUNTIF(Equipment!$S$7:$S$18,"&lt;23")+1,"")</f>
        <v/>
      </c>
      <c r="X40" s="1368">
        <f>IF($U40&lt;&gt;1,"",IF(N($M40)&gt;0,N($M40),MAX(1,N(IFERROR(INDEX(SPEC_CIRC,MATCH(INDEX(Equipment!$C$7:$C$18,MAX(1,N($W40))),SPEC_SKU,0)),1)))))</f>
        <v/>
      </c>
    </row>
    <row r="41" ht="27.5" customHeight="1" s="254">
      <c r="A41" s="1362">
        <f>IF($W41="","","Charger 24")</f>
        <v/>
      </c>
      <c r="B41" s="1362">
        <f>IF($W41="","","Line "&amp;$W41&amp;" · "&amp;INDEX(Equipment!$C$7:$C$18,$W41)&amp;" · "&amp;INDEX(Equipment!$B$7:$B$18,$W41)&amp;" · #"&amp;(24-INDEX(Equipment!$R$7:$R$18,$W41)+1)&amp;" of "&amp;INDEX(Equipment!$I$7:$I$18,$W41))</f>
        <v/>
      </c>
      <c r="C41" s="1362">
        <f>IF($W41="","",IF($V41="L2",TEXT(N(Equipment!$B$30),"0")&amp;" V 1-ph",TEXT(Project!$B$29,"0")&amp;" V 3-ph"))</f>
        <v/>
      </c>
      <c r="D41" s="1363">
        <f>IF($W41="","",INDEX(Equipment!$G$7:$G$18,$W41))</f>
        <v/>
      </c>
      <c r="E41" s="1292" t="n"/>
      <c r="F41" s="1326" t="n"/>
      <c r="G41" s="1292" t="n"/>
      <c r="H41" s="1364">
        <f>IF($U41&lt;&gt;1,"",IF($E41="",N($D41),SUMIF($E$18:$E$47,$E41,$D$18:$D$47))*1000/(IF($V41="L2",N(Equipment!$B$30),Project!$B$29)*IF($V41="L2",1,SQRT(3))))</f>
        <v/>
      </c>
      <c r="I41" s="1364">
        <f>IF(N($H41)=0,"",N($H41)*1.25)</f>
        <v/>
      </c>
      <c r="J41" s="1364">
        <f>IF(N($I41)=0,"",IF(ISNUMBER(MATCH($I41,OCPD_LIST,0)),$I41,IF($I41&gt;MAX(OCPD_LIST),"ABOVE LIST",INDEX(OCPD_LIST,MATCH($I41,OCPD_LIST,1)+1))))</f>
        <v/>
      </c>
      <c r="K41" s="1362">
        <f>IF(OR(N($I41)=0,$B$10=""),"",IF(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gt;ROWS(SZ_SIZE),"PARALLEL SETS",INDEX(SZ_SIZE,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f>
        <v/>
      </c>
      <c r="L41" s="1292" t="n"/>
      <c r="M41" s="1326" t="n"/>
      <c r="N41" s="1364">
        <f>IF(OR(IF($L41&lt;&gt;"",$L41,$K41)="",IF($L41&lt;&gt;"",$L41,$K41)="PARALLEL SETS"),"",IFERROR(INDEX(SZ_AMP,MATCH(IF($L41&lt;&gt;"",$L41,$K41),SZ_SIZE,0))*IF(N($M41)&gt;0,N($M41),MAX(1,N(IFERROR(INDEX(SPEC_CIRC,MATCH(INDEX(Equipment!$C$7:$C$18,MAX(1,N($W41))),SPEC_SKU,0)),1)))),""))</f>
        <v/>
      </c>
      <c r="O41" s="1365">
        <f>IF(OR(N($N41)=0,N($F41)=0),"",IFERROR(IF($V41="L2",2,SQRT(3))*N($H41)/IF(N($M41)&gt;0,N($M41),MAX(1,N(IFERROR(INDEX(SPEC_CIRC,MATCH(INDEX(Equipment!$C$7:$C$18,MAX(1,N($W41))),SPEC_SKU,0)),1))))*N($F41)*INDEX(SZ_Z,MATCH(IF($L41&lt;&gt;"",$L41,$K41),SZ_SIZE,0))/1000/IF($V41="L2",N(Equipment!$B$30),Project!$B$29),""))</f>
        <v/>
      </c>
      <c r="P41" s="1362">
        <f>IF(N($J41)=0,"",IFERROR(INDEX(IF($B$6="Cu",EGC_CU,EGC_AL),MATCH($J41,EGC_OCPD,1)+IF(ISNUMBER(MATCH($J41,EGC_OCPD,0)),0,1)),""))</f>
        <v/>
      </c>
      <c r="Q41" s="1362">
        <f>IF(N($N41)=0,"",IFERROR(INDEX(IF($V41="L2",CND_2G,CND_3G),MATCH(IF($L41&lt;&gt;"",$L41,$K41),CND_SIZE,0)),""))</f>
        <v/>
      </c>
      <c r="R41" s="1292" t="n"/>
      <c r="S41" s="1366">
        <f>IF(OR($W41="",N($F41)=0,N($N41)=0),0,IFERROR(N($F41)*IF(N($M41)&gt;0,N($M41),MAX(1,N(IFERROR(INDEX(SPEC_CIRC,MATCH(INDEX(Equipment!$C$7:$C$18,MAX(1,N($W41))),SPEC_SKU,0)),1))))*IF($V41="L2",2,3)*INDEX(IF($B$6="Cu",WIRE_CU,WIRE_AL),MATCH(IF($L41&lt;&gt;"",$L41,$K41),WIRE_SIZE,0)),0)+IFERROR(N($F41)*IF(N($M41)&gt;0,N($M41),MAX(1,N(IFERROR(INDEX(SPEC_CIRC,MATCH(INDEX(Equipment!$C$7:$C$18,MAX(1,N($W41))),SPEC_SKU,0)),1))))*INDEX(IF($B$6="Cu",WIRE_CU,WIRE_AL),MATCH($P41,WIRE_SIZE,0)),0)+IFERROR(N($F41)*IF(N($M41)&gt;0,N($M41),MAX(1,N(IFERROR(INDEX(SPEC_CIRC,MATCH(INDEX(Equipment!$C$7:$C$18,MAX(1,N($W41))),SPEC_SKU,0)),1))))*INDEX(PVC_RATE,MATCH(IF($R41&lt;&gt;"",$R41,$Q41),PVC_SIZE,0)),0)+IF($V41="L2",0,IFERROR(N($F41)*INDEX(PVC_RATE,MATCH("(3/4"")",PVC_SIZE,0)),0)))</f>
        <v/>
      </c>
      <c r="T41" s="1367">
        <f>IF($W41="","",IF($U41=0,"shared — on circuit "&amp;$E41&amp;", sized and priced on its first unit",IF(N($F41)=0,"ENTER THE DISTANCE",IF($B$10="","SET THE DESIGN AMBIENT in block A — nothing on this row can be trusted until it is",IF(IF($L41&lt;&gt;"",$L41,$K41)="PARALLEL SETS","PARALLEL SETS NEEDED — no single conductor carries "&amp;TEXT(N($I41),"#,##0")&amp;" A within the drop allowance; enter sets in column M",IF(N($N41)=0,"no ampacity on file for the override size — NEC Table 310.16 does not list it",IF(N($N41)&lt;IF(N($J41)&gt;800,N($J41),N($I41)),"UNDERSIZED — "&amp;TEXT(N($N41),"#,##0")&amp;" A provided against a floor of "&amp;TEXT(IF(N($J41)&gt;800,N($J41),N($I41)),"#,##0")&amp;" A",IF(N($O41)&gt;$B$13,"ampacity OK but voltage drop "&amp;TEXT(N($O41),"0.0%")&amp;" exceeds the allowance — ADVISORY, upsize the override","OK — "&amp;IF(IF(N($M41)&gt;0,N($M41),MAX(1,N(IFERROR(INDEX(SPEC_CIRC,MATCH(INDEX(Equipment!$C$7:$C$18,MAX(1,N($W41))),SPEC_SKU,0)),1))))&gt;1,TEXT(IF(N($M41)&gt;0,N($M41),MAX(1,N(IFERROR(INDEX(SPEC_CIRC,MATCH(INDEX(Equipment!$C$7:$C$18,MAX(1,N($W41))),SPEC_SKU,0)),1)))),"0")&amp;" sets of ","")&amp;IF($L41&lt;&gt;"",$L41,$K41)&amp;IF($L41&lt;&gt;""," (override)","")&amp;", "&amp;TEXT(N($N41),"#,##0")&amp;" A against a "&amp;TEXT(IF(N($J41)&gt;800,N($J41),N($I41)),"#,##0")&amp;" A floor; drop "&amp;TEXT(N($O41),"0.0%")&amp;" (ADVISORY)"))))))))</f>
        <v/>
      </c>
      <c r="U41" s="1368">
        <f>IF($W41="",0,IF($E41="",1,IF(MATCH($E41,$E$18:$E$47,0)=24,1,0)))</f>
        <v/>
      </c>
      <c r="V41" s="1369">
        <f>IF($W41="","",IF(INDEX(Equipment!$E$7:$E$18,$W41)="level_2","L2",IF(INDEX(Equipment!$E$7:$E$18,$W41)="power_cabinet","CAB","DC")))</f>
        <v/>
      </c>
      <c r="W41" s="1368">
        <f>IF(N($B$50)&gt;=24,COUNTIF(Equipment!$S$7:$S$18,"&lt;24")+1,"")</f>
        <v/>
      </c>
      <c r="X41" s="1368">
        <f>IF($U41&lt;&gt;1,"",IF(N($M41)&gt;0,N($M41),MAX(1,N(IFERROR(INDEX(SPEC_CIRC,MATCH(INDEX(Equipment!$C$7:$C$18,MAX(1,N($W41))),SPEC_SKU,0)),1)))))</f>
        <v/>
      </c>
    </row>
    <row r="42" ht="27.5" customHeight="1" s="254">
      <c r="A42" s="1362">
        <f>IF($W42="","","Charger 25")</f>
        <v/>
      </c>
      <c r="B42" s="1362">
        <f>IF($W42="","","Line "&amp;$W42&amp;" · "&amp;INDEX(Equipment!$C$7:$C$18,$W42)&amp;" · "&amp;INDEX(Equipment!$B$7:$B$18,$W42)&amp;" · #"&amp;(25-INDEX(Equipment!$R$7:$R$18,$W42)+1)&amp;" of "&amp;INDEX(Equipment!$I$7:$I$18,$W42))</f>
        <v/>
      </c>
      <c r="C42" s="1362">
        <f>IF($W42="","",IF($V42="L2",TEXT(N(Equipment!$B$30),"0")&amp;" V 1-ph",TEXT(Project!$B$29,"0")&amp;" V 3-ph"))</f>
        <v/>
      </c>
      <c r="D42" s="1363">
        <f>IF($W42="","",INDEX(Equipment!$G$7:$G$18,$W42))</f>
        <v/>
      </c>
      <c r="E42" s="1292" t="n"/>
      <c r="F42" s="1326" t="n"/>
      <c r="G42" s="1292" t="n"/>
      <c r="H42" s="1364">
        <f>IF($U42&lt;&gt;1,"",IF($E42="",N($D42),SUMIF($E$18:$E$47,$E42,$D$18:$D$47))*1000/(IF($V42="L2",N(Equipment!$B$30),Project!$B$29)*IF($V42="L2",1,SQRT(3))))</f>
        <v/>
      </c>
      <c r="I42" s="1364">
        <f>IF(N($H42)=0,"",N($H42)*1.25)</f>
        <v/>
      </c>
      <c r="J42" s="1364">
        <f>IF(N($I42)=0,"",IF(ISNUMBER(MATCH($I42,OCPD_LIST,0)),$I42,IF($I42&gt;MAX(OCPD_LIST),"ABOVE LIST",INDEX(OCPD_LIST,MATCH($I42,OCPD_LIST,1)+1))))</f>
        <v/>
      </c>
      <c r="K42" s="1362">
        <f>IF(OR(N($I42)=0,$B$10=""),"",IF(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gt;ROWS(SZ_SIZE),"PARALLEL SETS",INDEX(SZ_SIZE,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f>
        <v/>
      </c>
      <c r="L42" s="1292" t="n"/>
      <c r="M42" s="1326" t="n"/>
      <c r="N42" s="1364">
        <f>IF(OR(IF($L42&lt;&gt;"",$L42,$K42)="",IF($L42&lt;&gt;"",$L42,$K42)="PARALLEL SETS"),"",IFERROR(INDEX(SZ_AMP,MATCH(IF($L42&lt;&gt;"",$L42,$K42),SZ_SIZE,0))*IF(N($M42)&gt;0,N($M42),MAX(1,N(IFERROR(INDEX(SPEC_CIRC,MATCH(INDEX(Equipment!$C$7:$C$18,MAX(1,N($W42))),SPEC_SKU,0)),1)))),""))</f>
        <v/>
      </c>
      <c r="O42" s="1365">
        <f>IF(OR(N($N42)=0,N($F42)=0),"",IFERROR(IF($V42="L2",2,SQRT(3))*N($H42)/IF(N($M42)&gt;0,N($M42),MAX(1,N(IFERROR(INDEX(SPEC_CIRC,MATCH(INDEX(Equipment!$C$7:$C$18,MAX(1,N($W42))),SPEC_SKU,0)),1))))*N($F42)*INDEX(SZ_Z,MATCH(IF($L42&lt;&gt;"",$L42,$K42),SZ_SIZE,0))/1000/IF($V42="L2",N(Equipment!$B$30),Project!$B$29),""))</f>
        <v/>
      </c>
      <c r="P42" s="1362">
        <f>IF(N($J42)=0,"",IFERROR(INDEX(IF($B$6="Cu",EGC_CU,EGC_AL),MATCH($J42,EGC_OCPD,1)+IF(ISNUMBER(MATCH($J42,EGC_OCPD,0)),0,1)),""))</f>
        <v/>
      </c>
      <c r="Q42" s="1362">
        <f>IF(N($N42)=0,"",IFERROR(INDEX(IF($V42="L2",CND_2G,CND_3G),MATCH(IF($L42&lt;&gt;"",$L42,$K42),CND_SIZE,0)),""))</f>
        <v/>
      </c>
      <c r="R42" s="1292" t="n"/>
      <c r="S42" s="1366">
        <f>IF(OR($W42="",N($F42)=0,N($N42)=0),0,IFERROR(N($F42)*IF(N($M42)&gt;0,N($M42),MAX(1,N(IFERROR(INDEX(SPEC_CIRC,MATCH(INDEX(Equipment!$C$7:$C$18,MAX(1,N($W42))),SPEC_SKU,0)),1))))*IF($V42="L2",2,3)*INDEX(IF($B$6="Cu",WIRE_CU,WIRE_AL),MATCH(IF($L42&lt;&gt;"",$L42,$K42),WIRE_SIZE,0)),0)+IFERROR(N($F42)*IF(N($M42)&gt;0,N($M42),MAX(1,N(IFERROR(INDEX(SPEC_CIRC,MATCH(INDEX(Equipment!$C$7:$C$18,MAX(1,N($W42))),SPEC_SKU,0)),1))))*INDEX(IF($B$6="Cu",WIRE_CU,WIRE_AL),MATCH($P42,WIRE_SIZE,0)),0)+IFERROR(N($F42)*IF(N($M42)&gt;0,N($M42),MAX(1,N(IFERROR(INDEX(SPEC_CIRC,MATCH(INDEX(Equipment!$C$7:$C$18,MAX(1,N($W42))),SPEC_SKU,0)),1))))*INDEX(PVC_RATE,MATCH(IF($R42&lt;&gt;"",$R42,$Q42),PVC_SIZE,0)),0)+IF($V42="L2",0,IFERROR(N($F42)*INDEX(PVC_RATE,MATCH("(3/4"")",PVC_SIZE,0)),0)))</f>
        <v/>
      </c>
      <c r="T42" s="1367">
        <f>IF($W42="","",IF($U42=0,"shared — on circuit "&amp;$E42&amp;", sized and priced on its first unit",IF(N($F42)=0,"ENTER THE DISTANCE",IF($B$10="","SET THE DESIGN AMBIENT in block A — nothing on this row can be trusted until it is",IF(IF($L42&lt;&gt;"",$L42,$K42)="PARALLEL SETS","PARALLEL SETS NEEDED — no single conductor carries "&amp;TEXT(N($I42),"#,##0")&amp;" A within the drop allowance; enter sets in column M",IF(N($N42)=0,"no ampacity on file for the override size — NEC Table 310.16 does not list it",IF(N($N42)&lt;IF(N($J42)&gt;800,N($J42),N($I42)),"UNDERSIZED — "&amp;TEXT(N($N42),"#,##0")&amp;" A provided against a floor of "&amp;TEXT(IF(N($J42)&gt;800,N($J42),N($I42)),"#,##0")&amp;" A",IF(N($O42)&gt;$B$13,"ampacity OK but voltage drop "&amp;TEXT(N($O42),"0.0%")&amp;" exceeds the allowance — ADVISORY, upsize the override","OK — "&amp;IF(IF(N($M42)&gt;0,N($M42),MAX(1,N(IFERROR(INDEX(SPEC_CIRC,MATCH(INDEX(Equipment!$C$7:$C$18,MAX(1,N($W42))),SPEC_SKU,0)),1))))&gt;1,TEXT(IF(N($M42)&gt;0,N($M42),MAX(1,N(IFERROR(INDEX(SPEC_CIRC,MATCH(INDEX(Equipment!$C$7:$C$18,MAX(1,N($W42))),SPEC_SKU,0)),1)))),"0")&amp;" sets of ","")&amp;IF($L42&lt;&gt;"",$L42,$K42)&amp;IF($L42&lt;&gt;""," (override)","")&amp;", "&amp;TEXT(N($N42),"#,##0")&amp;" A against a "&amp;TEXT(IF(N($J42)&gt;800,N($J42),N($I42)),"#,##0")&amp;" A floor; drop "&amp;TEXT(N($O42),"0.0%")&amp;" (ADVISORY)"))))))))</f>
        <v/>
      </c>
      <c r="U42" s="1368">
        <f>IF($W42="",0,IF($E42="",1,IF(MATCH($E42,$E$18:$E$47,0)=25,1,0)))</f>
        <v/>
      </c>
      <c r="V42" s="1369">
        <f>IF($W42="","",IF(INDEX(Equipment!$E$7:$E$18,$W42)="level_2","L2",IF(INDEX(Equipment!$E$7:$E$18,$W42)="power_cabinet","CAB","DC")))</f>
        <v/>
      </c>
      <c r="W42" s="1368">
        <f>IF(N($B$50)&gt;=25,COUNTIF(Equipment!$S$7:$S$18,"&lt;25")+1,"")</f>
        <v/>
      </c>
      <c r="X42" s="1368">
        <f>IF($U42&lt;&gt;1,"",IF(N($M42)&gt;0,N($M42),MAX(1,N(IFERROR(INDEX(SPEC_CIRC,MATCH(INDEX(Equipment!$C$7:$C$18,MAX(1,N($W42))),SPEC_SKU,0)),1)))))</f>
        <v/>
      </c>
    </row>
    <row r="43" ht="27.5" customHeight="1" s="254">
      <c r="A43" s="1362">
        <f>IF($W43="","","Charger 26")</f>
        <v/>
      </c>
      <c r="B43" s="1362">
        <f>IF($W43="","","Line "&amp;$W43&amp;" · "&amp;INDEX(Equipment!$C$7:$C$18,$W43)&amp;" · "&amp;INDEX(Equipment!$B$7:$B$18,$W43)&amp;" · #"&amp;(26-INDEX(Equipment!$R$7:$R$18,$W43)+1)&amp;" of "&amp;INDEX(Equipment!$I$7:$I$18,$W43))</f>
        <v/>
      </c>
      <c r="C43" s="1362">
        <f>IF($W43="","",IF($V43="L2",TEXT(N(Equipment!$B$30),"0")&amp;" V 1-ph",TEXT(Project!$B$29,"0")&amp;" V 3-ph"))</f>
        <v/>
      </c>
      <c r="D43" s="1363">
        <f>IF($W43="","",INDEX(Equipment!$G$7:$G$18,$W43))</f>
        <v/>
      </c>
      <c r="E43" s="1292" t="n"/>
      <c r="F43" s="1326" t="n"/>
      <c r="G43" s="1292" t="n"/>
      <c r="H43" s="1364">
        <f>IF($U43&lt;&gt;1,"",IF($E43="",N($D43),SUMIF($E$18:$E$47,$E43,$D$18:$D$47))*1000/(IF($V43="L2",N(Equipment!$B$30),Project!$B$29)*IF($V43="L2",1,SQRT(3))))</f>
        <v/>
      </c>
      <c r="I43" s="1364">
        <f>IF(N($H43)=0,"",N($H43)*1.25)</f>
        <v/>
      </c>
      <c r="J43" s="1364">
        <f>IF(N($I43)=0,"",IF(ISNUMBER(MATCH($I43,OCPD_LIST,0)),$I43,IF($I43&gt;MAX(OCPD_LIST),"ABOVE LIST",INDEX(OCPD_LIST,MATCH($I43,OCPD_LIST,1)+1))))</f>
        <v/>
      </c>
      <c r="K43" s="1362">
        <f>IF(OR(N($I43)=0,$B$10=""),"",IF(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gt;ROWS(SZ_SIZE),"PARALLEL SETS",INDEX(SZ_SIZE,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f>
        <v/>
      </c>
      <c r="L43" s="1292" t="n"/>
      <c r="M43" s="1326" t="n"/>
      <c r="N43" s="1364">
        <f>IF(OR(IF($L43&lt;&gt;"",$L43,$K43)="",IF($L43&lt;&gt;"",$L43,$K43)="PARALLEL SETS"),"",IFERROR(INDEX(SZ_AMP,MATCH(IF($L43&lt;&gt;"",$L43,$K43),SZ_SIZE,0))*IF(N($M43)&gt;0,N($M43),MAX(1,N(IFERROR(INDEX(SPEC_CIRC,MATCH(INDEX(Equipment!$C$7:$C$18,MAX(1,N($W43))),SPEC_SKU,0)),1)))),""))</f>
        <v/>
      </c>
      <c r="O43" s="1365">
        <f>IF(OR(N($N43)=0,N($F43)=0),"",IFERROR(IF($V43="L2",2,SQRT(3))*N($H43)/IF(N($M43)&gt;0,N($M43),MAX(1,N(IFERROR(INDEX(SPEC_CIRC,MATCH(INDEX(Equipment!$C$7:$C$18,MAX(1,N($W43))),SPEC_SKU,0)),1))))*N($F43)*INDEX(SZ_Z,MATCH(IF($L43&lt;&gt;"",$L43,$K43),SZ_SIZE,0))/1000/IF($V43="L2",N(Equipment!$B$30),Project!$B$29),""))</f>
        <v/>
      </c>
      <c r="P43" s="1362">
        <f>IF(N($J43)=0,"",IFERROR(INDEX(IF($B$6="Cu",EGC_CU,EGC_AL),MATCH($J43,EGC_OCPD,1)+IF(ISNUMBER(MATCH($J43,EGC_OCPD,0)),0,1)),""))</f>
        <v/>
      </c>
      <c r="Q43" s="1362">
        <f>IF(N($N43)=0,"",IFERROR(INDEX(IF($V43="L2",CND_2G,CND_3G),MATCH(IF($L43&lt;&gt;"",$L43,$K43),CND_SIZE,0)),""))</f>
        <v/>
      </c>
      <c r="R43" s="1292" t="n"/>
      <c r="S43" s="1366">
        <f>IF(OR($W43="",N($F43)=0,N($N43)=0),0,IFERROR(N($F43)*IF(N($M43)&gt;0,N($M43),MAX(1,N(IFERROR(INDEX(SPEC_CIRC,MATCH(INDEX(Equipment!$C$7:$C$18,MAX(1,N($W43))),SPEC_SKU,0)),1))))*IF($V43="L2",2,3)*INDEX(IF($B$6="Cu",WIRE_CU,WIRE_AL),MATCH(IF($L43&lt;&gt;"",$L43,$K43),WIRE_SIZE,0)),0)+IFERROR(N($F43)*IF(N($M43)&gt;0,N($M43),MAX(1,N(IFERROR(INDEX(SPEC_CIRC,MATCH(INDEX(Equipment!$C$7:$C$18,MAX(1,N($W43))),SPEC_SKU,0)),1))))*INDEX(IF($B$6="Cu",WIRE_CU,WIRE_AL),MATCH($P43,WIRE_SIZE,0)),0)+IFERROR(N($F43)*IF(N($M43)&gt;0,N($M43),MAX(1,N(IFERROR(INDEX(SPEC_CIRC,MATCH(INDEX(Equipment!$C$7:$C$18,MAX(1,N($W43))),SPEC_SKU,0)),1))))*INDEX(PVC_RATE,MATCH(IF($R43&lt;&gt;"",$R43,$Q43),PVC_SIZE,0)),0)+IF($V43="L2",0,IFERROR(N($F43)*INDEX(PVC_RATE,MATCH("(3/4"")",PVC_SIZE,0)),0)))</f>
        <v/>
      </c>
      <c r="T43" s="1367">
        <f>IF($W43="","",IF($U43=0,"shared — on circuit "&amp;$E43&amp;", sized and priced on its first unit",IF(N($F43)=0,"ENTER THE DISTANCE",IF($B$10="","SET THE DESIGN AMBIENT in block A — nothing on this row can be trusted until it is",IF(IF($L43&lt;&gt;"",$L43,$K43)="PARALLEL SETS","PARALLEL SETS NEEDED — no single conductor carries "&amp;TEXT(N($I43),"#,##0")&amp;" A within the drop allowance; enter sets in column M",IF(N($N43)=0,"no ampacity on file for the override size — NEC Table 310.16 does not list it",IF(N($N43)&lt;IF(N($J43)&gt;800,N($J43),N($I43)),"UNDERSIZED — "&amp;TEXT(N($N43),"#,##0")&amp;" A provided against a floor of "&amp;TEXT(IF(N($J43)&gt;800,N($J43),N($I43)),"#,##0")&amp;" A",IF(N($O43)&gt;$B$13,"ampacity OK but voltage drop "&amp;TEXT(N($O43),"0.0%")&amp;" exceeds the allowance — ADVISORY, upsize the override","OK — "&amp;IF(IF(N($M43)&gt;0,N($M43),MAX(1,N(IFERROR(INDEX(SPEC_CIRC,MATCH(INDEX(Equipment!$C$7:$C$18,MAX(1,N($W43))),SPEC_SKU,0)),1))))&gt;1,TEXT(IF(N($M43)&gt;0,N($M43),MAX(1,N(IFERROR(INDEX(SPEC_CIRC,MATCH(INDEX(Equipment!$C$7:$C$18,MAX(1,N($W43))),SPEC_SKU,0)),1)))),"0")&amp;" sets of ","")&amp;IF($L43&lt;&gt;"",$L43,$K43)&amp;IF($L43&lt;&gt;""," (override)","")&amp;", "&amp;TEXT(N($N43),"#,##0")&amp;" A against a "&amp;TEXT(IF(N($J43)&gt;800,N($J43),N($I43)),"#,##0")&amp;" A floor; drop "&amp;TEXT(N($O43),"0.0%")&amp;" (ADVISORY)"))))))))</f>
        <v/>
      </c>
      <c r="U43" s="1368">
        <f>IF($W43="",0,IF($E43="",1,IF(MATCH($E43,$E$18:$E$47,0)=26,1,0)))</f>
        <v/>
      </c>
      <c r="V43" s="1369">
        <f>IF($W43="","",IF(INDEX(Equipment!$E$7:$E$18,$W43)="level_2","L2",IF(INDEX(Equipment!$E$7:$E$18,$W43)="power_cabinet","CAB","DC")))</f>
        <v/>
      </c>
      <c r="W43" s="1368">
        <f>IF(N($B$50)&gt;=26,COUNTIF(Equipment!$S$7:$S$18,"&lt;26")+1,"")</f>
        <v/>
      </c>
      <c r="X43" s="1368">
        <f>IF($U43&lt;&gt;1,"",IF(N($M43)&gt;0,N($M43),MAX(1,N(IFERROR(INDEX(SPEC_CIRC,MATCH(INDEX(Equipment!$C$7:$C$18,MAX(1,N($W43))),SPEC_SKU,0)),1)))))</f>
        <v/>
      </c>
    </row>
    <row r="44" ht="27.5" customHeight="1" s="254">
      <c r="A44" s="1362">
        <f>IF($W44="","","Charger 27")</f>
        <v/>
      </c>
      <c r="B44" s="1362">
        <f>IF($W44="","","Line "&amp;$W44&amp;" · "&amp;INDEX(Equipment!$C$7:$C$18,$W44)&amp;" · "&amp;INDEX(Equipment!$B$7:$B$18,$W44)&amp;" · #"&amp;(27-INDEX(Equipment!$R$7:$R$18,$W44)+1)&amp;" of "&amp;INDEX(Equipment!$I$7:$I$18,$W44))</f>
        <v/>
      </c>
      <c r="C44" s="1362">
        <f>IF($W44="","",IF($V44="L2",TEXT(N(Equipment!$B$30),"0")&amp;" V 1-ph",TEXT(Project!$B$29,"0")&amp;" V 3-ph"))</f>
        <v/>
      </c>
      <c r="D44" s="1363">
        <f>IF($W44="","",INDEX(Equipment!$G$7:$G$18,$W44))</f>
        <v/>
      </c>
      <c r="E44" s="1292" t="n"/>
      <c r="F44" s="1326" t="n"/>
      <c r="G44" s="1292" t="n"/>
      <c r="H44" s="1364">
        <f>IF($U44&lt;&gt;1,"",IF($E44="",N($D44),SUMIF($E$18:$E$47,$E44,$D$18:$D$47))*1000/(IF($V44="L2",N(Equipment!$B$30),Project!$B$29)*IF($V44="L2",1,SQRT(3))))</f>
        <v/>
      </c>
      <c r="I44" s="1364">
        <f>IF(N($H44)=0,"",N($H44)*1.25)</f>
        <v/>
      </c>
      <c r="J44" s="1364">
        <f>IF(N($I44)=0,"",IF(ISNUMBER(MATCH($I44,OCPD_LIST,0)),$I44,IF($I44&gt;MAX(OCPD_LIST),"ABOVE LIST",INDEX(OCPD_LIST,MATCH($I44,OCPD_LIST,1)+1))))</f>
        <v/>
      </c>
      <c r="K44" s="1362">
        <f>IF(OR(N($I44)=0,$B$10=""),"",IF(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gt;ROWS(SZ_SIZE),"PARALLEL SETS",INDEX(SZ_SIZE,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f>
        <v/>
      </c>
      <c r="L44" s="1292" t="n"/>
      <c r="M44" s="1326" t="n"/>
      <c r="N44" s="1364">
        <f>IF(OR(IF($L44&lt;&gt;"",$L44,$K44)="",IF($L44&lt;&gt;"",$L44,$K44)="PARALLEL SETS"),"",IFERROR(INDEX(SZ_AMP,MATCH(IF($L44&lt;&gt;"",$L44,$K44),SZ_SIZE,0))*IF(N($M44)&gt;0,N($M44),MAX(1,N(IFERROR(INDEX(SPEC_CIRC,MATCH(INDEX(Equipment!$C$7:$C$18,MAX(1,N($W44))),SPEC_SKU,0)),1)))),""))</f>
        <v/>
      </c>
      <c r="O44" s="1365">
        <f>IF(OR(N($N44)=0,N($F44)=0),"",IFERROR(IF($V44="L2",2,SQRT(3))*N($H44)/IF(N($M44)&gt;0,N($M44),MAX(1,N(IFERROR(INDEX(SPEC_CIRC,MATCH(INDEX(Equipment!$C$7:$C$18,MAX(1,N($W44))),SPEC_SKU,0)),1))))*N($F44)*INDEX(SZ_Z,MATCH(IF($L44&lt;&gt;"",$L44,$K44),SZ_SIZE,0))/1000/IF($V44="L2",N(Equipment!$B$30),Project!$B$29),""))</f>
        <v/>
      </c>
      <c r="P44" s="1362">
        <f>IF(N($J44)=0,"",IFERROR(INDEX(IF($B$6="Cu",EGC_CU,EGC_AL),MATCH($J44,EGC_OCPD,1)+IF(ISNUMBER(MATCH($J44,EGC_OCPD,0)),0,1)),""))</f>
        <v/>
      </c>
      <c r="Q44" s="1362">
        <f>IF(N($N44)=0,"",IFERROR(INDEX(IF($V44="L2",CND_2G,CND_3G),MATCH(IF($L44&lt;&gt;"",$L44,$K44),CND_SIZE,0)),""))</f>
        <v/>
      </c>
      <c r="R44" s="1292" t="n"/>
      <c r="S44" s="1366">
        <f>IF(OR($W44="",N($F44)=0,N($N44)=0),0,IFERROR(N($F44)*IF(N($M44)&gt;0,N($M44),MAX(1,N(IFERROR(INDEX(SPEC_CIRC,MATCH(INDEX(Equipment!$C$7:$C$18,MAX(1,N($W44))),SPEC_SKU,0)),1))))*IF($V44="L2",2,3)*INDEX(IF($B$6="Cu",WIRE_CU,WIRE_AL),MATCH(IF($L44&lt;&gt;"",$L44,$K44),WIRE_SIZE,0)),0)+IFERROR(N($F44)*IF(N($M44)&gt;0,N($M44),MAX(1,N(IFERROR(INDEX(SPEC_CIRC,MATCH(INDEX(Equipment!$C$7:$C$18,MAX(1,N($W44))),SPEC_SKU,0)),1))))*INDEX(IF($B$6="Cu",WIRE_CU,WIRE_AL),MATCH($P44,WIRE_SIZE,0)),0)+IFERROR(N($F44)*IF(N($M44)&gt;0,N($M44),MAX(1,N(IFERROR(INDEX(SPEC_CIRC,MATCH(INDEX(Equipment!$C$7:$C$18,MAX(1,N($W44))),SPEC_SKU,0)),1))))*INDEX(PVC_RATE,MATCH(IF($R44&lt;&gt;"",$R44,$Q44),PVC_SIZE,0)),0)+IF($V44="L2",0,IFERROR(N($F44)*INDEX(PVC_RATE,MATCH("(3/4"")",PVC_SIZE,0)),0)))</f>
        <v/>
      </c>
      <c r="T44" s="1367">
        <f>IF($W44="","",IF($U44=0,"shared — on circuit "&amp;$E44&amp;", sized and priced on its first unit",IF(N($F44)=0,"ENTER THE DISTANCE",IF($B$10="","SET THE DESIGN AMBIENT in block A — nothing on this row can be trusted until it is",IF(IF($L44&lt;&gt;"",$L44,$K44)="PARALLEL SETS","PARALLEL SETS NEEDED — no single conductor carries "&amp;TEXT(N($I44),"#,##0")&amp;" A within the drop allowance; enter sets in column M",IF(N($N44)=0,"no ampacity on file for the override size — NEC Table 310.16 does not list it",IF(N($N44)&lt;IF(N($J44)&gt;800,N($J44),N($I44)),"UNDERSIZED — "&amp;TEXT(N($N44),"#,##0")&amp;" A provided against a floor of "&amp;TEXT(IF(N($J44)&gt;800,N($J44),N($I44)),"#,##0")&amp;" A",IF(N($O44)&gt;$B$13,"ampacity OK but voltage drop "&amp;TEXT(N($O44),"0.0%")&amp;" exceeds the allowance — ADVISORY, upsize the override","OK — "&amp;IF(IF(N($M44)&gt;0,N($M44),MAX(1,N(IFERROR(INDEX(SPEC_CIRC,MATCH(INDEX(Equipment!$C$7:$C$18,MAX(1,N($W44))),SPEC_SKU,0)),1))))&gt;1,TEXT(IF(N($M44)&gt;0,N($M44),MAX(1,N(IFERROR(INDEX(SPEC_CIRC,MATCH(INDEX(Equipment!$C$7:$C$18,MAX(1,N($W44))),SPEC_SKU,0)),1)))),"0")&amp;" sets of ","")&amp;IF($L44&lt;&gt;"",$L44,$K44)&amp;IF($L44&lt;&gt;""," (override)","")&amp;", "&amp;TEXT(N($N44),"#,##0")&amp;" A against a "&amp;TEXT(IF(N($J44)&gt;800,N($J44),N($I44)),"#,##0")&amp;" A floor; drop "&amp;TEXT(N($O44),"0.0%")&amp;" (ADVISORY)"))))))))</f>
        <v/>
      </c>
      <c r="U44" s="1368">
        <f>IF($W44="",0,IF($E44="",1,IF(MATCH($E44,$E$18:$E$47,0)=27,1,0)))</f>
        <v/>
      </c>
      <c r="V44" s="1369">
        <f>IF($W44="","",IF(INDEX(Equipment!$E$7:$E$18,$W44)="level_2","L2",IF(INDEX(Equipment!$E$7:$E$18,$W44)="power_cabinet","CAB","DC")))</f>
        <v/>
      </c>
      <c r="W44" s="1368">
        <f>IF(N($B$50)&gt;=27,COUNTIF(Equipment!$S$7:$S$18,"&lt;27")+1,"")</f>
        <v/>
      </c>
      <c r="X44" s="1368">
        <f>IF($U44&lt;&gt;1,"",IF(N($M44)&gt;0,N($M44),MAX(1,N(IFERROR(INDEX(SPEC_CIRC,MATCH(INDEX(Equipment!$C$7:$C$18,MAX(1,N($W44))),SPEC_SKU,0)),1)))))</f>
        <v/>
      </c>
    </row>
    <row r="45" ht="27.5" customHeight="1" s="254">
      <c r="A45" s="1362">
        <f>IF($W45="","","Charger 28")</f>
        <v/>
      </c>
      <c r="B45" s="1362">
        <f>IF($W45="","","Line "&amp;$W45&amp;" · "&amp;INDEX(Equipment!$C$7:$C$18,$W45)&amp;" · "&amp;INDEX(Equipment!$B$7:$B$18,$W45)&amp;" · #"&amp;(28-INDEX(Equipment!$R$7:$R$18,$W45)+1)&amp;" of "&amp;INDEX(Equipment!$I$7:$I$18,$W45))</f>
        <v/>
      </c>
      <c r="C45" s="1362">
        <f>IF($W45="","",IF($V45="L2",TEXT(N(Equipment!$B$30),"0")&amp;" V 1-ph",TEXT(Project!$B$29,"0")&amp;" V 3-ph"))</f>
        <v/>
      </c>
      <c r="D45" s="1363">
        <f>IF($W45="","",INDEX(Equipment!$G$7:$G$18,$W45))</f>
        <v/>
      </c>
      <c r="E45" s="1292" t="n"/>
      <c r="F45" s="1326" t="n"/>
      <c r="G45" s="1292" t="n"/>
      <c r="H45" s="1364">
        <f>IF($U45&lt;&gt;1,"",IF($E45="",N($D45),SUMIF($E$18:$E$47,$E45,$D$18:$D$47))*1000/(IF($V45="L2",N(Equipment!$B$30),Project!$B$29)*IF($V45="L2",1,SQRT(3))))</f>
        <v/>
      </c>
      <c r="I45" s="1364">
        <f>IF(N($H45)=0,"",N($H45)*1.25)</f>
        <v/>
      </c>
      <c r="J45" s="1364">
        <f>IF(N($I45)=0,"",IF(ISNUMBER(MATCH($I45,OCPD_LIST,0)),$I45,IF($I45&gt;MAX(OCPD_LIST),"ABOVE LIST",INDEX(OCPD_LIST,MATCH($I45,OCPD_LIST,1)+1))))</f>
        <v/>
      </c>
      <c r="K45" s="1362">
        <f>IF(OR(N($I45)=0,$B$10=""),"",IF(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gt;ROWS(SZ_SIZE),"PARALLEL SETS",INDEX(SZ_SIZE,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f>
        <v/>
      </c>
      <c r="L45" s="1292" t="n"/>
      <c r="M45" s="1326" t="n"/>
      <c r="N45" s="1364">
        <f>IF(OR(IF($L45&lt;&gt;"",$L45,$K45)="",IF($L45&lt;&gt;"",$L45,$K45)="PARALLEL SETS"),"",IFERROR(INDEX(SZ_AMP,MATCH(IF($L45&lt;&gt;"",$L45,$K45),SZ_SIZE,0))*IF(N($M45)&gt;0,N($M45),MAX(1,N(IFERROR(INDEX(SPEC_CIRC,MATCH(INDEX(Equipment!$C$7:$C$18,MAX(1,N($W45))),SPEC_SKU,0)),1)))),""))</f>
        <v/>
      </c>
      <c r="O45" s="1365">
        <f>IF(OR(N($N45)=0,N($F45)=0),"",IFERROR(IF($V45="L2",2,SQRT(3))*N($H45)/IF(N($M45)&gt;0,N($M45),MAX(1,N(IFERROR(INDEX(SPEC_CIRC,MATCH(INDEX(Equipment!$C$7:$C$18,MAX(1,N($W45))),SPEC_SKU,0)),1))))*N($F45)*INDEX(SZ_Z,MATCH(IF($L45&lt;&gt;"",$L45,$K45),SZ_SIZE,0))/1000/IF($V45="L2",N(Equipment!$B$30),Project!$B$29),""))</f>
        <v/>
      </c>
      <c r="P45" s="1362">
        <f>IF(N($J45)=0,"",IFERROR(INDEX(IF($B$6="Cu",EGC_CU,EGC_AL),MATCH($J45,EGC_OCPD,1)+IF(ISNUMBER(MATCH($J45,EGC_OCPD,0)),0,1)),""))</f>
        <v/>
      </c>
      <c r="Q45" s="1362">
        <f>IF(N($N45)=0,"",IFERROR(INDEX(IF($V45="L2",CND_2G,CND_3G),MATCH(IF($L45&lt;&gt;"",$L45,$K45),CND_SIZE,0)),""))</f>
        <v/>
      </c>
      <c r="R45" s="1292" t="n"/>
      <c r="S45" s="1366">
        <f>IF(OR($W45="",N($F45)=0,N($N45)=0),0,IFERROR(N($F45)*IF(N($M45)&gt;0,N($M45),MAX(1,N(IFERROR(INDEX(SPEC_CIRC,MATCH(INDEX(Equipment!$C$7:$C$18,MAX(1,N($W45))),SPEC_SKU,0)),1))))*IF($V45="L2",2,3)*INDEX(IF($B$6="Cu",WIRE_CU,WIRE_AL),MATCH(IF($L45&lt;&gt;"",$L45,$K45),WIRE_SIZE,0)),0)+IFERROR(N($F45)*IF(N($M45)&gt;0,N($M45),MAX(1,N(IFERROR(INDEX(SPEC_CIRC,MATCH(INDEX(Equipment!$C$7:$C$18,MAX(1,N($W45))),SPEC_SKU,0)),1))))*INDEX(IF($B$6="Cu",WIRE_CU,WIRE_AL),MATCH($P45,WIRE_SIZE,0)),0)+IFERROR(N($F45)*IF(N($M45)&gt;0,N($M45),MAX(1,N(IFERROR(INDEX(SPEC_CIRC,MATCH(INDEX(Equipment!$C$7:$C$18,MAX(1,N($W45))),SPEC_SKU,0)),1))))*INDEX(PVC_RATE,MATCH(IF($R45&lt;&gt;"",$R45,$Q45),PVC_SIZE,0)),0)+IF($V45="L2",0,IFERROR(N($F45)*INDEX(PVC_RATE,MATCH("(3/4"")",PVC_SIZE,0)),0)))</f>
        <v/>
      </c>
      <c r="T45" s="1367">
        <f>IF($W45="","",IF($U45=0,"shared — on circuit "&amp;$E45&amp;", sized and priced on its first unit",IF(N($F45)=0,"ENTER THE DISTANCE",IF($B$10="","SET THE DESIGN AMBIENT in block A — nothing on this row can be trusted until it is",IF(IF($L45&lt;&gt;"",$L45,$K45)="PARALLEL SETS","PARALLEL SETS NEEDED — no single conductor carries "&amp;TEXT(N($I45),"#,##0")&amp;" A within the drop allowance; enter sets in column M",IF(N($N45)=0,"no ampacity on file for the override size — NEC Table 310.16 does not list it",IF(N($N45)&lt;IF(N($J45)&gt;800,N($J45),N($I45)),"UNDERSIZED — "&amp;TEXT(N($N45),"#,##0")&amp;" A provided against a floor of "&amp;TEXT(IF(N($J45)&gt;800,N($J45),N($I45)),"#,##0")&amp;" A",IF(N($O45)&gt;$B$13,"ampacity OK but voltage drop "&amp;TEXT(N($O45),"0.0%")&amp;" exceeds the allowance — ADVISORY, upsize the override","OK — "&amp;IF(IF(N($M45)&gt;0,N($M45),MAX(1,N(IFERROR(INDEX(SPEC_CIRC,MATCH(INDEX(Equipment!$C$7:$C$18,MAX(1,N($W45))),SPEC_SKU,0)),1))))&gt;1,TEXT(IF(N($M45)&gt;0,N($M45),MAX(1,N(IFERROR(INDEX(SPEC_CIRC,MATCH(INDEX(Equipment!$C$7:$C$18,MAX(1,N($W45))),SPEC_SKU,0)),1)))),"0")&amp;" sets of ","")&amp;IF($L45&lt;&gt;"",$L45,$K45)&amp;IF($L45&lt;&gt;""," (override)","")&amp;", "&amp;TEXT(N($N45),"#,##0")&amp;" A against a "&amp;TEXT(IF(N($J45)&gt;800,N($J45),N($I45)),"#,##0")&amp;" A floor; drop "&amp;TEXT(N($O45),"0.0%")&amp;" (ADVISORY)"))))))))</f>
        <v/>
      </c>
      <c r="U45" s="1368">
        <f>IF($W45="",0,IF($E45="",1,IF(MATCH($E45,$E$18:$E$47,0)=28,1,0)))</f>
        <v/>
      </c>
      <c r="V45" s="1369">
        <f>IF($W45="","",IF(INDEX(Equipment!$E$7:$E$18,$W45)="level_2","L2",IF(INDEX(Equipment!$E$7:$E$18,$W45)="power_cabinet","CAB","DC")))</f>
        <v/>
      </c>
      <c r="W45" s="1368">
        <f>IF(N($B$50)&gt;=28,COUNTIF(Equipment!$S$7:$S$18,"&lt;28")+1,"")</f>
        <v/>
      </c>
      <c r="X45" s="1368">
        <f>IF($U45&lt;&gt;1,"",IF(N($M45)&gt;0,N($M45),MAX(1,N(IFERROR(INDEX(SPEC_CIRC,MATCH(INDEX(Equipment!$C$7:$C$18,MAX(1,N($W45))),SPEC_SKU,0)),1)))))</f>
        <v/>
      </c>
    </row>
    <row r="46" ht="27.5" customHeight="1" s="254">
      <c r="A46" s="1362">
        <f>IF($W46="","","Charger 29")</f>
        <v/>
      </c>
      <c r="B46" s="1362">
        <f>IF($W46="","","Line "&amp;$W46&amp;" · "&amp;INDEX(Equipment!$C$7:$C$18,$W46)&amp;" · "&amp;INDEX(Equipment!$B$7:$B$18,$W46)&amp;" · #"&amp;(29-INDEX(Equipment!$R$7:$R$18,$W46)+1)&amp;" of "&amp;INDEX(Equipment!$I$7:$I$18,$W46))</f>
        <v/>
      </c>
      <c r="C46" s="1362">
        <f>IF($W46="","",IF($V46="L2",TEXT(N(Equipment!$B$30),"0")&amp;" V 1-ph",TEXT(Project!$B$29,"0")&amp;" V 3-ph"))</f>
        <v/>
      </c>
      <c r="D46" s="1363">
        <f>IF($W46="","",INDEX(Equipment!$G$7:$G$18,$W46))</f>
        <v/>
      </c>
      <c r="E46" s="1292" t="n"/>
      <c r="F46" s="1326" t="n"/>
      <c r="G46" s="1292" t="n"/>
      <c r="H46" s="1364">
        <f>IF($U46&lt;&gt;1,"",IF($E46="",N($D46),SUMIF($E$18:$E$47,$E46,$D$18:$D$47))*1000/(IF($V46="L2",N(Equipment!$B$30),Project!$B$29)*IF($V46="L2",1,SQRT(3))))</f>
        <v/>
      </c>
      <c r="I46" s="1364">
        <f>IF(N($H46)=0,"",N($H46)*1.25)</f>
        <v/>
      </c>
      <c r="J46" s="1364">
        <f>IF(N($I46)=0,"",IF(ISNUMBER(MATCH($I46,OCPD_LIST,0)),$I46,IF($I46&gt;MAX(OCPD_LIST),"ABOVE LIST",INDEX(OCPD_LIST,MATCH($I46,OCPD_LIST,1)+1))))</f>
        <v/>
      </c>
      <c r="K46" s="1362">
        <f>IF(OR(N($I46)=0,$B$10=""),"",IF(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gt;ROWS(SZ_SIZE),"PARALLEL SETS",INDEX(SZ_SIZE,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f>
        <v/>
      </c>
      <c r="L46" s="1292" t="n"/>
      <c r="M46" s="1326" t="n"/>
      <c r="N46" s="1364">
        <f>IF(OR(IF($L46&lt;&gt;"",$L46,$K46)="",IF($L46&lt;&gt;"",$L46,$K46)="PARALLEL SETS"),"",IFERROR(INDEX(SZ_AMP,MATCH(IF($L46&lt;&gt;"",$L46,$K46),SZ_SIZE,0))*IF(N($M46)&gt;0,N($M46),MAX(1,N(IFERROR(INDEX(SPEC_CIRC,MATCH(INDEX(Equipment!$C$7:$C$18,MAX(1,N($W46))),SPEC_SKU,0)),1)))),""))</f>
        <v/>
      </c>
      <c r="O46" s="1365">
        <f>IF(OR(N($N46)=0,N($F46)=0),"",IFERROR(IF($V46="L2",2,SQRT(3))*N($H46)/IF(N($M46)&gt;0,N($M46),MAX(1,N(IFERROR(INDEX(SPEC_CIRC,MATCH(INDEX(Equipment!$C$7:$C$18,MAX(1,N($W46))),SPEC_SKU,0)),1))))*N($F46)*INDEX(SZ_Z,MATCH(IF($L46&lt;&gt;"",$L46,$K46),SZ_SIZE,0))/1000/IF($V46="L2",N(Equipment!$B$30),Project!$B$29),""))</f>
        <v/>
      </c>
      <c r="P46" s="1362">
        <f>IF(N($J46)=0,"",IFERROR(INDEX(IF($B$6="Cu",EGC_CU,EGC_AL),MATCH($J46,EGC_OCPD,1)+IF(ISNUMBER(MATCH($J46,EGC_OCPD,0)),0,1)),""))</f>
        <v/>
      </c>
      <c r="Q46" s="1362">
        <f>IF(N($N46)=0,"",IFERROR(INDEX(IF($V46="L2",CND_2G,CND_3G),MATCH(IF($L46&lt;&gt;"",$L46,$K46),CND_SIZE,0)),""))</f>
        <v/>
      </c>
      <c r="R46" s="1292" t="n"/>
      <c r="S46" s="1366">
        <f>IF(OR($W46="",N($F46)=0,N($N46)=0),0,IFERROR(N($F46)*IF(N($M46)&gt;0,N($M46),MAX(1,N(IFERROR(INDEX(SPEC_CIRC,MATCH(INDEX(Equipment!$C$7:$C$18,MAX(1,N($W46))),SPEC_SKU,0)),1))))*IF($V46="L2",2,3)*INDEX(IF($B$6="Cu",WIRE_CU,WIRE_AL),MATCH(IF($L46&lt;&gt;"",$L46,$K46),WIRE_SIZE,0)),0)+IFERROR(N($F46)*IF(N($M46)&gt;0,N($M46),MAX(1,N(IFERROR(INDEX(SPEC_CIRC,MATCH(INDEX(Equipment!$C$7:$C$18,MAX(1,N($W46))),SPEC_SKU,0)),1))))*INDEX(IF($B$6="Cu",WIRE_CU,WIRE_AL),MATCH($P46,WIRE_SIZE,0)),0)+IFERROR(N($F46)*IF(N($M46)&gt;0,N($M46),MAX(1,N(IFERROR(INDEX(SPEC_CIRC,MATCH(INDEX(Equipment!$C$7:$C$18,MAX(1,N($W46))),SPEC_SKU,0)),1))))*INDEX(PVC_RATE,MATCH(IF($R46&lt;&gt;"",$R46,$Q46),PVC_SIZE,0)),0)+IF($V46="L2",0,IFERROR(N($F46)*INDEX(PVC_RATE,MATCH("(3/4"")",PVC_SIZE,0)),0)))</f>
        <v/>
      </c>
      <c r="T46" s="1367">
        <f>IF($W46="","",IF($U46=0,"shared — on circuit "&amp;$E46&amp;", sized and priced on its first unit",IF(N($F46)=0,"ENTER THE DISTANCE",IF($B$10="","SET THE DESIGN AMBIENT in block A — nothing on this row can be trusted until it is",IF(IF($L46&lt;&gt;"",$L46,$K46)="PARALLEL SETS","PARALLEL SETS NEEDED — no single conductor carries "&amp;TEXT(N($I46),"#,##0")&amp;" A within the drop allowance; enter sets in column M",IF(N($N46)=0,"no ampacity on file for the override size — NEC Table 310.16 does not list it",IF(N($N46)&lt;IF(N($J46)&gt;800,N($J46),N($I46)),"UNDERSIZED — "&amp;TEXT(N($N46),"#,##0")&amp;" A provided against a floor of "&amp;TEXT(IF(N($J46)&gt;800,N($J46),N($I46)),"#,##0")&amp;" A",IF(N($O46)&gt;$B$13,"ampacity OK but voltage drop "&amp;TEXT(N($O46),"0.0%")&amp;" exceeds the allowance — ADVISORY, upsize the override","OK — "&amp;IF(IF(N($M46)&gt;0,N($M46),MAX(1,N(IFERROR(INDEX(SPEC_CIRC,MATCH(INDEX(Equipment!$C$7:$C$18,MAX(1,N($W46))),SPEC_SKU,0)),1))))&gt;1,TEXT(IF(N($M46)&gt;0,N($M46),MAX(1,N(IFERROR(INDEX(SPEC_CIRC,MATCH(INDEX(Equipment!$C$7:$C$18,MAX(1,N($W46))),SPEC_SKU,0)),1)))),"0")&amp;" sets of ","")&amp;IF($L46&lt;&gt;"",$L46,$K46)&amp;IF($L46&lt;&gt;""," (override)","")&amp;", "&amp;TEXT(N($N46),"#,##0")&amp;" A against a "&amp;TEXT(IF(N($J46)&gt;800,N($J46),N($I46)),"#,##0")&amp;" A floor; drop "&amp;TEXT(N($O46),"0.0%")&amp;" (ADVISORY)"))))))))</f>
        <v/>
      </c>
      <c r="U46" s="1368">
        <f>IF($W46="",0,IF($E46="",1,IF(MATCH($E46,$E$18:$E$47,0)=29,1,0)))</f>
        <v/>
      </c>
      <c r="V46" s="1369">
        <f>IF($W46="","",IF(INDEX(Equipment!$E$7:$E$18,$W46)="level_2","L2",IF(INDEX(Equipment!$E$7:$E$18,$W46)="power_cabinet","CAB","DC")))</f>
        <v/>
      </c>
      <c r="W46" s="1368">
        <f>IF(N($B$50)&gt;=29,COUNTIF(Equipment!$S$7:$S$18,"&lt;29")+1,"")</f>
        <v/>
      </c>
      <c r="X46" s="1368">
        <f>IF($U46&lt;&gt;1,"",IF(N($M46)&gt;0,N($M46),MAX(1,N(IFERROR(INDEX(SPEC_CIRC,MATCH(INDEX(Equipment!$C$7:$C$18,MAX(1,N($W46))),SPEC_SKU,0)),1)))))</f>
        <v/>
      </c>
    </row>
    <row r="47" ht="27.5" customHeight="1" s="254">
      <c r="A47" s="1362">
        <f>IF($W47="","","Charger 30")</f>
        <v/>
      </c>
      <c r="B47" s="1362">
        <f>IF($W47="","","Line "&amp;$W47&amp;" · "&amp;INDEX(Equipment!$C$7:$C$18,$W47)&amp;" · "&amp;INDEX(Equipment!$B$7:$B$18,$W47)&amp;" · #"&amp;(30-INDEX(Equipment!$R$7:$R$18,$W47)+1)&amp;" of "&amp;INDEX(Equipment!$I$7:$I$18,$W47))</f>
        <v/>
      </c>
      <c r="C47" s="1362">
        <f>IF($W47="","",IF($V47="L2",TEXT(N(Equipment!$B$30),"0")&amp;" V 1-ph",TEXT(Project!$B$29,"0")&amp;" V 3-ph"))</f>
        <v/>
      </c>
      <c r="D47" s="1363">
        <f>IF($W47="","",INDEX(Equipment!$G$7:$G$18,$W47))</f>
        <v/>
      </c>
      <c r="E47" s="1292" t="n"/>
      <c r="F47" s="1326" t="n"/>
      <c r="G47" s="1292" t="n"/>
      <c r="H47" s="1364">
        <f>IF($U47&lt;&gt;1,"",IF($E47="",N($D47),SUMIF($E$18:$E$47,$E47,$D$18:$D$47))*1000/(IF($V47="L2",N(Equipment!$B$30),Project!$B$29)*IF($V47="L2",1,SQRT(3))))</f>
        <v/>
      </c>
      <c r="I47" s="1364">
        <f>IF(N($H47)=0,"",N($H47)*1.25)</f>
        <v/>
      </c>
      <c r="J47" s="1364">
        <f>IF(N($I47)=0,"",IF(ISNUMBER(MATCH($I47,OCPD_LIST,0)),$I47,IF($I47&gt;MAX(OCPD_LIST),"ABOVE LIST",INDEX(OCPD_LIST,MATCH($I47,OCPD_LIST,1)+1))))</f>
        <v/>
      </c>
      <c r="K47" s="1362">
        <f>IF(OR(N($I47)=0,$B$10=""),"",IF(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gt;ROWS(SZ_SIZE),"PARALLEL SETS",INDEX(SZ_SIZE,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f>
        <v/>
      </c>
      <c r="L47" s="1292" t="n"/>
      <c r="M47" s="1326" t="n"/>
      <c r="N47" s="1364">
        <f>IF(OR(IF($L47&lt;&gt;"",$L47,$K47)="",IF($L47&lt;&gt;"",$L47,$K47)="PARALLEL SETS"),"",IFERROR(INDEX(SZ_AMP,MATCH(IF($L47&lt;&gt;"",$L47,$K47),SZ_SIZE,0))*IF(N($M47)&gt;0,N($M47),MAX(1,N(IFERROR(INDEX(SPEC_CIRC,MATCH(INDEX(Equipment!$C$7:$C$18,MAX(1,N($W47))),SPEC_SKU,0)),1)))),""))</f>
        <v/>
      </c>
      <c r="O47" s="1365">
        <f>IF(OR(N($N47)=0,N($F47)=0),"",IFERROR(IF($V47="L2",2,SQRT(3))*N($H47)/IF(N($M47)&gt;0,N($M47),MAX(1,N(IFERROR(INDEX(SPEC_CIRC,MATCH(INDEX(Equipment!$C$7:$C$18,MAX(1,N($W47))),SPEC_SKU,0)),1))))*N($F47)*INDEX(SZ_Z,MATCH(IF($L47&lt;&gt;"",$L47,$K47),SZ_SIZE,0))/1000/IF($V47="L2",N(Equipment!$B$30),Project!$B$29),""))</f>
        <v/>
      </c>
      <c r="P47" s="1362">
        <f>IF(N($J47)=0,"",IFERROR(INDEX(IF($B$6="Cu",EGC_CU,EGC_AL),MATCH($J47,EGC_OCPD,1)+IF(ISNUMBER(MATCH($J47,EGC_OCPD,0)),0,1)),""))</f>
        <v/>
      </c>
      <c r="Q47" s="1362">
        <f>IF(N($N47)=0,"",IFERROR(INDEX(IF($V47="L2",CND_2G,CND_3G),MATCH(IF($L47&lt;&gt;"",$L47,$K47),CND_SIZE,0)),""))</f>
        <v/>
      </c>
      <c r="R47" s="1292" t="n"/>
      <c r="S47" s="1366">
        <f>IF(OR($W47="",N($F47)=0,N($N47)=0),0,IFERROR(N($F47)*IF(N($M47)&gt;0,N($M47),MAX(1,N(IFERROR(INDEX(SPEC_CIRC,MATCH(INDEX(Equipment!$C$7:$C$18,MAX(1,N($W47))),SPEC_SKU,0)),1))))*IF($V47="L2",2,3)*INDEX(IF($B$6="Cu",WIRE_CU,WIRE_AL),MATCH(IF($L47&lt;&gt;"",$L47,$K47),WIRE_SIZE,0)),0)+IFERROR(N($F47)*IF(N($M47)&gt;0,N($M47),MAX(1,N(IFERROR(INDEX(SPEC_CIRC,MATCH(INDEX(Equipment!$C$7:$C$18,MAX(1,N($W47))),SPEC_SKU,0)),1))))*INDEX(IF($B$6="Cu",WIRE_CU,WIRE_AL),MATCH($P47,WIRE_SIZE,0)),0)+IFERROR(N($F47)*IF(N($M47)&gt;0,N($M47),MAX(1,N(IFERROR(INDEX(SPEC_CIRC,MATCH(INDEX(Equipment!$C$7:$C$18,MAX(1,N($W47))),SPEC_SKU,0)),1))))*INDEX(PVC_RATE,MATCH(IF($R47&lt;&gt;"",$R47,$Q47),PVC_SIZE,0)),0)+IF($V47="L2",0,IFERROR(N($F47)*INDEX(PVC_RATE,MATCH("(3/4"")",PVC_SIZE,0)),0)))</f>
        <v/>
      </c>
      <c r="T47" s="1367">
        <f>IF($W47="","",IF($U47=0,"shared — on circuit "&amp;$E47&amp;", sized and priced on its first unit",IF(N($F47)=0,"ENTER THE DISTANCE",IF($B$10="","SET THE DESIGN AMBIENT in block A — nothing on this row can be trusted until it is",IF(IF($L47&lt;&gt;"",$L47,$K47)="PARALLEL SETS","PARALLEL SETS NEEDED — no single conductor carries "&amp;TEXT(N($I47),"#,##0")&amp;" A within the drop allowance; enter sets in column M",IF(N($N47)=0,"no ampacity on file for the override size — NEC Table 310.16 does not list it",IF(N($N47)&lt;IF(N($J47)&gt;800,N($J47),N($I47)),"UNDERSIZED — "&amp;TEXT(N($N47),"#,##0")&amp;" A provided against a floor of "&amp;TEXT(IF(N($J47)&gt;800,N($J47),N($I47)),"#,##0")&amp;" A",IF(N($O47)&gt;$B$13,"ampacity OK but voltage drop "&amp;TEXT(N($O47),"0.0%")&amp;" exceeds the allowance — ADVISORY, upsize the override","OK — "&amp;IF(IF(N($M47)&gt;0,N($M47),MAX(1,N(IFERROR(INDEX(SPEC_CIRC,MATCH(INDEX(Equipment!$C$7:$C$18,MAX(1,N($W47))),SPEC_SKU,0)),1))))&gt;1,TEXT(IF(N($M47)&gt;0,N($M47),MAX(1,N(IFERROR(INDEX(SPEC_CIRC,MATCH(INDEX(Equipment!$C$7:$C$18,MAX(1,N($W47))),SPEC_SKU,0)),1)))),"0")&amp;" sets of ","")&amp;IF($L47&lt;&gt;"",$L47,$K47)&amp;IF($L47&lt;&gt;""," (override)","")&amp;", "&amp;TEXT(N($N47),"#,##0")&amp;" A against a "&amp;TEXT(IF(N($J47)&gt;800,N($J47),N($I47)),"#,##0")&amp;" A floor; drop "&amp;TEXT(N($O47),"0.0%")&amp;" (ADVISORY)"))))))))</f>
        <v/>
      </c>
      <c r="U47" s="1368">
        <f>IF($W47="",0,IF($E47="",1,IF(MATCH($E47,$E$18:$E$47,0)=30,1,0)))</f>
        <v/>
      </c>
      <c r="V47" s="1369">
        <f>IF($W47="","",IF(INDEX(Equipment!$E$7:$E$18,$W47)="level_2","L2",IF(INDEX(Equipment!$E$7:$E$18,$W47)="power_cabinet","CAB","DC")))</f>
        <v/>
      </c>
      <c r="W47" s="1368">
        <f>IF(N($B$50)&gt;=30,COUNTIF(Equipment!$S$7:$S$18,"&lt;30")+1,"")</f>
        <v/>
      </c>
      <c r="X47" s="1368">
        <f>IF($U47&lt;&gt;1,"",IF(N($M47)&gt;0,N($M47),MAX(1,N(IFERROR(INDEX(SPEC_CIRC,MATCH(INDEX(Equipment!$C$7:$C$18,MAX(1,N($W47))),SPEC_SKU,0)),1)))))</f>
        <v/>
      </c>
    </row>
    <row r="48" ht="15" customHeight="1" s="254">
      <c r="A48" s="1289" t="n"/>
      <c r="B48" s="1289" t="n"/>
      <c r="C48" s="1289" t="n"/>
      <c r="D48" s="1289" t="n"/>
      <c r="E48" s="1289" t="n"/>
      <c r="F48" s="1289" t="n"/>
      <c r="G48" s="1289" t="n"/>
      <c r="H48" s="1289" t="n"/>
      <c r="I48" s="1289" t="n"/>
      <c r="J48" s="1289" t="n"/>
      <c r="K48" s="1289" t="n"/>
      <c r="L48" s="1289" t="n"/>
      <c r="M48" s="1289" t="n"/>
      <c r="N48" s="1289" t="n"/>
      <c r="O48" s="1289" t="n"/>
      <c r="P48" s="1289" t="n"/>
      <c r="Q48" s="1289" t="n"/>
      <c r="R48" s="1289" t="n"/>
      <c r="S48" s="1289" t="n"/>
      <c r="T48" s="1289" t="n"/>
      <c r="U48" s="1289" t="n"/>
      <c r="V48" s="1289" t="n"/>
      <c r="W48" s="1289" t="n"/>
      <c r="X48" s="1289" t="n"/>
    </row>
    <row r="49" ht="15" customHeight="1" s="254">
      <c r="A49" s="1551" t="inlineStr">
        <is>
          <t>Charger runs — totals and checks</t>
        </is>
      </c>
      <c r="I49" s="1289" t="n"/>
      <c r="J49" s="1289" t="n"/>
      <c r="K49" s="1289" t="n"/>
      <c r="L49" s="1289" t="n"/>
      <c r="M49" s="1289" t="n"/>
      <c r="N49" s="1289" t="n"/>
      <c r="O49" s="1289" t="n"/>
      <c r="P49" s="1289" t="n"/>
      <c r="Q49" s="1289" t="n"/>
      <c r="R49" s="1289" t="n"/>
      <c r="S49" s="1289" t="n"/>
      <c r="T49" s="1289" t="n"/>
      <c r="U49" s="1289" t="n"/>
      <c r="V49" s="1289" t="n"/>
      <c r="W49" s="1289" t="n"/>
      <c r="X49" s="1289" t="n"/>
    </row>
    <row r="50" hidden="1" outlineLevel="1" ht="27.5" customHeight="1" s="254">
      <c r="A50" s="1552" t="inlineStr">
        <is>
          <t>Chargers on the schedule</t>
        </is>
      </c>
      <c r="B50" s="1295">
        <f>SUM(Equipment!$Q$7:$Q$18)</f>
        <v/>
      </c>
      <c r="C50" s="1300" t="inlineStr">
        <is>
          <t>Every unit that takes a feeder or a branch: standalone DC chargers, power cabinets and Level 2 units. Dispensers are not among them.</t>
        </is>
      </c>
      <c r="I50" s="1289" t="n"/>
      <c r="J50" s="1289" t="n"/>
      <c r="K50" s="1289" t="n"/>
      <c r="L50" s="1289" t="n"/>
      <c r="M50" s="1289" t="n"/>
      <c r="N50" s="1289" t="n"/>
      <c r="O50" s="1289" t="n"/>
      <c r="P50" s="1289" t="n"/>
      <c r="Q50" s="1289" t="n"/>
      <c r="R50" s="1289" t="n"/>
      <c r="S50" s="1289" t="n"/>
      <c r="T50" s="1289" t="n"/>
      <c r="U50" s="1289" t="n"/>
      <c r="V50" s="1289" t="n"/>
      <c r="W50" s="1289" t="n"/>
      <c r="X50" s="1289" t="n"/>
    </row>
    <row r="51" hidden="1" outlineLevel="1" ht="15" customHeight="1" s="254">
      <c r="A51" s="1552" t="inlineStr">
        <is>
          <t>Runs still needing a distance</t>
        </is>
      </c>
      <c r="B51" s="1295">
        <f>SUMPRODUCT(($U$18:$U$47=1)*($F$18:$F$47=""))</f>
        <v/>
      </c>
      <c r="C51" s="1300" t="inlineStr">
        <is>
          <t>Rows that own a circuit and have no distance yet.</t>
        </is>
      </c>
      <c r="I51" s="1289" t="n"/>
      <c r="J51" s="1289" t="n"/>
      <c r="K51" s="1289" t="n"/>
      <c r="L51" s="1289" t="n"/>
      <c r="M51" s="1289" t="n"/>
      <c r="N51" s="1289" t="n"/>
      <c r="O51" s="1289" t="n"/>
      <c r="P51" s="1289" t="n"/>
      <c r="Q51" s="1289" t="n"/>
      <c r="R51" s="1289" t="n"/>
      <c r="S51" s="1289" t="n"/>
      <c r="T51" s="1289" t="n"/>
      <c r="U51" s="1289" t="n"/>
      <c r="V51" s="1289" t="n"/>
      <c r="W51" s="1289" t="n"/>
      <c r="X51" s="1289" t="n"/>
    </row>
    <row r="52" hidden="1" outlineLevel="1" ht="15" customHeight="1" s="254">
      <c r="A52" s="1294" t="inlineStr">
        <is>
          <t>Every charger run has a distance?</t>
        </is>
      </c>
      <c r="B52" s="1370">
        <f>IF(N($B$50)=0,"nothing on the equipment schedule yet",IF(N($B$51)&gt;0,"INCOMPLETE — "&amp;TEXT($B$51,"0")&amp;" run(s) have no distance, and a run with no distance has no conductor and no cost","OK — every charger run has a distance"))</f>
        <v/>
      </c>
      <c r="C52" s="1289" t="n"/>
      <c r="D52" s="1289" t="n"/>
      <c r="E52" s="1289" t="n"/>
      <c r="F52" s="1289" t="n"/>
      <c r="G52" s="1289" t="n"/>
      <c r="H52" s="1289" t="n"/>
      <c r="I52" s="1289" t="n"/>
      <c r="J52" s="1289" t="n"/>
      <c r="K52" s="1289" t="n"/>
      <c r="L52" s="1289" t="n"/>
      <c r="M52" s="1289" t="n"/>
      <c r="N52" s="1289" t="n"/>
      <c r="O52" s="1289" t="n"/>
      <c r="P52" s="1289" t="n"/>
      <c r="Q52" s="1289" t="n"/>
      <c r="R52" s="1289" t="n"/>
      <c r="S52" s="1289" t="n"/>
      <c r="T52" s="1289" t="n"/>
      <c r="U52" s="1289" t="n"/>
      <c r="V52" s="1289" t="n"/>
      <c r="W52" s="1289" t="n"/>
      <c r="X52" s="1289" t="n"/>
    </row>
    <row r="53" hidden="1" outlineLevel="1" ht="15" customHeight="1" s="254">
      <c r="A53" s="1552" t="inlineStr">
        <is>
          <t>Every run sized and costed?</t>
        </is>
      </c>
      <c r="B53" s="1370">
        <f>IF(N($B$50)=0,"n/a",IF(COUNTIF($T$18:$T$47,"UNDERSIZED*")+COUNTIF($T$18:$T$47,"PARALLEL*")+COUNTIF($T$18:$T$47,"no ampacity*")+COUNTIF($T$18:$T$47,"SET THE*")&gt;0,"ATTENTION — read the verdict column; a run with a problem there is a run priced wrong","OK — every run with a distance has a conductor, a breaker and a cost"))</f>
        <v/>
      </c>
      <c r="C53" s="1289" t="n"/>
      <c r="D53" s="1289" t="n"/>
      <c r="E53" s="1289" t="n"/>
      <c r="F53" s="1289" t="n"/>
      <c r="G53" s="1289" t="n"/>
      <c r="H53" s="1289" t="n"/>
      <c r="I53" s="1289" t="n"/>
      <c r="J53" s="1289" t="n"/>
      <c r="K53" s="1289" t="n"/>
      <c r="L53" s="1289" t="n"/>
      <c r="M53" s="1289" t="n"/>
      <c r="N53" s="1289" t="n"/>
      <c r="O53" s="1289" t="n"/>
      <c r="P53" s="1289" t="n"/>
      <c r="Q53" s="1289" t="n"/>
      <c r="R53" s="1289" t="n"/>
      <c r="S53" s="1289" t="n"/>
      <c r="T53" s="1289" t="n"/>
      <c r="U53" s="1289" t="n"/>
      <c r="V53" s="1289" t="n"/>
      <c r="W53" s="1289" t="n"/>
      <c r="X53" s="1289" t="n"/>
    </row>
    <row r="54" hidden="1" outlineLevel="1" ht="15" customHeight="1" s="254">
      <c r="A54" s="1552" t="inlineStr">
        <is>
          <t>DC charger-run material ($)</t>
        </is>
      </c>
      <c r="B54" s="1371">
        <f>SUMIF($V$18:$V$47,"DC",$S$18:$S$47)+SUMIF($V$18:$V$47,"CAB",$S$18:$S$47)</f>
        <v/>
      </c>
      <c r="C54" s="1300" t="inlineStr">
        <is>
          <t>Standalone DC chargers and power-cabinet feeders. The engine reads this row.</t>
        </is>
      </c>
      <c r="I54" s="1289" t="n"/>
      <c r="J54" s="1289" t="n"/>
      <c r="K54" s="1289" t="n"/>
      <c r="L54" s="1289" t="n"/>
      <c r="M54" s="1289" t="n"/>
      <c r="N54" s="1289" t="n"/>
      <c r="O54" s="1289" t="n"/>
      <c r="P54" s="1289" t="n"/>
      <c r="Q54" s="1289" t="n"/>
      <c r="R54" s="1289" t="n"/>
      <c r="S54" s="1289" t="n"/>
      <c r="T54" s="1289" t="n"/>
      <c r="U54" s="1289" t="n"/>
      <c r="V54" s="1289" t="n"/>
      <c r="W54" s="1289" t="n"/>
      <c r="X54" s="1289" t="n"/>
    </row>
    <row r="55" hidden="1" outlineLevel="1" ht="15" customHeight="1" s="254">
      <c r="A55" s="1552" t="inlineStr">
        <is>
          <t>Level 2 charger-run material ($)</t>
        </is>
      </c>
      <c r="B55" s="1371">
        <f>SUMIF($V$18:$V$47,"L2",$S$18:$S$47)</f>
        <v/>
      </c>
      <c r="C55" s="1300" t="inlineStr">
        <is>
          <t>Level 2 branch circuits. The engine reads this row.</t>
        </is>
      </c>
      <c r="I55" s="1289" t="n"/>
      <c r="J55" s="1289" t="n"/>
      <c r="K55" s="1289" t="n"/>
      <c r="L55" s="1289" t="n"/>
      <c r="M55" s="1289" t="n"/>
      <c r="N55" s="1289" t="n"/>
      <c r="O55" s="1289" t="n"/>
      <c r="P55" s="1289" t="n"/>
      <c r="Q55" s="1289" t="n"/>
      <c r="R55" s="1289" t="n"/>
      <c r="S55" s="1289" t="n"/>
      <c r="T55" s="1289" t="n"/>
      <c r="U55" s="1289" t="n"/>
      <c r="V55" s="1289" t="n"/>
      <c r="W55" s="1289" t="n"/>
      <c r="X55" s="1289" t="n"/>
    </row>
    <row r="56" hidden="1" outlineLevel="1" ht="15" customHeight="1" s="254">
      <c r="A56" s="1552" t="inlineStr">
        <is>
          <t>Charger-run material cost ($)</t>
        </is>
      </c>
      <c r="B56" s="1371">
        <f>SUM($S$18:$S$47)</f>
        <v/>
      </c>
      <c r="C56" s="1300" t="inlineStr">
        <is>
          <t>Conductor, ground, conduit and comms for every charger run, at RefData rates.</t>
        </is>
      </c>
      <c r="I56" s="1289" t="n"/>
      <c r="J56" s="1289" t="n"/>
      <c r="K56" s="1289" t="n"/>
      <c r="L56" s="1289" t="n"/>
      <c r="M56" s="1289" t="n"/>
      <c r="N56" s="1289" t="n"/>
      <c r="O56" s="1289" t="n"/>
      <c r="P56" s="1289" t="n"/>
      <c r="Q56" s="1289" t="n"/>
      <c r="R56" s="1289" t="n"/>
      <c r="S56" s="1289" t="n"/>
      <c r="T56" s="1289" t="n"/>
      <c r="U56" s="1289" t="n"/>
      <c r="V56" s="1289" t="n"/>
      <c r="W56" s="1289" t="n"/>
      <c r="X56" s="1289" t="n"/>
    </row>
    <row r="57" hidden="1" outlineLevel="1" ht="15" customHeight="1" s="254">
      <c r="A57" s="1552" t="inlineStr">
        <is>
          <t>Total charger-run distance (ft)</t>
        </is>
      </c>
      <c r="B57" s="1295">
        <f>SUM($F$18:$F$47)</f>
        <v/>
      </c>
      <c r="C57" s="1289" t="n"/>
      <c r="D57" s="1289" t="n"/>
      <c r="E57" s="1289" t="n"/>
      <c r="F57" s="1289" t="n"/>
      <c r="G57" s="1289" t="n"/>
      <c r="H57" s="1289" t="n"/>
      <c r="I57" s="1289" t="n"/>
      <c r="J57" s="1289" t="n"/>
      <c r="K57" s="1289" t="n"/>
      <c r="L57" s="1289" t="n"/>
      <c r="M57" s="1289" t="n"/>
      <c r="N57" s="1289" t="n"/>
      <c r="O57" s="1289" t="n"/>
      <c r="P57" s="1289" t="n"/>
      <c r="Q57" s="1289" t="n"/>
      <c r="R57" s="1289" t="n"/>
      <c r="S57" s="1289" t="n"/>
      <c r="T57" s="1289" t="n"/>
      <c r="U57" s="1289" t="n"/>
      <c r="V57" s="1289" t="n"/>
      <c r="W57" s="1289" t="n"/>
      <c r="X57" s="1289" t="n"/>
    </row>
    <row r="58" hidden="1" outlineLevel="1" ht="27.5" customHeight="1" s="254">
      <c r="A58" s="1552" t="inlineStr">
        <is>
          <t>Trench to cut (ft)</t>
        </is>
      </c>
      <c r="B58" s="1295">
        <f>IF(AND(COUNTIF($G$18:$G$47,"Yes")&gt;0,SUMIF($G$18:$G$47,"&lt;&gt;Yes",$F$18:$F$47)=0),MAX($F$18:$F$47),SUMIF($G$18:$G$47,"&lt;&gt;Yes",$F$18:$F$47))</f>
        <v/>
      </c>
      <c r="C58" s="1300" t="inlineStr">
        <is>
          <t>Runs marked as sharing another run's trench are excluded. If every run is marked as sharing, the longest run is taken to own the trench.</t>
        </is>
      </c>
      <c r="I58" s="1289" t="n"/>
      <c r="J58" s="1289" t="n"/>
      <c r="K58" s="1289" t="n"/>
      <c r="L58" s="1289" t="n"/>
      <c r="M58" s="1289" t="n"/>
      <c r="N58" s="1289" t="n"/>
      <c r="O58" s="1289" t="n"/>
      <c r="P58" s="1289" t="n"/>
      <c r="Q58" s="1289" t="n"/>
      <c r="R58" s="1289" t="n"/>
      <c r="S58" s="1289" t="n"/>
      <c r="T58" s="1289" t="n"/>
      <c r="U58" s="1289" t="n"/>
      <c r="V58" s="1289" t="n"/>
      <c r="W58" s="1289" t="n"/>
      <c r="X58" s="1289" t="n"/>
    </row>
    <row r="59" hidden="1" outlineLevel="1" ht="27.5" customHeight="1" s="254">
      <c r="A59" s="1552" t="inlineStr">
        <is>
          <t>Trench restoration (sq ft)</t>
        </is>
      </c>
      <c r="B59" s="1295">
        <f>$B$58*$B$9/12</f>
        <v/>
      </c>
      <c r="C59" s="1300" t="inlineStr">
        <is>
          <t>Trench feet times the width implied by the depth in block A. Compare with the paving line on the Construction tab.</t>
        </is>
      </c>
      <c r="I59" s="1289" t="n"/>
      <c r="J59" s="1289" t="n"/>
      <c r="K59" s="1289" t="n"/>
      <c r="L59" s="1289" t="n"/>
      <c r="M59" s="1289" t="n"/>
      <c r="N59" s="1289" t="n"/>
      <c r="O59" s="1289" t="n"/>
      <c r="P59" s="1289" t="n"/>
      <c r="Q59" s="1289" t="n"/>
      <c r="R59" s="1289" t="n"/>
      <c r="S59" s="1289" t="n"/>
      <c r="T59" s="1289" t="n"/>
      <c r="U59" s="1289" t="n"/>
      <c r="V59" s="1289" t="n"/>
      <c r="W59" s="1289" t="n"/>
      <c r="X59" s="1289" t="n"/>
    </row>
    <row r="60" hidden="1" outlineLevel="1" ht="15" customHeight="1" s="254">
      <c r="A60" s="1552" t="inlineStr">
        <is>
          <t>Longest charger run (ft)</t>
        </is>
      </c>
      <c r="B60" s="1295">
        <f>IF(COUNT($F$18:$F$47)=0,0,MAX($F$18:$F$47))</f>
        <v/>
      </c>
      <c r="C60" s="1360" t="inlineStr">
        <is>
          <t>The binding constraint on voltage drop.</t>
        </is>
      </c>
      <c r="I60" s="1289" t="n"/>
      <c r="J60" s="1289" t="n"/>
      <c r="K60" s="1289" t="n"/>
      <c r="L60" s="1289" t="n"/>
      <c r="M60" s="1289" t="n"/>
      <c r="N60" s="1289" t="n"/>
      <c r="O60" s="1289" t="n"/>
      <c r="P60" s="1289" t="n"/>
      <c r="Q60" s="1289" t="n"/>
      <c r="R60" s="1289" t="n"/>
      <c r="S60" s="1289" t="n"/>
      <c r="T60" s="1289" t="n"/>
      <c r="U60" s="1289" t="n"/>
      <c r="V60" s="1289" t="n"/>
      <c r="W60" s="1289" t="n"/>
      <c r="X60" s="1289" t="n"/>
    </row>
    <row r="61" hidden="1" outlineLevel="1" ht="15" customHeight="1" s="254">
      <c r="A61" s="1289" t="n"/>
      <c r="B61" s="1289" t="n"/>
      <c r="C61" s="1289" t="n"/>
      <c r="D61" s="1289" t="n"/>
      <c r="E61" s="1289" t="n"/>
      <c r="F61" s="1289" t="n"/>
      <c r="G61" s="1289" t="n"/>
      <c r="H61" s="1289" t="n"/>
      <c r="I61" s="1289" t="n"/>
      <c r="J61" s="1289" t="n"/>
      <c r="K61" s="1289" t="n"/>
      <c r="L61" s="1289" t="n"/>
      <c r="M61" s="1289" t="n"/>
      <c r="N61" s="1289" t="n"/>
      <c r="O61" s="1289" t="n"/>
      <c r="P61" s="1289" t="n"/>
      <c r="Q61" s="1289" t="n"/>
      <c r="R61" s="1289" t="n"/>
      <c r="S61" s="1289" t="n"/>
      <c r="T61" s="1289" t="n"/>
      <c r="U61" s="1289" t="n"/>
      <c r="V61" s="1289" t="n"/>
      <c r="W61" s="1289" t="n"/>
      <c r="X61" s="1289" t="n"/>
    </row>
    <row r="62" ht="15" customHeight="1" s="254">
      <c r="A62" s="1308" t="inlineStr">
        <is>
          <t>C · DISPENSER RUNS — power cabinet to dispenser (only on a power-cabinet system)</t>
        </is>
      </c>
      <c r="I62" s="1289" t="n"/>
      <c r="J62" s="1289" t="n"/>
      <c r="K62" s="1289" t="n"/>
      <c r="L62" s="1289" t="n"/>
      <c r="M62" s="1289" t="n"/>
      <c r="N62" s="1289" t="n"/>
      <c r="O62" s="1289" t="n"/>
      <c r="P62" s="1289" t="n"/>
      <c r="Q62" s="1289" t="n"/>
      <c r="R62" s="1289" t="n"/>
      <c r="S62" s="1289" t="n"/>
      <c r="T62" s="1289" t="n"/>
      <c r="U62" s="1289" t="n"/>
      <c r="V62" s="1289" t="n"/>
      <c r="W62" s="1289" t="n"/>
      <c r="X62" s="1289" t="n"/>
    </row>
    <row r="63" hidden="1" outlineLevel="1" ht="65" customHeight="1" s="254">
      <c r="A63" s="1552" t="inlineStr">
        <is>
          <t>Is this block used on this site?</t>
        </is>
      </c>
      <c r="B63" s="1372">
        <f>IF(N(Equipment!$B$38)=0,"NOT USED — no power cabinet on the equipment schedule, so there are no dispensers and nothing to enter here","USED — "&amp;TEXT(Equipment!$B$38,"0")&amp;" dispenser(s) listed below; type the cabinet-to-dispenser distance for each")</f>
        <v/>
      </c>
      <c r="C63" s="1300" t="inlineStr">
        <is>
          <t>A dispenser has connectors and no power of its own: it is fed DC from a power cabinet. A standalone charger is NOT a dispenser and belongs in block B. Sets per pole (column O): a liquid-cooled 500 A port at 1,000 VDC needs two 500 kcmil conductors per pole in parallel; enter 2 and the conductor, ground and conduit feet double. Blank is one set.</t>
        </is>
      </c>
      <c r="I63" s="1289" t="n"/>
      <c r="J63" s="1289" t="n"/>
      <c r="K63" s="1289" t="n"/>
      <c r="L63" s="1289" t="n"/>
      <c r="M63" s="1289" t="n"/>
      <c r="N63" s="1289" t="n"/>
      <c r="O63" s="1289" t="n"/>
      <c r="P63" s="1289" t="n"/>
      <c r="Q63" s="1289" t="n"/>
      <c r="R63" s="1289" t="n"/>
      <c r="S63" s="1289" t="n"/>
      <c r="T63" s="1289" t="n"/>
      <c r="U63" s="1289" t="n"/>
      <c r="V63" s="1289" t="n"/>
      <c r="W63" s="1289" t="n"/>
      <c r="X63" s="1289" t="n"/>
    </row>
    <row r="64" hidden="1" outlineLevel="1" ht="52.5" customHeight="1" s="254">
      <c r="A64" s="1290" t="inlineStr">
        <is>
          <t>Dispenser (auto)</t>
        </is>
      </c>
      <c r="B64" s="1290" t="inlineStr">
        <is>
          <t>Fed from (auto)</t>
        </is>
      </c>
      <c r="C64" s="1290" t="inlineStr">
        <is>
          <t>Distance (ft)</t>
        </is>
      </c>
      <c r="D64" s="1361" t="inlineStr">
        <is>
          <t>DC circuits (auto)</t>
        </is>
      </c>
      <c r="E64" s="1290" t="inlineStr">
        <is>
          <t>Conductor</t>
        </is>
      </c>
      <c r="F64" s="1290" t="inlineStr">
        <is>
          <t>Ground</t>
        </is>
      </c>
      <c r="G64" s="1290" t="inlineStr">
        <is>
          <t>Conduit</t>
        </is>
      </c>
      <c r="H64" s="1361" t="inlineStr">
        <is>
          <t>Trench shared with the AC run? (Yes/blank)</t>
        </is>
      </c>
      <c r="I64" s="1361" t="inlineStr">
        <is>
          <t>Power conductor ft (auto)</t>
        </is>
      </c>
      <c r="J64" s="1361" t="inlineStr">
        <is>
          <t>Ground ft (auto)</t>
        </is>
      </c>
      <c r="K64" s="1361" t="inlineStr">
        <is>
          <t>Conduit ft (auto)</t>
        </is>
      </c>
      <c r="L64" s="1361" t="inlineStr">
        <is>
          <t>Comms ft (auto)</t>
        </is>
      </c>
      <c r="M64" s="1361" t="inlineStr">
        <is>
          <t>Trench ft (auto)</t>
        </is>
      </c>
      <c r="N64" s="1361" t="inlineStr">
        <is>
          <t>Material $ (auto)</t>
        </is>
      </c>
      <c r="O64" s="1361" t="inlineStr">
        <is>
          <t>Sets per pole (blank = 1)</t>
        </is>
      </c>
      <c r="P64" s="1289" t="n"/>
      <c r="Q64" s="1289" t="n"/>
      <c r="R64" s="1289" t="n"/>
      <c r="S64" s="1289" t="n"/>
      <c r="T64" s="1289" t="n"/>
      <c r="U64" s="1289" t="n"/>
      <c r="V64" s="1289" t="n"/>
      <c r="W64" s="1289" t="n"/>
      <c r="X64" s="1289" t="n"/>
    </row>
    <row r="65" hidden="1" outlineLevel="1" ht="15" customHeight="1" s="254">
      <c r="A65" s="1362">
        <f>IF(N(Equipment!$B$38)&gt;=1,"Dispenser 1","")</f>
        <v/>
      </c>
      <c r="B65" s="1362">
        <f>IF($A65="","","Line "&amp;(COUNTIF(Equipment!$V$7:$V$18,"&lt;1")+1)&amp;" cabinet "&amp;ROUNDUP((1-INDEX(Equipment!$U$7:$U$18,(COUNTIF(Equipment!$V$7:$V$18,"&lt;1")+1))+1)/MAX(1,INDEX(Equipment!$N$7:$N$18,(COUNTIF(Equipment!$V$7:$V$18,"&lt;1")+1))),0)&amp;" — "&amp;INDEX(Equipment!$C$7:$C$18,(COUNTIF(Equipment!$V$7:$V$18,"&lt;1")+1)))</f>
        <v/>
      </c>
      <c r="C65" s="1326" t="n"/>
      <c r="D65" s="1364">
        <f>IF($A65="","",MAX(1,INDEX(Equipment!$O$7:$O$18,(COUNTIF(Equipment!$V$7:$V$18,"&lt;1")+1))))</f>
        <v/>
      </c>
      <c r="E65" s="1292" t="n"/>
      <c r="F65" s="1292" t="n"/>
      <c r="G65" s="1292" t="n"/>
      <c r="H65" s="1292" t="n"/>
      <c r="I65" s="1373">
        <f>N($C65)*MAX(1,N($D65))*2*MAX(1,N($O65))</f>
        <v/>
      </c>
      <c r="J65" s="1373">
        <f>N($C65)*MAX(1,N($D65))*MAX(1,N($O65))</f>
        <v/>
      </c>
      <c r="K65" s="1373">
        <f>N($C65)*MAX(1,N($D65))*MAX(1,N($O65))</f>
        <v/>
      </c>
      <c r="L65" s="1373">
        <f>N($C65)</f>
        <v/>
      </c>
      <c r="M65" s="1373">
        <f>IF($H65="Yes",0,N($C65))</f>
        <v/>
      </c>
      <c r="N65" s="1366">
        <f>IFERROR(N($I65)*INDEX(IF($B$6="Cu",WIRE_CU,WIRE_AL),MATCH($E65,WIRE_SIZE,0)),0)+IFERROR(N($J65)*INDEX(IF($B$6="Cu",WIRE_CU,WIRE_AL),MATCH($F65,WIRE_SIZE,0)),0)+IFERROR(N($K65)*INDEX(PVC_RATE,MATCH($G65,PVC_SIZE,0)),0)+IFERROR(N($L65)*INDEX(PVC_RATE,MATCH("(3/4"")",PVC_SIZE,0)),0)</f>
        <v/>
      </c>
      <c r="O65" s="1304" t="n"/>
      <c r="P65" s="1289" t="n"/>
      <c r="Q65" s="1289" t="n"/>
      <c r="R65" s="1289" t="n"/>
      <c r="S65" s="1289" t="n"/>
      <c r="T65" s="1289" t="n"/>
      <c r="U65" s="1289" t="n"/>
      <c r="V65" s="1289" t="n"/>
      <c r="W65" s="1289" t="n"/>
      <c r="X65" s="1289" t="n"/>
    </row>
    <row r="66" hidden="1" outlineLevel="1" ht="15" customHeight="1" s="254">
      <c r="A66" s="1362">
        <f>IF(N(Equipment!$B$38)&gt;=2,"Dispenser 2","")</f>
        <v/>
      </c>
      <c r="B66" s="1362">
        <f>IF($A66="","","Line "&amp;(COUNTIF(Equipment!$V$7:$V$18,"&lt;2")+1)&amp;" cabinet "&amp;ROUNDUP((2-INDEX(Equipment!$U$7:$U$18,(COUNTIF(Equipment!$V$7:$V$18,"&lt;2")+1))+1)/MAX(1,INDEX(Equipment!$N$7:$N$18,(COUNTIF(Equipment!$V$7:$V$18,"&lt;2")+1))),0)&amp;" — "&amp;INDEX(Equipment!$C$7:$C$18,(COUNTIF(Equipment!$V$7:$V$18,"&lt;2")+1)))</f>
        <v/>
      </c>
      <c r="C66" s="1326" t="n"/>
      <c r="D66" s="1364">
        <f>IF($A66="","",MAX(1,INDEX(Equipment!$O$7:$O$18,(COUNTIF(Equipment!$V$7:$V$18,"&lt;2")+1))))</f>
        <v/>
      </c>
      <c r="E66" s="1292" t="n"/>
      <c r="F66" s="1292" t="n"/>
      <c r="G66" s="1292" t="n"/>
      <c r="H66" s="1292" t="n"/>
      <c r="I66" s="1373">
        <f>N($C66)*MAX(1,N($D66))*2*MAX(1,N($O66))</f>
        <v/>
      </c>
      <c r="J66" s="1373">
        <f>N($C66)*MAX(1,N($D66))*MAX(1,N($O66))</f>
        <v/>
      </c>
      <c r="K66" s="1373">
        <f>N($C66)*MAX(1,N($D66))*MAX(1,N($O66))</f>
        <v/>
      </c>
      <c r="L66" s="1373">
        <f>N($C66)</f>
        <v/>
      </c>
      <c r="M66" s="1373">
        <f>IF($H66="Yes",0,N($C66))</f>
        <v/>
      </c>
      <c r="N66" s="1366">
        <f>IFERROR(N($I66)*INDEX(IF($B$6="Cu",WIRE_CU,WIRE_AL),MATCH($E66,WIRE_SIZE,0)),0)+IFERROR(N($J66)*INDEX(IF($B$6="Cu",WIRE_CU,WIRE_AL),MATCH($F66,WIRE_SIZE,0)),0)+IFERROR(N($K66)*INDEX(PVC_RATE,MATCH($G66,PVC_SIZE,0)),0)+IFERROR(N($L66)*INDEX(PVC_RATE,MATCH("(3/4"")",PVC_SIZE,0)),0)</f>
        <v/>
      </c>
      <c r="O66" s="1304" t="n"/>
      <c r="P66" s="1289" t="n"/>
      <c r="Q66" s="1289" t="n"/>
      <c r="R66" s="1289" t="n"/>
      <c r="S66" s="1289" t="n"/>
      <c r="T66" s="1289" t="n"/>
      <c r="U66" s="1289" t="n"/>
      <c r="V66" s="1289" t="n"/>
      <c r="W66" s="1289" t="n"/>
      <c r="X66" s="1289" t="n"/>
    </row>
    <row r="67" hidden="1" outlineLevel="1" ht="15" customHeight="1" s="254">
      <c r="A67" s="1362">
        <f>IF(N(Equipment!$B$38)&gt;=3,"Dispenser 3","")</f>
        <v/>
      </c>
      <c r="B67" s="1362">
        <f>IF($A67="","","Line "&amp;(COUNTIF(Equipment!$V$7:$V$18,"&lt;3")+1)&amp;" cabinet "&amp;ROUNDUP((3-INDEX(Equipment!$U$7:$U$18,(COUNTIF(Equipment!$V$7:$V$18,"&lt;3")+1))+1)/MAX(1,INDEX(Equipment!$N$7:$N$18,(COUNTIF(Equipment!$V$7:$V$18,"&lt;3")+1))),0)&amp;" — "&amp;INDEX(Equipment!$C$7:$C$18,(COUNTIF(Equipment!$V$7:$V$18,"&lt;3")+1)))</f>
        <v/>
      </c>
      <c r="C67" s="1326" t="n"/>
      <c r="D67" s="1364">
        <f>IF($A67="","",MAX(1,INDEX(Equipment!$O$7:$O$18,(COUNTIF(Equipment!$V$7:$V$18,"&lt;3")+1))))</f>
        <v/>
      </c>
      <c r="E67" s="1292" t="n"/>
      <c r="F67" s="1292" t="n"/>
      <c r="G67" s="1292" t="n"/>
      <c r="H67" s="1292" t="n"/>
      <c r="I67" s="1373">
        <f>N($C67)*MAX(1,N($D67))*2*MAX(1,N($O67))</f>
        <v/>
      </c>
      <c r="J67" s="1373">
        <f>N($C67)*MAX(1,N($D67))*MAX(1,N($O67))</f>
        <v/>
      </c>
      <c r="K67" s="1373">
        <f>N($C67)*MAX(1,N($D67))*MAX(1,N($O67))</f>
        <v/>
      </c>
      <c r="L67" s="1373">
        <f>N($C67)</f>
        <v/>
      </c>
      <c r="M67" s="1373">
        <f>IF($H67="Yes",0,N($C67))</f>
        <v/>
      </c>
      <c r="N67" s="1366">
        <f>IFERROR(N($I67)*INDEX(IF($B$6="Cu",WIRE_CU,WIRE_AL),MATCH($E67,WIRE_SIZE,0)),0)+IFERROR(N($J67)*INDEX(IF($B$6="Cu",WIRE_CU,WIRE_AL),MATCH($F67,WIRE_SIZE,0)),0)+IFERROR(N($K67)*INDEX(PVC_RATE,MATCH($G67,PVC_SIZE,0)),0)+IFERROR(N($L67)*INDEX(PVC_RATE,MATCH("(3/4"")",PVC_SIZE,0)),0)</f>
        <v/>
      </c>
      <c r="O67" s="1304" t="n"/>
      <c r="P67" s="1289" t="n"/>
      <c r="Q67" s="1289" t="n"/>
      <c r="R67" s="1289" t="n"/>
      <c r="S67" s="1289" t="n"/>
      <c r="T67" s="1289" t="n"/>
      <c r="U67" s="1289" t="n"/>
      <c r="V67" s="1289" t="n"/>
      <c r="W67" s="1289" t="n"/>
      <c r="X67" s="1289" t="n"/>
    </row>
    <row r="68" hidden="1" outlineLevel="1" ht="15" customHeight="1" s="254">
      <c r="A68" s="1362">
        <f>IF(N(Equipment!$B$38)&gt;=4,"Dispenser 4","")</f>
        <v/>
      </c>
      <c r="B68" s="1362">
        <f>IF($A68="","","Line "&amp;(COUNTIF(Equipment!$V$7:$V$18,"&lt;4")+1)&amp;" cabinet "&amp;ROUNDUP((4-INDEX(Equipment!$U$7:$U$18,(COUNTIF(Equipment!$V$7:$V$18,"&lt;4")+1))+1)/MAX(1,INDEX(Equipment!$N$7:$N$18,(COUNTIF(Equipment!$V$7:$V$18,"&lt;4")+1))),0)&amp;" — "&amp;INDEX(Equipment!$C$7:$C$18,(COUNTIF(Equipment!$V$7:$V$18,"&lt;4")+1)))</f>
        <v/>
      </c>
      <c r="C68" s="1326" t="n"/>
      <c r="D68" s="1364">
        <f>IF($A68="","",MAX(1,INDEX(Equipment!$O$7:$O$18,(COUNTIF(Equipment!$V$7:$V$18,"&lt;4")+1))))</f>
        <v/>
      </c>
      <c r="E68" s="1292" t="n"/>
      <c r="F68" s="1292" t="n"/>
      <c r="G68" s="1292" t="n"/>
      <c r="H68" s="1292" t="n"/>
      <c r="I68" s="1373">
        <f>N($C68)*MAX(1,N($D68))*2*MAX(1,N($O68))</f>
        <v/>
      </c>
      <c r="J68" s="1373">
        <f>N($C68)*MAX(1,N($D68))*MAX(1,N($O68))</f>
        <v/>
      </c>
      <c r="K68" s="1373">
        <f>N($C68)*MAX(1,N($D68))*MAX(1,N($O68))</f>
        <v/>
      </c>
      <c r="L68" s="1373">
        <f>N($C68)</f>
        <v/>
      </c>
      <c r="M68" s="1373">
        <f>IF($H68="Yes",0,N($C68))</f>
        <v/>
      </c>
      <c r="N68" s="1366">
        <f>IFERROR(N($I68)*INDEX(IF($B$6="Cu",WIRE_CU,WIRE_AL),MATCH($E68,WIRE_SIZE,0)),0)+IFERROR(N($J68)*INDEX(IF($B$6="Cu",WIRE_CU,WIRE_AL),MATCH($F68,WIRE_SIZE,0)),0)+IFERROR(N($K68)*INDEX(PVC_RATE,MATCH($G68,PVC_SIZE,0)),0)+IFERROR(N($L68)*INDEX(PVC_RATE,MATCH("(3/4"")",PVC_SIZE,0)),0)</f>
        <v/>
      </c>
      <c r="O68" s="1304" t="n"/>
      <c r="P68" s="1289" t="n"/>
      <c r="Q68" s="1289" t="n"/>
      <c r="R68" s="1289" t="n"/>
      <c r="S68" s="1289" t="n"/>
      <c r="T68" s="1289" t="n"/>
      <c r="U68" s="1289" t="n"/>
      <c r="V68" s="1289" t="n"/>
      <c r="W68" s="1289" t="n"/>
      <c r="X68" s="1289" t="n"/>
    </row>
    <row r="69" hidden="1" outlineLevel="1" ht="15" customHeight="1" s="254">
      <c r="A69" s="1362">
        <f>IF(N(Equipment!$B$38)&gt;=5,"Dispenser 5","")</f>
        <v/>
      </c>
      <c r="B69" s="1362">
        <f>IF($A69="","","Line "&amp;(COUNTIF(Equipment!$V$7:$V$18,"&lt;5")+1)&amp;" cabinet "&amp;ROUNDUP((5-INDEX(Equipment!$U$7:$U$18,(COUNTIF(Equipment!$V$7:$V$18,"&lt;5")+1))+1)/MAX(1,INDEX(Equipment!$N$7:$N$18,(COUNTIF(Equipment!$V$7:$V$18,"&lt;5")+1))),0)&amp;" — "&amp;INDEX(Equipment!$C$7:$C$18,(COUNTIF(Equipment!$V$7:$V$18,"&lt;5")+1)))</f>
        <v/>
      </c>
      <c r="C69" s="1326" t="n"/>
      <c r="D69" s="1364">
        <f>IF($A69="","",MAX(1,INDEX(Equipment!$O$7:$O$18,(COUNTIF(Equipment!$V$7:$V$18,"&lt;5")+1))))</f>
        <v/>
      </c>
      <c r="E69" s="1292" t="n"/>
      <c r="F69" s="1292" t="n"/>
      <c r="G69" s="1292" t="n"/>
      <c r="H69" s="1292" t="n"/>
      <c r="I69" s="1373">
        <f>N($C69)*MAX(1,N($D69))*2*MAX(1,N($O69))</f>
        <v/>
      </c>
      <c r="J69" s="1373">
        <f>N($C69)*MAX(1,N($D69))*MAX(1,N($O69))</f>
        <v/>
      </c>
      <c r="K69" s="1373">
        <f>N($C69)*MAX(1,N($D69))*MAX(1,N($O69))</f>
        <v/>
      </c>
      <c r="L69" s="1373">
        <f>N($C69)</f>
        <v/>
      </c>
      <c r="M69" s="1373">
        <f>IF($H69="Yes",0,N($C69))</f>
        <v/>
      </c>
      <c r="N69" s="1366">
        <f>IFERROR(N($I69)*INDEX(IF($B$6="Cu",WIRE_CU,WIRE_AL),MATCH($E69,WIRE_SIZE,0)),0)+IFERROR(N($J69)*INDEX(IF($B$6="Cu",WIRE_CU,WIRE_AL),MATCH($F69,WIRE_SIZE,0)),0)+IFERROR(N($K69)*INDEX(PVC_RATE,MATCH($G69,PVC_SIZE,0)),0)+IFERROR(N($L69)*INDEX(PVC_RATE,MATCH("(3/4"")",PVC_SIZE,0)),0)</f>
        <v/>
      </c>
      <c r="O69" s="1304" t="n"/>
      <c r="P69" s="1289" t="n"/>
      <c r="Q69" s="1289" t="n"/>
      <c r="R69" s="1289" t="n"/>
      <c r="S69" s="1289" t="n"/>
      <c r="T69" s="1289" t="n"/>
      <c r="U69" s="1289" t="n"/>
      <c r="V69" s="1289" t="n"/>
      <c r="W69" s="1289" t="n"/>
      <c r="X69" s="1289" t="n"/>
    </row>
    <row r="70" hidden="1" outlineLevel="1" ht="15" customHeight="1" s="254">
      <c r="A70" s="1362">
        <f>IF(N(Equipment!$B$38)&gt;=6,"Dispenser 6","")</f>
        <v/>
      </c>
      <c r="B70" s="1362">
        <f>IF($A70="","","Line "&amp;(COUNTIF(Equipment!$V$7:$V$18,"&lt;6")+1)&amp;" cabinet "&amp;ROUNDUP((6-INDEX(Equipment!$U$7:$U$18,(COUNTIF(Equipment!$V$7:$V$18,"&lt;6")+1))+1)/MAX(1,INDEX(Equipment!$N$7:$N$18,(COUNTIF(Equipment!$V$7:$V$18,"&lt;6")+1))),0)&amp;" — "&amp;INDEX(Equipment!$C$7:$C$18,(COUNTIF(Equipment!$V$7:$V$18,"&lt;6")+1)))</f>
        <v/>
      </c>
      <c r="C70" s="1326" t="n"/>
      <c r="D70" s="1364">
        <f>IF($A70="","",MAX(1,INDEX(Equipment!$O$7:$O$18,(COUNTIF(Equipment!$V$7:$V$18,"&lt;6")+1))))</f>
        <v/>
      </c>
      <c r="E70" s="1292" t="n"/>
      <c r="F70" s="1292" t="n"/>
      <c r="G70" s="1292" t="n"/>
      <c r="H70" s="1292" t="n"/>
      <c r="I70" s="1373">
        <f>N($C70)*MAX(1,N($D70))*2*MAX(1,N($O70))</f>
        <v/>
      </c>
      <c r="J70" s="1373">
        <f>N($C70)*MAX(1,N($D70))*MAX(1,N($O70))</f>
        <v/>
      </c>
      <c r="K70" s="1373">
        <f>N($C70)*MAX(1,N($D70))*MAX(1,N($O70))</f>
        <v/>
      </c>
      <c r="L70" s="1373">
        <f>N($C70)</f>
        <v/>
      </c>
      <c r="M70" s="1373">
        <f>IF($H70="Yes",0,N($C70))</f>
        <v/>
      </c>
      <c r="N70" s="1366">
        <f>IFERROR(N($I70)*INDEX(IF($B$6="Cu",WIRE_CU,WIRE_AL),MATCH($E70,WIRE_SIZE,0)),0)+IFERROR(N($J70)*INDEX(IF($B$6="Cu",WIRE_CU,WIRE_AL),MATCH($F70,WIRE_SIZE,0)),0)+IFERROR(N($K70)*INDEX(PVC_RATE,MATCH($G70,PVC_SIZE,0)),0)+IFERROR(N($L70)*INDEX(PVC_RATE,MATCH("(3/4"")",PVC_SIZE,0)),0)</f>
        <v/>
      </c>
      <c r="O70" s="1304" t="n"/>
      <c r="P70" s="1289" t="n"/>
      <c r="Q70" s="1289" t="n"/>
      <c r="R70" s="1289" t="n"/>
      <c r="S70" s="1289" t="n"/>
      <c r="T70" s="1289" t="n"/>
      <c r="U70" s="1289" t="n"/>
      <c r="V70" s="1289" t="n"/>
      <c r="W70" s="1289" t="n"/>
      <c r="X70" s="1289" t="n"/>
    </row>
    <row r="71" hidden="1" outlineLevel="1" ht="15" customHeight="1" s="254">
      <c r="A71" s="1362">
        <f>IF(N(Equipment!$B$38)&gt;=7,"Dispenser 7","")</f>
        <v/>
      </c>
      <c r="B71" s="1362">
        <f>IF($A71="","","Line "&amp;(COUNTIF(Equipment!$V$7:$V$18,"&lt;7")+1)&amp;" cabinet "&amp;ROUNDUP((7-INDEX(Equipment!$U$7:$U$18,(COUNTIF(Equipment!$V$7:$V$18,"&lt;7")+1))+1)/MAX(1,INDEX(Equipment!$N$7:$N$18,(COUNTIF(Equipment!$V$7:$V$18,"&lt;7")+1))),0)&amp;" — "&amp;INDEX(Equipment!$C$7:$C$18,(COUNTIF(Equipment!$V$7:$V$18,"&lt;7")+1)))</f>
        <v/>
      </c>
      <c r="C71" s="1326" t="n"/>
      <c r="D71" s="1364">
        <f>IF($A71="","",MAX(1,INDEX(Equipment!$O$7:$O$18,(COUNTIF(Equipment!$V$7:$V$18,"&lt;7")+1))))</f>
        <v/>
      </c>
      <c r="E71" s="1292" t="n"/>
      <c r="F71" s="1292" t="n"/>
      <c r="G71" s="1292" t="n"/>
      <c r="H71" s="1292" t="n"/>
      <c r="I71" s="1373">
        <f>N($C71)*MAX(1,N($D71))*2*MAX(1,N($O71))</f>
        <v/>
      </c>
      <c r="J71" s="1373">
        <f>N($C71)*MAX(1,N($D71))*MAX(1,N($O71))</f>
        <v/>
      </c>
      <c r="K71" s="1373">
        <f>N($C71)*MAX(1,N($D71))*MAX(1,N($O71))</f>
        <v/>
      </c>
      <c r="L71" s="1373">
        <f>N($C71)</f>
        <v/>
      </c>
      <c r="M71" s="1373">
        <f>IF($H71="Yes",0,N($C71))</f>
        <v/>
      </c>
      <c r="N71" s="1366">
        <f>IFERROR(N($I71)*INDEX(IF($B$6="Cu",WIRE_CU,WIRE_AL),MATCH($E71,WIRE_SIZE,0)),0)+IFERROR(N($J71)*INDEX(IF($B$6="Cu",WIRE_CU,WIRE_AL),MATCH($F71,WIRE_SIZE,0)),0)+IFERROR(N($K71)*INDEX(PVC_RATE,MATCH($G71,PVC_SIZE,0)),0)+IFERROR(N($L71)*INDEX(PVC_RATE,MATCH("(3/4"")",PVC_SIZE,0)),0)</f>
        <v/>
      </c>
      <c r="O71" s="1304" t="n"/>
      <c r="P71" s="1289" t="n"/>
      <c r="Q71" s="1289" t="n"/>
      <c r="R71" s="1289" t="n"/>
      <c r="S71" s="1289" t="n"/>
      <c r="T71" s="1289" t="n"/>
      <c r="U71" s="1289" t="n"/>
      <c r="V71" s="1289" t="n"/>
      <c r="W71" s="1289" t="n"/>
      <c r="X71" s="1289" t="n"/>
    </row>
    <row r="72" hidden="1" outlineLevel="1" ht="15" customHeight="1" s="254">
      <c r="A72" s="1362">
        <f>IF(N(Equipment!$B$38)&gt;=8,"Dispenser 8","")</f>
        <v/>
      </c>
      <c r="B72" s="1362">
        <f>IF($A72="","","Line "&amp;(COUNTIF(Equipment!$V$7:$V$18,"&lt;8")+1)&amp;" cabinet "&amp;ROUNDUP((8-INDEX(Equipment!$U$7:$U$18,(COUNTIF(Equipment!$V$7:$V$18,"&lt;8")+1))+1)/MAX(1,INDEX(Equipment!$N$7:$N$18,(COUNTIF(Equipment!$V$7:$V$18,"&lt;8")+1))),0)&amp;" — "&amp;INDEX(Equipment!$C$7:$C$18,(COUNTIF(Equipment!$V$7:$V$18,"&lt;8")+1)))</f>
        <v/>
      </c>
      <c r="C72" s="1326" t="n"/>
      <c r="D72" s="1364">
        <f>IF($A72="","",MAX(1,INDEX(Equipment!$O$7:$O$18,(COUNTIF(Equipment!$V$7:$V$18,"&lt;8")+1))))</f>
        <v/>
      </c>
      <c r="E72" s="1292" t="n"/>
      <c r="F72" s="1292" t="n"/>
      <c r="G72" s="1292" t="n"/>
      <c r="H72" s="1292" t="n"/>
      <c r="I72" s="1373">
        <f>N($C72)*MAX(1,N($D72))*2*MAX(1,N($O72))</f>
        <v/>
      </c>
      <c r="J72" s="1373">
        <f>N($C72)*MAX(1,N($D72))*MAX(1,N($O72))</f>
        <v/>
      </c>
      <c r="K72" s="1373">
        <f>N($C72)*MAX(1,N($D72))*MAX(1,N($O72))</f>
        <v/>
      </c>
      <c r="L72" s="1373">
        <f>N($C72)</f>
        <v/>
      </c>
      <c r="M72" s="1373">
        <f>IF($H72="Yes",0,N($C72))</f>
        <v/>
      </c>
      <c r="N72" s="1366">
        <f>IFERROR(N($I72)*INDEX(IF($B$6="Cu",WIRE_CU,WIRE_AL),MATCH($E72,WIRE_SIZE,0)),0)+IFERROR(N($J72)*INDEX(IF($B$6="Cu",WIRE_CU,WIRE_AL),MATCH($F72,WIRE_SIZE,0)),0)+IFERROR(N($K72)*INDEX(PVC_RATE,MATCH($G72,PVC_SIZE,0)),0)+IFERROR(N($L72)*INDEX(PVC_RATE,MATCH("(3/4"")",PVC_SIZE,0)),0)</f>
        <v/>
      </c>
      <c r="O72" s="1304" t="n"/>
      <c r="P72" s="1289" t="n"/>
      <c r="Q72" s="1289" t="n"/>
      <c r="R72" s="1289" t="n"/>
      <c r="S72" s="1289" t="n"/>
      <c r="T72" s="1289" t="n"/>
      <c r="U72" s="1289" t="n"/>
      <c r="V72" s="1289" t="n"/>
      <c r="W72" s="1289" t="n"/>
      <c r="X72" s="1289" t="n"/>
    </row>
    <row r="73" hidden="1" outlineLevel="1" ht="15" customHeight="1" s="254">
      <c r="A73" s="1362">
        <f>IF(N(Equipment!$B$38)&gt;=9,"Dispenser 9","")</f>
        <v/>
      </c>
      <c r="B73" s="1362">
        <f>IF($A73="","","Line "&amp;(COUNTIF(Equipment!$V$7:$V$18,"&lt;9")+1)&amp;" cabinet "&amp;ROUNDUP((9-INDEX(Equipment!$U$7:$U$18,(COUNTIF(Equipment!$V$7:$V$18,"&lt;9")+1))+1)/MAX(1,INDEX(Equipment!$N$7:$N$18,(COUNTIF(Equipment!$V$7:$V$18,"&lt;9")+1))),0)&amp;" — "&amp;INDEX(Equipment!$C$7:$C$18,(COUNTIF(Equipment!$V$7:$V$18,"&lt;9")+1)))</f>
        <v/>
      </c>
      <c r="C73" s="1326" t="n"/>
      <c r="D73" s="1364">
        <f>IF($A73="","",MAX(1,INDEX(Equipment!$O$7:$O$18,(COUNTIF(Equipment!$V$7:$V$18,"&lt;9")+1))))</f>
        <v/>
      </c>
      <c r="E73" s="1292" t="n"/>
      <c r="F73" s="1292" t="n"/>
      <c r="G73" s="1292" t="n"/>
      <c r="H73" s="1292" t="n"/>
      <c r="I73" s="1373">
        <f>N($C73)*MAX(1,N($D73))*2*MAX(1,N($O73))</f>
        <v/>
      </c>
      <c r="J73" s="1373">
        <f>N($C73)*MAX(1,N($D73))*MAX(1,N($O73))</f>
        <v/>
      </c>
      <c r="K73" s="1373">
        <f>N($C73)*MAX(1,N($D73))*MAX(1,N($O73))</f>
        <v/>
      </c>
      <c r="L73" s="1373">
        <f>N($C73)</f>
        <v/>
      </c>
      <c r="M73" s="1373">
        <f>IF($H73="Yes",0,N($C73))</f>
        <v/>
      </c>
      <c r="N73" s="1366">
        <f>IFERROR(N($I73)*INDEX(IF($B$6="Cu",WIRE_CU,WIRE_AL),MATCH($E73,WIRE_SIZE,0)),0)+IFERROR(N($J73)*INDEX(IF($B$6="Cu",WIRE_CU,WIRE_AL),MATCH($F73,WIRE_SIZE,0)),0)+IFERROR(N($K73)*INDEX(PVC_RATE,MATCH($G73,PVC_SIZE,0)),0)+IFERROR(N($L73)*INDEX(PVC_RATE,MATCH("(3/4"")",PVC_SIZE,0)),0)</f>
        <v/>
      </c>
      <c r="O73" s="1304" t="n"/>
      <c r="P73" s="1289" t="n"/>
      <c r="Q73" s="1289" t="n"/>
      <c r="R73" s="1289" t="n"/>
      <c r="S73" s="1289" t="n"/>
      <c r="T73" s="1289" t="n"/>
      <c r="U73" s="1289" t="n"/>
      <c r="V73" s="1289" t="n"/>
      <c r="W73" s="1289" t="n"/>
      <c r="X73" s="1289" t="n"/>
    </row>
    <row r="74" hidden="1" outlineLevel="1" ht="15" customHeight="1" s="254">
      <c r="A74" s="1362">
        <f>IF(N(Equipment!$B$38)&gt;=10,"Dispenser 10","")</f>
        <v/>
      </c>
      <c r="B74" s="1362">
        <f>IF($A74="","","Line "&amp;(COUNTIF(Equipment!$V$7:$V$18,"&lt;10")+1)&amp;" cabinet "&amp;ROUNDUP((10-INDEX(Equipment!$U$7:$U$18,(COUNTIF(Equipment!$V$7:$V$18,"&lt;10")+1))+1)/MAX(1,INDEX(Equipment!$N$7:$N$18,(COUNTIF(Equipment!$V$7:$V$18,"&lt;10")+1))),0)&amp;" — "&amp;INDEX(Equipment!$C$7:$C$18,(COUNTIF(Equipment!$V$7:$V$18,"&lt;10")+1)))</f>
        <v/>
      </c>
      <c r="C74" s="1326" t="n"/>
      <c r="D74" s="1364">
        <f>IF($A74="","",MAX(1,INDEX(Equipment!$O$7:$O$18,(COUNTIF(Equipment!$V$7:$V$18,"&lt;10")+1))))</f>
        <v/>
      </c>
      <c r="E74" s="1292" t="n"/>
      <c r="F74" s="1292" t="n"/>
      <c r="G74" s="1292" t="n"/>
      <c r="H74" s="1292" t="n"/>
      <c r="I74" s="1373">
        <f>N($C74)*MAX(1,N($D74))*2*MAX(1,N($O74))</f>
        <v/>
      </c>
      <c r="J74" s="1373">
        <f>N($C74)*MAX(1,N($D74))*MAX(1,N($O74))</f>
        <v/>
      </c>
      <c r="K74" s="1373">
        <f>N($C74)*MAX(1,N($D74))*MAX(1,N($O74))</f>
        <v/>
      </c>
      <c r="L74" s="1373">
        <f>N($C74)</f>
        <v/>
      </c>
      <c r="M74" s="1373">
        <f>IF($H74="Yes",0,N($C74))</f>
        <v/>
      </c>
      <c r="N74" s="1366">
        <f>IFERROR(N($I74)*INDEX(IF($B$6="Cu",WIRE_CU,WIRE_AL),MATCH($E74,WIRE_SIZE,0)),0)+IFERROR(N($J74)*INDEX(IF($B$6="Cu",WIRE_CU,WIRE_AL),MATCH($F74,WIRE_SIZE,0)),0)+IFERROR(N($K74)*INDEX(PVC_RATE,MATCH($G74,PVC_SIZE,0)),0)+IFERROR(N($L74)*INDEX(PVC_RATE,MATCH("(3/4"")",PVC_SIZE,0)),0)</f>
        <v/>
      </c>
      <c r="O74" s="1304" t="n"/>
      <c r="P74" s="1289" t="n"/>
      <c r="Q74" s="1289" t="n"/>
      <c r="R74" s="1289" t="n"/>
      <c r="S74" s="1289" t="n"/>
      <c r="T74" s="1289" t="n"/>
      <c r="U74" s="1289" t="n"/>
      <c r="V74" s="1289" t="n"/>
      <c r="W74" s="1289" t="n"/>
      <c r="X74" s="1289" t="n"/>
    </row>
    <row r="75" hidden="1" outlineLevel="1" ht="15" customHeight="1" s="254">
      <c r="A75" s="1362">
        <f>IF(N(Equipment!$B$38)&gt;=11,"Dispenser 11","")</f>
        <v/>
      </c>
      <c r="B75" s="1362">
        <f>IF($A75="","","Line "&amp;(COUNTIF(Equipment!$V$7:$V$18,"&lt;11")+1)&amp;" cabinet "&amp;ROUNDUP((11-INDEX(Equipment!$U$7:$U$18,(COUNTIF(Equipment!$V$7:$V$18,"&lt;11")+1))+1)/MAX(1,INDEX(Equipment!$N$7:$N$18,(COUNTIF(Equipment!$V$7:$V$18,"&lt;11")+1))),0)&amp;" — "&amp;INDEX(Equipment!$C$7:$C$18,(COUNTIF(Equipment!$V$7:$V$18,"&lt;11")+1)))</f>
        <v/>
      </c>
      <c r="C75" s="1326" t="n"/>
      <c r="D75" s="1364">
        <f>IF($A75="","",MAX(1,INDEX(Equipment!$O$7:$O$18,(COUNTIF(Equipment!$V$7:$V$18,"&lt;11")+1))))</f>
        <v/>
      </c>
      <c r="E75" s="1292" t="n"/>
      <c r="F75" s="1292" t="n"/>
      <c r="G75" s="1292" t="n"/>
      <c r="H75" s="1292" t="n"/>
      <c r="I75" s="1373">
        <f>N($C75)*MAX(1,N($D75))*2*MAX(1,N($O75))</f>
        <v/>
      </c>
      <c r="J75" s="1373">
        <f>N($C75)*MAX(1,N($D75))*MAX(1,N($O75))</f>
        <v/>
      </c>
      <c r="K75" s="1373">
        <f>N($C75)*MAX(1,N($D75))*MAX(1,N($O75))</f>
        <v/>
      </c>
      <c r="L75" s="1373">
        <f>N($C75)</f>
        <v/>
      </c>
      <c r="M75" s="1373">
        <f>IF($H75="Yes",0,N($C75))</f>
        <v/>
      </c>
      <c r="N75" s="1366">
        <f>IFERROR(N($I75)*INDEX(IF($B$6="Cu",WIRE_CU,WIRE_AL),MATCH($E75,WIRE_SIZE,0)),0)+IFERROR(N($J75)*INDEX(IF($B$6="Cu",WIRE_CU,WIRE_AL),MATCH($F75,WIRE_SIZE,0)),0)+IFERROR(N($K75)*INDEX(PVC_RATE,MATCH($G75,PVC_SIZE,0)),0)+IFERROR(N($L75)*INDEX(PVC_RATE,MATCH("(3/4"")",PVC_SIZE,0)),0)</f>
        <v/>
      </c>
      <c r="O75" s="1304" t="n"/>
      <c r="P75" s="1289" t="n"/>
      <c r="Q75" s="1289" t="n"/>
      <c r="R75" s="1289" t="n"/>
      <c r="S75" s="1289" t="n"/>
      <c r="T75" s="1289" t="n"/>
      <c r="U75" s="1289" t="n"/>
      <c r="V75" s="1289" t="n"/>
      <c r="W75" s="1289" t="n"/>
      <c r="X75" s="1289" t="n"/>
    </row>
    <row r="76" hidden="1" outlineLevel="1" ht="15" customHeight="1" s="254">
      <c r="A76" s="1362">
        <f>IF(N(Equipment!$B$38)&gt;=12,"Dispenser 12","")</f>
        <v/>
      </c>
      <c r="B76" s="1362">
        <f>IF($A76="","","Line "&amp;(COUNTIF(Equipment!$V$7:$V$18,"&lt;12")+1)&amp;" cabinet "&amp;ROUNDUP((12-INDEX(Equipment!$U$7:$U$18,(COUNTIF(Equipment!$V$7:$V$18,"&lt;12")+1))+1)/MAX(1,INDEX(Equipment!$N$7:$N$18,(COUNTIF(Equipment!$V$7:$V$18,"&lt;12")+1))),0)&amp;" — "&amp;INDEX(Equipment!$C$7:$C$18,(COUNTIF(Equipment!$V$7:$V$18,"&lt;12")+1)))</f>
        <v/>
      </c>
      <c r="C76" s="1326" t="n"/>
      <c r="D76" s="1364">
        <f>IF($A76="","",MAX(1,INDEX(Equipment!$O$7:$O$18,(COUNTIF(Equipment!$V$7:$V$18,"&lt;12")+1))))</f>
        <v/>
      </c>
      <c r="E76" s="1292" t="n"/>
      <c r="F76" s="1292" t="n"/>
      <c r="G76" s="1292" t="n"/>
      <c r="H76" s="1292" t="n"/>
      <c r="I76" s="1373">
        <f>N($C76)*MAX(1,N($D76))*2*MAX(1,N($O76))</f>
        <v/>
      </c>
      <c r="J76" s="1373">
        <f>N($C76)*MAX(1,N($D76))*MAX(1,N($O76))</f>
        <v/>
      </c>
      <c r="K76" s="1373">
        <f>N($C76)*MAX(1,N($D76))*MAX(1,N($O76))</f>
        <v/>
      </c>
      <c r="L76" s="1373">
        <f>N($C76)</f>
        <v/>
      </c>
      <c r="M76" s="1373">
        <f>IF($H76="Yes",0,N($C76))</f>
        <v/>
      </c>
      <c r="N76" s="1366">
        <f>IFERROR(N($I76)*INDEX(IF($B$6="Cu",WIRE_CU,WIRE_AL),MATCH($E76,WIRE_SIZE,0)),0)+IFERROR(N($J76)*INDEX(IF($B$6="Cu",WIRE_CU,WIRE_AL),MATCH($F76,WIRE_SIZE,0)),0)+IFERROR(N($K76)*INDEX(PVC_RATE,MATCH($G76,PVC_SIZE,0)),0)+IFERROR(N($L76)*INDEX(PVC_RATE,MATCH("(3/4"")",PVC_SIZE,0)),0)</f>
        <v/>
      </c>
      <c r="O76" s="1304" t="n"/>
      <c r="P76" s="1289" t="n"/>
      <c r="Q76" s="1289" t="n"/>
      <c r="R76" s="1289" t="n"/>
      <c r="S76" s="1289" t="n"/>
      <c r="T76" s="1289" t="n"/>
      <c r="U76" s="1289" t="n"/>
      <c r="V76" s="1289" t="n"/>
      <c r="W76" s="1289" t="n"/>
      <c r="X76" s="1289" t="n"/>
    </row>
    <row r="77" hidden="1" outlineLevel="1" ht="15" customHeight="1" s="254">
      <c r="A77" s="1362">
        <f>IF(N(Equipment!$B$38)&gt;=13,"Dispenser 13","")</f>
        <v/>
      </c>
      <c r="B77" s="1362">
        <f>IF($A77="","","Line "&amp;(COUNTIF(Equipment!$V$7:$V$18,"&lt;13")+1)&amp;" cabinet "&amp;ROUNDUP((13-INDEX(Equipment!$U$7:$U$18,(COUNTIF(Equipment!$V$7:$V$18,"&lt;13")+1))+1)/MAX(1,INDEX(Equipment!$N$7:$N$18,(COUNTIF(Equipment!$V$7:$V$18,"&lt;13")+1))),0)&amp;" — "&amp;INDEX(Equipment!$C$7:$C$18,(COUNTIF(Equipment!$V$7:$V$18,"&lt;13")+1)))</f>
        <v/>
      </c>
      <c r="C77" s="1326" t="n"/>
      <c r="D77" s="1364">
        <f>IF($A77="","",MAX(1,INDEX(Equipment!$O$7:$O$18,(COUNTIF(Equipment!$V$7:$V$18,"&lt;13")+1))))</f>
        <v/>
      </c>
      <c r="E77" s="1292" t="n"/>
      <c r="F77" s="1292" t="n"/>
      <c r="G77" s="1292" t="n"/>
      <c r="H77" s="1292" t="n"/>
      <c r="I77" s="1373">
        <f>N($C77)*MAX(1,N($D77))*2*MAX(1,N($O77))</f>
        <v/>
      </c>
      <c r="J77" s="1373">
        <f>N($C77)*MAX(1,N($D77))*MAX(1,N($O77))</f>
        <v/>
      </c>
      <c r="K77" s="1373">
        <f>N($C77)*MAX(1,N($D77))*MAX(1,N($O77))</f>
        <v/>
      </c>
      <c r="L77" s="1373">
        <f>N($C77)</f>
        <v/>
      </c>
      <c r="M77" s="1373">
        <f>IF($H77="Yes",0,N($C77))</f>
        <v/>
      </c>
      <c r="N77" s="1366">
        <f>IFERROR(N($I77)*INDEX(IF($B$6="Cu",WIRE_CU,WIRE_AL),MATCH($E77,WIRE_SIZE,0)),0)+IFERROR(N($J77)*INDEX(IF($B$6="Cu",WIRE_CU,WIRE_AL),MATCH($F77,WIRE_SIZE,0)),0)+IFERROR(N($K77)*INDEX(PVC_RATE,MATCH($G77,PVC_SIZE,0)),0)+IFERROR(N($L77)*INDEX(PVC_RATE,MATCH("(3/4"")",PVC_SIZE,0)),0)</f>
        <v/>
      </c>
      <c r="O77" s="1304" t="n"/>
      <c r="P77" s="1289" t="n"/>
      <c r="Q77" s="1289" t="n"/>
      <c r="R77" s="1289" t="n"/>
      <c r="S77" s="1289" t="n"/>
      <c r="T77" s="1289" t="n"/>
      <c r="U77" s="1289" t="n"/>
      <c r="V77" s="1289" t="n"/>
      <c r="W77" s="1289" t="n"/>
      <c r="X77" s="1289" t="n"/>
    </row>
    <row r="78" hidden="1" outlineLevel="1" ht="15" customHeight="1" s="254">
      <c r="A78" s="1362">
        <f>IF(N(Equipment!$B$38)&gt;=14,"Dispenser 14","")</f>
        <v/>
      </c>
      <c r="B78" s="1362">
        <f>IF($A78="","","Line "&amp;(COUNTIF(Equipment!$V$7:$V$18,"&lt;14")+1)&amp;" cabinet "&amp;ROUNDUP((14-INDEX(Equipment!$U$7:$U$18,(COUNTIF(Equipment!$V$7:$V$18,"&lt;14")+1))+1)/MAX(1,INDEX(Equipment!$N$7:$N$18,(COUNTIF(Equipment!$V$7:$V$18,"&lt;14")+1))),0)&amp;" — "&amp;INDEX(Equipment!$C$7:$C$18,(COUNTIF(Equipment!$V$7:$V$18,"&lt;14")+1)))</f>
        <v/>
      </c>
      <c r="C78" s="1326" t="n"/>
      <c r="D78" s="1364">
        <f>IF($A78="","",MAX(1,INDEX(Equipment!$O$7:$O$18,(COUNTIF(Equipment!$V$7:$V$18,"&lt;14")+1))))</f>
        <v/>
      </c>
      <c r="E78" s="1292" t="n"/>
      <c r="F78" s="1292" t="n"/>
      <c r="G78" s="1292" t="n"/>
      <c r="H78" s="1292" t="n"/>
      <c r="I78" s="1373">
        <f>N($C78)*MAX(1,N($D78))*2*MAX(1,N($O78))</f>
        <v/>
      </c>
      <c r="J78" s="1373">
        <f>N($C78)*MAX(1,N($D78))*MAX(1,N($O78))</f>
        <v/>
      </c>
      <c r="K78" s="1373">
        <f>N($C78)*MAX(1,N($D78))*MAX(1,N($O78))</f>
        <v/>
      </c>
      <c r="L78" s="1373">
        <f>N($C78)</f>
        <v/>
      </c>
      <c r="M78" s="1373">
        <f>IF($H78="Yes",0,N($C78))</f>
        <v/>
      </c>
      <c r="N78" s="1366">
        <f>IFERROR(N($I78)*INDEX(IF($B$6="Cu",WIRE_CU,WIRE_AL),MATCH($E78,WIRE_SIZE,0)),0)+IFERROR(N($J78)*INDEX(IF($B$6="Cu",WIRE_CU,WIRE_AL),MATCH($F78,WIRE_SIZE,0)),0)+IFERROR(N($K78)*INDEX(PVC_RATE,MATCH($G78,PVC_SIZE,0)),0)+IFERROR(N($L78)*INDEX(PVC_RATE,MATCH("(3/4"")",PVC_SIZE,0)),0)</f>
        <v/>
      </c>
      <c r="O78" s="1304" t="n"/>
      <c r="P78" s="1289" t="n"/>
      <c r="Q78" s="1289" t="n"/>
      <c r="R78" s="1289" t="n"/>
      <c r="S78" s="1289" t="n"/>
      <c r="T78" s="1289" t="n"/>
      <c r="U78" s="1289" t="n"/>
      <c r="V78" s="1289" t="n"/>
      <c r="W78" s="1289" t="n"/>
      <c r="X78" s="1289" t="n"/>
    </row>
    <row r="79" hidden="1" outlineLevel="1" ht="15" customHeight="1" s="254">
      <c r="A79" s="1362">
        <f>IF(N(Equipment!$B$38)&gt;=15,"Dispenser 15","")</f>
        <v/>
      </c>
      <c r="B79" s="1362">
        <f>IF($A79="","","Line "&amp;(COUNTIF(Equipment!$V$7:$V$18,"&lt;15")+1)&amp;" cabinet "&amp;ROUNDUP((15-INDEX(Equipment!$U$7:$U$18,(COUNTIF(Equipment!$V$7:$V$18,"&lt;15")+1))+1)/MAX(1,INDEX(Equipment!$N$7:$N$18,(COUNTIF(Equipment!$V$7:$V$18,"&lt;15")+1))),0)&amp;" — "&amp;INDEX(Equipment!$C$7:$C$18,(COUNTIF(Equipment!$V$7:$V$18,"&lt;15")+1)))</f>
        <v/>
      </c>
      <c r="C79" s="1326" t="n"/>
      <c r="D79" s="1364">
        <f>IF($A79="","",MAX(1,INDEX(Equipment!$O$7:$O$18,(COUNTIF(Equipment!$V$7:$V$18,"&lt;15")+1))))</f>
        <v/>
      </c>
      <c r="E79" s="1292" t="n"/>
      <c r="F79" s="1292" t="n"/>
      <c r="G79" s="1292" t="n"/>
      <c r="H79" s="1292" t="n"/>
      <c r="I79" s="1373">
        <f>N($C79)*MAX(1,N($D79))*2*MAX(1,N($O79))</f>
        <v/>
      </c>
      <c r="J79" s="1373">
        <f>N($C79)*MAX(1,N($D79))*MAX(1,N($O79))</f>
        <v/>
      </c>
      <c r="K79" s="1373">
        <f>N($C79)*MAX(1,N($D79))*MAX(1,N($O79))</f>
        <v/>
      </c>
      <c r="L79" s="1373">
        <f>N($C79)</f>
        <v/>
      </c>
      <c r="M79" s="1373">
        <f>IF($H79="Yes",0,N($C79))</f>
        <v/>
      </c>
      <c r="N79" s="1366">
        <f>IFERROR(N($I79)*INDEX(IF($B$6="Cu",WIRE_CU,WIRE_AL),MATCH($E79,WIRE_SIZE,0)),0)+IFERROR(N($J79)*INDEX(IF($B$6="Cu",WIRE_CU,WIRE_AL),MATCH($F79,WIRE_SIZE,0)),0)+IFERROR(N($K79)*INDEX(PVC_RATE,MATCH($G79,PVC_SIZE,0)),0)+IFERROR(N($L79)*INDEX(PVC_RATE,MATCH("(3/4"")",PVC_SIZE,0)),0)</f>
        <v/>
      </c>
      <c r="O79" s="1304" t="n"/>
      <c r="P79" s="1289" t="n"/>
      <c r="Q79" s="1289" t="n"/>
      <c r="R79" s="1289" t="n"/>
      <c r="S79" s="1289" t="n"/>
      <c r="T79" s="1289" t="n"/>
      <c r="U79" s="1289" t="n"/>
      <c r="V79" s="1289" t="n"/>
      <c r="W79" s="1289" t="n"/>
      <c r="X79" s="1289" t="n"/>
    </row>
    <row r="80" hidden="1" outlineLevel="1" ht="15" customHeight="1" s="254">
      <c r="A80" s="1362">
        <f>IF(N(Equipment!$B$38)&gt;=16,"Dispenser 16","")</f>
        <v/>
      </c>
      <c r="B80" s="1362">
        <f>IF($A80="","","Line "&amp;(COUNTIF(Equipment!$V$7:$V$18,"&lt;16")+1)&amp;" cabinet "&amp;ROUNDUP((16-INDEX(Equipment!$U$7:$U$18,(COUNTIF(Equipment!$V$7:$V$18,"&lt;16")+1))+1)/MAX(1,INDEX(Equipment!$N$7:$N$18,(COUNTIF(Equipment!$V$7:$V$18,"&lt;16")+1))),0)&amp;" — "&amp;INDEX(Equipment!$C$7:$C$18,(COUNTIF(Equipment!$V$7:$V$18,"&lt;16")+1)))</f>
        <v/>
      </c>
      <c r="C80" s="1326" t="n"/>
      <c r="D80" s="1364">
        <f>IF($A80="","",MAX(1,INDEX(Equipment!$O$7:$O$18,(COUNTIF(Equipment!$V$7:$V$18,"&lt;16")+1))))</f>
        <v/>
      </c>
      <c r="E80" s="1292" t="n"/>
      <c r="F80" s="1292" t="n"/>
      <c r="G80" s="1292" t="n"/>
      <c r="H80" s="1292" t="n"/>
      <c r="I80" s="1373">
        <f>N($C80)*MAX(1,N($D80))*2*MAX(1,N($O80))</f>
        <v/>
      </c>
      <c r="J80" s="1373">
        <f>N($C80)*MAX(1,N($D80))*MAX(1,N($O80))</f>
        <v/>
      </c>
      <c r="K80" s="1373">
        <f>N($C80)*MAX(1,N($D80))*MAX(1,N($O80))</f>
        <v/>
      </c>
      <c r="L80" s="1373">
        <f>N($C80)</f>
        <v/>
      </c>
      <c r="M80" s="1373">
        <f>IF($H80="Yes",0,N($C80))</f>
        <v/>
      </c>
      <c r="N80" s="1366">
        <f>IFERROR(N($I80)*INDEX(IF($B$6="Cu",WIRE_CU,WIRE_AL),MATCH($E80,WIRE_SIZE,0)),0)+IFERROR(N($J80)*INDEX(IF($B$6="Cu",WIRE_CU,WIRE_AL),MATCH($F80,WIRE_SIZE,0)),0)+IFERROR(N($K80)*INDEX(PVC_RATE,MATCH($G80,PVC_SIZE,0)),0)+IFERROR(N($L80)*INDEX(PVC_RATE,MATCH("(3/4"")",PVC_SIZE,0)),0)</f>
        <v/>
      </c>
      <c r="O80" s="1304" t="n"/>
      <c r="P80" s="1289" t="n"/>
      <c r="Q80" s="1289" t="n"/>
      <c r="R80" s="1289" t="n"/>
      <c r="S80" s="1289" t="n"/>
      <c r="T80" s="1289" t="n"/>
      <c r="U80" s="1289" t="n"/>
      <c r="V80" s="1289" t="n"/>
      <c r="W80" s="1289" t="n"/>
      <c r="X80" s="1289" t="n"/>
    </row>
    <row r="81" hidden="1" outlineLevel="1" ht="15" customHeight="1" s="254">
      <c r="A81" s="1362">
        <f>IF(N(Equipment!$B$38)&gt;=17,"Dispenser 17","")</f>
        <v/>
      </c>
      <c r="B81" s="1362">
        <f>IF($A81="","","Line "&amp;(COUNTIF(Equipment!$V$7:$V$18,"&lt;17")+1)&amp;" cabinet "&amp;ROUNDUP((17-INDEX(Equipment!$U$7:$U$18,(COUNTIF(Equipment!$V$7:$V$18,"&lt;17")+1))+1)/MAX(1,INDEX(Equipment!$N$7:$N$18,(COUNTIF(Equipment!$V$7:$V$18,"&lt;17")+1))),0)&amp;" — "&amp;INDEX(Equipment!$C$7:$C$18,(COUNTIF(Equipment!$V$7:$V$18,"&lt;17")+1)))</f>
        <v/>
      </c>
      <c r="C81" s="1326" t="n"/>
      <c r="D81" s="1364">
        <f>IF($A81="","",MAX(1,INDEX(Equipment!$O$7:$O$18,(COUNTIF(Equipment!$V$7:$V$18,"&lt;17")+1))))</f>
        <v/>
      </c>
      <c r="E81" s="1292" t="n"/>
      <c r="F81" s="1292" t="n"/>
      <c r="G81" s="1292" t="n"/>
      <c r="H81" s="1292" t="n"/>
      <c r="I81" s="1373">
        <f>N($C81)*MAX(1,N($D81))*2*MAX(1,N($O81))</f>
        <v/>
      </c>
      <c r="J81" s="1373">
        <f>N($C81)*MAX(1,N($D81))*MAX(1,N($O81))</f>
        <v/>
      </c>
      <c r="K81" s="1373">
        <f>N($C81)*MAX(1,N($D81))*MAX(1,N($O81))</f>
        <v/>
      </c>
      <c r="L81" s="1373">
        <f>N($C81)</f>
        <v/>
      </c>
      <c r="M81" s="1373">
        <f>IF($H81="Yes",0,N($C81))</f>
        <v/>
      </c>
      <c r="N81" s="1366">
        <f>IFERROR(N($I81)*INDEX(IF($B$6="Cu",WIRE_CU,WIRE_AL),MATCH($E81,WIRE_SIZE,0)),0)+IFERROR(N($J81)*INDEX(IF($B$6="Cu",WIRE_CU,WIRE_AL),MATCH($F81,WIRE_SIZE,0)),0)+IFERROR(N($K81)*INDEX(PVC_RATE,MATCH($G81,PVC_SIZE,0)),0)+IFERROR(N($L81)*INDEX(PVC_RATE,MATCH("(3/4"")",PVC_SIZE,0)),0)</f>
        <v/>
      </c>
      <c r="O81" s="1304" t="n"/>
      <c r="P81" s="1289" t="n"/>
      <c r="Q81" s="1289" t="n"/>
      <c r="R81" s="1289" t="n"/>
      <c r="S81" s="1289" t="n"/>
      <c r="T81" s="1289" t="n"/>
      <c r="U81" s="1289" t="n"/>
      <c r="V81" s="1289" t="n"/>
      <c r="W81" s="1289" t="n"/>
      <c r="X81" s="1289" t="n"/>
    </row>
    <row r="82" hidden="1" outlineLevel="1" ht="15" customHeight="1" s="254">
      <c r="A82" s="1362">
        <f>IF(N(Equipment!$B$38)&gt;=18,"Dispenser 18","")</f>
        <v/>
      </c>
      <c r="B82" s="1362">
        <f>IF($A82="","","Line "&amp;(COUNTIF(Equipment!$V$7:$V$18,"&lt;18")+1)&amp;" cabinet "&amp;ROUNDUP((18-INDEX(Equipment!$U$7:$U$18,(COUNTIF(Equipment!$V$7:$V$18,"&lt;18")+1))+1)/MAX(1,INDEX(Equipment!$N$7:$N$18,(COUNTIF(Equipment!$V$7:$V$18,"&lt;18")+1))),0)&amp;" — "&amp;INDEX(Equipment!$C$7:$C$18,(COUNTIF(Equipment!$V$7:$V$18,"&lt;18")+1)))</f>
        <v/>
      </c>
      <c r="C82" s="1326" t="n"/>
      <c r="D82" s="1364">
        <f>IF($A82="","",MAX(1,INDEX(Equipment!$O$7:$O$18,(COUNTIF(Equipment!$V$7:$V$18,"&lt;18")+1))))</f>
        <v/>
      </c>
      <c r="E82" s="1292" t="n"/>
      <c r="F82" s="1292" t="n"/>
      <c r="G82" s="1292" t="n"/>
      <c r="H82" s="1292" t="n"/>
      <c r="I82" s="1373">
        <f>N($C82)*MAX(1,N($D82))*2*MAX(1,N($O82))</f>
        <v/>
      </c>
      <c r="J82" s="1373">
        <f>N($C82)*MAX(1,N($D82))*MAX(1,N($O82))</f>
        <v/>
      </c>
      <c r="K82" s="1373">
        <f>N($C82)*MAX(1,N($D82))*MAX(1,N($O82))</f>
        <v/>
      </c>
      <c r="L82" s="1373">
        <f>N($C82)</f>
        <v/>
      </c>
      <c r="M82" s="1373">
        <f>IF($H82="Yes",0,N($C82))</f>
        <v/>
      </c>
      <c r="N82" s="1366">
        <f>IFERROR(N($I82)*INDEX(IF($B$6="Cu",WIRE_CU,WIRE_AL),MATCH($E82,WIRE_SIZE,0)),0)+IFERROR(N($J82)*INDEX(IF($B$6="Cu",WIRE_CU,WIRE_AL),MATCH($F82,WIRE_SIZE,0)),0)+IFERROR(N($K82)*INDEX(PVC_RATE,MATCH($G82,PVC_SIZE,0)),0)+IFERROR(N($L82)*INDEX(PVC_RATE,MATCH("(3/4"")",PVC_SIZE,0)),0)</f>
        <v/>
      </c>
      <c r="O82" s="1304" t="n"/>
      <c r="P82" s="1289" t="n"/>
      <c r="Q82" s="1289" t="n"/>
      <c r="R82" s="1289" t="n"/>
      <c r="S82" s="1289" t="n"/>
      <c r="T82" s="1289" t="n"/>
      <c r="U82" s="1289" t="n"/>
      <c r="V82" s="1289" t="n"/>
      <c r="W82" s="1289" t="n"/>
      <c r="X82" s="1289" t="n"/>
    </row>
    <row r="83" hidden="1" outlineLevel="1" ht="15" customHeight="1" s="254">
      <c r="A83" s="1362">
        <f>IF(N(Equipment!$B$38)&gt;=19,"Dispenser 19","")</f>
        <v/>
      </c>
      <c r="B83" s="1362">
        <f>IF($A83="","","Line "&amp;(COUNTIF(Equipment!$V$7:$V$18,"&lt;19")+1)&amp;" cabinet "&amp;ROUNDUP((19-INDEX(Equipment!$U$7:$U$18,(COUNTIF(Equipment!$V$7:$V$18,"&lt;19")+1))+1)/MAX(1,INDEX(Equipment!$N$7:$N$18,(COUNTIF(Equipment!$V$7:$V$18,"&lt;19")+1))),0)&amp;" — "&amp;INDEX(Equipment!$C$7:$C$18,(COUNTIF(Equipment!$V$7:$V$18,"&lt;19")+1)))</f>
        <v/>
      </c>
      <c r="C83" s="1326" t="n"/>
      <c r="D83" s="1364">
        <f>IF($A83="","",MAX(1,INDEX(Equipment!$O$7:$O$18,(COUNTIF(Equipment!$V$7:$V$18,"&lt;19")+1))))</f>
        <v/>
      </c>
      <c r="E83" s="1292" t="n"/>
      <c r="F83" s="1292" t="n"/>
      <c r="G83" s="1292" t="n"/>
      <c r="H83" s="1292" t="n"/>
      <c r="I83" s="1373">
        <f>N($C83)*MAX(1,N($D83))*2*MAX(1,N($O83))</f>
        <v/>
      </c>
      <c r="J83" s="1373">
        <f>N($C83)*MAX(1,N($D83))*MAX(1,N($O83))</f>
        <v/>
      </c>
      <c r="K83" s="1373">
        <f>N($C83)*MAX(1,N($D83))*MAX(1,N($O83))</f>
        <v/>
      </c>
      <c r="L83" s="1373">
        <f>N($C83)</f>
        <v/>
      </c>
      <c r="M83" s="1373">
        <f>IF($H83="Yes",0,N($C83))</f>
        <v/>
      </c>
      <c r="N83" s="1366">
        <f>IFERROR(N($I83)*INDEX(IF($B$6="Cu",WIRE_CU,WIRE_AL),MATCH($E83,WIRE_SIZE,0)),0)+IFERROR(N($J83)*INDEX(IF($B$6="Cu",WIRE_CU,WIRE_AL),MATCH($F83,WIRE_SIZE,0)),0)+IFERROR(N($K83)*INDEX(PVC_RATE,MATCH($G83,PVC_SIZE,0)),0)+IFERROR(N($L83)*INDEX(PVC_RATE,MATCH("(3/4"")",PVC_SIZE,0)),0)</f>
        <v/>
      </c>
      <c r="O83" s="1304" t="n"/>
      <c r="P83" s="1289" t="n"/>
      <c r="Q83" s="1289" t="n"/>
      <c r="R83" s="1289" t="n"/>
      <c r="S83" s="1289" t="n"/>
      <c r="T83" s="1289" t="n"/>
      <c r="U83" s="1289" t="n"/>
      <c r="V83" s="1289" t="n"/>
      <c r="W83" s="1289" t="n"/>
      <c r="X83" s="1289" t="n"/>
    </row>
    <row r="84" hidden="1" outlineLevel="1" ht="15" customHeight="1" s="254">
      <c r="A84" s="1362">
        <f>IF(N(Equipment!$B$38)&gt;=20,"Dispenser 20","")</f>
        <v/>
      </c>
      <c r="B84" s="1362">
        <f>IF($A84="","","Line "&amp;(COUNTIF(Equipment!$V$7:$V$18,"&lt;20")+1)&amp;" cabinet "&amp;ROUNDUP((20-INDEX(Equipment!$U$7:$U$18,(COUNTIF(Equipment!$V$7:$V$18,"&lt;20")+1))+1)/MAX(1,INDEX(Equipment!$N$7:$N$18,(COUNTIF(Equipment!$V$7:$V$18,"&lt;20")+1))),0)&amp;" — "&amp;INDEX(Equipment!$C$7:$C$18,(COUNTIF(Equipment!$V$7:$V$18,"&lt;20")+1)))</f>
        <v/>
      </c>
      <c r="C84" s="1326" t="n"/>
      <c r="D84" s="1364">
        <f>IF($A84="","",MAX(1,INDEX(Equipment!$O$7:$O$18,(COUNTIF(Equipment!$V$7:$V$18,"&lt;20")+1))))</f>
        <v/>
      </c>
      <c r="E84" s="1292" t="n"/>
      <c r="F84" s="1292" t="n"/>
      <c r="G84" s="1292" t="n"/>
      <c r="H84" s="1292" t="n"/>
      <c r="I84" s="1373">
        <f>N($C84)*MAX(1,N($D84))*2*MAX(1,N($O84))</f>
        <v/>
      </c>
      <c r="J84" s="1373">
        <f>N($C84)*MAX(1,N($D84))*MAX(1,N($O84))</f>
        <v/>
      </c>
      <c r="K84" s="1373">
        <f>N($C84)*MAX(1,N($D84))*MAX(1,N($O84))</f>
        <v/>
      </c>
      <c r="L84" s="1373">
        <f>N($C84)</f>
        <v/>
      </c>
      <c r="M84" s="1373">
        <f>IF($H84="Yes",0,N($C84))</f>
        <v/>
      </c>
      <c r="N84" s="1366">
        <f>IFERROR(N($I84)*INDEX(IF($B$6="Cu",WIRE_CU,WIRE_AL),MATCH($E84,WIRE_SIZE,0)),0)+IFERROR(N($J84)*INDEX(IF($B$6="Cu",WIRE_CU,WIRE_AL),MATCH($F84,WIRE_SIZE,0)),0)+IFERROR(N($K84)*INDEX(PVC_RATE,MATCH($G84,PVC_SIZE,0)),0)+IFERROR(N($L84)*INDEX(PVC_RATE,MATCH("(3/4"")",PVC_SIZE,0)),0)</f>
        <v/>
      </c>
      <c r="O84" s="1304" t="n"/>
      <c r="P84" s="1289" t="n"/>
      <c r="Q84" s="1289" t="n"/>
      <c r="R84" s="1289" t="n"/>
      <c r="S84" s="1289" t="n"/>
      <c r="T84" s="1289" t="n"/>
      <c r="U84" s="1289" t="n"/>
      <c r="V84" s="1289" t="n"/>
      <c r="W84" s="1289" t="n"/>
      <c r="X84" s="1289" t="n"/>
    </row>
    <row r="85" hidden="1" outlineLevel="1" ht="15" customHeight="1" s="254">
      <c r="A85" s="1362">
        <f>IF(N(Equipment!$B$38)&gt;=21,"Dispenser 21","")</f>
        <v/>
      </c>
      <c r="B85" s="1362">
        <f>IF($A85="","","Line "&amp;(COUNTIF(Equipment!$V$7:$V$18,"&lt;21")+1)&amp;" cabinet "&amp;ROUNDUP((21-INDEX(Equipment!$U$7:$U$18,(COUNTIF(Equipment!$V$7:$V$18,"&lt;21")+1))+1)/MAX(1,INDEX(Equipment!$N$7:$N$18,(COUNTIF(Equipment!$V$7:$V$18,"&lt;21")+1))),0)&amp;" — "&amp;INDEX(Equipment!$C$7:$C$18,(COUNTIF(Equipment!$V$7:$V$18,"&lt;21")+1)))</f>
        <v/>
      </c>
      <c r="C85" s="1326" t="n"/>
      <c r="D85" s="1364">
        <f>IF($A85="","",MAX(1,INDEX(Equipment!$O$7:$O$18,(COUNTIF(Equipment!$V$7:$V$18,"&lt;21")+1))))</f>
        <v/>
      </c>
      <c r="E85" s="1292" t="n"/>
      <c r="F85" s="1292" t="n"/>
      <c r="G85" s="1292" t="n"/>
      <c r="H85" s="1292" t="n"/>
      <c r="I85" s="1373">
        <f>N($C85)*MAX(1,N($D85))*2*MAX(1,N($O85))</f>
        <v/>
      </c>
      <c r="J85" s="1373">
        <f>N($C85)*MAX(1,N($D85))*MAX(1,N($O85))</f>
        <v/>
      </c>
      <c r="K85" s="1373">
        <f>N($C85)*MAX(1,N($D85))*MAX(1,N($O85))</f>
        <v/>
      </c>
      <c r="L85" s="1373">
        <f>N($C85)</f>
        <v/>
      </c>
      <c r="M85" s="1373">
        <f>IF($H85="Yes",0,N($C85))</f>
        <v/>
      </c>
      <c r="N85" s="1366">
        <f>IFERROR(N($I85)*INDEX(IF($B$6="Cu",WIRE_CU,WIRE_AL),MATCH($E85,WIRE_SIZE,0)),0)+IFERROR(N($J85)*INDEX(IF($B$6="Cu",WIRE_CU,WIRE_AL),MATCH($F85,WIRE_SIZE,0)),0)+IFERROR(N($K85)*INDEX(PVC_RATE,MATCH($G85,PVC_SIZE,0)),0)+IFERROR(N($L85)*INDEX(PVC_RATE,MATCH("(3/4"")",PVC_SIZE,0)),0)</f>
        <v/>
      </c>
      <c r="O85" s="1304" t="n"/>
      <c r="P85" s="1289" t="n"/>
      <c r="Q85" s="1289" t="n"/>
      <c r="R85" s="1289" t="n"/>
      <c r="S85" s="1289" t="n"/>
      <c r="T85" s="1289" t="n"/>
      <c r="U85" s="1289" t="n"/>
      <c r="V85" s="1289" t="n"/>
      <c r="W85" s="1289" t="n"/>
      <c r="X85" s="1289" t="n"/>
    </row>
    <row r="86" hidden="1" outlineLevel="1" ht="15" customHeight="1" s="254">
      <c r="A86" s="1362">
        <f>IF(N(Equipment!$B$38)&gt;=22,"Dispenser 22","")</f>
        <v/>
      </c>
      <c r="B86" s="1362">
        <f>IF($A86="","","Line "&amp;(COUNTIF(Equipment!$V$7:$V$18,"&lt;22")+1)&amp;" cabinet "&amp;ROUNDUP((22-INDEX(Equipment!$U$7:$U$18,(COUNTIF(Equipment!$V$7:$V$18,"&lt;22")+1))+1)/MAX(1,INDEX(Equipment!$N$7:$N$18,(COUNTIF(Equipment!$V$7:$V$18,"&lt;22")+1))),0)&amp;" — "&amp;INDEX(Equipment!$C$7:$C$18,(COUNTIF(Equipment!$V$7:$V$18,"&lt;22")+1)))</f>
        <v/>
      </c>
      <c r="C86" s="1326" t="n"/>
      <c r="D86" s="1364">
        <f>IF($A86="","",MAX(1,INDEX(Equipment!$O$7:$O$18,(COUNTIF(Equipment!$V$7:$V$18,"&lt;22")+1))))</f>
        <v/>
      </c>
      <c r="E86" s="1292" t="n"/>
      <c r="F86" s="1292" t="n"/>
      <c r="G86" s="1292" t="n"/>
      <c r="H86" s="1292" t="n"/>
      <c r="I86" s="1373">
        <f>N($C86)*MAX(1,N($D86))*2*MAX(1,N($O86))</f>
        <v/>
      </c>
      <c r="J86" s="1373">
        <f>N($C86)*MAX(1,N($D86))*MAX(1,N($O86))</f>
        <v/>
      </c>
      <c r="K86" s="1373">
        <f>N($C86)*MAX(1,N($D86))*MAX(1,N($O86))</f>
        <v/>
      </c>
      <c r="L86" s="1373">
        <f>N($C86)</f>
        <v/>
      </c>
      <c r="M86" s="1373">
        <f>IF($H86="Yes",0,N($C86))</f>
        <v/>
      </c>
      <c r="N86" s="1366">
        <f>IFERROR(N($I86)*INDEX(IF($B$6="Cu",WIRE_CU,WIRE_AL),MATCH($E86,WIRE_SIZE,0)),0)+IFERROR(N($J86)*INDEX(IF($B$6="Cu",WIRE_CU,WIRE_AL),MATCH($F86,WIRE_SIZE,0)),0)+IFERROR(N($K86)*INDEX(PVC_RATE,MATCH($G86,PVC_SIZE,0)),0)+IFERROR(N($L86)*INDEX(PVC_RATE,MATCH("(3/4"")",PVC_SIZE,0)),0)</f>
        <v/>
      </c>
      <c r="O86" s="1304" t="n"/>
      <c r="P86" s="1289" t="n"/>
      <c r="Q86" s="1289" t="n"/>
      <c r="R86" s="1289" t="n"/>
      <c r="S86" s="1289" t="n"/>
      <c r="T86" s="1289" t="n"/>
      <c r="U86" s="1289" t="n"/>
      <c r="V86" s="1289" t="n"/>
      <c r="W86" s="1289" t="n"/>
      <c r="X86" s="1289" t="n"/>
    </row>
    <row r="87" hidden="1" outlineLevel="1" ht="15" customHeight="1" s="254">
      <c r="A87" s="1362">
        <f>IF(N(Equipment!$B$38)&gt;=23,"Dispenser 23","")</f>
        <v/>
      </c>
      <c r="B87" s="1362">
        <f>IF($A87="","","Line "&amp;(COUNTIF(Equipment!$V$7:$V$18,"&lt;23")+1)&amp;" cabinet "&amp;ROUNDUP((23-INDEX(Equipment!$U$7:$U$18,(COUNTIF(Equipment!$V$7:$V$18,"&lt;23")+1))+1)/MAX(1,INDEX(Equipment!$N$7:$N$18,(COUNTIF(Equipment!$V$7:$V$18,"&lt;23")+1))),0)&amp;" — "&amp;INDEX(Equipment!$C$7:$C$18,(COUNTIF(Equipment!$V$7:$V$18,"&lt;23")+1)))</f>
        <v/>
      </c>
      <c r="C87" s="1326" t="n"/>
      <c r="D87" s="1364">
        <f>IF($A87="","",MAX(1,INDEX(Equipment!$O$7:$O$18,(COUNTIF(Equipment!$V$7:$V$18,"&lt;23")+1))))</f>
        <v/>
      </c>
      <c r="E87" s="1292" t="n"/>
      <c r="F87" s="1292" t="n"/>
      <c r="G87" s="1292" t="n"/>
      <c r="H87" s="1292" t="n"/>
      <c r="I87" s="1373">
        <f>N($C87)*MAX(1,N($D87))*2*MAX(1,N($O87))</f>
        <v/>
      </c>
      <c r="J87" s="1373">
        <f>N($C87)*MAX(1,N($D87))*MAX(1,N($O87))</f>
        <v/>
      </c>
      <c r="K87" s="1373">
        <f>N($C87)*MAX(1,N($D87))*MAX(1,N($O87))</f>
        <v/>
      </c>
      <c r="L87" s="1373">
        <f>N($C87)</f>
        <v/>
      </c>
      <c r="M87" s="1373">
        <f>IF($H87="Yes",0,N($C87))</f>
        <v/>
      </c>
      <c r="N87" s="1366">
        <f>IFERROR(N($I87)*INDEX(IF($B$6="Cu",WIRE_CU,WIRE_AL),MATCH($E87,WIRE_SIZE,0)),0)+IFERROR(N($J87)*INDEX(IF($B$6="Cu",WIRE_CU,WIRE_AL),MATCH($F87,WIRE_SIZE,0)),0)+IFERROR(N($K87)*INDEX(PVC_RATE,MATCH($G87,PVC_SIZE,0)),0)+IFERROR(N($L87)*INDEX(PVC_RATE,MATCH("(3/4"")",PVC_SIZE,0)),0)</f>
        <v/>
      </c>
      <c r="O87" s="1304" t="n"/>
      <c r="P87" s="1289" t="n"/>
      <c r="Q87" s="1289" t="n"/>
      <c r="R87" s="1289" t="n"/>
      <c r="S87" s="1289" t="n"/>
      <c r="T87" s="1289" t="n"/>
      <c r="U87" s="1289" t="n"/>
      <c r="V87" s="1289" t="n"/>
      <c r="W87" s="1289" t="n"/>
      <c r="X87" s="1289" t="n"/>
    </row>
    <row r="88" hidden="1" outlineLevel="1" ht="15" customHeight="1" s="254">
      <c r="A88" s="1362">
        <f>IF(N(Equipment!$B$38)&gt;=24,"Dispenser 24","")</f>
        <v/>
      </c>
      <c r="B88" s="1362">
        <f>IF($A88="","","Line "&amp;(COUNTIF(Equipment!$V$7:$V$18,"&lt;24")+1)&amp;" cabinet "&amp;ROUNDUP((24-INDEX(Equipment!$U$7:$U$18,(COUNTIF(Equipment!$V$7:$V$18,"&lt;24")+1))+1)/MAX(1,INDEX(Equipment!$N$7:$N$18,(COUNTIF(Equipment!$V$7:$V$18,"&lt;24")+1))),0)&amp;" — "&amp;INDEX(Equipment!$C$7:$C$18,(COUNTIF(Equipment!$V$7:$V$18,"&lt;24")+1)))</f>
        <v/>
      </c>
      <c r="C88" s="1326" t="n"/>
      <c r="D88" s="1364">
        <f>IF($A88="","",MAX(1,INDEX(Equipment!$O$7:$O$18,(COUNTIF(Equipment!$V$7:$V$18,"&lt;24")+1))))</f>
        <v/>
      </c>
      <c r="E88" s="1292" t="n"/>
      <c r="F88" s="1292" t="n"/>
      <c r="G88" s="1292" t="n"/>
      <c r="H88" s="1292" t="n"/>
      <c r="I88" s="1373">
        <f>N($C88)*MAX(1,N($D88))*2*MAX(1,N($O88))</f>
        <v/>
      </c>
      <c r="J88" s="1373">
        <f>N($C88)*MAX(1,N($D88))*MAX(1,N($O88))</f>
        <v/>
      </c>
      <c r="K88" s="1373">
        <f>N($C88)*MAX(1,N($D88))*MAX(1,N($O88))</f>
        <v/>
      </c>
      <c r="L88" s="1373">
        <f>N($C88)</f>
        <v/>
      </c>
      <c r="M88" s="1373">
        <f>IF($H88="Yes",0,N($C88))</f>
        <v/>
      </c>
      <c r="N88" s="1366">
        <f>IFERROR(N($I88)*INDEX(IF($B$6="Cu",WIRE_CU,WIRE_AL),MATCH($E88,WIRE_SIZE,0)),0)+IFERROR(N($J88)*INDEX(IF($B$6="Cu",WIRE_CU,WIRE_AL),MATCH($F88,WIRE_SIZE,0)),0)+IFERROR(N($K88)*INDEX(PVC_RATE,MATCH($G88,PVC_SIZE,0)),0)+IFERROR(N($L88)*INDEX(PVC_RATE,MATCH("(3/4"")",PVC_SIZE,0)),0)</f>
        <v/>
      </c>
      <c r="O88" s="1304" t="n"/>
      <c r="P88" s="1289" t="n"/>
      <c r="Q88" s="1289" t="n"/>
      <c r="R88" s="1289" t="n"/>
      <c r="S88" s="1289" t="n"/>
      <c r="T88" s="1289" t="n"/>
      <c r="U88" s="1289" t="n"/>
      <c r="V88" s="1289" t="n"/>
      <c r="W88" s="1289" t="n"/>
      <c r="X88" s="1289" t="n"/>
    </row>
    <row r="89" hidden="1" outlineLevel="1" ht="15" customHeight="1" s="254">
      <c r="A89" s="1362">
        <f>IF(N(Equipment!$B$38)&gt;=25,"Dispenser 25","")</f>
        <v/>
      </c>
      <c r="B89" s="1362">
        <f>IF($A89="","","Line "&amp;(COUNTIF(Equipment!$V$7:$V$18,"&lt;25")+1)&amp;" cabinet "&amp;ROUNDUP((25-INDEX(Equipment!$U$7:$U$18,(COUNTIF(Equipment!$V$7:$V$18,"&lt;25")+1))+1)/MAX(1,INDEX(Equipment!$N$7:$N$18,(COUNTIF(Equipment!$V$7:$V$18,"&lt;25")+1))),0)&amp;" — "&amp;INDEX(Equipment!$C$7:$C$18,(COUNTIF(Equipment!$V$7:$V$18,"&lt;25")+1)))</f>
        <v/>
      </c>
      <c r="C89" s="1326" t="n"/>
      <c r="D89" s="1364">
        <f>IF($A89="","",MAX(1,INDEX(Equipment!$O$7:$O$18,(COUNTIF(Equipment!$V$7:$V$18,"&lt;25")+1))))</f>
        <v/>
      </c>
      <c r="E89" s="1292" t="n"/>
      <c r="F89" s="1292" t="n"/>
      <c r="G89" s="1292" t="n"/>
      <c r="H89" s="1292" t="n"/>
      <c r="I89" s="1373">
        <f>N($C89)*MAX(1,N($D89))*2*MAX(1,N($O89))</f>
        <v/>
      </c>
      <c r="J89" s="1373">
        <f>N($C89)*MAX(1,N($D89))*MAX(1,N($O89))</f>
        <v/>
      </c>
      <c r="K89" s="1373">
        <f>N($C89)*MAX(1,N($D89))*MAX(1,N($O89))</f>
        <v/>
      </c>
      <c r="L89" s="1373">
        <f>N($C89)</f>
        <v/>
      </c>
      <c r="M89" s="1373">
        <f>IF($H89="Yes",0,N($C89))</f>
        <v/>
      </c>
      <c r="N89" s="1366">
        <f>IFERROR(N($I89)*INDEX(IF($B$6="Cu",WIRE_CU,WIRE_AL),MATCH($E89,WIRE_SIZE,0)),0)+IFERROR(N($J89)*INDEX(IF($B$6="Cu",WIRE_CU,WIRE_AL),MATCH($F89,WIRE_SIZE,0)),0)+IFERROR(N($K89)*INDEX(PVC_RATE,MATCH($G89,PVC_SIZE,0)),0)+IFERROR(N($L89)*INDEX(PVC_RATE,MATCH("(3/4"")",PVC_SIZE,0)),0)</f>
        <v/>
      </c>
      <c r="O89" s="1304" t="n"/>
      <c r="P89" s="1289" t="n"/>
      <c r="Q89" s="1289" t="n"/>
      <c r="R89" s="1289" t="n"/>
      <c r="S89" s="1289" t="n"/>
      <c r="T89" s="1289" t="n"/>
      <c r="U89" s="1289" t="n"/>
      <c r="V89" s="1289" t="n"/>
      <c r="W89" s="1289" t="n"/>
      <c r="X89" s="1289" t="n"/>
    </row>
    <row r="90" hidden="1" outlineLevel="1" ht="15" customHeight="1" s="254">
      <c r="A90" s="1362">
        <f>IF(N(Equipment!$B$38)&gt;=26,"Dispenser 26","")</f>
        <v/>
      </c>
      <c r="B90" s="1362">
        <f>IF($A90="","","Line "&amp;(COUNTIF(Equipment!$V$7:$V$18,"&lt;26")+1)&amp;" cabinet "&amp;ROUNDUP((26-INDEX(Equipment!$U$7:$U$18,(COUNTIF(Equipment!$V$7:$V$18,"&lt;26")+1))+1)/MAX(1,INDEX(Equipment!$N$7:$N$18,(COUNTIF(Equipment!$V$7:$V$18,"&lt;26")+1))),0)&amp;" — "&amp;INDEX(Equipment!$C$7:$C$18,(COUNTIF(Equipment!$V$7:$V$18,"&lt;26")+1)))</f>
        <v/>
      </c>
      <c r="C90" s="1326" t="n"/>
      <c r="D90" s="1364">
        <f>IF($A90="","",MAX(1,INDEX(Equipment!$O$7:$O$18,(COUNTIF(Equipment!$V$7:$V$18,"&lt;26")+1))))</f>
        <v/>
      </c>
      <c r="E90" s="1292" t="n"/>
      <c r="F90" s="1292" t="n"/>
      <c r="G90" s="1292" t="n"/>
      <c r="H90" s="1292" t="n"/>
      <c r="I90" s="1373">
        <f>N($C90)*MAX(1,N($D90))*2*MAX(1,N($O90))</f>
        <v/>
      </c>
      <c r="J90" s="1373">
        <f>N($C90)*MAX(1,N($D90))*MAX(1,N($O90))</f>
        <v/>
      </c>
      <c r="K90" s="1373">
        <f>N($C90)*MAX(1,N($D90))*MAX(1,N($O90))</f>
        <v/>
      </c>
      <c r="L90" s="1373">
        <f>N($C90)</f>
        <v/>
      </c>
      <c r="M90" s="1373">
        <f>IF($H90="Yes",0,N($C90))</f>
        <v/>
      </c>
      <c r="N90" s="1366">
        <f>IFERROR(N($I90)*INDEX(IF($B$6="Cu",WIRE_CU,WIRE_AL),MATCH($E90,WIRE_SIZE,0)),0)+IFERROR(N($J90)*INDEX(IF($B$6="Cu",WIRE_CU,WIRE_AL),MATCH($F90,WIRE_SIZE,0)),0)+IFERROR(N($K90)*INDEX(PVC_RATE,MATCH($G90,PVC_SIZE,0)),0)+IFERROR(N($L90)*INDEX(PVC_RATE,MATCH("(3/4"")",PVC_SIZE,0)),0)</f>
        <v/>
      </c>
      <c r="O90" s="1304" t="n"/>
      <c r="P90" s="1289" t="n"/>
      <c r="Q90" s="1289" t="n"/>
      <c r="R90" s="1289" t="n"/>
      <c r="S90" s="1289" t="n"/>
      <c r="T90" s="1289" t="n"/>
      <c r="U90" s="1289" t="n"/>
      <c r="V90" s="1289" t="n"/>
      <c r="W90" s="1289" t="n"/>
      <c r="X90" s="1289" t="n"/>
    </row>
    <row r="91" hidden="1" outlineLevel="1" ht="15" customHeight="1" s="254">
      <c r="A91" s="1362">
        <f>IF(N(Equipment!$B$38)&gt;=27,"Dispenser 27","")</f>
        <v/>
      </c>
      <c r="B91" s="1362">
        <f>IF($A91="","","Line "&amp;(COUNTIF(Equipment!$V$7:$V$18,"&lt;27")+1)&amp;" cabinet "&amp;ROUNDUP((27-INDEX(Equipment!$U$7:$U$18,(COUNTIF(Equipment!$V$7:$V$18,"&lt;27")+1))+1)/MAX(1,INDEX(Equipment!$N$7:$N$18,(COUNTIF(Equipment!$V$7:$V$18,"&lt;27")+1))),0)&amp;" — "&amp;INDEX(Equipment!$C$7:$C$18,(COUNTIF(Equipment!$V$7:$V$18,"&lt;27")+1)))</f>
        <v/>
      </c>
      <c r="C91" s="1326" t="n"/>
      <c r="D91" s="1364">
        <f>IF($A91="","",MAX(1,INDEX(Equipment!$O$7:$O$18,(COUNTIF(Equipment!$V$7:$V$18,"&lt;27")+1))))</f>
        <v/>
      </c>
      <c r="E91" s="1292" t="n"/>
      <c r="F91" s="1292" t="n"/>
      <c r="G91" s="1292" t="n"/>
      <c r="H91" s="1292" t="n"/>
      <c r="I91" s="1373">
        <f>N($C91)*MAX(1,N($D91))*2*MAX(1,N($O91))</f>
        <v/>
      </c>
      <c r="J91" s="1373">
        <f>N($C91)*MAX(1,N($D91))*MAX(1,N($O91))</f>
        <v/>
      </c>
      <c r="K91" s="1373">
        <f>N($C91)*MAX(1,N($D91))*MAX(1,N($O91))</f>
        <v/>
      </c>
      <c r="L91" s="1373">
        <f>N($C91)</f>
        <v/>
      </c>
      <c r="M91" s="1373">
        <f>IF($H91="Yes",0,N($C91))</f>
        <v/>
      </c>
      <c r="N91" s="1366">
        <f>IFERROR(N($I91)*INDEX(IF($B$6="Cu",WIRE_CU,WIRE_AL),MATCH($E91,WIRE_SIZE,0)),0)+IFERROR(N($J91)*INDEX(IF($B$6="Cu",WIRE_CU,WIRE_AL),MATCH($F91,WIRE_SIZE,0)),0)+IFERROR(N($K91)*INDEX(PVC_RATE,MATCH($G91,PVC_SIZE,0)),0)+IFERROR(N($L91)*INDEX(PVC_RATE,MATCH("(3/4"")",PVC_SIZE,0)),0)</f>
        <v/>
      </c>
      <c r="O91" s="1304" t="n"/>
      <c r="P91" s="1289" t="n"/>
      <c r="Q91" s="1289" t="n"/>
      <c r="R91" s="1289" t="n"/>
      <c r="S91" s="1289" t="n"/>
      <c r="T91" s="1289" t="n"/>
      <c r="U91" s="1289" t="n"/>
      <c r="V91" s="1289" t="n"/>
      <c r="W91" s="1289" t="n"/>
      <c r="X91" s="1289" t="n"/>
    </row>
    <row r="92" hidden="1" outlineLevel="1" ht="15" customHeight="1" s="254">
      <c r="A92" s="1362">
        <f>IF(N(Equipment!$B$38)&gt;=28,"Dispenser 28","")</f>
        <v/>
      </c>
      <c r="B92" s="1362">
        <f>IF($A92="","","Line "&amp;(COUNTIF(Equipment!$V$7:$V$18,"&lt;28")+1)&amp;" cabinet "&amp;ROUNDUP((28-INDEX(Equipment!$U$7:$U$18,(COUNTIF(Equipment!$V$7:$V$18,"&lt;28")+1))+1)/MAX(1,INDEX(Equipment!$N$7:$N$18,(COUNTIF(Equipment!$V$7:$V$18,"&lt;28")+1))),0)&amp;" — "&amp;INDEX(Equipment!$C$7:$C$18,(COUNTIF(Equipment!$V$7:$V$18,"&lt;28")+1)))</f>
        <v/>
      </c>
      <c r="C92" s="1326" t="n"/>
      <c r="D92" s="1364">
        <f>IF($A92="","",MAX(1,INDEX(Equipment!$O$7:$O$18,(COUNTIF(Equipment!$V$7:$V$18,"&lt;28")+1))))</f>
        <v/>
      </c>
      <c r="E92" s="1292" t="n"/>
      <c r="F92" s="1292" t="n"/>
      <c r="G92" s="1292" t="n"/>
      <c r="H92" s="1292" t="n"/>
      <c r="I92" s="1373">
        <f>N($C92)*MAX(1,N($D92))*2*MAX(1,N($O92))</f>
        <v/>
      </c>
      <c r="J92" s="1373">
        <f>N($C92)*MAX(1,N($D92))*MAX(1,N($O92))</f>
        <v/>
      </c>
      <c r="K92" s="1373">
        <f>N($C92)*MAX(1,N($D92))*MAX(1,N($O92))</f>
        <v/>
      </c>
      <c r="L92" s="1373">
        <f>N($C92)</f>
        <v/>
      </c>
      <c r="M92" s="1373">
        <f>IF($H92="Yes",0,N($C92))</f>
        <v/>
      </c>
      <c r="N92" s="1366">
        <f>IFERROR(N($I92)*INDEX(IF($B$6="Cu",WIRE_CU,WIRE_AL),MATCH($E92,WIRE_SIZE,0)),0)+IFERROR(N($J92)*INDEX(IF($B$6="Cu",WIRE_CU,WIRE_AL),MATCH($F92,WIRE_SIZE,0)),0)+IFERROR(N($K92)*INDEX(PVC_RATE,MATCH($G92,PVC_SIZE,0)),0)+IFERROR(N($L92)*INDEX(PVC_RATE,MATCH("(3/4"")",PVC_SIZE,0)),0)</f>
        <v/>
      </c>
      <c r="O92" s="1304" t="n"/>
      <c r="P92" s="1289" t="n"/>
      <c r="Q92" s="1289" t="n"/>
      <c r="R92" s="1289" t="n"/>
      <c r="S92" s="1289" t="n"/>
      <c r="T92" s="1289" t="n"/>
      <c r="U92" s="1289" t="n"/>
      <c r="V92" s="1289" t="n"/>
      <c r="W92" s="1289" t="n"/>
      <c r="X92" s="1289" t="n"/>
    </row>
    <row r="93" hidden="1" outlineLevel="1" ht="15" customHeight="1" s="254">
      <c r="A93" s="1362">
        <f>IF(N(Equipment!$B$38)&gt;=29,"Dispenser 29","")</f>
        <v/>
      </c>
      <c r="B93" s="1362">
        <f>IF($A93="","","Line "&amp;(COUNTIF(Equipment!$V$7:$V$18,"&lt;29")+1)&amp;" cabinet "&amp;ROUNDUP((29-INDEX(Equipment!$U$7:$U$18,(COUNTIF(Equipment!$V$7:$V$18,"&lt;29")+1))+1)/MAX(1,INDEX(Equipment!$N$7:$N$18,(COUNTIF(Equipment!$V$7:$V$18,"&lt;29")+1))),0)&amp;" — "&amp;INDEX(Equipment!$C$7:$C$18,(COUNTIF(Equipment!$V$7:$V$18,"&lt;29")+1)))</f>
        <v/>
      </c>
      <c r="C93" s="1326" t="n"/>
      <c r="D93" s="1364">
        <f>IF($A93="","",MAX(1,INDEX(Equipment!$O$7:$O$18,(COUNTIF(Equipment!$V$7:$V$18,"&lt;29")+1))))</f>
        <v/>
      </c>
      <c r="E93" s="1292" t="n"/>
      <c r="F93" s="1292" t="n"/>
      <c r="G93" s="1292" t="n"/>
      <c r="H93" s="1292" t="n"/>
      <c r="I93" s="1373">
        <f>N($C93)*MAX(1,N($D93))*2*MAX(1,N($O93))</f>
        <v/>
      </c>
      <c r="J93" s="1373">
        <f>N($C93)*MAX(1,N($D93))*MAX(1,N($O93))</f>
        <v/>
      </c>
      <c r="K93" s="1373">
        <f>N($C93)*MAX(1,N($D93))*MAX(1,N($O93))</f>
        <v/>
      </c>
      <c r="L93" s="1373">
        <f>N($C93)</f>
        <v/>
      </c>
      <c r="M93" s="1373">
        <f>IF($H93="Yes",0,N($C93))</f>
        <v/>
      </c>
      <c r="N93" s="1366">
        <f>IFERROR(N($I93)*INDEX(IF($B$6="Cu",WIRE_CU,WIRE_AL),MATCH($E93,WIRE_SIZE,0)),0)+IFERROR(N($J93)*INDEX(IF($B$6="Cu",WIRE_CU,WIRE_AL),MATCH($F93,WIRE_SIZE,0)),0)+IFERROR(N($K93)*INDEX(PVC_RATE,MATCH($G93,PVC_SIZE,0)),0)+IFERROR(N($L93)*INDEX(PVC_RATE,MATCH("(3/4"")",PVC_SIZE,0)),0)</f>
        <v/>
      </c>
      <c r="O93" s="1304" t="n"/>
      <c r="P93" s="1289" t="n"/>
      <c r="Q93" s="1289" t="n"/>
      <c r="R93" s="1289" t="n"/>
      <c r="S93" s="1289" t="n"/>
      <c r="T93" s="1289" t="n"/>
      <c r="U93" s="1289" t="n"/>
      <c r="V93" s="1289" t="n"/>
      <c r="W93" s="1289" t="n"/>
      <c r="X93" s="1289" t="n"/>
    </row>
    <row r="94" hidden="1" outlineLevel="1" ht="15" customHeight="1" s="254">
      <c r="A94" s="1362">
        <f>IF(N(Equipment!$B$38)&gt;=30,"Dispenser 30","")</f>
        <v/>
      </c>
      <c r="B94" s="1362">
        <f>IF($A94="","","Line "&amp;(COUNTIF(Equipment!$V$7:$V$18,"&lt;30")+1)&amp;" cabinet "&amp;ROUNDUP((30-INDEX(Equipment!$U$7:$U$18,(COUNTIF(Equipment!$V$7:$V$18,"&lt;30")+1))+1)/MAX(1,INDEX(Equipment!$N$7:$N$18,(COUNTIF(Equipment!$V$7:$V$18,"&lt;30")+1))),0)&amp;" — "&amp;INDEX(Equipment!$C$7:$C$18,(COUNTIF(Equipment!$V$7:$V$18,"&lt;30")+1)))</f>
        <v/>
      </c>
      <c r="C94" s="1326" t="n"/>
      <c r="D94" s="1364">
        <f>IF($A94="","",MAX(1,INDEX(Equipment!$O$7:$O$18,(COUNTIF(Equipment!$V$7:$V$18,"&lt;30")+1))))</f>
        <v/>
      </c>
      <c r="E94" s="1292" t="n"/>
      <c r="F94" s="1292" t="n"/>
      <c r="G94" s="1292" t="n"/>
      <c r="H94" s="1292" t="n"/>
      <c r="I94" s="1373">
        <f>N($C94)*MAX(1,N($D94))*2*MAX(1,N($O94))</f>
        <v/>
      </c>
      <c r="J94" s="1373">
        <f>N($C94)*MAX(1,N($D94))*MAX(1,N($O94))</f>
        <v/>
      </c>
      <c r="K94" s="1373">
        <f>N($C94)*MAX(1,N($D94))*MAX(1,N($O94))</f>
        <v/>
      </c>
      <c r="L94" s="1373">
        <f>N($C94)</f>
        <v/>
      </c>
      <c r="M94" s="1373">
        <f>IF($H94="Yes",0,N($C94))</f>
        <v/>
      </c>
      <c r="N94" s="1366">
        <f>IFERROR(N($I94)*INDEX(IF($B$6="Cu",WIRE_CU,WIRE_AL),MATCH($E94,WIRE_SIZE,0)),0)+IFERROR(N($J94)*INDEX(IF($B$6="Cu",WIRE_CU,WIRE_AL),MATCH($F94,WIRE_SIZE,0)),0)+IFERROR(N($K94)*INDEX(PVC_RATE,MATCH($G94,PVC_SIZE,0)),0)+IFERROR(N($L94)*INDEX(PVC_RATE,MATCH("(3/4"")",PVC_SIZE,0)),0)</f>
        <v/>
      </c>
      <c r="O94" s="1304" t="n"/>
      <c r="P94" s="1289" t="n"/>
      <c r="Q94" s="1289" t="n"/>
      <c r="R94" s="1289" t="n"/>
      <c r="S94" s="1289" t="n"/>
      <c r="T94" s="1289" t="n"/>
      <c r="U94" s="1289" t="n"/>
      <c r="V94" s="1289" t="n"/>
      <c r="W94" s="1289" t="n"/>
      <c r="X94" s="1289" t="n"/>
    </row>
    <row r="95" hidden="1" outlineLevel="1" ht="15" customHeight="1" s="254">
      <c r="A95" s="1362">
        <f>IF(N(Equipment!$B$38)&gt;=31,"Dispenser 31","")</f>
        <v/>
      </c>
      <c r="B95" s="1362">
        <f>IF($A95="","","Line "&amp;(COUNTIF(Equipment!$V$7:$V$18,"&lt;31")+1)&amp;" cabinet "&amp;ROUNDUP((31-INDEX(Equipment!$U$7:$U$18,(COUNTIF(Equipment!$V$7:$V$18,"&lt;31")+1))+1)/MAX(1,INDEX(Equipment!$N$7:$N$18,(COUNTIF(Equipment!$V$7:$V$18,"&lt;31")+1))),0)&amp;" — "&amp;INDEX(Equipment!$C$7:$C$18,(COUNTIF(Equipment!$V$7:$V$18,"&lt;31")+1)))</f>
        <v/>
      </c>
      <c r="C95" s="1326" t="n"/>
      <c r="D95" s="1364">
        <f>IF($A95="","",MAX(1,INDEX(Equipment!$O$7:$O$18,(COUNTIF(Equipment!$V$7:$V$18,"&lt;31")+1))))</f>
        <v/>
      </c>
      <c r="E95" s="1292" t="n"/>
      <c r="F95" s="1292" t="n"/>
      <c r="G95" s="1292" t="n"/>
      <c r="H95" s="1292" t="n"/>
      <c r="I95" s="1373">
        <f>N($C95)*MAX(1,N($D95))*2*MAX(1,N($O95))</f>
        <v/>
      </c>
      <c r="J95" s="1373">
        <f>N($C95)*MAX(1,N($D95))*MAX(1,N($O95))</f>
        <v/>
      </c>
      <c r="K95" s="1373">
        <f>N($C95)*MAX(1,N($D95))*MAX(1,N($O95))</f>
        <v/>
      </c>
      <c r="L95" s="1373">
        <f>N($C95)</f>
        <v/>
      </c>
      <c r="M95" s="1373">
        <f>IF($H95="Yes",0,N($C95))</f>
        <v/>
      </c>
      <c r="N95" s="1366">
        <f>IFERROR(N($I95)*INDEX(IF($B$6="Cu",WIRE_CU,WIRE_AL),MATCH($E95,WIRE_SIZE,0)),0)+IFERROR(N($J95)*INDEX(IF($B$6="Cu",WIRE_CU,WIRE_AL),MATCH($F95,WIRE_SIZE,0)),0)+IFERROR(N($K95)*INDEX(PVC_RATE,MATCH($G95,PVC_SIZE,0)),0)+IFERROR(N($L95)*INDEX(PVC_RATE,MATCH("(3/4"")",PVC_SIZE,0)),0)</f>
        <v/>
      </c>
      <c r="O95" s="1304" t="n"/>
      <c r="P95" s="1289" t="n"/>
      <c r="Q95" s="1289" t="n"/>
      <c r="R95" s="1289" t="n"/>
      <c r="S95" s="1289" t="n"/>
      <c r="T95" s="1289" t="n"/>
      <c r="U95" s="1289" t="n"/>
      <c r="V95" s="1289" t="n"/>
      <c r="W95" s="1289" t="n"/>
      <c r="X95" s="1289" t="n"/>
    </row>
    <row r="96" hidden="1" outlineLevel="1" ht="15" customHeight="1" s="254">
      <c r="A96" s="1362">
        <f>IF(N(Equipment!$B$38)&gt;=32,"Dispenser 32","")</f>
        <v/>
      </c>
      <c r="B96" s="1362">
        <f>IF($A96="","","Line "&amp;(COUNTIF(Equipment!$V$7:$V$18,"&lt;32")+1)&amp;" cabinet "&amp;ROUNDUP((32-INDEX(Equipment!$U$7:$U$18,(COUNTIF(Equipment!$V$7:$V$18,"&lt;32")+1))+1)/MAX(1,INDEX(Equipment!$N$7:$N$18,(COUNTIF(Equipment!$V$7:$V$18,"&lt;32")+1))),0)&amp;" — "&amp;INDEX(Equipment!$C$7:$C$18,(COUNTIF(Equipment!$V$7:$V$18,"&lt;32")+1)))</f>
        <v/>
      </c>
      <c r="C96" s="1326" t="n"/>
      <c r="D96" s="1364">
        <f>IF($A96="","",MAX(1,INDEX(Equipment!$O$7:$O$18,(COUNTIF(Equipment!$V$7:$V$18,"&lt;32")+1))))</f>
        <v/>
      </c>
      <c r="E96" s="1292" t="n"/>
      <c r="F96" s="1292" t="n"/>
      <c r="G96" s="1292" t="n"/>
      <c r="H96" s="1292" t="n"/>
      <c r="I96" s="1373">
        <f>N($C96)*MAX(1,N($D96))*2*MAX(1,N($O96))</f>
        <v/>
      </c>
      <c r="J96" s="1373">
        <f>N($C96)*MAX(1,N($D96))*MAX(1,N($O96))</f>
        <v/>
      </c>
      <c r="K96" s="1373">
        <f>N($C96)*MAX(1,N($D96))*MAX(1,N($O96))</f>
        <v/>
      </c>
      <c r="L96" s="1373">
        <f>N($C96)</f>
        <v/>
      </c>
      <c r="M96" s="1373">
        <f>IF($H96="Yes",0,N($C96))</f>
        <v/>
      </c>
      <c r="N96" s="1366">
        <f>IFERROR(N($I96)*INDEX(IF($B$6="Cu",WIRE_CU,WIRE_AL),MATCH($E96,WIRE_SIZE,0)),0)+IFERROR(N($J96)*INDEX(IF($B$6="Cu",WIRE_CU,WIRE_AL),MATCH($F96,WIRE_SIZE,0)),0)+IFERROR(N($K96)*INDEX(PVC_RATE,MATCH($G96,PVC_SIZE,0)),0)+IFERROR(N($L96)*INDEX(PVC_RATE,MATCH("(3/4"")",PVC_SIZE,0)),0)</f>
        <v/>
      </c>
      <c r="O96" s="1304" t="n"/>
      <c r="P96" s="1289" t="n"/>
      <c r="Q96" s="1289" t="n"/>
      <c r="R96" s="1289" t="n"/>
      <c r="S96" s="1289" t="n"/>
      <c r="T96" s="1289" t="n"/>
      <c r="U96" s="1289" t="n"/>
      <c r="V96" s="1289" t="n"/>
      <c r="W96" s="1289" t="n"/>
      <c r="X96" s="1289" t="n"/>
    </row>
    <row r="97" hidden="1" outlineLevel="1" ht="15" customHeight="1" s="254">
      <c r="A97" s="1547" t="inlineStr">
        <is>
          <t>TOTAL</t>
        </is>
      </c>
      <c r="B97" s="1289" t="n"/>
      <c r="C97" s="1374">
        <f>SUM(C65:C96)</f>
        <v/>
      </c>
      <c r="D97" s="1289" t="n"/>
      <c r="E97" s="1289" t="n"/>
      <c r="F97" s="1289" t="n"/>
      <c r="G97" s="1289" t="n"/>
      <c r="H97" s="1289" t="n"/>
      <c r="I97" s="1374">
        <f>SUM(I65:I96)</f>
        <v/>
      </c>
      <c r="J97" s="1374">
        <f>SUM(J65:J96)</f>
        <v/>
      </c>
      <c r="K97" s="1374">
        <f>SUM(K65:K96)</f>
        <v/>
      </c>
      <c r="L97" s="1374">
        <f>SUM(L65:L96)</f>
        <v/>
      </c>
      <c r="M97" s="1374">
        <f>SUM(M65:M96)</f>
        <v/>
      </c>
      <c r="N97" s="1375">
        <f>SUM(N65:N96)</f>
        <v/>
      </c>
      <c r="O97" s="1289" t="n"/>
      <c r="P97" s="1289" t="n"/>
      <c r="Q97" s="1289" t="n"/>
      <c r="R97" s="1289" t="n"/>
      <c r="S97" s="1289" t="n"/>
      <c r="T97" s="1289" t="n"/>
      <c r="U97" s="1289" t="n"/>
      <c r="V97" s="1289" t="n"/>
      <c r="W97" s="1289" t="n"/>
      <c r="X97" s="1289" t="n"/>
    </row>
    <row r="98" hidden="1" outlineLevel="1" ht="27.5" customHeight="1" s="254">
      <c r="A98" s="1552" t="inlineStr">
        <is>
          <t>DC material cost</t>
        </is>
      </c>
      <c r="B98" s="1371">
        <f>$N$97</f>
        <v/>
      </c>
      <c r="C98" s="1300" t="inlineStr">
        <is>
          <t>Conductor, ground, conduit and comms for every cabinet-to-dispenser run. The engine reads this row.</t>
        </is>
      </c>
      <c r="I98" s="1289" t="n"/>
      <c r="J98" s="1289" t="n"/>
      <c r="K98" s="1289" t="n"/>
      <c r="L98" s="1289" t="n"/>
      <c r="M98" s="1289" t="n"/>
      <c r="N98" s="1289" t="n"/>
      <c r="O98" s="1289" t="n"/>
      <c r="P98" s="1289" t="n"/>
      <c r="Q98" s="1289" t="n"/>
      <c r="R98" s="1289" t="n"/>
      <c r="S98" s="1289" t="n"/>
      <c r="T98" s="1289" t="n"/>
      <c r="U98" s="1289" t="n"/>
      <c r="V98" s="1289" t="n"/>
      <c r="W98" s="1289" t="n"/>
      <c r="X98" s="1289" t="n"/>
    </row>
    <row r="99" hidden="1" outlineLevel="1" ht="15" customHeight="1" s="254">
      <c r="A99" s="1552" t="inlineStr">
        <is>
          <t>DC trench to cut (ft)</t>
        </is>
      </c>
      <c r="B99" s="1295">
        <f>$M$97</f>
        <v/>
      </c>
      <c r="C99" s="1360" t="inlineStr">
        <is>
          <t>Excludes runs sharing the AC trench.</t>
        </is>
      </c>
      <c r="I99" s="1289" t="n"/>
      <c r="J99" s="1289" t="n"/>
      <c r="K99" s="1289" t="n"/>
      <c r="L99" s="1289" t="n"/>
      <c r="M99" s="1289" t="n"/>
      <c r="N99" s="1289" t="n"/>
      <c r="O99" s="1289" t="n"/>
      <c r="P99" s="1289" t="n"/>
      <c r="Q99" s="1289" t="n"/>
      <c r="R99" s="1289" t="n"/>
      <c r="S99" s="1289" t="n"/>
      <c r="T99" s="1289" t="n"/>
      <c r="U99" s="1289" t="n"/>
      <c r="V99" s="1289" t="n"/>
      <c r="W99" s="1289" t="n"/>
      <c r="X99" s="1289" t="n"/>
    </row>
    <row r="100" hidden="1" outlineLevel="1" ht="15" customHeight="1" s="254">
      <c r="A100" s="1552" t="inlineStr">
        <is>
          <t>DC trench restoration (sq ft)</t>
        </is>
      </c>
      <c r="B100" s="1295">
        <f>$B$99*$B$9/12</f>
        <v/>
      </c>
      <c r="C100" s="1289" t="n"/>
      <c r="D100" s="1289" t="n"/>
      <c r="E100" s="1289" t="n"/>
      <c r="F100" s="1289" t="n"/>
      <c r="G100" s="1289" t="n"/>
      <c r="H100" s="1289" t="n"/>
      <c r="I100" s="1289" t="n"/>
      <c r="J100" s="1289" t="n"/>
      <c r="K100" s="1289" t="n"/>
      <c r="L100" s="1289" t="n"/>
      <c r="M100" s="1289" t="n"/>
      <c r="N100" s="1289" t="n"/>
      <c r="O100" s="1289" t="n"/>
      <c r="P100" s="1289" t="n"/>
      <c r="Q100" s="1289" t="n"/>
      <c r="R100" s="1289" t="n"/>
      <c r="S100" s="1289" t="n"/>
      <c r="T100" s="1289" t="n"/>
      <c r="U100" s="1289" t="n"/>
      <c r="V100" s="1289" t="n"/>
      <c r="W100" s="1289" t="n"/>
      <c r="X100" s="1289" t="n"/>
    </row>
    <row r="101" hidden="1" outlineLevel="1" ht="15" customHeight="1" s="254">
      <c r="A101" s="1552" t="inlineStr">
        <is>
          <t>Dispensers placed</t>
        </is>
      </c>
      <c r="B101" s="1295">
        <f>COUNT($C$65:$C$96)</f>
        <v/>
      </c>
      <c r="C101" s="1289" t="n"/>
      <c r="D101" s="1289" t="n"/>
      <c r="E101" s="1289" t="n"/>
      <c r="F101" s="1289" t="n"/>
      <c r="G101" s="1289" t="n"/>
      <c r="H101" s="1289" t="n"/>
      <c r="I101" s="1289" t="n"/>
      <c r="J101" s="1289" t="n"/>
      <c r="K101" s="1289" t="n"/>
      <c r="L101" s="1289" t="n"/>
      <c r="M101" s="1289" t="n"/>
      <c r="N101" s="1289" t="n"/>
      <c r="O101" s="1289" t="n"/>
      <c r="P101" s="1289" t="n"/>
      <c r="Q101" s="1289" t="n"/>
      <c r="R101" s="1289" t="n"/>
      <c r="S101" s="1289" t="n"/>
      <c r="T101" s="1289" t="n"/>
      <c r="U101" s="1289" t="n"/>
      <c r="V101" s="1289" t="n"/>
      <c r="W101" s="1289" t="n"/>
      <c r="X101" s="1289" t="n"/>
    </row>
    <row r="102" hidden="1" outlineLevel="1" ht="15" customHeight="1" s="254">
      <c r="A102" s="1552" t="inlineStr">
        <is>
          <t>Placement matches the schedule?</t>
        </is>
      </c>
      <c r="B102" s="1296">
        <f>IF(N(Equipment!$B$38)=0,"n/a — no dispensers on this project",IF(COUNT($C$65:$C$96)&lt;&gt;Equipment!$B$38,"MISMATCH — "&amp;TEXT(Equipment!$B$38,"0")&amp;" dispensers on the Equipment tab against "&amp;TEXT(COUNT($C$65:$C$96),"0")&amp;" with a distance here","OK — every dispenser has a run"))</f>
        <v/>
      </c>
      <c r="C102" s="1289" t="n"/>
      <c r="D102" s="1289" t="n"/>
      <c r="E102" s="1289" t="n"/>
      <c r="F102" s="1289" t="n"/>
      <c r="G102" s="1289" t="n"/>
      <c r="H102" s="1289" t="n"/>
      <c r="I102" s="1289" t="n"/>
      <c r="J102" s="1289" t="n"/>
      <c r="K102" s="1289" t="n"/>
      <c r="L102" s="1289" t="n"/>
      <c r="M102" s="1289" t="n"/>
      <c r="N102" s="1289" t="n"/>
      <c r="O102" s="1289" t="n"/>
      <c r="P102" s="1289" t="n"/>
      <c r="Q102" s="1289" t="n"/>
      <c r="R102" s="1289" t="n"/>
      <c r="S102" s="1289" t="n"/>
      <c r="T102" s="1289" t="n"/>
      <c r="U102" s="1289" t="n"/>
      <c r="V102" s="1289" t="n"/>
      <c r="W102" s="1289" t="n"/>
      <c r="X102" s="1289" t="n"/>
    </row>
    <row r="103" hidden="1" outlineLevel="1" ht="15" customHeight="1" s="254">
      <c r="A103" s="1552" t="inlineStr">
        <is>
          <t>Longest DC run (ft)</t>
        </is>
      </c>
      <c r="B103" s="1295">
        <f>IF(COUNT($C$65:$C$96)=0,0,MAX($C$65:$C$96))</f>
        <v/>
      </c>
      <c r="C103" s="1360" t="inlineStr">
        <is>
          <t>The binding constraint on voltage drop.</t>
        </is>
      </c>
      <c r="I103" s="1289" t="n"/>
      <c r="J103" s="1289" t="n"/>
      <c r="K103" s="1289" t="n"/>
      <c r="L103" s="1289" t="n"/>
      <c r="M103" s="1289" t="n"/>
      <c r="N103" s="1289" t="n"/>
      <c r="O103" s="1289" t="n"/>
      <c r="P103" s="1289" t="n"/>
      <c r="Q103" s="1289" t="n"/>
      <c r="R103" s="1289" t="n"/>
      <c r="S103" s="1289" t="n"/>
      <c r="T103" s="1289" t="n"/>
      <c r="U103" s="1289" t="n"/>
      <c r="V103" s="1289" t="n"/>
      <c r="W103" s="1289" t="n"/>
      <c r="X103" s="1289" t="n"/>
    </row>
    <row r="104" hidden="1" outlineLevel="1" ht="15" customHeight="1" s="254">
      <c r="A104" s="1552" t="inlineStr">
        <is>
          <t>Every DC run sized and costed?</t>
        </is>
      </c>
      <c r="B104" s="1370">
        <f>IF(COUNT($C$65:$C$96)=0,"n/a — no dispensers scheduled",IF(SUMPRODUCT(--($C$65:$C$96&gt;0),--($N$65:$N$96=0))&gt;0,"A RUN HAS A DISTANCE BUT NO MATERIAL COST — pick its conductor, ground and conduit","OK — every run with a distance carries a material cost"))</f>
        <v/>
      </c>
      <c r="C104" s="1289" t="n"/>
      <c r="D104" s="1289" t="n"/>
      <c r="E104" s="1289" t="n"/>
      <c r="F104" s="1289" t="n"/>
      <c r="G104" s="1289" t="n"/>
      <c r="H104" s="1289" t="n"/>
      <c r="I104" s="1289" t="n"/>
      <c r="J104" s="1289" t="n"/>
      <c r="K104" s="1289" t="n"/>
      <c r="L104" s="1289" t="n"/>
      <c r="M104" s="1289" t="n"/>
      <c r="N104" s="1289" t="n"/>
      <c r="O104" s="1289" t="n"/>
      <c r="P104" s="1289" t="n"/>
      <c r="Q104" s="1289" t="n"/>
      <c r="R104" s="1289" t="n"/>
      <c r="S104" s="1289" t="n"/>
      <c r="T104" s="1289" t="n"/>
      <c r="U104" s="1289" t="n"/>
      <c r="V104" s="1289" t="n"/>
      <c r="W104" s="1289" t="n"/>
      <c r="X104" s="1289" t="n"/>
    </row>
    <row r="105" hidden="1" outlineLevel="1" ht="15" customHeight="1" s="254">
      <c r="A105" s="1289" t="n"/>
      <c r="B105" s="1289" t="n"/>
      <c r="C105" s="1289" t="n"/>
      <c r="D105" s="1289" t="n"/>
      <c r="E105" s="1289" t="n"/>
      <c r="F105" s="1289" t="n"/>
      <c r="G105" s="1289" t="n"/>
      <c r="H105" s="1289" t="n"/>
      <c r="I105" s="1289" t="n"/>
      <c r="J105" s="1289" t="n"/>
      <c r="K105" s="1289" t="n"/>
      <c r="L105" s="1289" t="n"/>
      <c r="M105" s="1289" t="n"/>
      <c r="N105" s="1289" t="n"/>
      <c r="O105" s="1289" t="n"/>
      <c r="P105" s="1289" t="n"/>
      <c r="Q105" s="1289" t="n"/>
      <c r="R105" s="1289" t="n"/>
      <c r="S105" s="1289" t="n"/>
      <c r="T105" s="1289" t="n"/>
      <c r="U105" s="1289" t="n"/>
      <c r="V105" s="1289" t="n"/>
      <c r="W105" s="1289" t="n"/>
      <c r="X105" s="1289" t="n"/>
    </row>
    <row r="106" ht="15" customHeight="1" s="254">
      <c r="A106" s="1551" t="inlineStr">
        <is>
          <t>D · SERVICE AND SWITCHGEAR</t>
        </is>
      </c>
      <c r="I106" s="1289" t="n"/>
      <c r="J106" s="1289" t="n"/>
      <c r="K106" s="1289" t="n"/>
      <c r="L106" s="1289" t="n"/>
      <c r="M106" s="1289" t="n"/>
      <c r="N106" s="1289" t="n"/>
      <c r="O106" s="1289" t="n"/>
      <c r="P106" s="1289" t="n"/>
      <c r="Q106" s="1289" t="n"/>
      <c r="R106" s="1289" t="n"/>
      <c r="S106" s="1289" t="n"/>
      <c r="T106" s="1289" t="n"/>
      <c r="U106" s="1289" t="n"/>
      <c r="V106" s="1289" t="n"/>
      <c r="W106" s="1289" t="n"/>
      <c r="X106" s="1289" t="n"/>
    </row>
    <row r="107" ht="40" customHeight="1" s="254">
      <c r="A107" s="1552" t="inlineStr">
        <is>
          <t>Connected load (kW)</t>
        </is>
      </c>
      <c r="B107" s="1376">
        <f>IF($B$114="Yes",IF(N($B$115)=0,Equipment!$B$23,MIN(Equipment!$B$23,N($B$115))),Equipment!$B$23)</f>
        <v/>
      </c>
      <c r="C107" s="1300" t="inlineStr">
        <is>
          <t>Full nameplate from the equipment schedule, or the managed cap when load management is proposed and a cap is entered. Sizing to a managed maximum needs an energy management system under NEC 750 and the engineer's sign-off.</t>
        </is>
      </c>
      <c r="I107" s="1289" t="n"/>
      <c r="J107" s="1289" t="n"/>
      <c r="K107" s="1289" t="n"/>
      <c r="L107" s="1289" t="n"/>
      <c r="M107" s="1289" t="n"/>
      <c r="N107" s="1289" t="n"/>
      <c r="O107" s="1289" t="n"/>
      <c r="P107" s="1289" t="n"/>
      <c r="Q107" s="1289" t="n"/>
      <c r="R107" s="1289" t="n"/>
      <c r="S107" s="1289" t="n"/>
      <c r="T107" s="1289" t="n"/>
      <c r="U107" s="1289" t="n"/>
      <c r="V107" s="1289" t="n"/>
      <c r="W107" s="1289" t="n"/>
      <c r="X107" s="1289" t="n"/>
    </row>
    <row r="108" ht="27.5" customHeight="1" s="254">
      <c r="A108" s="1294" t="inlineStr">
        <is>
          <t>Design current at service voltage (A)</t>
        </is>
      </c>
      <c r="B108" s="1295">
        <f>IF(N($B$107)=0,"",$B$107*1000/(Project!$B$29*SQRT(3)))</f>
        <v/>
      </c>
      <c r="C108" s="1360" t="inlineStr">
        <is>
          <t>kW x 1000 / (V x sqrt 3)</t>
        </is>
      </c>
      <c r="I108" s="1289" t="n"/>
      <c r="J108" s="1289" t="n"/>
      <c r="K108" s="1289" t="n"/>
      <c r="L108" s="1289" t="n"/>
      <c r="M108" s="1289" t="n"/>
      <c r="N108" s="1289" t="n"/>
      <c r="O108" s="1289" t="n"/>
      <c r="P108" s="1289" t="n"/>
      <c r="Q108" s="1289" t="n"/>
      <c r="R108" s="1289" t="n"/>
      <c r="S108" s="1289" t="n"/>
      <c r="T108" s="1289" t="n"/>
      <c r="U108" s="1289" t="n"/>
      <c r="V108" s="1289" t="n"/>
      <c r="W108" s="1289" t="n"/>
      <c r="X108" s="1289" t="n"/>
    </row>
    <row r="109" ht="15" customHeight="1" s="254">
      <c r="A109" s="1552" t="inlineStr">
        <is>
          <t>Required OCPD at 125% (A)</t>
        </is>
      </c>
      <c r="B109" s="1295">
        <f>IF(N($B$108)=0,"",N($B$108)*1.25)</f>
        <v/>
      </c>
      <c r="C109" s="1360" t="inlineStr">
        <is>
          <t>NEC continuous-load rule</t>
        </is>
      </c>
      <c r="I109" s="1289" t="n"/>
      <c r="J109" s="1289" t="n"/>
      <c r="K109" s="1289" t="n"/>
      <c r="L109" s="1289" t="n"/>
      <c r="M109" s="1289" t="n"/>
      <c r="N109" s="1289" t="n"/>
      <c r="O109" s="1289" t="n"/>
      <c r="P109" s="1289" t="n"/>
      <c r="Q109" s="1289" t="n"/>
      <c r="R109" s="1289" t="n"/>
      <c r="S109" s="1289" t="n"/>
      <c r="T109" s="1289" t="n"/>
      <c r="U109" s="1289" t="n"/>
      <c r="V109" s="1289" t="n"/>
      <c r="W109" s="1289" t="n"/>
      <c r="X109" s="1289" t="n"/>
    </row>
    <row r="110" ht="40" customHeight="1" s="254">
      <c r="A110" s="1552" t="inlineStr">
        <is>
          <t>Service boards in the lineup</t>
        </is>
      </c>
      <c r="B110" s="1305" t="n">
        <v>1</v>
      </c>
      <c r="C110" s="1300" t="inlineStr">
        <is>
          <t>One unless the service is split. Above roughly 4,000 A it usually is: NEC 230.71 allows up to six service disconnects in separate enclosures, and the frame below is sized PER BOARD.</t>
        </is>
      </c>
      <c r="I110" s="1289" t="n"/>
      <c r="J110" s="1289" t="n"/>
      <c r="K110" s="1289" t="n"/>
      <c r="L110" s="1289" t="n"/>
      <c r="M110" s="1289" t="n"/>
      <c r="N110" s="1289" t="n"/>
      <c r="O110" s="1289" t="n"/>
      <c r="P110" s="1289" t="n"/>
      <c r="Q110" s="1289" t="n"/>
      <c r="R110" s="1289" t="n"/>
      <c r="S110" s="1289" t="n"/>
      <c r="T110" s="1289" t="n"/>
      <c r="U110" s="1289" t="n"/>
      <c r="V110" s="1289" t="n"/>
      <c r="W110" s="1289" t="n"/>
      <c r="X110" s="1289" t="n"/>
    </row>
    <row r="111" ht="27.5" customHeight="1" s="254">
      <c r="A111" s="1294" t="inlineStr">
        <is>
          <t>Standard frame required per board (A)</t>
        </is>
      </c>
      <c r="B111" s="1295">
        <f>IF(N($B$109)=0,"",IFERROR(INDEX(RefData!$B$4:$B$16,MATCH(N($B$109)/MAX(1,N($B$110)),RefData!$A$4:$A$16,1)),"check the frame table"))</f>
        <v/>
      </c>
      <c r="C111" s="1300" t="inlineStr">
        <is>
          <t>The required device divided across the boards, rounded up to the next standard frame.</t>
        </is>
      </c>
      <c r="I111" s="1289" t="n"/>
      <c r="J111" s="1289" t="n"/>
      <c r="K111" s="1289" t="n"/>
      <c r="L111" s="1289" t="n"/>
      <c r="M111" s="1289" t="n"/>
      <c r="N111" s="1289" t="n"/>
      <c r="O111" s="1289" t="n"/>
      <c r="P111" s="1289" t="n"/>
      <c r="Q111" s="1289" t="n"/>
      <c r="R111" s="1289" t="n"/>
      <c r="S111" s="1289" t="n"/>
      <c r="T111" s="1289" t="n"/>
      <c r="U111" s="1289" t="n"/>
      <c r="V111" s="1289" t="n"/>
      <c r="W111" s="1289" t="n"/>
      <c r="X111" s="1289" t="n"/>
    </row>
    <row r="112" ht="15" customHeight="1" s="254">
      <c r="A112" s="1552" t="inlineStr">
        <is>
          <t>Switchgear size being priced (A)</t>
        </is>
      </c>
      <c r="B112" s="1305" t="n">
        <v>3200</v>
      </c>
      <c r="C112" s="1300" t="inlineStr">
        <is>
          <t>Type the frame you are actually quoting, per board.</t>
        </is>
      </c>
      <c r="I112" s="1289" t="n"/>
      <c r="J112" s="1289" t="n"/>
      <c r="K112" s="1289" t="n"/>
      <c r="L112" s="1289" t="n"/>
      <c r="M112" s="1289" t="n"/>
      <c r="N112" s="1289" t="n"/>
      <c r="O112" s="1289" t="n"/>
      <c r="P112" s="1289" t="n"/>
      <c r="Q112" s="1289" t="n"/>
      <c r="R112" s="1289" t="n"/>
      <c r="S112" s="1289" t="n"/>
      <c r="T112" s="1289" t="n"/>
      <c r="U112" s="1289" t="n"/>
      <c r="V112" s="1289" t="n"/>
      <c r="W112" s="1289" t="n"/>
      <c r="X112" s="1289" t="n"/>
    </row>
    <row r="113" ht="40" customHeight="1" s="254">
      <c r="A113" s="1552" t="inlineStr">
        <is>
          <t>Switchgear adequate?</t>
        </is>
      </c>
      <c r="B113" s="1372">
        <f>IF(Existing!$B$15="RETAIN","n/a — the switchgear is retained; its adequacy is tested on the Existing tab row 61",IF(N($B$107)=0,"no connected load on the equipment tab",IF(N($B$111)=0,"CANNOT TELL — there is a connected load but no required frame behind it",IF(N($B$112)=0,"enter the frame being priced",IF(N($B$112)&lt;N($B$111),"UNDERSIZED — "&amp;TEXT($B$112,"#,##0")&amp;" A per board against "&amp;TEXT($B$111,"#,##0")&amp;" A required on each of "&amp;TEXT(MAX(1,N($B$110)),"0")&amp;" board(s)",IF(ISNA(MATCH(TEXT($B$112,"0")&amp;"A",RefData!$B$20:$B$29,0)),"OK on size, BUT RefData carries no price for a "&amp;TEXT($B$112,"#,##0")&amp;" A frame — it needs a switchboard quote","OK — "&amp;TEXT(MAX(1,N($B$110)),"0")&amp;" x "&amp;TEXT($B$112,"#,##0")&amp;" A against "&amp;TEXT($B$111,"#,##0")&amp;" A required per board"))))))</f>
        <v/>
      </c>
      <c r="C113" s="1348" t="inlineStr">
        <is>
          <t>Stands down when the Existing tab retains the switchgear — a retained board is not a priced one.</t>
        </is>
      </c>
      <c r="I113" s="1289" t="n"/>
      <c r="J113" s="1289" t="n"/>
      <c r="K113" s="1289" t="n"/>
      <c r="L113" s="1289" t="n"/>
      <c r="M113" s="1289" t="n"/>
      <c r="N113" s="1289" t="n"/>
      <c r="O113" s="1289" t="n"/>
      <c r="P113" s="1289" t="n"/>
      <c r="Q113" s="1289" t="n"/>
      <c r="R113" s="1289" t="n"/>
      <c r="S113" s="1289" t="n"/>
      <c r="T113" s="1289" t="n"/>
      <c r="U113" s="1289" t="n"/>
      <c r="V113" s="1289" t="n"/>
      <c r="W113" s="1289" t="n"/>
      <c r="X113" s="1289" t="n"/>
    </row>
    <row r="114" ht="15" customHeight="1" s="254">
      <c r="A114" s="1552" t="inlineStr">
        <is>
          <t>Load management proposed?</t>
        </is>
      </c>
      <c r="B114" s="1553" t="inlineStr">
        <is>
          <t>No</t>
        </is>
      </c>
      <c r="C114" s="1300" t="inlineStr">
        <is>
          <t>Yes caps the site draw below full nameplate for SIZING.</t>
        </is>
      </c>
      <c r="I114" s="1289" t="n"/>
      <c r="J114" s="1289" t="n"/>
      <c r="K114" s="1289" t="n"/>
      <c r="L114" s="1289" t="n"/>
      <c r="M114" s="1289" t="n"/>
      <c r="N114" s="1289" t="n"/>
      <c r="O114" s="1289" t="n"/>
      <c r="P114" s="1289" t="n"/>
      <c r="Q114" s="1289" t="n"/>
      <c r="R114" s="1289" t="n"/>
      <c r="S114" s="1289" t="n"/>
      <c r="T114" s="1289" t="n"/>
      <c r="U114" s="1289" t="n"/>
      <c r="V114" s="1289" t="n"/>
      <c r="W114" s="1289" t="n"/>
      <c r="X114" s="1289" t="n"/>
    </row>
    <row r="115" ht="40" customHeight="1" s="254">
      <c r="A115" s="1294" t="inlineStr">
        <is>
          <t>Capped site draw (kW) if load managed</t>
        </is>
      </c>
      <c r="B115" s="1305" t="n"/>
      <c r="C115" s="1300" t="inlineStr">
        <is>
          <t>SIZING CAP — conductors, gear and the service are sized on this, and it drives power per charging position in the model. Leave blank if not load managed. It is NOT the billing setpoint below.</t>
        </is>
      </c>
      <c r="I115" s="1289" t="n"/>
      <c r="J115" s="1289" t="n"/>
      <c r="K115" s="1289" t="n"/>
      <c r="L115" s="1289" t="n"/>
      <c r="M115" s="1289" t="n"/>
      <c r="N115" s="1289" t="n"/>
      <c r="O115" s="1289" t="n"/>
      <c r="P115" s="1289" t="n"/>
      <c r="Q115" s="1289" t="n"/>
      <c r="R115" s="1289" t="n"/>
      <c r="S115" s="1289" t="n"/>
      <c r="T115" s="1289" t="n"/>
      <c r="U115" s="1289" t="n"/>
      <c r="V115" s="1289" t="n"/>
      <c r="W115" s="1289" t="n"/>
      <c r="X115" s="1289" t="n"/>
    </row>
    <row r="116" ht="27.5" customHeight="1" s="254">
      <c r="A116" s="1294" t="inlineStr">
        <is>
          <t>Load management stated and capped?</t>
        </is>
      </c>
      <c r="B116" s="1370">
        <f>IF($B$114&lt;&gt;"Yes","n/a — not load managed, so the site is sized on full nameplate",IF(N($B$115)=0,"LOAD MANAGED WITH NO CAP ENTERED — the sheet has fallen back to full nameplate and the frame below is sized for an unmanaged site","Sized on a managed cap of "&amp;TEXT($B$115,"#,##0")&amp;" kW against "&amp;TEXT(N(Equipment!$B$23),"#,##0")&amp;" kW of nameplate. The energy management system that enforces it is scope, and the AHJ will ask to see it."))</f>
        <v/>
      </c>
      <c r="C116" s="1289" t="n"/>
      <c r="D116" s="1289" t="n"/>
      <c r="E116" s="1289" t="n"/>
      <c r="F116" s="1289" t="n"/>
      <c r="G116" s="1289" t="n"/>
      <c r="H116" s="1289" t="n"/>
      <c r="I116" s="1289" t="n"/>
      <c r="J116" s="1289" t="n"/>
      <c r="K116" s="1289" t="n"/>
      <c r="L116" s="1289" t="n"/>
      <c r="M116" s="1289" t="n"/>
      <c r="N116" s="1289" t="n"/>
      <c r="O116" s="1289" t="n"/>
      <c r="P116" s="1289" t="n"/>
      <c r="Q116" s="1289" t="n"/>
      <c r="R116" s="1289" t="n"/>
      <c r="S116" s="1289" t="n"/>
      <c r="T116" s="1289" t="n"/>
      <c r="U116" s="1289" t="n"/>
      <c r="V116" s="1289" t="n"/>
      <c r="W116" s="1289" t="n"/>
      <c r="X116" s="1289" t="n"/>
    </row>
    <row r="117" ht="65" customHeight="1" s="254">
      <c r="A117" s="1552" t="inlineStr">
        <is>
          <t>Demand-limiting setpoint (kW)</t>
        </is>
      </c>
      <c r="B117" s="1305" t="n"/>
      <c r="C117" s="1300" t="inlineStr">
        <is>
          <t>BILLING SETPOINT, NOT A SIZING CAP. What the energy management system holds the highest fifteen-minute site draw to. Leave blank and the model falls back to the sizing cap above. On a schedule with no demand charge today (SCE TOU-EV) this setpoint is still the only lever if one is phased in: every $1/kW-month costs the projected peak x 12 a year.</t>
        </is>
      </c>
      <c r="I117" s="1289" t="n"/>
      <c r="J117" s="1289" t="n"/>
      <c r="K117" s="1289" t="n"/>
      <c r="L117" s="1289" t="n"/>
      <c r="M117" s="1289" t="n"/>
      <c r="N117" s="1289" t="n"/>
      <c r="O117" s="1289" t="n"/>
      <c r="P117" s="1289" t="n"/>
      <c r="Q117" s="1289" t="n"/>
      <c r="R117" s="1289" t="n"/>
      <c r="S117" s="1289" t="n"/>
      <c r="T117" s="1289" t="n"/>
      <c r="U117" s="1289" t="n"/>
      <c r="V117" s="1289" t="n"/>
      <c r="W117" s="1289" t="n"/>
      <c r="X117" s="1289" t="n"/>
    </row>
    <row r="118" ht="15" customHeight="1" s="254">
      <c r="A118" s="1552" t="inlineStr">
        <is>
          <t>Point of connection</t>
        </is>
      </c>
      <c r="B118" s="1553" t="inlineStr">
        <is>
          <t>Existing MSB</t>
        </is>
      </c>
      <c r="C118" s="1360" t="inlineStr">
        <is>
          <t>Existing MSB / new service / pole transformer</t>
        </is>
      </c>
      <c r="I118" s="1289" t="n"/>
      <c r="J118" s="1289" t="n"/>
      <c r="K118" s="1289" t="n"/>
      <c r="L118" s="1289" t="n"/>
      <c r="M118" s="1289" t="n"/>
      <c r="N118" s="1289" t="n"/>
      <c r="O118" s="1289" t="n"/>
      <c r="P118" s="1289" t="n"/>
      <c r="Q118" s="1289" t="n"/>
      <c r="R118" s="1289" t="n"/>
      <c r="S118" s="1289" t="n"/>
      <c r="T118" s="1289" t="n"/>
      <c r="U118" s="1289" t="n"/>
      <c r="V118" s="1289" t="n"/>
      <c r="W118" s="1289" t="n"/>
      <c r="X118" s="1289" t="n"/>
    </row>
    <row r="119" ht="27.5" customHeight="1" s="254">
      <c r="A119" s="1294" t="inlineStr">
        <is>
          <t>Spare capacity in existing gear (A)</t>
        </is>
      </c>
      <c r="B119" s="1305" t="n">
        <v>200</v>
      </c>
      <c r="C119" s="1300" t="inlineStr">
        <is>
          <t>0 if a new service is required. On an add-load site this is the figure on the Existing tab row 52.</t>
        </is>
      </c>
      <c r="I119" s="1289" t="n"/>
      <c r="J119" s="1289" t="n"/>
      <c r="K119" s="1289" t="n"/>
      <c r="L119" s="1289" t="n"/>
      <c r="M119" s="1289" t="n"/>
      <c r="N119" s="1289" t="n"/>
      <c r="O119" s="1289" t="n"/>
      <c r="P119" s="1289" t="n"/>
      <c r="Q119" s="1289" t="n"/>
      <c r="R119" s="1289" t="n"/>
      <c r="S119" s="1289" t="n"/>
      <c r="T119" s="1289" t="n"/>
      <c r="U119" s="1289" t="n"/>
      <c r="V119" s="1289" t="n"/>
      <c r="W119" s="1289" t="n"/>
      <c r="X119" s="1289" t="n"/>
    </row>
    <row r="120" ht="15" customHeight="1" s="254">
      <c r="A120" s="1294" t="inlineStr">
        <is>
          <t>Distance, switchgear to pole (ft)</t>
        </is>
      </c>
      <c r="B120" s="1305" t="n">
        <v>120</v>
      </c>
      <c r="C120" s="1289" t="n"/>
      <c r="D120" s="1289" t="n"/>
      <c r="E120" s="1289" t="n"/>
      <c r="F120" s="1289" t="n"/>
      <c r="G120" s="1289" t="n"/>
      <c r="H120" s="1289" t="n"/>
      <c r="I120" s="1289" t="n"/>
      <c r="J120" s="1289" t="n"/>
      <c r="K120" s="1289" t="n"/>
      <c r="L120" s="1289" t="n"/>
      <c r="M120" s="1289" t="n"/>
      <c r="N120" s="1289" t="n"/>
      <c r="O120" s="1289" t="n"/>
      <c r="P120" s="1289" t="n"/>
      <c r="Q120" s="1289" t="n"/>
      <c r="R120" s="1289" t="n"/>
      <c r="S120" s="1289" t="n"/>
      <c r="T120" s="1289" t="n"/>
      <c r="U120" s="1289" t="n"/>
      <c r="V120" s="1289" t="n"/>
      <c r="W120" s="1289" t="n"/>
      <c r="X120" s="1289" t="n"/>
    </row>
    <row r="121" ht="15" customHeight="1" s="254">
      <c r="A121" s="1289" t="n"/>
      <c r="B121" s="1289" t="n"/>
      <c r="C121" s="1289" t="n"/>
      <c r="D121" s="1289" t="n"/>
      <c r="E121" s="1289" t="n"/>
      <c r="F121" s="1289" t="n"/>
      <c r="G121" s="1289" t="n"/>
      <c r="H121" s="1289" t="n"/>
      <c r="I121" s="1289" t="n"/>
      <c r="J121" s="1289" t="n"/>
      <c r="K121" s="1289" t="n"/>
      <c r="L121" s="1289" t="n"/>
      <c r="M121" s="1289" t="n"/>
      <c r="N121" s="1289" t="n"/>
      <c r="O121" s="1289" t="n"/>
      <c r="P121" s="1289" t="n"/>
      <c r="Q121" s="1289" t="n"/>
      <c r="R121" s="1289" t="n"/>
      <c r="S121" s="1289" t="n"/>
      <c r="T121" s="1289" t="n"/>
      <c r="U121" s="1289" t="n"/>
      <c r="V121" s="1289" t="n"/>
      <c r="W121" s="1289" t="n"/>
      <c r="X121" s="1289" t="n"/>
    </row>
    <row r="122" ht="27.5" customHeight="1" s="254">
      <c r="A122" s="1377" t="inlineStr">
        <is>
          <t>Service feeder — transformer to switchgear</t>
        </is>
      </c>
      <c r="B122" s="1289" t="n"/>
      <c r="C122" s="1289" t="n"/>
      <c r="D122" s="1289" t="n"/>
      <c r="E122" s="1289" t="n"/>
      <c r="F122" s="1289" t="n"/>
      <c r="G122" s="1289" t="n"/>
      <c r="H122" s="1289" t="n"/>
      <c r="I122" s="1289" t="n"/>
      <c r="J122" s="1289" t="n"/>
      <c r="K122" s="1289" t="n"/>
      <c r="L122" s="1289" t="n"/>
      <c r="M122" s="1289" t="n"/>
      <c r="N122" s="1289" t="n"/>
      <c r="O122" s="1289" t="n"/>
      <c r="P122" s="1289" t="n"/>
      <c r="Q122" s="1289" t="n"/>
      <c r="R122" s="1289" t="n"/>
      <c r="S122" s="1289" t="n"/>
      <c r="T122" s="1289" t="n"/>
      <c r="U122" s="1289" t="n"/>
      <c r="V122" s="1289" t="n"/>
      <c r="W122" s="1289" t="n"/>
      <c r="X122" s="1289" t="n"/>
    </row>
    <row r="123" ht="27.5" customHeight="1" s="254">
      <c r="A123" s="1300" t="inlineStr">
        <is>
          <t>One feeder carrying the whole site. Under the California IOUs' EV infrastructure rules (PG&amp;E Rule 29, SDG&amp;E Rule 45 and their equivalents) the utility designs, builds and owns the service from its transformer to the customer's service equipment, and this run is sized for coordination only. Where Zero Impact Energy provides it, it is sized and priced here.</t>
        </is>
      </c>
      <c r="U123" s="1289" t="n"/>
      <c r="V123" s="1289" t="n"/>
      <c r="W123" s="1289" t="n"/>
      <c r="X123" s="1289" t="n"/>
    </row>
    <row r="124" ht="40" customHeight="1" s="254">
      <c r="A124" s="1552" t="inlineStr">
        <is>
          <t>Governing rule</t>
        </is>
      </c>
      <c r="B124" s="1553" t="inlineStr">
        <is>
          <t>Service conductor — NEC 230.42</t>
        </is>
      </c>
      <c r="C124" s="1300" t="inlineStr">
        <is>
          <t>A conductor from the utility transformer to the service disconnect is a SERVICE conductor; its overcurrent device is at the far end, so NEC 240.4(C) does not apply. A customer-side feeder takes the other option.</t>
        </is>
      </c>
      <c r="I124" s="1289" t="n"/>
      <c r="J124" s="1289" t="n"/>
      <c r="K124" s="1289" t="n"/>
      <c r="L124" s="1289" t="n"/>
      <c r="M124" s="1289" t="n"/>
      <c r="N124" s="1289" t="n"/>
      <c r="O124" s="1289" t="n"/>
      <c r="P124" s="1289" t="n"/>
      <c r="Q124" s="1289" t="n"/>
      <c r="R124" s="1289" t="n"/>
      <c r="S124" s="1289" t="n"/>
      <c r="T124" s="1289" t="n"/>
      <c r="U124" s="1289" t="n"/>
      <c r="V124" s="1289" t="n"/>
      <c r="W124" s="1289" t="n"/>
      <c r="X124" s="1289" t="n"/>
    </row>
    <row r="125" ht="40" customHeight="1" s="254">
      <c r="A125" s="1552" t="inlineStr">
        <is>
          <t>Who provides this run?</t>
        </is>
      </c>
      <c r="B125" s="1378" t="inlineStr">
        <is>
          <t>Utility — EV infrastructure rule</t>
        </is>
      </c>
      <c r="C125" s="1300" t="inlineStr">
        <is>
          <t>Utility, Zero Impact Energy, or Existing — retained (an add-load or replacement site whose service feeder stays). The verdict on the run below stands down when the utility provides it or it already exists.</t>
        </is>
      </c>
      <c r="I125" s="1289" t="n"/>
      <c r="J125" s="1289" t="n"/>
      <c r="K125" s="1289" t="n"/>
      <c r="L125" s="1289" t="n"/>
      <c r="M125" s="1289" t="n"/>
      <c r="N125" s="1289" t="n"/>
      <c r="O125" s="1289" t="n"/>
      <c r="P125" s="1289" t="n"/>
      <c r="Q125" s="1289" t="n"/>
      <c r="R125" s="1289" t="n"/>
      <c r="S125" s="1289" t="n"/>
      <c r="T125" s="1289" t="n"/>
      <c r="U125" s="1289" t="n"/>
      <c r="V125" s="1289" t="n"/>
      <c r="W125" s="1289" t="n"/>
      <c r="X125" s="1289" t="n"/>
    </row>
    <row r="126" ht="27.5" customHeight="1" s="254">
      <c r="A126" s="1552" t="inlineStr">
        <is>
          <t>Design ambient for this run (C)</t>
        </is>
      </c>
      <c r="B126" s="1305" t="n"/>
      <c r="C126" s="1300" t="inlineStr">
        <is>
          <t>Site data for THIS run. A buried duct bank and a run on a south wall are different numbers, and neither is a house default.</t>
        </is>
      </c>
      <c r="I126" s="1289" t="n"/>
      <c r="J126" s="1289" t="n"/>
      <c r="K126" s="1289" t="n"/>
      <c r="L126" s="1289" t="n"/>
      <c r="M126" s="1289" t="n"/>
      <c r="N126" s="1289" t="n"/>
      <c r="O126" s="1289" t="n"/>
      <c r="P126" s="1289" t="n"/>
      <c r="Q126" s="1289" t="n"/>
      <c r="R126" s="1289" t="n"/>
      <c r="S126" s="1289" t="n"/>
      <c r="T126" s="1289" t="n"/>
      <c r="U126" s="1289" t="n"/>
      <c r="V126" s="1289" t="n"/>
      <c r="W126" s="1289" t="n"/>
      <c r="X126" s="1289" t="n"/>
    </row>
    <row r="127" ht="27.5" customHeight="1" s="254">
      <c r="A127" s="1294" t="inlineStr">
        <is>
          <t>Distance, transformer to switchgear (ft)</t>
        </is>
      </c>
      <c r="B127" s="1305" t="n">
        <v>40</v>
      </c>
      <c r="C127" s="1360" t="inlineStr">
        <is>
          <t>Customer-side feeder when we provide it.</t>
        </is>
      </c>
      <c r="I127" s="1289" t="n"/>
      <c r="J127" s="1289" t="n"/>
      <c r="K127" s="1289" t="n"/>
      <c r="L127" s="1289" t="n"/>
      <c r="M127" s="1289" t="n"/>
      <c r="N127" s="1289" t="n"/>
      <c r="O127" s="1289" t="n"/>
      <c r="P127" s="1289" t="n"/>
      <c r="Q127" s="1289" t="n"/>
      <c r="R127" s="1289" t="n"/>
      <c r="S127" s="1289" t="n"/>
      <c r="T127" s="1289" t="n"/>
      <c r="U127" s="1289" t="n"/>
      <c r="V127" s="1289" t="n"/>
      <c r="W127" s="1289" t="n"/>
      <c r="X127" s="1289" t="n"/>
    </row>
    <row r="128" ht="15" customHeight="1" s="254">
      <c r="A128" s="1289" t="n"/>
      <c r="B128" s="1289" t="n"/>
      <c r="C128" s="1289" t="n"/>
      <c r="D128" s="1289" t="n"/>
      <c r="E128" s="1289" t="n"/>
      <c r="F128" s="1289" t="n"/>
      <c r="G128" s="1289" t="n"/>
      <c r="H128" s="1289" t="n"/>
      <c r="I128" s="1289" t="n"/>
      <c r="J128" s="1289" t="n"/>
      <c r="K128" s="1289" t="n"/>
      <c r="L128" s="1289" t="n"/>
      <c r="M128" s="1289" t="n"/>
      <c r="N128" s="1289" t="n"/>
      <c r="O128" s="1289" t="n"/>
      <c r="P128" s="1289" t="n"/>
      <c r="Q128" s="1289" t="n"/>
      <c r="R128" s="1289" t="n"/>
      <c r="S128" s="1289" t="n"/>
      <c r="T128" s="1289" t="n"/>
      <c r="U128" s="1289" t="n"/>
      <c r="V128" s="1289" t="n"/>
      <c r="W128" s="1289" t="n"/>
      <c r="X128" s="1289" t="n"/>
    </row>
    <row r="129" ht="40" customHeight="1" s="254">
      <c r="A129" s="1290" t="inlineStr">
        <is>
          <t>Run</t>
        </is>
      </c>
      <c r="B129" s="1290" t="inlineStr">
        <is>
          <t>Conductor material</t>
        </is>
      </c>
      <c r="C129" s="1290" t="inlineStr">
        <is>
          <t>Site load kW (auto)</t>
        </is>
      </c>
      <c r="D129" s="1361" t="inlineStr">
        <is>
          <t>Distance (ft) (auto)</t>
        </is>
      </c>
      <c r="E129" s="1361" t="inlineStr">
        <is>
          <t>Design current A (auto)</t>
        </is>
      </c>
      <c r="F129" s="1361" t="inlineStr">
        <is>
          <t>Continuous 125% A (auto)</t>
        </is>
      </c>
      <c r="G129" s="1361" t="inlineStr">
        <is>
          <t>OCPD A (auto)</t>
        </is>
      </c>
      <c r="H129" s="1361" t="inlineStr">
        <is>
          <t>Ampacity floor A (auto)</t>
        </is>
      </c>
      <c r="I129" s="1361" t="inlineStr">
        <is>
          <t>Conductor size</t>
        </is>
      </c>
      <c r="J129" s="1361" t="inlineStr">
        <is>
          <t>Sets in parallel</t>
        </is>
      </c>
      <c r="K129" s="1361" t="inlineStr">
        <is>
          <t>Ampacity per set, corrected (auto)</t>
        </is>
      </c>
      <c r="L129" s="1361" t="inlineStr">
        <is>
          <t>Provided A (auto)</t>
        </is>
      </c>
      <c r="M129" s="1361" t="inlineStr">
        <is>
          <t>Voltage drop % (auto)</t>
        </is>
      </c>
      <c r="N129" s="1361" t="inlineStr">
        <is>
          <t>Verdict (auto)</t>
        </is>
      </c>
      <c r="O129" s="1289" t="n"/>
      <c r="P129" s="1289" t="n"/>
      <c r="Q129" s="1289" t="n"/>
      <c r="R129" s="1289" t="n"/>
      <c r="S129" s="1289" t="n"/>
      <c r="T129" s="1289" t="n"/>
      <c r="U129" s="1289" t="n"/>
      <c r="V129" s="1289" t="n"/>
      <c r="W129" s="1289" t="n"/>
      <c r="X129" s="1289" t="n"/>
    </row>
    <row r="130" ht="52.5" customHeight="1" s="254">
      <c r="A130" s="1379" t="inlineStr">
        <is>
          <t>Transformer to switchgear</t>
        </is>
      </c>
      <c r="B130" s="1292" t="n"/>
      <c r="C130" s="1363">
        <f>Equipment!$B$23</f>
        <v/>
      </c>
      <c r="D130" s="1364">
        <f>$B$127</f>
        <v/>
      </c>
      <c r="E130" s="1364">
        <f>IF(N($C130)=0,"",N($C130)*1000/(Project!$B$29*SQRT(3))/MAX(1,N($B$110)))</f>
        <v/>
      </c>
      <c r="F130" s="1364">
        <f>IF(N($E130)=0,"",N($E130)*1.25)</f>
        <v/>
      </c>
      <c r="G130" s="1380">
        <f>IF(N($F130)=0,"",IF(ISNUMBER(MATCH($F130,OCPD_LIST,0)),$F130,IF($F130&gt;MAX(OCPD_LIST),"ABOVE THE LARGEST STANDARD DEVICE — a switchboard quote, probably a medium-voltage service",INDEX(OCPD_LIST,MATCH($F130,OCPD_LIST,1)+1))))</f>
        <v/>
      </c>
      <c r="H130" s="1364">
        <f>IF(N($F130)=0,"",IF(LEFT($B$124,7)="Service",N($F130),IF(N($G130)&gt;800,N($G130),N($F130))))</f>
        <v/>
      </c>
      <c r="I130" s="1292" t="n"/>
      <c r="J130" s="1326" t="n"/>
      <c r="K130" s="1364">
        <f>IF($I130="","",IFERROR(MIN(N(INDEX(AMP_TBL,MATCH($I130,AMP_SIZE,0),MATCH($B130&amp;"-"&amp;TEXT($B$11,"0"),AMP_HDR,0)))*N(INDEX(AMB_TBL,IF(ISNUMBER(MATCH($B$126,AMB_MAX,0)),MATCH($B$126,AMB_MAX,0),MATCH($B$126,AMB_MAX,1)+1),MATCH(TEXT($B$11,"0"),AMB_HDR,0))),N(INDEX(AMP_TBL,MATCH($I130,AMP_SIZE,0),MATCH($B130&amp;"-"&amp;TEXT($B$12,"0"),AMP_HDR,0)))),""))</f>
        <v/>
      </c>
      <c r="L130" s="1364">
        <f>IF(N($K130)=0,"",N($K130)*MAX(1,N($J130)))</f>
        <v/>
      </c>
      <c r="M130" s="1365">
        <f>IF(OR($I130="",N($D130)=0,N($E130)=0),"",IFERROR(SQRT(3)*N($E130)/MAX(1,N($J130))*N($D130)*N(INDEX(Z_TBL,MATCH($I130,Z_SIZE,0),IF($B130="Cu",1,2)))/1000/Project!$B$29,""))</f>
        <v/>
      </c>
      <c r="N130" s="1381">
        <f>IF(AND(LEFT($B$125,8)&lt;&gt;"Existing",LEFT($B$125,7)&lt;&gt;"Utility",$B$126=""),"SET THE DESIGN AMBIENT for this run (B126)",IF(LEFT($B$125,8)="Existing","n/a — the existing service feeder is retained, so it is not sized or costed here",IF(LEFT($B$125,7)="Utility","n/a — the serving utility provides this run under its EV infrastructure rule, so it is not sized or costed here",IF(N($C130)=0,"no connected load on the equipment tab",IF($I130="","pick a conductor size",IF(N($K130)=0,"no ampacity on file for that size and material",IF(N($J130)=0,"enter the number of parallel sets",IF(N($L130)&lt;N($H130),"UNDERSIZED — "&amp;TEXT(N($L130),"#,##0")&amp;" A provided against a floor of "&amp;TEXT(N($H130),"#,##0")&amp;" A, set by "&amp;$B$124,IF(N($M130)&gt;$B$13,"ampacity OK, but voltage drop "&amp;TEXT(N($M130),"0.00%")&amp;" exceeds the allowance — ADVISORY","OK — "&amp;TEXT(N($L130),"#,##0")&amp;" A against a "&amp;TEXT(N($H130),"#,##0")&amp;" A floor; drop "&amp;TEXT(N($M130),"0.00%")&amp;" (ADVISORY). Priced as customer-side scope.")))))))))</f>
        <v/>
      </c>
      <c r="O130" s="1289" t="n"/>
      <c r="P130" s="1289" t="n"/>
      <c r="Q130" s="1289" t="n"/>
      <c r="R130" s="1289" t="n"/>
      <c r="S130" s="1289" t="n"/>
      <c r="T130" s="1289" t="n"/>
      <c r="U130" s="1289" t="n"/>
      <c r="V130" s="1289" t="n"/>
      <c r="W130" s="1289" t="n"/>
      <c r="X130" s="1289" t="n"/>
    </row>
    <row r="131" ht="15" customHeight="1" s="254">
      <c r="A131" s="1289" t="n"/>
      <c r="B131" s="1289" t="n"/>
      <c r="C131" s="1289" t="n"/>
      <c r="D131" s="1289" t="n"/>
      <c r="E131" s="1289" t="n"/>
      <c r="F131" s="1289" t="n"/>
      <c r="G131" s="1289" t="n"/>
      <c r="H131" s="1289" t="n"/>
      <c r="I131" s="1289" t="n"/>
      <c r="J131" s="1289" t="n"/>
      <c r="K131" s="1289" t="n"/>
      <c r="L131" s="1289" t="n"/>
      <c r="M131" s="1289" t="n"/>
      <c r="N131" s="1289" t="n"/>
      <c r="O131" s="1289" t="n"/>
      <c r="P131" s="1289" t="n"/>
      <c r="Q131" s="1289" t="n"/>
      <c r="R131" s="1289" t="n"/>
      <c r="S131" s="1289" t="n"/>
      <c r="T131" s="1289" t="n"/>
      <c r="U131" s="1289" t="n"/>
      <c r="V131" s="1289" t="n"/>
      <c r="W131" s="1289" t="n"/>
      <c r="X131" s="1289" t="n"/>
    </row>
    <row r="132" ht="15" customHeight="1" s="254">
      <c r="A132" s="1551" t="inlineStr">
        <is>
          <t>E · DISTRIBUTION EQUIPMENT SCHEDULE</t>
        </is>
      </c>
      <c r="I132" s="1289" t="n"/>
      <c r="J132" s="1289" t="n"/>
      <c r="K132" s="1289" t="n"/>
      <c r="L132" s="1289" t="n"/>
      <c r="M132" s="1289" t="n"/>
      <c r="N132" s="1289" t="n"/>
      <c r="O132" s="1289" t="n"/>
      <c r="P132" s="1289" t="n"/>
      <c r="Q132" s="1289" t="n"/>
      <c r="R132" s="1289" t="n"/>
      <c r="S132" s="1289" t="n"/>
      <c r="T132" s="1289" t="n"/>
      <c r="U132" s="1289" t="n"/>
      <c r="V132" s="1289" t="n"/>
      <c r="W132" s="1289" t="n"/>
      <c r="X132" s="1289" t="n"/>
    </row>
    <row r="133" ht="15" customHeight="1" s="254">
      <c r="A133" s="1300" t="inlineStr">
        <is>
          <t>Every board, panel, disconnect and transformer between the point of connection and the chargers, one row each. The main switchboard is one row with qty 1 — conduit sweeps, j-boxes and the like are peripherals, not distribution equipment. Cost is per row (the quoted cost for that row's quantity).</t>
        </is>
      </c>
      <c r="U133" s="1289" t="n"/>
      <c r="V133" s="1289" t="n"/>
      <c r="W133" s="1289" t="n"/>
      <c r="X133" s="1289" t="n"/>
    </row>
    <row r="134" ht="27.5" customHeight="1" s="254">
      <c r="A134" s="1290" t="inlineStr">
        <is>
          <t>Item</t>
        </is>
      </c>
      <c r="B134" s="1290" t="inlineStr">
        <is>
          <t>Type</t>
        </is>
      </c>
      <c r="C134" s="1290" t="inlineStr">
        <is>
          <t>Qty</t>
        </is>
      </c>
      <c r="D134" s="1290" t="inlineStr">
        <is>
          <t>Volts</t>
        </is>
      </c>
      <c r="E134" s="1290" t="inlineStr">
        <is>
          <t>Phases</t>
        </is>
      </c>
      <c r="F134" s="1361" t="inlineStr">
        <is>
          <t>Rating (A or kVA)</t>
        </is>
      </c>
      <c r="G134" s="1290" t="inlineStr">
        <is>
          <t>Fed from</t>
        </is>
      </c>
      <c r="H134" s="1361" t="inlineStr">
        <is>
          <t>What it feeds</t>
        </is>
      </c>
      <c r="I134" s="1290" t="inlineStr">
        <is>
          <t>Location</t>
        </is>
      </c>
      <c r="J134" s="1361" t="inlineStr">
        <is>
          <t>Who provides</t>
        </is>
      </c>
      <c r="K134" s="1290" t="inlineStr">
        <is>
          <t>Cost basis</t>
        </is>
      </c>
      <c r="L134" s="1361" t="inlineStr">
        <is>
          <t>Quoted cost ($)</t>
        </is>
      </c>
      <c r="M134" s="1289" t="n"/>
      <c r="N134" s="1289" t="n"/>
      <c r="O134" s="1289" t="n"/>
      <c r="P134" s="1289" t="n"/>
      <c r="Q134" s="1289" t="n"/>
      <c r="R134" s="1289" t="n"/>
      <c r="S134" s="1289" t="n"/>
      <c r="T134" s="1289" t="n"/>
      <c r="U134" s="1289" t="n"/>
      <c r="V134" s="1289" t="n"/>
      <c r="W134" s="1289" t="n"/>
      <c r="X134" s="1289" t="n"/>
    </row>
    <row r="135" ht="15" customHeight="1" s="254">
      <c r="A135" s="1292" t="inlineStr">
        <is>
          <t>EVSE disconnects</t>
        </is>
      </c>
      <c r="B135" s="1292" t="inlineStr">
        <is>
          <t>EVSE disconnect</t>
        </is>
      </c>
      <c r="C135" s="1326" t="n">
        <v>4</v>
      </c>
      <c r="D135" s="1326" t="n">
        <v>480</v>
      </c>
      <c r="E135" s="1326" t="n">
        <v>3</v>
      </c>
      <c r="F135" s="1326" t="n">
        <v>600</v>
      </c>
      <c r="G135" s="1292" t="inlineStr">
        <is>
          <t>MSB</t>
        </is>
      </c>
      <c r="H135" s="1292" t="inlineStr">
        <is>
          <t>TP5 cabinets</t>
        </is>
      </c>
      <c r="I135" s="1292" t="inlineStr">
        <is>
          <t>Pad</t>
        </is>
      </c>
      <c r="J135" s="1292" t="inlineStr">
        <is>
          <t>Zero Impact Energy</t>
        </is>
      </c>
      <c r="K135" s="1292" t="inlineStr">
        <is>
          <t>Vendor quote</t>
        </is>
      </c>
      <c r="L135" s="1382" t="n">
        <v>12000</v>
      </c>
      <c r="M135" s="1289" t="n"/>
      <c r="N135" s="1289" t="n"/>
      <c r="O135" s="1289" t="n"/>
      <c r="P135" s="1289" t="n"/>
      <c r="Q135" s="1289" t="n"/>
      <c r="R135" s="1289" t="n"/>
      <c r="S135" s="1289" t="n"/>
      <c r="T135" s="1289" t="n"/>
      <c r="U135" s="1289" t="n"/>
      <c r="V135" s="1289" t="n"/>
      <c r="W135" s="1289" t="n"/>
      <c r="X135" s="1289" t="n"/>
    </row>
    <row r="136" ht="15" customHeight="1" s="254">
      <c r="A136" s="1292" t="inlineStr">
        <is>
          <t>EV distribution panel</t>
        </is>
      </c>
      <c r="B136" s="1292" t="inlineStr">
        <is>
          <t>Panelboard</t>
        </is>
      </c>
      <c r="C136" s="1326" t="n">
        <v>1</v>
      </c>
      <c r="D136" s="1326" t="n">
        <v>480</v>
      </c>
      <c r="E136" s="1326" t="n">
        <v>3</v>
      </c>
      <c r="F136" s="1326" t="n">
        <v>400</v>
      </c>
      <c r="G136" s="1292" t="inlineStr">
        <is>
          <t>Existing MSB</t>
        </is>
      </c>
      <c r="H136" s="1292" t="inlineStr">
        <is>
          <t>EVSE disconnects</t>
        </is>
      </c>
      <c r="I136" s="1292" t="inlineStr">
        <is>
          <t>Electrical room</t>
        </is>
      </c>
      <c r="J136" s="1292" t="inlineStr">
        <is>
          <t>Zero Impact Energy</t>
        </is>
      </c>
      <c r="K136" s="1292" t="inlineStr">
        <is>
          <t>Priced elsewhere in this workbook</t>
        </is>
      </c>
      <c r="L136" s="1382" t="n"/>
      <c r="M136" s="1289" t="n"/>
      <c r="N136" s="1289" t="n"/>
      <c r="O136" s="1289" t="n"/>
      <c r="P136" s="1289" t="n"/>
      <c r="Q136" s="1289" t="n"/>
      <c r="R136" s="1289" t="n"/>
      <c r="S136" s="1289" t="n"/>
      <c r="T136" s="1289" t="n"/>
      <c r="U136" s="1289" t="n"/>
      <c r="V136" s="1289" t="n"/>
      <c r="W136" s="1289" t="n"/>
      <c r="X136" s="1289" t="n"/>
    </row>
    <row r="137" ht="15" customHeight="1" s="254">
      <c r="A137" s="1292" t="n"/>
      <c r="B137" s="1292" t="n"/>
      <c r="C137" s="1326" t="n"/>
      <c r="D137" s="1326" t="n"/>
      <c r="E137" s="1326" t="n"/>
      <c r="F137" s="1326" t="n"/>
      <c r="G137" s="1292" t="n"/>
      <c r="H137" s="1292" t="n"/>
      <c r="I137" s="1292" t="n"/>
      <c r="J137" s="1292" t="n"/>
      <c r="K137" s="1292" t="n"/>
      <c r="L137" s="1382" t="n"/>
      <c r="M137" s="1289" t="n"/>
      <c r="N137" s="1289" t="n"/>
      <c r="O137" s="1289" t="n"/>
      <c r="P137" s="1289" t="n"/>
      <c r="Q137" s="1289" t="n"/>
      <c r="R137" s="1289" t="n"/>
      <c r="S137" s="1289" t="n"/>
      <c r="T137" s="1289" t="n"/>
      <c r="U137" s="1289" t="n"/>
      <c r="V137" s="1289" t="n"/>
      <c r="W137" s="1289" t="n"/>
      <c r="X137" s="1289" t="n"/>
    </row>
    <row r="138" ht="15" customHeight="1" s="254">
      <c r="A138" s="1292" t="n"/>
      <c r="B138" s="1292" t="n"/>
      <c r="C138" s="1326" t="n"/>
      <c r="D138" s="1326" t="n"/>
      <c r="E138" s="1326" t="n"/>
      <c r="F138" s="1326" t="n"/>
      <c r="G138" s="1292" t="n"/>
      <c r="H138" s="1292" t="n"/>
      <c r="I138" s="1292" t="n"/>
      <c r="J138" s="1292" t="n"/>
      <c r="K138" s="1292" t="n"/>
      <c r="L138" s="1382" t="n"/>
      <c r="M138" s="1289" t="n"/>
      <c r="N138" s="1289" t="n"/>
      <c r="O138" s="1289" t="n"/>
      <c r="P138" s="1289" t="n"/>
      <c r="Q138" s="1289" t="n"/>
      <c r="R138" s="1289" t="n"/>
      <c r="S138" s="1289" t="n"/>
      <c r="T138" s="1289" t="n"/>
      <c r="U138" s="1289" t="n"/>
      <c r="V138" s="1289" t="n"/>
      <c r="W138" s="1289" t="n"/>
      <c r="X138" s="1289" t="n"/>
    </row>
    <row r="139" ht="15" customHeight="1" s="254">
      <c r="A139" s="1292" t="n"/>
      <c r="B139" s="1292" t="n"/>
      <c r="C139" s="1326" t="n"/>
      <c r="D139" s="1326" t="n"/>
      <c r="E139" s="1326" t="n"/>
      <c r="F139" s="1326" t="n"/>
      <c r="G139" s="1292" t="n"/>
      <c r="H139" s="1292" t="n"/>
      <c r="I139" s="1292" t="n"/>
      <c r="J139" s="1292" t="n"/>
      <c r="K139" s="1292" t="n"/>
      <c r="L139" s="1382" t="n"/>
      <c r="M139" s="1289" t="n"/>
      <c r="N139" s="1289" t="n"/>
      <c r="O139" s="1289" t="n"/>
      <c r="P139" s="1289" t="n"/>
      <c r="Q139" s="1289" t="n"/>
      <c r="R139" s="1289" t="n"/>
      <c r="S139" s="1289" t="n"/>
      <c r="T139" s="1289" t="n"/>
      <c r="U139" s="1289" t="n"/>
      <c r="V139" s="1289" t="n"/>
      <c r="W139" s="1289" t="n"/>
      <c r="X139" s="1289" t="n"/>
    </row>
    <row r="140" ht="15" customHeight="1" s="254">
      <c r="A140" s="1292" t="n"/>
      <c r="B140" s="1292" t="n"/>
      <c r="C140" s="1326" t="n"/>
      <c r="D140" s="1326" t="n"/>
      <c r="E140" s="1326" t="n"/>
      <c r="F140" s="1326" t="n"/>
      <c r="G140" s="1292" t="n"/>
      <c r="H140" s="1292" t="n"/>
      <c r="I140" s="1292" t="n"/>
      <c r="J140" s="1292" t="n"/>
      <c r="K140" s="1292" t="n"/>
      <c r="L140" s="1382" t="n"/>
      <c r="M140" s="1289" t="n"/>
      <c r="N140" s="1289" t="n"/>
      <c r="O140" s="1289" t="n"/>
      <c r="P140" s="1289" t="n"/>
      <c r="Q140" s="1289" t="n"/>
      <c r="R140" s="1289" t="n"/>
      <c r="S140" s="1289" t="n"/>
      <c r="T140" s="1289" t="n"/>
      <c r="U140" s="1289" t="n"/>
      <c r="V140" s="1289" t="n"/>
      <c r="W140" s="1289" t="n"/>
      <c r="X140" s="1289" t="n"/>
    </row>
    <row r="141" ht="15" customHeight="1" s="254">
      <c r="A141" s="1292" t="n"/>
      <c r="B141" s="1292" t="n"/>
      <c r="C141" s="1326" t="n"/>
      <c r="D141" s="1326" t="n"/>
      <c r="E141" s="1326" t="n"/>
      <c r="F141" s="1326" t="n"/>
      <c r="G141" s="1292" t="n"/>
      <c r="H141" s="1292" t="n"/>
      <c r="I141" s="1292" t="n"/>
      <c r="J141" s="1292" t="n"/>
      <c r="K141" s="1292" t="n"/>
      <c r="L141" s="1382" t="n"/>
      <c r="M141" s="1289" t="n"/>
      <c r="N141" s="1289" t="n"/>
      <c r="O141" s="1289" t="n"/>
      <c r="P141" s="1289" t="n"/>
      <c r="Q141" s="1289" t="n"/>
      <c r="R141" s="1289" t="n"/>
      <c r="S141" s="1289" t="n"/>
      <c r="T141" s="1289" t="n"/>
      <c r="U141" s="1289" t="n"/>
      <c r="V141" s="1289" t="n"/>
      <c r="W141" s="1289" t="n"/>
      <c r="X141" s="1289" t="n"/>
    </row>
    <row r="142" ht="15" customHeight="1" s="254">
      <c r="A142" s="1292" t="n"/>
      <c r="B142" s="1292" t="n"/>
      <c r="C142" s="1326" t="n"/>
      <c r="D142" s="1326" t="n"/>
      <c r="E142" s="1326" t="n"/>
      <c r="F142" s="1326" t="n"/>
      <c r="G142" s="1292" t="n"/>
      <c r="H142" s="1292" t="n"/>
      <c r="I142" s="1292" t="n"/>
      <c r="J142" s="1292" t="n"/>
      <c r="K142" s="1292" t="n"/>
      <c r="L142" s="1382" t="n"/>
      <c r="M142" s="1289" t="n"/>
      <c r="N142" s="1289" t="n"/>
      <c r="O142" s="1289" t="n"/>
      <c r="P142" s="1289" t="n"/>
      <c r="Q142" s="1289" t="n"/>
      <c r="R142" s="1289" t="n"/>
      <c r="S142" s="1289" t="n"/>
      <c r="T142" s="1289" t="n"/>
      <c r="U142" s="1289" t="n"/>
      <c r="V142" s="1289" t="n"/>
      <c r="W142" s="1289" t="n"/>
      <c r="X142" s="1289" t="n"/>
    </row>
    <row r="143" ht="15" customHeight="1" s="254">
      <c r="A143" s="1292" t="n"/>
      <c r="B143" s="1292" t="n"/>
      <c r="C143" s="1326" t="n"/>
      <c r="D143" s="1326" t="n"/>
      <c r="E143" s="1326" t="n"/>
      <c r="F143" s="1326" t="n"/>
      <c r="G143" s="1292" t="n"/>
      <c r="H143" s="1292" t="n"/>
      <c r="I143" s="1292" t="n"/>
      <c r="J143" s="1292" t="n"/>
      <c r="K143" s="1292" t="n"/>
      <c r="L143" s="1382" t="n"/>
      <c r="M143" s="1289" t="n"/>
      <c r="N143" s="1289" t="n"/>
      <c r="O143" s="1289" t="n"/>
      <c r="P143" s="1289" t="n"/>
      <c r="Q143" s="1289" t="n"/>
      <c r="R143" s="1289" t="n"/>
      <c r="S143" s="1289" t="n"/>
      <c r="T143" s="1289" t="n"/>
      <c r="U143" s="1289" t="n"/>
      <c r="V143" s="1289" t="n"/>
      <c r="W143" s="1289" t="n"/>
      <c r="X143" s="1289" t="n"/>
    </row>
    <row r="144" ht="15" customHeight="1" s="254">
      <c r="A144" s="1292" t="n"/>
      <c r="B144" s="1292" t="n"/>
      <c r="C144" s="1326" t="n"/>
      <c r="D144" s="1326" t="n"/>
      <c r="E144" s="1326" t="n"/>
      <c r="F144" s="1326" t="n"/>
      <c r="G144" s="1292" t="n"/>
      <c r="H144" s="1292" t="n"/>
      <c r="I144" s="1292" t="n"/>
      <c r="J144" s="1292" t="n"/>
      <c r="K144" s="1292" t="n"/>
      <c r="L144" s="1382" t="n"/>
      <c r="M144" s="1289" t="n"/>
      <c r="N144" s="1289" t="n"/>
      <c r="O144" s="1289" t="n"/>
      <c r="P144" s="1289" t="n"/>
      <c r="Q144" s="1289" t="n"/>
      <c r="R144" s="1289" t="n"/>
      <c r="S144" s="1289" t="n"/>
      <c r="T144" s="1289" t="n"/>
      <c r="U144" s="1289" t="n"/>
      <c r="V144" s="1289" t="n"/>
      <c r="W144" s="1289" t="n"/>
      <c r="X144" s="1289" t="n"/>
    </row>
    <row r="145" ht="15" customHeight="1" s="254">
      <c r="A145" s="1292" t="n"/>
      <c r="B145" s="1292" t="n"/>
      <c r="C145" s="1326" t="n"/>
      <c r="D145" s="1326" t="n"/>
      <c r="E145" s="1326" t="n"/>
      <c r="F145" s="1326" t="n"/>
      <c r="G145" s="1292" t="n"/>
      <c r="H145" s="1292" t="n"/>
      <c r="I145" s="1292" t="n"/>
      <c r="J145" s="1292" t="n"/>
      <c r="K145" s="1292" t="n"/>
      <c r="L145" s="1382" t="n"/>
      <c r="M145" s="1289" t="n"/>
      <c r="N145" s="1289" t="n"/>
      <c r="O145" s="1289" t="n"/>
      <c r="P145" s="1289" t="n"/>
      <c r="Q145" s="1289" t="n"/>
      <c r="R145" s="1289" t="n"/>
      <c r="S145" s="1289" t="n"/>
      <c r="T145" s="1289" t="n"/>
      <c r="U145" s="1289" t="n"/>
      <c r="V145" s="1289" t="n"/>
      <c r="W145" s="1289" t="n"/>
      <c r="X145" s="1289" t="n"/>
    </row>
    <row r="146" ht="15" customHeight="1" s="254">
      <c r="A146" s="1292" t="n"/>
      <c r="B146" s="1292" t="n"/>
      <c r="C146" s="1326" t="n"/>
      <c r="D146" s="1326" t="n"/>
      <c r="E146" s="1326" t="n"/>
      <c r="F146" s="1326" t="n"/>
      <c r="G146" s="1292" t="n"/>
      <c r="H146" s="1292" t="n"/>
      <c r="I146" s="1292" t="n"/>
      <c r="J146" s="1292" t="n"/>
      <c r="K146" s="1292" t="n"/>
      <c r="L146" s="1382" t="n"/>
      <c r="M146" s="1289" t="n"/>
      <c r="N146" s="1289" t="n"/>
      <c r="O146" s="1289" t="n"/>
      <c r="P146" s="1289" t="n"/>
      <c r="Q146" s="1289" t="n"/>
      <c r="R146" s="1289" t="n"/>
      <c r="S146" s="1289" t="n"/>
      <c r="T146" s="1289" t="n"/>
      <c r="U146" s="1289" t="n"/>
      <c r="V146" s="1289" t="n"/>
      <c r="W146" s="1289" t="n"/>
      <c r="X146" s="1289" t="n"/>
    </row>
    <row r="147" ht="15" customHeight="1" s="254">
      <c r="A147" s="1552" t="inlineStr">
        <is>
          <t>Distribution units scheduled</t>
        </is>
      </c>
      <c r="B147" s="1295">
        <f>SUM($C$135:$C$146)</f>
        <v/>
      </c>
      <c r="C147" s="1289" t="n"/>
      <c r="D147" s="1289" t="n"/>
      <c r="E147" s="1289" t="n"/>
      <c r="F147" s="1289" t="n"/>
      <c r="G147" s="1289" t="n"/>
      <c r="H147" s="1289" t="n"/>
      <c r="I147" s="1289" t="n"/>
      <c r="J147" s="1289" t="n"/>
      <c r="K147" s="1289" t="n"/>
      <c r="L147" s="1289" t="n"/>
      <c r="M147" s="1289" t="n"/>
      <c r="N147" s="1289" t="n"/>
      <c r="O147" s="1289" t="n"/>
      <c r="P147" s="1289" t="n"/>
      <c r="Q147" s="1289" t="n"/>
      <c r="R147" s="1289" t="n"/>
      <c r="S147" s="1289" t="n"/>
      <c r="T147" s="1289" t="n"/>
      <c r="U147" s="1289" t="n"/>
      <c r="V147" s="1289" t="n"/>
      <c r="W147" s="1289" t="n"/>
      <c r="X147" s="1289" t="n"/>
    </row>
    <row r="148" ht="15" customHeight="1" s="254">
      <c r="A148" s="1552" t="inlineStr">
        <is>
          <t>Distribution equipment cost ($)</t>
        </is>
      </c>
      <c r="B148" s="1371">
        <f>SUM($L$135:$L$146)</f>
        <v/>
      </c>
      <c r="C148" s="1300" t="inlineStr">
        <is>
          <t>Carried into the cost build-up as distribution equipment, at the materials markup.</t>
        </is>
      </c>
      <c r="I148" s="1289" t="n"/>
      <c r="J148" s="1289" t="n"/>
      <c r="K148" s="1289" t="n"/>
      <c r="L148" s="1289" t="n"/>
      <c r="M148" s="1289" t="n"/>
      <c r="N148" s="1289" t="n"/>
      <c r="O148" s="1289" t="n"/>
      <c r="P148" s="1289" t="n"/>
      <c r="Q148" s="1289" t="n"/>
      <c r="R148" s="1289" t="n"/>
      <c r="S148" s="1289" t="n"/>
      <c r="T148" s="1289" t="n"/>
      <c r="U148" s="1289" t="n"/>
      <c r="V148" s="1289" t="n"/>
      <c r="W148" s="1289" t="n"/>
      <c r="X148" s="1289" t="n"/>
    </row>
    <row r="149" ht="15" customHeight="1" s="254">
      <c r="A149" s="1552" t="inlineStr">
        <is>
          <t>Every item priced?</t>
        </is>
      </c>
      <c r="B149" s="1370">
        <f>IF(COUNTA($A$135:$A$146)=0,"OK — nothing scheduled yet",IF(SUMPRODUCT(--($A$135:$A$146&lt;&gt;""),--($L$135:$L$146=0),--($K$135:$K$146&lt;&gt;"By others"),--($K$135:$K$146&lt;&gt;"Priced elsewhere in this workbook"))&gt;0,"UNPRICED — a scheduled item carries no cost. Read the Cost basis column: an allowance nobody has set is still a hole, and every cost in this workbook is short by it.","OK — every scheduled item carries a cost or is provided by others"))</f>
        <v/>
      </c>
      <c r="C149" s="1289" t="n"/>
      <c r="D149" s="1289" t="n"/>
      <c r="E149" s="1289" t="n"/>
      <c r="F149" s="1289" t="n"/>
      <c r="G149" s="1289" t="n"/>
      <c r="H149" s="1289" t="n"/>
      <c r="I149" s="1289" t="n"/>
      <c r="J149" s="1289" t="n"/>
      <c r="K149" s="1289" t="n"/>
      <c r="L149" s="1289" t="n"/>
      <c r="M149" s="1289" t="n"/>
      <c r="N149" s="1289" t="n"/>
      <c r="O149" s="1289" t="n"/>
      <c r="P149" s="1289" t="n"/>
      <c r="Q149" s="1289" t="n"/>
      <c r="R149" s="1289" t="n"/>
      <c r="S149" s="1289" t="n"/>
      <c r="T149" s="1289" t="n"/>
      <c r="U149" s="1289" t="n"/>
      <c r="V149" s="1289" t="n"/>
      <c r="W149" s="1289" t="n"/>
      <c r="X149" s="1289" t="n"/>
    </row>
    <row r="150" ht="15" customHeight="1" s="254">
      <c r="A150" s="1552" t="inlineStr">
        <is>
          <t>Every item fed from something?</t>
        </is>
      </c>
      <c r="B150" s="1370">
        <f>IF(COUNTA($A$135:$A$146)=0,"OK — nothing scheduled yet",IF(SUMPRODUCT(--($A$135:$A$146&lt;&gt;""),--($G$135:$G$146=""))&gt;0,"INCOMPLETE — an item has no source named. A panel nobody feeds is a panel nobody costed a feeder to.","OK — every item names what feeds it"))</f>
        <v/>
      </c>
      <c r="C150" s="1289" t="n"/>
      <c r="D150" s="1289" t="n"/>
      <c r="E150" s="1289" t="n"/>
      <c r="F150" s="1289" t="n"/>
      <c r="G150" s="1289" t="n"/>
      <c r="H150" s="1289" t="n"/>
      <c r="I150" s="1289" t="n"/>
      <c r="J150" s="1289" t="n"/>
      <c r="K150" s="1289" t="n"/>
      <c r="L150" s="1289" t="n"/>
      <c r="M150" s="1289" t="n"/>
      <c r="N150" s="1289" t="n"/>
      <c r="O150" s="1289" t="n"/>
      <c r="P150" s="1289" t="n"/>
      <c r="Q150" s="1289" t="n"/>
      <c r="R150" s="1289" t="n"/>
      <c r="S150" s="1289" t="n"/>
      <c r="T150" s="1289" t="n"/>
      <c r="U150" s="1289" t="n"/>
      <c r="V150" s="1289" t="n"/>
      <c r="W150" s="1289" t="n"/>
      <c r="X150" s="1289" t="n"/>
    </row>
    <row r="151" ht="27.5" customHeight="1" s="254">
      <c r="A151" s="1294" t="inlineStr">
        <is>
          <t>EVSE disconnecting means — NEC 625.43</t>
        </is>
      </c>
      <c r="B151" s="1370">
        <f>IF(COUNTA($A$135:$A$146)=0,"OK — nothing scheduled yet","ADVISORY — "&amp;TEXT(SUMIF($B$135:$B$146,"EVSE disconnect",$C$135:$C$146),"0")&amp;"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51" s="1289" t="n"/>
      <c r="D151" s="1289" t="n"/>
      <c r="E151" s="1289" t="n"/>
      <c r="F151" s="1289" t="n"/>
      <c r="G151" s="1289" t="n"/>
      <c r="H151" s="1289" t="n"/>
      <c r="I151" s="1289" t="n"/>
      <c r="J151" s="1289" t="n"/>
      <c r="K151" s="1289" t="n"/>
      <c r="L151" s="1289" t="n"/>
      <c r="M151" s="1289" t="n"/>
      <c r="N151" s="1289" t="n"/>
      <c r="O151" s="1289" t="n"/>
      <c r="P151" s="1289" t="n"/>
      <c r="Q151" s="1289" t="n"/>
      <c r="R151" s="1289" t="n"/>
      <c r="S151" s="1289" t="n"/>
      <c r="T151" s="1289" t="n"/>
      <c r="U151" s="1289" t="n"/>
      <c r="V151" s="1289" t="n"/>
      <c r="W151" s="1289" t="n"/>
      <c r="X151" s="1289" t="n"/>
    </row>
    <row r="152" ht="15" customHeight="1" s="254">
      <c r="A152" s="1289" t="n"/>
      <c r="B152" s="1289" t="n"/>
      <c r="C152" s="1289" t="n"/>
      <c r="D152" s="1289" t="n"/>
      <c r="E152" s="1289" t="n"/>
      <c r="F152" s="1289" t="n"/>
      <c r="G152" s="1289" t="n"/>
      <c r="H152" s="1289" t="n"/>
      <c r="I152" s="1289" t="n"/>
      <c r="J152" s="1289" t="n"/>
      <c r="K152" s="1289" t="n"/>
      <c r="L152" s="1289" t="n"/>
      <c r="M152" s="1289" t="n"/>
      <c r="N152" s="1289" t="n"/>
      <c r="O152" s="1289" t="n"/>
      <c r="P152" s="1289" t="n"/>
      <c r="Q152" s="1289" t="n"/>
      <c r="R152" s="1289" t="n"/>
      <c r="S152" s="1289" t="n"/>
      <c r="T152" s="1289" t="n"/>
      <c r="U152" s="1289" t="n"/>
      <c r="V152" s="1289" t="n"/>
      <c r="W152" s="1289" t="n"/>
      <c r="X152" s="1289" t="n"/>
    </row>
    <row r="153" ht="15" customHeight="1" s="254">
      <c r="A153" s="1308" t="inlineStr">
        <is>
          <t>F · UTILITY INTERCONNECTION — governed by the serving utility</t>
        </is>
      </c>
      <c r="I153" s="1289" t="n"/>
      <c r="J153" s="1289" t="n"/>
      <c r="K153" s="1289" t="n"/>
      <c r="L153" s="1289" t="n"/>
      <c r="M153" s="1289" t="n"/>
      <c r="N153" s="1289" t="n"/>
      <c r="O153" s="1289" t="n"/>
      <c r="P153" s="1289" t="n"/>
      <c r="Q153" s="1289" t="n"/>
      <c r="R153" s="1289" t="n"/>
      <c r="S153" s="1289" t="n"/>
      <c r="T153" s="1289" t="n"/>
      <c r="U153" s="1289" t="n"/>
      <c r="V153" s="1289" t="n"/>
      <c r="W153" s="1289" t="n"/>
      <c r="X153" s="1289" t="n"/>
    </row>
    <row r="154" ht="27.5" customHeight="1" s="254">
      <c r="A154" s="1383"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U154" s="1289" t="n"/>
      <c r="V154" s="1289" t="n"/>
      <c r="W154" s="1289" t="n"/>
      <c r="X154" s="1289" t="n"/>
    </row>
    <row r="155" ht="15" customHeight="1" s="254">
      <c r="A155" s="1552" t="inlineStr">
        <is>
          <t>Service type</t>
        </is>
      </c>
      <c r="B155" s="1553" t="inlineStr">
        <is>
          <t>Added load to existing service</t>
        </is>
      </c>
      <c r="C155" s="1360" t="inlineStr">
        <is>
          <t>New service / added load to existing service</t>
        </is>
      </c>
      <c r="I155" s="1289" t="n"/>
      <c r="J155" s="1289" t="n"/>
      <c r="K155" s="1289" t="n"/>
      <c r="L155" s="1289" t="n"/>
      <c r="M155" s="1289" t="n"/>
      <c r="N155" s="1289" t="n"/>
      <c r="O155" s="1289" t="n"/>
      <c r="P155" s="1289" t="n"/>
      <c r="Q155" s="1289" t="n"/>
      <c r="R155" s="1289" t="n"/>
      <c r="S155" s="1289" t="n"/>
      <c r="T155" s="1289" t="n"/>
      <c r="U155" s="1289" t="n"/>
      <c r="V155" s="1289" t="n"/>
      <c r="W155" s="1289" t="n"/>
      <c r="X155" s="1289" t="n"/>
    </row>
    <row r="156" ht="15" customHeight="1" s="254">
      <c r="A156" s="1552" t="inlineStr">
        <is>
          <t>Overhead or underground service</t>
        </is>
      </c>
      <c r="B156" s="1553" t="inlineStr">
        <is>
          <t>Underground</t>
        </is>
      </c>
      <c r="C156" s="1289" t="n"/>
      <c r="D156" s="1289" t="n"/>
      <c r="E156" s="1289" t="n"/>
      <c r="F156" s="1289" t="n"/>
      <c r="G156" s="1289" t="n"/>
      <c r="H156" s="1289" t="n"/>
      <c r="I156" s="1289" t="n"/>
      <c r="J156" s="1289" t="n"/>
      <c r="K156" s="1289" t="n"/>
      <c r="L156" s="1289" t="n"/>
      <c r="M156" s="1289" t="n"/>
      <c r="N156" s="1289" t="n"/>
      <c r="O156" s="1289" t="n"/>
      <c r="P156" s="1289" t="n"/>
      <c r="Q156" s="1289" t="n"/>
      <c r="R156" s="1289" t="n"/>
      <c r="S156" s="1289" t="n"/>
      <c r="T156" s="1289" t="n"/>
      <c r="U156" s="1289" t="n"/>
      <c r="V156" s="1289" t="n"/>
      <c r="W156" s="1289" t="n"/>
      <c r="X156" s="1289" t="n"/>
    </row>
    <row r="157" ht="27.5" customHeight="1" s="254">
      <c r="A157" s="1294" t="inlineStr">
        <is>
          <t>Distance to the utility point of interconnection (ft)</t>
        </is>
      </c>
      <c r="B157" s="1305" t="n">
        <v>150</v>
      </c>
      <c r="C157" s="1360" t="inlineStr">
        <is>
          <t>Drives whether distribution work is likely</t>
        </is>
      </c>
      <c r="I157" s="1289" t="n"/>
      <c r="J157" s="1289" t="n"/>
      <c r="K157" s="1289" t="n"/>
      <c r="L157" s="1289" t="n"/>
      <c r="M157" s="1289" t="n"/>
      <c r="N157" s="1289" t="n"/>
      <c r="O157" s="1289" t="n"/>
      <c r="P157" s="1289" t="n"/>
      <c r="Q157" s="1289" t="n"/>
      <c r="R157" s="1289" t="n"/>
      <c r="S157" s="1289" t="n"/>
      <c r="T157" s="1289" t="n"/>
      <c r="U157" s="1289" t="n"/>
      <c r="V157" s="1289" t="n"/>
      <c r="W157" s="1289" t="n"/>
      <c r="X157" s="1289" t="n"/>
    </row>
    <row r="158" ht="27.5" customHeight="1" s="254">
      <c r="A158" s="1294" t="inlineStr">
        <is>
          <t>Interconnection application submitted?</t>
        </is>
      </c>
      <c r="B158" s="1553" t="inlineStr">
        <is>
          <t>No</t>
        </is>
      </c>
      <c r="C158" s="1360" t="inlineStr">
        <is>
          <t>Yes / No — with the date in the next row</t>
        </is>
      </c>
      <c r="I158" s="1289" t="n"/>
      <c r="J158" s="1289" t="n"/>
      <c r="K158" s="1289" t="n"/>
      <c r="L158" s="1289" t="n"/>
      <c r="M158" s="1289" t="n"/>
      <c r="N158" s="1289" t="n"/>
      <c r="O158" s="1289" t="n"/>
      <c r="P158" s="1289" t="n"/>
      <c r="Q158" s="1289" t="n"/>
      <c r="R158" s="1289" t="n"/>
      <c r="S158" s="1289" t="n"/>
      <c r="T158" s="1289" t="n"/>
      <c r="U158" s="1289" t="n"/>
      <c r="V158" s="1289" t="n"/>
      <c r="W158" s="1289" t="n"/>
      <c r="X158" s="1289" t="n"/>
    </row>
    <row r="159" ht="15" customHeight="1" s="254">
      <c r="A159" s="1552" t="inlineStr">
        <is>
          <t>Application date</t>
        </is>
      </c>
      <c r="B159" s="1553" t="n"/>
      <c r="C159" s="1289" t="n"/>
      <c r="D159" s="1289" t="n"/>
      <c r="E159" s="1289" t="n"/>
      <c r="F159" s="1289" t="n"/>
      <c r="G159" s="1289" t="n"/>
      <c r="H159" s="1289" t="n"/>
      <c r="I159" s="1289" t="n"/>
      <c r="J159" s="1289" t="n"/>
      <c r="K159" s="1289" t="n"/>
      <c r="L159" s="1289" t="n"/>
      <c r="M159" s="1289" t="n"/>
      <c r="N159" s="1289" t="n"/>
      <c r="O159" s="1289" t="n"/>
      <c r="P159" s="1289" t="n"/>
      <c r="Q159" s="1289" t="n"/>
      <c r="R159" s="1289" t="n"/>
      <c r="S159" s="1289" t="n"/>
      <c r="T159" s="1289" t="n"/>
      <c r="U159" s="1289" t="n"/>
      <c r="V159" s="1289" t="n"/>
      <c r="W159" s="1289" t="n"/>
      <c r="X159" s="1289" t="n"/>
    </row>
    <row r="160" ht="15" customHeight="1" s="254">
      <c r="A160" s="1552" t="inlineStr">
        <is>
          <t>Utility project or design number</t>
        </is>
      </c>
      <c r="B160" s="1553" t="n"/>
      <c r="C160" s="1360" t="inlineStr">
        <is>
          <t>Once issued</t>
        </is>
      </c>
      <c r="I160" s="1289" t="n"/>
      <c r="J160" s="1289" t="n"/>
      <c r="K160" s="1289" t="n"/>
      <c r="L160" s="1289" t="n"/>
      <c r="M160" s="1289" t="n"/>
      <c r="N160" s="1289" t="n"/>
      <c r="O160" s="1289" t="n"/>
      <c r="P160" s="1289" t="n"/>
      <c r="Q160" s="1289" t="n"/>
      <c r="R160" s="1289" t="n"/>
      <c r="S160" s="1289" t="n"/>
      <c r="T160" s="1289" t="n"/>
      <c r="U160" s="1289" t="n"/>
      <c r="V160" s="1289" t="n"/>
      <c r="W160" s="1289" t="n"/>
      <c r="X160" s="1289" t="n"/>
    </row>
    <row r="161" ht="27.5" customHeight="1" s="254">
      <c r="A161" s="1294" t="inlineStr">
        <is>
          <t>Utility interconnection design and application fee</t>
        </is>
      </c>
      <c r="B161" s="1384" t="n">
        <v>3500</v>
      </c>
      <c r="C161" s="1300" t="inlineStr">
        <is>
          <t>What the serving utility charges to design and connect the service. Leave blank until they say — there is no default.</t>
        </is>
      </c>
      <c r="I161" s="1289" t="n"/>
      <c r="J161" s="1289" t="n"/>
      <c r="K161" s="1289" t="n"/>
      <c r="L161" s="1289" t="n"/>
      <c r="M161" s="1289" t="n"/>
      <c r="N161" s="1289" t="n"/>
      <c r="O161" s="1289" t="n"/>
      <c r="P161" s="1289" t="n"/>
      <c r="Q161" s="1289" t="n"/>
      <c r="R161" s="1289" t="n"/>
      <c r="S161" s="1289" t="n"/>
      <c r="T161" s="1289" t="n"/>
      <c r="U161" s="1289" t="n"/>
      <c r="V161" s="1289" t="n"/>
      <c r="W161" s="1289" t="n"/>
      <c r="X161" s="1289" t="n"/>
    </row>
    <row r="162" ht="27.5" customHeight="1" s="254">
      <c r="A162" s="1294" t="inlineStr">
        <is>
          <t>Distribution or line extension indicated by the utility?</t>
        </is>
      </c>
      <c r="B162" s="1553" t="inlineStr">
        <is>
          <t>Unknown — design not yet submitted</t>
        </is>
      </c>
      <c r="C162" s="1360" t="inlineStr">
        <is>
          <t>Unknown until the utility design is returned</t>
        </is>
      </c>
      <c r="I162" s="1289" t="n"/>
      <c r="J162" s="1289" t="n"/>
      <c r="K162" s="1289" t="n"/>
      <c r="L162" s="1289" t="n"/>
      <c r="M162" s="1289" t="n"/>
      <c r="N162" s="1289" t="n"/>
      <c r="O162" s="1289" t="n"/>
      <c r="P162" s="1289" t="n"/>
      <c r="Q162" s="1289" t="n"/>
      <c r="R162" s="1289" t="n"/>
      <c r="S162" s="1289" t="n"/>
      <c r="T162" s="1289" t="n"/>
      <c r="U162" s="1289" t="n"/>
      <c r="V162" s="1289" t="n"/>
      <c r="W162" s="1289" t="n"/>
      <c r="X162" s="1289" t="n"/>
    </row>
    <row r="163" ht="27.5" customHeight="1" s="254">
      <c r="A163" s="1294" t="inlineStr">
        <is>
          <t>Line-extension allowance calculated by the utility</t>
        </is>
      </c>
      <c r="B163" s="1384" t="n"/>
      <c r="C163" s="1300" t="inlineStr">
        <is>
          <t>Leave blank until the design comes back. Municipal utilities often publish no allowance at all — zero is then a finding, not a gap.</t>
        </is>
      </c>
      <c r="I163" s="1289" t="n"/>
      <c r="J163" s="1289" t="n"/>
      <c r="K163" s="1289" t="n"/>
      <c r="L163" s="1289" t="n"/>
      <c r="M163" s="1289" t="n"/>
      <c r="N163" s="1289" t="n"/>
      <c r="O163" s="1289" t="n"/>
      <c r="P163" s="1289" t="n"/>
      <c r="Q163" s="1289" t="n"/>
      <c r="R163" s="1289" t="n"/>
      <c r="S163" s="1289" t="n"/>
      <c r="T163" s="1289" t="n"/>
      <c r="U163" s="1289" t="n"/>
      <c r="V163" s="1289" t="n"/>
      <c r="W163" s="1289" t="n"/>
      <c r="X163" s="1289" t="n"/>
    </row>
    <row r="164" ht="27.5" customHeight="1" s="254">
      <c r="A164" s="1294" t="inlineStr">
        <is>
          <t>Customer contribution above the allowance</t>
        </is>
      </c>
      <c r="B164" s="1384" t="n"/>
      <c r="C164" s="1360" t="inlineStr">
        <is>
          <t>Leave blank until the design comes back</t>
        </is>
      </c>
      <c r="I164" s="1289" t="n"/>
      <c r="J164" s="1289" t="n"/>
      <c r="K164" s="1289" t="n"/>
      <c r="L164" s="1289" t="n"/>
      <c r="M164" s="1289" t="n"/>
      <c r="N164" s="1289" t="n"/>
      <c r="O164" s="1289" t="n"/>
      <c r="P164" s="1289" t="n"/>
      <c r="Q164" s="1289" t="n"/>
      <c r="R164" s="1289" t="n"/>
      <c r="S164" s="1289" t="n"/>
      <c r="T164" s="1289" t="n"/>
      <c r="U164" s="1289" t="n"/>
      <c r="V164" s="1289" t="n"/>
      <c r="W164" s="1289" t="n"/>
      <c r="X164" s="1289" t="n"/>
    </row>
    <row r="165" ht="27.5" customHeight="1" s="254">
      <c r="A165" s="1294" t="inlineStr">
        <is>
          <t>Temporary or speculative service component?</t>
        </is>
      </c>
      <c r="B165" s="1553" t="inlineStr">
        <is>
          <t>Unknown</t>
        </is>
      </c>
      <c r="C165" s="1289" t="n"/>
      <c r="D165" s="1289" t="n"/>
      <c r="E165" s="1289" t="n"/>
      <c r="F165" s="1289" t="n"/>
      <c r="G165" s="1289" t="n"/>
      <c r="H165" s="1289" t="n"/>
      <c r="I165" s="1289" t="n"/>
      <c r="J165" s="1289" t="n"/>
      <c r="K165" s="1289" t="n"/>
      <c r="L165" s="1289" t="n"/>
      <c r="M165" s="1289" t="n"/>
      <c r="N165" s="1289" t="n"/>
      <c r="O165" s="1289" t="n"/>
      <c r="P165" s="1289" t="n"/>
      <c r="Q165" s="1289" t="n"/>
      <c r="R165" s="1289" t="n"/>
      <c r="S165" s="1289" t="n"/>
      <c r="T165" s="1289" t="n"/>
      <c r="U165" s="1289" t="n"/>
      <c r="V165" s="1289" t="n"/>
      <c r="W165" s="1289" t="n"/>
      <c r="X165" s="1289" t="n"/>
    </row>
    <row r="166" ht="27.5" customHeight="1" s="254">
      <c r="A166" s="1294" t="inlineStr">
        <is>
          <t>Tax gross-up on a customer contribution applies?</t>
        </is>
      </c>
      <c r="B166" s="1378" t="inlineStr">
        <is>
          <t>Only if Rule 15/16 contribution arises</t>
        </is>
      </c>
      <c r="C166" s="1300" t="inlineStr">
        <is>
          <t>Tax on any contribution to utility-owned plant. Investor-owned utilities levy it; publicly owned utilities generally do not.</t>
        </is>
      </c>
      <c r="I166" s="1289" t="n"/>
      <c r="J166" s="1289" t="n"/>
      <c r="K166" s="1289" t="n"/>
      <c r="L166" s="1289" t="n"/>
      <c r="M166" s="1289" t="n"/>
      <c r="N166" s="1289" t="n"/>
      <c r="O166" s="1289" t="n"/>
      <c r="P166" s="1289" t="n"/>
      <c r="Q166" s="1289" t="n"/>
      <c r="R166" s="1289" t="n"/>
      <c r="S166" s="1289" t="n"/>
      <c r="T166" s="1289" t="n"/>
      <c r="U166" s="1289" t="n"/>
      <c r="V166" s="1289" t="n"/>
      <c r="W166" s="1289" t="n"/>
      <c r="X166" s="1289" t="n"/>
    </row>
    <row r="167" ht="27.5" customHeight="1" s="254">
      <c r="A167" s="1294" t="inlineStr">
        <is>
          <t>Transformer pad location agreed with client?</t>
        </is>
      </c>
      <c r="B167" s="1553" t="inlineStr">
        <is>
          <t>Yes</t>
        </is>
      </c>
      <c r="C167" s="1360" t="inlineStr">
        <is>
          <t>Client must provide the space</t>
        </is>
      </c>
      <c r="I167" s="1289" t="n"/>
      <c r="J167" s="1289" t="n"/>
      <c r="K167" s="1289" t="n"/>
      <c r="L167" s="1289" t="n"/>
      <c r="M167" s="1289" t="n"/>
      <c r="N167" s="1289" t="n"/>
      <c r="O167" s="1289" t="n"/>
      <c r="P167" s="1289" t="n"/>
      <c r="Q167" s="1289" t="n"/>
      <c r="R167" s="1289" t="n"/>
      <c r="S167" s="1289" t="n"/>
      <c r="T167" s="1289" t="n"/>
      <c r="U167" s="1289" t="n"/>
      <c r="V167" s="1289" t="n"/>
      <c r="W167" s="1289" t="n"/>
      <c r="X167" s="1289" t="n"/>
    </row>
    <row r="168" ht="27.5" customHeight="1" s="254">
      <c r="A168" s="1294" t="inlineStr">
        <is>
          <t>Proof of commitment to purchase provided?</t>
        </is>
      </c>
      <c r="B168" s="1553" t="inlineStr">
        <is>
          <t>Yes</t>
        </is>
      </c>
      <c r="C168" s="1300" t="inlineStr">
        <is>
          <t>Some utility programmes require a PO, budget approval or grant agreement</t>
        </is>
      </c>
      <c r="I168" s="1289" t="n"/>
      <c r="J168" s="1289" t="n"/>
      <c r="K168" s="1289" t="n"/>
      <c r="L168" s="1289" t="n"/>
      <c r="M168" s="1289" t="n"/>
      <c r="N168" s="1289" t="n"/>
      <c r="O168" s="1289" t="n"/>
      <c r="P168" s="1289" t="n"/>
      <c r="Q168" s="1289" t="n"/>
      <c r="R168" s="1289" t="n"/>
      <c r="S168" s="1289" t="n"/>
      <c r="T168" s="1289" t="n"/>
      <c r="U168" s="1289" t="n"/>
      <c r="V168" s="1289" t="n"/>
      <c r="W168" s="1289" t="n"/>
      <c r="X168" s="1289" t="n"/>
    </row>
    <row r="169" ht="27.5" customHeight="1" s="254">
      <c r="A169" s="1294" t="inlineStr">
        <is>
          <t>Client accepts the utility's operate-and-maintain obligation?</t>
        </is>
      </c>
      <c r="B169" s="1553" t="inlineStr">
        <is>
          <t>Yes</t>
        </is>
      </c>
      <c r="C169" s="1300" t="inlineStr">
        <is>
          <t>Where the utility imposes one as a condition of an incentive or an extension</t>
        </is>
      </c>
      <c r="I169" s="1289" t="n"/>
      <c r="J169" s="1289" t="n"/>
      <c r="K169" s="1289" t="n"/>
      <c r="L169" s="1289" t="n"/>
      <c r="M169" s="1289" t="n"/>
      <c r="N169" s="1289" t="n"/>
      <c r="O169" s="1289" t="n"/>
      <c r="P169" s="1289" t="n"/>
      <c r="Q169" s="1289" t="n"/>
      <c r="R169" s="1289" t="n"/>
      <c r="S169" s="1289" t="n"/>
      <c r="T169" s="1289" t="n"/>
      <c r="U169" s="1289" t="n"/>
      <c r="V169" s="1289" t="n"/>
      <c r="W169" s="1289" t="n"/>
      <c r="X169" s="1289" t="n"/>
    </row>
    <row r="170" ht="40" customHeight="1" s="254">
      <c r="A170" s="1294" t="inlineStr">
        <is>
          <t>Client accepts the utility's activation deadline after energisation?</t>
        </is>
      </c>
      <c r="B170" s="1553" t="inlineStr">
        <is>
          <t>Yes</t>
        </is>
      </c>
      <c r="C170" s="1360" t="inlineStr">
        <is>
          <t>Where the utility sets one</t>
        </is>
      </c>
      <c r="I170" s="1289" t="n"/>
      <c r="J170" s="1289" t="n"/>
      <c r="K170" s="1289" t="n"/>
      <c r="L170" s="1289" t="n"/>
      <c r="M170" s="1289" t="n"/>
      <c r="N170" s="1289" t="n"/>
      <c r="O170" s="1289" t="n"/>
      <c r="P170" s="1289" t="n"/>
      <c r="Q170" s="1289" t="n"/>
      <c r="R170" s="1289" t="n"/>
      <c r="S170" s="1289" t="n"/>
      <c r="T170" s="1289" t="n"/>
      <c r="U170" s="1289" t="n"/>
      <c r="V170" s="1289" t="n"/>
      <c r="W170" s="1289" t="n"/>
      <c r="X170" s="1289" t="n"/>
    </row>
    <row r="171" ht="15" customHeight="1" s="254">
      <c r="A171" s="1552" t="inlineStr">
        <is>
          <t>Utility design submitted (date)</t>
        </is>
      </c>
      <c r="B171" s="1553" t="n"/>
      <c r="C171" s="1289" t="n"/>
      <c r="D171" s="1289" t="n"/>
      <c r="E171" s="1289" t="n"/>
      <c r="F171" s="1289" t="n"/>
      <c r="G171" s="1289" t="n"/>
      <c r="H171" s="1289" t="n"/>
      <c r="I171" s="1289" t="n"/>
      <c r="J171" s="1289" t="n"/>
      <c r="K171" s="1289" t="n"/>
      <c r="L171" s="1289" t="n"/>
      <c r="M171" s="1289" t="n"/>
      <c r="N171" s="1289" t="n"/>
      <c r="O171" s="1289" t="n"/>
      <c r="P171" s="1289" t="n"/>
      <c r="Q171" s="1289" t="n"/>
      <c r="R171" s="1289" t="n"/>
      <c r="S171" s="1289" t="n"/>
      <c r="T171" s="1289" t="n"/>
      <c r="U171" s="1289" t="n"/>
      <c r="V171" s="1289" t="n"/>
      <c r="W171" s="1289" t="n"/>
      <c r="X171" s="1289" t="n"/>
    </row>
    <row r="172" ht="15" customHeight="1" s="254">
      <c r="A172" s="1552" t="inlineStr">
        <is>
          <t>Utility design returned (date)</t>
        </is>
      </c>
      <c r="B172" s="1553" t="n"/>
      <c r="C172" s="1289" t="n"/>
      <c r="D172" s="1289" t="n"/>
      <c r="E172" s="1289" t="n"/>
      <c r="F172" s="1289" t="n"/>
      <c r="G172" s="1289" t="n"/>
      <c r="H172" s="1289" t="n"/>
      <c r="I172" s="1289" t="n"/>
      <c r="J172" s="1289" t="n"/>
      <c r="K172" s="1289" t="n"/>
      <c r="L172" s="1289" t="n"/>
      <c r="M172" s="1289" t="n"/>
      <c r="N172" s="1289" t="n"/>
      <c r="O172" s="1289" t="n"/>
      <c r="P172" s="1289" t="n"/>
      <c r="Q172" s="1289" t="n"/>
      <c r="R172" s="1289" t="n"/>
      <c r="S172" s="1289" t="n"/>
      <c r="T172" s="1289" t="n"/>
      <c r="U172" s="1289" t="n"/>
      <c r="V172" s="1289" t="n"/>
      <c r="W172" s="1289" t="n"/>
      <c r="X172" s="1289" t="n"/>
    </row>
    <row r="173" ht="15" customHeight="1" s="254">
      <c r="A173" s="1289" t="n"/>
      <c r="B173" s="1289" t="n"/>
      <c r="C173" s="1289" t="n"/>
      <c r="D173" s="1289" t="n"/>
      <c r="E173" s="1289" t="n"/>
      <c r="F173" s="1289" t="n"/>
      <c r="G173" s="1289" t="n"/>
      <c r="H173" s="1289" t="n"/>
      <c r="I173" s="1289" t="n"/>
      <c r="J173" s="1289" t="n"/>
      <c r="K173" s="1289" t="n"/>
      <c r="L173" s="1289" t="n"/>
      <c r="M173" s="1289" t="n"/>
      <c r="N173" s="1289" t="n"/>
      <c r="O173" s="1289" t="n"/>
      <c r="P173" s="1289" t="n"/>
      <c r="Q173" s="1289" t="n"/>
      <c r="R173" s="1289" t="n"/>
      <c r="S173" s="1289" t="n"/>
      <c r="T173" s="1289" t="n"/>
      <c r="U173" s="1289" t="n"/>
      <c r="V173" s="1289" t="n"/>
      <c r="W173" s="1289" t="n"/>
      <c r="X173" s="1289" t="n"/>
    </row>
    <row r="174" ht="15" customHeight="1" s="254">
      <c r="A174" s="1308" t="inlineStr">
        <is>
          <t>G · RETAINED INFRASTRUCTURE — existing-service and replacement sites</t>
        </is>
      </c>
      <c r="I174" s="1289" t="n"/>
      <c r="J174" s="1289" t="n"/>
      <c r="K174" s="1289" t="n"/>
      <c r="L174" s="1289" t="n"/>
      <c r="M174" s="1289" t="n"/>
      <c r="N174" s="1289" t="n"/>
      <c r="O174" s="1289" t="n"/>
      <c r="P174" s="1289" t="n"/>
      <c r="Q174" s="1289" t="n"/>
      <c r="R174" s="1289" t="n"/>
      <c r="S174" s="1289" t="n"/>
      <c r="T174" s="1289" t="n"/>
      <c r="U174" s="1289" t="n"/>
      <c r="V174" s="1289" t="n"/>
      <c r="W174" s="1289" t="n"/>
      <c r="X174" s="1289" t="n"/>
    </row>
    <row r="175" hidden="1" outlineLevel="1" ht="15" customHeight="1" s="254">
      <c r="A175" s="1300" t="inlineStr">
        <is>
          <t>Mirrors the register on the Existing tab section B. Where an element is retained, the corresponding material take-off above is zero and the retained element is not priced. On an add-load site the service, the feeder and the switchgear are retained and everything from the switchgear inward is new.</t>
        </is>
      </c>
      <c r="U175" s="1289" t="n"/>
      <c r="V175" s="1289" t="n"/>
      <c r="W175" s="1289" t="n"/>
      <c r="X175" s="1289" t="n"/>
    </row>
    <row r="176" hidden="1" outlineLevel="1" ht="15" customHeight="1" s="254">
      <c r="A176" s="1552" t="inlineStr">
        <is>
          <t>Project type</t>
        </is>
      </c>
      <c r="B176" s="1296">
        <f>Existing!$B$5</f>
        <v/>
      </c>
      <c r="C176" s="1360" t="inlineStr">
        <is>
          <t>From the Existing tab.</t>
        </is>
      </c>
      <c r="I176" s="1289" t="n"/>
      <c r="J176" s="1289" t="n"/>
      <c r="K176" s="1289" t="n"/>
      <c r="L176" s="1289" t="n"/>
      <c r="M176" s="1289" t="n"/>
      <c r="N176" s="1289" t="n"/>
      <c r="O176" s="1289" t="n"/>
      <c r="P176" s="1289" t="n"/>
      <c r="Q176" s="1289" t="n"/>
      <c r="R176" s="1289" t="n"/>
      <c r="S176" s="1289" t="n"/>
      <c r="T176" s="1289" t="n"/>
      <c r="U176" s="1289" t="n"/>
      <c r="V176" s="1289" t="n"/>
      <c r="W176" s="1289" t="n"/>
      <c r="X176" s="1289" t="n"/>
    </row>
    <row r="177" hidden="1" outlineLevel="1" ht="15" customHeight="1" s="254">
      <c r="A177" s="1290" t="inlineStr">
        <is>
          <t>Electrical element</t>
        </is>
      </c>
      <c r="B177" s="1290" t="inlineStr">
        <is>
          <t>Decision</t>
        </is>
      </c>
      <c r="C177" s="1385" t="inlineStr">
        <is>
          <t>What it means for the take-off</t>
        </is>
      </c>
      <c r="D177" s="299" t="n"/>
      <c r="E177" s="299" t="n"/>
      <c r="F177" s="299" t="n"/>
      <c r="G177" s="299" t="n"/>
      <c r="H177" s="299" t="n"/>
      <c r="I177" s="1289" t="n"/>
      <c r="J177" s="1289" t="n"/>
      <c r="K177" s="1289" t="n"/>
      <c r="L177" s="1289" t="n"/>
      <c r="M177" s="1289" t="n"/>
      <c r="N177" s="1289" t="n"/>
      <c r="O177" s="1289" t="n"/>
      <c r="P177" s="1289" t="n"/>
      <c r="Q177" s="1289" t="n"/>
      <c r="R177" s="1289" t="n"/>
      <c r="S177" s="1289" t="n"/>
      <c r="T177" s="1289" t="n"/>
      <c r="U177" s="1289" t="n"/>
      <c r="V177" s="1289" t="n"/>
      <c r="W177" s="1289" t="n"/>
      <c r="X177" s="1289" t="n"/>
    </row>
    <row r="178" hidden="1" outlineLevel="1" ht="27.5" customHeight="1" s="254">
      <c r="A178" s="1552" t="inlineStr">
        <is>
          <t>Utility service and meter</t>
        </is>
      </c>
      <c r="B178" s="1362">
        <f>IF(Existing!$B$5="Greenfield — new service","n/a — greenfield",Existing!$B$13)</f>
        <v/>
      </c>
      <c r="C178" s="1386">
        <f>IF($B$178="n/a — greenfield","Greenfield — there is nothing to retain, so this line has no bearing on the take-off. The full electrical scope is priced.",IF($B$178="RETAIN","No Rule 29 application, no new service, no interconnection allowance. Zero the utility lines below.",IF($B$178="NOT PRESENT","Not present on this site.","Price the new service and the Rule 29 scope in full.")))</f>
        <v/>
      </c>
      <c r="I178" s="1289" t="n"/>
      <c r="J178" s="1289" t="n"/>
      <c r="K178" s="1289" t="n"/>
      <c r="L178" s="1289" t="n"/>
      <c r="M178" s="1289" t="n"/>
      <c r="N178" s="1289" t="n"/>
      <c r="O178" s="1289" t="n"/>
      <c r="P178" s="1289" t="n"/>
      <c r="Q178" s="1289" t="n"/>
      <c r="R178" s="1289" t="n"/>
      <c r="S178" s="1289" t="n"/>
      <c r="T178" s="1289" t="n"/>
      <c r="U178" s="1289" t="n"/>
      <c r="V178" s="1289" t="n"/>
      <c r="W178" s="1289" t="n"/>
      <c r="X178" s="1289" t="n"/>
    </row>
    <row r="179" hidden="1" outlineLevel="1" ht="27.5" customHeight="1" s="254">
      <c r="A179" s="1552" t="inlineStr">
        <is>
          <t>Service feeder</t>
        </is>
      </c>
      <c r="B179" s="1362">
        <f>IF(Existing!$B$5="Greenfield — new service","n/a — greenfield",Existing!$B$14)</f>
        <v/>
      </c>
      <c r="C179" s="1386">
        <f>IF($B$179="n/a — greenfield","Greenfield — there is nothing to retain, so this line has no bearing on the take-off. The full electrical scope is priced.",IF($B$179="RETAIN","Zero the service feeder conductor. Verify ampacity against the new load first.",IF($B$179="NOT PRESENT","Not present on this site.","Price the service feeder at the distances entered above.")))</f>
        <v/>
      </c>
      <c r="I179" s="1289" t="n"/>
      <c r="J179" s="1289" t="n"/>
      <c r="K179" s="1289" t="n"/>
      <c r="L179" s="1289" t="n"/>
      <c r="M179" s="1289" t="n"/>
      <c r="N179" s="1289" t="n"/>
      <c r="O179" s="1289" t="n"/>
      <c r="P179" s="1289" t="n"/>
      <c r="Q179" s="1289" t="n"/>
      <c r="R179" s="1289" t="n"/>
      <c r="S179" s="1289" t="n"/>
      <c r="T179" s="1289" t="n"/>
      <c r="U179" s="1289" t="n"/>
      <c r="V179" s="1289" t="n"/>
      <c r="W179" s="1289" t="n"/>
      <c r="X179" s="1289" t="n"/>
    </row>
    <row r="180" hidden="1" outlineLevel="1" ht="27.5" customHeight="1" s="254">
      <c r="A180" s="1552" t="inlineStr">
        <is>
          <t>Switchgear</t>
        </is>
      </c>
      <c r="B180" s="1362">
        <f>IF(Existing!$B$5="Greenfield — new service","n/a — greenfield",Existing!$B$15)</f>
        <v/>
      </c>
      <c r="C180" s="1386">
        <f>IF($B$180="n/a — greenfield","Greenfield — there is nothing to retain, so this line has no bearing on the take-off. The full electrical scope is priced.",IF($B$180="RETAIN","Zero the switchgear line. Confirm the frame carries the new load — see the check on the Existing tab.",IF($B$180="NOT PRESENT","Not present on this site.","Price a new switchboard sized to the new load.")))</f>
        <v/>
      </c>
      <c r="I180" s="1289" t="n"/>
      <c r="J180" s="1289" t="n"/>
      <c r="K180" s="1289" t="n"/>
      <c r="L180" s="1289" t="n"/>
      <c r="M180" s="1289" t="n"/>
      <c r="N180" s="1289" t="n"/>
      <c r="O180" s="1289" t="n"/>
      <c r="P180" s="1289" t="n"/>
      <c r="Q180" s="1289" t="n"/>
      <c r="R180" s="1289" t="n"/>
      <c r="S180" s="1289" t="n"/>
      <c r="T180" s="1289" t="n"/>
      <c r="U180" s="1289" t="n"/>
      <c r="V180" s="1289" t="n"/>
      <c r="W180" s="1289" t="n"/>
      <c r="X180" s="1289" t="n"/>
    </row>
    <row r="181" hidden="1" outlineLevel="1" ht="27.5" customHeight="1" s="254">
      <c r="A181" s="1552" t="inlineStr">
        <is>
          <t>Branch conductors</t>
        </is>
      </c>
      <c r="B181" s="1362">
        <f>IF(Existing!$B$5="Greenfield — add load to existing service","n/a — no existing chargers",IF(Existing!$B$5="Greenfield — new service","n/a — greenfield",Existing!$B$16))</f>
        <v/>
      </c>
      <c r="C181" s="1386">
        <f>IF($B$181="n/a — no existing chargers","No existing chargers — this element is new and priced in full.",IF($B$181="n/a — greenfield","Greenfield — there is nothing to retain, so this line has no bearing on the take-off. The full electrical scope is priced.",IF($B$181="RETAIN","Zero the feeder conductor and equipment ground. The largest single saving on a replacement.",IF($B$181="NOT PRESENT","Not present on this site.","Price branch conductors at the placement distances entered above."))))</f>
        <v/>
      </c>
      <c r="I181" s="1289" t="n"/>
      <c r="J181" s="1289" t="n"/>
      <c r="K181" s="1289" t="n"/>
      <c r="L181" s="1289" t="n"/>
      <c r="M181" s="1289" t="n"/>
      <c r="N181" s="1289" t="n"/>
      <c r="O181" s="1289" t="n"/>
      <c r="P181" s="1289" t="n"/>
      <c r="Q181" s="1289" t="n"/>
      <c r="R181" s="1289" t="n"/>
      <c r="S181" s="1289" t="n"/>
      <c r="T181" s="1289" t="n"/>
      <c r="U181" s="1289" t="n"/>
      <c r="V181" s="1289" t="n"/>
      <c r="W181" s="1289" t="n"/>
      <c r="X181" s="1289" t="n"/>
    </row>
    <row r="182" hidden="1" outlineLevel="1" ht="27.5" customHeight="1" s="254">
      <c r="A182" s="1552" t="inlineStr">
        <is>
          <t>Conduit and trench</t>
        </is>
      </c>
      <c r="B182" s="1362">
        <f>IF(Existing!$B$5="Greenfield — add load to existing service","n/a — no existing chargers",IF(Existing!$B$5="Greenfield — new service","n/a — greenfield",Existing!$B$17))</f>
        <v/>
      </c>
      <c r="C182" s="1386">
        <f>IF($B$182="n/a — no existing chargers","No existing chargers — this element is new and priced in full.",IF($B$182="n/a — greenfield","Greenfield — there is nothing to retain, so this line has no bearing on the take-off. The full electrical scope is priced.",IF($B$182="RETAIN","Zero conduit, trenching, paving reinstatement and GPR. No ground is opened.",IF($B$182="NOT PRESENT","Not present on this site.","Price conduit and trenching in full."))))</f>
        <v/>
      </c>
      <c r="I182" s="1289" t="n"/>
      <c r="J182" s="1289" t="n"/>
      <c r="K182" s="1289" t="n"/>
      <c r="L182" s="1289" t="n"/>
      <c r="M182" s="1289" t="n"/>
      <c r="N182" s="1289" t="n"/>
      <c r="O182" s="1289" t="n"/>
      <c r="P182" s="1289" t="n"/>
      <c r="Q182" s="1289" t="n"/>
      <c r="R182" s="1289" t="n"/>
      <c r="S182" s="1289" t="n"/>
      <c r="T182" s="1289" t="n"/>
      <c r="U182" s="1289" t="n"/>
      <c r="V182" s="1289" t="n"/>
      <c r="W182" s="1289" t="n"/>
      <c r="X182" s="1289" t="n"/>
    </row>
    <row r="183" hidden="1" outlineLevel="1" ht="27.5" customHeight="1" s="254">
      <c r="A183" s="1552" t="inlineStr">
        <is>
          <t>Branch breakers</t>
        </is>
      </c>
      <c r="B183" s="1362">
        <f>IF(Existing!$B$5="Greenfield — add load to existing service","n/a — no existing chargers",IF(Existing!$B$5="Greenfield — new service","n/a — greenfield",Existing!$B$18))</f>
        <v/>
      </c>
      <c r="C183" s="1386">
        <f>IF($B$183="n/a — no existing chargers","No existing chargers — this element is new and priced in full.",IF($B$183="n/a — greenfield","Greenfield — there is nothing to retain, so this line has no bearing on the take-off. The full electrical scope is priced.",IF($B$183="RETAIN","Rare. Breakers are normally replaced to match the new cabinet.",IF($B$183="NOT PRESENT","Not present on this site.","Price one breaker per new cabinet at the size on the Equipment tab."))))</f>
        <v/>
      </c>
      <c r="I183" s="1289" t="n"/>
      <c r="J183" s="1289" t="n"/>
      <c r="K183" s="1289" t="n"/>
      <c r="L183" s="1289" t="n"/>
      <c r="M183" s="1289" t="n"/>
      <c r="N183" s="1289" t="n"/>
      <c r="O183" s="1289" t="n"/>
      <c r="P183" s="1289" t="n"/>
      <c r="Q183" s="1289" t="n"/>
      <c r="R183" s="1289" t="n"/>
      <c r="S183" s="1289" t="n"/>
      <c r="T183" s="1289" t="n"/>
      <c r="U183" s="1289" t="n"/>
      <c r="V183" s="1289" t="n"/>
      <c r="W183" s="1289" t="n"/>
      <c r="X183" s="1289" t="n"/>
    </row>
    <row r="184" hidden="1" outlineLevel="1" ht="52.5" customHeight="1" s="254">
      <c r="A184" s="1552" t="inlineStr">
        <is>
          <t>Electrical scope profile</t>
        </is>
      </c>
      <c r="B184" s="1372">
        <f>IF(Existing!$B$5="Greenfield — add load to existing service","EXISTING SERVICE — no new service and no service feeder; price the distribution from the existing switchgear inward and the full charger scope",IF(Existing!$B$5="Greenfield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184" s="1300" t="inlineStr">
        <is>
          <t>The one-line summary of what the electrical estimate should contain.</t>
        </is>
      </c>
      <c r="I184" s="1289" t="n"/>
      <c r="J184" s="1289" t="n"/>
      <c r="K184" s="1289" t="n"/>
      <c r="L184" s="1289" t="n"/>
      <c r="M184" s="1289" t="n"/>
      <c r="N184" s="1289" t="n"/>
      <c r="O184" s="1289" t="n"/>
      <c r="P184" s="1289" t="n"/>
      <c r="Q184" s="1289" t="n"/>
      <c r="R184" s="1289" t="n"/>
      <c r="S184" s="1289" t="n"/>
      <c r="T184" s="1289" t="n"/>
      <c r="U184" s="1289" t="n"/>
      <c r="V184" s="1289" t="n"/>
      <c r="W184" s="1289" t="n"/>
      <c r="X184" s="1289" t="n"/>
    </row>
    <row r="185" hidden="1" outlineLevel="1" ht="27.5" customHeight="1" s="254">
      <c r="A185" s="1552" t="inlineStr">
        <is>
          <t>Reuse feasibility</t>
        </is>
      </c>
      <c r="B185" s="1296">
        <f>IF(Existing!$B$5="Greenfield — new service","n/a",Existing!$B$198)</f>
        <v/>
      </c>
      <c r="C185" s="1300" t="inlineStr">
        <is>
          <t>The service verdict from the Existing tab section I, repeated here where the electrical estimate is actually built.</t>
        </is>
      </c>
      <c r="I185" s="1289" t="n"/>
      <c r="J185" s="1289" t="n"/>
      <c r="K185" s="1289" t="n"/>
      <c r="L185" s="1289" t="n"/>
      <c r="M185" s="1289" t="n"/>
      <c r="N185" s="1289" t="n"/>
      <c r="O185" s="1289" t="n"/>
      <c r="P185" s="1289" t="n"/>
      <c r="Q185" s="1289" t="n"/>
      <c r="R185" s="1289" t="n"/>
      <c r="S185" s="1289" t="n"/>
      <c r="T185" s="1289" t="n"/>
      <c r="U185" s="1289" t="n"/>
      <c r="V185" s="1289" t="n"/>
      <c r="W185" s="1289" t="n"/>
      <c r="X185" s="1289" t="n"/>
    </row>
    <row r="186" hidden="1" outlineLevel="1" ht="15" customHeight="1" s="254">
      <c r="A186" s="1289" t="n"/>
      <c r="B186" s="1289" t="n"/>
      <c r="C186" s="1289" t="n"/>
      <c r="D186" s="1289" t="n"/>
      <c r="E186" s="1289" t="n"/>
      <c r="F186" s="1289" t="n"/>
      <c r="G186" s="1289" t="n"/>
      <c r="H186" s="1289" t="n"/>
      <c r="I186" s="1289" t="n"/>
      <c r="J186" s="1289" t="n"/>
      <c r="K186" s="1289" t="n"/>
      <c r="L186" s="1289" t="n"/>
      <c r="M186" s="1289" t="n"/>
      <c r="N186" s="1289" t="n"/>
      <c r="O186" s="1289" t="n"/>
      <c r="P186" s="1289" t="n"/>
      <c r="Q186" s="1289" t="n"/>
      <c r="R186" s="1289" t="n"/>
      <c r="S186" s="1289" t="n"/>
      <c r="T186" s="1289" t="n"/>
      <c r="U186" s="1289" t="n"/>
      <c r="V186" s="1289" t="n"/>
      <c r="W186" s="1289" t="n"/>
      <c r="X186" s="1289" t="n"/>
    </row>
    <row r="187" ht="15" customHeight="1" s="254">
      <c r="A187" s="1308" t="inlineStr">
        <is>
          <t>H · CONDUCTOR SIZING TABLE FOR THIS SITE (auto) — what block B picks from</t>
        </is>
      </c>
      <c r="I187" s="1289" t="n"/>
      <c r="J187" s="1289" t="n"/>
      <c r="K187" s="1289" t="n"/>
      <c r="L187" s="1289" t="n"/>
      <c r="M187" s="1289" t="n"/>
      <c r="N187" s="1289" t="n"/>
      <c r="O187" s="1289" t="n"/>
      <c r="P187" s="1289" t="n"/>
      <c r="Q187" s="1289" t="n"/>
      <c r="R187" s="1289" t="n"/>
      <c r="S187" s="1289" t="n"/>
      <c r="T187" s="1289" t="n"/>
      <c r="U187" s="1289" t="n"/>
      <c r="V187" s="1289" t="n"/>
      <c r="W187" s="1289" t="n"/>
      <c r="X187" s="1289" t="n"/>
    </row>
    <row r="188" hidden="1" outlineLevel="1" ht="27.5" customHeight="1" s="254">
      <c r="A188" s="1300" t="inlineStr">
        <is>
          <t>NEC Table 310.16 ampacity for the material and insulation in block A, corrected for the design ambient (Table 310.15(B)(1)) and capped at the termination rating (110.14(C)). Impedance from the Chapter 9 table on RefData, which is UNVERIFIED and makes every voltage-drop figure advisory. 450 KCMIL is absent because RefData carries no ampacity for it.</t>
        </is>
      </c>
      <c r="U188" s="1289" t="n"/>
      <c r="V188" s="1289" t="n"/>
      <c r="W188" s="1289" t="n"/>
      <c r="X188" s="1289" t="n"/>
    </row>
    <row r="189" hidden="1" outlineLevel="1" ht="40" customHeight="1" s="254">
      <c r="A189" s="1290" t="inlineStr">
        <is>
          <t>Conductor</t>
        </is>
      </c>
      <c r="B189" s="1361" t="inlineStr">
        <is>
          <t>Table ampacity at the insulation rating (auto)</t>
        </is>
      </c>
      <c r="C189" s="1290" t="inlineStr">
        <is>
          <t>Ambient factor (auto)</t>
        </is>
      </c>
      <c r="D189" s="1361" t="inlineStr">
        <is>
          <t>Corrected, capped (auto)</t>
        </is>
      </c>
      <c r="E189" s="1361" t="inlineStr">
        <is>
          <t>Impedance ohm/1000 ft (auto)</t>
        </is>
      </c>
      <c r="F189" s="1361" t="inlineStr">
        <is>
          <t>Material $/ft (auto)</t>
        </is>
      </c>
      <c r="G189" s="1289" t="n"/>
      <c r="H189" s="1289" t="n"/>
      <c r="I189" s="1289" t="n"/>
      <c r="J189" s="1289" t="n"/>
      <c r="K189" s="1289" t="n"/>
      <c r="L189" s="1289" t="n"/>
      <c r="M189" s="1289" t="n"/>
      <c r="N189" s="1289" t="n"/>
      <c r="O189" s="1289" t="n"/>
      <c r="P189" s="1289" t="n"/>
      <c r="Q189" s="1289" t="n"/>
      <c r="R189" s="1289" t="n"/>
      <c r="S189" s="1289" t="n"/>
      <c r="T189" s="1289" t="n"/>
      <c r="U189" s="1289" t="n"/>
      <c r="V189" s="1289" t="n"/>
      <c r="W189" s="1289" t="n"/>
      <c r="X189" s="1289" t="n"/>
    </row>
    <row r="190" hidden="1" outlineLevel="1" ht="15" customHeight="1" s="254">
      <c r="A190" s="1379" t="inlineStr">
        <is>
          <t>10 AWG</t>
        </is>
      </c>
      <c r="B190" s="1364">
        <f>IFERROR(N(INDEX(AMP_TBL,MATCH($A190,AMP_SIZE,0),MATCH($B$6&amp;"-"&amp;TEXT($B$11,"0"),AMP_HDR,0))),0)</f>
        <v/>
      </c>
      <c r="C190" s="1387">
        <f>IF($B$10="",0,IFERROR(N(INDEX(AMB_TBL,IF(ISNUMBER(MATCH($B$10,AMB_MAX,0)),MATCH($B$10,AMB_MAX,0),MATCH($B$10,AMB_MAX,1)+1),MATCH(TEXT($B$11,"0"),AMB_HDR,0))),0))</f>
        <v/>
      </c>
      <c r="D190" s="1364">
        <f>IF(N($C190)=0,0,MIN(N($B190)*N($C190),IFERROR(N(INDEX(AMP_TBL,MATCH($A190,AMP_SIZE,0),MATCH($B$6&amp;"-"&amp;TEXT($B$12,"0"),AMP_HDR,0))),0)))</f>
        <v/>
      </c>
      <c r="E190" s="1388">
        <f>IFERROR(N(INDEX(Z_TBL,MATCH($A190,Z_SIZE,0),IF($B$6="Cu",1,2))),0)</f>
        <v/>
      </c>
      <c r="F190" s="1389">
        <f>IFERROR(N(INDEX(IF($B$6="Cu",WIRE_CU,WIRE_AL),MATCH($A190,WIRE_SIZE,0))),0)</f>
        <v/>
      </c>
      <c r="G190" s="1289" t="n"/>
      <c r="H190" s="1289" t="n"/>
      <c r="I190" s="1289" t="n"/>
      <c r="J190" s="1289" t="n"/>
      <c r="K190" s="1289" t="n"/>
      <c r="L190" s="1289" t="n"/>
      <c r="M190" s="1289" t="n"/>
      <c r="N190" s="1289" t="n"/>
      <c r="O190" s="1289" t="n"/>
      <c r="P190" s="1289" t="n"/>
      <c r="Q190" s="1289" t="n"/>
      <c r="R190" s="1289" t="n"/>
      <c r="S190" s="1289" t="n"/>
      <c r="T190" s="1289" t="n"/>
      <c r="U190" s="1289" t="n"/>
      <c r="V190" s="1289" t="n"/>
      <c r="W190" s="1289" t="n"/>
      <c r="X190" s="1289" t="n"/>
    </row>
    <row r="191" hidden="1" outlineLevel="1" ht="15" customHeight="1" s="254">
      <c r="A191" s="1379" t="inlineStr">
        <is>
          <t>8 AWG</t>
        </is>
      </c>
      <c r="B191" s="1364">
        <f>IFERROR(N(INDEX(AMP_TBL,MATCH($A191,AMP_SIZE,0),MATCH($B$6&amp;"-"&amp;TEXT($B$11,"0"),AMP_HDR,0))),0)</f>
        <v/>
      </c>
      <c r="C191" s="1387">
        <f>IF($B$10="",0,IFERROR(N(INDEX(AMB_TBL,IF(ISNUMBER(MATCH($B$10,AMB_MAX,0)),MATCH($B$10,AMB_MAX,0),MATCH($B$10,AMB_MAX,1)+1),MATCH(TEXT($B$11,"0"),AMB_HDR,0))),0))</f>
        <v/>
      </c>
      <c r="D191" s="1364">
        <f>IF(N($C191)=0,0,MIN(N($B191)*N($C191),IFERROR(N(INDEX(AMP_TBL,MATCH($A191,AMP_SIZE,0),MATCH($B$6&amp;"-"&amp;TEXT($B$12,"0"),AMP_HDR,0))),0)))</f>
        <v/>
      </c>
      <c r="E191" s="1388">
        <f>IFERROR(N(INDEX(Z_TBL,MATCH($A191,Z_SIZE,0),IF($B$6="Cu",1,2))),0)</f>
        <v/>
      </c>
      <c r="F191" s="1389">
        <f>IFERROR(N(INDEX(IF($B$6="Cu",WIRE_CU,WIRE_AL),MATCH($A191,WIRE_SIZE,0))),0)</f>
        <v/>
      </c>
      <c r="G191" s="1289" t="n"/>
      <c r="H191" s="1289" t="n"/>
      <c r="I191" s="1289" t="n"/>
      <c r="J191" s="1289" t="n"/>
      <c r="K191" s="1289" t="n"/>
      <c r="L191" s="1289" t="n"/>
      <c r="M191" s="1289" t="n"/>
      <c r="N191" s="1289" t="n"/>
      <c r="O191" s="1289" t="n"/>
      <c r="P191" s="1289" t="n"/>
      <c r="Q191" s="1289" t="n"/>
      <c r="R191" s="1289" t="n"/>
      <c r="S191" s="1289" t="n"/>
      <c r="T191" s="1289" t="n"/>
      <c r="U191" s="1289" t="n"/>
      <c r="V191" s="1289" t="n"/>
      <c r="W191" s="1289" t="n"/>
      <c r="X191" s="1289" t="n"/>
    </row>
    <row r="192" hidden="1" outlineLevel="1" ht="15" customHeight="1" s="254">
      <c r="A192" s="1379" t="inlineStr">
        <is>
          <t>6 AWG</t>
        </is>
      </c>
      <c r="B192" s="1364">
        <f>IFERROR(N(INDEX(AMP_TBL,MATCH($A192,AMP_SIZE,0),MATCH($B$6&amp;"-"&amp;TEXT($B$11,"0"),AMP_HDR,0))),0)</f>
        <v/>
      </c>
      <c r="C192" s="1387">
        <f>IF($B$10="",0,IFERROR(N(INDEX(AMB_TBL,IF(ISNUMBER(MATCH($B$10,AMB_MAX,0)),MATCH($B$10,AMB_MAX,0),MATCH($B$10,AMB_MAX,1)+1),MATCH(TEXT($B$11,"0"),AMB_HDR,0))),0))</f>
        <v/>
      </c>
      <c r="D192" s="1364">
        <f>IF(N($C192)=0,0,MIN(N($B192)*N($C192),IFERROR(N(INDEX(AMP_TBL,MATCH($A192,AMP_SIZE,0),MATCH($B$6&amp;"-"&amp;TEXT($B$12,"0"),AMP_HDR,0))),0)))</f>
        <v/>
      </c>
      <c r="E192" s="1388">
        <f>IFERROR(N(INDEX(Z_TBL,MATCH($A192,Z_SIZE,0),IF($B$6="Cu",1,2))),0)</f>
        <v/>
      </c>
      <c r="F192" s="1389">
        <f>IFERROR(N(INDEX(IF($B$6="Cu",WIRE_CU,WIRE_AL),MATCH($A192,WIRE_SIZE,0))),0)</f>
        <v/>
      </c>
      <c r="G192" s="1289" t="n"/>
      <c r="H192" s="1289" t="n"/>
      <c r="I192" s="1289" t="n"/>
      <c r="J192" s="1289" t="n"/>
      <c r="K192" s="1289" t="n"/>
      <c r="L192" s="1289" t="n"/>
      <c r="M192" s="1289" t="n"/>
      <c r="N192" s="1289" t="n"/>
      <c r="O192" s="1289" t="n"/>
      <c r="P192" s="1289" t="n"/>
      <c r="Q192" s="1289" t="n"/>
      <c r="R192" s="1289" t="n"/>
      <c r="S192" s="1289" t="n"/>
      <c r="T192" s="1289" t="n"/>
      <c r="U192" s="1289" t="n"/>
      <c r="V192" s="1289" t="n"/>
      <c r="W192" s="1289" t="n"/>
      <c r="X192" s="1289" t="n"/>
    </row>
    <row r="193" hidden="1" outlineLevel="1" ht="15" customHeight="1" s="254">
      <c r="A193" s="1379" t="inlineStr">
        <is>
          <t>4 AWG</t>
        </is>
      </c>
      <c r="B193" s="1364">
        <f>IFERROR(N(INDEX(AMP_TBL,MATCH($A193,AMP_SIZE,0),MATCH($B$6&amp;"-"&amp;TEXT($B$11,"0"),AMP_HDR,0))),0)</f>
        <v/>
      </c>
      <c r="C193" s="1387">
        <f>IF($B$10="",0,IFERROR(N(INDEX(AMB_TBL,IF(ISNUMBER(MATCH($B$10,AMB_MAX,0)),MATCH($B$10,AMB_MAX,0),MATCH($B$10,AMB_MAX,1)+1),MATCH(TEXT($B$11,"0"),AMB_HDR,0))),0))</f>
        <v/>
      </c>
      <c r="D193" s="1364">
        <f>IF(N($C193)=0,0,MIN(N($B193)*N($C193),IFERROR(N(INDEX(AMP_TBL,MATCH($A193,AMP_SIZE,0),MATCH($B$6&amp;"-"&amp;TEXT($B$12,"0"),AMP_HDR,0))),0)))</f>
        <v/>
      </c>
      <c r="E193" s="1388">
        <f>IFERROR(N(INDEX(Z_TBL,MATCH($A193,Z_SIZE,0),IF($B$6="Cu",1,2))),0)</f>
        <v/>
      </c>
      <c r="F193" s="1389">
        <f>IFERROR(N(INDEX(IF($B$6="Cu",WIRE_CU,WIRE_AL),MATCH($A193,WIRE_SIZE,0))),0)</f>
        <v/>
      </c>
      <c r="G193" s="1289" t="n"/>
      <c r="H193" s="1289" t="n"/>
      <c r="I193" s="1289" t="n"/>
      <c r="J193" s="1289" t="n"/>
      <c r="K193" s="1289" t="n"/>
      <c r="L193" s="1289" t="n"/>
      <c r="M193" s="1289" t="n"/>
      <c r="N193" s="1289" t="n"/>
      <c r="O193" s="1289" t="n"/>
      <c r="P193" s="1289" t="n"/>
      <c r="Q193" s="1289" t="n"/>
      <c r="R193" s="1289" t="n"/>
      <c r="S193" s="1289" t="n"/>
      <c r="T193" s="1289" t="n"/>
      <c r="U193" s="1289" t="n"/>
      <c r="V193" s="1289" t="n"/>
      <c r="W193" s="1289" t="n"/>
      <c r="X193" s="1289" t="n"/>
    </row>
    <row r="194" hidden="1" outlineLevel="1" ht="15" customHeight="1" s="254">
      <c r="A194" s="1379" t="inlineStr">
        <is>
          <t>2 AWG</t>
        </is>
      </c>
      <c r="B194" s="1364">
        <f>IFERROR(N(INDEX(AMP_TBL,MATCH($A194,AMP_SIZE,0),MATCH($B$6&amp;"-"&amp;TEXT($B$11,"0"),AMP_HDR,0))),0)</f>
        <v/>
      </c>
      <c r="C194" s="1387">
        <f>IF($B$10="",0,IFERROR(N(INDEX(AMB_TBL,IF(ISNUMBER(MATCH($B$10,AMB_MAX,0)),MATCH($B$10,AMB_MAX,0),MATCH($B$10,AMB_MAX,1)+1),MATCH(TEXT($B$11,"0"),AMB_HDR,0))),0))</f>
        <v/>
      </c>
      <c r="D194" s="1364">
        <f>IF(N($C194)=0,0,MIN(N($B194)*N($C194),IFERROR(N(INDEX(AMP_TBL,MATCH($A194,AMP_SIZE,0),MATCH($B$6&amp;"-"&amp;TEXT($B$12,"0"),AMP_HDR,0))),0)))</f>
        <v/>
      </c>
      <c r="E194" s="1388">
        <f>IFERROR(N(INDEX(Z_TBL,MATCH($A194,Z_SIZE,0),IF($B$6="Cu",1,2))),0)</f>
        <v/>
      </c>
      <c r="F194" s="1389">
        <f>IFERROR(N(INDEX(IF($B$6="Cu",WIRE_CU,WIRE_AL),MATCH($A194,WIRE_SIZE,0))),0)</f>
        <v/>
      </c>
      <c r="G194" s="1289" t="n"/>
      <c r="H194" s="1289" t="n"/>
      <c r="I194" s="1289" t="n"/>
      <c r="J194" s="1289" t="n"/>
      <c r="K194" s="1289" t="n"/>
      <c r="L194" s="1289" t="n"/>
      <c r="M194" s="1289" t="n"/>
      <c r="N194" s="1289" t="n"/>
      <c r="O194" s="1289" t="n"/>
      <c r="P194" s="1289" t="n"/>
      <c r="Q194" s="1289" t="n"/>
      <c r="R194" s="1289" t="n"/>
      <c r="S194" s="1289" t="n"/>
      <c r="T194" s="1289" t="n"/>
      <c r="U194" s="1289" t="n"/>
      <c r="V194" s="1289" t="n"/>
      <c r="W194" s="1289" t="n"/>
      <c r="X194" s="1289" t="n"/>
    </row>
    <row r="195" hidden="1" outlineLevel="1" ht="15" customHeight="1" s="254">
      <c r="A195" s="1379" t="inlineStr">
        <is>
          <t>1 AWG</t>
        </is>
      </c>
      <c r="B195" s="1364">
        <f>IFERROR(N(INDEX(AMP_TBL,MATCH($A195,AMP_SIZE,0),MATCH($B$6&amp;"-"&amp;TEXT($B$11,"0"),AMP_HDR,0))),0)</f>
        <v/>
      </c>
      <c r="C195" s="1387">
        <f>IF($B$10="",0,IFERROR(N(INDEX(AMB_TBL,IF(ISNUMBER(MATCH($B$10,AMB_MAX,0)),MATCH($B$10,AMB_MAX,0),MATCH($B$10,AMB_MAX,1)+1),MATCH(TEXT($B$11,"0"),AMB_HDR,0))),0))</f>
        <v/>
      </c>
      <c r="D195" s="1364">
        <f>IF(N($C195)=0,0,MIN(N($B195)*N($C195),IFERROR(N(INDEX(AMP_TBL,MATCH($A195,AMP_SIZE,0),MATCH($B$6&amp;"-"&amp;TEXT($B$12,"0"),AMP_HDR,0))),0)))</f>
        <v/>
      </c>
      <c r="E195" s="1388">
        <f>IFERROR(N(INDEX(Z_TBL,MATCH($A195,Z_SIZE,0),IF($B$6="Cu",1,2))),0)</f>
        <v/>
      </c>
      <c r="F195" s="1389">
        <f>IFERROR(N(INDEX(IF($B$6="Cu",WIRE_CU,WIRE_AL),MATCH($A195,WIRE_SIZE,0))),0)</f>
        <v/>
      </c>
      <c r="G195" s="1289" t="n"/>
      <c r="H195" s="1289" t="n"/>
      <c r="I195" s="1289" t="n"/>
      <c r="J195" s="1289" t="n"/>
      <c r="K195" s="1289" t="n"/>
      <c r="L195" s="1289" t="n"/>
      <c r="M195" s="1289" t="n"/>
      <c r="N195" s="1289" t="n"/>
      <c r="O195" s="1289" t="n"/>
      <c r="P195" s="1289" t="n"/>
      <c r="Q195" s="1289" t="n"/>
      <c r="R195" s="1289" t="n"/>
      <c r="S195" s="1289" t="n"/>
      <c r="T195" s="1289" t="n"/>
      <c r="U195" s="1289" t="n"/>
      <c r="V195" s="1289" t="n"/>
      <c r="W195" s="1289" t="n"/>
      <c r="X195" s="1289" t="n"/>
    </row>
    <row r="196" hidden="1" outlineLevel="1" ht="15" customHeight="1" s="254">
      <c r="A196" s="1379" t="inlineStr">
        <is>
          <t>1 /0</t>
        </is>
      </c>
      <c r="B196" s="1364">
        <f>IFERROR(N(INDEX(AMP_TBL,MATCH($A196,AMP_SIZE,0),MATCH($B$6&amp;"-"&amp;TEXT($B$11,"0"),AMP_HDR,0))),0)</f>
        <v/>
      </c>
      <c r="C196" s="1387">
        <f>IF($B$10="",0,IFERROR(N(INDEX(AMB_TBL,IF(ISNUMBER(MATCH($B$10,AMB_MAX,0)),MATCH($B$10,AMB_MAX,0),MATCH($B$10,AMB_MAX,1)+1),MATCH(TEXT($B$11,"0"),AMB_HDR,0))),0))</f>
        <v/>
      </c>
      <c r="D196" s="1364">
        <f>IF(N($C196)=0,0,MIN(N($B196)*N($C196),IFERROR(N(INDEX(AMP_TBL,MATCH($A196,AMP_SIZE,0),MATCH($B$6&amp;"-"&amp;TEXT($B$12,"0"),AMP_HDR,0))),0)))</f>
        <v/>
      </c>
      <c r="E196" s="1388">
        <f>IFERROR(N(INDEX(Z_TBL,MATCH($A196,Z_SIZE,0),IF($B$6="Cu",1,2))),0)</f>
        <v/>
      </c>
      <c r="F196" s="1389">
        <f>IFERROR(N(INDEX(IF($B$6="Cu",WIRE_CU,WIRE_AL),MATCH($A196,WIRE_SIZE,0))),0)</f>
        <v/>
      </c>
      <c r="G196" s="1289" t="n"/>
      <c r="H196" s="1289" t="n"/>
      <c r="I196" s="1289" t="n"/>
      <c r="J196" s="1289" t="n"/>
      <c r="K196" s="1289" t="n"/>
      <c r="L196" s="1289" t="n"/>
      <c r="M196" s="1289" t="n"/>
      <c r="N196" s="1289" t="n"/>
      <c r="O196" s="1289" t="n"/>
      <c r="P196" s="1289" t="n"/>
      <c r="Q196" s="1289" t="n"/>
      <c r="R196" s="1289" t="n"/>
      <c r="S196" s="1289" t="n"/>
      <c r="T196" s="1289" t="n"/>
      <c r="U196" s="1289" t="n"/>
      <c r="V196" s="1289" t="n"/>
      <c r="W196" s="1289" t="n"/>
      <c r="X196" s="1289" t="n"/>
    </row>
    <row r="197" hidden="1" outlineLevel="1" ht="15" customHeight="1" s="254">
      <c r="A197" s="1379" t="inlineStr">
        <is>
          <t>2 /0</t>
        </is>
      </c>
      <c r="B197" s="1364">
        <f>IFERROR(N(INDEX(AMP_TBL,MATCH($A197,AMP_SIZE,0),MATCH($B$6&amp;"-"&amp;TEXT($B$11,"0"),AMP_HDR,0))),0)</f>
        <v/>
      </c>
      <c r="C197" s="1387">
        <f>IF($B$10="",0,IFERROR(N(INDEX(AMB_TBL,IF(ISNUMBER(MATCH($B$10,AMB_MAX,0)),MATCH($B$10,AMB_MAX,0),MATCH($B$10,AMB_MAX,1)+1),MATCH(TEXT($B$11,"0"),AMB_HDR,0))),0))</f>
        <v/>
      </c>
      <c r="D197" s="1364">
        <f>IF(N($C197)=0,0,MIN(N($B197)*N($C197),IFERROR(N(INDEX(AMP_TBL,MATCH($A197,AMP_SIZE,0),MATCH($B$6&amp;"-"&amp;TEXT($B$12,"0"),AMP_HDR,0))),0)))</f>
        <v/>
      </c>
      <c r="E197" s="1388">
        <f>IFERROR(N(INDEX(Z_TBL,MATCH($A197,Z_SIZE,0),IF($B$6="Cu",1,2))),0)</f>
        <v/>
      </c>
      <c r="F197" s="1389">
        <f>IFERROR(N(INDEX(IF($B$6="Cu",WIRE_CU,WIRE_AL),MATCH($A197,WIRE_SIZE,0))),0)</f>
        <v/>
      </c>
      <c r="G197" s="1289" t="n"/>
      <c r="H197" s="1289" t="n"/>
      <c r="I197" s="1289" t="n"/>
      <c r="J197" s="1289" t="n"/>
      <c r="K197" s="1289" t="n"/>
      <c r="L197" s="1289" t="n"/>
      <c r="M197" s="1289" t="n"/>
      <c r="N197" s="1289" t="n"/>
      <c r="O197" s="1289" t="n"/>
      <c r="P197" s="1289" t="n"/>
      <c r="Q197" s="1289" t="n"/>
      <c r="R197" s="1289" t="n"/>
      <c r="S197" s="1289" t="n"/>
      <c r="T197" s="1289" t="n"/>
      <c r="U197" s="1289" t="n"/>
      <c r="V197" s="1289" t="n"/>
      <c r="W197" s="1289" t="n"/>
      <c r="X197" s="1289" t="n"/>
    </row>
    <row r="198" hidden="1" outlineLevel="1" ht="15" customHeight="1" s="254">
      <c r="A198" s="1379" t="inlineStr">
        <is>
          <t>3 /0</t>
        </is>
      </c>
      <c r="B198" s="1364">
        <f>IFERROR(N(INDEX(AMP_TBL,MATCH($A198,AMP_SIZE,0),MATCH($B$6&amp;"-"&amp;TEXT($B$11,"0"),AMP_HDR,0))),0)</f>
        <v/>
      </c>
      <c r="C198" s="1387">
        <f>IF($B$10="",0,IFERROR(N(INDEX(AMB_TBL,IF(ISNUMBER(MATCH($B$10,AMB_MAX,0)),MATCH($B$10,AMB_MAX,0),MATCH($B$10,AMB_MAX,1)+1),MATCH(TEXT($B$11,"0"),AMB_HDR,0))),0))</f>
        <v/>
      </c>
      <c r="D198" s="1364">
        <f>IF(N($C198)=0,0,MIN(N($B198)*N($C198),IFERROR(N(INDEX(AMP_TBL,MATCH($A198,AMP_SIZE,0),MATCH($B$6&amp;"-"&amp;TEXT($B$12,"0"),AMP_HDR,0))),0)))</f>
        <v/>
      </c>
      <c r="E198" s="1388">
        <f>IFERROR(N(INDEX(Z_TBL,MATCH($A198,Z_SIZE,0),IF($B$6="Cu",1,2))),0)</f>
        <v/>
      </c>
      <c r="F198" s="1389">
        <f>IFERROR(N(INDEX(IF($B$6="Cu",WIRE_CU,WIRE_AL),MATCH($A198,WIRE_SIZE,0))),0)</f>
        <v/>
      </c>
      <c r="G198" s="1289" t="n"/>
      <c r="H198" s="1289" t="n"/>
      <c r="I198" s="1289" t="n"/>
      <c r="J198" s="1289" t="n"/>
      <c r="K198" s="1289" t="n"/>
      <c r="L198" s="1289" t="n"/>
      <c r="M198" s="1289" t="n"/>
      <c r="N198" s="1289" t="n"/>
      <c r="O198" s="1289" t="n"/>
      <c r="P198" s="1289" t="n"/>
      <c r="Q198" s="1289" t="n"/>
      <c r="R198" s="1289" t="n"/>
      <c r="S198" s="1289" t="n"/>
      <c r="T198" s="1289" t="n"/>
      <c r="U198" s="1289" t="n"/>
      <c r="V198" s="1289" t="n"/>
      <c r="W198" s="1289" t="n"/>
      <c r="X198" s="1289" t="n"/>
    </row>
    <row r="199" hidden="1" outlineLevel="1" ht="15" customHeight="1" s="254">
      <c r="A199" s="1379" t="inlineStr">
        <is>
          <t>4 /0</t>
        </is>
      </c>
      <c r="B199" s="1364">
        <f>IFERROR(N(INDEX(AMP_TBL,MATCH($A199,AMP_SIZE,0),MATCH($B$6&amp;"-"&amp;TEXT($B$11,"0"),AMP_HDR,0))),0)</f>
        <v/>
      </c>
      <c r="C199" s="1387">
        <f>IF($B$10="",0,IFERROR(N(INDEX(AMB_TBL,IF(ISNUMBER(MATCH($B$10,AMB_MAX,0)),MATCH($B$10,AMB_MAX,0),MATCH($B$10,AMB_MAX,1)+1),MATCH(TEXT($B$11,"0"),AMB_HDR,0))),0))</f>
        <v/>
      </c>
      <c r="D199" s="1364">
        <f>IF(N($C199)=0,0,MIN(N($B199)*N($C199),IFERROR(N(INDEX(AMP_TBL,MATCH($A199,AMP_SIZE,0),MATCH($B$6&amp;"-"&amp;TEXT($B$12,"0"),AMP_HDR,0))),0)))</f>
        <v/>
      </c>
      <c r="E199" s="1388">
        <f>IFERROR(N(INDEX(Z_TBL,MATCH($A199,Z_SIZE,0),IF($B$6="Cu",1,2))),0)</f>
        <v/>
      </c>
      <c r="F199" s="1389">
        <f>IFERROR(N(INDEX(IF($B$6="Cu",WIRE_CU,WIRE_AL),MATCH($A199,WIRE_SIZE,0))),0)</f>
        <v/>
      </c>
      <c r="G199" s="1289" t="n"/>
      <c r="H199" s="1289" t="n"/>
      <c r="I199" s="1289" t="n"/>
      <c r="J199" s="1289" t="n"/>
      <c r="K199" s="1289" t="n"/>
      <c r="L199" s="1289" t="n"/>
      <c r="M199" s="1289" t="n"/>
      <c r="N199" s="1289" t="n"/>
      <c r="O199" s="1289" t="n"/>
      <c r="P199" s="1289" t="n"/>
      <c r="Q199" s="1289" t="n"/>
      <c r="R199" s="1289" t="n"/>
      <c r="S199" s="1289" t="n"/>
      <c r="T199" s="1289" t="n"/>
      <c r="U199" s="1289" t="n"/>
      <c r="V199" s="1289" t="n"/>
      <c r="W199" s="1289" t="n"/>
      <c r="X199" s="1289" t="n"/>
    </row>
    <row r="200" hidden="1" outlineLevel="1" ht="15" customHeight="1" s="254">
      <c r="A200" s="1379" t="inlineStr">
        <is>
          <t>250 KCMIL</t>
        </is>
      </c>
      <c r="B200" s="1364">
        <f>IFERROR(N(INDEX(AMP_TBL,MATCH($A200,AMP_SIZE,0),MATCH($B$6&amp;"-"&amp;TEXT($B$11,"0"),AMP_HDR,0))),0)</f>
        <v/>
      </c>
      <c r="C200" s="1387">
        <f>IF($B$10="",0,IFERROR(N(INDEX(AMB_TBL,IF(ISNUMBER(MATCH($B$10,AMB_MAX,0)),MATCH($B$10,AMB_MAX,0),MATCH($B$10,AMB_MAX,1)+1),MATCH(TEXT($B$11,"0"),AMB_HDR,0))),0))</f>
        <v/>
      </c>
      <c r="D200" s="1364">
        <f>IF(N($C200)=0,0,MIN(N($B200)*N($C200),IFERROR(N(INDEX(AMP_TBL,MATCH($A200,AMP_SIZE,0),MATCH($B$6&amp;"-"&amp;TEXT($B$12,"0"),AMP_HDR,0))),0)))</f>
        <v/>
      </c>
      <c r="E200" s="1388">
        <f>IFERROR(N(INDEX(Z_TBL,MATCH($A200,Z_SIZE,0),IF($B$6="Cu",1,2))),0)</f>
        <v/>
      </c>
      <c r="F200" s="1389">
        <f>IFERROR(N(INDEX(IF($B$6="Cu",WIRE_CU,WIRE_AL),MATCH($A200,WIRE_SIZE,0))),0)</f>
        <v/>
      </c>
      <c r="G200" s="1289" t="n"/>
      <c r="H200" s="1289" t="n"/>
      <c r="I200" s="1289" t="n"/>
      <c r="J200" s="1289" t="n"/>
      <c r="K200" s="1289" t="n"/>
      <c r="L200" s="1289" t="n"/>
      <c r="M200" s="1289" t="n"/>
      <c r="N200" s="1289" t="n"/>
      <c r="O200" s="1289" t="n"/>
      <c r="P200" s="1289" t="n"/>
      <c r="Q200" s="1289" t="n"/>
      <c r="R200" s="1289" t="n"/>
      <c r="S200" s="1289" t="n"/>
      <c r="T200" s="1289" t="n"/>
      <c r="U200" s="1289" t="n"/>
      <c r="V200" s="1289" t="n"/>
      <c r="W200" s="1289" t="n"/>
      <c r="X200" s="1289" t="n"/>
    </row>
    <row r="201" hidden="1" outlineLevel="1" ht="15" customHeight="1" s="254">
      <c r="A201" s="1379" t="inlineStr">
        <is>
          <t>300 KCMIL</t>
        </is>
      </c>
      <c r="B201" s="1364">
        <f>IFERROR(N(INDEX(AMP_TBL,MATCH($A201,AMP_SIZE,0),MATCH($B$6&amp;"-"&amp;TEXT($B$11,"0"),AMP_HDR,0))),0)</f>
        <v/>
      </c>
      <c r="C201" s="1387">
        <f>IF($B$10="",0,IFERROR(N(INDEX(AMB_TBL,IF(ISNUMBER(MATCH($B$10,AMB_MAX,0)),MATCH($B$10,AMB_MAX,0),MATCH($B$10,AMB_MAX,1)+1),MATCH(TEXT($B$11,"0"),AMB_HDR,0))),0))</f>
        <v/>
      </c>
      <c r="D201" s="1364">
        <f>IF(N($C201)=0,0,MIN(N($B201)*N($C201),IFERROR(N(INDEX(AMP_TBL,MATCH($A201,AMP_SIZE,0),MATCH($B$6&amp;"-"&amp;TEXT($B$12,"0"),AMP_HDR,0))),0)))</f>
        <v/>
      </c>
      <c r="E201" s="1388">
        <f>IFERROR(N(INDEX(Z_TBL,MATCH($A201,Z_SIZE,0),IF($B$6="Cu",1,2))),0)</f>
        <v/>
      </c>
      <c r="F201" s="1389">
        <f>IFERROR(N(INDEX(IF($B$6="Cu",WIRE_CU,WIRE_AL),MATCH($A201,WIRE_SIZE,0))),0)</f>
        <v/>
      </c>
      <c r="G201" s="1289" t="n"/>
      <c r="H201" s="1289" t="n"/>
      <c r="I201" s="1289" t="n"/>
      <c r="J201" s="1289" t="n"/>
      <c r="K201" s="1289" t="n"/>
      <c r="L201" s="1289" t="n"/>
      <c r="M201" s="1289" t="n"/>
      <c r="N201" s="1289" t="n"/>
      <c r="O201" s="1289" t="n"/>
      <c r="P201" s="1289" t="n"/>
      <c r="Q201" s="1289" t="n"/>
      <c r="R201" s="1289" t="n"/>
      <c r="S201" s="1289" t="n"/>
      <c r="T201" s="1289" t="n"/>
      <c r="U201" s="1289" t="n"/>
      <c r="V201" s="1289" t="n"/>
      <c r="W201" s="1289" t="n"/>
      <c r="X201" s="1289" t="n"/>
    </row>
    <row r="202" hidden="1" outlineLevel="1" ht="15" customHeight="1" s="254">
      <c r="A202" s="1379" t="inlineStr">
        <is>
          <t>350 KCMIL</t>
        </is>
      </c>
      <c r="B202" s="1364">
        <f>IFERROR(N(INDEX(AMP_TBL,MATCH($A202,AMP_SIZE,0),MATCH($B$6&amp;"-"&amp;TEXT($B$11,"0"),AMP_HDR,0))),0)</f>
        <v/>
      </c>
      <c r="C202" s="1387">
        <f>IF($B$10="",0,IFERROR(N(INDEX(AMB_TBL,IF(ISNUMBER(MATCH($B$10,AMB_MAX,0)),MATCH($B$10,AMB_MAX,0),MATCH($B$10,AMB_MAX,1)+1),MATCH(TEXT($B$11,"0"),AMB_HDR,0))),0))</f>
        <v/>
      </c>
      <c r="D202" s="1364">
        <f>IF(N($C202)=0,0,MIN(N($B202)*N($C202),IFERROR(N(INDEX(AMP_TBL,MATCH($A202,AMP_SIZE,0),MATCH($B$6&amp;"-"&amp;TEXT($B$12,"0"),AMP_HDR,0))),0)))</f>
        <v/>
      </c>
      <c r="E202" s="1388">
        <f>IFERROR(N(INDEX(Z_TBL,MATCH($A202,Z_SIZE,0),IF($B$6="Cu",1,2))),0)</f>
        <v/>
      </c>
      <c r="F202" s="1389">
        <f>IFERROR(N(INDEX(IF($B$6="Cu",WIRE_CU,WIRE_AL),MATCH($A202,WIRE_SIZE,0))),0)</f>
        <v/>
      </c>
      <c r="G202" s="1289" t="n"/>
      <c r="H202" s="1289" t="n"/>
      <c r="I202" s="1289" t="n"/>
      <c r="J202" s="1289" t="n"/>
      <c r="K202" s="1289" t="n"/>
      <c r="L202" s="1289" t="n"/>
      <c r="M202" s="1289" t="n"/>
      <c r="N202" s="1289" t="n"/>
      <c r="O202" s="1289" t="n"/>
      <c r="P202" s="1289" t="n"/>
      <c r="Q202" s="1289" t="n"/>
      <c r="R202" s="1289" t="n"/>
      <c r="S202" s="1289" t="n"/>
      <c r="T202" s="1289" t="n"/>
      <c r="U202" s="1289" t="n"/>
      <c r="V202" s="1289" t="n"/>
      <c r="W202" s="1289" t="n"/>
      <c r="X202" s="1289" t="n"/>
    </row>
    <row r="203" hidden="1" outlineLevel="1" ht="15" customHeight="1" s="254">
      <c r="A203" s="1379" t="inlineStr">
        <is>
          <t>400 KCMIL</t>
        </is>
      </c>
      <c r="B203" s="1364">
        <f>IFERROR(N(INDEX(AMP_TBL,MATCH($A203,AMP_SIZE,0),MATCH($B$6&amp;"-"&amp;TEXT($B$11,"0"),AMP_HDR,0))),0)</f>
        <v/>
      </c>
      <c r="C203" s="1387">
        <f>IF($B$10="",0,IFERROR(N(INDEX(AMB_TBL,IF(ISNUMBER(MATCH($B$10,AMB_MAX,0)),MATCH($B$10,AMB_MAX,0),MATCH($B$10,AMB_MAX,1)+1),MATCH(TEXT($B$11,"0"),AMB_HDR,0))),0))</f>
        <v/>
      </c>
      <c r="D203" s="1364">
        <f>IF(N($C203)=0,0,MIN(N($B203)*N($C203),IFERROR(N(INDEX(AMP_TBL,MATCH($A203,AMP_SIZE,0),MATCH($B$6&amp;"-"&amp;TEXT($B$12,"0"),AMP_HDR,0))),0)))</f>
        <v/>
      </c>
      <c r="E203" s="1388">
        <f>IFERROR(N(INDEX(Z_TBL,MATCH($A203,Z_SIZE,0),IF($B$6="Cu",1,2))),0)</f>
        <v/>
      </c>
      <c r="F203" s="1389">
        <f>IFERROR(N(INDEX(IF($B$6="Cu",WIRE_CU,WIRE_AL),MATCH($A203,WIRE_SIZE,0))),0)</f>
        <v/>
      </c>
      <c r="G203" s="1289" t="n"/>
      <c r="H203" s="1289" t="n"/>
      <c r="I203" s="1289" t="n"/>
      <c r="J203" s="1289" t="n"/>
      <c r="K203" s="1289" t="n"/>
      <c r="L203" s="1289" t="n"/>
      <c r="M203" s="1289" t="n"/>
      <c r="N203" s="1289" t="n"/>
      <c r="O203" s="1289" t="n"/>
      <c r="P203" s="1289" t="n"/>
      <c r="Q203" s="1289" t="n"/>
      <c r="R203" s="1289" t="n"/>
      <c r="S203" s="1289" t="n"/>
      <c r="T203" s="1289" t="n"/>
      <c r="U203" s="1289" t="n"/>
      <c r="V203" s="1289" t="n"/>
      <c r="W203" s="1289" t="n"/>
      <c r="X203" s="1289" t="n"/>
    </row>
    <row r="204" hidden="1" outlineLevel="1" ht="15" customHeight="1" s="254">
      <c r="A204" s="1379" t="inlineStr">
        <is>
          <t>500 KCMIL</t>
        </is>
      </c>
      <c r="B204" s="1364">
        <f>IFERROR(N(INDEX(AMP_TBL,MATCH($A204,AMP_SIZE,0),MATCH($B$6&amp;"-"&amp;TEXT($B$11,"0"),AMP_HDR,0))),0)</f>
        <v/>
      </c>
      <c r="C204" s="1387">
        <f>IF($B$10="",0,IFERROR(N(INDEX(AMB_TBL,IF(ISNUMBER(MATCH($B$10,AMB_MAX,0)),MATCH($B$10,AMB_MAX,0),MATCH($B$10,AMB_MAX,1)+1),MATCH(TEXT($B$11,"0"),AMB_HDR,0))),0))</f>
        <v/>
      </c>
      <c r="D204" s="1364">
        <f>IF(N($C204)=0,0,MIN(N($B204)*N($C204),IFERROR(N(INDEX(AMP_TBL,MATCH($A204,AMP_SIZE,0),MATCH($B$6&amp;"-"&amp;TEXT($B$12,"0"),AMP_HDR,0))),0)))</f>
        <v/>
      </c>
      <c r="E204" s="1388">
        <f>IFERROR(N(INDEX(Z_TBL,MATCH($A204,Z_SIZE,0),IF($B$6="Cu",1,2))),0)</f>
        <v/>
      </c>
      <c r="F204" s="1389">
        <f>IFERROR(N(INDEX(IF($B$6="Cu",WIRE_CU,WIRE_AL),MATCH($A204,WIRE_SIZE,0))),0)</f>
        <v/>
      </c>
      <c r="G204" s="1289" t="n"/>
      <c r="H204" s="1289" t="n"/>
      <c r="I204" s="1289" t="n"/>
      <c r="J204" s="1289" t="n"/>
      <c r="K204" s="1289" t="n"/>
      <c r="L204" s="1289" t="n"/>
      <c r="M204" s="1289" t="n"/>
      <c r="N204" s="1289" t="n"/>
      <c r="O204" s="1289" t="n"/>
      <c r="P204" s="1289" t="n"/>
      <c r="Q204" s="1289" t="n"/>
      <c r="R204" s="1289" t="n"/>
      <c r="S204" s="1289" t="n"/>
      <c r="T204" s="1289" t="n"/>
      <c r="U204" s="1289" t="n"/>
      <c r="V204" s="1289" t="n"/>
      <c r="W204" s="1289" t="n"/>
      <c r="X204" s="1289" t="n"/>
    </row>
    <row r="205" hidden="1" outlineLevel="1" ht="15" customHeight="1" s="254">
      <c r="A205" s="1379" t="inlineStr">
        <is>
          <t>600 KCMIL</t>
        </is>
      </c>
      <c r="B205" s="1364">
        <f>IFERROR(N(INDEX(AMP_TBL,MATCH($A205,AMP_SIZE,0),MATCH($B$6&amp;"-"&amp;TEXT($B$11,"0"),AMP_HDR,0))),0)</f>
        <v/>
      </c>
      <c r="C205" s="1387">
        <f>IF($B$10="",0,IFERROR(N(INDEX(AMB_TBL,IF(ISNUMBER(MATCH($B$10,AMB_MAX,0)),MATCH($B$10,AMB_MAX,0),MATCH($B$10,AMB_MAX,1)+1),MATCH(TEXT($B$11,"0"),AMB_HDR,0))),0))</f>
        <v/>
      </c>
      <c r="D205" s="1364">
        <f>IF(N($C205)=0,0,MIN(N($B205)*N($C205),IFERROR(N(INDEX(AMP_TBL,MATCH($A205,AMP_SIZE,0),MATCH($B$6&amp;"-"&amp;TEXT($B$12,"0"),AMP_HDR,0))),0)))</f>
        <v/>
      </c>
      <c r="E205" s="1388">
        <f>IFERROR(N(INDEX(Z_TBL,MATCH($A205,Z_SIZE,0),IF($B$6="Cu",1,2))),0)</f>
        <v/>
      </c>
      <c r="F205" s="1389">
        <f>IFERROR(N(INDEX(IF($B$6="Cu",WIRE_CU,WIRE_AL),MATCH($A205,WIRE_SIZE,0))),0)</f>
        <v/>
      </c>
      <c r="G205" s="1289" t="n"/>
      <c r="H205" s="1289" t="n"/>
      <c r="I205" s="1289" t="n"/>
      <c r="J205" s="1289" t="n"/>
      <c r="K205" s="1289" t="n"/>
      <c r="L205" s="1289" t="n"/>
      <c r="M205" s="1289" t="n"/>
      <c r="N205" s="1289" t="n"/>
      <c r="O205" s="1289" t="n"/>
      <c r="P205" s="1289" t="n"/>
      <c r="Q205" s="1289" t="n"/>
      <c r="R205" s="1289" t="n"/>
      <c r="S205" s="1289" t="n"/>
      <c r="T205" s="1289" t="n"/>
      <c r="U205" s="1289" t="n"/>
      <c r="V205" s="1289" t="n"/>
      <c r="W205" s="1289" t="n"/>
      <c r="X205" s="1289" t="n"/>
    </row>
    <row r="206" hidden="1" outlineLevel="1" ht="15" customHeight="1" s="254">
      <c r="A206" s="1379" t="inlineStr">
        <is>
          <t>750 KCMIL</t>
        </is>
      </c>
      <c r="B206" s="1364">
        <f>IFERROR(N(INDEX(AMP_TBL,MATCH($A206,AMP_SIZE,0),MATCH($B$6&amp;"-"&amp;TEXT($B$11,"0"),AMP_HDR,0))),0)</f>
        <v/>
      </c>
      <c r="C206" s="1387">
        <f>IF($B$10="",0,IFERROR(N(INDEX(AMB_TBL,IF(ISNUMBER(MATCH($B$10,AMB_MAX,0)),MATCH($B$10,AMB_MAX,0),MATCH($B$10,AMB_MAX,1)+1),MATCH(TEXT($B$11,"0"),AMB_HDR,0))),0))</f>
        <v/>
      </c>
      <c r="D206" s="1364">
        <f>IF(N($C206)=0,0,MIN(N($B206)*N($C206),IFERROR(N(INDEX(AMP_TBL,MATCH($A206,AMP_SIZE,0),MATCH($B$6&amp;"-"&amp;TEXT($B$12,"0"),AMP_HDR,0))),0)))</f>
        <v/>
      </c>
      <c r="E206" s="1388">
        <f>IFERROR(N(INDEX(Z_TBL,MATCH($A206,Z_SIZE,0),IF($B$6="Cu",1,2))),0)</f>
        <v/>
      </c>
      <c r="F206" s="1389">
        <f>IFERROR(N(INDEX(IF($B$6="Cu",WIRE_CU,WIRE_AL),MATCH($A206,WIRE_SIZE,0))),0)</f>
        <v/>
      </c>
      <c r="G206" s="1289" t="n"/>
      <c r="H206" s="1289" t="n"/>
      <c r="I206" s="1289" t="n"/>
      <c r="J206" s="1289" t="n"/>
      <c r="K206" s="1289" t="n"/>
      <c r="L206" s="1289" t="n"/>
      <c r="M206" s="1289" t="n"/>
      <c r="N206" s="1289" t="n"/>
      <c r="O206" s="1289" t="n"/>
      <c r="P206" s="1289" t="n"/>
      <c r="Q206" s="1289" t="n"/>
      <c r="R206" s="1289" t="n"/>
      <c r="S206" s="1289" t="n"/>
      <c r="T206" s="1289" t="n"/>
      <c r="U206" s="1289" t="n"/>
      <c r="V206" s="1289" t="n"/>
      <c r="W206" s="1289" t="n"/>
      <c r="X206" s="1289" t="n"/>
    </row>
    <row r="207" hidden="1" outlineLevel="1" ht="15" customHeight="1" s="254">
      <c r="A207" s="1379" t="inlineStr">
        <is>
          <t>1000 KCMIL</t>
        </is>
      </c>
      <c r="B207" s="1364">
        <f>IFERROR(N(INDEX(AMP_TBL,MATCH($A207,AMP_SIZE,0),MATCH($B$6&amp;"-"&amp;TEXT($B$11,"0"),AMP_HDR,0))),0)</f>
        <v/>
      </c>
      <c r="C207" s="1387">
        <f>IF($B$10="",0,IFERROR(N(INDEX(AMB_TBL,IF(ISNUMBER(MATCH($B$10,AMB_MAX,0)),MATCH($B$10,AMB_MAX,0),MATCH($B$10,AMB_MAX,1)+1),MATCH(TEXT($B$11,"0"),AMB_HDR,0))),0))</f>
        <v/>
      </c>
      <c r="D207" s="1364">
        <f>IF(N($C207)=0,0,MIN(N($B207)*N($C207),IFERROR(N(INDEX(AMP_TBL,MATCH($A207,AMP_SIZE,0),MATCH($B$6&amp;"-"&amp;TEXT($B$12,"0"),AMP_HDR,0))),0)))</f>
        <v/>
      </c>
      <c r="E207" s="1388">
        <f>IFERROR(N(INDEX(Z_TBL,MATCH($A207,Z_SIZE,0),IF($B$6="Cu",1,2))),0)</f>
        <v/>
      </c>
      <c r="F207" s="1389">
        <f>IFERROR(N(INDEX(IF($B$6="Cu",WIRE_CU,WIRE_AL),MATCH($A207,WIRE_SIZE,0))),0)</f>
        <v/>
      </c>
      <c r="G207" s="1289" t="n"/>
      <c r="H207" s="1289" t="n"/>
      <c r="I207" s="1289" t="n"/>
      <c r="J207" s="1289" t="n"/>
      <c r="K207" s="1289" t="n"/>
      <c r="L207" s="1289" t="n"/>
      <c r="M207" s="1289" t="n"/>
      <c r="N207" s="1289" t="n"/>
      <c r="O207" s="1289" t="n"/>
      <c r="P207" s="1289" t="n"/>
      <c r="Q207" s="1289" t="n"/>
      <c r="R207" s="1289" t="n"/>
      <c r="S207" s="1289" t="n"/>
      <c r="T207" s="1289" t="n"/>
      <c r="U207" s="1289" t="n"/>
      <c r="V207" s="1289" t="n"/>
      <c r="W207" s="1289" t="n"/>
      <c r="X207" s="1289" t="n"/>
    </row>
    <row r="208" ht="15" customHeight="1" s="254">
      <c r="A208" s="1289" t="n"/>
      <c r="B208" s="1289" t="n"/>
      <c r="C208" s="1289" t="n"/>
      <c r="D208" s="1289" t="n"/>
      <c r="E208" s="1289" t="n"/>
      <c r="F208" s="1289" t="n"/>
      <c r="G208" s="1289" t="n"/>
      <c r="H208" s="1289" t="n"/>
      <c r="I208" s="1289" t="n"/>
      <c r="J208" s="1289" t="n"/>
      <c r="K208" s="1289" t="n"/>
      <c r="L208" s="1289" t="n"/>
      <c r="M208" s="1289" t="n"/>
      <c r="N208" s="1289" t="n"/>
      <c r="O208" s="1289" t="n"/>
      <c r="P208" s="1289" t="n"/>
      <c r="Q208" s="1289" t="n"/>
      <c r="R208" s="1289" t="n"/>
      <c r="S208" s="1289" t="n"/>
      <c r="T208" s="1289" t="n"/>
      <c r="U208" s="1289" t="n"/>
      <c r="V208" s="1289" t="n"/>
      <c r="W208" s="1289" t="n"/>
      <c r="X208" s="1289" t="n"/>
    </row>
    <row r="209" ht="15" customHeight="1" s="254">
      <c r="A209" s="1308" t="inlineStr">
        <is>
          <t>I · DISTRIBUTION FEEDERS — between the items on the distribution schedule (auto-sized)</t>
        </is>
      </c>
      <c r="I209" s="1289" t="n"/>
      <c r="J209" s="1289" t="n"/>
      <c r="K209" s="1289" t="n"/>
      <c r="L209" s="1289" t="n"/>
      <c r="M209" s="1289" t="n"/>
      <c r="N209" s="1289" t="n"/>
      <c r="O209" s="1289" t="n"/>
      <c r="P209" s="1289" t="n"/>
      <c r="Q209" s="1289" t="n"/>
      <c r="R209" s="1289" t="n"/>
      <c r="S209" s="1289" t="n"/>
      <c r="T209" s="1289" t="n"/>
      <c r="U209" s="1289" t="n"/>
      <c r="V209" s="1289" t="n"/>
      <c r="W209" s="1289" t="n"/>
      <c r="X209" s="1289" t="n"/>
    </row>
    <row r="210" ht="40" customHeight="1" s="254">
      <c r="A210" s="1300" t="inlineStr">
        <is>
          <t>The wire between the boxes. Block B prices the branch to every charger and block D the service feeder; this block prices what block E schedules but nothing else carries — the feeder from the existing board to the new EV panel, breaker to transformer primary, transformer secondary to the Level 2 panel, panel to panel. One row per feeder: pick FROM and TO from the schedule, type the distance, and the conductor is sized from the site table in block H at the floor the item fed sets (its rating on the schedule — or type a floor in column G, e.g. the breaker size on a transformer primary). When no single conductor carries it, type the parallel sets in column I. A breaker mounted inside the board that feeds it needs no row here. Every feeder is customer-side scope that Zero Impact Energy provides.</t>
        </is>
      </c>
      <c r="U210" s="1289" t="n"/>
      <c r="V210" s="1289" t="n"/>
      <c r="W210" s="1289" t="n"/>
      <c r="X210" s="1289" t="n"/>
    </row>
    <row r="211" ht="27.5" customHeight="1" s="254">
      <c r="A211" s="1290" t="inlineStr">
        <is>
          <t>Feeder (auto)</t>
        </is>
      </c>
      <c r="B211" s="1361" t="inlineStr">
        <is>
          <t>From — item or board it runs from</t>
        </is>
      </c>
      <c r="C211" s="1361" t="inlineStr">
        <is>
          <t>To — item on the schedule it feeds</t>
        </is>
      </c>
      <c r="D211" s="1361" t="inlineStr">
        <is>
          <t>Volts (auto)</t>
        </is>
      </c>
      <c r="E211" s="1361" t="inlineStr">
        <is>
          <t>Phases (auto)</t>
        </is>
      </c>
      <c r="F211" s="1361" t="inlineStr">
        <is>
          <t>Rating A (auto)</t>
        </is>
      </c>
      <c r="G211" s="1361" t="inlineStr">
        <is>
          <t>Floor A override</t>
        </is>
      </c>
      <c r="H211" s="1361" t="inlineStr">
        <is>
          <t>Distance (ft)</t>
        </is>
      </c>
      <c r="I211" s="1361" t="inlineStr">
        <is>
          <t>Sets (blank = 1)</t>
        </is>
      </c>
      <c r="J211" s="1361" t="inlineStr">
        <is>
          <t>Conductor (auto)</t>
        </is>
      </c>
      <c r="K211" s="1361" t="inlineStr">
        <is>
          <t>Conductor override</t>
        </is>
      </c>
      <c r="L211" s="1361" t="inlineStr">
        <is>
          <t>Ampacity A (auto)</t>
        </is>
      </c>
      <c r="M211" s="1361" t="inlineStr">
        <is>
          <t>Volt drop (auto)</t>
        </is>
      </c>
      <c r="N211" s="1361" t="inlineStr">
        <is>
          <t>Ground (auto)</t>
        </is>
      </c>
      <c r="O211" s="1361" t="inlineStr">
        <is>
          <t>Conduit (auto)</t>
        </is>
      </c>
      <c r="P211" s="1361" t="inlineStr">
        <is>
          <t>Conduit override</t>
        </is>
      </c>
      <c r="Q211" s="1361" t="inlineStr">
        <is>
          <t>Material $ (auto)</t>
        </is>
      </c>
      <c r="R211" s="1290" t="inlineStr">
        <is>
          <t>Verdict (auto)</t>
        </is>
      </c>
      <c r="S211" s="1361" t="inlineStr">
        <is>
          <t>Floor in force (auto)</t>
        </is>
      </c>
      <c r="T211" s="1290" t="inlineStr">
        <is>
          <t>Sets in force (auto)</t>
        </is>
      </c>
      <c r="U211" s="1361" t="inlineStr">
        <is>
          <t>Wires per set (auto)</t>
        </is>
      </c>
      <c r="V211" s="1361" t="inlineStr">
        <is>
          <t>OCPD A (auto)</t>
        </is>
      </c>
      <c r="W211" s="1289" t="n"/>
      <c r="X211" s="1289" t="n"/>
    </row>
    <row r="212" ht="40" customHeight="1" s="254">
      <c r="A212" s="1362">
        <f>IF($C212="","","Feeder 1")</f>
        <v/>
      </c>
      <c r="B212" s="1292" t="inlineStr">
        <is>
          <t>Existing MSB</t>
        </is>
      </c>
      <c r="C212" s="1292" t="inlineStr">
        <is>
          <t>EV distribution panel</t>
        </is>
      </c>
      <c r="D212" s="1364">
        <f>IF($C212="","",IFERROR(IF(INDEX($B$135:$B$146,MATCH($C212,$A$135:$A$146,0))="Transformer",IFERROR(INDEX($D$135:$D$146,MATCH($B212,$A$135:$A$146,0)),Project!$B$29),INDEX($D$135:$D$146,MATCH($C212,$A$135:$A$146,0))),""))</f>
        <v/>
      </c>
      <c r="E212" s="1362">
        <f>IF($C212="","",IFERROR(INDEX($E$135:$E$146,MATCH($C212,$A$135:$A$146,0)),""))</f>
        <v/>
      </c>
      <c r="F212" s="1364">
        <f>IF($C212="","",IFERROR(N(INDEX($F$135:$F$146,MATCH($C212,$A$135:$A$146,0))),0))</f>
        <v/>
      </c>
      <c r="G212" s="1326" t="n"/>
      <c r="H212" s="1326" t="n">
        <v>60</v>
      </c>
      <c r="I212" s="1326" t="n"/>
      <c r="J212" s="1362">
        <f>IF(OR(N($S212)=0,$B$10=""),"",IF(MAX(COUNTIF(SZ_AMP,"&lt;"&amp;(N($S212)/N($T212)))+1,IF(N($H212)=0,1,COUNTIF(SZ_Z,"&gt;"&amp;($B$13*N($D212)*1000/(IF(N($E212)=1,2,SQRT(3))*(N($S212)/1.25)/N($T212)*N($H212))))+1))&gt;ROWS(SZ_SIZE),"PARALLEL SETS",INDEX(SZ_SIZE,MAX(COUNTIF(SZ_AMP,"&lt;"&amp;(N($S212)/N($T212)))+1,IF(N($H212)=0,1,COUNTIF(SZ_Z,"&gt;"&amp;($B$13*N($D212)*1000/(IF(N($E212)=1,2,SQRT(3))*(N($S212)/1.25)/N($T212)*N($H212))))+1)))))</f>
        <v/>
      </c>
      <c r="K212" s="1292" t="n"/>
      <c r="L212" s="1364">
        <f>IF(OR(IF($K212&lt;&gt;"",$K212,$J212)="",IF($K212&lt;&gt;"",$K212,$J212)="PARALLEL SETS"),"",IFERROR(INDEX(SZ_AMP,MATCH(IF($K212&lt;&gt;"",$K212,$J212),SZ_SIZE,0))*N($T212),""))</f>
        <v/>
      </c>
      <c r="M212" s="1365">
        <f>IF(OR(N($L212)=0,N($H212)=0),"",IFERROR(IF(N($E212)=1,2,SQRT(3))*(N($S212)/1.25)/N($T212)*N($H212)*INDEX(SZ_Z,MATCH(IF($K212&lt;&gt;"",$K212,$J212),SZ_SIZE,0))/1000/N($D212),""))</f>
        <v/>
      </c>
      <c r="N212" s="1362">
        <f>IF(N($V212)=0,"",IFERROR(INDEX(IF($B$6="Cu",EGC_CU,EGC_AL),MATCH(N($V212),EGC_OCPD,1)+IF(ISNUMBER(MATCH(N($V212),EGC_OCPD,0)),0,1)),""))</f>
        <v/>
      </c>
      <c r="O212" s="1362">
        <f>IF(N($L212)=0,"",IFERROR(INDEX(CND_3G,MATCH(IF($K212&lt;&gt;"",$K212,$J212),CND_SIZE,0)),""))</f>
        <v/>
      </c>
      <c r="P212" s="1292" t="n"/>
      <c r="Q212" s="1366">
        <f>IF(OR(N($H212)=0,N($L212)=0),0,IFERROR(N($H212)*N($T212)*N($U212)*INDEX(IF($B$6="Cu",WIRE_CU,WIRE_AL),MATCH(IF($K212&lt;&gt;"",$K212,$J212),WIRE_SIZE,0)),0)+IFERROR(N($H212)*N($T212)*INDEX(IF($B$6="Cu",WIRE_CU,WIRE_AL),MATCH($N212,WIRE_SIZE,0)),0)+IFERROR(N($H212)*N($T212)*INDEX(PVC_RATE,MATCH(IF($P212&lt;&gt;"",$P212,$O212),PVC_SIZE,0)),0))</f>
        <v/>
      </c>
      <c r="R212" s="1367">
        <f>IF($C212="","",IF(N($S212)=0,"enter the item fed — its rating on the schedule sets the floor, or type a floor in column G",IF(N($H212)=0,"ENTER THE DISTANCE",IF($B$10="","SET THE DESIGN AMBIENT in block A",IF(IF($K212&lt;&gt;"",$K212,$J212)="PARALLEL SETS","PARALLEL SETS NEEDED — no single conductor carries "&amp;TEXT(N($S212),"#,##0")&amp;" A within the drop allowance; enter sets in column I",IF(N($L212)=0,"no ampacity on file for the override size — NEC Table 310.16 does not list it",IF(N($L212)&lt;N($S212),"UNDERSIZED — "&amp;TEXT(N($L212),"#,##0")&amp;" A provided against a floor of "&amp;TEXT(N($S212),"#,##0")&amp;" A",IF(N($M212)&gt;$B$13,"ampacity OK but voltage drop "&amp;TEXT(N($M212),"0.0%")&amp;" exceeds the allowance — ADVISORY, upsize or add a set","OK — "&amp;IF(N($T212)&gt;1,TEXT(N($T212),"0")&amp;" sets of ","")&amp;IF($K212&lt;&gt;"",$K212,$J212)&amp;IF($K212&lt;&gt;""," (override)","")&amp;", "&amp;TEXT(N($L212),"#,##0")&amp;" A against a "&amp;TEXT(N($S212),"#,##0")&amp;" A floor; drop "&amp;TEXT(N($M212),"0.0%")&amp;" (ADVISORY)"))))))))</f>
        <v/>
      </c>
      <c r="S212" s="1364">
        <f>IF($C212="","",IF(N($G212)&gt;0,N($G212),N($F212)))</f>
        <v/>
      </c>
      <c r="T212" s="1364">
        <f>IF($C212="","",IF(N($I212)&gt;0,N($I212),1))</f>
        <v/>
      </c>
      <c r="U212" s="1364">
        <f>IF($C212="","",IF(N($E212)=1,2,IF(N($D212)&lt;=240,4,3)))</f>
        <v/>
      </c>
      <c r="V212" s="1364">
        <f>IF(N($S212)=0,"",IF(ISNUMBER(MATCH(N($S212),OCPD_LIST,0)),N($S212),IF(N($S212)&gt;MAX(OCPD_LIST),MAX(OCPD_LIST),INDEX(OCPD_LIST,MATCH(N($S212),OCPD_LIST,1)+1))))</f>
        <v/>
      </c>
      <c r="W212" s="1289" t="n"/>
      <c r="X212" s="1289" t="n"/>
    </row>
    <row r="213" ht="40" customHeight="1" s="254">
      <c r="A213" s="1362">
        <f>IF($C213="","","Feeder 2")</f>
        <v/>
      </c>
      <c r="B213" s="1292" t="inlineStr">
        <is>
          <t>EV distribution panel</t>
        </is>
      </c>
      <c r="C213" s="1292" t="inlineStr">
        <is>
          <t>EVSE disconnects</t>
        </is>
      </c>
      <c r="D213" s="1364">
        <f>IF($C213="","",IFERROR(IF(INDEX($B$135:$B$146,MATCH($C213,$A$135:$A$146,0))="Transformer",IFERROR(INDEX($D$135:$D$146,MATCH($B213,$A$135:$A$146,0)),Project!$B$29),INDEX($D$135:$D$146,MATCH($C213,$A$135:$A$146,0))),""))</f>
        <v/>
      </c>
      <c r="E213" s="1362">
        <f>IF($C213="","",IFERROR(INDEX($E$135:$E$146,MATCH($C213,$A$135:$A$146,0)),""))</f>
        <v/>
      </c>
      <c r="F213" s="1364">
        <f>IF($C213="","",IFERROR(N(INDEX($F$135:$F$146,MATCH($C213,$A$135:$A$146,0))),0))</f>
        <v/>
      </c>
      <c r="G213" s="1326" t="n"/>
      <c r="H213" s="1326" t="n">
        <v>25</v>
      </c>
      <c r="I213" s="1326" t="n">
        <v>2</v>
      </c>
      <c r="J213" s="1362">
        <f>IF(OR(N($S213)=0,$B$10=""),"",IF(MAX(COUNTIF(SZ_AMP,"&lt;"&amp;(N($S213)/N($T213)))+1,IF(N($H213)=0,1,COUNTIF(SZ_Z,"&gt;"&amp;($B$13*N($D213)*1000/(IF(N($E213)=1,2,SQRT(3))*(N($S213)/1.25)/N($T213)*N($H213))))+1))&gt;ROWS(SZ_SIZE),"PARALLEL SETS",INDEX(SZ_SIZE,MAX(COUNTIF(SZ_AMP,"&lt;"&amp;(N($S213)/N($T213)))+1,IF(N($H213)=0,1,COUNTIF(SZ_Z,"&gt;"&amp;($B$13*N($D213)*1000/(IF(N($E213)=1,2,SQRT(3))*(N($S213)/1.25)/N($T213)*N($H213))))+1)))))</f>
        <v/>
      </c>
      <c r="K213" s="1292" t="inlineStr">
        <is>
          <t>350 KCMIL</t>
        </is>
      </c>
      <c r="L213" s="1364">
        <f>IF(OR(IF($K213&lt;&gt;"",$K213,$J213)="",IF($K213&lt;&gt;"",$K213,$J213)="PARALLEL SETS"),"",IFERROR(INDEX(SZ_AMP,MATCH(IF($K213&lt;&gt;"",$K213,$J213),SZ_SIZE,0))*N($T213),""))</f>
        <v/>
      </c>
      <c r="M213" s="1365">
        <f>IF(OR(N($L213)=0,N($H213)=0),"",IFERROR(IF(N($E213)=1,2,SQRT(3))*(N($S213)/1.25)/N($T213)*N($H213)*INDEX(SZ_Z,MATCH(IF($K213&lt;&gt;"",$K213,$J213),SZ_SIZE,0))/1000/N($D213),""))</f>
        <v/>
      </c>
      <c r="N213" s="1362">
        <f>IF(N($V213)=0,"",IFERROR(INDEX(IF($B$6="Cu",EGC_CU,EGC_AL),MATCH(N($V213),EGC_OCPD,1)+IF(ISNUMBER(MATCH(N($V213),EGC_OCPD,0)),0,1)),""))</f>
        <v/>
      </c>
      <c r="O213" s="1362">
        <f>IF(N($L213)=0,"",IFERROR(INDEX(CND_3G,MATCH(IF($K213&lt;&gt;"",$K213,$J213),CND_SIZE,0)),""))</f>
        <v/>
      </c>
      <c r="P213" s="1292" t="n"/>
      <c r="Q213" s="1366">
        <f>IF(OR(N($H213)=0,N($L213)=0),0,IFERROR(N($H213)*N($T213)*N($U213)*INDEX(IF($B$6="Cu",WIRE_CU,WIRE_AL),MATCH(IF($K213&lt;&gt;"",$K213,$J213),WIRE_SIZE,0)),0)+IFERROR(N($H213)*N($T213)*INDEX(IF($B$6="Cu",WIRE_CU,WIRE_AL),MATCH($N213,WIRE_SIZE,0)),0)+IFERROR(N($H213)*N($T213)*INDEX(PVC_RATE,MATCH(IF($P213&lt;&gt;"",$P213,$O213),PVC_SIZE,0)),0))</f>
        <v/>
      </c>
      <c r="R213" s="1367">
        <f>IF($C213="","",IF(N($S213)=0,"enter the item fed — its rating on the schedule sets the floor, or type a floor in column G",IF(N($H213)=0,"ENTER THE DISTANCE",IF($B$10="","SET THE DESIGN AMBIENT in block A",IF(IF($K213&lt;&gt;"",$K213,$J213)="PARALLEL SETS","PARALLEL SETS NEEDED — no single conductor carries "&amp;TEXT(N($S213),"#,##0")&amp;" A within the drop allowance; enter sets in column I",IF(N($L213)=0,"no ampacity on file for the override size — NEC Table 310.16 does not list it",IF(N($L213)&lt;N($S213),"UNDERSIZED — "&amp;TEXT(N($L213),"#,##0")&amp;" A provided against a floor of "&amp;TEXT(N($S213),"#,##0")&amp;" A",IF(N($M213)&gt;$B$13,"ampacity OK but voltage drop "&amp;TEXT(N($M213),"0.0%")&amp;" exceeds the allowance — ADVISORY, upsize or add a set","OK — "&amp;IF(N($T213)&gt;1,TEXT(N($T213),"0")&amp;" sets of ","")&amp;IF($K213&lt;&gt;"",$K213,$J213)&amp;IF($K213&lt;&gt;""," (override)","")&amp;", "&amp;TEXT(N($L213),"#,##0")&amp;" A against a "&amp;TEXT(N($S213),"#,##0")&amp;" A floor; drop "&amp;TEXT(N($M213),"0.0%")&amp;" (ADVISORY)"))))))))</f>
        <v/>
      </c>
      <c r="S213" s="1364">
        <f>IF($C213="","",IF(N($G213)&gt;0,N($G213),N($F213)))</f>
        <v/>
      </c>
      <c r="T213" s="1364">
        <f>IF($C213="","",IF(N($I213)&gt;0,N($I213),1))</f>
        <v/>
      </c>
      <c r="U213" s="1364">
        <f>IF($C213="","",IF(N($E213)=1,2,IF(N($D213)&lt;=240,4,3)))</f>
        <v/>
      </c>
      <c r="V213" s="1364">
        <f>IF(N($S213)=0,"",IF(ISNUMBER(MATCH(N($S213),OCPD_LIST,0)),N($S213),IF(N($S213)&gt;MAX(OCPD_LIST),MAX(OCPD_LIST),INDEX(OCPD_LIST,MATCH(N($S213),OCPD_LIST,1)+1))))</f>
        <v/>
      </c>
      <c r="W213" s="1289" t="n"/>
      <c r="X213" s="1289" t="n"/>
    </row>
    <row r="214" ht="40" customHeight="1" s="254">
      <c r="A214" s="1362">
        <f>IF($C214="","","Feeder 3")</f>
        <v/>
      </c>
      <c r="B214" s="1292" t="n"/>
      <c r="C214" s="1292" t="n"/>
      <c r="D214" s="1364">
        <f>IF($C214="","",IFERROR(IF(INDEX($B$135:$B$146,MATCH($C214,$A$135:$A$146,0))="Transformer",IFERROR(INDEX($D$135:$D$146,MATCH($B214,$A$135:$A$146,0)),Project!$B$29),INDEX($D$135:$D$146,MATCH($C214,$A$135:$A$146,0))),""))</f>
        <v/>
      </c>
      <c r="E214" s="1362">
        <f>IF($C214="","",IFERROR(INDEX($E$135:$E$146,MATCH($C214,$A$135:$A$146,0)),""))</f>
        <v/>
      </c>
      <c r="F214" s="1364">
        <f>IF($C214="","",IFERROR(N(INDEX($F$135:$F$146,MATCH($C214,$A$135:$A$146,0))),0))</f>
        <v/>
      </c>
      <c r="G214" s="1326" t="n"/>
      <c r="H214" s="1326" t="n"/>
      <c r="I214" s="1326" t="n"/>
      <c r="J214" s="1362">
        <f>IF(OR(N($S214)=0,$B$10=""),"",IF(MAX(COUNTIF(SZ_AMP,"&lt;"&amp;(N($S214)/N($T214)))+1,IF(N($H214)=0,1,COUNTIF(SZ_Z,"&gt;"&amp;($B$13*N($D214)*1000/(IF(N($E214)=1,2,SQRT(3))*(N($S214)/1.25)/N($T214)*N($H214))))+1))&gt;ROWS(SZ_SIZE),"PARALLEL SETS",INDEX(SZ_SIZE,MAX(COUNTIF(SZ_AMP,"&lt;"&amp;(N($S214)/N($T214)))+1,IF(N($H214)=0,1,COUNTIF(SZ_Z,"&gt;"&amp;($B$13*N($D214)*1000/(IF(N($E214)=1,2,SQRT(3))*(N($S214)/1.25)/N($T214)*N($H214))))+1)))))</f>
        <v/>
      </c>
      <c r="K214" s="1292" t="n"/>
      <c r="L214" s="1364">
        <f>IF(OR(IF($K214&lt;&gt;"",$K214,$J214)="",IF($K214&lt;&gt;"",$K214,$J214)="PARALLEL SETS"),"",IFERROR(INDEX(SZ_AMP,MATCH(IF($K214&lt;&gt;"",$K214,$J214),SZ_SIZE,0))*N($T214),""))</f>
        <v/>
      </c>
      <c r="M214" s="1365">
        <f>IF(OR(N($L214)=0,N($H214)=0),"",IFERROR(IF(N($E214)=1,2,SQRT(3))*(N($S214)/1.25)/N($T214)*N($H214)*INDEX(SZ_Z,MATCH(IF($K214&lt;&gt;"",$K214,$J214),SZ_SIZE,0))/1000/N($D214),""))</f>
        <v/>
      </c>
      <c r="N214" s="1362">
        <f>IF(N($V214)=0,"",IFERROR(INDEX(IF($B$6="Cu",EGC_CU,EGC_AL),MATCH(N($V214),EGC_OCPD,1)+IF(ISNUMBER(MATCH(N($V214),EGC_OCPD,0)),0,1)),""))</f>
        <v/>
      </c>
      <c r="O214" s="1362">
        <f>IF(N($L214)=0,"",IFERROR(INDEX(CND_3G,MATCH(IF($K214&lt;&gt;"",$K214,$J214),CND_SIZE,0)),""))</f>
        <v/>
      </c>
      <c r="P214" s="1292" t="n"/>
      <c r="Q214" s="1366">
        <f>IF(OR(N($H214)=0,N($L214)=0),0,IFERROR(N($H214)*N($T214)*N($U214)*INDEX(IF($B$6="Cu",WIRE_CU,WIRE_AL),MATCH(IF($K214&lt;&gt;"",$K214,$J214),WIRE_SIZE,0)),0)+IFERROR(N($H214)*N($T214)*INDEX(IF($B$6="Cu",WIRE_CU,WIRE_AL),MATCH($N214,WIRE_SIZE,0)),0)+IFERROR(N($H214)*N($T214)*INDEX(PVC_RATE,MATCH(IF($P214&lt;&gt;"",$P214,$O214),PVC_SIZE,0)),0))</f>
        <v/>
      </c>
      <c r="R214" s="1367">
        <f>IF($C214="","",IF(N($S214)=0,"enter the item fed — its rating on the schedule sets the floor, or type a floor in column G",IF(N($H214)=0,"ENTER THE DISTANCE",IF($B$10="","SET THE DESIGN AMBIENT in block A",IF(IF($K214&lt;&gt;"",$K214,$J214)="PARALLEL SETS","PARALLEL SETS NEEDED — no single conductor carries "&amp;TEXT(N($S214),"#,##0")&amp;" A within the drop allowance; enter sets in column I",IF(N($L214)=0,"no ampacity on file for the override size — NEC Table 310.16 does not list it",IF(N($L214)&lt;N($S214),"UNDERSIZED — "&amp;TEXT(N($L214),"#,##0")&amp;" A provided against a floor of "&amp;TEXT(N($S214),"#,##0")&amp;" A",IF(N($M214)&gt;$B$13,"ampacity OK but voltage drop "&amp;TEXT(N($M214),"0.0%")&amp;" exceeds the allowance — ADVISORY, upsize or add a set","OK — "&amp;IF(N($T214)&gt;1,TEXT(N($T214),"0")&amp;" sets of ","")&amp;IF($K214&lt;&gt;"",$K214,$J214)&amp;IF($K214&lt;&gt;""," (override)","")&amp;", "&amp;TEXT(N($L214),"#,##0")&amp;" A against a "&amp;TEXT(N($S214),"#,##0")&amp;" A floor; drop "&amp;TEXT(N($M214),"0.0%")&amp;" (ADVISORY)"))))))))</f>
        <v/>
      </c>
      <c r="S214" s="1364">
        <f>IF($C214="","",IF(N($G214)&gt;0,N($G214),N($F214)))</f>
        <v/>
      </c>
      <c r="T214" s="1364">
        <f>IF($C214="","",IF(N($I214)&gt;0,N($I214),1))</f>
        <v/>
      </c>
      <c r="U214" s="1364">
        <f>IF($C214="","",IF(N($E214)=1,2,IF(N($D214)&lt;=240,4,3)))</f>
        <v/>
      </c>
      <c r="V214" s="1364">
        <f>IF(N($S214)=0,"",IF(ISNUMBER(MATCH(N($S214),OCPD_LIST,0)),N($S214),IF(N($S214)&gt;MAX(OCPD_LIST),MAX(OCPD_LIST),INDEX(OCPD_LIST,MATCH(N($S214),OCPD_LIST,1)+1))))</f>
        <v/>
      </c>
      <c r="W214" s="1289" t="n"/>
      <c r="X214" s="1289" t="n"/>
    </row>
    <row r="215" ht="40" customHeight="1" s="254">
      <c r="A215" s="1362">
        <f>IF($C215="","","Feeder 4")</f>
        <v/>
      </c>
      <c r="B215" s="1292" t="n"/>
      <c r="C215" s="1292" t="n"/>
      <c r="D215" s="1364">
        <f>IF($C215="","",IFERROR(IF(INDEX($B$135:$B$146,MATCH($C215,$A$135:$A$146,0))="Transformer",IFERROR(INDEX($D$135:$D$146,MATCH($B215,$A$135:$A$146,0)),Project!$B$29),INDEX($D$135:$D$146,MATCH($C215,$A$135:$A$146,0))),""))</f>
        <v/>
      </c>
      <c r="E215" s="1362">
        <f>IF($C215="","",IFERROR(INDEX($E$135:$E$146,MATCH($C215,$A$135:$A$146,0)),""))</f>
        <v/>
      </c>
      <c r="F215" s="1364">
        <f>IF($C215="","",IFERROR(N(INDEX($F$135:$F$146,MATCH($C215,$A$135:$A$146,0))),0))</f>
        <v/>
      </c>
      <c r="G215" s="1326" t="n"/>
      <c r="H215" s="1326" t="n"/>
      <c r="I215" s="1326" t="n"/>
      <c r="J215" s="1362">
        <f>IF(OR(N($S215)=0,$B$10=""),"",IF(MAX(COUNTIF(SZ_AMP,"&lt;"&amp;(N($S215)/N($T215)))+1,IF(N($H215)=0,1,COUNTIF(SZ_Z,"&gt;"&amp;($B$13*N($D215)*1000/(IF(N($E215)=1,2,SQRT(3))*(N($S215)/1.25)/N($T215)*N($H215))))+1))&gt;ROWS(SZ_SIZE),"PARALLEL SETS",INDEX(SZ_SIZE,MAX(COUNTIF(SZ_AMP,"&lt;"&amp;(N($S215)/N($T215)))+1,IF(N($H215)=0,1,COUNTIF(SZ_Z,"&gt;"&amp;($B$13*N($D215)*1000/(IF(N($E215)=1,2,SQRT(3))*(N($S215)/1.25)/N($T215)*N($H215))))+1)))))</f>
        <v/>
      </c>
      <c r="K215" s="1292" t="n"/>
      <c r="L215" s="1364">
        <f>IF(OR(IF($K215&lt;&gt;"",$K215,$J215)="",IF($K215&lt;&gt;"",$K215,$J215)="PARALLEL SETS"),"",IFERROR(INDEX(SZ_AMP,MATCH(IF($K215&lt;&gt;"",$K215,$J215),SZ_SIZE,0))*N($T215),""))</f>
        <v/>
      </c>
      <c r="M215" s="1365">
        <f>IF(OR(N($L215)=0,N($H215)=0),"",IFERROR(IF(N($E215)=1,2,SQRT(3))*(N($S215)/1.25)/N($T215)*N($H215)*INDEX(SZ_Z,MATCH(IF($K215&lt;&gt;"",$K215,$J215),SZ_SIZE,0))/1000/N($D215),""))</f>
        <v/>
      </c>
      <c r="N215" s="1362">
        <f>IF(N($V215)=0,"",IFERROR(INDEX(IF($B$6="Cu",EGC_CU,EGC_AL),MATCH(N($V215),EGC_OCPD,1)+IF(ISNUMBER(MATCH(N($V215),EGC_OCPD,0)),0,1)),""))</f>
        <v/>
      </c>
      <c r="O215" s="1362">
        <f>IF(N($L215)=0,"",IFERROR(INDEX(CND_3G,MATCH(IF($K215&lt;&gt;"",$K215,$J215),CND_SIZE,0)),""))</f>
        <v/>
      </c>
      <c r="P215" s="1292" t="n"/>
      <c r="Q215" s="1366">
        <f>IF(OR(N($H215)=0,N($L215)=0),0,IFERROR(N($H215)*N($T215)*N($U215)*INDEX(IF($B$6="Cu",WIRE_CU,WIRE_AL),MATCH(IF($K215&lt;&gt;"",$K215,$J215),WIRE_SIZE,0)),0)+IFERROR(N($H215)*N($T215)*INDEX(IF($B$6="Cu",WIRE_CU,WIRE_AL),MATCH($N215,WIRE_SIZE,0)),0)+IFERROR(N($H215)*N($T215)*INDEX(PVC_RATE,MATCH(IF($P215&lt;&gt;"",$P215,$O215),PVC_SIZE,0)),0))</f>
        <v/>
      </c>
      <c r="R215" s="1367">
        <f>IF($C215="","",IF(N($S215)=0,"enter the item fed — its rating on the schedule sets the floor, or type a floor in column G",IF(N($H215)=0,"ENTER THE DISTANCE",IF($B$10="","SET THE DESIGN AMBIENT in block A",IF(IF($K215&lt;&gt;"",$K215,$J215)="PARALLEL SETS","PARALLEL SETS NEEDED — no single conductor carries "&amp;TEXT(N($S215),"#,##0")&amp;" A within the drop allowance; enter sets in column I",IF(N($L215)=0,"no ampacity on file for the override size — NEC Table 310.16 does not list it",IF(N($L215)&lt;N($S215),"UNDERSIZED — "&amp;TEXT(N($L215),"#,##0")&amp;" A provided against a floor of "&amp;TEXT(N($S215),"#,##0")&amp;" A",IF(N($M215)&gt;$B$13,"ampacity OK but voltage drop "&amp;TEXT(N($M215),"0.0%")&amp;" exceeds the allowance — ADVISORY, upsize or add a set","OK — "&amp;IF(N($T215)&gt;1,TEXT(N($T215),"0")&amp;" sets of ","")&amp;IF($K215&lt;&gt;"",$K215,$J215)&amp;IF($K215&lt;&gt;""," (override)","")&amp;", "&amp;TEXT(N($L215),"#,##0")&amp;" A against a "&amp;TEXT(N($S215),"#,##0")&amp;" A floor; drop "&amp;TEXT(N($M215),"0.0%")&amp;" (ADVISORY)"))))))))</f>
        <v/>
      </c>
      <c r="S215" s="1364">
        <f>IF($C215="","",IF(N($G215)&gt;0,N($G215),N($F215)))</f>
        <v/>
      </c>
      <c r="T215" s="1364">
        <f>IF($C215="","",IF(N($I215)&gt;0,N($I215),1))</f>
        <v/>
      </c>
      <c r="U215" s="1364">
        <f>IF($C215="","",IF(N($E215)=1,2,IF(N($D215)&lt;=240,4,3)))</f>
        <v/>
      </c>
      <c r="V215" s="1364">
        <f>IF(N($S215)=0,"",IF(ISNUMBER(MATCH(N($S215),OCPD_LIST,0)),N($S215),IF(N($S215)&gt;MAX(OCPD_LIST),MAX(OCPD_LIST),INDEX(OCPD_LIST,MATCH(N($S215),OCPD_LIST,1)+1))))</f>
        <v/>
      </c>
      <c r="W215" s="1289" t="n"/>
      <c r="X215" s="1289" t="n"/>
    </row>
    <row r="216" ht="40" customHeight="1" s="254">
      <c r="A216" s="1362">
        <f>IF($C216="","","Feeder 5")</f>
        <v/>
      </c>
      <c r="B216" s="1292" t="n"/>
      <c r="C216" s="1292" t="n"/>
      <c r="D216" s="1364">
        <f>IF($C216="","",IFERROR(IF(INDEX($B$135:$B$146,MATCH($C216,$A$135:$A$146,0))="Transformer",IFERROR(INDEX($D$135:$D$146,MATCH($B216,$A$135:$A$146,0)),Project!$B$29),INDEX($D$135:$D$146,MATCH($C216,$A$135:$A$146,0))),""))</f>
        <v/>
      </c>
      <c r="E216" s="1362">
        <f>IF($C216="","",IFERROR(INDEX($E$135:$E$146,MATCH($C216,$A$135:$A$146,0)),""))</f>
        <v/>
      </c>
      <c r="F216" s="1364">
        <f>IF($C216="","",IFERROR(N(INDEX($F$135:$F$146,MATCH($C216,$A$135:$A$146,0))),0))</f>
        <v/>
      </c>
      <c r="G216" s="1326" t="n"/>
      <c r="H216" s="1326" t="n"/>
      <c r="I216" s="1326" t="n"/>
      <c r="J216" s="1362">
        <f>IF(OR(N($S216)=0,$B$10=""),"",IF(MAX(COUNTIF(SZ_AMP,"&lt;"&amp;(N($S216)/N($T216)))+1,IF(N($H216)=0,1,COUNTIF(SZ_Z,"&gt;"&amp;($B$13*N($D216)*1000/(IF(N($E216)=1,2,SQRT(3))*(N($S216)/1.25)/N($T216)*N($H216))))+1))&gt;ROWS(SZ_SIZE),"PARALLEL SETS",INDEX(SZ_SIZE,MAX(COUNTIF(SZ_AMP,"&lt;"&amp;(N($S216)/N($T216)))+1,IF(N($H216)=0,1,COUNTIF(SZ_Z,"&gt;"&amp;($B$13*N($D216)*1000/(IF(N($E216)=1,2,SQRT(3))*(N($S216)/1.25)/N($T216)*N($H216))))+1)))))</f>
        <v/>
      </c>
      <c r="K216" s="1292" t="n"/>
      <c r="L216" s="1364">
        <f>IF(OR(IF($K216&lt;&gt;"",$K216,$J216)="",IF($K216&lt;&gt;"",$K216,$J216)="PARALLEL SETS"),"",IFERROR(INDEX(SZ_AMP,MATCH(IF($K216&lt;&gt;"",$K216,$J216),SZ_SIZE,0))*N($T216),""))</f>
        <v/>
      </c>
      <c r="M216" s="1365">
        <f>IF(OR(N($L216)=0,N($H216)=0),"",IFERROR(IF(N($E216)=1,2,SQRT(3))*(N($S216)/1.25)/N($T216)*N($H216)*INDEX(SZ_Z,MATCH(IF($K216&lt;&gt;"",$K216,$J216),SZ_SIZE,0))/1000/N($D216),""))</f>
        <v/>
      </c>
      <c r="N216" s="1362">
        <f>IF(N($V216)=0,"",IFERROR(INDEX(IF($B$6="Cu",EGC_CU,EGC_AL),MATCH(N($V216),EGC_OCPD,1)+IF(ISNUMBER(MATCH(N($V216),EGC_OCPD,0)),0,1)),""))</f>
        <v/>
      </c>
      <c r="O216" s="1362">
        <f>IF(N($L216)=0,"",IFERROR(INDEX(CND_3G,MATCH(IF($K216&lt;&gt;"",$K216,$J216),CND_SIZE,0)),""))</f>
        <v/>
      </c>
      <c r="P216" s="1292" t="n"/>
      <c r="Q216" s="1366">
        <f>IF(OR(N($H216)=0,N($L216)=0),0,IFERROR(N($H216)*N($T216)*N($U216)*INDEX(IF($B$6="Cu",WIRE_CU,WIRE_AL),MATCH(IF($K216&lt;&gt;"",$K216,$J216),WIRE_SIZE,0)),0)+IFERROR(N($H216)*N($T216)*INDEX(IF($B$6="Cu",WIRE_CU,WIRE_AL),MATCH($N216,WIRE_SIZE,0)),0)+IFERROR(N($H216)*N($T216)*INDEX(PVC_RATE,MATCH(IF($P216&lt;&gt;"",$P216,$O216),PVC_SIZE,0)),0))</f>
        <v/>
      </c>
      <c r="R216" s="1367">
        <f>IF($C216="","",IF(N($S216)=0,"enter the item fed — its rating on the schedule sets the floor, or type a floor in column G",IF(N($H216)=0,"ENTER THE DISTANCE",IF($B$10="","SET THE DESIGN AMBIENT in block A",IF(IF($K216&lt;&gt;"",$K216,$J216)="PARALLEL SETS","PARALLEL SETS NEEDED — no single conductor carries "&amp;TEXT(N($S216),"#,##0")&amp;" A within the drop allowance; enter sets in column I",IF(N($L216)=0,"no ampacity on file for the override size — NEC Table 310.16 does not list it",IF(N($L216)&lt;N($S216),"UNDERSIZED — "&amp;TEXT(N($L216),"#,##0")&amp;" A provided against a floor of "&amp;TEXT(N($S216),"#,##0")&amp;" A",IF(N($M216)&gt;$B$13,"ampacity OK but voltage drop "&amp;TEXT(N($M216),"0.0%")&amp;" exceeds the allowance — ADVISORY, upsize or add a set","OK — "&amp;IF(N($T216)&gt;1,TEXT(N($T216),"0")&amp;" sets of ","")&amp;IF($K216&lt;&gt;"",$K216,$J216)&amp;IF($K216&lt;&gt;""," (override)","")&amp;", "&amp;TEXT(N($L216),"#,##0")&amp;" A against a "&amp;TEXT(N($S216),"#,##0")&amp;" A floor; drop "&amp;TEXT(N($M216),"0.0%")&amp;" (ADVISORY)"))))))))</f>
        <v/>
      </c>
      <c r="S216" s="1364">
        <f>IF($C216="","",IF(N($G216)&gt;0,N($G216),N($F216)))</f>
        <v/>
      </c>
      <c r="T216" s="1364">
        <f>IF($C216="","",IF(N($I216)&gt;0,N($I216),1))</f>
        <v/>
      </c>
      <c r="U216" s="1364">
        <f>IF($C216="","",IF(N($E216)=1,2,IF(N($D216)&lt;=240,4,3)))</f>
        <v/>
      </c>
      <c r="V216" s="1364">
        <f>IF(N($S216)=0,"",IF(ISNUMBER(MATCH(N($S216),OCPD_LIST,0)),N($S216),IF(N($S216)&gt;MAX(OCPD_LIST),MAX(OCPD_LIST),INDEX(OCPD_LIST,MATCH(N($S216),OCPD_LIST,1)+1))))</f>
        <v/>
      </c>
      <c r="W216" s="1289" t="n"/>
      <c r="X216" s="1289" t="n"/>
    </row>
    <row r="217" ht="40" customHeight="1" s="254">
      <c r="A217" s="1362">
        <f>IF($C217="","","Feeder 6")</f>
        <v/>
      </c>
      <c r="B217" s="1292" t="n"/>
      <c r="C217" s="1292" t="n"/>
      <c r="D217" s="1364">
        <f>IF($C217="","",IFERROR(IF(INDEX($B$135:$B$146,MATCH($C217,$A$135:$A$146,0))="Transformer",IFERROR(INDEX($D$135:$D$146,MATCH($B217,$A$135:$A$146,0)),Project!$B$29),INDEX($D$135:$D$146,MATCH($C217,$A$135:$A$146,0))),""))</f>
        <v/>
      </c>
      <c r="E217" s="1362">
        <f>IF($C217="","",IFERROR(INDEX($E$135:$E$146,MATCH($C217,$A$135:$A$146,0)),""))</f>
        <v/>
      </c>
      <c r="F217" s="1364">
        <f>IF($C217="","",IFERROR(N(INDEX($F$135:$F$146,MATCH($C217,$A$135:$A$146,0))),0))</f>
        <v/>
      </c>
      <c r="G217" s="1326" t="n"/>
      <c r="H217" s="1326" t="n"/>
      <c r="I217" s="1326" t="n"/>
      <c r="J217" s="1362">
        <f>IF(OR(N($S217)=0,$B$10=""),"",IF(MAX(COUNTIF(SZ_AMP,"&lt;"&amp;(N($S217)/N($T217)))+1,IF(N($H217)=0,1,COUNTIF(SZ_Z,"&gt;"&amp;($B$13*N($D217)*1000/(IF(N($E217)=1,2,SQRT(3))*(N($S217)/1.25)/N($T217)*N($H217))))+1))&gt;ROWS(SZ_SIZE),"PARALLEL SETS",INDEX(SZ_SIZE,MAX(COUNTIF(SZ_AMP,"&lt;"&amp;(N($S217)/N($T217)))+1,IF(N($H217)=0,1,COUNTIF(SZ_Z,"&gt;"&amp;($B$13*N($D217)*1000/(IF(N($E217)=1,2,SQRT(3))*(N($S217)/1.25)/N($T217)*N($H217))))+1)))))</f>
        <v/>
      </c>
      <c r="K217" s="1292" t="n"/>
      <c r="L217" s="1364">
        <f>IF(OR(IF($K217&lt;&gt;"",$K217,$J217)="",IF($K217&lt;&gt;"",$K217,$J217)="PARALLEL SETS"),"",IFERROR(INDEX(SZ_AMP,MATCH(IF($K217&lt;&gt;"",$K217,$J217),SZ_SIZE,0))*N($T217),""))</f>
        <v/>
      </c>
      <c r="M217" s="1365">
        <f>IF(OR(N($L217)=0,N($H217)=0),"",IFERROR(IF(N($E217)=1,2,SQRT(3))*(N($S217)/1.25)/N($T217)*N($H217)*INDEX(SZ_Z,MATCH(IF($K217&lt;&gt;"",$K217,$J217),SZ_SIZE,0))/1000/N($D217),""))</f>
        <v/>
      </c>
      <c r="N217" s="1362">
        <f>IF(N($V217)=0,"",IFERROR(INDEX(IF($B$6="Cu",EGC_CU,EGC_AL),MATCH(N($V217),EGC_OCPD,1)+IF(ISNUMBER(MATCH(N($V217),EGC_OCPD,0)),0,1)),""))</f>
        <v/>
      </c>
      <c r="O217" s="1362">
        <f>IF(N($L217)=0,"",IFERROR(INDEX(CND_3G,MATCH(IF($K217&lt;&gt;"",$K217,$J217),CND_SIZE,0)),""))</f>
        <v/>
      </c>
      <c r="P217" s="1292" t="n"/>
      <c r="Q217" s="1366">
        <f>IF(OR(N($H217)=0,N($L217)=0),0,IFERROR(N($H217)*N($T217)*N($U217)*INDEX(IF($B$6="Cu",WIRE_CU,WIRE_AL),MATCH(IF($K217&lt;&gt;"",$K217,$J217),WIRE_SIZE,0)),0)+IFERROR(N($H217)*N($T217)*INDEX(IF($B$6="Cu",WIRE_CU,WIRE_AL),MATCH($N217,WIRE_SIZE,0)),0)+IFERROR(N($H217)*N($T217)*INDEX(PVC_RATE,MATCH(IF($P217&lt;&gt;"",$P217,$O217),PVC_SIZE,0)),0))</f>
        <v/>
      </c>
      <c r="R217" s="1367">
        <f>IF($C217="","",IF(N($S217)=0,"enter the item fed — its rating on the schedule sets the floor, or type a floor in column G",IF(N($H217)=0,"ENTER THE DISTANCE",IF($B$10="","SET THE DESIGN AMBIENT in block A",IF(IF($K217&lt;&gt;"",$K217,$J217)="PARALLEL SETS","PARALLEL SETS NEEDED — no single conductor carries "&amp;TEXT(N($S217),"#,##0")&amp;" A within the drop allowance; enter sets in column I",IF(N($L217)=0,"no ampacity on file for the override size — NEC Table 310.16 does not list it",IF(N($L217)&lt;N($S217),"UNDERSIZED — "&amp;TEXT(N($L217),"#,##0")&amp;" A provided against a floor of "&amp;TEXT(N($S217),"#,##0")&amp;" A",IF(N($M217)&gt;$B$13,"ampacity OK but voltage drop "&amp;TEXT(N($M217),"0.0%")&amp;" exceeds the allowance — ADVISORY, upsize or add a set","OK — "&amp;IF(N($T217)&gt;1,TEXT(N($T217),"0")&amp;" sets of ","")&amp;IF($K217&lt;&gt;"",$K217,$J217)&amp;IF($K217&lt;&gt;""," (override)","")&amp;", "&amp;TEXT(N($L217),"#,##0")&amp;" A against a "&amp;TEXT(N($S217),"#,##0")&amp;" A floor; drop "&amp;TEXT(N($M217),"0.0%")&amp;" (ADVISORY)"))))))))</f>
        <v/>
      </c>
      <c r="S217" s="1364">
        <f>IF($C217="","",IF(N($G217)&gt;0,N($G217),N($F217)))</f>
        <v/>
      </c>
      <c r="T217" s="1364">
        <f>IF($C217="","",IF(N($I217)&gt;0,N($I217),1))</f>
        <v/>
      </c>
      <c r="U217" s="1364">
        <f>IF($C217="","",IF(N($E217)=1,2,IF(N($D217)&lt;=240,4,3)))</f>
        <v/>
      </c>
      <c r="V217" s="1364">
        <f>IF(N($S217)=0,"",IF(ISNUMBER(MATCH(N($S217),OCPD_LIST,0)),N($S217),IF(N($S217)&gt;MAX(OCPD_LIST),MAX(OCPD_LIST),INDEX(OCPD_LIST,MATCH(N($S217),OCPD_LIST,1)+1))))</f>
        <v/>
      </c>
      <c r="W217" s="1289" t="n"/>
      <c r="X217" s="1289" t="n"/>
    </row>
    <row r="218" ht="40" customHeight="1" s="254">
      <c r="A218" s="1362">
        <f>IF($C218="","","Feeder 7")</f>
        <v/>
      </c>
      <c r="B218" s="1292" t="n"/>
      <c r="C218" s="1292" t="n"/>
      <c r="D218" s="1364">
        <f>IF($C218="","",IFERROR(IF(INDEX($B$135:$B$146,MATCH($C218,$A$135:$A$146,0))="Transformer",IFERROR(INDEX($D$135:$D$146,MATCH($B218,$A$135:$A$146,0)),Project!$B$29),INDEX($D$135:$D$146,MATCH($C218,$A$135:$A$146,0))),""))</f>
        <v/>
      </c>
      <c r="E218" s="1362">
        <f>IF($C218="","",IFERROR(INDEX($E$135:$E$146,MATCH($C218,$A$135:$A$146,0)),""))</f>
        <v/>
      </c>
      <c r="F218" s="1364">
        <f>IF($C218="","",IFERROR(N(INDEX($F$135:$F$146,MATCH($C218,$A$135:$A$146,0))),0))</f>
        <v/>
      </c>
      <c r="G218" s="1326" t="n"/>
      <c r="H218" s="1326" t="n"/>
      <c r="I218" s="1326" t="n"/>
      <c r="J218" s="1362">
        <f>IF(OR(N($S218)=0,$B$10=""),"",IF(MAX(COUNTIF(SZ_AMP,"&lt;"&amp;(N($S218)/N($T218)))+1,IF(N($H218)=0,1,COUNTIF(SZ_Z,"&gt;"&amp;($B$13*N($D218)*1000/(IF(N($E218)=1,2,SQRT(3))*(N($S218)/1.25)/N($T218)*N($H218))))+1))&gt;ROWS(SZ_SIZE),"PARALLEL SETS",INDEX(SZ_SIZE,MAX(COUNTIF(SZ_AMP,"&lt;"&amp;(N($S218)/N($T218)))+1,IF(N($H218)=0,1,COUNTIF(SZ_Z,"&gt;"&amp;($B$13*N($D218)*1000/(IF(N($E218)=1,2,SQRT(3))*(N($S218)/1.25)/N($T218)*N($H218))))+1)))))</f>
        <v/>
      </c>
      <c r="K218" s="1292" t="n"/>
      <c r="L218" s="1364">
        <f>IF(OR(IF($K218&lt;&gt;"",$K218,$J218)="",IF($K218&lt;&gt;"",$K218,$J218)="PARALLEL SETS"),"",IFERROR(INDEX(SZ_AMP,MATCH(IF($K218&lt;&gt;"",$K218,$J218),SZ_SIZE,0))*N($T218),""))</f>
        <v/>
      </c>
      <c r="M218" s="1365">
        <f>IF(OR(N($L218)=0,N($H218)=0),"",IFERROR(IF(N($E218)=1,2,SQRT(3))*(N($S218)/1.25)/N($T218)*N($H218)*INDEX(SZ_Z,MATCH(IF($K218&lt;&gt;"",$K218,$J218),SZ_SIZE,0))/1000/N($D218),""))</f>
        <v/>
      </c>
      <c r="N218" s="1362">
        <f>IF(N($V218)=0,"",IFERROR(INDEX(IF($B$6="Cu",EGC_CU,EGC_AL),MATCH(N($V218),EGC_OCPD,1)+IF(ISNUMBER(MATCH(N($V218),EGC_OCPD,0)),0,1)),""))</f>
        <v/>
      </c>
      <c r="O218" s="1362">
        <f>IF(N($L218)=0,"",IFERROR(INDEX(CND_3G,MATCH(IF($K218&lt;&gt;"",$K218,$J218),CND_SIZE,0)),""))</f>
        <v/>
      </c>
      <c r="P218" s="1292" t="n"/>
      <c r="Q218" s="1366">
        <f>IF(OR(N($H218)=0,N($L218)=0),0,IFERROR(N($H218)*N($T218)*N($U218)*INDEX(IF($B$6="Cu",WIRE_CU,WIRE_AL),MATCH(IF($K218&lt;&gt;"",$K218,$J218),WIRE_SIZE,0)),0)+IFERROR(N($H218)*N($T218)*INDEX(IF($B$6="Cu",WIRE_CU,WIRE_AL),MATCH($N218,WIRE_SIZE,0)),0)+IFERROR(N($H218)*N($T218)*INDEX(PVC_RATE,MATCH(IF($P218&lt;&gt;"",$P218,$O218),PVC_SIZE,0)),0))</f>
        <v/>
      </c>
      <c r="R218" s="1367">
        <f>IF($C218="","",IF(N($S218)=0,"enter the item fed — its rating on the schedule sets the floor, or type a floor in column G",IF(N($H218)=0,"ENTER THE DISTANCE",IF($B$10="","SET THE DESIGN AMBIENT in block A",IF(IF($K218&lt;&gt;"",$K218,$J218)="PARALLEL SETS","PARALLEL SETS NEEDED — no single conductor carries "&amp;TEXT(N($S218),"#,##0")&amp;" A within the drop allowance; enter sets in column I",IF(N($L218)=0,"no ampacity on file for the override size — NEC Table 310.16 does not list it",IF(N($L218)&lt;N($S218),"UNDERSIZED — "&amp;TEXT(N($L218),"#,##0")&amp;" A provided against a floor of "&amp;TEXT(N($S218),"#,##0")&amp;" A",IF(N($M218)&gt;$B$13,"ampacity OK but voltage drop "&amp;TEXT(N($M218),"0.0%")&amp;" exceeds the allowance — ADVISORY, upsize or add a set","OK — "&amp;IF(N($T218)&gt;1,TEXT(N($T218),"0")&amp;" sets of ","")&amp;IF($K218&lt;&gt;"",$K218,$J218)&amp;IF($K218&lt;&gt;""," (override)","")&amp;", "&amp;TEXT(N($L218),"#,##0")&amp;" A against a "&amp;TEXT(N($S218),"#,##0")&amp;" A floor; drop "&amp;TEXT(N($M218),"0.0%")&amp;" (ADVISORY)"))))))))</f>
        <v/>
      </c>
      <c r="S218" s="1364">
        <f>IF($C218="","",IF(N($G218)&gt;0,N($G218),N($F218)))</f>
        <v/>
      </c>
      <c r="T218" s="1364">
        <f>IF($C218="","",IF(N($I218)&gt;0,N($I218),1))</f>
        <v/>
      </c>
      <c r="U218" s="1364">
        <f>IF($C218="","",IF(N($E218)=1,2,IF(N($D218)&lt;=240,4,3)))</f>
        <v/>
      </c>
      <c r="V218" s="1364">
        <f>IF(N($S218)=0,"",IF(ISNUMBER(MATCH(N($S218),OCPD_LIST,0)),N($S218),IF(N($S218)&gt;MAX(OCPD_LIST),MAX(OCPD_LIST),INDEX(OCPD_LIST,MATCH(N($S218),OCPD_LIST,1)+1))))</f>
        <v/>
      </c>
      <c r="W218" s="1289" t="n"/>
      <c r="X218" s="1289" t="n"/>
    </row>
    <row r="219" ht="40" customHeight="1" s="254">
      <c r="A219" s="1362">
        <f>IF($C219="","","Feeder 8")</f>
        <v/>
      </c>
      <c r="B219" s="1292" t="n"/>
      <c r="C219" s="1292" t="n"/>
      <c r="D219" s="1364">
        <f>IF($C219="","",IFERROR(IF(INDEX($B$135:$B$146,MATCH($C219,$A$135:$A$146,0))="Transformer",IFERROR(INDEX($D$135:$D$146,MATCH($B219,$A$135:$A$146,0)),Project!$B$29),INDEX($D$135:$D$146,MATCH($C219,$A$135:$A$146,0))),""))</f>
        <v/>
      </c>
      <c r="E219" s="1362">
        <f>IF($C219="","",IFERROR(INDEX($E$135:$E$146,MATCH($C219,$A$135:$A$146,0)),""))</f>
        <v/>
      </c>
      <c r="F219" s="1364">
        <f>IF($C219="","",IFERROR(N(INDEX($F$135:$F$146,MATCH($C219,$A$135:$A$146,0))),0))</f>
        <v/>
      </c>
      <c r="G219" s="1326" t="n"/>
      <c r="H219" s="1326" t="n"/>
      <c r="I219" s="1326" t="n"/>
      <c r="J219" s="1362">
        <f>IF(OR(N($S219)=0,$B$10=""),"",IF(MAX(COUNTIF(SZ_AMP,"&lt;"&amp;(N($S219)/N($T219)))+1,IF(N($H219)=0,1,COUNTIF(SZ_Z,"&gt;"&amp;($B$13*N($D219)*1000/(IF(N($E219)=1,2,SQRT(3))*(N($S219)/1.25)/N($T219)*N($H219))))+1))&gt;ROWS(SZ_SIZE),"PARALLEL SETS",INDEX(SZ_SIZE,MAX(COUNTIF(SZ_AMP,"&lt;"&amp;(N($S219)/N($T219)))+1,IF(N($H219)=0,1,COUNTIF(SZ_Z,"&gt;"&amp;($B$13*N($D219)*1000/(IF(N($E219)=1,2,SQRT(3))*(N($S219)/1.25)/N($T219)*N($H219))))+1)))))</f>
        <v/>
      </c>
      <c r="K219" s="1292" t="n"/>
      <c r="L219" s="1364">
        <f>IF(OR(IF($K219&lt;&gt;"",$K219,$J219)="",IF($K219&lt;&gt;"",$K219,$J219)="PARALLEL SETS"),"",IFERROR(INDEX(SZ_AMP,MATCH(IF($K219&lt;&gt;"",$K219,$J219),SZ_SIZE,0))*N($T219),""))</f>
        <v/>
      </c>
      <c r="M219" s="1365">
        <f>IF(OR(N($L219)=0,N($H219)=0),"",IFERROR(IF(N($E219)=1,2,SQRT(3))*(N($S219)/1.25)/N($T219)*N($H219)*INDEX(SZ_Z,MATCH(IF($K219&lt;&gt;"",$K219,$J219),SZ_SIZE,0))/1000/N($D219),""))</f>
        <v/>
      </c>
      <c r="N219" s="1362">
        <f>IF(N($V219)=0,"",IFERROR(INDEX(IF($B$6="Cu",EGC_CU,EGC_AL),MATCH(N($V219),EGC_OCPD,1)+IF(ISNUMBER(MATCH(N($V219),EGC_OCPD,0)),0,1)),""))</f>
        <v/>
      </c>
      <c r="O219" s="1362">
        <f>IF(N($L219)=0,"",IFERROR(INDEX(CND_3G,MATCH(IF($K219&lt;&gt;"",$K219,$J219),CND_SIZE,0)),""))</f>
        <v/>
      </c>
      <c r="P219" s="1292" t="n"/>
      <c r="Q219" s="1366">
        <f>IF(OR(N($H219)=0,N($L219)=0),0,IFERROR(N($H219)*N($T219)*N($U219)*INDEX(IF($B$6="Cu",WIRE_CU,WIRE_AL),MATCH(IF($K219&lt;&gt;"",$K219,$J219),WIRE_SIZE,0)),0)+IFERROR(N($H219)*N($T219)*INDEX(IF($B$6="Cu",WIRE_CU,WIRE_AL),MATCH($N219,WIRE_SIZE,0)),0)+IFERROR(N($H219)*N($T219)*INDEX(PVC_RATE,MATCH(IF($P219&lt;&gt;"",$P219,$O219),PVC_SIZE,0)),0))</f>
        <v/>
      </c>
      <c r="R219" s="1367">
        <f>IF($C219="","",IF(N($S219)=0,"enter the item fed — its rating on the schedule sets the floor, or type a floor in column G",IF(N($H219)=0,"ENTER THE DISTANCE",IF($B$10="","SET THE DESIGN AMBIENT in block A",IF(IF($K219&lt;&gt;"",$K219,$J219)="PARALLEL SETS","PARALLEL SETS NEEDED — no single conductor carries "&amp;TEXT(N($S219),"#,##0")&amp;" A within the drop allowance; enter sets in column I",IF(N($L219)=0,"no ampacity on file for the override size — NEC Table 310.16 does not list it",IF(N($L219)&lt;N($S219),"UNDERSIZED — "&amp;TEXT(N($L219),"#,##0")&amp;" A provided against a floor of "&amp;TEXT(N($S219),"#,##0")&amp;" A",IF(N($M219)&gt;$B$13,"ampacity OK but voltage drop "&amp;TEXT(N($M219),"0.0%")&amp;" exceeds the allowance — ADVISORY, upsize or add a set","OK — "&amp;IF(N($T219)&gt;1,TEXT(N($T219),"0")&amp;" sets of ","")&amp;IF($K219&lt;&gt;"",$K219,$J219)&amp;IF($K219&lt;&gt;""," (override)","")&amp;", "&amp;TEXT(N($L219),"#,##0")&amp;" A against a "&amp;TEXT(N($S219),"#,##0")&amp;" A floor; drop "&amp;TEXT(N($M219),"0.0%")&amp;" (ADVISORY)"))))))))</f>
        <v/>
      </c>
      <c r="S219" s="1364">
        <f>IF($C219="","",IF(N($G219)&gt;0,N($G219),N($F219)))</f>
        <v/>
      </c>
      <c r="T219" s="1364">
        <f>IF($C219="","",IF(N($I219)&gt;0,N($I219),1))</f>
        <v/>
      </c>
      <c r="U219" s="1364">
        <f>IF($C219="","",IF(N($E219)=1,2,IF(N($D219)&lt;=240,4,3)))</f>
        <v/>
      </c>
      <c r="V219" s="1364">
        <f>IF(N($S219)=0,"",IF(ISNUMBER(MATCH(N($S219),OCPD_LIST,0)),N($S219),IF(N($S219)&gt;MAX(OCPD_LIST),MAX(OCPD_LIST),INDEX(OCPD_LIST,MATCH(N($S219),OCPD_LIST,1)+1))))</f>
        <v/>
      </c>
      <c r="W219" s="1289" t="n"/>
      <c r="X219" s="1289" t="n"/>
    </row>
    <row r="220" ht="40" customHeight="1" s="254">
      <c r="A220" s="1362">
        <f>IF($C220="","","Feeder 9")</f>
        <v/>
      </c>
      <c r="B220" s="1292" t="n"/>
      <c r="C220" s="1292" t="n"/>
      <c r="D220" s="1364">
        <f>IF($C220="","",IFERROR(IF(INDEX($B$135:$B$146,MATCH($C220,$A$135:$A$146,0))="Transformer",IFERROR(INDEX($D$135:$D$146,MATCH($B220,$A$135:$A$146,0)),Project!$B$29),INDEX($D$135:$D$146,MATCH($C220,$A$135:$A$146,0))),""))</f>
        <v/>
      </c>
      <c r="E220" s="1362">
        <f>IF($C220="","",IFERROR(INDEX($E$135:$E$146,MATCH($C220,$A$135:$A$146,0)),""))</f>
        <v/>
      </c>
      <c r="F220" s="1364">
        <f>IF($C220="","",IFERROR(N(INDEX($F$135:$F$146,MATCH($C220,$A$135:$A$146,0))),0))</f>
        <v/>
      </c>
      <c r="G220" s="1326" t="n"/>
      <c r="H220" s="1326" t="n"/>
      <c r="I220" s="1326" t="n"/>
      <c r="J220" s="1362">
        <f>IF(OR(N($S220)=0,$B$10=""),"",IF(MAX(COUNTIF(SZ_AMP,"&lt;"&amp;(N($S220)/N($T220)))+1,IF(N($H220)=0,1,COUNTIF(SZ_Z,"&gt;"&amp;($B$13*N($D220)*1000/(IF(N($E220)=1,2,SQRT(3))*(N($S220)/1.25)/N($T220)*N($H220))))+1))&gt;ROWS(SZ_SIZE),"PARALLEL SETS",INDEX(SZ_SIZE,MAX(COUNTIF(SZ_AMP,"&lt;"&amp;(N($S220)/N($T220)))+1,IF(N($H220)=0,1,COUNTIF(SZ_Z,"&gt;"&amp;($B$13*N($D220)*1000/(IF(N($E220)=1,2,SQRT(3))*(N($S220)/1.25)/N($T220)*N($H220))))+1)))))</f>
        <v/>
      </c>
      <c r="K220" s="1292" t="n"/>
      <c r="L220" s="1364">
        <f>IF(OR(IF($K220&lt;&gt;"",$K220,$J220)="",IF($K220&lt;&gt;"",$K220,$J220)="PARALLEL SETS"),"",IFERROR(INDEX(SZ_AMP,MATCH(IF($K220&lt;&gt;"",$K220,$J220),SZ_SIZE,0))*N($T220),""))</f>
        <v/>
      </c>
      <c r="M220" s="1365">
        <f>IF(OR(N($L220)=0,N($H220)=0),"",IFERROR(IF(N($E220)=1,2,SQRT(3))*(N($S220)/1.25)/N($T220)*N($H220)*INDEX(SZ_Z,MATCH(IF($K220&lt;&gt;"",$K220,$J220),SZ_SIZE,0))/1000/N($D220),""))</f>
        <v/>
      </c>
      <c r="N220" s="1362">
        <f>IF(N($V220)=0,"",IFERROR(INDEX(IF($B$6="Cu",EGC_CU,EGC_AL),MATCH(N($V220),EGC_OCPD,1)+IF(ISNUMBER(MATCH(N($V220),EGC_OCPD,0)),0,1)),""))</f>
        <v/>
      </c>
      <c r="O220" s="1362">
        <f>IF(N($L220)=0,"",IFERROR(INDEX(CND_3G,MATCH(IF($K220&lt;&gt;"",$K220,$J220),CND_SIZE,0)),""))</f>
        <v/>
      </c>
      <c r="P220" s="1292" t="n"/>
      <c r="Q220" s="1366">
        <f>IF(OR(N($H220)=0,N($L220)=0),0,IFERROR(N($H220)*N($T220)*N($U220)*INDEX(IF($B$6="Cu",WIRE_CU,WIRE_AL),MATCH(IF($K220&lt;&gt;"",$K220,$J220),WIRE_SIZE,0)),0)+IFERROR(N($H220)*N($T220)*INDEX(IF($B$6="Cu",WIRE_CU,WIRE_AL),MATCH($N220,WIRE_SIZE,0)),0)+IFERROR(N($H220)*N($T220)*INDEX(PVC_RATE,MATCH(IF($P220&lt;&gt;"",$P220,$O220),PVC_SIZE,0)),0))</f>
        <v/>
      </c>
      <c r="R220" s="1367">
        <f>IF($C220="","",IF(N($S220)=0,"enter the item fed — its rating on the schedule sets the floor, or type a floor in column G",IF(N($H220)=0,"ENTER THE DISTANCE",IF($B$10="","SET THE DESIGN AMBIENT in block A",IF(IF($K220&lt;&gt;"",$K220,$J220)="PARALLEL SETS","PARALLEL SETS NEEDED — no single conductor carries "&amp;TEXT(N($S220),"#,##0")&amp;" A within the drop allowance; enter sets in column I",IF(N($L220)=0,"no ampacity on file for the override size — NEC Table 310.16 does not list it",IF(N($L220)&lt;N($S220),"UNDERSIZED — "&amp;TEXT(N($L220),"#,##0")&amp;" A provided against a floor of "&amp;TEXT(N($S220),"#,##0")&amp;" A",IF(N($M220)&gt;$B$13,"ampacity OK but voltage drop "&amp;TEXT(N($M220),"0.0%")&amp;" exceeds the allowance — ADVISORY, upsize or add a set","OK — "&amp;IF(N($T220)&gt;1,TEXT(N($T220),"0")&amp;" sets of ","")&amp;IF($K220&lt;&gt;"",$K220,$J220)&amp;IF($K220&lt;&gt;""," (override)","")&amp;", "&amp;TEXT(N($L220),"#,##0")&amp;" A against a "&amp;TEXT(N($S220),"#,##0")&amp;" A floor; drop "&amp;TEXT(N($M220),"0.0%")&amp;" (ADVISORY)"))))))))</f>
        <v/>
      </c>
      <c r="S220" s="1364">
        <f>IF($C220="","",IF(N($G220)&gt;0,N($G220),N($F220)))</f>
        <v/>
      </c>
      <c r="T220" s="1364">
        <f>IF($C220="","",IF(N($I220)&gt;0,N($I220),1))</f>
        <v/>
      </c>
      <c r="U220" s="1364">
        <f>IF($C220="","",IF(N($E220)=1,2,IF(N($D220)&lt;=240,4,3)))</f>
        <v/>
      </c>
      <c r="V220" s="1364">
        <f>IF(N($S220)=0,"",IF(ISNUMBER(MATCH(N($S220),OCPD_LIST,0)),N($S220),IF(N($S220)&gt;MAX(OCPD_LIST),MAX(OCPD_LIST),INDEX(OCPD_LIST,MATCH(N($S220),OCPD_LIST,1)+1))))</f>
        <v/>
      </c>
      <c r="W220" s="1289" t="n"/>
      <c r="X220" s="1289" t="n"/>
    </row>
    <row r="221" ht="40" customHeight="1" s="254">
      <c r="A221" s="1362">
        <f>IF($C221="","","Feeder 10")</f>
        <v/>
      </c>
      <c r="B221" s="1292" t="n"/>
      <c r="C221" s="1292" t="n"/>
      <c r="D221" s="1364">
        <f>IF($C221="","",IFERROR(IF(INDEX($B$135:$B$146,MATCH($C221,$A$135:$A$146,0))="Transformer",IFERROR(INDEX($D$135:$D$146,MATCH($B221,$A$135:$A$146,0)),Project!$B$29),INDEX($D$135:$D$146,MATCH($C221,$A$135:$A$146,0))),""))</f>
        <v/>
      </c>
      <c r="E221" s="1362">
        <f>IF($C221="","",IFERROR(INDEX($E$135:$E$146,MATCH($C221,$A$135:$A$146,0)),""))</f>
        <v/>
      </c>
      <c r="F221" s="1364">
        <f>IF($C221="","",IFERROR(N(INDEX($F$135:$F$146,MATCH($C221,$A$135:$A$146,0))),0))</f>
        <v/>
      </c>
      <c r="G221" s="1326" t="n"/>
      <c r="H221" s="1326" t="n"/>
      <c r="I221" s="1326" t="n"/>
      <c r="J221" s="1362">
        <f>IF(OR(N($S221)=0,$B$10=""),"",IF(MAX(COUNTIF(SZ_AMP,"&lt;"&amp;(N($S221)/N($T221)))+1,IF(N($H221)=0,1,COUNTIF(SZ_Z,"&gt;"&amp;($B$13*N($D221)*1000/(IF(N($E221)=1,2,SQRT(3))*(N($S221)/1.25)/N($T221)*N($H221))))+1))&gt;ROWS(SZ_SIZE),"PARALLEL SETS",INDEX(SZ_SIZE,MAX(COUNTIF(SZ_AMP,"&lt;"&amp;(N($S221)/N($T221)))+1,IF(N($H221)=0,1,COUNTIF(SZ_Z,"&gt;"&amp;($B$13*N($D221)*1000/(IF(N($E221)=1,2,SQRT(3))*(N($S221)/1.25)/N($T221)*N($H221))))+1)))))</f>
        <v/>
      </c>
      <c r="K221" s="1292" t="n"/>
      <c r="L221" s="1364">
        <f>IF(OR(IF($K221&lt;&gt;"",$K221,$J221)="",IF($K221&lt;&gt;"",$K221,$J221)="PARALLEL SETS"),"",IFERROR(INDEX(SZ_AMP,MATCH(IF($K221&lt;&gt;"",$K221,$J221),SZ_SIZE,0))*N($T221),""))</f>
        <v/>
      </c>
      <c r="M221" s="1365">
        <f>IF(OR(N($L221)=0,N($H221)=0),"",IFERROR(IF(N($E221)=1,2,SQRT(3))*(N($S221)/1.25)/N($T221)*N($H221)*INDEX(SZ_Z,MATCH(IF($K221&lt;&gt;"",$K221,$J221),SZ_SIZE,0))/1000/N($D221),""))</f>
        <v/>
      </c>
      <c r="N221" s="1362">
        <f>IF(N($V221)=0,"",IFERROR(INDEX(IF($B$6="Cu",EGC_CU,EGC_AL),MATCH(N($V221),EGC_OCPD,1)+IF(ISNUMBER(MATCH(N($V221),EGC_OCPD,0)),0,1)),""))</f>
        <v/>
      </c>
      <c r="O221" s="1362">
        <f>IF(N($L221)=0,"",IFERROR(INDEX(CND_3G,MATCH(IF($K221&lt;&gt;"",$K221,$J221),CND_SIZE,0)),""))</f>
        <v/>
      </c>
      <c r="P221" s="1292" t="n"/>
      <c r="Q221" s="1366">
        <f>IF(OR(N($H221)=0,N($L221)=0),0,IFERROR(N($H221)*N($T221)*N($U221)*INDEX(IF($B$6="Cu",WIRE_CU,WIRE_AL),MATCH(IF($K221&lt;&gt;"",$K221,$J221),WIRE_SIZE,0)),0)+IFERROR(N($H221)*N($T221)*INDEX(IF($B$6="Cu",WIRE_CU,WIRE_AL),MATCH($N221,WIRE_SIZE,0)),0)+IFERROR(N($H221)*N($T221)*INDEX(PVC_RATE,MATCH(IF($P221&lt;&gt;"",$P221,$O221),PVC_SIZE,0)),0))</f>
        <v/>
      </c>
      <c r="R221" s="1367">
        <f>IF($C221="","",IF(N($S221)=0,"enter the item fed — its rating on the schedule sets the floor, or type a floor in column G",IF(N($H221)=0,"ENTER THE DISTANCE",IF($B$10="","SET THE DESIGN AMBIENT in block A",IF(IF($K221&lt;&gt;"",$K221,$J221)="PARALLEL SETS","PARALLEL SETS NEEDED — no single conductor carries "&amp;TEXT(N($S221),"#,##0")&amp;" A within the drop allowance; enter sets in column I",IF(N($L221)=0,"no ampacity on file for the override size — NEC Table 310.16 does not list it",IF(N($L221)&lt;N($S221),"UNDERSIZED — "&amp;TEXT(N($L221),"#,##0")&amp;" A provided against a floor of "&amp;TEXT(N($S221),"#,##0")&amp;" A",IF(N($M221)&gt;$B$13,"ampacity OK but voltage drop "&amp;TEXT(N($M221),"0.0%")&amp;" exceeds the allowance — ADVISORY, upsize or add a set","OK — "&amp;IF(N($T221)&gt;1,TEXT(N($T221),"0")&amp;" sets of ","")&amp;IF($K221&lt;&gt;"",$K221,$J221)&amp;IF($K221&lt;&gt;""," (override)","")&amp;", "&amp;TEXT(N($L221),"#,##0")&amp;" A against a "&amp;TEXT(N($S221),"#,##0")&amp;" A floor; drop "&amp;TEXT(N($M221),"0.0%")&amp;" (ADVISORY)"))))))))</f>
        <v/>
      </c>
      <c r="S221" s="1364">
        <f>IF($C221="","",IF(N($G221)&gt;0,N($G221),N($F221)))</f>
        <v/>
      </c>
      <c r="T221" s="1364">
        <f>IF($C221="","",IF(N($I221)&gt;0,N($I221),1))</f>
        <v/>
      </c>
      <c r="U221" s="1364">
        <f>IF($C221="","",IF(N($E221)=1,2,IF(N($D221)&lt;=240,4,3)))</f>
        <v/>
      </c>
      <c r="V221" s="1364">
        <f>IF(N($S221)=0,"",IF(ISNUMBER(MATCH(N($S221),OCPD_LIST,0)),N($S221),IF(N($S221)&gt;MAX(OCPD_LIST),MAX(OCPD_LIST),INDEX(OCPD_LIST,MATCH(N($S221),OCPD_LIST,1)+1))))</f>
        <v/>
      </c>
      <c r="W221" s="1289" t="n"/>
      <c r="X221" s="1289" t="n"/>
    </row>
    <row r="222" ht="40" customHeight="1" s="254">
      <c r="A222" s="1362">
        <f>IF($C222="","","Feeder 11")</f>
        <v/>
      </c>
      <c r="B222" s="1292" t="n"/>
      <c r="C222" s="1292" t="n"/>
      <c r="D222" s="1364">
        <f>IF($C222="","",IFERROR(IF(INDEX($B$135:$B$146,MATCH($C222,$A$135:$A$146,0))="Transformer",IFERROR(INDEX($D$135:$D$146,MATCH($B222,$A$135:$A$146,0)),Project!$B$29),INDEX($D$135:$D$146,MATCH($C222,$A$135:$A$146,0))),""))</f>
        <v/>
      </c>
      <c r="E222" s="1362">
        <f>IF($C222="","",IFERROR(INDEX($E$135:$E$146,MATCH($C222,$A$135:$A$146,0)),""))</f>
        <v/>
      </c>
      <c r="F222" s="1364">
        <f>IF($C222="","",IFERROR(N(INDEX($F$135:$F$146,MATCH($C222,$A$135:$A$146,0))),0))</f>
        <v/>
      </c>
      <c r="G222" s="1326" t="n"/>
      <c r="H222" s="1326" t="n"/>
      <c r="I222" s="1326" t="n"/>
      <c r="J222" s="1362">
        <f>IF(OR(N($S222)=0,$B$10=""),"",IF(MAX(COUNTIF(SZ_AMP,"&lt;"&amp;(N($S222)/N($T222)))+1,IF(N($H222)=0,1,COUNTIF(SZ_Z,"&gt;"&amp;($B$13*N($D222)*1000/(IF(N($E222)=1,2,SQRT(3))*(N($S222)/1.25)/N($T222)*N($H222))))+1))&gt;ROWS(SZ_SIZE),"PARALLEL SETS",INDEX(SZ_SIZE,MAX(COUNTIF(SZ_AMP,"&lt;"&amp;(N($S222)/N($T222)))+1,IF(N($H222)=0,1,COUNTIF(SZ_Z,"&gt;"&amp;($B$13*N($D222)*1000/(IF(N($E222)=1,2,SQRT(3))*(N($S222)/1.25)/N($T222)*N($H222))))+1)))))</f>
        <v/>
      </c>
      <c r="K222" s="1292" t="n"/>
      <c r="L222" s="1364">
        <f>IF(OR(IF($K222&lt;&gt;"",$K222,$J222)="",IF($K222&lt;&gt;"",$K222,$J222)="PARALLEL SETS"),"",IFERROR(INDEX(SZ_AMP,MATCH(IF($K222&lt;&gt;"",$K222,$J222),SZ_SIZE,0))*N($T222),""))</f>
        <v/>
      </c>
      <c r="M222" s="1365">
        <f>IF(OR(N($L222)=0,N($H222)=0),"",IFERROR(IF(N($E222)=1,2,SQRT(3))*(N($S222)/1.25)/N($T222)*N($H222)*INDEX(SZ_Z,MATCH(IF($K222&lt;&gt;"",$K222,$J222),SZ_SIZE,0))/1000/N($D222),""))</f>
        <v/>
      </c>
      <c r="N222" s="1362">
        <f>IF(N($V222)=0,"",IFERROR(INDEX(IF($B$6="Cu",EGC_CU,EGC_AL),MATCH(N($V222),EGC_OCPD,1)+IF(ISNUMBER(MATCH(N($V222),EGC_OCPD,0)),0,1)),""))</f>
        <v/>
      </c>
      <c r="O222" s="1362">
        <f>IF(N($L222)=0,"",IFERROR(INDEX(CND_3G,MATCH(IF($K222&lt;&gt;"",$K222,$J222),CND_SIZE,0)),""))</f>
        <v/>
      </c>
      <c r="P222" s="1292" t="n"/>
      <c r="Q222" s="1366">
        <f>IF(OR(N($H222)=0,N($L222)=0),0,IFERROR(N($H222)*N($T222)*N($U222)*INDEX(IF($B$6="Cu",WIRE_CU,WIRE_AL),MATCH(IF($K222&lt;&gt;"",$K222,$J222),WIRE_SIZE,0)),0)+IFERROR(N($H222)*N($T222)*INDEX(IF($B$6="Cu",WIRE_CU,WIRE_AL),MATCH($N222,WIRE_SIZE,0)),0)+IFERROR(N($H222)*N($T222)*INDEX(PVC_RATE,MATCH(IF($P222&lt;&gt;"",$P222,$O222),PVC_SIZE,0)),0))</f>
        <v/>
      </c>
      <c r="R222" s="1367">
        <f>IF($C222="","",IF(N($S222)=0,"enter the item fed — its rating on the schedule sets the floor, or type a floor in column G",IF(N($H222)=0,"ENTER THE DISTANCE",IF($B$10="","SET THE DESIGN AMBIENT in block A",IF(IF($K222&lt;&gt;"",$K222,$J222)="PARALLEL SETS","PARALLEL SETS NEEDED — no single conductor carries "&amp;TEXT(N($S222),"#,##0")&amp;" A within the drop allowance; enter sets in column I",IF(N($L222)=0,"no ampacity on file for the override size — NEC Table 310.16 does not list it",IF(N($L222)&lt;N($S222),"UNDERSIZED — "&amp;TEXT(N($L222),"#,##0")&amp;" A provided against a floor of "&amp;TEXT(N($S222),"#,##0")&amp;" A",IF(N($M222)&gt;$B$13,"ampacity OK but voltage drop "&amp;TEXT(N($M222),"0.0%")&amp;" exceeds the allowance — ADVISORY, upsize or add a set","OK — "&amp;IF(N($T222)&gt;1,TEXT(N($T222),"0")&amp;" sets of ","")&amp;IF($K222&lt;&gt;"",$K222,$J222)&amp;IF($K222&lt;&gt;""," (override)","")&amp;", "&amp;TEXT(N($L222),"#,##0")&amp;" A against a "&amp;TEXT(N($S222),"#,##0")&amp;" A floor; drop "&amp;TEXT(N($M222),"0.0%")&amp;" (ADVISORY)"))))))))</f>
        <v/>
      </c>
      <c r="S222" s="1364">
        <f>IF($C222="","",IF(N($G222)&gt;0,N($G222),N($F222)))</f>
        <v/>
      </c>
      <c r="T222" s="1364">
        <f>IF($C222="","",IF(N($I222)&gt;0,N($I222),1))</f>
        <v/>
      </c>
      <c r="U222" s="1364">
        <f>IF($C222="","",IF(N($E222)=1,2,IF(N($D222)&lt;=240,4,3)))</f>
        <v/>
      </c>
      <c r="V222" s="1364">
        <f>IF(N($S222)=0,"",IF(ISNUMBER(MATCH(N($S222),OCPD_LIST,0)),N($S222),IF(N($S222)&gt;MAX(OCPD_LIST),MAX(OCPD_LIST),INDEX(OCPD_LIST,MATCH(N($S222),OCPD_LIST,1)+1))))</f>
        <v/>
      </c>
      <c r="W222" s="1289" t="n"/>
      <c r="X222" s="1289" t="n"/>
    </row>
    <row r="223" ht="40" customHeight="1" s="254">
      <c r="A223" s="1362">
        <f>IF($C223="","","Feeder 12")</f>
        <v/>
      </c>
      <c r="B223" s="1292" t="n"/>
      <c r="C223" s="1292" t="n"/>
      <c r="D223" s="1364">
        <f>IF($C223="","",IFERROR(IF(INDEX($B$135:$B$146,MATCH($C223,$A$135:$A$146,0))="Transformer",IFERROR(INDEX($D$135:$D$146,MATCH($B223,$A$135:$A$146,0)),Project!$B$29),INDEX($D$135:$D$146,MATCH($C223,$A$135:$A$146,0))),""))</f>
        <v/>
      </c>
      <c r="E223" s="1362">
        <f>IF($C223="","",IFERROR(INDEX($E$135:$E$146,MATCH($C223,$A$135:$A$146,0)),""))</f>
        <v/>
      </c>
      <c r="F223" s="1364">
        <f>IF($C223="","",IFERROR(N(INDEX($F$135:$F$146,MATCH($C223,$A$135:$A$146,0))),0))</f>
        <v/>
      </c>
      <c r="G223" s="1326" t="n"/>
      <c r="H223" s="1326" t="n"/>
      <c r="I223" s="1326" t="n"/>
      <c r="J223" s="1362">
        <f>IF(OR(N($S223)=0,$B$10=""),"",IF(MAX(COUNTIF(SZ_AMP,"&lt;"&amp;(N($S223)/N($T223)))+1,IF(N($H223)=0,1,COUNTIF(SZ_Z,"&gt;"&amp;($B$13*N($D223)*1000/(IF(N($E223)=1,2,SQRT(3))*(N($S223)/1.25)/N($T223)*N($H223))))+1))&gt;ROWS(SZ_SIZE),"PARALLEL SETS",INDEX(SZ_SIZE,MAX(COUNTIF(SZ_AMP,"&lt;"&amp;(N($S223)/N($T223)))+1,IF(N($H223)=0,1,COUNTIF(SZ_Z,"&gt;"&amp;($B$13*N($D223)*1000/(IF(N($E223)=1,2,SQRT(3))*(N($S223)/1.25)/N($T223)*N($H223))))+1)))))</f>
        <v/>
      </c>
      <c r="K223" s="1292" t="n"/>
      <c r="L223" s="1364">
        <f>IF(OR(IF($K223&lt;&gt;"",$K223,$J223)="",IF($K223&lt;&gt;"",$K223,$J223)="PARALLEL SETS"),"",IFERROR(INDEX(SZ_AMP,MATCH(IF($K223&lt;&gt;"",$K223,$J223),SZ_SIZE,0))*N($T223),""))</f>
        <v/>
      </c>
      <c r="M223" s="1365">
        <f>IF(OR(N($L223)=0,N($H223)=0),"",IFERROR(IF(N($E223)=1,2,SQRT(3))*(N($S223)/1.25)/N($T223)*N($H223)*INDEX(SZ_Z,MATCH(IF($K223&lt;&gt;"",$K223,$J223),SZ_SIZE,0))/1000/N($D223),""))</f>
        <v/>
      </c>
      <c r="N223" s="1362">
        <f>IF(N($V223)=0,"",IFERROR(INDEX(IF($B$6="Cu",EGC_CU,EGC_AL),MATCH(N($V223),EGC_OCPD,1)+IF(ISNUMBER(MATCH(N($V223),EGC_OCPD,0)),0,1)),""))</f>
        <v/>
      </c>
      <c r="O223" s="1362">
        <f>IF(N($L223)=0,"",IFERROR(INDEX(CND_3G,MATCH(IF($K223&lt;&gt;"",$K223,$J223),CND_SIZE,0)),""))</f>
        <v/>
      </c>
      <c r="P223" s="1292" t="n"/>
      <c r="Q223" s="1366">
        <f>IF(OR(N($H223)=0,N($L223)=0),0,IFERROR(N($H223)*N($T223)*N($U223)*INDEX(IF($B$6="Cu",WIRE_CU,WIRE_AL),MATCH(IF($K223&lt;&gt;"",$K223,$J223),WIRE_SIZE,0)),0)+IFERROR(N($H223)*N($T223)*INDEX(IF($B$6="Cu",WIRE_CU,WIRE_AL),MATCH($N223,WIRE_SIZE,0)),0)+IFERROR(N($H223)*N($T223)*INDEX(PVC_RATE,MATCH(IF($P223&lt;&gt;"",$P223,$O223),PVC_SIZE,0)),0))</f>
        <v/>
      </c>
      <c r="R223" s="1367">
        <f>IF($C223="","",IF(N($S223)=0,"enter the item fed — its rating on the schedule sets the floor, or type a floor in column G",IF(N($H223)=0,"ENTER THE DISTANCE",IF($B$10="","SET THE DESIGN AMBIENT in block A",IF(IF($K223&lt;&gt;"",$K223,$J223)="PARALLEL SETS","PARALLEL SETS NEEDED — no single conductor carries "&amp;TEXT(N($S223),"#,##0")&amp;" A within the drop allowance; enter sets in column I",IF(N($L223)=0,"no ampacity on file for the override size — NEC Table 310.16 does not list it",IF(N($L223)&lt;N($S223),"UNDERSIZED — "&amp;TEXT(N($L223),"#,##0")&amp;" A provided against a floor of "&amp;TEXT(N($S223),"#,##0")&amp;" A",IF(N($M223)&gt;$B$13,"ampacity OK but voltage drop "&amp;TEXT(N($M223),"0.0%")&amp;" exceeds the allowance — ADVISORY, upsize or add a set","OK — "&amp;IF(N($T223)&gt;1,TEXT(N($T223),"0")&amp;" sets of ","")&amp;IF($K223&lt;&gt;"",$K223,$J223)&amp;IF($K223&lt;&gt;""," (override)","")&amp;", "&amp;TEXT(N($L223),"#,##0")&amp;" A against a "&amp;TEXT(N($S223),"#,##0")&amp;" A floor; drop "&amp;TEXT(N($M223),"0.0%")&amp;" (ADVISORY)"))))))))</f>
        <v/>
      </c>
      <c r="S223" s="1364">
        <f>IF($C223="","",IF(N($G223)&gt;0,N($G223),N($F223)))</f>
        <v/>
      </c>
      <c r="T223" s="1364">
        <f>IF($C223="","",IF(N($I223)&gt;0,N($I223),1))</f>
        <v/>
      </c>
      <c r="U223" s="1364">
        <f>IF($C223="","",IF(N($E223)=1,2,IF(N($D223)&lt;=240,4,3)))</f>
        <v/>
      </c>
      <c r="V223" s="1364">
        <f>IF(N($S223)=0,"",IF(ISNUMBER(MATCH(N($S223),OCPD_LIST,0)),N($S223),IF(N($S223)&gt;MAX(OCPD_LIST),MAX(OCPD_LIST),INDEX(OCPD_LIST,MATCH(N($S223),OCPD_LIST,1)+1))))</f>
        <v/>
      </c>
      <c r="W223" s="1289" t="n"/>
      <c r="X223" s="1289" t="n"/>
    </row>
    <row r="224" ht="15" customHeight="1" s="254">
      <c r="A224" s="1289" t="n"/>
      <c r="B224" s="1289" t="n"/>
      <c r="C224" s="1289" t="n"/>
      <c r="D224" s="1289" t="n"/>
      <c r="E224" s="1289" t="n"/>
      <c r="F224" s="1289" t="n"/>
      <c r="G224" s="1289" t="n"/>
      <c r="H224" s="1289" t="n"/>
      <c r="I224" s="1289" t="n"/>
      <c r="J224" s="1289" t="n"/>
      <c r="K224" s="1289" t="n"/>
      <c r="L224" s="1289" t="n"/>
      <c r="M224" s="1289" t="n"/>
      <c r="N224" s="1289" t="n"/>
      <c r="O224" s="1289" t="n"/>
      <c r="P224" s="1289" t="n"/>
      <c r="Q224" s="1289" t="n"/>
      <c r="R224" s="1289" t="n"/>
      <c r="S224" s="1289" t="n"/>
      <c r="T224" s="1289" t="n"/>
      <c r="U224" s="1289" t="n"/>
      <c r="V224" s="1289" t="n"/>
      <c r="W224" s="1289" t="n"/>
      <c r="X224" s="1289" t="n"/>
    </row>
    <row r="225" ht="15" customHeight="1" s="254">
      <c r="A225" s="1552" t="inlineStr">
        <is>
          <t>Feeders scheduled</t>
        </is>
      </c>
      <c r="B225" s="1295">
        <f>COUNTA($C$212:$C$223)</f>
        <v/>
      </c>
      <c r="C225" s="1360" t="inlineStr">
        <is>
          <t>Rows with an item fed.</t>
        </is>
      </c>
      <c r="M225" s="1289" t="n"/>
      <c r="N225" s="1289" t="n"/>
      <c r="O225" s="1289" t="n"/>
      <c r="P225" s="1289" t="n"/>
      <c r="Q225" s="1289" t="n"/>
      <c r="R225" s="1289" t="n"/>
      <c r="S225" s="1289" t="n"/>
      <c r="T225" s="1289" t="n"/>
      <c r="U225" s="1289" t="n"/>
      <c r="V225" s="1289" t="n"/>
      <c r="W225" s="1289" t="n"/>
      <c r="X225" s="1289" t="n"/>
    </row>
    <row r="226" ht="15" customHeight="1" s="254">
      <c r="A226" s="1552" t="inlineStr">
        <is>
          <t>Distribution feeder material ($)</t>
        </is>
      </c>
      <c r="B226" s="1371">
        <f>SUM($Q$212:$Q$223)</f>
        <v/>
      </c>
      <c r="C226" s="1300" t="inlineStr">
        <is>
          <t>Conductor, ground and conduit for every feeder above, at RefData rates. The engine reads this row into the wire line.</t>
        </is>
      </c>
      <c r="M226" s="1289" t="n"/>
      <c r="N226" s="1289" t="n"/>
      <c r="O226" s="1289" t="n"/>
      <c r="P226" s="1289" t="n"/>
      <c r="Q226" s="1289" t="n"/>
      <c r="R226" s="1289" t="n"/>
      <c r="S226" s="1289" t="n"/>
      <c r="T226" s="1289" t="n"/>
      <c r="U226" s="1289" t="n"/>
      <c r="V226" s="1289" t="n"/>
      <c r="W226" s="1289" t="n"/>
      <c r="X226" s="1289" t="n"/>
    </row>
    <row r="227" ht="15" customHeight="1" s="254">
      <c r="A227" s="1552" t="inlineStr">
        <is>
          <t>Feeder distance total (ft)</t>
        </is>
      </c>
      <c r="B227" s="1295">
        <f>SUM($H$212:$H$223)</f>
        <v/>
      </c>
      <c r="C227" s="1289" t="n"/>
      <c r="D227" s="1289" t="n"/>
      <c r="E227" s="1289" t="n"/>
      <c r="F227" s="1289" t="n"/>
      <c r="G227" s="1289" t="n"/>
      <c r="H227" s="1289" t="n"/>
      <c r="I227" s="1289" t="n"/>
      <c r="J227" s="1289" t="n"/>
      <c r="K227" s="1289" t="n"/>
      <c r="L227" s="1289" t="n"/>
      <c r="M227" s="1289" t="n"/>
      <c r="N227" s="1289" t="n"/>
      <c r="O227" s="1289" t="n"/>
      <c r="P227" s="1289" t="n"/>
      <c r="Q227" s="1289" t="n"/>
      <c r="R227" s="1289" t="n"/>
      <c r="S227" s="1289" t="n"/>
      <c r="T227" s="1289" t="n"/>
      <c r="U227" s="1289" t="n"/>
      <c r="V227" s="1289" t="n"/>
      <c r="W227" s="1289" t="n"/>
      <c r="X227" s="1289" t="n"/>
    </row>
    <row r="228" ht="15" customHeight="1" s="254">
      <c r="A228" s="1552" t="inlineStr">
        <is>
          <t>Every feeder sized and costed?</t>
        </is>
      </c>
      <c r="B228" s="1370">
        <f>IF(COUNTA($C$212:$C$223)=0,"n/a — no distribution feeders scheduled; the charger runs start at the point of connection",IF(COUNTIF($R$212:$R$223,"UNDERSIZED*")+COUNTIF($R$212:$R$223,"PARALLEL*")+COUNTIF($R$212:$R$223,"ENTER*")+COUNTIF($R$212:$R$223,"enter*")+COUNTIF($R$212:$R$223,"no ampacity*")+COUNTIF($R$212:$R$223,"SET THE*")&gt;0,"ATTENTION — read the verdict column; a feeder with a problem there is a feeder priced wrong","OK — every feeder has a conductor, a ground, a conduit and a cost"))</f>
        <v/>
      </c>
      <c r="C228" s="1289" t="n"/>
      <c r="D228" s="1289" t="n"/>
      <c r="E228" s="1289" t="n"/>
      <c r="F228" s="1289" t="n"/>
      <c r="G228" s="1289" t="n"/>
      <c r="H228" s="1289" t="n"/>
      <c r="I228" s="1289" t="n"/>
      <c r="J228" s="1289" t="n"/>
      <c r="K228" s="1289" t="n"/>
      <c r="L228" s="1289" t="n"/>
      <c r="M228" s="1289" t="n"/>
      <c r="N228" s="1289" t="n"/>
      <c r="O228" s="1289" t="n"/>
      <c r="P228" s="1289" t="n"/>
      <c r="Q228" s="1289" t="n"/>
      <c r="R228" s="1289" t="n"/>
      <c r="S228" s="1289" t="n"/>
      <c r="T228" s="1289" t="n"/>
      <c r="U228" s="1289" t="n"/>
      <c r="V228" s="1289" t="n"/>
      <c r="W228" s="1289" t="n"/>
      <c r="X228" s="1289" t="n"/>
    </row>
    <row r="229" ht="27.5" customHeight="1" s="254">
      <c r="A229" s="1294" t="inlineStr">
        <is>
          <t>Every scheduled item fed by a feeder?</t>
        </is>
      </c>
      <c r="B229" s="1370">
        <f>IF(COUNTA($A$135:$A$146)=0,"n/a — nothing on the distribution schedule",TEXT(COUNTA($A$135:$A$146),"0")&amp;" item(s) on the schedule, "&amp;TEXT(COUNTA($C$212:$C$223),"0")&amp;" feeder(s) here — every panel, transformer and remote disconnect needs a feeder from what feeds it; a breaker mounted inside the board that feeds it does not. ADVISORY")</f>
        <v/>
      </c>
      <c r="C229" s="1289" t="n"/>
      <c r="D229" s="1289" t="n"/>
      <c r="E229" s="1289" t="n"/>
      <c r="F229" s="1289" t="n"/>
      <c r="G229" s="1289" t="n"/>
      <c r="H229" s="1289" t="n"/>
      <c r="I229" s="1289" t="n"/>
      <c r="J229" s="1289" t="n"/>
      <c r="K229" s="1289" t="n"/>
      <c r="L229" s="1289" t="n"/>
      <c r="M229" s="1289" t="n"/>
      <c r="N229" s="1289" t="n"/>
      <c r="O229" s="1289" t="n"/>
      <c r="P229" s="1289" t="n"/>
      <c r="Q229" s="1289" t="n"/>
      <c r="R229" s="1289" t="n"/>
      <c r="S229" s="1289" t="n"/>
      <c r="T229" s="1289" t="n"/>
      <c r="U229" s="1289" t="n"/>
      <c r="V229" s="1289" t="n"/>
      <c r="W229" s="1289" t="n"/>
      <c r="X229" s="1289" t="n"/>
    </row>
  </sheetData>
  <sheetProtection selectLockedCells="0" selectUnlockedCells="0" sheet="1" objects="0" insertRows="1" insertHyperlinks="1" autoFilter="1" scenarios="0" formatColumns="0" deleteColumns="1" insertColumns="1" pivotTables="1" deleteRows="1" formatCells="1" formatRows="0" sort="1"/>
  <mergeCells count="82">
    <mergeCell ref="C103:H103"/>
    <mergeCell ref="C117:H117"/>
    <mergeCell ref="C55:H55"/>
    <mergeCell ref="C168:H168"/>
    <mergeCell ref="C183:H183"/>
    <mergeCell ref="C99:H99"/>
    <mergeCell ref="C9:H9"/>
    <mergeCell ref="C180:H180"/>
    <mergeCell ref="C118:H118"/>
    <mergeCell ref="C127:H127"/>
    <mergeCell ref="A49:H49"/>
    <mergeCell ref="C167:H167"/>
    <mergeCell ref="A132:H132"/>
    <mergeCell ref="C59:H59"/>
    <mergeCell ref="C11:H11"/>
    <mergeCell ref="C182:H182"/>
    <mergeCell ref="C169:H169"/>
    <mergeCell ref="A174:H174"/>
    <mergeCell ref="A16:T16"/>
    <mergeCell ref="C125:H125"/>
    <mergeCell ref="C161:H161"/>
    <mergeCell ref="C13:H13"/>
    <mergeCell ref="A5:H5"/>
    <mergeCell ref="A188:T188"/>
    <mergeCell ref="A106:H106"/>
    <mergeCell ref="C107:H107"/>
    <mergeCell ref="C184:H184"/>
    <mergeCell ref="C63:H63"/>
    <mergeCell ref="C10:H10"/>
    <mergeCell ref="A15:H15"/>
    <mergeCell ref="C50:H50"/>
    <mergeCell ref="C163:H163"/>
    <mergeCell ref="C115:H115"/>
    <mergeCell ref="A187:H187"/>
    <mergeCell ref="C158:H158"/>
    <mergeCell ref="A2:H2"/>
    <mergeCell ref="A154:T154"/>
    <mergeCell ref="A210:T210"/>
    <mergeCell ref="C6:H6"/>
    <mergeCell ref="A62:H62"/>
    <mergeCell ref="C185:H185"/>
    <mergeCell ref="C98:H98"/>
    <mergeCell ref="C162:H162"/>
    <mergeCell ref="C54:H54"/>
    <mergeCell ref="C177:H177"/>
    <mergeCell ref="C124:H124"/>
    <mergeCell ref="C164:H164"/>
    <mergeCell ref="C56:H56"/>
    <mergeCell ref="C148:H148"/>
    <mergeCell ref="A153:H153"/>
    <mergeCell ref="C110:H110"/>
    <mergeCell ref="C181:H181"/>
    <mergeCell ref="C119:H119"/>
    <mergeCell ref="C8:H8"/>
    <mergeCell ref="C225:L225"/>
    <mergeCell ref="C155:H155"/>
    <mergeCell ref="C111:H111"/>
    <mergeCell ref="C179:H179"/>
    <mergeCell ref="C157:H157"/>
    <mergeCell ref="C166:H166"/>
    <mergeCell ref="C108:H108"/>
    <mergeCell ref="C226:L226"/>
    <mergeCell ref="C160:H160"/>
    <mergeCell ref="C58:H58"/>
    <mergeCell ref="C113:H113"/>
    <mergeCell ref="C112:H112"/>
    <mergeCell ref="C109:H109"/>
    <mergeCell ref="C176:H176"/>
    <mergeCell ref="C114:H114"/>
    <mergeCell ref="A1:H1"/>
    <mergeCell ref="C12:H12"/>
    <mergeCell ref="A123:T123"/>
    <mergeCell ref="C51:H51"/>
    <mergeCell ref="C178:H178"/>
    <mergeCell ref="C60:H60"/>
    <mergeCell ref="C7:H7"/>
    <mergeCell ref="A133:T133"/>
    <mergeCell ref="C170:H170"/>
    <mergeCell ref="A3:T3"/>
    <mergeCell ref="A175:T175"/>
    <mergeCell ref="A209:H209"/>
    <mergeCell ref="C126:H126"/>
  </mergeCells>
  <conditionalFormatting sqref="E18:G47 L18:M47 R18:R47">
    <cfRule type="expression" priority="1" dxfId="0">
      <formula>$A18=""</formula>
    </cfRule>
  </conditionalFormatting>
  <conditionalFormatting sqref="F18:G47 L18:M47 R18:R47">
    <cfRule type="expression" priority="2" dxfId="0">
      <formula>$U18=0</formula>
    </cfRule>
  </conditionalFormatting>
  <conditionalFormatting sqref="C65:C96 E65:H96">
    <cfRule type="expression" priority="3" dxfId="0">
      <formula>$A65=""</formula>
    </cfRule>
  </conditionalFormatting>
  <dataValidations count="32">
    <dataValidation sqref="B6" showDropDown="0" showInputMessage="0" showErrorMessage="0" allowBlank="1" type="list">
      <formula1>"Cu,Al"</formula1>
    </dataValidation>
    <dataValidation sqref="B7" showDropDown="0" showInputMessage="0" showErrorMessage="0" allowBlank="1" type="list">
      <formula1>"PVC,EMT"</formula1>
    </dataValidation>
    <dataValidation sqref="B8" showDropDown="0" showInputMessage="0" showErrorMessage="0" allowBlank="1" type="list">
      <formula1>"Asphalt,Concrete,Landscape,Mixed"</formula1>
    </dataValidation>
    <dataValidation sqref="G18:G47" showDropDown="0" showInputMessage="0" showErrorMessage="0" allowBlank="1" type="list">
      <formula1>"Yes,No"</formula1>
    </dataValidation>
    <dataValidation sqref="L18:L47" showDropDown="0" showInputMessage="0" showErrorMessage="0" allowBlank="1" type="list">
      <formula1>WIRE_SIZE</formula1>
    </dataValidation>
    <dataValidation sqref="R18:R47" showDropDown="0" showInputMessage="0" showErrorMessage="0" allowBlank="1" type="list">
      <formula1>PVC_SIZE</formula1>
    </dataValidation>
    <dataValidation sqref="E65:E96" showDropDown="0" showInputMessage="0" showErrorMessage="0" allowBlank="1" type="list">
      <formula1>WIRE_SIZE</formula1>
    </dataValidation>
    <dataValidation sqref="F65:F96" showDropDown="0" showInputMessage="0" showErrorMessage="0" allowBlank="1" type="list">
      <formula1>WIRE_SIZE</formula1>
    </dataValidation>
    <dataValidation sqref="G65:G96" showDropDown="0" showInputMessage="0" showErrorMessage="0" allowBlank="1" type="list">
      <formula1>PVC_SIZE</formula1>
    </dataValidation>
    <dataValidation sqref="H65:H96" showDropDown="0" showInputMessage="0" showErrorMessage="0" allowBlank="1" type="list">
      <formula1>"Yes,No"</formula1>
    </dataValidation>
    <dataValidation sqref="B114" showDropDown="0" showInputMessage="0" showErrorMessage="0" allowBlank="1" type="list">
      <formula1>"No,Yes"</formula1>
    </dataValidation>
    <dataValidation sqref="B124" showDropDown="0" showInputMessage="0" showErrorMessage="0" allowBlank="1" type="list">
      <formula1>"Service conductor — NEC 230.42,Feeder — NEC 240.4(C)"</formula1>
    </dataValidation>
    <dataValidation sqref="B125" showDropDown="0" showInputMessage="0" showErrorMessage="0" allowBlank="1" type="list">
      <formula1>"Utility — EV infrastructure rule,Zero Impact Energy,Existing — retained"</formula1>
    </dataValidation>
    <dataValidation sqref="B130" showDropDown="0" showInputMessage="0" showErrorMessage="0" allowBlank="1" type="list">
      <formula1>"Cu,Al"</formula1>
    </dataValidation>
    <dataValidation sqref="I130" showDropDown="0" showInputMessage="0" showErrorMessage="0" allowBlank="1" type="list">
      <formula1>WIRE_SIZE</formula1>
    </dataValidation>
    <dataValidation sqref="B135:B146" showDropDown="0" showInputMessage="0" showErrorMessage="0" allowBlank="1" type="list">
      <formula1>"Service disconnect,Switchboard,Tap box,Panelboard,Subpanel,Transformer,EVSE disconnect,Meter / CT cabinet,Utility substation,Other"</formula1>
    </dataValidation>
    <dataValidation sqref="K135:K146" showDropDown="0" showInputMessage="0" showErrorMessage="0" allowBlank="1" type="list">
      <formula1>"Vendor quote,RefData rate,Priced elsewhere in this workbook,By others,Allowance"</formula1>
    </dataValidation>
    <dataValidation sqref="J135:J146" showDropDown="0" showInputMessage="0" showErrorMessage="0" allowBlank="1" type="list">
      <formula1>"Zero Impact Energy,Utility,By others,Vendor"</formula1>
    </dataValidation>
    <dataValidation sqref="B155" showDropDown="0" showInputMessage="0" showErrorMessage="0" allowBlank="1" type="list">
      <formula1>"New service,Added load to existing service"</formula1>
    </dataValidation>
    <dataValidation sqref="B156" showDropDown="0" showInputMessage="0" showErrorMessage="0" allowBlank="1" type="list">
      <formula1>"Underground,Overhead"</formula1>
    </dataValidation>
    <dataValidation sqref="B158" showDropDown="0" showInputMessage="0" showErrorMessage="0" allowBlank="1" type="list">
      <formula1>"Yes,No,In preparation"</formula1>
    </dataValidation>
    <dataValidation sqref="B162" showDropDown="0" showInputMessage="0" showErrorMessage="0" allowBlank="1" type="list">
      <formula1>"Unknown — design not yet submitted,No,Yes"</formula1>
    </dataValidation>
    <dataValidation sqref="B165" showDropDown="0" showInputMessage="0" showErrorMessage="0" allowBlank="1" type="list">
      <formula1>"No,Yes,Unknown"</formula1>
    </dataValidation>
    <dataValidation sqref="B166" showDropDown="0" showInputMessage="0" showErrorMessage="0" allowBlank="1" type="list">
      <formula1>"Only if Rule 15/16 contribution arises,Yes,No"</formula1>
    </dataValidation>
    <dataValidation sqref="B167" showDropDown="0" showInputMessage="0" showErrorMessage="0" allowBlank="1" type="list">
      <formula1>"Yes,No,To be confirmed"</formula1>
    </dataValidation>
    <dataValidation sqref="B168" showDropDown="0" showInputMessage="0" showErrorMessage="0" allowBlank="1" type="list">
      <formula1>"Yes,No,In preparation"</formula1>
    </dataValidation>
    <dataValidation sqref="B169" showDropDown="0" showInputMessage="0" showErrorMessage="0" allowBlank="1" type="list">
      <formula1>"Yes,No,To be confirmed"</formula1>
    </dataValidation>
    <dataValidation sqref="B170" showDropDown="0" showInputMessage="0" showErrorMessage="0" allowBlank="1" type="list">
      <formula1>"Yes,No,To be confirmed"</formula1>
    </dataValidation>
    <dataValidation sqref="B212:B223" showDropDown="0" showInputMessage="0" showErrorMessage="0" allowBlank="1" type="list">
      <formula1>$A$165:$A$176</formula1>
    </dataValidation>
    <dataValidation sqref="C212:C223" showDropDown="0" showInputMessage="0" showErrorMessage="0" allowBlank="1" type="list">
      <formula1>$A$165:$A$176</formula1>
    </dataValidation>
    <dataValidation sqref="K212:K223" showDropDown="0" showInputMessage="0" showErrorMessage="0" allowBlank="1" type="list">
      <formula1>WIRE_SIZE</formula1>
    </dataValidation>
    <dataValidation sqref="P212:P223" showDropDown="0" showInputMessage="0" showErrorMessage="0" allowBlank="1" type="list">
      <formula1>PVC_SIZE</formula1>
    </dataValidation>
  </dataValidations>
  <pageMargins left="0.75" right="0.75" top="1" bottom="1" header="0.5" footer="0.5"/>
  <pageSetup orientation="landscape" fitToHeight="0" fitToWidth="3"/>
</worksheet>
</file>

<file path=xl/worksheets/sheet9.xml><?xml version="1.0" encoding="utf-8"?>
<worksheet xmlns="http://schemas.openxmlformats.org/spreadsheetml/2006/main">
  <sheetPr filterMode="0">
    <tabColor rgb="006B4C9A"/>
    <outlinePr summaryBelow="0"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1"/>
  <cols>
    <col width="36" customWidth="1" style="253" min="1" max="1"/>
    <col width="24" customWidth="1" style="253" min="2" max="2"/>
    <col width="40" customWidth="1" style="253" min="3" max="3"/>
    <col width="16" customWidth="1" style="253" min="4" max="4"/>
    <col width="10" customWidth="1" style="254" min="5" max="5"/>
    <col width="14" customWidth="1" style="254" min="6" max="7"/>
  </cols>
  <sheetData>
    <row r="1" ht="15" customHeight="1" s="254">
      <c r="A1" s="1543" t="inlineStr">
        <is>
          <t>4 · CONSTRUCTION SCOPE</t>
        </is>
      </c>
      <c r="G1" s="1289" t="n"/>
    </row>
    <row r="2" ht="15" customHeight="1" s="254">
      <c r="A2" s="1288" t="inlineStr">
        <is>
          <t>Site works and labour. Defaults come from the standard build; override where the site differs.</t>
        </is>
      </c>
    </row>
    <row r="3" ht="15" customHeight="1" s="254">
      <c r="A3" s="1289" t="n"/>
      <c r="B3" s="1289" t="n"/>
      <c r="C3" s="1289" t="n"/>
      <c r="D3" s="1289" t="n"/>
      <c r="E3" s="1289" t="n"/>
      <c r="F3" s="1289" t="n"/>
      <c r="G3" s="1289" t="n"/>
    </row>
    <row r="4" ht="15" customHeight="1" s="254">
      <c r="A4" s="1551" t="inlineStr">
        <is>
          <t>Labour</t>
        </is>
      </c>
      <c r="B4" s="1289" t="n"/>
      <c r="C4" s="1289" t="n"/>
      <c r="D4" s="1289" t="n"/>
      <c r="E4" s="1289" t="n"/>
      <c r="F4" s="1289" t="n"/>
      <c r="G4" s="1289" t="n"/>
    </row>
    <row r="5" ht="27.5" customHeight="1" s="254">
      <c r="A5" s="1552" t="inlineStr">
        <is>
          <t>Crew days on site</t>
        </is>
      </c>
      <c r="B5" s="1304" t="n">
        <v>34</v>
      </c>
      <c r="C5" s="1288" t="inlineStr">
        <is>
          <t>Must match the construction schedule you publish</t>
        </is>
      </c>
      <c r="D5" s="1289" t="n"/>
      <c r="E5" s="1289" t="n"/>
      <c r="F5" s="1289" t="n"/>
      <c r="G5" s="1289" t="n"/>
    </row>
    <row r="6" ht="15" customHeight="1" s="254">
      <c r="A6" s="1552" t="inlineStr">
        <is>
          <t>Crew day rate</t>
        </is>
      </c>
      <c r="B6" s="1330" t="n">
        <v>2750</v>
      </c>
      <c r="C6" s="1302" t="inlineStr">
        <is>
          <t>Fully burdened</t>
        </is>
      </c>
      <c r="D6" s="1289" t="n"/>
      <c r="E6" s="1289" t="n"/>
      <c r="F6" s="1289" t="n"/>
      <c r="G6" s="1289" t="n"/>
    </row>
    <row r="7" ht="15" customHeight="1" s="254">
      <c r="A7" s="1552" t="inlineStr">
        <is>
          <t>Contingency on labour</t>
        </is>
      </c>
      <c r="B7" s="1390" t="n">
        <v>0.1</v>
      </c>
      <c r="C7" s="1289" t="n"/>
      <c r="D7" s="1289" t="n"/>
      <c r="E7" s="1289" t="n"/>
      <c r="F7" s="1289" t="n"/>
      <c r="G7" s="1289" t="n"/>
    </row>
    <row r="8" ht="27.5" customHeight="1" s="254">
      <c r="A8" s="1552" t="inlineStr">
        <is>
          <t>Markup on labour</t>
        </is>
      </c>
      <c r="B8" s="1391" t="n">
        <v>0.2</v>
      </c>
      <c r="C8" s="1288" t="inlineStr">
        <is>
          <t>House standing decision: 20%, applied after contingency. Change it per project on purpose, not by inheriting the last one.</t>
        </is>
      </c>
    </row>
    <row r="9" ht="27.5" customHeight="1" s="254">
      <c r="A9" s="1552" t="inlineStr">
        <is>
          <t>Labour total</t>
        </is>
      </c>
      <c r="B9" s="1347">
        <f>B5*B6*(1+B7)*(1+B8)</f>
        <v/>
      </c>
      <c r="C9" s="1288" t="inlineStr">
        <is>
          <t>Days x rate x (1 + contingency) x (1 + markup)</t>
        </is>
      </c>
      <c r="D9" s="1289" t="n"/>
      <c r="E9" s="1289" t="n"/>
      <c r="F9" s="1289" t="n"/>
      <c r="G9" s="1289" t="n"/>
    </row>
    <row r="10" ht="15" customHeight="1" s="254">
      <c r="A10" s="1552" t="inlineStr">
        <is>
          <t>Construction PM as % of labour</t>
        </is>
      </c>
      <c r="B10" s="1390" t="n">
        <v>0.15</v>
      </c>
      <c r="C10" s="1289" t="n"/>
      <c r="D10" s="1289" t="n"/>
      <c r="E10" s="1289" t="n"/>
      <c r="F10" s="1289" t="n"/>
      <c r="G10" s="1289" t="n"/>
    </row>
    <row r="11" ht="15" customHeight="1" s="254">
      <c r="A11" s="1289" t="n"/>
      <c r="B11" s="1289" t="n"/>
      <c r="C11" s="1289" t="n"/>
      <c r="D11" s="1289" t="n"/>
      <c r="E11" s="1289" t="n"/>
      <c r="F11" s="1289" t="n"/>
      <c r="G11" s="1289" t="n"/>
    </row>
    <row r="12" ht="15" customHeight="1" s="254">
      <c r="A12" s="1308" t="inlineStr">
        <is>
          <t>Site works — enter quantities, leave blank to use the standard build</t>
        </is>
      </c>
    </row>
    <row r="13" ht="15" customHeight="1" s="254">
      <c r="A13" s="1556" t="inlineStr">
        <is>
          <t>Item</t>
        </is>
      </c>
      <c r="B13" s="1556" t="inlineStr">
        <is>
          <t>Quantity</t>
        </is>
      </c>
      <c r="C13" s="1556" t="inlineStr">
        <is>
          <t>Unit basis</t>
        </is>
      </c>
      <c r="D13" s="1556" t="inlineStr">
        <is>
          <t>Unit cost</t>
        </is>
      </c>
      <c r="E13" s="1556" t="inlineStr">
        <is>
          <t>Include?</t>
        </is>
      </c>
      <c r="F13" s="1556" t="inlineStr">
        <is>
          <t>Line total ($)</t>
        </is>
      </c>
      <c r="G13" s="1289" t="n"/>
    </row>
    <row r="14" ht="15" customHeight="1" s="254">
      <c r="A14" s="1392" t="inlineStr">
        <is>
          <t>Concrete (yd3)</t>
        </is>
      </c>
      <c r="B14" s="1553" t="n">
        <v>6</v>
      </c>
      <c r="C14" s="1302" t="inlineStr">
        <is>
          <t>Pads per cabinet</t>
        </is>
      </c>
      <c r="D14" s="1393" t="n">
        <v>193.54</v>
      </c>
      <c r="E14" s="1553" t="inlineStr">
        <is>
          <t>Y</t>
        </is>
      </c>
      <c r="F14" s="1394">
        <f>IF($E14="Y",N($B14)*N($D14),0)</f>
        <v/>
      </c>
      <c r="G14" s="1289" t="n"/>
    </row>
    <row r="15" ht="15" customHeight="1" s="254">
      <c r="A15" s="1392" t="inlineStr">
        <is>
          <t>Rebar (ea)</t>
        </is>
      </c>
      <c r="B15" s="1553" t="n"/>
      <c r="C15" s="1302" t="inlineStr">
        <is>
          <t>3 per cabinet</t>
        </is>
      </c>
      <c r="D15" s="1393" t="n">
        <v>25.65</v>
      </c>
      <c r="E15" s="1553" t="inlineStr">
        <is>
          <t>Y</t>
        </is>
      </c>
      <c r="F15" s="1394">
        <f>IF($E15="Y",N($B15)*N($D15),0)</f>
        <v/>
      </c>
      <c r="G15" s="1289" t="n"/>
    </row>
    <row r="16" ht="15" customHeight="1" s="254">
      <c r="A16" s="1392" t="inlineStr">
        <is>
          <t>Steel mesh roll (ea)</t>
        </is>
      </c>
      <c r="B16" s="1553" t="n"/>
      <c r="C16" s="1395" t="n"/>
      <c r="D16" s="1393" t="n">
        <v>169</v>
      </c>
      <c r="E16" s="1553" t="inlineStr">
        <is>
          <t>Y</t>
        </is>
      </c>
      <c r="F16" s="1394">
        <f>IF($E16="Y",N($B16)*N($D16),0)</f>
        <v/>
      </c>
      <c r="G16" s="1289" t="n"/>
    </row>
    <row r="17" ht="27.5" customHeight="1" s="254">
      <c r="A17" s="1392" t="inlineStr">
        <is>
          <t>Asphalt / paving (sq ft)</t>
        </is>
      </c>
      <c r="B17" s="1553" t="n">
        <v>400</v>
      </c>
      <c r="C17" s="1288" t="inlineStr">
        <is>
          <t>Trench restoration — $15/sq ft set by ZIE, 28 Aug 2026</t>
        </is>
      </c>
      <c r="D17" s="1393" t="n">
        <v>15</v>
      </c>
      <c r="E17" s="1553" t="inlineStr">
        <is>
          <t>Y</t>
        </is>
      </c>
      <c r="F17" s="1394">
        <f>IF($E17="Y",N($B17)*N($D17),0)</f>
        <v/>
      </c>
      <c r="G17" s="1289" t="n"/>
    </row>
    <row r="18" ht="15" customHeight="1" s="254">
      <c r="A18" s="1392" t="inlineStr">
        <is>
          <t>Striping (lot)</t>
        </is>
      </c>
      <c r="B18" s="1553" t="n"/>
      <c r="C18" s="1395" t="n"/>
      <c r="D18" s="1393" t="n">
        <v>1500</v>
      </c>
      <c r="E18" s="1553" t="inlineStr">
        <is>
          <t>Y</t>
        </is>
      </c>
      <c r="F18" s="1394">
        <f>IF($E18="Y",N($B18)*N($D18),0)</f>
        <v/>
      </c>
      <c r="G18" s="1289" t="n"/>
    </row>
    <row r="19" ht="15" customHeight="1" s="254">
      <c r="A19" s="1392" t="inlineStr">
        <is>
          <t>ADA stalls (ea)</t>
        </is>
      </c>
      <c r="B19" s="1553" t="n">
        <v>2</v>
      </c>
      <c r="C19" s="1302" t="inlineStr">
        <is>
          <t>2% of stalls, min 1</t>
        </is>
      </c>
      <c r="D19" s="1393" t="n">
        <v>4900</v>
      </c>
      <c r="E19" s="1553" t="inlineStr">
        <is>
          <t>Y</t>
        </is>
      </c>
      <c r="F19" s="1394">
        <f>IF($E19="Y",N($B19)*N($D19),0)</f>
        <v/>
      </c>
      <c r="G19" s="1289" t="n"/>
    </row>
    <row r="20" ht="15" customHeight="1" s="254">
      <c r="A20" s="1392" t="inlineStr">
        <is>
          <t>ADA ramp (ea)</t>
        </is>
      </c>
      <c r="B20" s="1553" t="n">
        <v>1</v>
      </c>
      <c r="C20" s="1395" t="n"/>
      <c r="D20" s="1393" t="n">
        <v>5200</v>
      </c>
      <c r="E20" s="1553" t="inlineStr">
        <is>
          <t>Y</t>
        </is>
      </c>
      <c r="F20" s="1394">
        <f>IF($E20="Y",N($B20)*N($D20),0)</f>
        <v/>
      </c>
      <c r="G20" s="1289" t="n"/>
    </row>
    <row r="21" ht="15" customHeight="1" s="254">
      <c r="A21" s="1392" t="inlineStr">
        <is>
          <t>Bollards (ea)</t>
        </is>
      </c>
      <c r="B21" s="1553" t="n">
        <v>12</v>
      </c>
      <c r="C21" s="1302" t="inlineStr">
        <is>
          <t>4 per DC cabinet / 2 + 6</t>
        </is>
      </c>
      <c r="D21" s="1393" t="n">
        <v>110</v>
      </c>
      <c r="E21" s="1553" t="inlineStr">
        <is>
          <t>Y</t>
        </is>
      </c>
      <c r="F21" s="1394">
        <f>IF($E21="Y",N($B21)*N($D21),0)</f>
        <v/>
      </c>
      <c r="G21" s="1289" t="n"/>
    </row>
    <row r="22" ht="15" customHeight="1" s="254">
      <c r="A22" s="1392" t="inlineStr">
        <is>
          <t>Signs (ea)</t>
        </is>
      </c>
      <c r="B22" s="1553" t="n"/>
      <c r="C22" s="1302" t="inlineStr">
        <is>
          <t>2 per DC cabinet</t>
        </is>
      </c>
      <c r="D22" s="1393" t="n">
        <v>40</v>
      </c>
      <c r="E22" s="1553" t="inlineStr">
        <is>
          <t>Y</t>
        </is>
      </c>
      <c r="F22" s="1394">
        <f>IF($E22="Y",N($B22)*N($D22),0)</f>
        <v/>
      </c>
      <c r="G22" s="1289" t="n"/>
    </row>
    <row r="23" ht="15" customHeight="1" s="254">
      <c r="A23" s="1392" t="inlineStr">
        <is>
          <t>Sign posts (ea)</t>
        </is>
      </c>
      <c r="B23" s="1553" t="n"/>
      <c r="C23" s="1395" t="n"/>
      <c r="D23" s="1393" t="n">
        <v>56.1</v>
      </c>
      <c r="E23" s="1553" t="inlineStr">
        <is>
          <t>Y</t>
        </is>
      </c>
      <c r="F23" s="1394">
        <f>IF($E23="Y",N($B23)*N($D23),0)</f>
        <v/>
      </c>
      <c r="G23" s="1289" t="n"/>
    </row>
    <row r="24" ht="15" customHeight="1" s="254">
      <c r="A24" s="1392" t="inlineStr">
        <is>
          <t>Switchgear sign (ea)</t>
        </is>
      </c>
      <c r="B24" s="1553" t="n"/>
      <c r="C24" s="1395" t="n"/>
      <c r="D24" s="1393" t="n">
        <v>150</v>
      </c>
      <c r="E24" s="1553" t="inlineStr">
        <is>
          <t>Y</t>
        </is>
      </c>
      <c r="F24" s="1394">
        <f>IF($E24="Y",N($B24)*N($D24),0)</f>
        <v/>
      </c>
      <c r="G24" s="1289" t="n"/>
    </row>
    <row r="25" ht="15" customHeight="1" s="254">
      <c r="A25" s="1392" t="inlineStr">
        <is>
          <t>GPR scan (ea)</t>
        </is>
      </c>
      <c r="B25" s="1553" t="n">
        <v>1</v>
      </c>
      <c r="C25" s="1302" t="inlineStr">
        <is>
          <t>Underground utility locate</t>
        </is>
      </c>
      <c r="D25" s="1393" t="n">
        <v>2500</v>
      </c>
      <c r="E25" s="1553" t="inlineStr">
        <is>
          <t>Y</t>
        </is>
      </c>
      <c r="F25" s="1394">
        <f>IF($E25="Y",N($B25)*N($D25),0)</f>
        <v/>
      </c>
      <c r="G25" s="1289" t="n"/>
    </row>
    <row r="26" ht="15" customHeight="1" s="254">
      <c r="A26" s="1392" t="inlineStr">
        <is>
          <t>GFI test (ea)</t>
        </is>
      </c>
      <c r="B26" s="1553" t="n">
        <v>1</v>
      </c>
      <c r="C26" s="1302" t="inlineStr">
        <is>
          <t>Required above 1000 sq ft gear area</t>
        </is>
      </c>
      <c r="D26" s="1393" t="n">
        <v>3500</v>
      </c>
      <c r="E26" s="1553" t="inlineStr">
        <is>
          <t>Y</t>
        </is>
      </c>
      <c r="F26" s="1394">
        <f>IF($E26="Y",N($B26)*N($D26),0)</f>
        <v/>
      </c>
      <c r="G26" s="1289" t="n"/>
    </row>
    <row r="27" ht="15" customHeight="1" s="254">
      <c r="A27" s="1392" t="inlineStr">
        <is>
          <t>Dump / disposal (lot)</t>
        </is>
      </c>
      <c r="B27" s="1553" t="n">
        <v>1</v>
      </c>
      <c r="C27" s="1302" t="inlineStr">
        <is>
          <t>Freight and disposal</t>
        </is>
      </c>
      <c r="D27" s="1393" t="n">
        <v>5000</v>
      </c>
      <c r="E27" s="1553" t="inlineStr">
        <is>
          <t>Y</t>
        </is>
      </c>
      <c r="F27" s="1394">
        <f>IF($E27="Y",N($B27)*N($D27),0)</f>
        <v/>
      </c>
      <c r="G27" s="1289" t="n"/>
    </row>
    <row r="28" ht="40" customHeight="1" s="254">
      <c r="A28" s="1552" t="inlineStr">
        <is>
          <t>Site works total ($)</t>
        </is>
      </c>
      <c r="B28" s="1392" t="n"/>
      <c r="C28" s="1396" t="inlineStr">
        <is>
          <t>Every line marked Y, quantity times unit cost — what the site works cost before the materials markup on row 72. The Pricing tab adds that markup and the discount; this row is the cost the table is built on.</t>
        </is>
      </c>
      <c r="D28" s="1397" t="n"/>
      <c r="E28" s="1398" t="n"/>
      <c r="F28" s="1347">
        <f>SUM($F$14:$F$27)</f>
        <v/>
      </c>
      <c r="G28" s="1289" t="n"/>
    </row>
    <row r="29" ht="15" customHeight="1" s="254">
      <c r="A29" s="1399" t="n"/>
      <c r="B29" s="1399" t="n"/>
      <c r="C29" s="1399" t="n"/>
      <c r="D29" s="1399" t="n"/>
      <c r="E29" s="1399" t="n"/>
      <c r="F29" s="1400" t="n"/>
      <c r="G29" s="1400" t="n"/>
    </row>
    <row r="30" ht="15" customHeight="1" s="254">
      <c r="A30" s="1289" t="n"/>
      <c r="B30" s="1289" t="n"/>
      <c r="C30" s="1289" t="n"/>
      <c r="D30" s="1289" t="n"/>
      <c r="E30" s="1289" t="n"/>
      <c r="F30" s="1289" t="n"/>
      <c r="G30" s="1289" t="n"/>
    </row>
    <row r="31" ht="15" customHeight="1" s="254">
      <c r="A31" s="1551" t="inlineStr">
        <is>
          <t>Design and engineering</t>
        </is>
      </c>
      <c r="B31" s="1289" t="n"/>
      <c r="C31" s="1289" t="n"/>
      <c r="D31" s="1289" t="n"/>
      <c r="E31" s="1289" t="n"/>
      <c r="F31" s="1289" t="n"/>
      <c r="G31" s="1289" t="n"/>
    </row>
    <row r="32" ht="27.5" customHeight="1" s="254">
      <c r="A32" s="1552" t="inlineStr">
        <is>
          <t>AutoCAD design — drawing sets</t>
        </is>
      </c>
      <c r="B32" s="1306" t="n">
        <v>3</v>
      </c>
      <c r="C32" s="1288" t="inlineStr">
        <is>
          <t>One issued drawing package: site plan, equipment layout, civil details.</t>
        </is>
      </c>
      <c r="D32" s="1393" t="n">
        <v>3412.5</v>
      </c>
      <c r="E32" s="1289" t="n"/>
      <c r="F32" s="1289" t="n"/>
      <c r="G32" s="1289" t="n"/>
    </row>
    <row r="33" ht="27.5" customHeight="1" s="254">
      <c r="A33" s="1294" t="inlineStr">
        <is>
          <t>Electrical engineering — drawing sets</t>
        </is>
      </c>
      <c r="B33" s="1306" t="n">
        <v>3</v>
      </c>
      <c r="C33" s="1288" t="inlineStr">
        <is>
          <t>One stamped electrical package: single-line, panel schedule, load calculation.</t>
        </is>
      </c>
      <c r="D33" s="1393" t="n">
        <v>2080</v>
      </c>
      <c r="E33" s="1289" t="n"/>
      <c r="F33" s="1289" t="n"/>
      <c r="G33" s="1289" t="n"/>
    </row>
    <row r="34" ht="27.5" customHeight="1" s="254">
      <c r="A34" s="1552" t="inlineStr">
        <is>
          <t>Project management — hours</t>
        </is>
      </c>
      <c r="B34" s="1306" t="n">
        <v>35</v>
      </c>
      <c r="C34" s="1288" t="inlineStr">
        <is>
          <t>Billed hourly across design, permitting and construction.</t>
        </is>
      </c>
      <c r="D34" s="1393" t="n">
        <v>358</v>
      </c>
      <c r="E34" s="1289" t="n"/>
      <c r="F34" s="1289" t="n"/>
      <c r="G34" s="1289" t="n"/>
    </row>
    <row r="35" ht="27.5" customHeight="1" s="254">
      <c r="A35" s="1552" t="inlineStr">
        <is>
          <t>Design and engineering total</t>
        </is>
      </c>
      <c r="B35" s="1347">
        <f>SUMPRODUCT($B$32:$B$34,$D$32:$D$34)</f>
        <v/>
      </c>
      <c r="C35" s="1348" t="inlineStr">
        <is>
          <t>Quantity in column B times the rate in column D. These are ZIE billing rates for work performed in house — change the rate here, not in a formula.</t>
        </is>
      </c>
    </row>
    <row r="36" ht="15" customHeight="1" s="254">
      <c r="A36" s="1289" t="n"/>
      <c r="B36" s="1289" t="n"/>
      <c r="C36" s="1289" t="n"/>
      <c r="D36" s="1289" t="n"/>
      <c r="E36" s="1289" t="n"/>
      <c r="F36" s="1289" t="n"/>
      <c r="G36" s="1289" t="n"/>
    </row>
    <row r="37" ht="29" customHeight="1" s="254">
      <c r="A37" s="1308" t="inlineStr">
        <is>
          <t>Equipment rentals — standard build, override durations if the job differs. The duration is in the unit of the rate: a monthly rate for one month is 1 and "month".</t>
        </is>
      </c>
    </row>
    <row r="38" ht="15" customHeight="1" s="254">
      <c r="A38" s="1556" t="inlineStr">
        <is>
          <t>Rental</t>
        </is>
      </c>
      <c r="B38" s="1556" t="inlineStr">
        <is>
          <t>Qty</t>
        </is>
      </c>
      <c r="C38" s="1556" t="inlineStr">
        <is>
          <t>Unit cost</t>
        </is>
      </c>
      <c r="D38" s="1556" t="inlineStr">
        <is>
          <t>Duration</t>
        </is>
      </c>
      <c r="E38" s="1556" t="inlineStr">
        <is>
          <t>Include?</t>
        </is>
      </c>
      <c r="F38" s="1556" t="inlineStr">
        <is>
          <t>Rate per</t>
        </is>
      </c>
      <c r="G38" s="1556" t="inlineStr">
        <is>
          <t>Line total ($)</t>
        </is>
      </c>
    </row>
    <row r="39" ht="15" customHeight="1" s="254">
      <c r="A39" s="1392" t="inlineStr">
        <is>
          <t>Fencing</t>
        </is>
      </c>
      <c r="B39" s="1553" t="n"/>
      <c r="C39" s="1393" t="n">
        <v>0.3</v>
      </c>
      <c r="D39" s="1553" t="n"/>
      <c r="E39" s="1553" t="inlineStr">
        <is>
          <t>Y</t>
        </is>
      </c>
      <c r="F39" s="1553" t="inlineStr">
        <is>
          <t>day</t>
        </is>
      </c>
      <c r="G39" s="1394">
        <f>IF($E39="Y",N($B39)*N($C39)*N($D39),0)</f>
        <v/>
      </c>
    </row>
    <row r="40" ht="15" customHeight="1" s="254">
      <c r="A40" s="1392" t="inlineStr">
        <is>
          <t>Mini x</t>
        </is>
      </c>
      <c r="B40" s="1553" t="n">
        <v>1</v>
      </c>
      <c r="C40" s="1393" t="n">
        <v>98.56666667</v>
      </c>
      <c r="D40" s="1553" t="n">
        <v>30</v>
      </c>
      <c r="E40" s="1553" t="inlineStr">
        <is>
          <t>Y</t>
        </is>
      </c>
      <c r="F40" s="1553" t="inlineStr">
        <is>
          <t>day</t>
        </is>
      </c>
      <c r="G40" s="1394">
        <f>IF($E40="Y",N($B40)*N($C40)*N($D40),0)</f>
        <v/>
      </c>
    </row>
    <row r="41" ht="15" customHeight="1" s="254">
      <c r="A41" s="1392" t="inlineStr">
        <is>
          <t>Dump Truck</t>
        </is>
      </c>
      <c r="B41" s="1553" t="n">
        <v>1</v>
      </c>
      <c r="C41" s="1393" t="n">
        <v>520</v>
      </c>
      <c r="D41" s="1553" t="n">
        <v>4</v>
      </c>
      <c r="E41" s="1553" t="inlineStr">
        <is>
          <t>Y</t>
        </is>
      </c>
      <c r="F41" s="1553" t="inlineStr">
        <is>
          <t>day</t>
        </is>
      </c>
      <c r="G41" s="1394">
        <f>IF($E41="Y",N($B41)*N($C41)*N($D41),0)</f>
        <v/>
      </c>
    </row>
    <row r="42" ht="15" customHeight="1" s="254">
      <c r="A42" s="1392" t="inlineStr">
        <is>
          <t>Forklift</t>
        </is>
      </c>
      <c r="B42" s="1553" t="n"/>
      <c r="C42" s="1393" t="n">
        <v>563</v>
      </c>
      <c r="D42" s="1553" t="n"/>
      <c r="E42" s="1553" t="inlineStr">
        <is>
          <t>Y</t>
        </is>
      </c>
      <c r="F42" s="1553" t="inlineStr">
        <is>
          <t>day</t>
        </is>
      </c>
      <c r="G42" s="1394">
        <f>IF($E42="Y",N($B42)*N($C42)*N($D42),0)</f>
        <v/>
      </c>
    </row>
    <row r="43" ht="15" customHeight="1" s="254">
      <c r="A43" s="1392" t="inlineStr">
        <is>
          <t>Trench Plates</t>
        </is>
      </c>
      <c r="B43" s="1553" t="n"/>
      <c r="C43" s="1393" t="n">
        <v>5.18</v>
      </c>
      <c r="D43" s="1553" t="n"/>
      <c r="E43" s="1553" t="inlineStr">
        <is>
          <t>Y</t>
        </is>
      </c>
      <c r="F43" s="1553" t="inlineStr">
        <is>
          <t>day</t>
        </is>
      </c>
      <c r="G43" s="1394">
        <f>IF($E43="Y",N($B43)*N($C43)*N($D43),0)</f>
        <v/>
      </c>
    </row>
    <row r="44" ht="15" customHeight="1" s="254">
      <c r="A44" s="1392" t="inlineStr">
        <is>
          <t>Storage container</t>
        </is>
      </c>
      <c r="B44" s="1553" t="n"/>
      <c r="C44" s="1393" t="n">
        <v>185</v>
      </c>
      <c r="D44" s="1553" t="n"/>
      <c r="E44" s="1553" t="inlineStr">
        <is>
          <t>Y</t>
        </is>
      </c>
      <c r="F44" s="1553" t="inlineStr">
        <is>
          <t>day</t>
        </is>
      </c>
      <c r="G44" s="1394">
        <f>IF($E44="Y",N($B44)*N($C44)*N($D44),0)</f>
        <v/>
      </c>
    </row>
    <row r="45" ht="15" customHeight="1" s="254">
      <c r="A45" s="1392" t="inlineStr">
        <is>
          <t>Portable restroom</t>
        </is>
      </c>
      <c r="B45" s="1553" t="n"/>
      <c r="C45" s="1393" t="n">
        <v>267</v>
      </c>
      <c r="D45" s="1553" t="n"/>
      <c r="E45" s="1553" t="inlineStr">
        <is>
          <t>Y</t>
        </is>
      </c>
      <c r="F45" s="1553" t="inlineStr">
        <is>
          <t>day</t>
        </is>
      </c>
      <c r="G45" s="1394">
        <f>IF($E45="Y",N($B45)*N($C45)*N($D45),0)</f>
        <v/>
      </c>
    </row>
    <row r="46" ht="15" customHeight="1" s="254">
      <c r="A46" s="1392" t="inlineStr">
        <is>
          <t>Low boi</t>
        </is>
      </c>
      <c r="B46" s="1553" t="n"/>
      <c r="C46" s="1393" t="n">
        <v>1000</v>
      </c>
      <c r="D46" s="1553" t="n"/>
      <c r="E46" s="1553" t="inlineStr">
        <is>
          <t>Y</t>
        </is>
      </c>
      <c r="F46" s="1553" t="inlineStr">
        <is>
          <t>day</t>
        </is>
      </c>
      <c r="G46" s="1394">
        <f>IF($E46="Y",N($B46)*N($C46)*N($D46),0)</f>
        <v/>
      </c>
    </row>
    <row r="47" ht="15" customHeight="1" s="254">
      <c r="A47" s="1392" t="inlineStr">
        <is>
          <t>Saw cutter</t>
        </is>
      </c>
      <c r="B47" s="1553" t="n"/>
      <c r="C47" s="1393" t="n">
        <v>169</v>
      </c>
      <c r="D47" s="1553" t="n"/>
      <c r="E47" s="1553" t="inlineStr">
        <is>
          <t>Y</t>
        </is>
      </c>
      <c r="F47" s="1553" t="inlineStr">
        <is>
          <t>day</t>
        </is>
      </c>
      <c r="G47" s="1394">
        <f>IF($E47="Y",N($B47)*N($C47)*N($D47),0)</f>
        <v/>
      </c>
    </row>
    <row r="48" ht="15" customHeight="1" s="254">
      <c r="A48" s="1392" t="inlineStr">
        <is>
          <t>Jack hammer</t>
        </is>
      </c>
      <c r="B48" s="1553" t="n"/>
      <c r="C48" s="1393" t="n">
        <v>155</v>
      </c>
      <c r="D48" s="1553" t="n"/>
      <c r="E48" s="1553" t="inlineStr">
        <is>
          <t>Y</t>
        </is>
      </c>
      <c r="F48" s="1553" t="inlineStr">
        <is>
          <t>day</t>
        </is>
      </c>
      <c r="G48" s="1394">
        <f>IF($E48="Y",N($B48)*N($C48)*N($D48),0)</f>
        <v/>
      </c>
    </row>
    <row r="49" ht="15" customHeight="1" s="254">
      <c r="A49" s="1392" t="inlineStr">
        <is>
          <t>Compactor</t>
        </is>
      </c>
      <c r="B49" s="1553" t="n"/>
      <c r="C49" s="1393" t="n">
        <v>175</v>
      </c>
      <c r="D49" s="1553" t="n"/>
      <c r="E49" s="1553" t="inlineStr">
        <is>
          <t>Y</t>
        </is>
      </c>
      <c r="F49" s="1553" t="inlineStr">
        <is>
          <t>day</t>
        </is>
      </c>
      <c r="G49" s="1394">
        <f>IF($E49="Y",N($B49)*N($C49)*N($D49),0)</f>
        <v/>
      </c>
    </row>
    <row r="50" ht="15" customHeight="1" s="254">
      <c r="A50" s="1392" t="inlineStr">
        <is>
          <t>Generator rental</t>
        </is>
      </c>
      <c r="B50" s="1553" t="n">
        <v>1</v>
      </c>
      <c r="C50" s="1393" t="n">
        <v>220</v>
      </c>
      <c r="D50" s="1553" t="n">
        <v>10</v>
      </c>
      <c r="E50" s="1553" t="inlineStr">
        <is>
          <t>Y</t>
        </is>
      </c>
      <c r="F50" s="1553" t="inlineStr">
        <is>
          <t>week</t>
        </is>
      </c>
      <c r="G50" s="1394">
        <f>IF($E50="Y",N($B50)*N($C50)*N($D50),0)</f>
        <v/>
      </c>
    </row>
    <row r="51" ht="15" customHeight="1" s="254">
      <c r="A51" s="1392" t="inlineStr">
        <is>
          <t>Dump trailer rental</t>
        </is>
      </c>
      <c r="B51" s="1553" t="n"/>
      <c r="C51" s="1393" t="n">
        <v>796.63</v>
      </c>
      <c r="D51" s="1553" t="n"/>
      <c r="E51" s="1553" t="inlineStr">
        <is>
          <t>Y</t>
        </is>
      </c>
      <c r="F51" s="1553" t="inlineStr">
        <is>
          <t>day</t>
        </is>
      </c>
      <c r="G51" s="1394">
        <f>IF($E51="Y",N($B51)*N($C51)*N($D51),0)</f>
        <v/>
      </c>
    </row>
    <row r="52" ht="15" customHeight="1" s="254">
      <c r="A52" s="1392" t="inlineStr">
        <is>
          <t>Equipment protection</t>
        </is>
      </c>
      <c r="B52" s="1553" t="n"/>
      <c r="C52" s="1393" t="n">
        <v>45</v>
      </c>
      <c r="D52" s="1553" t="n"/>
      <c r="E52" s="1553" t="inlineStr">
        <is>
          <t>Y</t>
        </is>
      </c>
      <c r="F52" s="1553" t="inlineStr">
        <is>
          <t>day</t>
        </is>
      </c>
      <c r="G52" s="1394">
        <f>IF($E52="Y",N($B52)*N($C52)*N($D52),0)</f>
        <v/>
      </c>
    </row>
    <row r="53" ht="40" customHeight="1" s="254">
      <c r="A53" s="1552" t="inlineStr">
        <is>
          <t>Equipment rentals total ($)</t>
        </is>
      </c>
      <c r="B53" s="1289" t="n"/>
      <c r="C53" s="1348" t="inlineStr">
        <is>
          <t>Every line marked Y, quantity times unit cost times duration — the rentals cost before the materials markup on row 72. When the Overrides tab carries a rentals figure the Pricing tab uses that instead.</t>
        </is>
      </c>
      <c r="G53" s="1347">
        <f>SUM($G$39:$G$52)</f>
        <v/>
      </c>
    </row>
    <row r="54" ht="29" customHeight="1" s="254">
      <c r="A54" s="1299" t="inlineStr">
        <is>
          <t>Removal and demolition — replacement sites only</t>
        </is>
      </c>
      <c r="B54" s="1289" t="n"/>
      <c r="C54" s="1289" t="n"/>
      <c r="D54" s="1289" t="n"/>
      <c r="E54" s="1289" t="n"/>
      <c r="F54" s="1289" t="n"/>
      <c r="G54" s="1289" t="n"/>
    </row>
    <row r="55" hidden="1" outlineLevel="1" ht="15" customHeight="1" s="254">
      <c r="A55" s="1309" t="inlineStr">
        <is>
          <t>Zero on a greenfield site. On a replacement site these quantities come from the Existing tab section H and are priced like any other construction line.</t>
        </is>
      </c>
    </row>
    <row r="56" hidden="1" outlineLevel="1" ht="15" customHeight="1" s="254">
      <c r="A56" s="1315" t="inlineStr">
        <is>
          <t>Item</t>
        </is>
      </c>
      <c r="B56" s="1315" t="inlineStr">
        <is>
          <t>Quantity</t>
        </is>
      </c>
      <c r="C56" s="1315" t="inlineStr">
        <is>
          <t>Source</t>
        </is>
      </c>
      <c r="D56" s="1315" t="n"/>
      <c r="E56" s="1315" t="n"/>
      <c r="F56" s="1315" t="n"/>
      <c r="G56" s="1315" t="n"/>
    </row>
    <row r="57" hidden="1" outlineLevel="1" ht="27.5" customHeight="1" s="254">
      <c r="A57" s="1318" t="inlineStr">
        <is>
          <t>Cabinets to disconnect and remove (ea)</t>
        </is>
      </c>
      <c r="B57" s="1345">
        <f>IF(Existing!$B$5="Greenfield — new service",0,Existing!$B$174)</f>
        <v/>
      </c>
      <c r="C57" s="1316" t="inlineStr">
        <is>
          <t>The Existing tab section H</t>
        </is>
      </c>
      <c r="D57" s="1289" t="n"/>
      <c r="E57" s="1289" t="n"/>
      <c r="F57" s="1289" t="n"/>
      <c r="G57" s="1289" t="n"/>
    </row>
    <row r="58" hidden="1" outlineLevel="1" ht="15" customHeight="1" s="254">
      <c r="A58" s="1316" t="inlineStr">
        <is>
          <t>Concrete pads to break out (ea)</t>
        </is>
      </c>
      <c r="B58" s="1345">
        <f>IF(Existing!$B$5="Greenfield — new service",0,Existing!$B$175)</f>
        <v/>
      </c>
      <c r="C58" s="1316" t="inlineStr">
        <is>
          <t>The Existing tab section H</t>
        </is>
      </c>
      <c r="D58" s="1289" t="n"/>
      <c r="E58" s="1289" t="n"/>
      <c r="F58" s="1289" t="n"/>
      <c r="G58" s="1289" t="n"/>
    </row>
    <row r="59" hidden="1" outlineLevel="1" ht="15" customHeight="1" s="254">
      <c r="A59" s="1316" t="inlineStr">
        <is>
          <t>Bollards to remove (ea)</t>
        </is>
      </c>
      <c r="B59" s="1345">
        <f>IF(Existing!$B$5="Greenfield — new service",0,Existing!$B$176)</f>
        <v/>
      </c>
      <c r="C59" s="1316" t="inlineStr">
        <is>
          <t>The Existing tab section H</t>
        </is>
      </c>
      <c r="D59" s="1289" t="n"/>
      <c r="E59" s="1289" t="n"/>
      <c r="F59" s="1289" t="n"/>
      <c r="G59" s="1289" t="n"/>
    </row>
    <row r="60" hidden="1" outlineLevel="1" ht="15" customHeight="1" s="254">
      <c r="A60" s="1316" t="inlineStr">
        <is>
          <t>Signage to remove (ea)</t>
        </is>
      </c>
      <c r="B60" s="1345">
        <f>IF(Existing!$B$5="Greenfield — new service",0,Existing!$B$177)</f>
        <v/>
      </c>
      <c r="C60" s="1316" t="inlineStr">
        <is>
          <t>The Existing tab section H</t>
        </is>
      </c>
      <c r="D60" s="1289" t="n"/>
      <c r="E60" s="1289" t="n"/>
      <c r="F60" s="1289" t="n"/>
      <c r="G60" s="1289" t="n"/>
    </row>
    <row r="61" hidden="1" outlineLevel="1" ht="15" customHeight="1" s="254">
      <c r="A61" s="1316" t="inlineStr">
        <is>
          <t>Disposal loads (ea)</t>
        </is>
      </c>
      <c r="B61" s="1345">
        <f>IF(Existing!$B$5="Greenfield — new service",0,Existing!$B$178)</f>
        <v/>
      </c>
      <c r="C61" s="1316" t="inlineStr">
        <is>
          <t>The Existing tab section H</t>
        </is>
      </c>
      <c r="D61" s="1289" t="n"/>
      <c r="E61" s="1289" t="n"/>
      <c r="F61" s="1289" t="n"/>
      <c r="G61" s="1289" t="n"/>
    </row>
    <row r="62" hidden="1" outlineLevel="1" ht="27.5" customHeight="1" s="254">
      <c r="A62" s="1318" t="inlineStr">
        <is>
          <t>Site protection and traffic control (days)</t>
        </is>
      </c>
      <c r="B62" s="1345">
        <f>IF(Existing!$B$5="Greenfield — new service",0,Existing!$B$182)</f>
        <v/>
      </c>
      <c r="C62" s="1316" t="inlineStr">
        <is>
          <t>The Existing tab section H</t>
        </is>
      </c>
      <c r="D62" s="1289" t="n"/>
      <c r="E62" s="1289" t="n"/>
      <c r="F62" s="1289" t="n"/>
      <c r="G62" s="1289" t="n"/>
    </row>
    <row r="63" hidden="1" outlineLevel="1" ht="15" customHeight="1" s="254">
      <c r="A63" s="1289" t="n"/>
      <c r="B63" s="1289" t="n"/>
      <c r="C63" s="1289" t="n"/>
      <c r="D63" s="1289" t="n"/>
      <c r="E63" s="1289" t="n"/>
      <c r="F63" s="1289" t="n"/>
      <c r="G63" s="1289" t="n"/>
    </row>
    <row r="64" hidden="1" outlineLevel="1" ht="40" customHeight="1" s="254">
      <c r="A64" s="1328" t="inlineStr">
        <is>
          <t>Removal crew days — INSIDE the crew days above</t>
        </is>
      </c>
      <c r="B64" s="1329">
        <f>IF(Existing!$B$5="Greenfield — new service",0,ROUND(N(Existing!$B$174)*0.5+N(Existing!$B$175)*0.75,0))</f>
        <v/>
      </c>
      <c r="C64" s="1309" t="inlineStr">
        <is>
          <t>ADVISORY ONLY. Removal overlaps the installation and is NEVER added to the crew days on the schedule above — a model that added them inflated labour by twelve days on a fifteen-day job. Use it to check the day count covers both.</t>
        </is>
      </c>
    </row>
    <row r="65" hidden="1" outlineLevel="1" ht="52.5" customHeight="1" s="254">
      <c r="A65" s="1328" t="inlineStr">
        <is>
          <t>Do the crew days leave room for the installation?</t>
        </is>
      </c>
      <c r="B65" s="1311">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1309" t="inlineStr">
        <is>
          <t>Removal is inside the crew days, so the crew days have to be big enough for the removal AND the installation.</t>
        </is>
      </c>
      <c r="F65" s="1289" t="n"/>
      <c r="G65" s="1289" t="n"/>
    </row>
    <row r="66" hidden="1" outlineLevel="1" ht="27.5" customHeight="1" s="254">
      <c r="A66" s="1547" t="inlineStr">
        <is>
          <t>Construction scope profile</t>
        </is>
      </c>
      <c r="B66" s="1311">
        <f>IF(Existing!$B$5="Greenfield — add load to existing service","GREENFIELD SITE WORKS ON AN EXISTING SERVICE — pads, trench and conduit from the existing switchgear; no service or transformer work",IF(Existing!$B$5="Greenfield — new service","GREENFIELD — full site works",IF(Existing!$B$17="RETAIN","PAD-AND-CHARGER SWAP — demolition, new pads, reinstatement and protection. No trenching, no paving beyond the pads.","PARTIAL — trenching required for the elements marked REPLACE")))</f>
        <v/>
      </c>
      <c r="C66" s="299" t="n"/>
      <c r="D66" s="1289" t="n"/>
      <c r="E66" s="1289" t="n"/>
      <c r="F66" s="1289" t="n"/>
      <c r="G66" s="1289" t="n"/>
    </row>
    <row r="67" hidden="1" outlineLevel="1" ht="27.5" customHeight="1" s="254">
      <c r="A67" s="1328" t="inlineStr">
        <is>
          <t>Does the site stay live during the works?</t>
        </is>
      </c>
      <c r="B67" s="1311">
        <f>IF(Existing!$B$181="Yes","PHASED PROGRAMME REQUIRED — temporary charging is not in the standard scope and must be priced separately",IF(Existing!$B$181="No","OK — the site can go dark during the works","not yet answered"))</f>
        <v/>
      </c>
      <c r="C67" s="299" t="n"/>
      <c r="D67" s="1289" t="n"/>
      <c r="E67" s="1289" t="n"/>
      <c r="F67" s="1289" t="n"/>
      <c r="G67" s="1289" t="n"/>
    </row>
    <row r="68" hidden="1" outlineLevel="1" ht="40" customHeight="1" s="254">
      <c r="A68" s="1328" t="inlineStr">
        <is>
          <t>Removal scope on a greenfield project?</t>
        </is>
      </c>
      <c r="B68" s="1401">
        <f>IF(AND(LEFT(Existing!$B$5,10)="Greenfield",N(Existing!$B$174)+N(Existing!$B$175)+N(Existing!$B$176)+N(Existing!$B$177)+N(Existing!$B$178)&gt;0),"ERROR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purpose.",IF(LEFT(Existing!$B$5,10)="Greenfield","OK — greenfield, and no removal scope has been entered","OK — replacement project, removal scope is priced"))</f>
        <v/>
      </c>
      <c r="F68" s="1289" t="n"/>
      <c r="G68" s="1289" t="n"/>
    </row>
    <row r="69" hidden="1" outlineLevel="1" ht="27.5" customHeight="1" s="254">
      <c r="A69" s="1312"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hidden="1" outlineLevel="1" ht="15" customHeight="1" s="254">
      <c r="A70" s="1289" t="n"/>
      <c r="B70" s="1289" t="n"/>
      <c r="C70" s="1289" t="n"/>
      <c r="D70" s="1289" t="n"/>
      <c r="E70" s="1289" t="n"/>
      <c r="F70" s="1289" t="n"/>
      <c r="G70" s="1289" t="n"/>
    </row>
    <row r="71" ht="15" customHeight="1" s="254">
      <c r="A71" s="1551" t="inlineStr">
        <is>
          <t>MARKUPS — WHAT TURNS COST INTO PRICE</t>
        </is>
      </c>
    </row>
    <row r="72" ht="27.5" customHeight="1" s="254">
      <c r="A72" s="1552" t="inlineStr">
        <is>
          <t>Markup on materials</t>
        </is>
      </c>
      <c r="B72" s="1402" t="n">
        <v>0.2</v>
      </c>
      <c r="C72" s="1288" t="inlineStr">
        <is>
          <t>Applies to switchgear, conductor, conduit, site works and construction rentals — everything priced from a rate rather than from a crew day. Set at 20%, matching the house markup on labour cost.</t>
        </is>
      </c>
    </row>
    <row r="73" ht="27.5" customHeight="1" s="254">
      <c r="A73" s="1552" t="inlineStr">
        <is>
          <t>Markup on labour</t>
        </is>
      </c>
      <c r="B73" s="1403">
        <f>$B$8</f>
        <v/>
      </c>
      <c r="C73" s="1288" t="inlineStr">
        <is>
          <t>Shown here for comparison only — the labour markup is still entered in the Labour block at the top of this tab. One input, one place.</t>
        </is>
      </c>
    </row>
    <row r="74" ht="15" customHeight="1" s="254">
      <c r="A74" s="1289" t="n"/>
      <c r="B74" s="1289" t="n"/>
      <c r="C74" s="1289" t="n"/>
      <c r="D74" s="1289" t="n"/>
      <c r="E74" s="1289" t="n"/>
      <c r="F74" s="1289" t="n"/>
      <c r="G74" s="1289" t="n"/>
    </row>
    <row r="75" ht="40" customHeight="1" s="254">
      <c r="A75" s="1288"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ht="15" customHeight="1" s="254">
      <c r="A76" s="1289" t="n"/>
      <c r="B76" s="1289" t="n"/>
      <c r="C76" s="1289" t="n"/>
      <c r="D76" s="1289" t="n"/>
      <c r="E76" s="1289" t="n"/>
      <c r="F76" s="1289" t="n"/>
      <c r="G76" s="1289" t="n"/>
    </row>
    <row r="77" ht="29" customHeight="1" s="254">
      <c r="A77" s="1299" t="inlineStr">
        <is>
          <t>UTILITY AND THIRD-PARTY FEES — PASS-THROUGH</t>
        </is>
      </c>
      <c r="B77" s="1289" t="n"/>
      <c r="C77" s="1289" t="n"/>
      <c r="D77" s="1289" t="n"/>
      <c r="E77" s="1289" t="n"/>
      <c r="F77" s="1289" t="n"/>
      <c r="G77" s="1289" t="n"/>
    </row>
    <row r="78" ht="40" customHeight="1" s="254">
      <c r="A78" s="1288"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ht="15" customHeight="1" s="254">
      <c r="A79" s="1289" t="n"/>
      <c r="B79" s="1289" t="n"/>
      <c r="C79" s="1289" t="n"/>
      <c r="D79" s="1289" t="n"/>
      <c r="E79" s="1289" t="n"/>
      <c r="F79" s="1289" t="n"/>
      <c r="G79" s="1289" t="n"/>
    </row>
    <row r="80" ht="15" customHeight="1" s="254">
      <c r="A80" s="1556" t="inlineStr">
        <is>
          <t>Fee</t>
        </is>
      </c>
      <c r="B80" s="1556" t="inlineStr">
        <is>
          <t>Quantity</t>
        </is>
      </c>
      <c r="C80" s="1556" t="inlineStr">
        <is>
          <t>Basis</t>
        </is>
      </c>
      <c r="D80" s="1556" t="inlineStr">
        <is>
          <t>Unit cost</t>
        </is>
      </c>
      <c r="E80" s="1556" t="inlineStr">
        <is>
          <t>Include?</t>
        </is>
      </c>
      <c r="F80" s="1289" t="n"/>
      <c r="G80" s="1289" t="n"/>
    </row>
    <row r="81" ht="15" customHeight="1" s="254">
      <c r="A81" s="1392" t="inlineStr">
        <is>
          <t>Permit and plan-check fees</t>
        </is>
      </c>
      <c r="B81" s="1305" t="n">
        <v>1</v>
      </c>
      <c r="C81" s="1302" t="inlineStr">
        <is>
          <t>AHJ — verify locally</t>
        </is>
      </c>
      <c r="D81" s="1393" t="n">
        <v>4000</v>
      </c>
      <c r="E81" s="1553" t="inlineStr">
        <is>
          <t>Y</t>
        </is>
      </c>
      <c r="F81" s="1289" t="n"/>
      <c r="G81" s="1289" t="n"/>
    </row>
    <row r="82" ht="15" customHeight="1" s="254">
      <c r="A82" s="1392" t="inlineStr">
        <is>
          <t>Utility contract fees</t>
        </is>
      </c>
      <c r="B82" s="1305" t="n">
        <v>1</v>
      </c>
      <c r="C82" s="1302" t="inlineStr">
        <is>
          <t>Application and contract</t>
        </is>
      </c>
      <c r="D82" s="1393" t="n">
        <v>3500</v>
      </c>
      <c r="E82" s="1553" t="inlineStr">
        <is>
          <t>Y</t>
        </is>
      </c>
      <c r="F82" s="1289" t="n"/>
      <c r="G82" s="1289" t="n"/>
    </row>
    <row r="83" ht="27.5" customHeight="1" s="254">
      <c r="A83" s="1404" t="inlineStr">
        <is>
          <t>Utility interconnection design and application fee</t>
        </is>
      </c>
      <c r="B83" s="1305" t="n">
        <v>1</v>
      </c>
      <c r="C83" s="1300" t="inlineStr">
        <is>
          <t>Entered on the Electrical tab — this row reads it. Pass-through at cost.</t>
        </is>
      </c>
      <c r="D83" s="1405">
        <f>Electrical!$B$161</f>
        <v/>
      </c>
      <c r="E83" s="1553" t="inlineStr">
        <is>
          <t>Y</t>
        </is>
      </c>
      <c r="F83" s="1289" t="n"/>
      <c r="G83" s="1289" t="n"/>
    </row>
    <row r="84" ht="40" customHeight="1" s="254">
      <c r="A84" s="1404" t="inlineStr">
        <is>
          <t>Utility line-extension contribution, if any</t>
        </is>
      </c>
      <c r="B84" s="1305" t="n">
        <v>0</v>
      </c>
      <c r="C84" s="1300" t="inlineStr">
        <is>
          <t>Whatever the serving utility charges the customer toward extending distribution or service. Zero until they say otherwise.</t>
        </is>
      </c>
      <c r="D84" s="1405">
        <f>Electrical!$B$164</f>
        <v/>
      </c>
      <c r="E84" s="1553" t="inlineStr">
        <is>
          <t>Y</t>
        </is>
      </c>
      <c r="F84" s="1289" t="n"/>
      <c r="G84" s="1289" t="n"/>
    </row>
    <row r="85" ht="15" customHeight="1" s="254">
      <c r="A85" s="1392" t="inlineStr">
        <is>
          <t>Fire department plan review</t>
        </is>
      </c>
      <c r="B85" s="1305" t="n">
        <v>1</v>
      </c>
      <c r="C85" s="1302" t="inlineStr">
        <is>
          <t>Fire district — common on DCFC sites</t>
        </is>
      </c>
      <c r="D85" s="1393" t="n">
        <v>850</v>
      </c>
      <c r="E85" s="1553" t="inlineStr">
        <is>
          <t>Y</t>
        </is>
      </c>
      <c r="F85" s="1289" t="n"/>
      <c r="G85" s="1289" t="n"/>
    </row>
    <row r="86" ht="27.5" customHeight="1" s="254">
      <c r="A86" s="1392" t="inlineStr">
        <is>
          <t>Encroachment / street-opening permit</t>
        </is>
      </c>
      <c r="B86" s="1305" t="n">
        <v>0</v>
      </c>
      <c r="C86" s="1288" t="inlineStr">
        <is>
          <t>Municipal, when trenching leaves the property</t>
        </is>
      </c>
      <c r="D86" s="1393" t="n">
        <v>0</v>
      </c>
      <c r="E86" s="1553" t="inlineStr">
        <is>
          <t>Y</t>
        </is>
      </c>
      <c r="F86" s="1289" t="n"/>
      <c r="G86" s="1289" t="n"/>
    </row>
    <row r="87" ht="15" customHeight="1" s="254">
      <c r="A87" s="1392" t="inlineStr">
        <is>
          <t>Electrical inspection fees</t>
        </is>
      </c>
      <c r="B87" s="1305" t="n">
        <v>0</v>
      </c>
      <c r="C87" s="1302" t="inlineStr">
        <is>
          <t>AHJ inspection, separate from plan check</t>
        </is>
      </c>
      <c r="D87" s="1393" t="n">
        <v>0</v>
      </c>
      <c r="E87" s="1553" t="inlineStr">
        <is>
          <t>Y</t>
        </is>
      </c>
      <c r="F87" s="1289" t="n"/>
      <c r="G87" s="1289" t="n"/>
    </row>
    <row r="88" ht="27.5" customHeight="1" s="254">
      <c r="A88" s="1392" t="inlineStr">
        <is>
          <t>Meter and service connection fee</t>
        </is>
      </c>
      <c r="B88" s="1305" t="n">
        <v>0</v>
      </c>
      <c r="C88" s="1288" t="inlineStr">
        <is>
          <t>Utility, if charged separately from Rule 29</t>
        </is>
      </c>
      <c r="D88" s="1393" t="n">
        <v>0</v>
      </c>
      <c r="E88" s="1553" t="inlineStr">
        <is>
          <t>Y</t>
        </is>
      </c>
      <c r="F88" s="1289" t="n"/>
      <c r="G88" s="1289" t="n"/>
    </row>
    <row r="89" ht="27.5" customHeight="1" s="254">
      <c r="A89" s="1406" t="inlineStr">
        <is>
          <t>Utility and third-party fees total</t>
        </is>
      </c>
      <c r="B89" s="1347">
        <f>SUMPRODUCT($B$81:$B$88,$D$81:$D$88)</f>
        <v/>
      </c>
      <c r="C89" s="1288" t="inlineStr">
        <is>
          <t>Billed to the client at exactly this figure. No markup, no discount, its own line on the bid.</t>
        </is>
      </c>
      <c r="E89" s="1289" t="n"/>
      <c r="F89" s="1289" t="n"/>
      <c r="G89" s="1289" t="n"/>
    </row>
    <row r="90" ht="15" customHeight="1" s="254">
      <c r="A90" s="1289" t="n"/>
      <c r="B90" s="1289" t="n"/>
      <c r="C90" s="1289" t="n"/>
      <c r="D90" s="1289" t="n"/>
      <c r="E90" s="1289" t="n"/>
      <c r="F90" s="1289" t="n"/>
      <c r="G90" s="1289" t="n"/>
    </row>
    <row r="91" ht="27.5" customHeight="1" s="254">
      <c r="A91" s="1407" t="inlineStr">
        <is>
          <t>Any fee left in the site-works table?</t>
        </is>
      </c>
      <c r="B91" s="1408">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22">
    <mergeCell ref="B68:E68"/>
    <mergeCell ref="C89:D89"/>
    <mergeCell ref="B66:C66"/>
    <mergeCell ref="C64:G64"/>
    <mergeCell ref="C73:G73"/>
    <mergeCell ref="C35:G35"/>
    <mergeCell ref="C53:F53"/>
    <mergeCell ref="B67:C67"/>
    <mergeCell ref="C28:E28"/>
    <mergeCell ref="A69:G69"/>
    <mergeCell ref="A78:G78"/>
    <mergeCell ref="C8:G8"/>
    <mergeCell ref="B91:G91"/>
    <mergeCell ref="A75:G75"/>
    <mergeCell ref="A37:G37"/>
    <mergeCell ref="A1:F1"/>
    <mergeCell ref="A55:G55"/>
    <mergeCell ref="C72:G72"/>
    <mergeCell ref="A12:G12"/>
    <mergeCell ref="A2:G2"/>
    <mergeCell ref="A71:G71"/>
    <mergeCell ref="C65:E65"/>
  </mergeCells>
  <dataValidations count="1">
    <dataValidation sqref="F39:F52" showDropDown="0" showInputMessage="0" showErrorMessage="0" allowBlank="1" type="list">
      <formula1>"day,week,month"</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36" customWidth="1" style="253" min="1" max="1"/>
    <col width="30" customWidth="1" style="253" min="2" max="2"/>
    <col width="56" customWidth="1" style="253" min="3" max="3"/>
    <col width="9" customWidth="1" style="253" min="4" max="4"/>
    <col width="9" customWidth="1" style="254" min="5" max="6"/>
  </cols>
  <sheetData>
    <row r="1" ht="15" customHeight="1" s="254">
      <c r="A1" s="1543" t="inlineStr">
        <is>
          <t>5 · COMMERCIAL TERMS</t>
        </is>
      </c>
    </row>
    <row r="2" ht="15" customHeight="1" s="254">
      <c r="A2" s="1288" t="inlineStr">
        <is>
          <t>Discounts, financing and the service and network term.</t>
        </is>
      </c>
    </row>
    <row r="3" ht="15" customHeight="1" s="254">
      <c r="A3" s="1289" t="n"/>
      <c r="B3" s="1289" t="n"/>
      <c r="C3" s="1289" t="n"/>
      <c r="D3" s="1289" t="n"/>
      <c r="E3" s="1289" t="n"/>
      <c r="F3" s="1289" t="n"/>
    </row>
    <row r="4" ht="29" customHeight="1" s="254">
      <c r="A4" s="1299" t="inlineStr">
        <is>
          <t>Discounts applied to customer price</t>
        </is>
      </c>
      <c r="B4" s="1289" t="n"/>
      <c r="C4" s="1289" t="n"/>
      <c r="D4" s="1289" t="n"/>
      <c r="E4" s="1289" t="n"/>
      <c r="F4" s="1289" t="n"/>
    </row>
    <row r="5" ht="15" customHeight="1" s="254">
      <c r="A5" s="1552" t="inlineStr">
        <is>
          <t>Charger hardware discount</t>
        </is>
      </c>
      <c r="B5" s="1402" t="n">
        <v>0.07000000000000001</v>
      </c>
      <c r="C5" s="1289" t="n"/>
      <c r="D5" s="1289" t="n"/>
      <c r="E5" s="1289" t="n"/>
      <c r="F5" s="1289" t="n"/>
    </row>
    <row r="6" ht="15" customHeight="1" s="254">
      <c r="A6" s="1552" t="inlineStr">
        <is>
          <t>Service and warranty discount</t>
        </is>
      </c>
      <c r="B6" s="1402" t="n">
        <v>0.07000000000000001</v>
      </c>
      <c r="C6" s="1289" t="n"/>
      <c r="D6" s="1289" t="n"/>
      <c r="E6" s="1289" t="n"/>
      <c r="F6" s="1289" t="n"/>
    </row>
    <row r="7" ht="15" customHeight="1" s="254">
      <c r="A7" s="1552" t="inlineStr">
        <is>
          <t>EVOLV and commissioning discount</t>
        </is>
      </c>
      <c r="B7" s="1402" t="n">
        <v>0</v>
      </c>
      <c r="C7" s="1289" t="n"/>
      <c r="D7" s="1289" t="n"/>
      <c r="E7" s="1289" t="n"/>
      <c r="F7" s="1289" t="n"/>
    </row>
    <row r="8" ht="40" customHeight="1" s="254">
      <c r="A8" s="1294" t="inlineStr">
        <is>
          <t>Labour and in-house services discount</t>
        </is>
      </c>
      <c r="B8" s="1402" t="n">
        <v>0.07000000000000001</v>
      </c>
      <c r="C8" s="1300" t="inlineStr">
        <is>
          <t>Applies ONLY to work ZIE performs: construction labour, construction project management, and design and engineering. It may never be applied to materials, to equipment rentals, or to any third-party or utility fee.</t>
        </is>
      </c>
    </row>
    <row r="9" ht="15" customHeight="1" s="254">
      <c r="A9" s="1552" t="inlineStr">
        <is>
          <t>Sales tax rate</t>
        </is>
      </c>
      <c r="B9" s="1409" t="n">
        <v>0.0725</v>
      </c>
      <c r="C9" s="1302" t="inlineStr">
        <is>
          <t>Applied to the DISCOUNTED equipment price</t>
        </is>
      </c>
      <c r="D9" s="1289" t="n"/>
      <c r="E9" s="1289" t="n"/>
      <c r="F9" s="1289" t="n"/>
    </row>
    <row r="10" ht="15" customHeight="1" s="254">
      <c r="A10" s="1289" t="n"/>
      <c r="B10" s="1289" t="n"/>
      <c r="C10" s="1289" t="n"/>
      <c r="D10" s="1289" t="n"/>
      <c r="E10" s="1289" t="n"/>
      <c r="F10" s="1289" t="n"/>
    </row>
    <row r="11" ht="15" customHeight="1" s="254">
      <c r="A11" s="1551" t="inlineStr">
        <is>
          <t>Service, warranty and network</t>
        </is>
      </c>
      <c r="B11" s="1289" t="n"/>
      <c r="C11" s="1289" t="n"/>
      <c r="D11" s="1289" t="n"/>
      <c r="E11" s="1289" t="n"/>
      <c r="F11" s="1289" t="n"/>
    </row>
    <row r="12" ht="15" customHeight="1" s="254">
      <c r="A12" s="1552" t="inlineStr">
        <is>
          <t>Contract length (years)</t>
        </is>
      </c>
      <c r="B12" s="1304" t="n">
        <v>5</v>
      </c>
      <c r="C12" s="1302" t="inlineStr">
        <is>
          <t>Years of service included in the price</t>
        </is>
      </c>
      <c r="D12" s="1289" t="n"/>
      <c r="E12" s="1289" t="n"/>
      <c r="F12" s="1289" t="n"/>
    </row>
    <row r="13" ht="15" customHeight="1" s="254">
      <c r="A13" s="1552" t="inlineStr">
        <is>
          <t>In-warranty years</t>
        </is>
      </c>
      <c r="B13" s="1306" t="n">
        <v>2</v>
      </c>
      <c r="C13" s="1302" t="inlineStr">
        <is>
          <t>Years billed at the in-warranty rate</t>
        </is>
      </c>
      <c r="D13" s="1289" t="n"/>
      <c r="E13" s="1289" t="n"/>
      <c r="F13" s="1289" t="n"/>
    </row>
    <row r="14" ht="15" customHeight="1" s="254">
      <c r="A14" s="1552" t="inlineStr">
        <is>
          <t>EVOLV network fee per port per month</t>
        </is>
      </c>
      <c r="B14" s="1330" t="n">
        <v>39.99</v>
      </c>
      <c r="C14" s="1289" t="n"/>
      <c r="D14" s="1289" t="n"/>
      <c r="E14" s="1289" t="n"/>
      <c r="F14" s="1289" t="n"/>
    </row>
    <row r="15" ht="15" customHeight="1" s="254">
      <c r="A15" s="1552" t="inlineStr">
        <is>
          <t>EVOLV annual cost</t>
        </is>
      </c>
      <c r="B15" s="1347">
        <f>Equipment!B22*B14*12</f>
        <v/>
      </c>
      <c r="C15" s="1302" t="inlineStr">
        <is>
          <t>Ports x rate x 12 — ports, never cabinets</t>
        </is>
      </c>
      <c r="D15" s="1289" t="n"/>
      <c r="E15" s="1289" t="n"/>
      <c r="F15" s="1289" t="n"/>
    </row>
    <row r="16" ht="15" customHeight="1" s="254">
      <c r="A16" s="1552" t="inlineStr">
        <is>
          <t>EVOLV cost across contract</t>
        </is>
      </c>
      <c r="B16" s="1410">
        <f>B15*B12</f>
        <v/>
      </c>
      <c r="C16" s="1289" t="n"/>
      <c r="D16" s="1289" t="n"/>
      <c r="E16" s="1289" t="n"/>
      <c r="F16" s="1289" t="n"/>
    </row>
    <row r="17" ht="65" customHeight="1" s="254">
      <c r="A17" s="1552" t="inlineStr">
        <is>
          <t>Renew service after the contract?</t>
        </is>
      </c>
      <c r="B17" s="1411" t="inlineStr">
        <is>
          <t>Yes</t>
        </is>
      </c>
      <c r="C17" s="1348"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row>
    <row r="18" ht="15" customHeight="1" s="254">
      <c r="A18" s="1551" t="inlineStr">
        <is>
          <t>Financing</t>
        </is>
      </c>
      <c r="B18" s="1289" t="n"/>
      <c r="C18" s="1289" t="n"/>
      <c r="D18" s="1289" t="n"/>
      <c r="E18" s="1289" t="n"/>
      <c r="F18" s="1289" t="n"/>
    </row>
    <row r="19" ht="15" customHeight="1" s="254">
      <c r="A19" s="1552" t="inlineStr">
        <is>
          <t>Financing offered?</t>
        </is>
      </c>
      <c r="B19" s="1553" t="inlineStr">
        <is>
          <t>Yes</t>
        </is>
      </c>
      <c r="C19" s="1289" t="n"/>
      <c r="D19" s="1289" t="n"/>
      <c r="E19" s="1289" t="n"/>
      <c r="F19" s="1289" t="n"/>
    </row>
    <row r="20" ht="15" customHeight="1" s="254">
      <c r="A20" s="1552" t="inlineStr">
        <is>
          <t>Lender</t>
        </is>
      </c>
      <c r="B20" s="1553" t="inlineStr">
        <is>
          <t>De Lage Landen</t>
        </is>
      </c>
      <c r="C20" s="1289" t="n"/>
      <c r="D20" s="1289" t="n"/>
      <c r="E20" s="1289" t="n"/>
      <c r="F20" s="1289" t="n"/>
    </row>
    <row r="21" ht="15" customHeight="1" s="254">
      <c r="A21" s="1552" t="inlineStr">
        <is>
          <t>Annual interest rate</t>
        </is>
      </c>
      <c r="B21" s="1409" t="n">
        <v>0.0839</v>
      </c>
      <c r="C21" s="1289" t="n"/>
      <c r="D21" s="1289" t="n"/>
      <c r="E21" s="1289" t="n"/>
      <c r="F21" s="1289" t="n"/>
    </row>
    <row r="22" ht="15" customHeight="1" s="254">
      <c r="A22" s="1552" t="inlineStr">
        <is>
          <t>Term (years)</t>
        </is>
      </c>
      <c r="B22" s="1304" t="n">
        <v>5</v>
      </c>
      <c r="C22" s="1289" t="n"/>
      <c r="D22" s="1289" t="n"/>
      <c r="E22" s="1289" t="n"/>
      <c r="F22" s="1289" t="n"/>
    </row>
    <row r="23" ht="15" customHeight="1" s="254">
      <c r="A23" s="1552" t="inlineStr">
        <is>
          <t>Payments per year</t>
        </is>
      </c>
      <c r="B23" s="1306" t="n">
        <v>12</v>
      </c>
      <c r="C23" s="1289" t="n"/>
      <c r="D23" s="1289" t="n"/>
      <c r="E23" s="1289" t="n"/>
      <c r="F23" s="1289" t="n"/>
    </row>
    <row r="24" ht="15" customHeight="1" s="254">
      <c r="A24" s="1552" t="inlineStr">
        <is>
          <t>Down payment</t>
        </is>
      </c>
      <c r="B24" s="1412" t="n">
        <v>0</v>
      </c>
      <c r="C24" s="1289" t="n"/>
      <c r="D24" s="1289" t="n"/>
      <c r="E24" s="1289" t="n"/>
      <c r="F24" s="1289" t="n"/>
    </row>
    <row r="25" ht="15" customHeight="1" s="254">
      <c r="A25" s="1552" t="inlineStr">
        <is>
          <t>Financing start date</t>
        </is>
      </c>
      <c r="B25" s="1562" t="n">
        <v>46296</v>
      </c>
      <c r="C25" s="1289" t="n"/>
      <c r="D25" s="1289" t="n"/>
      <c r="E25" s="1289" t="n"/>
      <c r="F25" s="1289" t="n"/>
    </row>
    <row r="26" ht="15" customHeight="1" s="254">
      <c r="A26" s="1289" t="n"/>
      <c r="B26" s="1289" t="n"/>
      <c r="C26" s="1289" t="n"/>
      <c r="D26" s="1289" t="n"/>
      <c r="E26" s="1289" t="n"/>
      <c r="F26" s="1289" t="n"/>
    </row>
    <row r="27" ht="15" customHeight="1" s="254">
      <c r="A27" s="1551" t="inlineStr">
        <is>
          <t>Analysis horizon</t>
        </is>
      </c>
      <c r="B27" s="1289" t="n"/>
      <c r="C27" s="1289" t="n"/>
      <c r="D27" s="1289" t="n"/>
      <c r="E27" s="1289" t="n"/>
      <c r="F27" s="1289" t="n"/>
    </row>
    <row r="28" ht="15" customHeight="1" s="254">
      <c r="A28" s="1552" t="inlineStr">
        <is>
          <t>Model horizon (years)</t>
        </is>
      </c>
      <c r="B28" s="1304" t="n">
        <v>10</v>
      </c>
      <c r="C28" s="1302" t="inlineStr">
        <is>
          <t>Use 10 — the carbon credit runs ten years</t>
        </is>
      </c>
      <c r="D28" s="1289" t="n"/>
      <c r="E28" s="1289" t="n"/>
      <c r="F28" s="1289" t="n"/>
    </row>
    <row r="29" ht="15" customHeight="1" s="254">
      <c r="A29" s="1552" t="inlineStr">
        <is>
          <t>Discount rate for NPV</t>
        </is>
      </c>
      <c r="B29" s="1409" t="n">
        <v>0.0839</v>
      </c>
      <c r="C29" s="1302" t="inlineStr">
        <is>
          <t>Default: the financing rate</t>
        </is>
      </c>
      <c r="D29" s="1289" t="n"/>
      <c r="E29" s="1289" t="n"/>
      <c r="F29" s="1289" t="n"/>
    </row>
  </sheetData>
  <sheetProtection selectLockedCells="0" selectUnlockedCells="0" sheet="1" objects="0" insertRows="1" insertHyperlinks="1" autoFilter="1" scenarios="0" formatColumns="0" deleteColumns="1" insertColumns="1" pivotTables="1" deleteRows="1" formatCells="0" formatRows="0" sort="1"/>
  <mergeCells count="4">
    <mergeCell ref="C8:F8"/>
    <mergeCell ref="A2:F2"/>
    <mergeCell ref="A1:F1"/>
    <mergeCell ref="C17:F17"/>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E7D5B"/>
    <outlinePr summaryBelow="1" summaryRight="1"/>
    <pageSetUpPr fitToPage="1"/>
  </sheetPr>
  <dimension ref="A1:H48"/>
  <sheetViews>
    <sheetView showGridLines="0" tabSelected="0" topLeftCell="A1" zoomScale="100" workbookViewId="0">
      <pane ySplit="4" topLeftCell="A5" activePane="bottomLeft" state="frozen"/>
      <selection pane="bottomLeft" activeCell="A5" sqref="A5"/>
    </sheetView>
  </sheetViews>
  <sheetFormatPr baseColWidth="8" defaultRowHeight="15"/>
  <cols>
    <col width="36" customWidth="1" style="254" min="1" max="1"/>
    <col width="16" customWidth="1" style="254" min="2" max="2"/>
    <col width="10" customWidth="1" style="254" min="3" max="3"/>
    <col width="14" customWidth="1" style="254" min="4" max="4"/>
    <col width="16" customWidth="1" style="254" min="5" max="5"/>
    <col width="38" customWidth="1" style="254" min="6" max="6"/>
    <col width="9" customWidth="1" style="254" min="7" max="7"/>
    <col width="9" customWidth="1" style="254" min="8" max="8"/>
  </cols>
  <sheetData>
    <row r="1" ht="15" customHeight="1" s="254">
      <c r="A1" s="1413" t="inlineStr">
        <is>
          <t>5B · PRICE BUILD-UP — what the Commercial tab's discounts do to every line (auto)</t>
        </is>
      </c>
      <c r="G1" s="1289" t="n"/>
      <c r="H1" s="1289" t="n"/>
    </row>
    <row r="2" ht="40" customHeight="1" s="254">
      <c r="A2" s="1288" t="inlineStr">
        <is>
          <t>Nothing on this tab is typed. Every line is computed from the same cells the model engine reads, the way the model's cost build-up computes it, so what you see here is the customer price the model will print. Discounts reach only what Zero Impact Energy performs or sells: materials, rentals and third-party fees are never discounted.</t>
        </is>
      </c>
      <c r="G2" s="1289" t="n"/>
      <c r="H2" s="1289" t="n"/>
    </row>
    <row r="3" ht="15" customHeight="1" s="254">
      <c r="A3" s="1289" t="n"/>
      <c r="B3" s="1289" t="n"/>
      <c r="C3" s="1289" t="n"/>
      <c r="D3" s="1289" t="n"/>
      <c r="E3" s="1289" t="n"/>
      <c r="F3" s="1289" t="n"/>
      <c r="G3" s="1289" t="n"/>
      <c r="H3" s="1289" t="n"/>
    </row>
    <row r="4" ht="27.5" customHeight="1" s="254">
      <c r="A4" s="1290" t="inlineStr">
        <is>
          <t>Line</t>
        </is>
      </c>
      <c r="B4" s="1290" t="inlineStr">
        <is>
          <t>List ($)</t>
        </is>
      </c>
      <c r="C4" s="1290" t="inlineStr">
        <is>
          <t>Discount</t>
        </is>
      </c>
      <c r="D4" s="1290" t="inlineStr">
        <is>
          <t>Discount ($)</t>
        </is>
      </c>
      <c r="E4" s="1361" t="inlineStr">
        <is>
          <t>Customer price ($)</t>
        </is>
      </c>
      <c r="F4" s="1290" t="inlineStr">
        <is>
          <t>Basis</t>
        </is>
      </c>
      <c r="G4" s="1289" t="n"/>
      <c r="H4" s="1289" t="n"/>
    </row>
    <row r="5" ht="27.5" customHeight="1" s="254">
      <c r="A5" s="1379" t="inlineStr">
        <is>
          <t>Charger hardware</t>
        </is>
      </c>
      <c r="B5" s="1389">
        <f>Equipment!$B$24</f>
        <v/>
      </c>
      <c r="C5" s="1414">
        <f>Commercial!$B$5</f>
        <v/>
      </c>
      <c r="D5" s="1366">
        <f>$B5-$E5</f>
        <v/>
      </c>
      <c r="E5" s="1389">
        <f>Equipment!$B$25</f>
        <v/>
      </c>
      <c r="F5" s="1102" t="inlineStr">
        <is>
          <t>Equipment schedule at price-book list; the discount is the Commercial tab's.</t>
        </is>
      </c>
      <c r="G5" s="299" t="n"/>
      <c r="H5" s="299" t="n"/>
    </row>
    <row r="6" ht="27.5" customHeight="1" s="254">
      <c r="A6" s="1379" t="inlineStr">
        <is>
          <t>Sales tax on equipment</t>
        </is>
      </c>
      <c r="B6" s="1389">
        <f>Equipment!$B$25*Commercial!$B$9</f>
        <v/>
      </c>
      <c r="C6" s="1415" t="n">
        <v>0</v>
      </c>
      <c r="D6" s="1366">
        <f>$B6-$E6</f>
        <v/>
      </c>
      <c r="E6" s="1389">
        <f>$B6*(1-$C6)</f>
        <v/>
      </c>
      <c r="F6" s="1102" t="inlineStr">
        <is>
          <t>On the discounted equipment, not on list. Collected and remitted; no margin.</t>
        </is>
      </c>
      <c r="G6" s="299" t="n"/>
      <c r="H6" s="299" t="n"/>
    </row>
    <row r="7" ht="27.5" customHeight="1" s="254">
      <c r="A7" s="1379" t="inlineStr">
        <is>
          <t>Service and extended warranty</t>
        </is>
      </c>
      <c r="B7" s="1389">
        <f>$B$40</f>
        <v/>
      </c>
      <c r="C7" s="1414">
        <f>Commercial!$B$6</f>
        <v/>
      </c>
      <c r="D7" s="1366">
        <f>$B7-$E7</f>
        <v/>
      </c>
      <c r="E7" s="1389">
        <f>$B7*(1-$C7)</f>
        <v/>
      </c>
      <c r="F7" s="1102" t="inlineStr">
        <is>
          <t>From the detail block below: price-book class rates x units x contract years.</t>
        </is>
      </c>
      <c r="G7" s="299" t="n"/>
      <c r="H7" s="299" t="n"/>
    </row>
    <row r="8" ht="15" customHeight="1" s="254">
      <c r="A8" s="1379" t="inlineStr">
        <is>
          <t>EVOLV network and commissioning</t>
        </is>
      </c>
      <c r="B8" s="1389">
        <f>Equipment!$B$22*Commercial!$B$14*12*Commercial!$B$12</f>
        <v/>
      </c>
      <c r="C8" s="1414">
        <f>Commercial!$B$7</f>
        <v/>
      </c>
      <c r="D8" s="1366">
        <f>$B8-$E8</f>
        <v/>
      </c>
      <c r="E8" s="1389">
        <f>$B8*(1-$C8)</f>
        <v/>
      </c>
      <c r="F8" s="1102" t="inlineStr">
        <is>
          <t>Ports x fee per port per month x 12 x contract years.</t>
        </is>
      </c>
      <c r="G8" s="299" t="n"/>
      <c r="H8" s="299" t="n"/>
    </row>
    <row r="9" ht="27.5" customHeight="1" s="254">
      <c r="A9" s="1379" t="inlineStr">
        <is>
          <t>Main switchgear and distribution</t>
        </is>
      </c>
      <c r="B9" s="1389">
        <f>Electrical!$B$148*(1+Construction!$B$72)</f>
        <v/>
      </c>
      <c r="C9" s="1415" t="n">
        <v>0</v>
      </c>
      <c r="D9" s="1366">
        <f>$B9-$E9</f>
        <v/>
      </c>
      <c r="E9" s="1389">
        <f>$B9*(1-$C9)</f>
        <v/>
      </c>
      <c r="F9" s="1102" t="inlineStr">
        <is>
          <t>The distribution schedule on the Electrical tab, plus the materials markup. Not discounted.</t>
        </is>
      </c>
      <c r="G9" s="299" t="n"/>
      <c r="H9" s="299" t="n"/>
    </row>
    <row r="10" ht="65" customHeight="1" s="254">
      <c r="A10" s="1379" t="inlineStr">
        <is>
          <t>Wire, conduit and peripherals</t>
        </is>
      </c>
      <c r="B10" s="1389">
        <f>(Electrical!$B$56+Electrical!$B$98+Electrical!$B$226)*(1+Construction!$B$72)</f>
        <v/>
      </c>
      <c r="C10" s="1415" t="n">
        <v>0</v>
      </c>
      <c r="D10" s="1366">
        <f>$B10-$E10</f>
        <v/>
      </c>
      <c r="E10" s="1389">
        <f>$B10*(1-$C10)</f>
        <v/>
      </c>
      <c r="F10" s="1102" t="inlineStr">
        <is>
          <t>Charger runs, dispenser runs and the distribution feeders between the items on the schedule, at RefData rates, plus the materials markup. Not discounted. A service feeder Zero Impact Energy provides is priced by the model on its own line.</t>
        </is>
      </c>
      <c r="G10" s="299" t="n"/>
      <c r="H10" s="299" t="n"/>
    </row>
    <row r="11" ht="27.5" customHeight="1" s="254">
      <c r="A11" s="1379" t="inlineStr">
        <is>
          <t>Site works</t>
        </is>
      </c>
      <c r="B11" s="1389">
        <f>SUMPRODUCT(--(Construction!$E$14:$E$27="Y"),Construction!$B$14:$B$27,Construction!$D$14:$D$27)*(1+Construction!$B$72)</f>
        <v/>
      </c>
      <c r="C11" s="1415" t="n">
        <v>0</v>
      </c>
      <c r="D11" s="1366">
        <f>$B11-$E11</f>
        <v/>
      </c>
      <c r="E11" s="1389">
        <f>$B11*(1-$C11)</f>
        <v/>
      </c>
      <c r="F11" s="1102" t="inlineStr">
        <is>
          <t>Included site-works items, quantity x unit cost, plus the materials markup. Not discounted.</t>
        </is>
      </c>
      <c r="G11" s="299" t="n"/>
      <c r="H11" s="299" t="n"/>
    </row>
    <row r="12" ht="27.5" customHeight="1" s="254">
      <c r="A12" s="1379" t="inlineStr">
        <is>
          <t>Construction equipment rentals</t>
        </is>
      </c>
      <c r="B12" s="1389">
        <f>IF(N(Overrides!$B$15)&gt;0,N(Overrides!$B$15),SUMPRODUCT(--(Construction!$E$39:$E$52="Y"),Construction!$B$39:$B$52,Construction!$C$39:$C$52,Construction!$D$39:$D$52))*(1+Construction!$B$72)</f>
        <v/>
      </c>
      <c r="C12" s="1415" t="n">
        <v>0</v>
      </c>
      <c r="D12" s="1366">
        <f>$B12-$E12</f>
        <v/>
      </c>
      <c r="E12" s="1389">
        <f>$B12*(1-$C12)</f>
        <v/>
      </c>
      <c r="F12" s="1102" t="inlineStr">
        <is>
          <t>Included rentals, qty x unit x days, plus the materials markup — or the override register's figure. Not discounted.</t>
        </is>
      </c>
      <c r="G12" s="299" t="n"/>
      <c r="H12" s="299" t="n"/>
    </row>
    <row r="13" ht="27.5" customHeight="1" s="254">
      <c r="A13" s="1379" t="inlineStr">
        <is>
          <t>Design and engineering</t>
        </is>
      </c>
      <c r="B13" s="1389">
        <f>IF(N(Overrides!$B$16)&gt;0,N(Overrides!$B$16),Construction!$B$35)</f>
        <v/>
      </c>
      <c r="C13" s="1414">
        <f>Commercial!$B$8</f>
        <v/>
      </c>
      <c r="D13" s="1366">
        <f>$B13-$E13</f>
        <v/>
      </c>
      <c r="E13" s="1389">
        <f>$B13*(1-$C13)</f>
        <v/>
      </c>
      <c r="F13" s="1102" t="inlineStr">
        <is>
          <t>Drawing sets and PM hours at the intake rates, or the override. In-house, so the labour discount applies.</t>
        </is>
      </c>
      <c r="G13" s="299" t="n"/>
      <c r="H13" s="299" t="n"/>
    </row>
    <row r="14" ht="27.5" customHeight="1" s="254">
      <c r="A14" s="1379" t="inlineStr">
        <is>
          <t>Labour</t>
        </is>
      </c>
      <c r="B14" s="1389">
        <f>Construction!$B$9</f>
        <v/>
      </c>
      <c r="C14" s="1414">
        <f>Commercial!$B$8</f>
        <v/>
      </c>
      <c r="D14" s="1366">
        <f>$B14-$E14</f>
        <v/>
      </c>
      <c r="E14" s="1389">
        <f>$B14*(1-$C14)</f>
        <v/>
      </c>
      <c r="F14" s="1102" t="inlineStr">
        <is>
          <t>Crew days x rate x contingency x markup. The labour discount applies.</t>
        </is>
      </c>
      <c r="G14" s="299" t="n"/>
      <c r="H14" s="299" t="n"/>
    </row>
    <row r="15" ht="15" customHeight="1" s="254">
      <c r="A15" s="1379" t="inlineStr">
        <is>
          <t>Construction project management</t>
        </is>
      </c>
      <c r="B15" s="1389">
        <f>$B$14*Construction!$B$10</f>
        <v/>
      </c>
      <c r="C15" s="1414">
        <f>Commercial!$B$8</f>
        <v/>
      </c>
      <c r="D15" s="1366">
        <f>$B15-$E15</f>
        <v/>
      </c>
      <c r="E15" s="1389">
        <f>$B15*(1-$C15)</f>
        <v/>
      </c>
      <c r="F15" s="1102" t="inlineStr">
        <is>
          <t>A percentage of labour. The labour discount applies.</t>
        </is>
      </c>
      <c r="G15" s="299" t="n"/>
      <c r="H15" s="299" t="n"/>
    </row>
    <row r="16" ht="15" customHeight="1" s="254">
      <c r="A16" s="1379" t="inlineStr">
        <is>
          <t>Utility and third-party fees</t>
        </is>
      </c>
      <c r="B16" s="1389">
        <f>Construction!$B$89</f>
        <v/>
      </c>
      <c r="C16" s="1415" t="n">
        <v>0</v>
      </c>
      <c r="D16" s="1366">
        <f>$B16-$E16</f>
        <v/>
      </c>
      <c r="E16" s="1389">
        <f>$B16*(1-$C16)</f>
        <v/>
      </c>
      <c r="F16" s="1102" t="inlineStr">
        <is>
          <t>Paid to others, billed at cost. No markup, no discount.</t>
        </is>
      </c>
      <c r="G16" s="299" t="n"/>
      <c r="H16" s="299" t="n"/>
    </row>
    <row r="17" ht="27.5" customHeight="1" s="254">
      <c r="A17" s="1379" t="inlineStr">
        <is>
          <t>Additional or unforeseen scope</t>
        </is>
      </c>
      <c r="B17" s="1389">
        <f>N(Overrides!$B$18)</f>
        <v/>
      </c>
      <c r="C17" s="1415" t="n">
        <v>0</v>
      </c>
      <c r="D17" s="1366">
        <f>$B17-$E17</f>
        <v/>
      </c>
      <c r="E17" s="1389">
        <f>$B17*(1-$C17)</f>
        <v/>
      </c>
      <c r="F17" s="902" t="inlineStr">
        <is>
          <t>From the override register; billed at cost.</t>
        </is>
      </c>
      <c r="G17" s="1289" t="n"/>
      <c r="H17" s="1289" t="n"/>
    </row>
    <row r="18" ht="27.5" customHeight="1" s="254">
      <c r="A18" s="1379" t="inlineStr">
        <is>
          <t>Utility line-extension contribution</t>
        </is>
      </c>
      <c r="B18" s="1389">
        <f>N(Overrides!$B$17)</f>
        <v/>
      </c>
      <c r="C18" s="1415" t="n">
        <v>0</v>
      </c>
      <c r="D18" s="1366">
        <f>$B18-$E18</f>
        <v/>
      </c>
      <c r="E18" s="1389">
        <f>$B18*(1-$C18)</f>
        <v/>
      </c>
      <c r="F18" s="1102" t="inlineStr">
        <is>
          <t>From the override register; paid to the utility, billed at cost.</t>
        </is>
      </c>
      <c r="G18" s="299" t="n"/>
      <c r="H18" s="299" t="n"/>
    </row>
    <row r="19" ht="15" customHeight="1" s="254">
      <c r="A19" s="1289" t="n"/>
      <c r="B19" s="1289" t="n"/>
      <c r="C19" s="1289" t="n"/>
      <c r="D19" s="1289" t="n"/>
      <c r="E19" s="1289" t="n"/>
      <c r="F19" s="1289" t="n"/>
      <c r="G19" s="1289" t="n"/>
      <c r="H19" s="1289" t="n"/>
    </row>
    <row r="20" ht="27.5" customHeight="1" s="254">
      <c r="A20" s="1416" t="inlineStr">
        <is>
          <t>GRAND TOTAL</t>
        </is>
      </c>
      <c r="B20" s="1417">
        <f>SUM($B$5:$B$18)</f>
        <v/>
      </c>
      <c r="C20" s="1416" t="n"/>
      <c r="D20" s="1417">
        <f>SUM($D$5:$D$18)</f>
        <v/>
      </c>
      <c r="E20" s="1417">
        <f>SUM($E$5:$E$18)</f>
        <v/>
      </c>
      <c r="F20" s="1106" t="inlineStr">
        <is>
          <t>List less discount equals the customer price. The model's price ties to column E.</t>
        </is>
      </c>
      <c r="G20" s="299" t="n"/>
      <c r="H20" s="299" t="n"/>
    </row>
    <row r="21" ht="15" customHeight="1" s="254">
      <c r="A21" s="1552" t="inlineStr">
        <is>
          <t>Overall discount</t>
        </is>
      </c>
      <c r="B21" s="1418">
        <f>IF(N($B$20)=0,0,$D$20/$B$20)</f>
        <v/>
      </c>
      <c r="C21" s="1360" t="inlineStr">
        <is>
          <t>Discount dollars over list.</t>
        </is>
      </c>
      <c r="G21" s="1289" t="n"/>
      <c r="H21" s="1289" t="n"/>
    </row>
    <row r="22" ht="27.5" customHeight="1" s="254">
      <c r="A22" s="1294" t="inlineStr">
        <is>
          <t>Already paid — down payment or milestone received</t>
        </is>
      </c>
      <c r="B22" s="1371">
        <f>Commercial!$B$24</f>
        <v/>
      </c>
      <c r="C22" s="1300" t="inlineStr">
        <is>
          <t>The Commercial tab's Down payment row: cash the client has already put in.</t>
        </is>
      </c>
      <c r="G22" s="1289" t="n"/>
      <c r="H22" s="1289" t="n"/>
    </row>
    <row r="23" ht="15" customHeight="1" s="254">
      <c r="A23" s="1552" t="inlineStr">
        <is>
          <t>Balance to finance</t>
        </is>
      </c>
      <c r="B23" s="1371">
        <f>$E$20-N(Commercial!$B$24)</f>
        <v/>
      </c>
      <c r="C23" s="1300" t="inlineStr">
        <is>
          <t>Customer price less what is already paid; the loan is on this.</t>
        </is>
      </c>
      <c r="G23" s="1289" t="n"/>
      <c r="H23" s="1289" t="n"/>
    </row>
    <row r="24" ht="15" customHeight="1" s="254">
      <c r="A24" s="1289" t="n"/>
      <c r="B24" s="1289" t="n"/>
      <c r="C24" s="1289" t="n"/>
      <c r="D24" s="1289" t="n"/>
      <c r="E24" s="1289" t="n"/>
      <c r="F24" s="1289" t="n"/>
      <c r="G24" s="1289" t="n"/>
      <c r="H24" s="1289" t="n"/>
    </row>
    <row r="25" ht="15" customHeight="1" s="254">
      <c r="A25" s="1308" t="inlineStr">
        <is>
          <t>Service and warranty — the class rates behind the line above</t>
        </is>
      </c>
    </row>
    <row r="26" ht="52.5" customHeight="1" s="254">
      <c r="A26" s="1300" t="inlineStr">
        <is>
          <t>Each equipment line is matched to the price book's service table the way the engine matches it: by SKU, else by "DC-&lt;kW&gt;kW", and a Level 2 unit by "AC Charger - &lt;kW&gt; kW ... Single/Dual". Inside the included manufacturer term only the service rate is charged; after it, warranty plus service. DC units use the Commercial tab's in-warranty years; Level 2 units use the term the price book states for their class.</t>
        </is>
      </c>
      <c r="G26" s="1289" t="n"/>
      <c r="H26" s="1289" t="n"/>
    </row>
    <row r="27" ht="27.5" customHeight="1" s="254">
      <c r="A27" s="1290" t="inlineStr">
        <is>
          <t>Equipment line</t>
        </is>
      </c>
      <c r="B27" s="1290" t="inlineStr">
        <is>
          <t>Units</t>
        </is>
      </c>
      <c r="C27" s="1361" t="inlineStr">
        <is>
          <t>Yrs in warranty</t>
        </is>
      </c>
      <c r="D27" s="1361" t="inlineStr">
        <is>
          <t>Rate, in warranty ($/unit/yr)</t>
        </is>
      </c>
      <c r="E27" s="1361" t="inlineStr">
        <is>
          <t>Rate after ($/unit/yr)</t>
        </is>
      </c>
      <c r="F27" s="1290" t="inlineStr">
        <is>
          <t>Class matched · cost at list ($)</t>
        </is>
      </c>
      <c r="G27" s="1289" t="n"/>
      <c r="H27" s="1289" t="n"/>
    </row>
    <row r="28" ht="15" customHeight="1" s="254">
      <c r="A28" s="1362">
        <f>IF(Equipment!$C$7="","","Line 1 · "&amp;Equipment!$C$7)</f>
        <v/>
      </c>
      <c r="B28" s="1373">
        <f>IF(AND(Equipment!$C$7&lt;&gt;"",OR(OR(Equipment!$E$7="all_in_one",Equipment!$E$7="power_cabinet"),Equipment!$E$7="level_2")),N(Equipment!$I$7),0)</f>
        <v/>
      </c>
      <c r="C28" s="1373">
        <f>IF($B28=0,0,IF(OR(Equipment!$E$7="all_in_one",Equipment!$E$7="power_cabinet"),N(Commercial!$B$13),IFERROR(VALUE(LEFT(INDEX(PriceBook!$G$97:$G$110,IFERROR(MATCH(Equipment!$C$7,PriceBook!$A$97:$A$110,0),IF(Equipment!$E$7="level_2",MATCH("AC Charger - "&amp;TEXT(Equipment!$F$7,"0.0")&amp;" kW*"&amp;IF(N(Equipment!$H$7)&gt;=2,"Dual","Single")&amp;"*",PriceBook!$A$97:$A$110,0),MATCH("DC-"&amp;TEXT(Equipment!$F$7,"0")&amp;"kW*",PriceBook!$A$97:$A$110,0)))),1)),0)))</f>
        <v/>
      </c>
      <c r="D28" s="1419">
        <f>IF($B28=0,0,IFERROR(N(INDEX(PriceBook!$D$97:$D$110,IFERROR(MATCH(Equipment!$C$7,PriceBook!$A$97:$A$110,0),IF(Equipment!$E$7="level_2",MATCH("AC Charger - "&amp;TEXT(Equipment!$F$7,"0.0")&amp;" kW*"&amp;IF(N(Equipment!$H$7)&gt;=2,"Dual","Single")&amp;"*",PriceBook!$A$97:$A$110,0),MATCH("DC-"&amp;TEXT(Equipment!$F$7,"0")&amp;"kW*",PriceBook!$A$97:$A$110,0))))),0))</f>
        <v/>
      </c>
      <c r="E28" s="1419">
        <f>IF($B28=0,0,IFERROR(N(INDEX(PriceBook!$E$97:$E$110,IFERROR(MATCH(Equipment!$C$7,PriceBook!$A$97:$A$110,0),IF(Equipment!$E$7="level_2",MATCH("AC Charger - "&amp;TEXT(Equipment!$F$7,"0.0")&amp;" kW*"&amp;IF(N(Equipment!$H$7)&gt;=2,"Dual","Single")&amp;"*",PriceBook!$A$97:$A$110,0),MATCH("DC-"&amp;TEXT(Equipment!$F$7,"0")&amp;"kW*",PriceBook!$A$97:$A$110,0))))),0))</f>
        <v/>
      </c>
      <c r="F28" s="1381">
        <f>IF($B28=0,"",IFERROR(INDEX(PriceBook!$A$97:$A$110,IFERROR(MATCH(Equipment!$C$7,PriceBook!$A$97:$A$110,0),IF(Equipment!$E$7="level_2",MATCH("AC Charger - "&amp;TEXT(Equipment!$F$7,"0.0")&amp;" kW*"&amp;IF(N(Equipment!$H$7)&gt;=2,"Dual","Single")&amp;"*",PriceBook!$A$97:$A$110,0),MATCH("DC-"&amp;TEXT(Equipment!$F$7,"0")&amp;"kW*",PriceBook!$A$97:$A$110,0))))&amp;" · "&amp;TEXT($B28*(MIN(N(Commercial!$B$12),$C28)*$D28+MAX(0,N(Commercial!$B$12)-$C28)*$E28),"$#,##0.00"),"NO SERVICE CLASS IN THE PRICE BOOK FOR THIS SKU — the line is unpriced"))</f>
        <v/>
      </c>
      <c r="G28" s="1289" t="n"/>
      <c r="H28" s="1289" t="n"/>
    </row>
    <row r="29" ht="15" customHeight="1" s="254">
      <c r="A29" s="1362">
        <f>IF(Equipment!$C$8="","","Line 2 · "&amp;Equipment!$C$8)</f>
        <v/>
      </c>
      <c r="B29" s="1373">
        <f>IF(AND(Equipment!$C$8&lt;&gt;"",OR(OR(Equipment!$E$8="all_in_one",Equipment!$E$8="power_cabinet"),Equipment!$E$8="level_2")),N(Equipment!$I$8),0)</f>
        <v/>
      </c>
      <c r="C29" s="1373">
        <f>IF($B29=0,0,IF(OR(Equipment!$E$8="all_in_one",Equipment!$E$8="power_cabinet"),N(Commercial!$B$13),IFERROR(VALUE(LEFT(INDEX(PriceBook!$G$97:$G$110,IFERROR(MATCH(Equipment!$C$8,PriceBook!$A$97:$A$110,0),IF(Equipment!$E$8="level_2",MATCH("AC Charger - "&amp;TEXT(Equipment!$F$8,"0.0")&amp;" kW*"&amp;IF(N(Equipment!$H$8)&gt;=2,"Dual","Single")&amp;"*",PriceBook!$A$97:$A$110,0),MATCH("DC-"&amp;TEXT(Equipment!$F$8,"0")&amp;"kW*",PriceBook!$A$97:$A$110,0)))),1)),0)))</f>
        <v/>
      </c>
      <c r="D29" s="1419">
        <f>IF($B29=0,0,IFERROR(N(INDEX(PriceBook!$D$97:$D$110,IFERROR(MATCH(Equipment!$C$8,PriceBook!$A$97:$A$110,0),IF(Equipment!$E$8="level_2",MATCH("AC Charger - "&amp;TEXT(Equipment!$F$8,"0.0")&amp;" kW*"&amp;IF(N(Equipment!$H$8)&gt;=2,"Dual","Single")&amp;"*",PriceBook!$A$97:$A$110,0),MATCH("DC-"&amp;TEXT(Equipment!$F$8,"0")&amp;"kW*",PriceBook!$A$97:$A$110,0))))),0))</f>
        <v/>
      </c>
      <c r="E29" s="1419">
        <f>IF($B29=0,0,IFERROR(N(INDEX(PriceBook!$E$97:$E$110,IFERROR(MATCH(Equipment!$C$8,PriceBook!$A$97:$A$110,0),IF(Equipment!$E$8="level_2",MATCH("AC Charger - "&amp;TEXT(Equipment!$F$8,"0.0")&amp;" kW*"&amp;IF(N(Equipment!$H$8)&gt;=2,"Dual","Single")&amp;"*",PriceBook!$A$97:$A$110,0),MATCH("DC-"&amp;TEXT(Equipment!$F$8,"0")&amp;"kW*",PriceBook!$A$97:$A$110,0))))),0))</f>
        <v/>
      </c>
      <c r="F29" s="1381">
        <f>IF($B29=0,"",IFERROR(INDEX(PriceBook!$A$97:$A$110,IFERROR(MATCH(Equipment!$C$8,PriceBook!$A$97:$A$110,0),IF(Equipment!$E$8="level_2",MATCH("AC Charger - "&amp;TEXT(Equipment!$F$8,"0.0")&amp;" kW*"&amp;IF(N(Equipment!$H$8)&gt;=2,"Dual","Single")&amp;"*",PriceBook!$A$97:$A$110,0),MATCH("DC-"&amp;TEXT(Equipment!$F$8,"0")&amp;"kW*",PriceBook!$A$97:$A$110,0))))&amp;" · "&amp;TEXT($B29*(MIN(N(Commercial!$B$12),$C29)*$D29+MAX(0,N(Commercial!$B$12)-$C29)*$E29),"$#,##0.00"),"NO SERVICE CLASS IN THE PRICE BOOK FOR THIS SKU — the line is unpriced"))</f>
        <v/>
      </c>
      <c r="G29" s="1289" t="n"/>
      <c r="H29" s="1289" t="n"/>
    </row>
    <row r="30" ht="15" customHeight="1" s="254">
      <c r="A30" s="1362">
        <f>IF(Equipment!$C$9="","","Line 3 · "&amp;Equipment!$C$9)</f>
        <v/>
      </c>
      <c r="B30" s="1373">
        <f>IF(AND(Equipment!$C$9&lt;&gt;"",OR(OR(Equipment!$E$9="all_in_one",Equipment!$E$9="power_cabinet"),Equipment!$E$9="level_2")),N(Equipment!$I$9),0)</f>
        <v/>
      </c>
      <c r="C30" s="1373">
        <f>IF($B30=0,0,IF(OR(Equipment!$E$9="all_in_one",Equipment!$E$9="power_cabinet"),N(Commercial!$B$13),IFERROR(VALUE(LEFT(INDEX(PriceBook!$G$97:$G$110,IFERROR(MATCH(Equipment!$C$9,PriceBook!$A$97:$A$110,0),IF(Equipment!$E$9="level_2",MATCH("AC Charger - "&amp;TEXT(Equipment!$F$9,"0.0")&amp;" kW*"&amp;IF(N(Equipment!$H$9)&gt;=2,"Dual","Single")&amp;"*",PriceBook!$A$97:$A$110,0),MATCH("DC-"&amp;TEXT(Equipment!$F$9,"0")&amp;"kW*",PriceBook!$A$97:$A$110,0)))),1)),0)))</f>
        <v/>
      </c>
      <c r="D30" s="1419">
        <f>IF($B30=0,0,IFERROR(N(INDEX(PriceBook!$D$97:$D$110,IFERROR(MATCH(Equipment!$C$9,PriceBook!$A$97:$A$110,0),IF(Equipment!$E$9="level_2",MATCH("AC Charger - "&amp;TEXT(Equipment!$F$9,"0.0")&amp;" kW*"&amp;IF(N(Equipment!$H$9)&gt;=2,"Dual","Single")&amp;"*",PriceBook!$A$97:$A$110,0),MATCH("DC-"&amp;TEXT(Equipment!$F$9,"0")&amp;"kW*",PriceBook!$A$97:$A$110,0))))),0))</f>
        <v/>
      </c>
      <c r="E30" s="1419">
        <f>IF($B30=0,0,IFERROR(N(INDEX(PriceBook!$E$97:$E$110,IFERROR(MATCH(Equipment!$C$9,PriceBook!$A$97:$A$110,0),IF(Equipment!$E$9="level_2",MATCH("AC Charger - "&amp;TEXT(Equipment!$F$9,"0.0")&amp;" kW*"&amp;IF(N(Equipment!$H$9)&gt;=2,"Dual","Single")&amp;"*",PriceBook!$A$97:$A$110,0),MATCH("DC-"&amp;TEXT(Equipment!$F$9,"0")&amp;"kW*",PriceBook!$A$97:$A$110,0))))),0))</f>
        <v/>
      </c>
      <c r="F30" s="1381">
        <f>IF($B30=0,"",IFERROR(INDEX(PriceBook!$A$97:$A$110,IFERROR(MATCH(Equipment!$C$9,PriceBook!$A$97:$A$110,0),IF(Equipment!$E$9="level_2",MATCH("AC Charger - "&amp;TEXT(Equipment!$F$9,"0.0")&amp;" kW*"&amp;IF(N(Equipment!$H$9)&gt;=2,"Dual","Single")&amp;"*",PriceBook!$A$97:$A$110,0),MATCH("DC-"&amp;TEXT(Equipment!$F$9,"0")&amp;"kW*",PriceBook!$A$97:$A$110,0))))&amp;" · "&amp;TEXT($B30*(MIN(N(Commercial!$B$12),$C30)*$D30+MAX(0,N(Commercial!$B$12)-$C30)*$E30),"$#,##0.00"),"NO SERVICE CLASS IN THE PRICE BOOK FOR THIS SKU — the line is unpriced"))</f>
        <v/>
      </c>
      <c r="G30" s="1289" t="n"/>
      <c r="H30" s="1289" t="n"/>
    </row>
    <row r="31" ht="15" customHeight="1" s="254">
      <c r="A31" s="1362">
        <f>IF(Equipment!$C$10="","","Line 4 · "&amp;Equipment!$C$10)</f>
        <v/>
      </c>
      <c r="B31" s="1373">
        <f>IF(AND(Equipment!$C$10&lt;&gt;"",OR(OR(Equipment!$E$10="all_in_one",Equipment!$E$10="power_cabinet"),Equipment!$E$10="level_2")),N(Equipment!$I$10),0)</f>
        <v/>
      </c>
      <c r="C31" s="1373">
        <f>IF($B31=0,0,IF(OR(Equipment!$E$10="all_in_one",Equipment!$E$10="power_cabinet"),N(Commercial!$B$13),IFERROR(VALUE(LEFT(INDEX(PriceBook!$G$97:$G$110,IFERROR(MATCH(Equipment!$C$10,PriceBook!$A$97:$A$110,0),IF(Equipment!$E$10="level_2",MATCH("AC Charger - "&amp;TEXT(Equipment!$F$10,"0.0")&amp;" kW*"&amp;IF(N(Equipment!$H$10)&gt;=2,"Dual","Single")&amp;"*",PriceBook!$A$97:$A$110,0),MATCH("DC-"&amp;TEXT(Equipment!$F$10,"0")&amp;"kW*",PriceBook!$A$97:$A$110,0)))),1)),0)))</f>
        <v/>
      </c>
      <c r="D31" s="1419">
        <f>IF($B31=0,0,IFERROR(N(INDEX(PriceBook!$D$97:$D$110,IFERROR(MATCH(Equipment!$C$10,PriceBook!$A$97:$A$110,0),IF(Equipment!$E$10="level_2",MATCH("AC Charger - "&amp;TEXT(Equipment!$F$10,"0.0")&amp;" kW*"&amp;IF(N(Equipment!$H$10)&gt;=2,"Dual","Single")&amp;"*",PriceBook!$A$97:$A$110,0),MATCH("DC-"&amp;TEXT(Equipment!$F$10,"0")&amp;"kW*",PriceBook!$A$97:$A$110,0))))),0))</f>
        <v/>
      </c>
      <c r="E31" s="1419">
        <f>IF($B31=0,0,IFERROR(N(INDEX(PriceBook!$E$97:$E$110,IFERROR(MATCH(Equipment!$C$10,PriceBook!$A$97:$A$110,0),IF(Equipment!$E$10="level_2",MATCH("AC Charger - "&amp;TEXT(Equipment!$F$10,"0.0")&amp;" kW*"&amp;IF(N(Equipment!$H$10)&gt;=2,"Dual","Single")&amp;"*",PriceBook!$A$97:$A$110,0),MATCH("DC-"&amp;TEXT(Equipment!$F$10,"0")&amp;"kW*",PriceBook!$A$97:$A$110,0))))),0))</f>
        <v/>
      </c>
      <c r="F31" s="1381">
        <f>IF($B31=0,"",IFERROR(INDEX(PriceBook!$A$97:$A$110,IFERROR(MATCH(Equipment!$C$10,PriceBook!$A$97:$A$110,0),IF(Equipment!$E$10="level_2",MATCH("AC Charger - "&amp;TEXT(Equipment!$F$10,"0.0")&amp;" kW*"&amp;IF(N(Equipment!$H$10)&gt;=2,"Dual","Single")&amp;"*",PriceBook!$A$97:$A$110,0),MATCH("DC-"&amp;TEXT(Equipment!$F$10,"0")&amp;"kW*",PriceBook!$A$97:$A$110,0))))&amp;" · "&amp;TEXT($B31*(MIN(N(Commercial!$B$12),$C31)*$D31+MAX(0,N(Commercial!$B$12)-$C31)*$E31),"$#,##0.00"),"NO SERVICE CLASS IN THE PRICE BOOK FOR THIS SKU — the line is unpriced"))</f>
        <v/>
      </c>
      <c r="G31" s="1289" t="n"/>
      <c r="H31" s="1289" t="n"/>
    </row>
    <row r="32" ht="15" customHeight="1" s="254">
      <c r="A32" s="1362">
        <f>IF(Equipment!$C$11="","","Line 5 · "&amp;Equipment!$C$11)</f>
        <v/>
      </c>
      <c r="B32" s="1373">
        <f>IF(AND(Equipment!$C$11&lt;&gt;"",OR(OR(Equipment!$E$11="all_in_one",Equipment!$E$11="power_cabinet"),Equipment!$E$11="level_2")),N(Equipment!$I$11),0)</f>
        <v/>
      </c>
      <c r="C32" s="1373">
        <f>IF($B32=0,0,IF(OR(Equipment!$E$11="all_in_one",Equipment!$E$11="power_cabinet"),N(Commercial!$B$13),IFERROR(VALUE(LEFT(INDEX(PriceBook!$G$97:$G$110,IFERROR(MATCH(Equipment!$C$11,PriceBook!$A$97:$A$110,0),IF(Equipment!$E$11="level_2",MATCH("AC Charger - "&amp;TEXT(Equipment!$F$11,"0.0")&amp;" kW*"&amp;IF(N(Equipment!$H$11)&gt;=2,"Dual","Single")&amp;"*",PriceBook!$A$97:$A$110,0),MATCH("DC-"&amp;TEXT(Equipment!$F$11,"0")&amp;"kW*",PriceBook!$A$97:$A$110,0)))),1)),0)))</f>
        <v/>
      </c>
      <c r="D32" s="1419">
        <f>IF($B32=0,0,IFERROR(N(INDEX(PriceBook!$D$97:$D$110,IFERROR(MATCH(Equipment!$C$11,PriceBook!$A$97:$A$110,0),IF(Equipment!$E$11="level_2",MATCH("AC Charger - "&amp;TEXT(Equipment!$F$11,"0.0")&amp;" kW*"&amp;IF(N(Equipment!$H$11)&gt;=2,"Dual","Single")&amp;"*",PriceBook!$A$97:$A$110,0),MATCH("DC-"&amp;TEXT(Equipment!$F$11,"0")&amp;"kW*",PriceBook!$A$97:$A$110,0))))),0))</f>
        <v/>
      </c>
      <c r="E32" s="1419">
        <f>IF($B32=0,0,IFERROR(N(INDEX(PriceBook!$E$97:$E$110,IFERROR(MATCH(Equipment!$C$11,PriceBook!$A$97:$A$110,0),IF(Equipment!$E$11="level_2",MATCH("AC Charger - "&amp;TEXT(Equipment!$F$11,"0.0")&amp;" kW*"&amp;IF(N(Equipment!$H$11)&gt;=2,"Dual","Single")&amp;"*",PriceBook!$A$97:$A$110,0),MATCH("DC-"&amp;TEXT(Equipment!$F$11,"0")&amp;"kW*",PriceBook!$A$97:$A$110,0))))),0))</f>
        <v/>
      </c>
      <c r="F32" s="1381">
        <f>IF($B32=0,"",IFERROR(INDEX(PriceBook!$A$97:$A$110,IFERROR(MATCH(Equipment!$C$11,PriceBook!$A$97:$A$110,0),IF(Equipment!$E$11="level_2",MATCH("AC Charger - "&amp;TEXT(Equipment!$F$11,"0.0")&amp;" kW*"&amp;IF(N(Equipment!$H$11)&gt;=2,"Dual","Single")&amp;"*",PriceBook!$A$97:$A$110,0),MATCH("DC-"&amp;TEXT(Equipment!$F$11,"0")&amp;"kW*",PriceBook!$A$97:$A$110,0))))&amp;" · "&amp;TEXT($B32*(MIN(N(Commercial!$B$12),$C32)*$D32+MAX(0,N(Commercial!$B$12)-$C32)*$E32),"$#,##0.00"),"NO SERVICE CLASS IN THE PRICE BOOK FOR THIS SKU — the line is unpriced"))</f>
        <v/>
      </c>
      <c r="G32" s="1289" t="n"/>
      <c r="H32" s="1289" t="n"/>
    </row>
    <row r="33" ht="15" customHeight="1" s="254">
      <c r="A33" s="1362">
        <f>IF(Equipment!$C$12="","","Line 6 · "&amp;Equipment!$C$12)</f>
        <v/>
      </c>
      <c r="B33" s="1373">
        <f>IF(AND(Equipment!$C$12&lt;&gt;"",OR(OR(Equipment!$E$12="all_in_one",Equipment!$E$12="power_cabinet"),Equipment!$E$12="level_2")),N(Equipment!$I$12),0)</f>
        <v/>
      </c>
      <c r="C33" s="1373">
        <f>IF($B33=0,0,IF(OR(Equipment!$E$12="all_in_one",Equipment!$E$12="power_cabinet"),N(Commercial!$B$13),IFERROR(VALUE(LEFT(INDEX(PriceBook!$G$97:$G$110,IFERROR(MATCH(Equipment!$C$12,PriceBook!$A$97:$A$110,0),IF(Equipment!$E$12="level_2",MATCH("AC Charger - "&amp;TEXT(Equipment!$F$12,"0.0")&amp;" kW*"&amp;IF(N(Equipment!$H$12)&gt;=2,"Dual","Single")&amp;"*",PriceBook!$A$97:$A$110,0),MATCH("DC-"&amp;TEXT(Equipment!$F$12,"0")&amp;"kW*",PriceBook!$A$97:$A$110,0)))),1)),0)))</f>
        <v/>
      </c>
      <c r="D33" s="1419">
        <f>IF($B33=0,0,IFERROR(N(INDEX(PriceBook!$D$97:$D$110,IFERROR(MATCH(Equipment!$C$12,PriceBook!$A$97:$A$110,0),IF(Equipment!$E$12="level_2",MATCH("AC Charger - "&amp;TEXT(Equipment!$F$12,"0.0")&amp;" kW*"&amp;IF(N(Equipment!$H$12)&gt;=2,"Dual","Single")&amp;"*",PriceBook!$A$97:$A$110,0),MATCH("DC-"&amp;TEXT(Equipment!$F$12,"0")&amp;"kW*",PriceBook!$A$97:$A$110,0))))),0))</f>
        <v/>
      </c>
      <c r="E33" s="1419">
        <f>IF($B33=0,0,IFERROR(N(INDEX(PriceBook!$E$97:$E$110,IFERROR(MATCH(Equipment!$C$12,PriceBook!$A$97:$A$110,0),IF(Equipment!$E$12="level_2",MATCH("AC Charger - "&amp;TEXT(Equipment!$F$12,"0.0")&amp;" kW*"&amp;IF(N(Equipment!$H$12)&gt;=2,"Dual","Single")&amp;"*",PriceBook!$A$97:$A$110,0),MATCH("DC-"&amp;TEXT(Equipment!$F$12,"0")&amp;"kW*",PriceBook!$A$97:$A$110,0))))),0))</f>
        <v/>
      </c>
      <c r="F33" s="1381">
        <f>IF($B33=0,"",IFERROR(INDEX(PriceBook!$A$97:$A$110,IFERROR(MATCH(Equipment!$C$12,PriceBook!$A$97:$A$110,0),IF(Equipment!$E$12="level_2",MATCH("AC Charger - "&amp;TEXT(Equipment!$F$12,"0.0")&amp;" kW*"&amp;IF(N(Equipment!$H$12)&gt;=2,"Dual","Single")&amp;"*",PriceBook!$A$97:$A$110,0),MATCH("DC-"&amp;TEXT(Equipment!$F$12,"0")&amp;"kW*",PriceBook!$A$97:$A$110,0))))&amp;" · "&amp;TEXT($B33*(MIN(N(Commercial!$B$12),$C33)*$D33+MAX(0,N(Commercial!$B$12)-$C33)*$E33),"$#,##0.00"),"NO SERVICE CLASS IN THE PRICE BOOK FOR THIS SKU — the line is unpriced"))</f>
        <v/>
      </c>
      <c r="G33" s="1289" t="n"/>
      <c r="H33" s="1289" t="n"/>
    </row>
    <row r="34" ht="15" customHeight="1" s="254">
      <c r="A34" s="1362">
        <f>IF(Equipment!$C$13="","","Line 7 · "&amp;Equipment!$C$13)</f>
        <v/>
      </c>
      <c r="B34" s="1373">
        <f>IF(AND(Equipment!$C$13&lt;&gt;"",OR(OR(Equipment!$E$13="all_in_one",Equipment!$E$13="power_cabinet"),Equipment!$E$13="level_2")),N(Equipment!$I$13),0)</f>
        <v/>
      </c>
      <c r="C34" s="1373">
        <f>IF($B34=0,0,IF(OR(Equipment!$E$13="all_in_one",Equipment!$E$13="power_cabinet"),N(Commercial!$B$13),IFERROR(VALUE(LEFT(INDEX(PriceBook!$G$97:$G$110,IFERROR(MATCH(Equipment!$C$13,PriceBook!$A$97:$A$110,0),IF(Equipment!$E$13="level_2",MATCH("AC Charger - "&amp;TEXT(Equipment!$F$13,"0.0")&amp;" kW*"&amp;IF(N(Equipment!$H$13)&gt;=2,"Dual","Single")&amp;"*",PriceBook!$A$97:$A$110,0),MATCH("DC-"&amp;TEXT(Equipment!$F$13,"0")&amp;"kW*",PriceBook!$A$97:$A$110,0)))),1)),0)))</f>
        <v/>
      </c>
      <c r="D34" s="1419">
        <f>IF($B34=0,0,IFERROR(N(INDEX(PriceBook!$D$97:$D$110,IFERROR(MATCH(Equipment!$C$13,PriceBook!$A$97:$A$110,0),IF(Equipment!$E$13="level_2",MATCH("AC Charger - "&amp;TEXT(Equipment!$F$13,"0.0")&amp;" kW*"&amp;IF(N(Equipment!$H$13)&gt;=2,"Dual","Single")&amp;"*",PriceBook!$A$97:$A$110,0),MATCH("DC-"&amp;TEXT(Equipment!$F$13,"0")&amp;"kW*",PriceBook!$A$97:$A$110,0))))),0))</f>
        <v/>
      </c>
      <c r="E34" s="1419">
        <f>IF($B34=0,0,IFERROR(N(INDEX(PriceBook!$E$97:$E$110,IFERROR(MATCH(Equipment!$C$13,PriceBook!$A$97:$A$110,0),IF(Equipment!$E$13="level_2",MATCH("AC Charger - "&amp;TEXT(Equipment!$F$13,"0.0")&amp;" kW*"&amp;IF(N(Equipment!$H$13)&gt;=2,"Dual","Single")&amp;"*",PriceBook!$A$97:$A$110,0),MATCH("DC-"&amp;TEXT(Equipment!$F$13,"0")&amp;"kW*",PriceBook!$A$97:$A$110,0))))),0))</f>
        <v/>
      </c>
      <c r="F34" s="1381">
        <f>IF($B34=0,"",IFERROR(INDEX(PriceBook!$A$97:$A$110,IFERROR(MATCH(Equipment!$C$13,PriceBook!$A$97:$A$110,0),IF(Equipment!$E$13="level_2",MATCH("AC Charger - "&amp;TEXT(Equipment!$F$13,"0.0")&amp;" kW*"&amp;IF(N(Equipment!$H$13)&gt;=2,"Dual","Single")&amp;"*",PriceBook!$A$97:$A$110,0),MATCH("DC-"&amp;TEXT(Equipment!$F$13,"0")&amp;"kW*",PriceBook!$A$97:$A$110,0))))&amp;" · "&amp;TEXT($B34*(MIN(N(Commercial!$B$12),$C34)*$D34+MAX(0,N(Commercial!$B$12)-$C34)*$E34),"$#,##0.00"),"NO SERVICE CLASS IN THE PRICE BOOK FOR THIS SKU — the line is unpriced"))</f>
        <v/>
      </c>
      <c r="G34" s="1289" t="n"/>
      <c r="H34" s="1289" t="n"/>
    </row>
    <row r="35" ht="15" customHeight="1" s="254">
      <c r="A35" s="1362">
        <f>IF(Equipment!$C$14="","","Line 8 · "&amp;Equipment!$C$14)</f>
        <v/>
      </c>
      <c r="B35" s="1373">
        <f>IF(AND(Equipment!$C$14&lt;&gt;"",OR(OR(Equipment!$E$14="all_in_one",Equipment!$E$14="power_cabinet"),Equipment!$E$14="level_2")),N(Equipment!$I$14),0)</f>
        <v/>
      </c>
      <c r="C35" s="1373">
        <f>IF($B35=0,0,IF(OR(Equipment!$E$14="all_in_one",Equipment!$E$14="power_cabinet"),N(Commercial!$B$13),IFERROR(VALUE(LEFT(INDEX(PriceBook!$G$97:$G$110,IFERROR(MATCH(Equipment!$C$14,PriceBook!$A$97:$A$110,0),IF(Equipment!$E$14="level_2",MATCH("AC Charger - "&amp;TEXT(Equipment!$F$14,"0.0")&amp;" kW*"&amp;IF(N(Equipment!$H$14)&gt;=2,"Dual","Single")&amp;"*",PriceBook!$A$97:$A$110,0),MATCH("DC-"&amp;TEXT(Equipment!$F$14,"0")&amp;"kW*",PriceBook!$A$97:$A$110,0)))),1)),0)))</f>
        <v/>
      </c>
      <c r="D35" s="1419">
        <f>IF($B35=0,0,IFERROR(N(INDEX(PriceBook!$D$97:$D$110,IFERROR(MATCH(Equipment!$C$14,PriceBook!$A$97:$A$110,0),IF(Equipment!$E$14="level_2",MATCH("AC Charger - "&amp;TEXT(Equipment!$F$14,"0.0")&amp;" kW*"&amp;IF(N(Equipment!$H$14)&gt;=2,"Dual","Single")&amp;"*",PriceBook!$A$97:$A$110,0),MATCH("DC-"&amp;TEXT(Equipment!$F$14,"0")&amp;"kW*",PriceBook!$A$97:$A$110,0))))),0))</f>
        <v/>
      </c>
      <c r="E35" s="1419">
        <f>IF($B35=0,0,IFERROR(N(INDEX(PriceBook!$E$97:$E$110,IFERROR(MATCH(Equipment!$C$14,PriceBook!$A$97:$A$110,0),IF(Equipment!$E$14="level_2",MATCH("AC Charger - "&amp;TEXT(Equipment!$F$14,"0.0")&amp;" kW*"&amp;IF(N(Equipment!$H$14)&gt;=2,"Dual","Single")&amp;"*",PriceBook!$A$97:$A$110,0),MATCH("DC-"&amp;TEXT(Equipment!$F$14,"0")&amp;"kW*",PriceBook!$A$97:$A$110,0))))),0))</f>
        <v/>
      </c>
      <c r="F35" s="1381">
        <f>IF($B35=0,"",IFERROR(INDEX(PriceBook!$A$97:$A$110,IFERROR(MATCH(Equipment!$C$14,PriceBook!$A$97:$A$110,0),IF(Equipment!$E$14="level_2",MATCH("AC Charger - "&amp;TEXT(Equipment!$F$14,"0.0")&amp;" kW*"&amp;IF(N(Equipment!$H$14)&gt;=2,"Dual","Single")&amp;"*",PriceBook!$A$97:$A$110,0),MATCH("DC-"&amp;TEXT(Equipment!$F$14,"0")&amp;"kW*",PriceBook!$A$97:$A$110,0))))&amp;" · "&amp;TEXT($B35*(MIN(N(Commercial!$B$12),$C35)*$D35+MAX(0,N(Commercial!$B$12)-$C35)*$E35),"$#,##0.00"),"NO SERVICE CLASS IN THE PRICE BOOK FOR THIS SKU — the line is unpriced"))</f>
        <v/>
      </c>
      <c r="G35" s="1289" t="n"/>
      <c r="H35" s="1289" t="n"/>
    </row>
    <row r="36" ht="15" customHeight="1" s="254">
      <c r="A36" s="1362">
        <f>IF(Equipment!$C$15="","","Line 9 · "&amp;Equipment!$C$15)</f>
        <v/>
      </c>
      <c r="B36" s="1373">
        <f>IF(AND(Equipment!$C$15&lt;&gt;"",OR(OR(Equipment!$E$15="all_in_one",Equipment!$E$15="power_cabinet"),Equipment!$E$15="level_2")),N(Equipment!$I$15),0)</f>
        <v/>
      </c>
      <c r="C36" s="1373">
        <f>IF($B36=0,0,IF(OR(Equipment!$E$15="all_in_one",Equipment!$E$15="power_cabinet"),N(Commercial!$B$13),IFERROR(VALUE(LEFT(INDEX(PriceBook!$G$97:$G$110,IFERROR(MATCH(Equipment!$C$15,PriceBook!$A$97:$A$110,0),IF(Equipment!$E$15="level_2",MATCH("AC Charger - "&amp;TEXT(Equipment!$F$15,"0.0")&amp;" kW*"&amp;IF(N(Equipment!$H$15)&gt;=2,"Dual","Single")&amp;"*",PriceBook!$A$97:$A$110,0),MATCH("DC-"&amp;TEXT(Equipment!$F$15,"0")&amp;"kW*",PriceBook!$A$97:$A$110,0)))),1)),0)))</f>
        <v/>
      </c>
      <c r="D36" s="1419">
        <f>IF($B36=0,0,IFERROR(N(INDEX(PriceBook!$D$97:$D$110,IFERROR(MATCH(Equipment!$C$15,PriceBook!$A$97:$A$110,0),IF(Equipment!$E$15="level_2",MATCH("AC Charger - "&amp;TEXT(Equipment!$F$15,"0.0")&amp;" kW*"&amp;IF(N(Equipment!$H$15)&gt;=2,"Dual","Single")&amp;"*",PriceBook!$A$97:$A$110,0),MATCH("DC-"&amp;TEXT(Equipment!$F$15,"0")&amp;"kW*",PriceBook!$A$97:$A$110,0))))),0))</f>
        <v/>
      </c>
      <c r="E36" s="1419">
        <f>IF($B36=0,0,IFERROR(N(INDEX(PriceBook!$E$97:$E$110,IFERROR(MATCH(Equipment!$C$15,PriceBook!$A$97:$A$110,0),IF(Equipment!$E$15="level_2",MATCH("AC Charger - "&amp;TEXT(Equipment!$F$15,"0.0")&amp;" kW*"&amp;IF(N(Equipment!$H$15)&gt;=2,"Dual","Single")&amp;"*",PriceBook!$A$97:$A$110,0),MATCH("DC-"&amp;TEXT(Equipment!$F$15,"0")&amp;"kW*",PriceBook!$A$97:$A$110,0))))),0))</f>
        <v/>
      </c>
      <c r="F36" s="1381">
        <f>IF($B36=0,"",IFERROR(INDEX(PriceBook!$A$97:$A$110,IFERROR(MATCH(Equipment!$C$15,PriceBook!$A$97:$A$110,0),IF(Equipment!$E$15="level_2",MATCH("AC Charger - "&amp;TEXT(Equipment!$F$15,"0.0")&amp;" kW*"&amp;IF(N(Equipment!$H$15)&gt;=2,"Dual","Single")&amp;"*",PriceBook!$A$97:$A$110,0),MATCH("DC-"&amp;TEXT(Equipment!$F$15,"0")&amp;"kW*",PriceBook!$A$97:$A$110,0))))&amp;" · "&amp;TEXT($B36*(MIN(N(Commercial!$B$12),$C36)*$D36+MAX(0,N(Commercial!$B$12)-$C36)*$E36),"$#,##0.00"),"NO SERVICE CLASS IN THE PRICE BOOK FOR THIS SKU — the line is unpriced"))</f>
        <v/>
      </c>
      <c r="G36" s="1289" t="n"/>
      <c r="H36" s="1289" t="n"/>
    </row>
    <row r="37" ht="15" customHeight="1" s="254">
      <c r="A37" s="1362">
        <f>IF(Equipment!$C$16="","","Line 10 · "&amp;Equipment!$C$16)</f>
        <v/>
      </c>
      <c r="B37" s="1373">
        <f>IF(AND(Equipment!$C$16&lt;&gt;"",OR(OR(Equipment!$E$16="all_in_one",Equipment!$E$16="power_cabinet"),Equipment!$E$16="level_2")),N(Equipment!$I$16),0)</f>
        <v/>
      </c>
      <c r="C37" s="1373">
        <f>IF($B37=0,0,IF(OR(Equipment!$E$16="all_in_one",Equipment!$E$16="power_cabinet"),N(Commercial!$B$13),IFERROR(VALUE(LEFT(INDEX(PriceBook!$G$97:$G$110,IFERROR(MATCH(Equipment!$C$16,PriceBook!$A$97:$A$110,0),IF(Equipment!$E$16="level_2",MATCH("AC Charger - "&amp;TEXT(Equipment!$F$16,"0.0")&amp;" kW*"&amp;IF(N(Equipment!$H$16)&gt;=2,"Dual","Single")&amp;"*",PriceBook!$A$97:$A$110,0),MATCH("DC-"&amp;TEXT(Equipment!$F$16,"0")&amp;"kW*",PriceBook!$A$97:$A$110,0)))),1)),0)))</f>
        <v/>
      </c>
      <c r="D37" s="1419">
        <f>IF($B37=0,0,IFERROR(N(INDEX(PriceBook!$D$97:$D$110,IFERROR(MATCH(Equipment!$C$16,PriceBook!$A$97:$A$110,0),IF(Equipment!$E$16="level_2",MATCH("AC Charger - "&amp;TEXT(Equipment!$F$16,"0.0")&amp;" kW*"&amp;IF(N(Equipment!$H$16)&gt;=2,"Dual","Single")&amp;"*",PriceBook!$A$97:$A$110,0),MATCH("DC-"&amp;TEXT(Equipment!$F$16,"0")&amp;"kW*",PriceBook!$A$97:$A$110,0))))),0))</f>
        <v/>
      </c>
      <c r="E37" s="1419">
        <f>IF($B37=0,0,IFERROR(N(INDEX(PriceBook!$E$97:$E$110,IFERROR(MATCH(Equipment!$C$16,PriceBook!$A$97:$A$110,0),IF(Equipment!$E$16="level_2",MATCH("AC Charger - "&amp;TEXT(Equipment!$F$16,"0.0")&amp;" kW*"&amp;IF(N(Equipment!$H$16)&gt;=2,"Dual","Single")&amp;"*",PriceBook!$A$97:$A$110,0),MATCH("DC-"&amp;TEXT(Equipment!$F$16,"0")&amp;"kW*",PriceBook!$A$97:$A$110,0))))),0))</f>
        <v/>
      </c>
      <c r="F37" s="1381">
        <f>IF($B37=0,"",IFERROR(INDEX(PriceBook!$A$97:$A$110,IFERROR(MATCH(Equipment!$C$16,PriceBook!$A$97:$A$110,0),IF(Equipment!$E$16="level_2",MATCH("AC Charger - "&amp;TEXT(Equipment!$F$16,"0.0")&amp;" kW*"&amp;IF(N(Equipment!$H$16)&gt;=2,"Dual","Single")&amp;"*",PriceBook!$A$97:$A$110,0),MATCH("DC-"&amp;TEXT(Equipment!$F$16,"0")&amp;"kW*",PriceBook!$A$97:$A$110,0))))&amp;" · "&amp;TEXT($B37*(MIN(N(Commercial!$B$12),$C37)*$D37+MAX(0,N(Commercial!$B$12)-$C37)*$E37),"$#,##0.00"),"NO SERVICE CLASS IN THE PRICE BOOK FOR THIS SKU — the line is unpriced"))</f>
        <v/>
      </c>
      <c r="G37" s="1289" t="n"/>
      <c r="H37" s="1289" t="n"/>
    </row>
    <row r="38" ht="15" customHeight="1" s="254">
      <c r="A38" s="1362">
        <f>IF(Equipment!$C$17="","","Line 11 · "&amp;Equipment!$C$17)</f>
        <v/>
      </c>
      <c r="B38" s="1373">
        <f>IF(AND(Equipment!$C$17&lt;&gt;"",OR(OR(Equipment!$E$17="all_in_one",Equipment!$E$17="power_cabinet"),Equipment!$E$17="level_2")),N(Equipment!$I$17),0)</f>
        <v/>
      </c>
      <c r="C38" s="1373">
        <f>IF($B38=0,0,IF(OR(Equipment!$E$17="all_in_one",Equipment!$E$17="power_cabinet"),N(Commercial!$B$13),IFERROR(VALUE(LEFT(INDEX(PriceBook!$G$97:$G$110,IFERROR(MATCH(Equipment!$C$17,PriceBook!$A$97:$A$110,0),IF(Equipment!$E$17="level_2",MATCH("AC Charger - "&amp;TEXT(Equipment!$F$17,"0.0")&amp;" kW*"&amp;IF(N(Equipment!$H$17)&gt;=2,"Dual","Single")&amp;"*",PriceBook!$A$97:$A$110,0),MATCH("DC-"&amp;TEXT(Equipment!$F$17,"0")&amp;"kW*",PriceBook!$A$97:$A$110,0)))),1)),0)))</f>
        <v/>
      </c>
      <c r="D38" s="1419">
        <f>IF($B38=0,0,IFERROR(N(INDEX(PriceBook!$D$97:$D$110,IFERROR(MATCH(Equipment!$C$17,PriceBook!$A$97:$A$110,0),IF(Equipment!$E$17="level_2",MATCH("AC Charger - "&amp;TEXT(Equipment!$F$17,"0.0")&amp;" kW*"&amp;IF(N(Equipment!$H$17)&gt;=2,"Dual","Single")&amp;"*",PriceBook!$A$97:$A$110,0),MATCH("DC-"&amp;TEXT(Equipment!$F$17,"0")&amp;"kW*",PriceBook!$A$97:$A$110,0))))),0))</f>
        <v/>
      </c>
      <c r="E38" s="1419">
        <f>IF($B38=0,0,IFERROR(N(INDEX(PriceBook!$E$97:$E$110,IFERROR(MATCH(Equipment!$C$17,PriceBook!$A$97:$A$110,0),IF(Equipment!$E$17="level_2",MATCH("AC Charger - "&amp;TEXT(Equipment!$F$17,"0.0")&amp;" kW*"&amp;IF(N(Equipment!$H$17)&gt;=2,"Dual","Single")&amp;"*",PriceBook!$A$97:$A$110,0),MATCH("DC-"&amp;TEXT(Equipment!$F$17,"0")&amp;"kW*",PriceBook!$A$97:$A$110,0))))),0))</f>
        <v/>
      </c>
      <c r="F38" s="1381">
        <f>IF($B38=0,"",IFERROR(INDEX(PriceBook!$A$97:$A$110,IFERROR(MATCH(Equipment!$C$17,PriceBook!$A$97:$A$110,0),IF(Equipment!$E$17="level_2",MATCH("AC Charger - "&amp;TEXT(Equipment!$F$17,"0.0")&amp;" kW*"&amp;IF(N(Equipment!$H$17)&gt;=2,"Dual","Single")&amp;"*",PriceBook!$A$97:$A$110,0),MATCH("DC-"&amp;TEXT(Equipment!$F$17,"0")&amp;"kW*",PriceBook!$A$97:$A$110,0))))&amp;" · "&amp;TEXT($B38*(MIN(N(Commercial!$B$12),$C38)*$D38+MAX(0,N(Commercial!$B$12)-$C38)*$E38),"$#,##0.00"),"NO SERVICE CLASS IN THE PRICE BOOK FOR THIS SKU — the line is unpriced"))</f>
        <v/>
      </c>
      <c r="G38" s="1289" t="n"/>
      <c r="H38" s="1289" t="n"/>
    </row>
    <row r="39" ht="15" customHeight="1" s="254">
      <c r="A39" s="1362">
        <f>IF(Equipment!$C$18="","","Line 12 · "&amp;Equipment!$C$18)</f>
        <v/>
      </c>
      <c r="B39" s="1373">
        <f>IF(AND(Equipment!$C$18&lt;&gt;"",OR(OR(Equipment!$E$18="all_in_one",Equipment!$E$18="power_cabinet"),Equipment!$E$18="level_2")),N(Equipment!$I$18),0)</f>
        <v/>
      </c>
      <c r="C39" s="1373">
        <f>IF($B39=0,0,IF(OR(Equipment!$E$18="all_in_one",Equipment!$E$18="power_cabinet"),N(Commercial!$B$13),IFERROR(VALUE(LEFT(INDEX(PriceBook!$G$97:$G$110,IFERROR(MATCH(Equipment!$C$18,PriceBook!$A$97:$A$110,0),IF(Equipment!$E$18="level_2",MATCH("AC Charger - "&amp;TEXT(Equipment!$F$18,"0.0")&amp;" kW*"&amp;IF(N(Equipment!$H$18)&gt;=2,"Dual","Single")&amp;"*",PriceBook!$A$97:$A$110,0),MATCH("DC-"&amp;TEXT(Equipment!$F$18,"0")&amp;"kW*",PriceBook!$A$97:$A$110,0)))),1)),0)))</f>
        <v/>
      </c>
      <c r="D39" s="1419">
        <f>IF($B39=0,0,IFERROR(N(INDEX(PriceBook!$D$97:$D$110,IFERROR(MATCH(Equipment!$C$18,PriceBook!$A$97:$A$110,0),IF(Equipment!$E$18="level_2",MATCH("AC Charger - "&amp;TEXT(Equipment!$F$18,"0.0")&amp;" kW*"&amp;IF(N(Equipment!$H$18)&gt;=2,"Dual","Single")&amp;"*",PriceBook!$A$97:$A$110,0),MATCH("DC-"&amp;TEXT(Equipment!$F$18,"0")&amp;"kW*",PriceBook!$A$97:$A$110,0))))),0))</f>
        <v/>
      </c>
      <c r="E39" s="1419">
        <f>IF($B39=0,0,IFERROR(N(INDEX(PriceBook!$E$97:$E$110,IFERROR(MATCH(Equipment!$C$18,PriceBook!$A$97:$A$110,0),IF(Equipment!$E$18="level_2",MATCH("AC Charger - "&amp;TEXT(Equipment!$F$18,"0.0")&amp;" kW*"&amp;IF(N(Equipment!$H$18)&gt;=2,"Dual","Single")&amp;"*",PriceBook!$A$97:$A$110,0),MATCH("DC-"&amp;TEXT(Equipment!$F$18,"0")&amp;"kW*",PriceBook!$A$97:$A$110,0))))),0))</f>
        <v/>
      </c>
      <c r="F39" s="1381">
        <f>IF($B39=0,"",IFERROR(INDEX(PriceBook!$A$97:$A$110,IFERROR(MATCH(Equipment!$C$18,PriceBook!$A$97:$A$110,0),IF(Equipment!$E$18="level_2",MATCH("AC Charger - "&amp;TEXT(Equipment!$F$18,"0.0")&amp;" kW*"&amp;IF(N(Equipment!$H$18)&gt;=2,"Dual","Single")&amp;"*",PriceBook!$A$97:$A$110,0),MATCH("DC-"&amp;TEXT(Equipment!$F$18,"0")&amp;"kW*",PriceBook!$A$97:$A$110,0))))&amp;" · "&amp;TEXT($B39*(MIN(N(Commercial!$B$12),$C39)*$D39+MAX(0,N(Commercial!$B$12)-$C39)*$E39),"$#,##0.00"),"NO SERVICE CLASS IN THE PRICE BOOK FOR THIS SKU — the line is unpriced"))</f>
        <v/>
      </c>
      <c r="G39" s="1289" t="n"/>
      <c r="H39" s="1289" t="n"/>
    </row>
    <row r="40" ht="27.5" customHeight="1" s="254">
      <c r="A40" s="1420" t="inlineStr">
        <is>
          <t>Service and warranty at list, all lines</t>
        </is>
      </c>
      <c r="B40" s="1417">
        <f>SUMPRODUCT($B$28:$B$39,(($C$28:$C$39&lt;Commercial!$B$12)*$C$28:$C$39+($C$28:$C$39&gt;=Commercial!$B$12)*Commercial!$B$12)*$D$28:$D$39+(($C$28:$C$39&lt;Commercial!$B$12)*(Commercial!$B$12-$C$28:$C$39))*$E$28:$E$39)</f>
        <v/>
      </c>
      <c r="C40" s="1416" t="n"/>
      <c r="D40" s="1416" t="n"/>
      <c r="E40" s="1416" t="n"/>
      <c r="F40" s="1421">
        <f>TEXT(Commercial!$B$12,"0")&amp;" contract year(s). The line above reads this figure."</f>
        <v/>
      </c>
      <c r="G40" s="1289" t="n"/>
      <c r="H40" s="1289" t="n"/>
    </row>
    <row r="41" ht="15" customHeight="1" s="254">
      <c r="A41" s="1552" t="inlineStr">
        <is>
          <t>Every scheduled unit has a class?</t>
        </is>
      </c>
      <c r="B41" s="1370">
        <f>IF(COUNTIF($F$28:$F$39,"NO SERVICE CLASS*")&gt;0,"NO — "&amp;COUNTIF($F$28:$F$39,"NO SERVICE CLASS*")&amp;" line(s) have no service class in the price book; the service line is short by them","OK — every charging unit matched a service class")</f>
        <v/>
      </c>
      <c r="C41" s="1289" t="n"/>
      <c r="D41" s="1289" t="n"/>
      <c r="E41" s="1289" t="n"/>
      <c r="F41" s="1289" t="n"/>
      <c r="G41" s="1289" t="n"/>
      <c r="H41" s="1289" t="n"/>
    </row>
    <row r="42" ht="15" customHeight="1" s="254">
      <c r="A42" s="1289" t="n"/>
      <c r="B42" s="1289" t="n"/>
      <c r="C42" s="1289" t="n"/>
      <c r="D42" s="1289" t="n"/>
      <c r="E42" s="1289" t="n"/>
      <c r="F42" s="1289" t="n"/>
      <c r="G42" s="1289" t="n"/>
      <c r="H42" s="1289" t="n"/>
    </row>
    <row r="43" ht="15" customHeight="1" s="254">
      <c r="A43" s="1308" t="inlineStr">
        <is>
          <t>EVOLV network and commissioning — the platform fee behind the line above</t>
        </is>
      </c>
    </row>
    <row r="44" ht="15" customHeight="1" s="254">
      <c r="A44" s="1552" t="inlineStr">
        <is>
          <t>Ports (connectors) on the schedule</t>
        </is>
      </c>
      <c r="B44" s="1295">
        <f>Equipment!$B$22</f>
        <v/>
      </c>
      <c r="C44" s="1360" t="inlineStr">
        <is>
          <t>The billing basis is ports, never cabinets.</t>
        </is>
      </c>
      <c r="G44" s="1289" t="n"/>
      <c r="H44" s="1289" t="n"/>
    </row>
    <row r="45" ht="15" customHeight="1" s="254">
      <c r="A45" s="1552" t="inlineStr">
        <is>
          <t>Fee per port per month</t>
        </is>
      </c>
      <c r="B45" s="1371">
        <f>Commercial!$B$14</f>
        <v/>
      </c>
      <c r="C45" s="1289" t="n"/>
      <c r="D45" s="1289" t="n"/>
      <c r="E45" s="1289" t="n"/>
      <c r="F45" s="1289" t="n"/>
      <c r="G45" s="1289" t="n"/>
      <c r="H45" s="1289" t="n"/>
    </row>
    <row r="46" ht="15" customHeight="1" s="254">
      <c r="A46" s="1552" t="inlineStr">
        <is>
          <t>Contract years</t>
        </is>
      </c>
      <c r="B46" s="1295">
        <f>Commercial!$B$12</f>
        <v/>
      </c>
      <c r="C46" s="1289" t="n"/>
      <c r="D46" s="1289" t="n"/>
      <c r="E46" s="1289" t="n"/>
      <c r="F46" s="1289" t="n"/>
      <c r="G46" s="1289" t="n"/>
      <c r="H46" s="1289" t="n"/>
    </row>
    <row r="47" ht="15" customHeight="1" s="254">
      <c r="A47" s="1552" t="inlineStr">
        <is>
          <t>EVOLV across the contract, at list</t>
        </is>
      </c>
      <c r="B47" s="1371">
        <f>$B$8</f>
        <v/>
      </c>
      <c r="C47" s="1289" t="n"/>
      <c r="D47" s="1289" t="n"/>
      <c r="E47" s="1289" t="n"/>
      <c r="F47" s="1289" t="n"/>
      <c r="G47" s="1289" t="n"/>
      <c r="H47" s="1289" t="n"/>
    </row>
    <row r="48" ht="15" customHeight="1" s="254">
      <c r="A48" s="1552" t="inlineStr">
        <is>
          <t>Service feeder</t>
        </is>
      </c>
      <c r="B48" s="1370">
        <f>IF(LEFT(Electrical!$B$125,7)="Utility","provided by the utility — nothing to price","PROVIDED BY ZERO IMPACT ENERGY — the model sizes and prices this run; it is not in the wire line above")</f>
        <v/>
      </c>
      <c r="C48" s="1289" t="n"/>
      <c r="D48" s="1289" t="n"/>
      <c r="E48" s="1289" t="n"/>
      <c r="F48" s="1289" t="n"/>
      <c r="G48" s="1289" t="n"/>
      <c r="H48" s="1289" t="n"/>
    </row>
  </sheetData>
  <sheetProtection selectLockedCells="0" selectUnlockedCells="0" sheet="1" objects="0" insertRows="1" insertHyperlinks="1" autoFilter="1" scenarios="0" formatColumns="0" deleteColumns="1" insertColumns="1" pivotTables="1" deleteRows="1" formatCells="1" formatRows="0" sort="1"/>
  <mergeCells count="23">
    <mergeCell ref="F20:H20"/>
    <mergeCell ref="C23:F23"/>
    <mergeCell ref="F5:H5"/>
    <mergeCell ref="F18:H18"/>
    <mergeCell ref="F8:H8"/>
    <mergeCell ref="A26:F26"/>
    <mergeCell ref="A2:F2"/>
    <mergeCell ref="A25:H25"/>
    <mergeCell ref="F13:H13"/>
    <mergeCell ref="F9:H9"/>
    <mergeCell ref="F14:H14"/>
    <mergeCell ref="F11:H11"/>
    <mergeCell ref="C44:F44"/>
    <mergeCell ref="C22:F22"/>
    <mergeCell ref="F10:H10"/>
    <mergeCell ref="F16:H16"/>
    <mergeCell ref="F6:H6"/>
    <mergeCell ref="A43:H43"/>
    <mergeCell ref="A1:F1"/>
    <mergeCell ref="C21:F21"/>
    <mergeCell ref="F12:H12"/>
    <mergeCell ref="F7:H7"/>
    <mergeCell ref="F15:H15"/>
  </mergeCells>
  <pageMargins left="0.75" right="0.75" top="1" bottom="1" header="0.5" footer="0.5"/>
  <pageSetup orientation="landscape" fitToHeight="0" fitToWidth="1"/>
</worksheet>
</file>

<file path=xl/worksheets/sheet12.xml><?xml version="1.0" encoding="utf-8"?>
<worksheet xmlns="http://schemas.openxmlformats.org/spreadsheetml/2006/main">
  <sheetPr filterMode="0">
    <tabColor rgb="002E7D5B"/>
    <outlinePr summaryBelow="0" summaryRight="1"/>
    <pageSetUpPr fitToPage="1"/>
  </sheetPr>
  <dimension ref="A1:G11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1"/>
  <cols>
    <col width="36" customWidth="1" style="253" min="1" max="1"/>
    <col width="24" customWidth="1" style="253" min="2" max="2"/>
    <col width="38" customWidth="1" style="253" min="3" max="3"/>
    <col width="24" customWidth="1" style="253" min="4" max="4"/>
    <col width="9" customWidth="1" style="254" min="5" max="7"/>
  </cols>
  <sheetData>
    <row r="1" ht="15" customHeight="1" s="254">
      <c r="A1" s="1543" t="inlineStr">
        <is>
          <t>6 · REVENUE ASSUMPTIONS</t>
        </is>
      </c>
      <c r="G1" s="1289" t="n"/>
    </row>
    <row r="2" ht="15" customHeight="1" s="254">
      <c r="A2" s="1288" t="inlineStr">
        <is>
          <t>Every one of these will be challenged by the customer. Set them where you can defend them.</t>
        </is>
      </c>
    </row>
    <row r="3" ht="15" customHeight="1" s="254">
      <c r="A3" s="1289" t="n"/>
      <c r="B3" s="1289" t="n"/>
      <c r="C3" s="1289" t="n"/>
      <c r="D3" s="1289" t="n"/>
      <c r="E3" s="1289" t="n"/>
      <c r="F3" s="1289" t="n"/>
      <c r="G3" s="1289" t="n"/>
    </row>
    <row r="4" ht="15" customHeight="1" s="254">
      <c r="A4" s="1551" t="inlineStr">
        <is>
          <t>Pricing</t>
        </is>
      </c>
      <c r="B4" s="1289" t="n"/>
      <c r="C4" s="1289" t="n"/>
      <c r="D4" s="1289" t="n"/>
      <c r="E4" s="1289" t="n"/>
      <c r="F4" s="1289" t="n"/>
      <c r="G4" s="1289" t="n"/>
    </row>
    <row r="5" ht="15" customHeight="1" s="254">
      <c r="A5" s="1552" t="inlineStr">
        <is>
          <t>Retail price to driver ($/kWh)</t>
        </is>
      </c>
      <c r="B5" s="1422" t="n">
        <v>0.65</v>
      </c>
      <c r="C5" s="1289" t="n"/>
      <c r="D5" s="1289" t="n"/>
      <c r="E5" s="1289" t="n"/>
      <c r="F5" s="1289" t="n"/>
      <c r="G5" s="1289" t="n"/>
    </row>
    <row r="6" ht="27.5" customHeight="1" s="254">
      <c r="A6" s="1294" t="inlineStr">
        <is>
          <t>Delivered energy cost — leave blank, now derived</t>
        </is>
      </c>
      <c r="B6" s="1423">
        <f>IF(N($B$91)=0,"",$B$91)</f>
        <v/>
      </c>
      <c r="C6" s="1300" t="inlineStr">
        <is>
          <t>Derived from the tariff block at the foot of this tab. Set the figures there.</t>
        </is>
      </c>
      <c r="E6" s="1289" t="n"/>
      <c r="F6" s="1289" t="n"/>
      <c r="G6" s="1289" t="n"/>
    </row>
    <row r="7" ht="27.5" customHeight="1" s="254">
      <c r="A7" s="1294" t="inlineStr">
        <is>
          <t>Utility subscription — leave blank, now derived</t>
        </is>
      </c>
      <c r="B7" s="1424">
        <f>IF(N($B$95)=0,"",$B$95)</f>
        <v/>
      </c>
      <c r="C7" s="1300" t="inlineStr">
        <is>
          <t>Customer charge plus demand charge, annualised, from the tariff block at the foot of this tab. On a demand schedule this is the largest number on the page.</t>
        </is>
      </c>
    </row>
    <row r="8" ht="15" customHeight="1" s="254">
      <c r="A8" s="1552" t="inlineStr">
        <is>
          <t>Card processing fee (% of gross)</t>
        </is>
      </c>
      <c r="B8" s="1391" t="n">
        <v>0.03</v>
      </c>
      <c r="C8" s="1289" t="n"/>
      <c r="D8" s="1289" t="n"/>
      <c r="E8" s="1289" t="n"/>
      <c r="F8" s="1289" t="n"/>
      <c r="G8" s="1289" t="n"/>
    </row>
    <row r="9" ht="15" customHeight="1" s="254">
      <c r="A9" s="1552" t="inlineStr">
        <is>
          <t>Idle fee revenue included?</t>
        </is>
      </c>
      <c r="B9" s="1553" t="inlineStr">
        <is>
          <t>No</t>
        </is>
      </c>
      <c r="C9" s="1302" t="inlineStr">
        <is>
          <t>Keep this No unless it is contracted</t>
        </is>
      </c>
      <c r="D9" s="1289" t="n"/>
      <c r="E9" s="1289" t="n"/>
      <c r="F9" s="1289" t="n"/>
      <c r="G9" s="1289" t="n"/>
    </row>
    <row r="10" ht="15" customHeight="1" s="254">
      <c r="A10" s="1289" t="n"/>
      <c r="B10" s="1289" t="n"/>
      <c r="C10" s="1289" t="n"/>
      <c r="D10" s="1289" t="n"/>
      <c r="E10" s="1289" t="n"/>
      <c r="F10" s="1289" t="n"/>
      <c r="G10" s="1289" t="n"/>
    </row>
    <row r="11" ht="15" customHeight="1" s="254">
      <c r="A11" s="1551" t="inlineStr">
        <is>
          <t>Utilisation — steady state</t>
        </is>
      </c>
      <c r="B11" s="1289" t="n"/>
      <c r="C11" s="1289" t="n"/>
      <c r="D11" s="1289" t="n"/>
      <c r="E11" s="1289" t="n"/>
      <c r="F11" s="1289" t="n"/>
      <c r="G11" s="1289" t="n"/>
    </row>
    <row r="12" ht="15" customHeight="1" s="254">
      <c r="A12" s="1552" t="inlineStr">
        <is>
          <t>Hours per day the site is chargeable</t>
        </is>
      </c>
      <c r="B12" s="1425">
        <f>Project!B22</f>
        <v/>
      </c>
      <c r="C12" s="1302" t="inlineStr">
        <is>
          <t>From 1_Project</t>
        </is>
      </c>
      <c r="D12" s="1289" t="n"/>
      <c r="E12" s="1289" t="n"/>
      <c r="F12" s="1289" t="n"/>
      <c r="G12" s="1289" t="n"/>
    </row>
    <row r="13" ht="27.5" customHeight="1" s="254">
      <c r="A13" s="1294" t="inlineStr">
        <is>
          <t>Stall occupancy (share of stalls used per day)</t>
        </is>
      </c>
      <c r="B13" s="1391" t="n">
        <v>0.2</v>
      </c>
      <c r="C13" s="1289" t="n"/>
      <c r="D13" s="1289" t="n"/>
      <c r="E13" s="1289" t="n"/>
      <c r="F13" s="1289" t="n"/>
      <c r="G13" s="1289" t="n"/>
    </row>
    <row r="14" ht="27.5" customHeight="1" s="254">
      <c r="A14" s="1294" t="inlineStr">
        <is>
          <t>Charging hours per occupied stall, as share of open hours</t>
        </is>
      </c>
      <c r="B14" s="1391" t="n">
        <v>0.25</v>
      </c>
      <c r="C14" s="1289" t="n"/>
      <c r="D14" s="1289" t="n"/>
      <c r="E14" s="1289" t="n"/>
      <c r="F14" s="1289" t="n"/>
      <c r="G14" s="1289" t="n"/>
    </row>
    <row r="15" ht="15" customHeight="1" s="254">
      <c r="A15" s="1552" t="inlineStr">
        <is>
          <t>Nameplate de-rate factor</t>
        </is>
      </c>
      <c r="B15" s="1426" t="n">
        <v>0.98</v>
      </c>
      <c r="C15" s="1302" t="inlineStr">
        <is>
          <t>Cabinet output vs label</t>
        </is>
      </c>
      <c r="D15" s="1289" t="n"/>
      <c r="E15" s="1289" t="n"/>
      <c r="F15" s="1289" t="n"/>
      <c r="G15" s="1289" t="n"/>
    </row>
    <row r="16" ht="27.5" customHeight="1" s="254">
      <c r="A16" s="1294" t="inlineStr">
        <is>
          <t>Average delivered power, share of port rating</t>
        </is>
      </c>
      <c r="B16" s="1402" t="n">
        <v>0.7</v>
      </c>
      <c r="C16" s="1302" t="inlineStr">
        <is>
          <t>CHARGING-CURVE TAPER</t>
        </is>
      </c>
      <c r="D16" s="1289" t="n"/>
      <c r="E16" s="1289" t="n"/>
      <c r="F16" s="1289" t="n"/>
      <c r="G16" s="1289" t="n"/>
    </row>
    <row r="17" ht="15" customHeight="1" s="254">
      <c r="A17" s="1289" t="n"/>
      <c r="B17" s="1289" t="n"/>
      <c r="C17" s="1289" t="n"/>
      <c r="D17" s="1289" t="n"/>
      <c r="E17" s="1289" t="n"/>
      <c r="F17" s="1289" t="n"/>
      <c r="G17" s="1289" t="n"/>
    </row>
    <row r="18" ht="15" customHeight="1" s="254">
      <c r="A18" s="1551" t="inlineStr">
        <is>
          <t>Ramp and growth</t>
        </is>
      </c>
      <c r="B18" s="1289" t="n"/>
      <c r="C18" s="1289" t="n"/>
      <c r="D18" s="1289" t="n"/>
      <c r="E18" s="1289" t="n"/>
      <c r="F18" s="1289" t="n"/>
      <c r="G18" s="1289" t="n"/>
    </row>
    <row r="19" ht="15" customHeight="1" s="254">
      <c r="A19" s="1552" t="inlineStr">
        <is>
          <t>Year 1 share of steady state</t>
        </is>
      </c>
      <c r="B19" s="1402" t="n">
        <v>0.5</v>
      </c>
      <c r="C19" s="1302" t="inlineStr">
        <is>
          <t>Greenfield sites take time to fill</t>
        </is>
      </c>
      <c r="D19" s="1289" t="n"/>
      <c r="E19" s="1289" t="n"/>
      <c r="F19" s="1289" t="n"/>
      <c r="G19" s="1289" t="n"/>
    </row>
    <row r="20" ht="15" customHeight="1" s="254">
      <c r="A20" s="1552" t="inlineStr">
        <is>
          <t>Year 2 share of steady state</t>
        </is>
      </c>
      <c r="B20" s="1402" t="n">
        <v>0.75</v>
      </c>
      <c r="C20" s="1289" t="n"/>
      <c r="D20" s="1289" t="n"/>
      <c r="E20" s="1289" t="n"/>
      <c r="F20" s="1289" t="n"/>
      <c r="G20" s="1289" t="n"/>
    </row>
    <row r="21" ht="15" customHeight="1" s="254">
      <c r="A21" s="1552" t="inlineStr">
        <is>
          <t>Year 3 share of steady state</t>
        </is>
      </c>
      <c r="B21" s="1402" t="n">
        <v>1</v>
      </c>
      <c r="C21" s="1289" t="n"/>
      <c r="D21" s="1289" t="n"/>
      <c r="E21" s="1289" t="n"/>
      <c r="F21" s="1289" t="n"/>
      <c r="G21" s="1289" t="n"/>
    </row>
    <row r="22" ht="15" customHeight="1" s="254">
      <c r="A22" s="1552" t="inlineStr">
        <is>
          <t>Annual growth after ramp</t>
        </is>
      </c>
      <c r="B22" s="1391" t="n">
        <v>0.06</v>
      </c>
      <c r="C22" s="1302" t="inlineStr">
        <is>
          <t>Justify as a level, not a rate</t>
        </is>
      </c>
      <c r="D22" s="1289" t="n"/>
      <c r="E22" s="1289" t="n"/>
      <c r="F22" s="1289" t="n"/>
      <c r="G22" s="1289" t="n"/>
    </row>
    <row r="23" ht="15" customHeight="1" s="254">
      <c r="A23" s="1289" t="n"/>
      <c r="B23" s="1289" t="n"/>
      <c r="C23" s="1289" t="n"/>
      <c r="D23" s="1289" t="n"/>
      <c r="E23" s="1289" t="n"/>
      <c r="F23" s="1289" t="n"/>
      <c r="G23" s="1289" t="n"/>
    </row>
    <row r="24" ht="15" customHeight="1" s="254">
      <c r="A24" s="1308" t="inlineStr">
        <is>
          <t>Historical actuals — replacement sites only, leave blank for greenfield</t>
        </is>
      </c>
    </row>
    <row r="25" hidden="1" outlineLevel="1" ht="15" customHeight="1" s="254">
      <c r="A25" s="1552" t="inlineStr">
        <is>
          <t>Months of history available</t>
        </is>
      </c>
      <c r="B25" s="1306" t="n"/>
      <c r="C25" s="1289" t="n"/>
      <c r="D25" s="1289" t="n"/>
      <c r="E25" s="1289" t="n"/>
      <c r="F25" s="1289" t="n"/>
      <c r="G25" s="1289" t="n"/>
    </row>
    <row r="26" hidden="1" outlineLevel="1" ht="15" customHeight="1" s="254">
      <c r="A26" s="1552" t="inlineStr">
        <is>
          <t>Historical kWh dispensed per day</t>
        </is>
      </c>
      <c r="B26" s="1427" t="n"/>
      <c r="C26" s="1289" t="n"/>
      <c r="D26" s="1289" t="n"/>
      <c r="E26" s="1289" t="n"/>
      <c r="F26" s="1289" t="n"/>
      <c r="G26" s="1289" t="n"/>
    </row>
    <row r="27" hidden="1" outlineLevel="1" ht="15" customHeight="1" s="254">
      <c r="A27" s="1552" t="inlineStr">
        <is>
          <t>Historical gross revenue per year</t>
        </is>
      </c>
      <c r="B27" s="1412" t="n"/>
      <c r="C27" s="1289" t="n"/>
      <c r="D27" s="1289" t="n"/>
      <c r="E27" s="1289" t="n"/>
      <c r="F27" s="1289" t="n"/>
      <c r="G27" s="1289" t="n"/>
    </row>
    <row r="28" hidden="1" outlineLevel="1" ht="15" customHeight="1" s="254">
      <c r="A28" s="1552" t="inlineStr">
        <is>
          <t>Historical net profit per year</t>
        </is>
      </c>
      <c r="B28" s="1412" t="n"/>
      <c r="C28" s="1289" t="n"/>
      <c r="D28" s="1289" t="n"/>
      <c r="E28" s="1289" t="n"/>
      <c r="F28" s="1289" t="n"/>
      <c r="G28" s="1289" t="n"/>
    </row>
    <row r="29" hidden="1" outlineLevel="1" ht="15" customHeight="1" s="254">
      <c r="A29" s="1552" t="inlineStr">
        <is>
          <t>Ports in service on an average day</t>
        </is>
      </c>
      <c r="B29" s="1331" t="n"/>
      <c r="C29" s="1289" t="n"/>
      <c r="D29" s="1289" t="n"/>
      <c r="E29" s="1289" t="n"/>
      <c r="F29" s="1289" t="n"/>
      <c r="G29" s="1289" t="n"/>
    </row>
    <row r="30" hidden="1" outlineLevel="1" ht="15" customHeight="1" s="254">
      <c r="A30" s="1552" t="inlineStr">
        <is>
          <t>Share of sessions under 1 kWh</t>
        </is>
      </c>
      <c r="B30" s="1336" t="n"/>
      <c r="C30" s="1302" t="inlineStr">
        <is>
          <t>Failed-session rate</t>
        </is>
      </c>
      <c r="D30" s="1289" t="n"/>
      <c r="E30" s="1289" t="n"/>
      <c r="F30" s="1289" t="n"/>
      <c r="G30" s="1289" t="n"/>
    </row>
    <row r="31" hidden="1" outlineLevel="1" ht="15" customHeight="1" s="254">
      <c r="A31" s="1289" t="n"/>
      <c r="B31" s="1289" t="n"/>
      <c r="C31" s="1289" t="n"/>
      <c r="D31" s="1289" t="n"/>
      <c r="E31" s="1289" t="n"/>
      <c r="F31" s="1289" t="n"/>
      <c r="G31" s="1289" t="n"/>
    </row>
    <row r="32" ht="15" customHeight="1" s="254">
      <c r="A32" s="1308" t="inlineStr">
        <is>
          <t>Utility rate selection — drives the delivered energy cost</t>
        </is>
      </c>
    </row>
    <row r="33" ht="15" customHeight="1" s="254">
      <c r="A33" s="1288" t="inlineStr">
        <is>
          <t>Pick the utility and schedule and the model derives $/kWh and the subscription from the tariff. No blended guess required.</t>
        </is>
      </c>
      <c r="F33" s="1289" t="n"/>
      <c r="G33" s="1289" t="n"/>
    </row>
    <row r="34" ht="15" customHeight="1" s="254">
      <c r="A34" s="1289" t="n"/>
      <c r="B34" s="1289" t="n"/>
      <c r="C34" s="1289" t="n"/>
      <c r="D34" s="1289" t="n"/>
      <c r="E34" s="1289" t="n"/>
      <c r="F34" s="1289" t="n"/>
      <c r="G34" s="1289" t="n"/>
    </row>
    <row r="35" ht="15" customHeight="1" s="254">
      <c r="A35" s="1552" t="inlineStr">
        <is>
          <t>Utility</t>
        </is>
      </c>
      <c r="B35" s="1428">
        <f>IF(Project!$B$26="","",Project!$B$26)</f>
        <v/>
      </c>
      <c r="C35" s="1300" t="inlineStr">
        <is>
          <t>Reads the utility named on the Project tab. Set it there.</t>
        </is>
      </c>
      <c r="E35" s="1289" t="n"/>
      <c r="F35" s="1289" t="n"/>
      <c r="G35" s="1289" t="n"/>
    </row>
    <row r="36" ht="27.5" customHeight="1" s="254">
      <c r="A36" s="1552" t="inlineStr">
        <is>
          <t>Rate schedule</t>
        </is>
      </c>
      <c r="B36" s="1292" t="inlineStr">
        <is>
          <t>TOU-EV-9</t>
        </is>
      </c>
      <c r="C36" s="1300" t="inlineStr">
        <is>
          <t>Pick the schedule this site will actually take. The list is on the Utilities tab under RATE SCHEDULE PICKER; add the schedule there first if it is not on it.</t>
        </is>
      </c>
    </row>
    <row r="37" ht="27.5" customHeight="1" s="254">
      <c r="A37" s="1552" t="inlineStr">
        <is>
          <t>Service voltage level</t>
        </is>
      </c>
      <c r="B37" s="1292" t="inlineStr">
        <is>
          <t>Secondary</t>
        </is>
      </c>
      <c r="C37" s="1300" t="inlineStr">
        <is>
          <t>Secondary or primary. On schedules that price them differently this changes the rate.</t>
        </is>
      </c>
      <c r="E37" s="1289" t="n"/>
      <c r="F37" s="1289" t="n"/>
      <c r="G37" s="1289" t="n"/>
    </row>
    <row r="38" ht="27.5" customHeight="1" s="254">
      <c r="A38" s="1552" t="inlineStr">
        <is>
          <t>Share of energy dispensed on-peak</t>
        </is>
      </c>
      <c r="B38" s="1391" t="n">
        <v>0.3</v>
      </c>
      <c r="C38" s="1300" t="inlineStr">
        <is>
          <t>Only if the schedule has time-of-use periods, and then from ITS periods — not from a remembered 4-9 pm peak. Leave all three blank on a flat schedule.</t>
        </is>
      </c>
    </row>
    <row r="39" ht="15" customHeight="1" s="254">
      <c r="A39" s="1552" t="inlineStr">
        <is>
          <t>Share off-peak</t>
        </is>
      </c>
      <c r="B39" s="1391" t="n">
        <v>0.55</v>
      </c>
      <c r="C39" s="1289" t="n"/>
      <c r="D39" s="1289" t="n"/>
      <c r="E39" s="1289" t="n"/>
      <c r="F39" s="1289" t="n"/>
      <c r="G39" s="1289" t="n"/>
    </row>
    <row r="40" ht="15" customHeight="1" s="254">
      <c r="A40" s="1552" t="inlineStr">
        <is>
          <t>Share super off-peak</t>
        </is>
      </c>
      <c r="B40" s="1391" t="n">
        <v>0.15</v>
      </c>
      <c r="C40" s="1300" t="inlineStr">
        <is>
          <t>The three shares must sum to 100% where they are used at all.</t>
        </is>
      </c>
      <c r="E40" s="1289" t="n"/>
      <c r="F40" s="1289" t="n"/>
      <c r="G40" s="1289" t="n"/>
    </row>
    <row r="41" ht="27.5" customHeight="1" s="254">
      <c r="A41" s="1294" t="inlineStr">
        <is>
          <t>Expected peak concurrency (ports drawing at once)</t>
        </is>
      </c>
      <c r="B41" s="1429">
        <f>IF(OR(N($B$117)=0,N($B$52)=0),"",ROUNDUP($B$117*$B$52,0))</f>
        <v/>
      </c>
      <c r="C41" s="1300" t="inlineStr">
        <is>
          <t>DERIVED, not typed. Average concurrent positions across both streams (the block at the foot of this tab) times the peak-to-average factor below.</t>
        </is>
      </c>
    </row>
    <row r="42" ht="65" customHeight="1" s="254">
      <c r="A42" s="1552" t="inlineStr">
        <is>
          <t>Subscribed kW</t>
        </is>
      </c>
      <c r="B42" s="1429">
        <f>IF(N($B$41)=0,"",IF($B$51="Subscribe at full nameplate",Equipment!$B$23,$B$41*IF(N($B$117)=0,0,($B$115*IF($B$54="Yes",$B$74,$B$75)+$B$116*IF($B$54="Yes",$B$108,$B$108*$B$15))/$B$117)*(1+N($B$53))))</f>
        <v/>
      </c>
      <c r="C42" s="1300"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3" ht="15" customHeight="1" s="254">
      <c r="A43" s="1289" t="n"/>
      <c r="B43" s="1289" t="n"/>
      <c r="C43" s="1289" t="n"/>
      <c r="D43" s="1289" t="n"/>
      <c r="E43" s="1289" t="n"/>
      <c r="F43" s="1289" t="n"/>
      <c r="G43" s="1289" t="n"/>
    </row>
    <row r="44" ht="15" customHeight="1" s="254">
      <c r="A44" s="1551" t="inlineStr">
        <is>
          <t>Market benchmarking</t>
        </is>
      </c>
      <c r="B44" s="1289" t="n"/>
      <c r="C44" s="1289" t="n"/>
      <c r="D44" s="1289" t="n"/>
      <c r="E44" s="1289" t="n"/>
      <c r="F44" s="1289" t="n"/>
      <c r="G44" s="1289" t="n"/>
    </row>
    <row r="45" ht="40" customHeight="1" s="254">
      <c r="A45" s="1552" t="inlineStr">
        <is>
          <t>State for benchmarking</t>
        </is>
      </c>
      <c r="B45" s="1292" t="inlineStr">
        <is>
          <t>California</t>
        </is>
      </c>
      <c r="C45" s="1300" t="inlineStr">
        <is>
          <t>REQUIRED. Pick the market this projection should be tested against — the list is on RefData under MARKET BENCHMARKS. There is no default: this used to say California on every project regardless of where the site was.</t>
        </is>
      </c>
    </row>
    <row r="46" ht="27.5" customHeight="1" s="254">
      <c r="A46" s="1294" t="inlineStr">
        <is>
          <t>Expected site factor (% of the state average port)</t>
        </is>
      </c>
      <c r="B46" s="1391" t="n"/>
      <c r="C46" s="1288" t="inlineStr">
        <is>
          <t>Leave blank and the model derives it from your utilisation inputs</t>
        </is>
      </c>
      <c r="E46" s="1289" t="n"/>
      <c r="F46" s="1289" t="n"/>
      <c r="G46" s="1289" t="n"/>
    </row>
    <row r="47" ht="15" customHeight="1" s="254">
      <c r="A47" s="1289" t="n"/>
      <c r="B47" s="1289" t="n"/>
      <c r="C47" s="1289" t="n"/>
      <c r="D47" s="1289" t="n"/>
      <c r="E47" s="1289" t="n"/>
      <c r="F47" s="1289" t="n"/>
      <c r="G47" s="1289" t="n"/>
    </row>
    <row r="48" ht="29" customHeight="1" s="254">
      <c r="A48" s="1299" t="inlineStr">
        <is>
          <t>Demand subscription — how it should ramp</t>
        </is>
      </c>
      <c r="B48" s="1289" t="n"/>
      <c r="C48" s="1289" t="n"/>
      <c r="D48" s="1289" t="n"/>
      <c r="E48" s="1289" t="n"/>
      <c r="F48" s="1289" t="n"/>
      <c r="G48" s="1289" t="n"/>
    </row>
    <row r="49" ht="27.5" customHeight="1" s="254">
      <c r="A49" s="1288" t="inlineStr">
        <is>
          <t>Demand charges are set by simultaneous draw, not annual energy. A site that fills gradually should not carry a full-nameplate subscription from day one.</t>
        </is>
      </c>
      <c r="F49" s="1289" t="n"/>
      <c r="G49" s="1289" t="n"/>
    </row>
    <row r="50" ht="15" customHeight="1" s="254">
      <c r="A50" s="1289" t="n"/>
      <c r="B50" s="1289" t="n"/>
      <c r="C50" s="1289" t="n"/>
      <c r="D50" s="1289" t="n"/>
      <c r="E50" s="1289" t="n"/>
      <c r="F50" s="1289" t="n"/>
      <c r="G50" s="1289" t="n"/>
    </row>
    <row r="51" ht="27.5" customHeight="1" s="254">
      <c r="A51" s="1552" t="inlineStr">
        <is>
          <t>Subscription policy</t>
        </is>
      </c>
      <c r="B51" s="1314" t="inlineStr">
        <is>
          <t>Ramped to projected demand</t>
        </is>
      </c>
      <c r="C51" s="1289" t="n"/>
      <c r="D51" s="1289" t="n"/>
      <c r="E51" s="1289" t="n"/>
      <c r="F51" s="1289" t="n"/>
      <c r="G51" s="1289" t="n"/>
    </row>
    <row r="52" ht="15" customHeight="1" s="254">
      <c r="A52" s="1552" t="inlineStr">
        <is>
          <t>Peak-to-average concurrency factor</t>
        </is>
      </c>
      <c r="B52" s="1430" t="n">
        <v>4</v>
      </c>
      <c r="C52" s="1288" t="inlineStr">
        <is>
          <t>Ratio of peak simultaneous draw to the daily average</t>
        </is>
      </c>
    </row>
    <row r="53" ht="15" customHeight="1" s="254">
      <c r="A53" s="1552" t="inlineStr">
        <is>
          <t>Safety margin on subscribed kW</t>
        </is>
      </c>
      <c r="B53" s="1391" t="n">
        <v>0.2</v>
      </c>
      <c r="C53" s="1288" t="inlineStr">
        <is>
          <t>Headroom above projected peak before overage bites</t>
        </is>
      </c>
    </row>
    <row r="54" ht="15" customHeight="1" s="254">
      <c r="A54" s="1552" t="inlineStr">
        <is>
          <t>Size demand on full port rating?</t>
        </is>
      </c>
      <c r="B54" s="1292" t="inlineStr">
        <is>
          <t>Yes</t>
        </is>
      </c>
      <c r="C54" s="1288" t="inlineStr">
        <is>
          <t>A vehicle at the start of a session draws full power</t>
        </is>
      </c>
    </row>
    <row r="55" ht="27.5" customHeight="1" s="254">
      <c r="A55" s="1294" t="inlineStr">
        <is>
          <t>Interval data available from the utility?</t>
        </is>
      </c>
      <c r="B55" s="1292" t="n"/>
      <c r="C55" s="1288" t="inlineStr">
        <is>
          <t>Lets the subscription be trued up after two quarters</t>
        </is>
      </c>
    </row>
    <row r="56" ht="52.5" customHeight="1" s="254">
      <c r="A56" s="1552" t="inlineStr">
        <is>
          <t>Annual tariff escalation</t>
        </is>
      </c>
      <c r="B56" s="1391" t="n">
        <v>0</v>
      </c>
      <c r="C56" s="1288" t="inlineStr">
        <is>
          <t>Applied to the demand and block rates year by year in the model. Zero holds the tariff flat for the whole horizon, which no utility has ever done — enter the utility's adopted or proposed path where there is one. For scale: SCE's TOU-EV-9 sheets rose 12% between Jan 1 and Oct 1, 2025.</t>
        </is>
      </c>
    </row>
    <row r="57" ht="15" customHeight="1" s="254">
      <c r="A57" s="1308" t="inlineStr">
        <is>
          <t>Revenue basis — greenfield benchmark or historical actuals</t>
        </is>
      </c>
    </row>
    <row r="58" hidden="1" outlineLevel="1" ht="27.5" customHeight="1" s="254">
      <c r="A58" s="1309"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idden="1" outlineLevel="1" ht="27.5" customHeight="1" s="254">
      <c r="A59" s="1552" t="inlineStr">
        <is>
          <t>Revenue basis</t>
        </is>
      </c>
      <c r="B59" s="1314" t="inlineStr">
        <is>
          <t>Historical actuals — replacement site</t>
        </is>
      </c>
      <c r="C59" s="1309" t="inlineStr">
        <is>
          <t>Switch to historical actuals on any site with twelve or more months of usable data.</t>
        </is>
      </c>
      <c r="E59" s="1289" t="n"/>
      <c r="F59" s="1289" t="n"/>
      <c r="G59" s="1289" t="n"/>
    </row>
    <row r="60" hidden="1" outlineLevel="1" ht="15" customHeight="1" s="254">
      <c r="A60" s="1289" t="n"/>
      <c r="B60" s="1289" t="n"/>
      <c r="C60" s="1289" t="n"/>
      <c r="D60" s="1289" t="n"/>
      <c r="E60" s="1289" t="n"/>
      <c r="F60" s="1289" t="n"/>
      <c r="G60" s="1289" t="n"/>
    </row>
    <row r="61" hidden="1" outlineLevel="1" ht="15" customHeight="1" s="254">
      <c r="A61" s="1552" t="inlineStr">
        <is>
          <t>Months of history available</t>
        </is>
      </c>
      <c r="B61" s="1319">
        <f>Existing!$B$104</f>
        <v/>
      </c>
      <c r="C61" s="1320" t="inlineStr">
        <is>
          <t>From the Existing tab section E.</t>
        </is>
      </c>
      <c r="D61" s="1289" t="n"/>
      <c r="E61" s="1289" t="n"/>
      <c r="F61" s="1289" t="n"/>
      <c r="G61" s="1289" t="n"/>
    </row>
    <row r="62" hidden="1" outlineLevel="1" ht="15" customHeight="1" s="254">
      <c r="A62" s="1552" t="inlineStr">
        <is>
          <t>Historical kWh per year</t>
        </is>
      </c>
      <c r="B62" s="1319">
        <f>Existing!$B$112</f>
        <v/>
      </c>
      <c r="C62" s="1289" t="n"/>
      <c r="D62" s="1289" t="n"/>
      <c r="E62" s="1289" t="n"/>
      <c r="F62" s="1289" t="n"/>
      <c r="G62" s="1289" t="n"/>
    </row>
    <row r="63" hidden="1" outlineLevel="1" ht="15" customHeight="1" s="254">
      <c r="A63" s="1552" t="inlineStr">
        <is>
          <t>Combined uplift multiple</t>
        </is>
      </c>
      <c r="B63" s="1431">
        <f>Existing!$B$155</f>
        <v/>
      </c>
      <c r="C63" s="1289" t="n"/>
      <c r="D63" s="1289" t="n"/>
      <c r="E63" s="1289" t="n"/>
      <c r="F63" s="1289" t="n"/>
      <c r="G63" s="1289" t="n"/>
    </row>
    <row r="64" hidden="1" outlineLevel="1" ht="27.5" customHeight="1" s="254">
      <c r="A64" s="1328" t="inlineStr">
        <is>
          <t>Projected kWh per year — replacement basis</t>
        </is>
      </c>
      <c r="B64" s="1323">
        <f>Existing!$B$156</f>
        <v/>
      </c>
      <c r="C64" s="1309" t="inlineStr">
        <is>
          <t>History times the stated uplifts. This is what the model uses when the basis above is set to historical actuals.</t>
        </is>
      </c>
      <c r="E64" s="1289" t="n"/>
      <c r="F64" s="1289" t="n"/>
      <c r="G64" s="1289" t="n"/>
    </row>
    <row r="65" hidden="1" outlineLevel="1" ht="15" customHeight="1" s="254">
      <c r="A65" s="1289" t="n"/>
      <c r="B65" s="1289" t="n"/>
      <c r="C65" s="1289" t="n"/>
      <c r="D65" s="1289" t="n"/>
      <c r="E65" s="1289" t="n"/>
      <c r="F65" s="1289" t="n"/>
      <c r="G65" s="1289" t="n"/>
    </row>
    <row r="66" hidden="1" outlineLevel="1" ht="27.5" customHeight="1" s="254">
      <c r="A66" s="1547" t="inlineStr">
        <is>
          <t>Which basis is in force?</t>
        </is>
      </c>
      <c r="B66" s="1311">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1309" t="inlineStr">
        <is>
          <t>A replacement site running on market benchmarks is throwing away its best evidence.</t>
        </is>
      </c>
    </row>
    <row r="67" hidden="1" outlineLevel="1" ht="27.5" customHeight="1" s="254">
      <c r="A67" s="1328" t="inlineStr">
        <is>
          <t>Historical price against the proposed price</t>
        </is>
      </c>
      <c r="B67" s="1329">
        <f>IF(Existing!$B$116=0,"no history entered","History "&amp;TEXT(Existing!$B$116,"$0.000")&amp;" vs proposed "&amp;TEXT($B$5,"$0.000")&amp;" — "&amp;TEXT(IF(Existing!$B$116=0,0,$B$5/Existing!$B$116-1),"+0.0%;-0.0%"))</f>
        <v/>
      </c>
      <c r="C67" s="299" t="n"/>
      <c r="D67" s="1309" t="inlineStr">
        <is>
          <t>A large price increase on a site with a settled driver base is a demand risk, not a revenue gain.</t>
        </is>
      </c>
    </row>
    <row r="68" hidden="1" outlineLevel="1" ht="27.5" customHeight="1" s="254">
      <c r="A68" s="1328" t="inlineStr">
        <is>
          <t>Historical delivered cost against the tariff estimate</t>
        </is>
      </c>
      <c r="B68" s="1311">
        <f>IF(Existing!$B$117=0,"no history entered","Twelve months of billing says "&amp;TEXT(Existing!$B$117,"$0.0000")&amp;" all-in. Use it in preference to any tariff estimate.")</f>
        <v/>
      </c>
      <c r="C68" s="299" t="n"/>
      <c r="D68" s="1309" t="inlineStr">
        <is>
          <t>Actual billing beats a tariff lookup every time. This is the number to carry into the model.</t>
        </is>
      </c>
    </row>
    <row r="69" hidden="1" outlineLevel="1" ht="15" customHeight="1" s="254">
      <c r="A69" s="1289" t="n"/>
      <c r="B69" s="1289" t="n"/>
      <c r="C69" s="1289" t="n"/>
      <c r="D69" s="1289" t="n"/>
      <c r="E69" s="1289" t="n"/>
      <c r="F69" s="1289" t="n"/>
      <c r="G69" s="1289" t="n"/>
    </row>
    <row r="70" hidden="1" outlineLevel="1" ht="40" customHeight="1" s="254">
      <c r="A70" s="1312"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hidden="1" outlineLevel="1" ht="15" customHeight="1" s="254">
      <c r="A71" s="1289" t="n"/>
      <c r="B71" s="1289" t="n"/>
      <c r="C71" s="1289" t="n"/>
      <c r="D71" s="1289" t="n"/>
      <c r="E71" s="1289" t="n"/>
      <c r="F71" s="1289" t="n"/>
      <c r="G71" s="1289" t="n"/>
    </row>
    <row r="72" ht="15" customHeight="1" s="254">
      <c r="A72" s="1308" t="inlineStr">
        <is>
          <t>STEADY-STATE PROJECTION — the greenfield basis, computed here</t>
        </is>
      </c>
    </row>
    <row r="73" hidden="1" outlineLevel="1" ht="27.5" customHeight="1" s="254">
      <c r="A73" s="1432" t="inlineStr">
        <is>
          <t>The model used to compute this downstream, which meant nothing on this sheet could test it. It is computed here so the market cross-check on the Existing tab has something to read on a site with no history.</t>
        </is>
      </c>
      <c r="E73" s="1289" t="n"/>
      <c r="F73" s="1289" t="n"/>
      <c r="G73" s="1289" t="n"/>
    </row>
    <row r="74" hidden="1" outlineLevel="1" ht="27.5" customHeight="1" s="254">
      <c r="A74" s="1552" t="inlineStr">
        <is>
          <t>Power per position (kW)</t>
        </is>
      </c>
      <c r="B74" s="1433">
        <f>IF(N(Equipment!$B$22-$B$107)=0,0,Equipment!$B$26/(Equipment!$B$22-$B$107))</f>
        <v/>
      </c>
      <c r="C74" s="1300" t="inlineStr">
        <is>
          <t>DC positions only: DC output over DC connectors. Level 2 has its own block at the foot of this tab.</t>
        </is>
      </c>
    </row>
    <row r="75" hidden="1" outlineLevel="1" ht="15" customHeight="1" s="254">
      <c r="A75" s="1552" t="inlineStr">
        <is>
          <t>Average delivered power (kW)</t>
        </is>
      </c>
      <c r="B75" s="1433">
        <f>$B$74*$B$15*$B$16</f>
        <v/>
      </c>
      <c r="C75" s="1360" t="inlineStr">
        <is>
          <t>De-rated, then tapered</t>
        </is>
      </c>
      <c r="D75" s="1289" t="n"/>
      <c r="E75" s="1289" t="n"/>
      <c r="F75" s="1289" t="n"/>
      <c r="G75" s="1289" t="n"/>
    </row>
    <row r="76" hidden="1" outlineLevel="1" ht="15" customHeight="1" s="254">
      <c r="A76" s="1552" t="inlineStr">
        <is>
          <t>Charging stall-hours per day</t>
        </is>
      </c>
      <c r="B76" s="1434">
        <f>(Equipment!$B$22-$B$107)*$B$13*$B$12*$B$14</f>
        <v/>
      </c>
      <c r="C76" s="1360" t="inlineStr">
        <is>
          <t>DC positions only.</t>
        </is>
      </c>
      <c r="D76" s="1289" t="n"/>
      <c r="E76" s="1289" t="n"/>
      <c r="F76" s="1289" t="n"/>
      <c r="G76" s="1289" t="n"/>
    </row>
    <row r="77" hidden="1" outlineLevel="1" ht="15" customHeight="1" s="254">
      <c r="A77" s="1552" t="inlineStr">
        <is>
          <t>Steady-state kWh per day</t>
        </is>
      </c>
      <c r="B77" s="1429">
        <f>$B$76*$B$75+$B$112</f>
        <v/>
      </c>
      <c r="C77" s="1300" t="inlineStr">
        <is>
          <t>DC stream plus the Level 2 stream from the block at the foot of this tab.</t>
        </is>
      </c>
    </row>
    <row r="78" hidden="1" outlineLevel="1" ht="15" customHeight="1" s="254">
      <c r="A78" s="1552" t="inlineStr">
        <is>
          <t>Steady-state kWh per year</t>
        </is>
      </c>
      <c r="B78" s="1429">
        <f>$B$77*365</f>
        <v/>
      </c>
      <c r="C78" s="1289" t="n"/>
      <c r="D78" s="1289" t="n"/>
      <c r="E78" s="1289" t="n"/>
      <c r="F78" s="1289" t="n"/>
      <c r="G78" s="1289" t="n"/>
    </row>
    <row r="79" hidden="1" outlineLevel="1" ht="15" customHeight="1" s="254">
      <c r="A79" s="1289" t="n"/>
      <c r="B79" s="1289" t="n"/>
      <c r="C79" s="1289" t="n"/>
      <c r="D79" s="1289" t="n"/>
      <c r="E79" s="1289" t="n"/>
      <c r="F79" s="1289" t="n"/>
      <c r="G79" s="1289" t="n"/>
    </row>
    <row r="80" ht="29" customHeight="1" s="254">
      <c r="A80" s="1299" t="inlineStr">
        <is>
          <t>Tariff provenance and rate-entry checks</t>
        </is>
      </c>
      <c r="B80" s="1289" t="n"/>
      <c r="C80" s="1289" t="n"/>
      <c r="D80" s="1289" t="n"/>
      <c r="E80" s="1289" t="n"/>
      <c r="F80" s="1289" t="n"/>
      <c r="G80" s="1289" t="n"/>
    </row>
    <row r="81" ht="27.5" customHeight="1" s="254">
      <c r="A81" s="1300" t="inlineStr">
        <is>
          <t>Every revenue figure in the model rests on the rate figures above. This block records how much weight they can carry, and the proposal prints it at the point of use rather than in a risk register nobody reads.</t>
        </is>
      </c>
    </row>
    <row r="82" ht="27.5" customHeight="1" s="254">
      <c r="A82" s="1552" t="inlineStr">
        <is>
          <t>Source of the rate figures</t>
        </is>
      </c>
      <c r="B82" s="1292" t="inlineStr">
        <is>
          <t>SCE TOU-EV rate fact sheet, July 2025</t>
        </is>
      </c>
      <c r="C82" s="1300" t="inlineStr">
        <is>
          <t>Where each $/kWh and fixed charge came from — a filed tariff sheet, a rate insert, a bill, or a phone call. Name it. The proposal prints this.</t>
        </is>
      </c>
    </row>
    <row r="83" ht="27.5" customHeight="1" s="254">
      <c r="A83" s="1294" t="inlineStr">
        <is>
          <t>Verified against the filed tariff sheets?</t>
        </is>
      </c>
      <c r="B83" s="1292" t="inlineStr">
        <is>
          <t>No</t>
        </is>
      </c>
      <c r="C83" s="1300" t="inlineStr">
        <is>
          <t>Yes / No. "No" is a perfectly good answer and the proposal will say so at the point of use; what is not acceptable is nobody knowing.</t>
        </is>
      </c>
    </row>
    <row r="84" ht="15" customHeight="1" s="254">
      <c r="A84" s="1552" t="inlineStr">
        <is>
          <t>Verified by / date</t>
        </is>
      </c>
      <c r="B84" s="1292" t="inlineStr">
        <is>
          <t>VP · 2026-09-01</t>
        </is>
      </c>
      <c r="C84" s="1360" t="inlineStr">
        <is>
          <t>Who checked it, and when.</t>
        </is>
      </c>
      <c r="D84" s="1289" t="n"/>
      <c r="E84" s="1289" t="n"/>
      <c r="F84" s="1289" t="n"/>
      <c r="G84" s="1289" t="n"/>
    </row>
    <row r="85" ht="40" customHeight="1" s="254">
      <c r="A85" s="1294" t="inlineStr">
        <is>
          <t>Demand-schedule eligibility threshold</t>
        </is>
      </c>
      <c r="B85" s="1292" t="n"/>
      <c r="C85" s="1300" t="inlineStr">
        <is>
          <t>If this utility moves a customer onto a demand schedule above some monthly consumption, record the threshold and its units here. Leave blank if unknown — blank prints as unconfirmed, which is honest. A figure typed from memory is not.</t>
        </is>
      </c>
    </row>
    <row r="86" ht="27.5" customHeight="1" s="254">
      <c r="A86" s="1294" t="inlineStr">
        <is>
          <t>Would this site cross that threshold?</t>
        </is>
      </c>
      <c r="B86" s="1292" t="n"/>
      <c r="C86" s="1300" t="inlineStr">
        <is>
          <t>Against the steady-state projection at the foot of this tab. If yes, the tariff behind every revenue figure in the model is the wrong one.</t>
        </is>
      </c>
    </row>
    <row r="87" ht="27.5" customHeight="1" s="254">
      <c r="A87" s="1552" t="inlineStr">
        <is>
          <t>Time-of-use shares entered?</t>
        </is>
      </c>
      <c r="B87" s="1325">
        <f>IF(COUNT($B$38:$B$40)=0,"none entered — correct on a flat schedule",IF(ROUND(SUM($B$38:$B$40),4)&lt;&gt;1,"THE THREE SHARES DO NOT SUM TO 100%","ok"))</f>
        <v/>
      </c>
      <c r="C87" s="1300" t="inlineStr">
        <is>
          <t>Blank on a flat schedule is the right answer. A split that does not sum to 100% is not.</t>
        </is>
      </c>
      <c r="E87" s="1289" t="n"/>
      <c r="F87" s="1289" t="n"/>
      <c r="G87" s="1289" t="n"/>
    </row>
    <row r="88" ht="15" customHeight="1" s="254">
      <c r="A88" s="1289" t="n"/>
      <c r="B88" s="1289" t="n"/>
      <c r="C88" s="1289" t="n"/>
      <c r="D88" s="1289" t="n"/>
      <c r="E88" s="1289" t="n"/>
      <c r="F88" s="1289" t="n"/>
      <c r="G88" s="1289" t="n"/>
    </row>
    <row r="89" ht="29" customHeight="1" s="254">
      <c r="A89" s="1299" t="inlineStr">
        <is>
          <t>Tariff figures — the bill, decomposed</t>
        </is>
      </c>
      <c r="B89" s="1289" t="n"/>
      <c r="C89" s="1289" t="n"/>
      <c r="D89" s="1289" t="n"/>
      <c r="E89" s="1289" t="n"/>
      <c r="F89" s="1289" t="n"/>
      <c r="G89" s="1289" t="n"/>
    </row>
    <row r="90" hidden="1" outlineLevel="1" ht="27.5" customHeight="1" s="254">
      <c r="A90" s="1300" t="inlineStr">
        <is>
          <t>One row per component of the bill, so a demand charge cannot hide inside a blended cents-per-kWh figure. Take them from the schedule row in the RateLibrary tab.</t>
        </is>
      </c>
    </row>
    <row r="91" hidden="1" outlineLevel="1" ht="77.5" customHeight="1" s="254">
      <c r="A91" s="1552" t="inlineStr">
        <is>
          <t>Volumetric energy cost ($/kWh)</t>
        </is>
      </c>
      <c r="B91" s="1435" t="n">
        <v>0.28</v>
      </c>
      <c r="C91" s="1300" t="inlineStr">
        <is>
          <t>The per-kWh charge on the chosen schedule, before fixed and demand charges. On a time-of-use schedule blend the library row on the site's load shape (share of energy 8am-4pm / 4-9pm / night) and type the result here — SCE TOU-EV-9 on a daytime-retail shape (45/35/20) is $0.27962/kWh from the Oct 1, 2025 sheet. Never the off-peak rate alone.</t>
        </is>
      </c>
      <c r="E91" s="1289" t="n"/>
      <c r="F91" s="1289" t="n"/>
      <c r="G91" s="1289" t="n"/>
    </row>
    <row r="92" hidden="1" outlineLevel="1" ht="15" customHeight="1" s="254">
      <c r="A92" s="1552" t="inlineStr">
        <is>
          <t>Customer charge ($/month)</t>
        </is>
      </c>
      <c r="B92" s="1436" t="n">
        <v>701.42</v>
      </c>
      <c r="C92" s="1360" t="inlineStr">
        <is>
          <t>The fixed monthly meter charge.</t>
        </is>
      </c>
      <c r="D92" s="1289" t="n"/>
      <c r="E92" s="1289" t="n"/>
      <c r="F92" s="1289" t="n"/>
      <c r="G92" s="1289" t="n"/>
    </row>
    <row r="93" hidden="1" outlineLevel="1" ht="27.5" customHeight="1" s="254">
      <c r="A93" s="1552" t="inlineStr">
        <is>
          <t>Demand charge ($/kW-month)</t>
        </is>
      </c>
      <c r="B93" s="1436" t="n">
        <v>0</v>
      </c>
      <c r="C93" s="1300" t="inlineStr">
        <is>
          <t>Zero on a schedule with no demand charge. This is the figure that decides whether a fast charging site works: at low load factor a demand charge can cost more than all the energy.</t>
        </is>
      </c>
    </row>
    <row r="94" hidden="1" outlineLevel="1" ht="27.5" customHeight="1" s="254">
      <c r="A94" s="1552" t="inlineStr">
        <is>
          <t>Billing demand assumed (kW)</t>
        </is>
      </c>
      <c r="B94" s="1326" t="n"/>
      <c r="C94" s="1300" t="inlineStr">
        <is>
          <t>What the meter will see as the monthly maximum. Full nameplate unless load management caps it. Every kW here costs the demand charge above, twelve times a year.</t>
        </is>
      </c>
    </row>
    <row r="95" hidden="1" outlineLevel="1" ht="52.5" customHeight="1" s="254">
      <c r="A95" s="1552" t="inlineStr">
        <is>
          <t>Annual fixed and demand cost ($/yr)</t>
        </is>
      </c>
      <c r="B95" s="1437">
        <f>12*(N($B$92)+N($B$93)*N($B$94))+N($B$102)</f>
        <v/>
      </c>
      <c r="C95" s="1300"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6" hidden="1" outlineLevel="1" ht="15" customHeight="1" s="254">
      <c r="A96" s="1289" t="n"/>
      <c r="B96" s="1289" t="n"/>
      <c r="C96" s="1289" t="n"/>
      <c r="D96" s="1289" t="n"/>
      <c r="E96" s="1289" t="n"/>
      <c r="F96" s="1289" t="n"/>
      <c r="G96" s="1289" t="n"/>
    </row>
    <row r="97" ht="27.5" customHeight="1" s="254">
      <c r="A97" s="1438" t="inlineStr">
        <is>
          <t>DEMAND SUBSCRIPTION — WHAT THE RAMP ABOVE COSTS</t>
        </is>
      </c>
      <c r="B97" s="1289" t="n"/>
      <c r="C97" s="1289" t="n"/>
      <c r="D97" s="1289" t="n"/>
      <c r="E97" s="1289" t="n"/>
      <c r="F97" s="1289" t="n"/>
      <c r="G97" s="1289" t="n"/>
    </row>
    <row r="98" hidden="1" outlineLevel="1" ht="40" customHeight="1" s="254">
      <c r="A98" s="1300"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idden="1" outlineLevel="1" ht="40" customHeight="1" s="254">
      <c r="A99" s="1552" t="inlineStr">
        <is>
          <t>Subscription block size (kW)</t>
        </is>
      </c>
      <c r="B99" s="1429">
        <f>IFERROR(SUMIFS(RateLibrary!$J$5:$J$74,RateLibrary!$A$5:$A$74,$B$35,RateLibrary!$B$5:$B$74,$B$36),0)</f>
        <v/>
      </c>
      <c r="C99" s="1300" t="inlineStr">
        <is>
          <t>From the rate library row for this utility and schedule. Zero means the library has no block size for it — not that the schedule has no blocks.</t>
        </is>
      </c>
      <c r="E99" s="1289" t="n"/>
      <c r="F99" s="1289" t="n"/>
      <c r="G99" s="1289" t="n"/>
    </row>
    <row r="100" hidden="1" outlineLevel="1" ht="27.5" customHeight="1" s="254">
      <c r="A100" s="1294" t="inlineStr">
        <is>
          <t>Subscription block price ($/block/month)</t>
        </is>
      </c>
      <c r="B100" s="1424">
        <f>IFERROR(SUMIFS(RateLibrary!$K$5:$K$74,RateLibrary!$A$5:$A$74,$B$35,RateLibrary!$B$5:$B$74,$B$36),0)</f>
        <v/>
      </c>
      <c r="C100" s="1360" t="inlineStr">
        <is>
          <t>From the same library row.</t>
        </is>
      </c>
      <c r="D100" s="1289" t="n"/>
      <c r="E100" s="1289" t="n"/>
      <c r="F100" s="1289" t="n"/>
      <c r="G100" s="1289" t="n"/>
    </row>
    <row r="101" hidden="1" outlineLevel="1" ht="27.5" customHeight="1" s="254">
      <c r="A101" s="1552" t="inlineStr">
        <is>
          <t>Blocks subscribed</t>
        </is>
      </c>
      <c r="B101" s="1429">
        <f>IF(OR(N($B$99)=0,N($B$42)=0),0,ROUNDUP($B$42/$B$99,0))</f>
        <v/>
      </c>
      <c r="C101" s="1300" t="inlineStr">
        <is>
          <t>Subscribed kW over the block size, rounded up.</t>
        </is>
      </c>
      <c r="D101" s="1289" t="n"/>
      <c r="E101" s="1289" t="n"/>
      <c r="F101" s="1289" t="n"/>
      <c r="G101" s="1289" t="n"/>
    </row>
    <row r="102" hidden="1" outlineLevel="1" ht="27.5" customHeight="1" s="254">
      <c r="A102" s="1552" t="inlineStr">
        <is>
          <t>Subscription cost ($/yr)</t>
        </is>
      </c>
      <c r="B102" s="1424">
        <f>N($B$101)*N($B$100)*12</f>
        <v/>
      </c>
      <c r="C102" s="1300" t="inlineStr">
        <is>
          <t>Blocks times the block price times twelve. This is the line that decides whether a high-capacity, low-utilisation site works.</t>
        </is>
      </c>
      <c r="E102" s="1289" t="n"/>
      <c r="F102" s="1289" t="n"/>
      <c r="G102" s="1289" t="n"/>
    </row>
    <row r="103" hidden="1" outlineLevel="1" ht="52.5" customHeight="1" s="254">
      <c r="A103" s="1552" t="inlineStr">
        <is>
          <t>Subscription cost basis</t>
        </is>
      </c>
      <c r="B103" s="1439">
        <f>IF(AND(N($B$93)=0,N($B$99)=0,COUNTIFS(RateLibrary!$A$5:$A$74,$B$35,RateLibrary!$B$5:$B$74,$B$36,RateLibrary!$P$5:$P$74,"VERIFIED*")&gt;0),"n/a — no capacity charge on this schedule: no demand charge and no subscription block on the verified library row",IF(N($B$93)&gt;0,"n/a — demand-charge schedule: capacity is priced by the demand charge on rows 93–95, not by subscription",IF(N($B$42)=0,"n/a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1300" t="inlineStr">
        <is>
          <t>If this reads UNPRICED, check the rate library row for the schedule named above BEFORE asking the utility for figures — a lookup pointing at the wrong cell returns zero exactly the same way a missing library row does.</t>
        </is>
      </c>
      <c r="F103" s="1289" t="n"/>
      <c r="G103" s="1289" t="n"/>
    </row>
    <row r="104" hidden="1" outlineLevel="1" ht="15" customHeight="1" s="254">
      <c r="A104" s="1289" t="n"/>
      <c r="B104" s="1289" t="n"/>
      <c r="C104" s="1289" t="n"/>
      <c r="D104" s="1289" t="n"/>
      <c r="E104" s="1289" t="n"/>
      <c r="F104" s="1289" t="n"/>
      <c r="G104" s="1289" t="n"/>
    </row>
    <row r="105" ht="29" customHeight="1" s="254">
      <c r="A105" s="1299" t="inlineStr">
        <is>
          <t>LEVEL 2 STREAM — on its own physics</t>
        </is>
      </c>
      <c r="B105" s="1289" t="n"/>
      <c r="C105" s="1289" t="n"/>
      <c r="D105" s="1289" t="n"/>
      <c r="E105" s="1289" t="n"/>
      <c r="F105" s="1289" t="n"/>
      <c r="G105" s="1289" t="n"/>
    </row>
    <row r="106" ht="65" customHeight="1" s="254">
      <c r="A106" s="1432"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c r="E106" s="1289" t="n"/>
      <c r="F106" s="1289" t="n"/>
      <c r="G106" s="1289" t="n"/>
    </row>
    <row r="107" ht="15" customHeight="1" s="254">
      <c r="A107" s="1552" t="inlineStr">
        <is>
          <t>Level 2 positions</t>
        </is>
      </c>
      <c r="B107" s="1429">
        <f>SUMPRODUCT((Equipment!$E$7:$E$18="level_2")*Equipment!$H$7:$H$18*Equipment!$I$7:$I$18)</f>
        <v/>
      </c>
      <c r="C107" s="1300" t="inlineStr">
        <is>
          <t>Connectors on Level 2 units, from the Equipment tab.</t>
        </is>
      </c>
    </row>
    <row r="108" ht="15" customHeight="1" s="254">
      <c r="A108" s="1552" t="inlineStr">
        <is>
          <t>Power per Level 2 position (kW)</t>
        </is>
      </c>
      <c r="B108" s="1434">
        <f>IF(N($B$107)=0,0,SUMPRODUCT((Equipment!$E$7:$E$18="level_2")*Equipment!$G$7:$G$18*Equipment!$I$7:$I$18)/$B$107)</f>
        <v/>
      </c>
      <c r="C108" s="1300" t="inlineStr">
        <is>
          <t>AC input at the Level 2 supply voltage stated on the Equipment tab, per connector.</t>
        </is>
      </c>
    </row>
    <row r="109" ht="27.5" customHeight="1" s="254">
      <c r="A109" s="1294" t="inlineStr">
        <is>
          <t>Benchmark Level 2 kWh per port per day</t>
        </is>
      </c>
      <c r="B109" s="1434">
        <f>IF($B$45="",0,IFERROR(INDEX(BM_L2_KWH,MATCH($B$45,BM_L2_STATE,0)),0))</f>
        <v/>
      </c>
      <c r="C109" s="1300" t="inlineStr">
        <is>
          <t>From the Level 2 market table on RefData for the state chosen above. Zero means no state was chosen or the state has no Level 2 row.</t>
        </is>
      </c>
    </row>
    <row r="110" ht="40" customHeight="1" s="254">
      <c r="A110" s="1294" t="inlineStr">
        <is>
          <t>Level 2 kWh per port per day — site override</t>
        </is>
      </c>
      <c r="B110" s="1440" t="n"/>
      <c r="C110" s="1300" t="inlineStr">
        <is>
          <t>Leave blank to project at the benchmark. Enter a figure only with a reason the proposal can print: metered history on this site, or a host type with overnight dwell. The row below says which is in force.</t>
        </is>
      </c>
    </row>
    <row r="111" ht="15" customHeight="1" s="254">
      <c r="A111" s="1294" t="inlineStr">
        <is>
          <t>Level 2 kWh per port per day in force</t>
        </is>
      </c>
      <c r="B111" s="1434">
        <f>IF(N($B$110)&gt;0,$B$110,$B$109)</f>
        <v/>
      </c>
      <c r="C111" s="1441" t="inlineStr"/>
      <c r="D111" s="1289" t="n"/>
      <c r="E111" s="1289" t="n"/>
      <c r="F111" s="1289" t="n"/>
      <c r="G111" s="1289" t="n"/>
    </row>
    <row r="112" ht="27.5" customHeight="1" s="254">
      <c r="A112" s="1552" t="inlineStr">
        <is>
          <t>Level 2 kWh per day</t>
        </is>
      </c>
      <c r="B112" s="1429">
        <f>$B$107*$B$111</f>
        <v/>
      </c>
      <c r="C112" s="1300" t="inlineStr">
        <is>
          <t>Site total. The model engine reads this row; the Carbon tab derives the consumption credit from it.</t>
        </is>
      </c>
    </row>
    <row r="113" ht="27.5" customHeight="1" s="254">
      <c r="A113" s="1294" t="inlineStr">
        <is>
          <t>Level 2 site factor against the benchmark</t>
        </is>
      </c>
      <c r="B113" s="1442">
        <f>IF(N($B$109)=0,0,$B$111/$B$109)</f>
        <v/>
      </c>
      <c r="C113" s="1300" t="inlineStr">
        <is>
          <t>Above 100% means this site is assumed to beat the average public Level 2 port.</t>
        </is>
      </c>
    </row>
    <row r="114" ht="15" customHeight="1" s="254">
      <c r="A114" s="1552" t="inlineStr">
        <is>
          <t>Level 2 basis</t>
        </is>
      </c>
      <c r="B114" s="1443">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1441" t="n"/>
      <c r="D114" s="1289" t="n"/>
      <c r="E114" s="1289" t="n"/>
      <c r="F114" s="1289" t="n"/>
      <c r="G114" s="1289" t="n"/>
    </row>
    <row r="115" ht="27.5" customHeight="1" s="254">
      <c r="A115" s="1552" t="inlineStr">
        <is>
          <t>Average concurrent DC positions</t>
        </is>
      </c>
      <c r="B115" s="1434">
        <f>$B$76/24</f>
        <v/>
      </c>
      <c r="C115" s="1300" t="inlineStr">
        <is>
          <t>DC charging stall-hours over twenty-four hours.</t>
        </is>
      </c>
      <c r="D115" s="1289" t="n"/>
      <c r="E115" s="1289" t="n"/>
      <c r="F115" s="1289" t="n"/>
      <c r="G115" s="1289" t="n"/>
    </row>
    <row r="116" ht="15" customHeight="1" s="254">
      <c r="A116" s="1552" t="inlineStr">
        <is>
          <t>Average concurrent Level 2 positions</t>
        </is>
      </c>
      <c r="B116" s="1434">
        <f>IF(N($B$108)*N($B$15)=0,0,$B$112/(24*$B$108*$B$15))</f>
        <v/>
      </c>
      <c r="C116" s="1300" t="inlineStr">
        <is>
          <t>Level 2 kWh per day over twenty-four hours of de-rated Level 2 power.</t>
        </is>
      </c>
    </row>
    <row r="117" ht="27.5" customHeight="1" s="254">
      <c r="A117" s="1294" t="inlineStr">
        <is>
          <t>Average concurrent positions, all streams</t>
        </is>
      </c>
      <c r="B117" s="1434">
        <f>$B$115+$B$116</f>
        <v/>
      </c>
      <c r="C117" s="1300" t="inlineStr">
        <is>
          <t>What the peak-to-average factor above is applied to.</t>
        </is>
      </c>
    </row>
  </sheetData>
  <sheetProtection selectLockedCells="0" selectUnlockedCells="0" sheet="1" objects="0" insertRows="1" insertHyperlinks="1" autoFilter="1" scenarios="0" formatColumns="0" deleteColumns="1" insertColumns="1" pivotTables="1" deleteRows="1" formatCells="0" formatRows="0" sort="1"/>
  <mergeCells count="61">
    <mergeCell ref="A32:G32"/>
    <mergeCell ref="C77:G77"/>
    <mergeCell ref="C6:D6"/>
    <mergeCell ref="C83:G83"/>
    <mergeCell ref="A106:D106"/>
    <mergeCell ref="C86:G86"/>
    <mergeCell ref="C42:G42"/>
    <mergeCell ref="C108:G108"/>
    <mergeCell ref="A49:E49"/>
    <mergeCell ref="D68:G68"/>
    <mergeCell ref="C116:G116"/>
    <mergeCell ref="B66:C66"/>
    <mergeCell ref="A72:G72"/>
    <mergeCell ref="C107:G107"/>
    <mergeCell ref="C45:G45"/>
    <mergeCell ref="D67:G67"/>
    <mergeCell ref="A81:G81"/>
    <mergeCell ref="C74:G74"/>
    <mergeCell ref="C64:D64"/>
    <mergeCell ref="C35:D35"/>
    <mergeCell ref="A58:G58"/>
    <mergeCell ref="C113:G113"/>
    <mergeCell ref="C109:G109"/>
    <mergeCell ref="C85:G85"/>
    <mergeCell ref="C54:G54"/>
    <mergeCell ref="C112:G112"/>
    <mergeCell ref="B67:C67"/>
    <mergeCell ref="C94:G94"/>
    <mergeCell ref="C99:D99"/>
    <mergeCell ref="C41:G41"/>
    <mergeCell ref="A24:G24"/>
    <mergeCell ref="C117:G117"/>
    <mergeCell ref="C93:G93"/>
    <mergeCell ref="A73:D73"/>
    <mergeCell ref="C40:D40"/>
    <mergeCell ref="C55:G55"/>
    <mergeCell ref="A98:G98"/>
    <mergeCell ref="A57:G57"/>
    <mergeCell ref="C59:D59"/>
    <mergeCell ref="C56:G56"/>
    <mergeCell ref="C46:D46"/>
    <mergeCell ref="A70:G70"/>
    <mergeCell ref="C95:G95"/>
    <mergeCell ref="A33:E33"/>
    <mergeCell ref="C36:G36"/>
    <mergeCell ref="A90:G90"/>
    <mergeCell ref="C52:G52"/>
    <mergeCell ref="C110:G110"/>
    <mergeCell ref="C91:D91"/>
    <mergeCell ref="C7:G7"/>
    <mergeCell ref="B68:C68"/>
    <mergeCell ref="C82:G82"/>
    <mergeCell ref="C38:G38"/>
    <mergeCell ref="D66:G66"/>
    <mergeCell ref="A1:F1"/>
    <mergeCell ref="C37:D37"/>
    <mergeCell ref="A2:G2"/>
    <mergeCell ref="C53:G53"/>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Utilities!$H$5:$H$30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filterMode="0">
    <tabColor rgb="002E7D5B"/>
    <outlinePr summaryBelow="0"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1"/>
  <cols>
    <col width="36" customWidth="1" style="253" min="1" max="1"/>
    <col width="30" customWidth="1" style="253" min="2" max="2"/>
    <col width="54" customWidth="1" style="253" min="3" max="3"/>
    <col width="9" customWidth="1" style="253" min="4" max="4"/>
    <col width="9" customWidth="1" style="254" min="5" max="6"/>
  </cols>
  <sheetData>
    <row r="1" ht="15" customHeight="1" s="254">
      <c r="A1" s="1543" t="inlineStr">
        <is>
          <t>7 · CARBON CREDITS AND INCENTIVES</t>
        </is>
      </c>
    </row>
    <row r="2" ht="15" customHeight="1" s="254">
      <c r="A2" s="1288" t="inlineStr">
        <is>
          <t>The FCI capacity credit is usually the most reliable revenue in the model. Treat its inputs accordingly.</t>
        </is>
      </c>
    </row>
    <row r="3" ht="15" customHeight="1" s="254">
      <c r="A3" s="1289" t="n"/>
      <c r="B3" s="1289" t="n"/>
      <c r="C3" s="1289" t="n"/>
      <c r="D3" s="1289" t="n"/>
      <c r="E3" s="1289" t="n"/>
      <c r="F3" s="1289" t="n"/>
    </row>
    <row r="4" ht="15" customHeight="1" s="254">
      <c r="A4" s="1551" t="inlineStr">
        <is>
          <t>LCFS / FCI capacity credit</t>
        </is>
      </c>
      <c r="B4" s="1289" t="n"/>
      <c r="C4" s="1289" t="n"/>
      <c r="D4" s="1289" t="n"/>
      <c r="E4" s="1289" t="n"/>
      <c r="F4" s="1289" t="n"/>
    </row>
    <row r="5" ht="27.5" customHeight="1" s="254">
      <c r="A5" s="1294" t="inlineStr">
        <is>
          <t>Site qualifies for FCI capacity credits?</t>
        </is>
      </c>
      <c r="B5" s="1553" t="inlineStr">
        <is>
          <t>Yes</t>
        </is>
      </c>
      <c r="C5" s="1302" t="inlineStr">
        <is>
          <t>Yes / No / Pending</t>
        </is>
      </c>
      <c r="D5" s="1289" t="n"/>
      <c r="E5" s="1289" t="n"/>
      <c r="F5" s="1289" t="n"/>
    </row>
    <row r="6" ht="15" customHeight="1" s="254">
      <c r="A6" s="1552" t="inlineStr">
        <is>
          <t>Permit clears the 1 Jan 2022 test?</t>
        </is>
      </c>
      <c r="B6" s="1553" t="inlineStr">
        <is>
          <t>Yes</t>
        </is>
      </c>
      <c r="C6" s="1302" t="inlineStr">
        <is>
          <t>Yes / No</t>
        </is>
      </c>
      <c r="D6" s="1289" t="n"/>
      <c r="E6" s="1289" t="n"/>
      <c r="F6" s="1289" t="n"/>
    </row>
    <row r="7" ht="15" customHeight="1" s="254">
      <c r="A7" s="1552" t="inlineStr">
        <is>
          <t>Application filed?</t>
        </is>
      </c>
      <c r="B7" s="1553" t="inlineStr">
        <is>
          <t>No</t>
        </is>
      </c>
      <c r="C7" s="1302" t="inlineStr">
        <is>
          <t>Yes / No — with date</t>
        </is>
      </c>
      <c r="D7" s="1289" t="n"/>
      <c r="E7" s="1289" t="n"/>
      <c r="F7" s="1289" t="n"/>
    </row>
    <row r="8" ht="15" customHeight="1" s="254">
      <c r="A8" s="1552" t="inlineStr">
        <is>
          <t>Registered aggregator</t>
        </is>
      </c>
      <c r="B8" s="1553" t="inlineStr">
        <is>
          <t>Registered aggregator LLC</t>
        </is>
      </c>
      <c r="C8" s="1289" t="n"/>
      <c r="D8" s="1289" t="n"/>
      <c r="E8" s="1289" t="n"/>
      <c r="F8" s="1289" t="n"/>
    </row>
    <row r="9" ht="27.5" customHeight="1" s="254">
      <c r="A9" s="1552" t="inlineStr">
        <is>
          <t>Aggregator share of credit value</t>
        </is>
      </c>
      <c r="B9" s="1391" t="n">
        <v>0.05</v>
      </c>
      <c r="C9" s="1288" t="inlineStr">
        <is>
          <t>Third-party administrator. Not our scope — a deduction from proceeds, disclosed as a cost.</t>
        </is>
      </c>
      <c r="E9" s="1289" t="n"/>
      <c r="F9" s="1289" t="n"/>
    </row>
    <row r="10" ht="15" customHeight="1" s="254">
      <c r="A10" s="1552" t="inlineStr">
        <is>
          <t>FCI credit rate ($/kW/yr)</t>
        </is>
      </c>
      <c r="B10" s="1444" t="n">
        <v>71.66670000000001</v>
      </c>
      <c r="C10" s="1302" t="inlineStr">
        <is>
          <t>Confirm with the aggregator in writing</t>
        </is>
      </c>
      <c r="D10" s="1289" t="n"/>
      <c r="E10" s="1289" t="n"/>
      <c r="F10" s="1289" t="n"/>
    </row>
    <row r="11" ht="15" customHeight="1" s="254">
      <c r="A11" s="1552" t="inlineStr">
        <is>
          <t>Crediting period (years)</t>
        </is>
      </c>
      <c r="B11" s="1304" t="n">
        <v>10</v>
      </c>
      <c r="C11" s="1289" t="n"/>
      <c r="D11" s="1289" t="n"/>
      <c r="E11" s="1289" t="n"/>
      <c r="F11" s="1289" t="n"/>
    </row>
    <row r="12" ht="27.5" customHeight="1" s="254">
      <c r="A12" s="1552" t="inlineStr">
        <is>
          <t>Gross capacity credit per year</t>
        </is>
      </c>
      <c r="B12" s="1347">
        <f>Equipment!$B$26*B10</f>
        <v/>
      </c>
      <c r="C12" s="1288" t="inlineStr">
        <is>
          <t>DC fast-charging capacity only — the FCI credit does not pay on Level 2.</t>
        </is>
      </c>
      <c r="E12" s="1289" t="n"/>
      <c r="F12" s="1289" t="n"/>
    </row>
    <row r="13" ht="15" customHeight="1" s="254">
      <c r="A13" s="1552" t="inlineStr">
        <is>
          <t>Net of aggregator share, per year</t>
        </is>
      </c>
      <c r="B13" s="1347">
        <f>B12*(1-B9)</f>
        <v/>
      </c>
      <c r="C13" s="1289" t="n"/>
      <c r="D13" s="1289" t="n"/>
      <c r="E13" s="1289" t="n"/>
      <c r="F13" s="1289" t="n"/>
    </row>
    <row r="14" ht="15" customHeight="1" s="254">
      <c r="A14" s="1552" t="inlineStr">
        <is>
          <t>Gross across crediting period</t>
        </is>
      </c>
      <c r="B14" s="1347">
        <f>B12*B11</f>
        <v/>
      </c>
      <c r="C14" s="1289" t="n"/>
      <c r="D14" s="1289" t="n"/>
      <c r="E14" s="1289" t="n"/>
      <c r="F14" s="1289" t="n"/>
    </row>
    <row r="15" ht="15" customHeight="1" s="254">
      <c r="A15" s="1289" t="n"/>
      <c r="B15" s="1289" t="n"/>
      <c r="C15" s="1289" t="n"/>
      <c r="D15" s="1289" t="n"/>
      <c r="E15" s="1289" t="n"/>
      <c r="F15" s="1289" t="n"/>
    </row>
    <row r="16" ht="15" customHeight="1" s="254">
      <c r="A16" s="1551" t="inlineStr">
        <is>
          <t>Consumption credits (Level 2)</t>
        </is>
      </c>
      <c r="B16" s="1289" t="n"/>
      <c r="C16" s="1289" t="n"/>
      <c r="D16" s="1289" t="n"/>
      <c r="E16" s="1289" t="n"/>
      <c r="F16" s="1289" t="n"/>
    </row>
    <row r="17" ht="77.5" customHeight="1" s="254">
      <c r="A17" s="1552" t="inlineStr">
        <is>
          <t>L2 consumption credit ($/kWh)</t>
        </is>
      </c>
      <c r="B17" s="1445" t="n">
        <v>0.0045</v>
      </c>
      <c r="C17" s="1288"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row>
    <row r="18" ht="27.5" customHeight="1" s="254">
      <c r="A18" s="1552" t="inlineStr">
        <is>
          <t>Site-total L2 kWh per day</t>
        </is>
      </c>
      <c r="B18" s="1446">
        <f>Revenue!$B$112</f>
        <v/>
      </c>
      <c r="C18" s="1288" t="inlineStr">
        <is>
          <t>Derived from the Level 2 stream on the Revenue tab. It used to be typed here as well, and on the first all-Level-2 site it was left blank.</t>
        </is>
      </c>
    </row>
    <row r="19" ht="15" customHeight="1" s="254">
      <c r="A19" s="1289" t="n"/>
      <c r="B19" s="1289" t="n"/>
      <c r="C19" s="1289" t="n"/>
      <c r="D19" s="1289" t="n"/>
      <c r="E19" s="1289" t="n"/>
      <c r="F19" s="1289" t="n"/>
    </row>
    <row r="20" ht="15" customHeight="1" s="254">
      <c r="A20" s="1551" t="inlineStr">
        <is>
          <t>Cap test</t>
        </is>
      </c>
      <c r="B20" s="1289" t="n"/>
      <c r="C20" s="1289" t="n"/>
      <c r="D20" s="1289" t="n"/>
      <c r="E20" s="1289" t="n"/>
      <c r="F20" s="1289" t="n"/>
    </row>
    <row r="21" hidden="1" outlineLevel="1" ht="15" customHeight="1" s="254">
      <c r="A21" s="1552" t="inlineStr">
        <is>
          <t>Cap multiple of net capex</t>
        </is>
      </c>
      <c r="B21" s="1430" t="n">
        <v>1.5</v>
      </c>
      <c r="C21" s="1302" t="inlineStr">
        <is>
          <t>FCI revenue stops at this multiple</t>
        </is>
      </c>
      <c r="D21" s="1289" t="n"/>
      <c r="E21" s="1289" t="n"/>
      <c r="F21" s="1289" t="n"/>
    </row>
    <row r="22" hidden="1" outlineLevel="1" ht="15" customHeight="1" s="254">
      <c r="A22" s="1552" t="inlineStr">
        <is>
          <t>Grants or rebates awarded</t>
        </is>
      </c>
      <c r="B22" s="1447" t="n">
        <v>0</v>
      </c>
      <c r="C22" s="1302" t="inlineStr">
        <is>
          <t>Reduces net capex and therefore the cap</t>
        </is>
      </c>
      <c r="D22" s="1289" t="n"/>
      <c r="E22" s="1289" t="n"/>
      <c r="F22" s="1289" t="n"/>
    </row>
    <row r="23" hidden="1" outlineLevel="1" ht="15" customHeight="1" s="254">
      <c r="A23" s="1289" t="n"/>
      <c r="B23" s="1289" t="n"/>
      <c r="C23" s="1289" t="n"/>
      <c r="D23" s="1289" t="n"/>
      <c r="E23" s="1289" t="n"/>
      <c r="F23" s="1289" t="n"/>
    </row>
    <row r="24" ht="15" customHeight="1" s="254">
      <c r="A24" s="1551" t="inlineStr">
        <is>
          <t>Federal and state incentives</t>
        </is>
      </c>
      <c r="B24" s="1289" t="n"/>
      <c r="C24" s="1289" t="n"/>
      <c r="D24" s="1289" t="n"/>
      <c r="E24" s="1289" t="n"/>
      <c r="F24" s="1289" t="n"/>
    </row>
    <row r="25" ht="15" customHeight="1" s="254">
      <c r="A25" s="1552" t="inlineStr">
        <is>
          <t>Federal ITC claimed?</t>
        </is>
      </c>
      <c r="B25" s="1553" t="inlineStr">
        <is>
          <t>No</t>
        </is>
      </c>
      <c r="C25" s="1288" t="inlineStr">
        <is>
          <t>Sec 30C ended for property in service after 30 Jun 2026</t>
        </is>
      </c>
    </row>
    <row r="26" ht="15" customHeight="1" s="254">
      <c r="A26" s="1552" t="inlineStr">
        <is>
          <t>State programme evaluated</t>
        </is>
      </c>
      <c r="B26" s="1553" t="inlineStr">
        <is>
          <t>Fast Charge California</t>
        </is>
      </c>
      <c r="C26" s="1288" t="inlineStr">
        <is>
          <t>e.g. Fast Charge California — name it even if it does not qualify</t>
        </is>
      </c>
      <c r="E26" s="1289" t="n"/>
      <c r="F26" s="1289" t="n"/>
    </row>
    <row r="27" ht="15" customHeight="1" s="254">
      <c r="A27" s="1552" t="inlineStr">
        <is>
          <t>State programme outcome</t>
        </is>
      </c>
      <c r="B27" s="1553" t="inlineStr">
        <is>
          <t>Does not qualify</t>
        </is>
      </c>
      <c r="C27" s="1288" t="inlineStr">
        <is>
          <t>Qualifies / Does not qualify / Applied — with the reason</t>
        </is>
      </c>
      <c r="E27" s="1289" t="n"/>
      <c r="F27" s="1289" t="n"/>
    </row>
    <row r="28" ht="15" customHeight="1" s="254">
      <c r="A28" s="1289" t="n"/>
      <c r="B28" s="1289" t="n"/>
      <c r="C28" s="1289" t="n"/>
      <c r="D28" s="1289" t="n"/>
      <c r="E28" s="1289" t="n"/>
      <c r="F28" s="1289" t="n"/>
    </row>
    <row r="29" ht="15" customHeight="1" s="254">
      <c r="A29" s="1551" t="inlineStr">
        <is>
          <t>Level 2 credit and consistency</t>
        </is>
      </c>
      <c r="B29" s="1289" t="n"/>
      <c r="C29" s="1289" t="n"/>
      <c r="D29" s="1289" t="n"/>
      <c r="E29" s="1289" t="n"/>
      <c r="F29" s="1289" t="n"/>
    </row>
    <row r="30" hidden="1" outlineLevel="1" ht="15" customHeight="1" s="254">
      <c r="A30" s="1552" t="inlineStr">
        <is>
          <t>Level 2 credit per year (gross)</t>
        </is>
      </c>
      <c r="B30" s="1448">
        <f>$B$17*$B$18*365</f>
        <v/>
      </c>
      <c r="C30" s="1395" t="inlineStr"/>
      <c r="D30" s="1289" t="n"/>
      <c r="E30" s="1289" t="n"/>
      <c r="F30" s="1289" t="n"/>
    </row>
    <row r="31" hidden="1" outlineLevel="1" ht="27.5" customHeight="1" s="254">
      <c r="A31" s="1294" t="inlineStr">
        <is>
          <t>Level 2 credit per year, net of aggregator share</t>
        </is>
      </c>
      <c r="B31" s="1448">
        <f>$B$30*(1-$B$9)</f>
        <v/>
      </c>
      <c r="C31" s="1395" t="inlineStr"/>
      <c r="D31" s="1289" t="n"/>
      <c r="E31" s="1289" t="n"/>
      <c r="F31" s="1289" t="n"/>
    </row>
    <row r="32" hidden="1" outlineLevel="1" ht="52.5" customHeight="1" s="254">
      <c r="A32" s="1552" t="inlineStr">
        <is>
          <t>FCI answer against the equipment</t>
        </is>
      </c>
      <c r="B32" s="1449">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1288" t="inlineStr">
        <is>
          <t>The capacity credit is issued on installed DC fast-charging capacity. Level 2 does not qualify, and a Yes here on a Level 2 site used to produce a silent $0.</t>
        </is>
      </c>
    </row>
  </sheetData>
  <sheetProtection selectLockedCells="0" selectUnlockedCells="0" sheet="1" objects="0" insertRows="1" insertHyperlinks="1" autoFilter="1" scenarios="0" formatColumns="0" deleteColumns="1" insertColumns="1" pivotTables="1" deleteRows="1" formatCells="0" formatRows="0" sort="1"/>
  <mergeCells count="10">
    <mergeCell ref="A2:F2"/>
    <mergeCell ref="C12:D12"/>
    <mergeCell ref="C18:F18"/>
    <mergeCell ref="C32:F32"/>
    <mergeCell ref="C17:F17"/>
    <mergeCell ref="A1:F1"/>
    <mergeCell ref="C27:D27"/>
    <mergeCell ref="C25:F25"/>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36" customWidth="1" style="253" min="1" max="1"/>
    <col width="30" customWidth="1" style="253" min="2" max="2"/>
    <col width="50" customWidth="1" style="253" min="3" max="3"/>
    <col width="24" customWidth="1" style="253" min="4" max="4"/>
    <col width="9" customWidth="1" style="254" min="5" max="5"/>
  </cols>
  <sheetData>
    <row r="1" ht="15" customHeight="1" s="254">
      <c r="A1" s="1543" t="inlineStr">
        <is>
          <t>8 · DEAL STRUCTURE (OPTIONAL)</t>
        </is>
      </c>
    </row>
    <row r="2" ht="15" customHeight="1" s="254">
      <c r="A2" s="1288" t="inlineStr">
        <is>
          <t>Leave every knob at zero for a straight sale. Fill them in only when we are trading price for a share of the upside.</t>
        </is>
      </c>
    </row>
    <row r="3" ht="15" customHeight="1" s="254">
      <c r="A3" s="1289" t="n"/>
      <c r="B3" s="1289" t="n"/>
      <c r="C3" s="1289" t="n"/>
      <c r="D3" s="1289" t="n"/>
      <c r="E3" s="1289" t="n"/>
    </row>
    <row r="4" ht="15" customHeight="1" s="254">
      <c r="A4" s="1552" t="inlineStr">
        <is>
          <t>•</t>
        </is>
      </c>
      <c r="B4" s="1265" t="inlineStr">
        <is>
          <t>This tab is optional. Zero everywhere means a conventional sale and the model runs exactly as it does today.</t>
        </is>
      </c>
    </row>
    <row r="5" ht="27.5" customHeight="1" s="254">
      <c r="A5" s="1552" t="inlineStr">
        <is>
          <t>•</t>
        </is>
      </c>
      <c r="B5" s="1265" t="inlineStr">
        <is>
          <t>Use it when we want to lower the client's price in return for keeping part of the carbon credit or the charging revenue.</t>
        </is>
      </c>
    </row>
    <row r="6" ht="27.5" customHeight="1" s="254">
      <c r="A6" s="1552" t="inlineStr">
        <is>
          <t>•</t>
        </is>
      </c>
      <c r="B6" s="1265" t="inlineStr">
        <is>
          <t>The model reports both sides — what the client nets and what we net on the capital we put in — so a structure can be judged before it is offered.</t>
        </is>
      </c>
    </row>
    <row r="7" ht="15" customHeight="1" s="254">
      <c r="A7" s="1289" t="n"/>
      <c r="B7" s="1289" t="n"/>
      <c r="C7" s="1289" t="n"/>
      <c r="D7" s="1289" t="n"/>
      <c r="E7" s="1289" t="n"/>
    </row>
    <row r="8" ht="15" customHeight="1" s="254">
      <c r="A8" s="1551" t="inlineStr">
        <is>
          <t>What we keep</t>
        </is>
      </c>
      <c r="B8" s="1289" t="n"/>
      <c r="C8" s="1289" t="n"/>
      <c r="D8" s="1289" t="n"/>
      <c r="E8" s="1289" t="n"/>
    </row>
    <row r="9" ht="15" customHeight="1" s="254">
      <c r="A9" s="1552" t="inlineStr">
        <is>
          <t>Structure name</t>
        </is>
      </c>
      <c r="B9" s="1553" t="inlineStr">
        <is>
          <t>Carbon share test</t>
        </is>
      </c>
      <c r="C9" s="1288" t="inlineStr">
        <is>
          <t>A label so a reader knows which structure this is</t>
        </is>
      </c>
    </row>
    <row r="10" ht="15" customHeight="1" s="254">
      <c r="A10" s="1552" t="inlineStr">
        <is>
          <t>Our share of the net carbon credit</t>
        </is>
      </c>
      <c r="B10" s="1391" t="n">
        <v>0.5</v>
      </c>
      <c r="C10" s="1302" t="inlineStr">
        <is>
          <t>0% = client keeps all of it</t>
        </is>
      </c>
      <c r="D10" s="1289" t="n"/>
      <c r="E10" s="1289" t="n"/>
    </row>
    <row r="11" ht="15" customHeight="1" s="254">
      <c r="A11" s="1552" t="inlineStr">
        <is>
          <t>Our share of charging revenue</t>
        </is>
      </c>
      <c r="B11" s="1391" t="n">
        <v>0.1</v>
      </c>
      <c r="C11" s="1302" t="inlineStr">
        <is>
          <t>0% = client keeps all of it</t>
        </is>
      </c>
      <c r="D11" s="1289" t="n"/>
      <c r="E11" s="1289" t="n"/>
    </row>
    <row r="12" ht="15" customHeight="1" s="254">
      <c r="A12" s="1552" t="inlineStr">
        <is>
          <t>Revenue share is taken on</t>
        </is>
      </c>
      <c r="B12" s="1553" t="inlineStr">
        <is>
          <t>Net charging profit</t>
        </is>
      </c>
      <c r="C12" s="1302" t="inlineStr">
        <is>
          <t>Net charging profit / Gross revenue</t>
        </is>
      </c>
      <c r="D12" s="1289" t="n"/>
      <c r="E12" s="1289" t="n"/>
    </row>
    <row r="13" ht="15" customHeight="1" s="254">
      <c r="A13" s="1552" t="inlineStr">
        <is>
          <t>Share runs for (years)</t>
        </is>
      </c>
      <c r="B13" s="1326" t="n">
        <v>10</v>
      </c>
      <c r="C13" s="1302" t="inlineStr">
        <is>
          <t>Cannot exceed the model horizon</t>
        </is>
      </c>
      <c r="D13" s="1289" t="n"/>
      <c r="E13" s="1289" t="n"/>
    </row>
    <row r="14" ht="15" customHeight="1" s="254">
      <c r="A14" s="1289" t="n"/>
      <c r="B14" s="1289" t="n"/>
      <c r="C14" s="1289" t="n"/>
      <c r="D14" s="1289" t="n"/>
      <c r="E14" s="1289" t="n"/>
    </row>
    <row r="15" ht="15" customHeight="1" s="254">
      <c r="A15" s="1551" t="inlineStr">
        <is>
          <t>What we give in return</t>
        </is>
      </c>
      <c r="B15" s="1289" t="n"/>
      <c r="C15" s="1289" t="n"/>
      <c r="D15" s="1289" t="n"/>
      <c r="E15" s="1289" t="n"/>
    </row>
    <row r="16" ht="15" customHeight="1" s="254">
      <c r="A16" s="1552" t="inlineStr">
        <is>
          <t>Extra discount on charger hardware</t>
        </is>
      </c>
      <c r="B16" s="1391" t="n">
        <v>0.05</v>
      </c>
      <c r="C16" s="1302" t="inlineStr">
        <is>
          <t>On top of the discount already in the base price</t>
        </is>
      </c>
      <c r="D16" s="1289" t="n"/>
      <c r="E16" s="1289" t="n"/>
    </row>
    <row r="17" ht="27.5" customHeight="1" s="254">
      <c r="A17" s="1294" t="inlineStr">
        <is>
          <t>Extra discount on electrical and construction</t>
        </is>
      </c>
      <c r="B17" s="1391" t="n">
        <v>0</v>
      </c>
      <c r="C17" s="1289" t="n"/>
      <c r="D17" s="1289" t="n"/>
      <c r="E17" s="1289" t="n"/>
    </row>
    <row r="18" ht="27.5" customHeight="1" s="254">
      <c r="A18" s="1294" t="inlineStr">
        <is>
          <t>Extra discount on service, warranty and network</t>
        </is>
      </c>
      <c r="B18" s="1391" t="n">
        <v>0</v>
      </c>
      <c r="C18" s="1289" t="n"/>
      <c r="D18" s="1289" t="n"/>
      <c r="E18" s="1289" t="n"/>
    </row>
    <row r="19" ht="15" customHeight="1" s="254">
      <c r="A19" s="1552" t="inlineStr">
        <is>
          <t>Direct capital contribution</t>
        </is>
      </c>
      <c r="B19" s="1436" t="n">
        <v>100000</v>
      </c>
      <c r="C19" s="1302" t="inlineStr">
        <is>
          <t>Cash or hardware we fund outright</t>
        </is>
      </c>
      <c r="D19" s="1289" t="n"/>
      <c r="E19" s="1289" t="n"/>
    </row>
    <row r="20" ht="15" customHeight="1" s="254">
      <c r="A20" s="1289" t="n"/>
      <c r="B20" s="1289" t="n"/>
      <c r="C20" s="1289" t="n"/>
      <c r="D20" s="1289" t="n"/>
      <c r="E20" s="1289" t="n"/>
    </row>
    <row r="21" ht="15" customHeight="1" s="254">
      <c r="A21" s="1308" t="inlineStr">
        <is>
          <t>Guard rails — the model will report against these</t>
        </is>
      </c>
    </row>
    <row r="22" ht="15" customHeight="1" s="254">
      <c r="A22" s="1552" t="inlineStr">
        <is>
          <t>Minimum acceptable client NPV</t>
        </is>
      </c>
      <c r="B22" s="1436" t="n">
        <v>0</v>
      </c>
      <c r="C22" s="1302" t="inlineStr">
        <is>
          <t>Below this the structure is not worth offering</t>
        </is>
      </c>
      <c r="D22" s="1289" t="n"/>
      <c r="E22" s="1289" t="n"/>
    </row>
    <row r="23" ht="27.5" customHeight="1" s="254">
      <c r="A23" s="1294" t="inlineStr">
        <is>
          <t>Minimum acceptable return on our capital</t>
        </is>
      </c>
      <c r="B23" s="1450" t="n">
        <v>2</v>
      </c>
      <c r="C23" s="1302" t="inlineStr">
        <is>
          <t>Multiple of what we contribute</t>
        </is>
      </c>
      <c r="D23" s="1289" t="n"/>
      <c r="E23" s="1289" t="n"/>
    </row>
    <row r="24" ht="15" customHeight="1" s="254">
      <c r="A24" s="1552" t="inlineStr">
        <is>
          <t>Maximum capital we will contribute</t>
        </is>
      </c>
      <c r="B24" s="1292" t="n">
        <v>150000</v>
      </c>
      <c r="C24" s="1302" t="inlineStr">
        <is>
          <t>Hard ceiling on our exposure</t>
        </is>
      </c>
      <c r="D24" s="1289" t="n"/>
      <c r="E24" s="1289" t="n"/>
    </row>
    <row r="25" ht="40" customHeight="1" s="254">
      <c r="A25" s="1552" t="inlineStr">
        <is>
          <t>Price position</t>
        </is>
      </c>
      <c r="B25" s="1292" t="n"/>
      <c r="C25" s="1288" t="inlineStr">
        <is>
          <t>What we are doing about the guard rails above, and what would change it. A price held on judgement with no written release trigger is a price that quietly drifts — name the evidence or the event that would move it.</t>
        </is>
      </c>
    </row>
    <row r="26" ht="29" customHeight="1" s="254">
      <c r="A26" s="1299" t="inlineStr">
        <is>
          <t>Scope of supply — which lines do we provide?</t>
        </is>
      </c>
      <c r="B26" s="1289" t="n"/>
      <c r="C26" s="1289" t="n"/>
      <c r="D26" s="1289" t="n"/>
      <c r="E26" s="1289" t="n"/>
    </row>
    <row r="27" ht="27.5" customHeight="1" s="254">
      <c r="A27" s="1288" t="inlineStr">
        <is>
          <t>Default is all of them, which is the base case. Mark a line "By others" when a third party supplies it — it leaves our contract but stays in the client's project.</t>
        </is>
      </c>
    </row>
    <row r="28" ht="15" customHeight="1" s="254">
      <c r="A28" s="1289" t="n"/>
      <c r="B28" s="1289" t="n"/>
      <c r="C28" s="1289" t="n"/>
      <c r="D28" s="1289" t="n"/>
      <c r="E28" s="1289" t="n"/>
    </row>
    <row r="29" ht="15" customHeight="1" s="254">
      <c r="A29" s="1556" t="inlineStr">
        <is>
          <t>Service line</t>
        </is>
      </c>
      <c r="B29" s="1556" t="inlineStr">
        <is>
          <t>Who provides it</t>
        </is>
      </c>
      <c r="C29" s="1556" t="inlineStr">
        <is>
          <t>Third party name</t>
        </is>
      </c>
      <c r="D29" s="1556" t="inlineStr">
        <is>
          <t>Notes</t>
        </is>
      </c>
      <c r="E29" s="1289" t="n"/>
    </row>
    <row r="30" ht="27.5" customHeight="1" s="254">
      <c r="A30" s="1404" t="inlineStr">
        <is>
          <t>Charger hardware — procurement and sale</t>
        </is>
      </c>
      <c r="B30" s="1292" t="inlineStr">
        <is>
          <t>We provide</t>
        </is>
      </c>
      <c r="C30" s="1553" t="n"/>
      <c r="D30" s="1553" t="n"/>
      <c r="E30" s="1289" t="n"/>
    </row>
    <row r="31" ht="15" customHeight="1" s="254">
      <c r="A31" s="1392" t="inlineStr">
        <is>
          <t>Extended warranty and O&amp;M service</t>
        </is>
      </c>
      <c r="B31" s="1292" t="inlineStr">
        <is>
          <t>We provide</t>
        </is>
      </c>
      <c r="C31" s="1553" t="n"/>
      <c r="D31" s="1553" t="n"/>
      <c r="E31" s="1289" t="n"/>
    </row>
    <row r="32" ht="15" customHeight="1" s="254">
      <c r="A32" s="1392" t="inlineStr">
        <is>
          <t>EVOLV platform and commissioning</t>
        </is>
      </c>
      <c r="B32" s="1292" t="inlineStr">
        <is>
          <t>We provide</t>
        </is>
      </c>
      <c r="C32" s="1553" t="n"/>
      <c r="D32" s="1553" t="n"/>
      <c r="E32" s="1289" t="n"/>
    </row>
    <row r="33" ht="15" customHeight="1" s="254">
      <c r="A33" s="1392" t="inlineStr">
        <is>
          <t>Sales tax on chargers</t>
        </is>
      </c>
      <c r="B33" s="1292" t="inlineStr">
        <is>
          <t>We provide</t>
        </is>
      </c>
      <c r="C33" s="1553" t="n"/>
      <c r="D33" s="1553" t="n"/>
      <c r="E33" s="1289" t="n"/>
    </row>
    <row r="34" ht="15" customHeight="1" s="254">
      <c r="A34" s="1392" t="inlineStr">
        <is>
          <t>Design and engineering</t>
        </is>
      </c>
      <c r="B34" s="1292" t="inlineStr">
        <is>
          <t>By others</t>
        </is>
      </c>
      <c r="C34" s="1553" t="n"/>
      <c r="D34" s="1553" t="n"/>
      <c r="E34" s="1289" t="n"/>
    </row>
    <row r="35" ht="27.5" customHeight="1" s="254">
      <c r="A35" s="1404" t="inlineStr">
        <is>
          <t>Construction — all-inclusive (materials, equipment, labour)</t>
        </is>
      </c>
      <c r="B35" s="1292" t="inlineStr">
        <is>
          <t>We provide</t>
        </is>
      </c>
      <c r="C35" s="1553" t="n"/>
      <c r="D35" s="1553" t="n"/>
      <c r="E35" s="1289" t="n"/>
    </row>
    <row r="36" ht="15" customHeight="1" s="254">
      <c r="A36" s="1392" t="inlineStr">
        <is>
          <t>Utility interconnection management</t>
        </is>
      </c>
      <c r="B36" s="1292" t="inlineStr">
        <is>
          <t>We provide</t>
        </is>
      </c>
      <c r="C36" s="1553" t="n"/>
      <c r="D36" s="1553" t="n"/>
      <c r="E36" s="1289" t="n"/>
    </row>
    <row r="37" ht="15" customHeight="1" s="254">
      <c r="A37" s="1288" t="inlineStr">
        <is>
          <t>Carbon credit administration is NOT one of our lines — a third-party aggregator takes a share of proceeds. See 7_Carbon.</t>
        </is>
      </c>
      <c r="E37" s="1289" t="n"/>
    </row>
    <row r="38" ht="27.5" customHeight="1" s="254">
      <c r="A38" s="1289" t="n"/>
      <c r="B38" s="1288" t="inlineStr">
        <is>
          <t>Handing a line to a third party removes its price and its margin. The model shows what each one is worth before you offer it.</t>
        </is>
      </c>
    </row>
    <row r="39" ht="15" customHeight="1" s="254">
      <c r="A39" s="1289" t="n"/>
      <c r="B39" s="1289" t="n"/>
      <c r="C39" s="1289" t="n"/>
      <c r="D39" s="1289" t="n"/>
      <c r="E39" s="1289" t="n"/>
    </row>
    <row r="40" ht="15" customHeight="1" s="254">
      <c r="A40" s="1551" t="inlineStr">
        <is>
          <t>Financing basis</t>
        </is>
      </c>
      <c r="B40" s="1289" t="n"/>
      <c r="C40" s="1289" t="n"/>
      <c r="D40" s="1289" t="n"/>
      <c r="E40" s="1289" t="n"/>
    </row>
    <row r="41" ht="15" customHeight="1" s="254">
      <c r="A41" s="1552" t="inlineStr">
        <is>
          <t>Client finances</t>
        </is>
      </c>
      <c r="B41" s="1292" t="inlineStr">
        <is>
          <t>Whole project</t>
        </is>
      </c>
      <c r="C41" s="1288" t="inlineStr">
        <is>
          <t>Whether the facility covers third-party scope too</t>
        </is>
      </c>
    </row>
  </sheetData>
  <sheetProtection selectLockedCells="0" selectUnlockedCells="0" sheet="1" objects="0" insertRows="1" insertHyperlinks="1" autoFilter="1" scenarios="0" formatColumns="0" deleteColumns="1" insertColumns="1" pivotTables="1" deleteRows="1" formatCells="0" formatRows="0" sort="1"/>
  <mergeCells count="12">
    <mergeCell ref="A21:E21"/>
    <mergeCell ref="A37:D37"/>
    <mergeCell ref="C41:E41"/>
    <mergeCell ref="B4:E4"/>
    <mergeCell ref="A2:E2"/>
    <mergeCell ref="B6:E6"/>
    <mergeCell ref="B38:E38"/>
    <mergeCell ref="C9:E9"/>
    <mergeCell ref="A1:E1"/>
    <mergeCell ref="B5:E5"/>
    <mergeCell ref="C25:E2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bottomLeft" activeCell="A9" sqref="A9"/>
    </sheetView>
  </sheetViews>
  <sheetFormatPr baseColWidth="8" defaultColWidth="8.66796875" defaultRowHeight="14.25" zeroHeight="0" outlineLevelRow="0"/>
  <cols>
    <col width="38" customWidth="1" style="253" min="1" max="1"/>
    <col width="24" customWidth="1" style="253" min="2" max="2"/>
    <col width="12" customWidth="1" style="254" min="3" max="3"/>
    <col width="60" customWidth="1" style="254" min="4" max="4"/>
  </cols>
  <sheetData>
    <row r="1" ht="15" customHeight="1" s="254">
      <c r="A1" s="1543" t="inlineStr">
        <is>
          <t>9 · OVERRIDE REGISTER</t>
        </is>
      </c>
    </row>
    <row r="2" ht="15" customHeight="1" s="254">
      <c r="A2" s="1288" t="inlineStr">
        <is>
          <t>The escape hatch. Force any derived value here when you know better than the engine — a quote, a fee schedule, a field measurement.</t>
        </is>
      </c>
    </row>
    <row r="3" ht="15" customHeight="1" s="254">
      <c r="A3" s="1289" t="n"/>
      <c r="B3" s="1289" t="n"/>
      <c r="C3" s="1289" t="n"/>
      <c r="D3" s="1289" t="n"/>
    </row>
    <row r="4" ht="27.5" customHeight="1" s="254">
      <c r="A4" s="1552" t="inlineStr">
        <is>
          <t>•</t>
        </is>
      </c>
      <c r="B4" s="1265" t="inlineStr">
        <is>
          <t>Leave a row blank and the engine uses its own computed number. Fill it in and the engine uses yours, everywhere.</t>
        </is>
      </c>
    </row>
    <row r="5" ht="27.5" customHeight="1" s="254">
      <c r="A5" s="1552" t="inlineStr">
        <is>
          <t>•</t>
        </is>
      </c>
      <c r="B5" s="1265" t="inlineStr">
        <is>
          <t>Every override is reported on the model summary, so a reviewer can always see that the model was touched and exactly where.</t>
        </is>
      </c>
    </row>
    <row r="6" ht="27.5" customHeight="1" s="254">
      <c r="A6" s="1552" t="inlineStr">
        <is>
          <t>•</t>
        </is>
      </c>
      <c r="B6" s="1265" t="inlineStr">
        <is>
          <t>Put the reason in the last column. An override with no reason is indistinguishable from a typo six months later.</t>
        </is>
      </c>
    </row>
    <row r="7" ht="15" customHeight="1" s="254">
      <c r="A7" s="1289" t="n"/>
      <c r="B7" s="1289" t="n"/>
      <c r="C7" s="1289" t="n"/>
      <c r="D7" s="1289" t="n"/>
    </row>
    <row r="8" ht="15" customHeight="1" s="254">
      <c r="A8" s="1556" t="inlineStr">
        <is>
          <t>Value</t>
        </is>
      </c>
      <c r="B8" s="1556" t="inlineStr">
        <is>
          <t>Override</t>
        </is>
      </c>
      <c r="C8" s="1556" t="inlineStr">
        <is>
          <t>Units</t>
        </is>
      </c>
      <c r="D8" s="1556" t="inlineStr">
        <is>
          <t>Why — quote, fee schedule, measurement</t>
        </is>
      </c>
    </row>
    <row r="9" ht="27.5" customHeight="1" s="254">
      <c r="A9" s="1404" t="inlineStr">
        <is>
          <t>Wires, conduits and peripherals (before uplift)</t>
        </is>
      </c>
      <c r="B9" s="1330" t="n"/>
      <c r="C9" s="1451" t="inlineStr">
        <is>
          <t>$</t>
        </is>
      </c>
      <c r="D9" s="1553" t="n"/>
    </row>
    <row r="10" ht="40" customHeight="1" s="254">
      <c r="A10" s="1404" t="inlineStr">
        <is>
          <t>Switchgear and distribution (before uplift)</t>
        </is>
      </c>
      <c r="B10" s="1330" t="n">
        <v>150000</v>
      </c>
      <c r="C10" s="1451" t="inlineStr">
        <is>
          <t>$</t>
        </is>
      </c>
      <c r="D10" s="1550" t="inlineStr">
        <is>
          <t>Vendor quote for the switchboard</t>
        </is>
      </c>
    </row>
    <row r="11" ht="15" customHeight="1" s="254">
      <c r="A11" s="1392" t="inlineStr">
        <is>
          <t>Site works (before uplift)</t>
        </is>
      </c>
      <c r="B11" s="1330" t="n"/>
      <c r="C11" s="1451" t="inlineStr">
        <is>
          <t>$</t>
        </is>
      </c>
      <c r="D11" s="1553" t="n"/>
    </row>
    <row r="12" ht="15" customHeight="1" s="254">
      <c r="A12" s="1404" t="inlineStr">
        <is>
          <t>Dump, waste and freight (before uplift)</t>
        </is>
      </c>
      <c r="B12" s="1330" t="n"/>
      <c r="C12" s="1451" t="inlineStr">
        <is>
          <t>$</t>
        </is>
      </c>
      <c r="D12" s="1553" t="n"/>
    </row>
    <row r="13" ht="15" customHeight="1" s="254">
      <c r="A13" s="1392" t="inlineStr">
        <is>
          <t>Permits and plan check (before uplift)</t>
        </is>
      </c>
      <c r="B13" s="1330" t="n"/>
      <c r="C13" s="1451" t="inlineStr">
        <is>
          <t>$</t>
        </is>
      </c>
      <c r="D13" s="1553" t="n"/>
    </row>
    <row r="14" ht="27.5" customHeight="1" s="254">
      <c r="A14" s="1404" t="inlineStr">
        <is>
          <t>Utility application and contract fees (before uplift)</t>
        </is>
      </c>
      <c r="B14" s="1330" t="n"/>
      <c r="C14" s="1451" t="inlineStr">
        <is>
          <t>$</t>
        </is>
      </c>
      <c r="D14" s="1553" t="n"/>
    </row>
    <row r="15" ht="27.5" customHeight="1" s="254">
      <c r="A15" s="1404" t="inlineStr">
        <is>
          <t>Construction equipment rentals (before uplift)</t>
        </is>
      </c>
      <c r="B15" s="1330" t="n"/>
      <c r="C15" s="1451" t="inlineStr">
        <is>
          <t>$</t>
        </is>
      </c>
      <c r="D15" s="1553" t="n"/>
    </row>
    <row r="16" ht="15" customHeight="1" s="254">
      <c r="A16" s="1392" t="inlineStr">
        <is>
          <t>Design and engineering</t>
        </is>
      </c>
      <c r="B16" s="1330" t="n"/>
      <c r="C16" s="1451" t="inlineStr">
        <is>
          <t>$</t>
        </is>
      </c>
      <c r="D16" s="1553" t="n"/>
    </row>
    <row r="17" ht="27.5" customHeight="1" s="254">
      <c r="A17" s="1404" t="inlineStr">
        <is>
          <t>Utility line-extension contribution (if any)</t>
        </is>
      </c>
      <c r="B17" s="1330" t="n"/>
      <c r="C17" s="1451" t="inlineStr">
        <is>
          <t>$</t>
        </is>
      </c>
      <c r="D17" s="1452" t="inlineStr">
        <is>
          <t>Leave blank and it is excluded by name in the proposal. Fill it in only when PG&amp;E returns a design that requires it.</t>
        </is>
      </c>
    </row>
    <row r="18" ht="15" customHeight="1" s="254">
      <c r="A18" s="1392" t="inlineStr">
        <is>
          <t>Additional or unforeseen scope</t>
        </is>
      </c>
      <c r="B18" s="1330" t="n"/>
      <c r="C18" s="1451" t="inlineStr">
        <is>
          <t>$</t>
        </is>
      </c>
      <c r="D18" s="1553" t="n"/>
    </row>
    <row r="19" ht="15" customHeight="1" s="254">
      <c r="A19" s="1392" t="inlineStr">
        <is>
          <t>Standard frame (A)</t>
        </is>
      </c>
      <c r="B19" s="1305" t="n">
        <v>3200</v>
      </c>
      <c r="C19" s="1451" t="inlineStr">
        <is>
          <t>amps</t>
        </is>
      </c>
      <c r="D19" s="1553" t="inlineStr">
        <is>
          <t>Engineer's single line</t>
        </is>
      </c>
    </row>
    <row r="20" ht="15" customHeight="1" s="254">
      <c r="A20" s="1392" t="inlineStr">
        <is>
          <t>Branch breaker per cabinet (A)</t>
        </is>
      </c>
      <c r="B20" s="1305" t="n"/>
      <c r="C20" s="1451" t="inlineStr">
        <is>
          <t>amps</t>
        </is>
      </c>
      <c r="D20" s="1553" t="n"/>
    </row>
    <row r="21" ht="15" customHeight="1" s="254">
      <c r="A21" s="1392" t="inlineStr">
        <is>
          <t>Crew days on site</t>
        </is>
      </c>
      <c r="B21" s="1305" t="n"/>
      <c r="C21" s="1451" t="inlineStr">
        <is>
          <t>days</t>
        </is>
      </c>
      <c r="D21" s="1553" t="n"/>
    </row>
    <row r="22" ht="15" customHeight="1" s="254">
      <c r="A22" s="1392" t="inlineStr">
        <is>
          <t>Steady-state kWh per day</t>
        </is>
      </c>
      <c r="B22" s="1305" t="n">
        <v>1400</v>
      </c>
      <c r="C22" s="1451" t="inlineStr">
        <is>
          <t>kWh</t>
        </is>
      </c>
      <c r="D22" s="1553" t="inlineStr">
        <is>
          <t>Traffic study, Aug 2026</t>
        </is>
      </c>
    </row>
    <row r="23" ht="15" customHeight="1" s="254">
      <c r="A23" s="1392" t="inlineStr">
        <is>
          <t>Gross capacity credit per year</t>
        </is>
      </c>
      <c r="B23" s="1330" t="n"/>
      <c r="C23" s="1451" t="inlineStr">
        <is>
          <t>$</t>
        </is>
      </c>
      <c r="D23" s="1553" t="n"/>
    </row>
    <row r="24" ht="15" customHeight="1" s="254">
      <c r="A24" s="1392" t="inlineStr">
        <is>
          <t>Monthly loan payment</t>
        </is>
      </c>
      <c r="B24" s="1330" t="n"/>
      <c r="C24" s="1451" t="inlineStr">
        <is>
          <t>$</t>
        </is>
      </c>
      <c r="D24" s="1553" t="n"/>
    </row>
    <row r="25" ht="15" customHeight="1" s="254">
      <c r="A25" s="1392" t="inlineStr">
        <is>
          <t>Hardware MSRP each</t>
        </is>
      </c>
      <c r="B25" s="1330" t="n"/>
      <c r="C25" s="1451" t="inlineStr">
        <is>
          <t>$</t>
        </is>
      </c>
      <c r="D25" s="1553" t="n"/>
    </row>
    <row r="26" ht="15" customHeight="1" s="254">
      <c r="A26" s="1392" t="inlineStr">
        <is>
          <t>Retail price to driver</t>
        </is>
      </c>
      <c r="B26" s="1331" t="n">
        <v>0.62</v>
      </c>
      <c r="C26" s="1451" t="inlineStr">
        <is>
          <t>$/kWh</t>
        </is>
      </c>
      <c r="D26" s="1553" t="inlineStr">
        <is>
          <t>Pricing committee</t>
        </is>
      </c>
    </row>
    <row r="27" ht="15" customHeight="1" s="254">
      <c r="A27" s="1392" t="inlineStr">
        <is>
          <t>Delivered energy cost</t>
        </is>
      </c>
      <c r="B27" s="1331" t="n"/>
      <c r="C27" s="1451" t="inlineStr">
        <is>
          <t>$/kWh</t>
        </is>
      </c>
      <c r="D27" s="1553" t="n"/>
    </row>
    <row r="28" ht="15" customHeight="1" s="254">
      <c r="A28" s="1392" t="inlineStr">
        <is>
          <t>Utility demand / subscription</t>
        </is>
      </c>
      <c r="B28" s="1331" t="n"/>
      <c r="C28" s="1451" t="inlineStr">
        <is>
          <t>$/yr</t>
        </is>
      </c>
      <c r="D28" s="1553"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11"/>
    <col width="13" customWidth="1" style="254" min="12" max="21"/>
    <col width="9" customWidth="1" style="253" min="22" max="22"/>
    <col width="20" customWidth="1" style="253" min="23" max="23"/>
    <col width="13" customWidth="1" style="253" min="24" max="24"/>
    <col width="13" customWidth="1" style="254" min="25" max="25"/>
    <col width="9" customWidth="1" style="253" min="26" max="26"/>
    <col width="13" customWidth="1" style="254" min="27" max="29"/>
    <col width="25" customWidth="1" style="253" min="30" max="30"/>
    <col width="13" customWidth="1" style="253" min="31" max="31"/>
    <col width="9" customWidth="1" style="253" min="32" max="32"/>
    <col width="24" customWidth="1" style="253" min="33" max="33"/>
  </cols>
  <sheetData>
    <row r="1" ht="26" customHeight="1" s="254">
      <c r="A1" s="1453" t="inlineStr">
        <is>
          <t>Category</t>
        </is>
      </c>
      <c r="B1" s="399" t="n"/>
      <c r="C1" s="399" t="n"/>
      <c r="D1" s="399" t="n"/>
      <c r="E1" s="399" t="n"/>
      <c r="F1" s="400" t="n"/>
      <c r="G1" s="1561" t="n"/>
      <c r="H1" s="1561" t="n"/>
      <c r="I1" s="1454" t="inlineStr">
        <is>
          <t>CONNECTORS</t>
        </is>
      </c>
      <c r="J1" s="1454" t="inlineStr">
        <is>
          <t>HOW THE COUNT WAS DECIDED</t>
        </is>
      </c>
      <c r="K1" s="1473" t="inlineStr">
        <is>
          <t>SKU INDEX — built from the categories above; the capacity dropdown on 2_Equipment resolves against these columns</t>
        </is>
      </c>
      <c r="O1" s="1561" t="n"/>
      <c r="P1" s="1561" t="n"/>
      <c r="Q1" s="1561" t="n"/>
      <c r="R1" s="1561" t="n"/>
      <c r="S1" s="1561" t="n"/>
      <c r="T1" s="1561" t="n"/>
      <c r="U1" s="1561" t="n"/>
      <c r="V1" s="1561" t="n"/>
      <c r="W1" s="1561" t="n"/>
      <c r="X1" s="1561" t="n"/>
      <c r="Y1" s="1561" t="n"/>
      <c r="Z1" s="1561" t="n"/>
      <c r="AA1" s="1561" t="n"/>
      <c r="AB1" s="1561" t="n"/>
      <c r="AC1" s="1561" t="n"/>
      <c r="AD1" s="1561" t="n"/>
      <c r="AE1" s="1561" t="n"/>
      <c r="AF1" s="1561" t="n"/>
      <c r="AG1" s="1561" t="n"/>
    </row>
    <row r="2" ht="25.5" customHeight="1" s="254">
      <c r="A2" s="1455" t="inlineStr">
        <is>
          <t>_L2</t>
        </is>
      </c>
      <c r="B2" s="1455" t="inlineStr">
        <is>
          <t>CTX-R40-240-1</t>
        </is>
      </c>
      <c r="C2" s="1455" t="inlineStr">
        <is>
          <t>40A Single Home Charger</t>
        </is>
      </c>
      <c r="D2" s="1456" t="n">
        <v>605</v>
      </c>
      <c r="E2" s="1455" t="n"/>
      <c r="F2" s="1456" t="n"/>
      <c r="G2" s="1561" t="n"/>
      <c r="H2" s="1561" t="n"/>
      <c r="I2" s="1457" t="n">
        <v>1</v>
      </c>
      <c r="J2" s="1458" t="inlineStr">
        <is>
          <t>description says Single</t>
        </is>
      </c>
      <c r="K2" s="1459" t="inlineStr">
        <is>
          <t>Level 2 AC</t>
        </is>
      </c>
      <c r="L2" s="1460" t="inlineStr">
        <is>
          <t>30 kW DC</t>
        </is>
      </c>
      <c r="M2" s="1460" t="inlineStr">
        <is>
          <t>60 kW DC</t>
        </is>
      </c>
      <c r="N2" s="1460" t="inlineStr">
        <is>
          <t>120 kW DC</t>
        </is>
      </c>
      <c r="O2" s="1460" t="inlineStr">
        <is>
          <t>160 kW DC</t>
        </is>
      </c>
      <c r="P2" s="1460" t="inlineStr">
        <is>
          <t>180 kW DC</t>
        </is>
      </c>
      <c r="Q2" s="1460" t="inlineStr">
        <is>
          <t>240 kW DC</t>
        </is>
      </c>
      <c r="R2" s="1460" t="inlineStr">
        <is>
          <t>360 kW DC</t>
        </is>
      </c>
      <c r="S2" s="1460" t="inlineStr">
        <is>
          <t>V2G</t>
        </is>
      </c>
      <c r="T2" s="1461" t="inlineStr">
        <is>
          <t>Distributed system</t>
        </is>
      </c>
      <c r="U2" s="1460" t="inlineStr">
        <is>
          <t>Accessory</t>
        </is>
      </c>
      <c r="V2" s="1561" t="n"/>
      <c r="W2" s="1460" t="inlineStr">
        <is>
          <t>CAPACITY</t>
        </is>
      </c>
      <c r="X2" s="1460" t="inlineStr">
        <is>
          <t>RATED kW</t>
        </is>
      </c>
      <c r="Y2" s="1460" t="inlineStr">
        <is>
          <t>PER PORT</t>
        </is>
      </c>
      <c r="Z2" s="1561" t="n"/>
      <c r="AA2" s="1561" t="n"/>
      <c r="AB2" s="1561" t="n"/>
      <c r="AC2" s="1561" t="n"/>
      <c r="AD2" s="1460" t="inlineStr">
        <is>
          <t>ROLE BY SKU</t>
        </is>
      </c>
      <c r="AE2" s="1460" t="inlineStr">
        <is>
          <t>ROLE</t>
        </is>
      </c>
      <c r="AF2" s="1561" t="n"/>
      <c r="AG2" s="1462" t="inlineStr">
        <is>
          <t>DISPENSERS</t>
        </is>
      </c>
    </row>
    <row r="3" ht="25.5" customHeight="1" s="254">
      <c r="A3" s="1455" t="inlineStr">
        <is>
          <t>_L2</t>
        </is>
      </c>
      <c r="B3" s="1455" t="inlineStr">
        <is>
          <t>CTX-R48-240-1</t>
        </is>
      </c>
      <c r="C3" s="1455" t="inlineStr">
        <is>
          <t>48A Single Home Charger</t>
        </is>
      </c>
      <c r="D3" s="1456" t="n">
        <v>605</v>
      </c>
      <c r="E3" s="1455" t="n"/>
      <c r="F3" s="1456" t="n"/>
      <c r="G3" s="1561" t="n"/>
      <c r="H3" s="1561" t="n"/>
      <c r="I3" s="1457" t="n">
        <v>1</v>
      </c>
      <c r="J3" s="1458" t="inlineStr">
        <is>
          <t>description says Single</t>
        </is>
      </c>
      <c r="K3" s="1463" t="inlineStr">
        <is>
          <t>CTX-R40-240-1</t>
        </is>
      </c>
      <c r="L3" s="1463" t="inlineStr">
        <is>
          <t>TP5-30-480-1</t>
        </is>
      </c>
      <c r="M3" s="1463" t="inlineStr">
        <is>
          <t>TP5-60-480-1</t>
        </is>
      </c>
      <c r="N3" s="1463" t="inlineStr">
        <is>
          <t>TP5-120-480-1</t>
        </is>
      </c>
      <c r="O3" s="1463" t="inlineStr">
        <is>
          <t>TP5-160-480-1</t>
        </is>
      </c>
      <c r="P3" s="1463" t="inlineStr">
        <is>
          <t>TP5-180-480-1</t>
        </is>
      </c>
      <c r="Q3" s="1464" t="inlineStr">
        <is>
          <t>TP5-240-480-2-300</t>
        </is>
      </c>
      <c r="R3" s="1464" t="inlineStr">
        <is>
          <t>TP5-360-480-1-300</t>
        </is>
      </c>
      <c r="S3" s="1464" t="inlineStr">
        <is>
          <t>CTX-V2G-20-480-1</t>
        </is>
      </c>
      <c r="T3" s="1463" t="inlineStr">
        <is>
          <t>CTX-DSPB-360</t>
        </is>
      </c>
      <c r="U3" s="1463" t="inlineStr">
        <is>
          <t>CTX-FLUXPED</t>
        </is>
      </c>
      <c r="V3" s="1561" t="n"/>
      <c r="W3" s="1457" t="inlineStr">
        <is>
          <t>Level 2 AC</t>
        </is>
      </c>
      <c r="X3" s="1457" t="n">
        <v>7.2</v>
      </c>
      <c r="Y3" s="1457" t="n">
        <v>1</v>
      </c>
      <c r="Z3" s="1561" t="n"/>
      <c r="AA3" s="1561" t="n"/>
      <c r="AB3" s="1561" t="n"/>
      <c r="AC3" s="1561" t="n"/>
      <c r="AD3" s="1465" t="inlineStr">
        <is>
          <t>CTX-R40-240-1</t>
        </is>
      </c>
      <c r="AE3" s="1466" t="inlineStr">
        <is>
          <t>level_2</t>
        </is>
      </c>
      <c r="AF3" s="1561" t="n"/>
      <c r="AG3" s="1467" t="inlineStr">
        <is>
          <t>CTX-DST-2-300</t>
        </is>
      </c>
    </row>
    <row r="4" ht="25.5" customHeight="1" s="254">
      <c r="A4" s="1455" t="inlineStr">
        <is>
          <t>_L2</t>
        </is>
      </c>
      <c r="B4" s="1455" t="inlineStr">
        <is>
          <t>CTX-C32-240-1</t>
        </is>
      </c>
      <c r="C4" s="1455" t="inlineStr">
        <is>
          <t>32A Single Commercial L2 Charger</t>
        </is>
      </c>
      <c r="D4" s="1456" t="n">
        <v>1402.5</v>
      </c>
      <c r="E4" s="1455" t="n"/>
      <c r="F4" s="1456" t="n"/>
      <c r="G4" s="1561" t="n"/>
      <c r="H4" s="1561" t="n"/>
      <c r="I4" s="1457" t="n">
        <v>1</v>
      </c>
      <c r="J4" s="1458" t="inlineStr">
        <is>
          <t>description says Single</t>
        </is>
      </c>
      <c r="K4" s="1463" t="inlineStr">
        <is>
          <t>CTX-R48-240-1</t>
        </is>
      </c>
      <c r="L4" s="1463" t="inlineStr">
        <is>
          <t>TP5-30-480-3</t>
        </is>
      </c>
      <c r="M4" s="1463" t="inlineStr">
        <is>
          <t>TP5-60-480-2</t>
        </is>
      </c>
      <c r="N4" s="1463" t="inlineStr">
        <is>
          <t>TP5-120-480-2</t>
        </is>
      </c>
      <c r="O4" s="1463" t="inlineStr">
        <is>
          <t>TP5-160-480-2</t>
        </is>
      </c>
      <c r="P4" s="1463" t="inlineStr">
        <is>
          <t>TP5-180-480-2</t>
        </is>
      </c>
      <c r="Q4" s="1464" t="inlineStr">
        <is>
          <t>TP5-240-480-2-400</t>
        </is>
      </c>
      <c r="R4" s="1464" t="inlineStr">
        <is>
          <t>TP5-360-480-2-300</t>
        </is>
      </c>
      <c r="S4" s="1464" t="inlineStr">
        <is>
          <t>CTX-V2G-30-480-1</t>
        </is>
      </c>
      <c r="T4" s="1463" t="inlineStr">
        <is>
          <t>CTX-DSPB-480</t>
        </is>
      </c>
      <c r="U4" s="1464" t="inlineStr">
        <is>
          <t>CTX-FLUXWAL-CMS-1</t>
        </is>
      </c>
      <c r="V4" s="1561" t="n"/>
      <c r="W4" s="1457" t="inlineStr">
        <is>
          <t>30 kW DC</t>
        </is>
      </c>
      <c r="X4" s="1457" t="n">
        <v>30</v>
      </c>
      <c r="Y4" s="1457" t="n">
        <v>0</v>
      </c>
      <c r="Z4" s="1561" t="n"/>
      <c r="AA4" s="1561" t="n"/>
      <c r="AB4" s="1561" t="n"/>
      <c r="AC4" s="1561" t="n"/>
      <c r="AD4" s="1465" t="inlineStr">
        <is>
          <t>CTX-R48-240-1</t>
        </is>
      </c>
      <c r="AE4" s="1466" t="inlineStr">
        <is>
          <t>level_2</t>
        </is>
      </c>
      <c r="AF4" s="1561" t="n"/>
      <c r="AG4" s="1467" t="inlineStr">
        <is>
          <t>CTX-DST-HPC-2-500/300</t>
        </is>
      </c>
    </row>
    <row r="5" ht="27.5" customHeight="1" s="254">
      <c r="A5" s="1455" t="inlineStr">
        <is>
          <t>_L2</t>
        </is>
      </c>
      <c r="B5" s="1455" t="inlineStr">
        <is>
          <t>CTX-C48-240-1</t>
        </is>
      </c>
      <c r="C5" s="1468" t="inlineStr">
        <is>
          <t>48A Single Commercial L2 Charger (18' Cable with Modem)</t>
        </is>
      </c>
      <c r="D5" s="1456" t="n">
        <v>1402.5</v>
      </c>
      <c r="E5" s="1455" t="n"/>
      <c r="F5" s="1456" t="n"/>
      <c r="G5" s="1561" t="n"/>
      <c r="H5" s="1561" t="n"/>
      <c r="I5" s="1457" t="n">
        <v>1</v>
      </c>
      <c r="J5" s="1458" t="inlineStr">
        <is>
          <t>description says Single</t>
        </is>
      </c>
      <c r="K5" s="1463" t="inlineStr">
        <is>
          <t>CTX-C32-240-1</t>
        </is>
      </c>
      <c r="L5" s="1561" t="n"/>
      <c r="M5" s="1463" t="inlineStr">
        <is>
          <t>TP5-60-480-3</t>
        </is>
      </c>
      <c r="N5" s="1464" t="inlineStr">
        <is>
          <t>TP5-120-480-2-300</t>
        </is>
      </c>
      <c r="O5" s="1463" t="inlineStr">
        <is>
          <t>TP5-160-480-3</t>
        </is>
      </c>
      <c r="P5" s="1464" t="inlineStr">
        <is>
          <t>TP5-180-480-2-300</t>
        </is>
      </c>
      <c r="Q5" s="1463" t="inlineStr">
        <is>
          <t>HPC-240-480-1</t>
        </is>
      </c>
      <c r="R5" s="1464" t="inlineStr">
        <is>
          <t>TP5-360-480-3-300</t>
        </is>
      </c>
      <c r="S5" s="1464" t="inlineStr">
        <is>
          <t>CTX-V2G-40-480-1</t>
        </is>
      </c>
      <c r="T5" s="1463" t="inlineStr">
        <is>
          <t>CTX-DSPB-1280</t>
        </is>
      </c>
      <c r="U5" s="1464" t="inlineStr">
        <is>
          <t>CTX-FLUXPED-CMS-1</t>
        </is>
      </c>
      <c r="V5" s="1561" t="n"/>
      <c r="W5" s="1457" t="inlineStr">
        <is>
          <t>60 kW DC</t>
        </is>
      </c>
      <c r="X5" s="1457" t="n">
        <v>60</v>
      </c>
      <c r="Y5" s="1457" t="n">
        <v>0</v>
      </c>
      <c r="Z5" s="1561" t="n"/>
      <c r="AA5" s="1561" t="n"/>
      <c r="AB5" s="1561" t="n"/>
      <c r="AC5" s="1561" t="n"/>
      <c r="AD5" s="1465" t="inlineStr">
        <is>
          <t>CTX-C32-240-1</t>
        </is>
      </c>
      <c r="AE5" s="1466" t="inlineStr">
        <is>
          <t>level_2</t>
        </is>
      </c>
      <c r="AF5" s="1561" t="n"/>
      <c r="AG5" s="1561" t="n"/>
    </row>
    <row r="6" ht="27.5" customHeight="1" s="254">
      <c r="A6" s="1455" t="inlineStr">
        <is>
          <t>_L2</t>
        </is>
      </c>
      <c r="B6" s="1455" t="inlineStr">
        <is>
          <t>CTX-C80-240-1</t>
        </is>
      </c>
      <c r="C6" s="1468" t="inlineStr">
        <is>
          <t>80A Single Commercial L2 Charger (18' Cable with Modem)</t>
        </is>
      </c>
      <c r="D6" s="1456" t="n">
        <v>1650</v>
      </c>
      <c r="E6" s="1455" t="n"/>
      <c r="F6" s="1456" t="n"/>
      <c r="G6" s="1561" t="n"/>
      <c r="H6" s="1561" t="n"/>
      <c r="I6" s="1457" t="n">
        <v>1</v>
      </c>
      <c r="J6" s="1458" t="inlineStr">
        <is>
          <t>description says Single</t>
        </is>
      </c>
      <c r="K6" s="1463" t="inlineStr">
        <is>
          <t>CTX-C48-240-1</t>
        </is>
      </c>
      <c r="L6" s="1561" t="n"/>
      <c r="M6" s="1463" t="inlineStr">
        <is>
          <t>TP5-60-480-4</t>
        </is>
      </c>
      <c r="N6" s="1464" t="inlineStr">
        <is>
          <t>TP5-120-480-3-300</t>
        </is>
      </c>
      <c r="O6" s="1464" t="inlineStr">
        <is>
          <t>TP5-160-480-2-300</t>
        </is>
      </c>
      <c r="P6" s="1464" t="inlineStr">
        <is>
          <t>TP5-180-480-3-300</t>
        </is>
      </c>
      <c r="Q6" s="1463" t="inlineStr">
        <is>
          <t>HPC-240-480-2</t>
        </is>
      </c>
      <c r="R6" s="1464" t="inlineStr">
        <is>
          <t>TP5-360-480-4-300</t>
        </is>
      </c>
      <c r="S6" s="1464" t="inlineStr">
        <is>
          <t>CTX-V2G-60-480-1</t>
        </is>
      </c>
      <c r="T6" s="1463" t="inlineStr">
        <is>
          <t>CTX-DST-2-300</t>
        </is>
      </c>
      <c r="U6" s="1464" t="inlineStr">
        <is>
          <t>CTX-FLUXPED-CMS-2</t>
        </is>
      </c>
      <c r="V6" s="1561" t="n"/>
      <c r="W6" s="1457" t="inlineStr">
        <is>
          <t>120 kW DC</t>
        </is>
      </c>
      <c r="X6" s="1457" t="n">
        <v>120</v>
      </c>
      <c r="Y6" s="1457" t="n">
        <v>0</v>
      </c>
      <c r="Z6" s="1561" t="n"/>
      <c r="AA6" s="1561" t="n"/>
      <c r="AB6" s="1561" t="n"/>
      <c r="AC6" s="1561" t="n"/>
      <c r="AD6" s="1465" t="inlineStr">
        <is>
          <t>CTX-C48-240-1</t>
        </is>
      </c>
      <c r="AE6" s="1466" t="inlineStr">
        <is>
          <t>level_2</t>
        </is>
      </c>
      <c r="AF6" s="1561" t="n"/>
      <c r="AG6" s="1561" t="n"/>
    </row>
    <row r="7" ht="25.5" customHeight="1" s="254">
      <c r="A7" s="1455" t="inlineStr">
        <is>
          <t>_L2</t>
        </is>
      </c>
      <c r="B7" s="1455" t="inlineStr">
        <is>
          <t>CTX-C40-240-2</t>
        </is>
      </c>
      <c r="C7" s="1468" t="inlineStr">
        <is>
          <t>40A Dual Commercial L2 Charger (18' Cable with Modem)</t>
        </is>
      </c>
      <c r="D7" s="1456" t="n">
        <v>1952.5</v>
      </c>
      <c r="E7" s="1455" t="n"/>
      <c r="F7" s="1456" t="n"/>
      <c r="G7" s="1561" t="n"/>
      <c r="H7" s="1561" t="n"/>
      <c r="I7" s="1457" t="n">
        <v>2</v>
      </c>
      <c r="J7" s="1458" t="inlineStr">
        <is>
          <t>description says Dual</t>
        </is>
      </c>
      <c r="K7" s="1463" t="inlineStr">
        <is>
          <t>CTX-C80-240-1</t>
        </is>
      </c>
      <c r="L7" s="1561" t="n"/>
      <c r="M7" s="1464" t="inlineStr">
        <is>
          <t>CTX-AiO-60-2-200</t>
        </is>
      </c>
      <c r="N7" s="1464" t="inlineStr">
        <is>
          <t>CTX-AiO-120-2-350</t>
        </is>
      </c>
      <c r="O7" s="1463" t="inlineStr">
        <is>
          <t>HPC-160-480-1</t>
        </is>
      </c>
      <c r="P7" s="1464" t="inlineStr">
        <is>
          <t>TP5-180-480-2-300-CL20</t>
        </is>
      </c>
      <c r="Q7" s="1464" t="inlineStr">
        <is>
          <t>CTX-AiO-240-2-300</t>
        </is>
      </c>
      <c r="R7" s="1463" t="inlineStr">
        <is>
          <t>HPC-360-480-1</t>
        </is>
      </c>
      <c r="S7" s="1561" t="n"/>
      <c r="T7" s="1464" t="inlineStr">
        <is>
          <t>CTX-DST-HPC-2-500/300</t>
        </is>
      </c>
      <c r="U7" s="1463" t="inlineStr">
        <is>
          <t>CTX-FLUXPED-SBS</t>
        </is>
      </c>
      <c r="V7" s="1561" t="n"/>
      <c r="W7" s="1457" t="inlineStr">
        <is>
          <t>160 kW DC</t>
        </is>
      </c>
      <c r="X7" s="1457" t="n">
        <v>160</v>
      </c>
      <c r="Y7" s="1457" t="n">
        <v>0</v>
      </c>
      <c r="Z7" s="1561" t="n"/>
      <c r="AA7" s="1561" t="n"/>
      <c r="AB7" s="1561" t="n"/>
      <c r="AC7" s="1561" t="n"/>
      <c r="AD7" s="1465" t="inlineStr">
        <is>
          <t>CTX-C80-240-1</t>
        </is>
      </c>
      <c r="AE7" s="1466" t="inlineStr">
        <is>
          <t>level_2</t>
        </is>
      </c>
      <c r="AF7" s="1561" t="n"/>
      <c r="AG7" s="1561" t="n"/>
    </row>
    <row r="8" ht="25.5" customHeight="1" s="254">
      <c r="A8" s="1455" t="inlineStr">
        <is>
          <t>_L2</t>
        </is>
      </c>
      <c r="B8" s="1455" t="inlineStr">
        <is>
          <t>CTX-C80-240-2</t>
        </is>
      </c>
      <c r="C8" s="1468" t="inlineStr">
        <is>
          <t>80A Dual Commercial L2 Charger (18' Cable with Modem)</t>
        </is>
      </c>
      <c r="D8" s="1456" t="n">
        <v>2194.5</v>
      </c>
      <c r="E8" s="1455" t="n"/>
      <c r="F8" s="1456" t="n"/>
      <c r="G8" s="1561" t="n"/>
      <c r="H8" s="1561" t="n"/>
      <c r="I8" s="1457" t="n">
        <v>2</v>
      </c>
      <c r="J8" s="1458" t="inlineStr">
        <is>
          <t>description says Dual</t>
        </is>
      </c>
      <c r="K8" s="1463" t="inlineStr">
        <is>
          <t>CTX-C40-240-2</t>
        </is>
      </c>
      <c r="L8" s="1561" t="n"/>
      <c r="M8" s="1464" t="inlineStr">
        <is>
          <t>CTX-AiO-60-3-200</t>
        </is>
      </c>
      <c r="N8" s="1464" t="inlineStr">
        <is>
          <t>CTX-AiO-120-3-350</t>
        </is>
      </c>
      <c r="O8" s="1463" t="inlineStr">
        <is>
          <t>HPC-160-480-2</t>
        </is>
      </c>
      <c r="P8" s="1464" t="inlineStr">
        <is>
          <t>TP5-180-480-2-BAA</t>
        </is>
      </c>
      <c r="Q8" s="1464" t="inlineStr">
        <is>
          <t>CTX-AiO-240-3-300</t>
        </is>
      </c>
      <c r="R8" s="1463" t="inlineStr">
        <is>
          <t>HPC-360-480-2</t>
        </is>
      </c>
      <c r="S8" s="1561" t="n"/>
      <c r="T8" s="1561" t="n"/>
      <c r="U8" s="1561" t="n"/>
      <c r="V8" s="1561" t="n"/>
      <c r="W8" s="1457" t="inlineStr">
        <is>
          <t>180 kW DC</t>
        </is>
      </c>
      <c r="X8" s="1457" t="n">
        <v>180</v>
      </c>
      <c r="Y8" s="1457" t="n">
        <v>0</v>
      </c>
      <c r="Z8" s="1561" t="n"/>
      <c r="AA8" s="1561" t="n"/>
      <c r="AB8" s="1561" t="n"/>
      <c r="AC8" s="1561" t="n"/>
      <c r="AD8" s="1465" t="inlineStr">
        <is>
          <t>CTX-C40-240-2</t>
        </is>
      </c>
      <c r="AE8" s="1466" t="inlineStr">
        <is>
          <t>level_2</t>
        </is>
      </c>
      <c r="AF8" s="1561" t="n"/>
      <c r="AG8" s="1561" t="n"/>
    </row>
    <row r="9" ht="27.5" customHeight="1" s="254">
      <c r="A9" s="1455" t="inlineStr">
        <is>
          <t>_L2</t>
        </is>
      </c>
      <c r="B9" s="1455" t="inlineStr">
        <is>
          <t>CTX-C80-240-1-ISO</t>
        </is>
      </c>
      <c r="C9" s="1468" t="inlineStr">
        <is>
          <t>80A Single Commercial L2 Charger (18' Cable with Modem)</t>
        </is>
      </c>
      <c r="D9" s="1456" t="n">
        <v>2255</v>
      </c>
      <c r="E9" s="1455" t="n"/>
      <c r="F9" s="1456" t="n"/>
      <c r="G9" s="1561" t="n"/>
      <c r="H9" s="1561" t="n"/>
      <c r="I9" s="1457" t="n">
        <v>1</v>
      </c>
      <c r="J9" s="1458" t="inlineStr">
        <is>
          <t>description says Single</t>
        </is>
      </c>
      <c r="K9" s="1463" t="inlineStr">
        <is>
          <t>CTX-C80-240-2</t>
        </is>
      </c>
      <c r="L9" s="1561" t="n"/>
      <c r="M9" s="1464" t="inlineStr">
        <is>
          <t>CTX-AiO-60-4-200</t>
        </is>
      </c>
      <c r="N9" s="1464" t="inlineStr">
        <is>
          <t>CTX-AiO-120-4-350</t>
        </is>
      </c>
      <c r="O9" s="1464" t="inlineStr">
        <is>
          <t>CTX-AiO-160-2-350</t>
        </is>
      </c>
      <c r="P9" s="1464" t="inlineStr">
        <is>
          <t>TP5-180-480-3-BAA</t>
        </is>
      </c>
      <c r="Q9" s="1464" t="inlineStr">
        <is>
          <t>CTX-AiO-240-4-300</t>
        </is>
      </c>
      <c r="R9" s="1463" t="inlineStr">
        <is>
          <t>HPC-360-480-3</t>
        </is>
      </c>
      <c r="S9" s="1561" t="n"/>
      <c r="T9" s="1561" t="n"/>
      <c r="U9" s="1561" t="n"/>
      <c r="V9" s="1561" t="n"/>
      <c r="W9" s="1457" t="inlineStr">
        <is>
          <t>240 kW DC</t>
        </is>
      </c>
      <c r="X9" s="1457" t="n">
        <v>240</v>
      </c>
      <c r="Y9" s="1457" t="n">
        <v>0</v>
      </c>
      <c r="Z9" s="1561" t="n"/>
      <c r="AA9" s="1561" t="n"/>
      <c r="AB9" s="1561" t="n"/>
      <c r="AC9" s="1561" t="n"/>
      <c r="AD9" s="1465" t="inlineStr">
        <is>
          <t>CTX-C80-240-2</t>
        </is>
      </c>
      <c r="AE9" s="1466" t="inlineStr">
        <is>
          <t>level_2</t>
        </is>
      </c>
      <c r="AF9" s="1561" t="n"/>
      <c r="AG9" s="1561" t="n"/>
    </row>
    <row r="10" ht="25.5" customHeight="1" s="254">
      <c r="A10" s="1455" t="inlineStr">
        <is>
          <t>_L2</t>
        </is>
      </c>
      <c r="B10" s="1455" t="inlineStr">
        <is>
          <t>CTX-C40-240-2-ISO</t>
        </is>
      </c>
      <c r="C10" s="1468" t="inlineStr">
        <is>
          <t>40A Dual Commercial L2 Charger (18' Cable with Modem)</t>
        </is>
      </c>
      <c r="D10" s="1456" t="n">
        <v>2530</v>
      </c>
      <c r="E10" s="1455" t="n"/>
      <c r="F10" s="1456" t="n"/>
      <c r="G10" s="1561" t="n"/>
      <c r="H10" s="1561" t="n"/>
      <c r="I10" s="1457" t="n">
        <v>2</v>
      </c>
      <c r="J10" s="1458" t="inlineStr">
        <is>
          <t>description says Dual</t>
        </is>
      </c>
      <c r="K10" s="1463" t="inlineStr">
        <is>
          <t>CTX-C80-240-1-ISO</t>
        </is>
      </c>
      <c r="L10" s="1561" t="n"/>
      <c r="M10" s="1464" t="inlineStr">
        <is>
          <t>TP5-60-480-2-BAA</t>
        </is>
      </c>
      <c r="N10" s="1464" t="inlineStr">
        <is>
          <t>CTX-AiO-120-5-350</t>
        </is>
      </c>
      <c r="O10" s="1464" t="inlineStr">
        <is>
          <t>CTX-AiO-160-3-350</t>
        </is>
      </c>
      <c r="P10" s="1464" t="inlineStr">
        <is>
          <t>TP5-180-480-4-BAA</t>
        </is>
      </c>
      <c r="Q10" s="1464" t="inlineStr">
        <is>
          <t>CTX-AiO-240-5-300</t>
        </is>
      </c>
      <c r="R10" s="1463" t="inlineStr">
        <is>
          <t>HPC-360-480-4</t>
        </is>
      </c>
      <c r="S10" s="1561" t="n"/>
      <c r="T10" s="1561" t="n"/>
      <c r="U10" s="1561" t="n"/>
      <c r="V10" s="1561" t="n"/>
      <c r="W10" s="1457" t="inlineStr">
        <is>
          <t>360 kW DC</t>
        </is>
      </c>
      <c r="X10" s="1457" t="n">
        <v>360</v>
      </c>
      <c r="Y10" s="1457" t="n">
        <v>0</v>
      </c>
      <c r="Z10" s="1561" t="n"/>
      <c r="AA10" s="1561" t="n"/>
      <c r="AB10" s="1561" t="n"/>
      <c r="AC10" s="1561" t="n"/>
      <c r="AD10" s="1465" t="inlineStr">
        <is>
          <t>CTX-C80-240-1-ISO</t>
        </is>
      </c>
      <c r="AE10" s="1466" t="inlineStr">
        <is>
          <t>level_2</t>
        </is>
      </c>
      <c r="AF10" s="1561" t="n"/>
      <c r="AG10" s="1561" t="n"/>
    </row>
    <row r="11" ht="25.5" customHeight="1" s="254">
      <c r="A11" s="1455" t="inlineStr">
        <is>
          <t>_L2</t>
        </is>
      </c>
      <c r="B11" s="1455" t="inlineStr">
        <is>
          <t>CTX-C80-240-2-ISO</t>
        </is>
      </c>
      <c r="C11" s="1468" t="inlineStr">
        <is>
          <t>80A Dual Commercial L2 Charger (18' Cable with Modem)</t>
        </is>
      </c>
      <c r="D11" s="1456" t="n">
        <v>2805</v>
      </c>
      <c r="E11" s="1455" t="n"/>
      <c r="F11" s="1456" t="n"/>
      <c r="G11" s="1561" t="n"/>
      <c r="H11" s="1561" t="n"/>
      <c r="I11" s="1457" t="n">
        <v>2</v>
      </c>
      <c r="J11" s="1458" t="inlineStr">
        <is>
          <t>description says Dual</t>
        </is>
      </c>
      <c r="K11" s="1463" t="inlineStr">
        <is>
          <t>CTX-C40-240-2-ISO</t>
        </is>
      </c>
      <c r="L11" s="1561" t="n"/>
      <c r="M11" s="1464" t="inlineStr">
        <is>
          <t>TP5-60-480-3-BAA</t>
        </is>
      </c>
      <c r="N11" s="1464" t="inlineStr">
        <is>
          <t>CTX-AiO-120-6-350</t>
        </is>
      </c>
      <c r="O11" s="1464" t="inlineStr">
        <is>
          <t>CTX-AiO-160-4-350</t>
        </is>
      </c>
      <c r="P11" s="1464" t="inlineStr">
        <is>
          <t>HPC-180-480-2-BAA</t>
        </is>
      </c>
      <c r="Q11" s="1561" t="n"/>
      <c r="R11" s="1464" t="inlineStr">
        <is>
          <t>TP5-360-480-2-BAA</t>
        </is>
      </c>
      <c r="S11" s="1561" t="n"/>
      <c r="T11" s="1561" t="n"/>
      <c r="U11" s="1561" t="n"/>
      <c r="V11" s="1561" t="n"/>
      <c r="W11" s="1457" t="inlineStr">
        <is>
          <t>V2G</t>
        </is>
      </c>
      <c r="X11" s="1457" t="n">
        <v>0</v>
      </c>
      <c r="Y11" s="1457" t="n">
        <v>0</v>
      </c>
      <c r="Z11" s="1561" t="n"/>
      <c r="AA11" s="1561" t="n"/>
      <c r="AB11" s="1561" t="n"/>
      <c r="AC11" s="1561" t="n"/>
      <c r="AD11" s="1465" t="inlineStr">
        <is>
          <t>CTX-C40-240-2-ISO</t>
        </is>
      </c>
      <c r="AE11" s="1466" t="inlineStr">
        <is>
          <t>level_2</t>
        </is>
      </c>
      <c r="AF11" s="1561" t="n"/>
      <c r="AG11" s="1561" t="n"/>
    </row>
    <row r="12" ht="27.5" customHeight="1" s="254">
      <c r="A12" s="1455" t="inlineStr">
        <is>
          <t>_kW30</t>
        </is>
      </c>
      <c r="B12" s="1455" t="inlineStr">
        <is>
          <t>TP5-30-480-1</t>
        </is>
      </c>
      <c r="C12" s="1469" t="inlineStr">
        <is>
          <t>Gen2 30kW DCFC Wall Mount - 100 Amps / 1000VDC with CCS1 (~16ft)</t>
        </is>
      </c>
      <c r="D12" s="1456" t="n">
        <v>13750</v>
      </c>
      <c r="E12" s="1455" t="n">
        <v>30</v>
      </c>
      <c r="F12" s="1456" t="n"/>
      <c r="G12" s="1561" t="n"/>
      <c r="H12" s="1561" t="n"/>
      <c r="I12" s="1457" t="n">
        <v>1</v>
      </c>
      <c r="J12" s="1458" t="inlineStr">
        <is>
          <t>connectors named in the description</t>
        </is>
      </c>
      <c r="K12" s="1463" t="inlineStr">
        <is>
          <t>CTX-C80-240-2-ISO</t>
        </is>
      </c>
      <c r="L12" s="1561" t="n"/>
      <c r="M12" s="1464" t="inlineStr">
        <is>
          <t>TP5-60-480-4-BAA</t>
        </is>
      </c>
      <c r="N12" s="1464" t="inlineStr">
        <is>
          <t>TP5-120-480-2-300-BAA</t>
        </is>
      </c>
      <c r="O12" s="1464" t="inlineStr">
        <is>
          <t>CTX-AiO-160-5-350</t>
        </is>
      </c>
      <c r="P12" s="1464" t="inlineStr">
        <is>
          <t>HPC-180-480-3-BAA</t>
        </is>
      </c>
      <c r="Q12" s="1561" t="n"/>
      <c r="R12" s="1464" t="inlineStr">
        <is>
          <t>TP5-360-480-3-BAA</t>
        </is>
      </c>
      <c r="S12" s="1561" t="n"/>
      <c r="T12" s="1561" t="n"/>
      <c r="U12" s="1561" t="n"/>
      <c r="V12" s="1561" t="n"/>
      <c r="W12" s="1457" t="inlineStr">
        <is>
          <t>Distributed system</t>
        </is>
      </c>
      <c r="X12" s="1457" t="n">
        <v>0</v>
      </c>
      <c r="Y12" s="1457" t="n">
        <v>0</v>
      </c>
      <c r="Z12" s="1561" t="n"/>
      <c r="AA12" s="1561" t="n"/>
      <c r="AB12" s="1561" t="n"/>
      <c r="AC12" s="1561" t="n"/>
      <c r="AD12" s="1465" t="inlineStr">
        <is>
          <t>CTX-C80-240-2-ISO</t>
        </is>
      </c>
      <c r="AE12" s="1466" t="inlineStr">
        <is>
          <t>level_2</t>
        </is>
      </c>
      <c r="AF12" s="1561" t="n"/>
      <c r="AG12" s="1561" t="n"/>
    </row>
    <row r="13" ht="27.5" customHeight="1" s="254">
      <c r="A13" s="1455" t="inlineStr">
        <is>
          <t>_kW30</t>
        </is>
      </c>
      <c r="B13" s="1455" t="inlineStr">
        <is>
          <t>TP5-30-480-3</t>
        </is>
      </c>
      <c r="C13" s="1469" t="inlineStr">
        <is>
          <t>Gen 2Gen 30kW DCFC Wall Mount - 200 Amps / 1000VDC with NACS (~16ft)</t>
        </is>
      </c>
      <c r="D13" s="1456" t="n">
        <v>13750</v>
      </c>
      <c r="E13" s="1455" t="n">
        <v>30</v>
      </c>
      <c r="F13" s="1456" t="n"/>
      <c r="G13" s="1561" t="n"/>
      <c r="H13" s="1561" t="n"/>
      <c r="I13" s="1457" t="n">
        <v>1</v>
      </c>
      <c r="J13" s="1458" t="inlineStr">
        <is>
          <t>connectors named in the description</t>
        </is>
      </c>
      <c r="K13" s="1561" t="n"/>
      <c r="L13" s="1561" t="n"/>
      <c r="M13" s="1561" t="n"/>
      <c r="N13" s="1464" t="inlineStr">
        <is>
          <t>TP5-120-480-3-300-BAA</t>
        </is>
      </c>
      <c r="O13" s="1464" t="inlineStr">
        <is>
          <t>CTX-AiO-160-6-350</t>
        </is>
      </c>
      <c r="P13" s="1464" t="inlineStr">
        <is>
          <t>HPC-180-480-4-BAA</t>
        </is>
      </c>
      <c r="Q13" s="1561" t="n"/>
      <c r="R13" s="1464" t="inlineStr">
        <is>
          <t>TP5-360-480-4-BAA</t>
        </is>
      </c>
      <c r="S13" s="1561" t="n"/>
      <c r="T13" s="1561" t="n"/>
      <c r="U13" s="1561" t="n"/>
      <c r="V13" s="1561" t="n"/>
      <c r="W13" s="1457" t="inlineStr">
        <is>
          <t>Accessory</t>
        </is>
      </c>
      <c r="X13" s="1457" t="n">
        <v>0</v>
      </c>
      <c r="Y13" s="1457" t="n">
        <v>0</v>
      </c>
      <c r="Z13" s="1561" t="n"/>
      <c r="AA13" s="1561" t="n"/>
      <c r="AB13" s="1561" t="n"/>
      <c r="AC13" s="1561" t="n"/>
      <c r="AD13" s="1465" t="inlineStr">
        <is>
          <t>TP5-30-480-1</t>
        </is>
      </c>
      <c r="AE13" s="1466" t="inlineStr">
        <is>
          <t>all_in_one</t>
        </is>
      </c>
      <c r="AF13" s="1561" t="n"/>
      <c r="AG13" s="1561" t="n"/>
    </row>
    <row r="14" ht="27.5" customHeight="1" s="254">
      <c r="A14" s="1455" t="inlineStr">
        <is>
          <t>_kW60</t>
        </is>
      </c>
      <c r="B14" s="1455" t="inlineStr">
        <is>
          <t>TP5-60-480-1</t>
        </is>
      </c>
      <c r="C14" s="1469" t="inlineStr">
        <is>
          <t xml:space="preserve">60kW DCFC - 200 Amps / 1000VDC with CCS1 &amp; NACS(~16ft) ; 4G Modem </t>
        </is>
      </c>
      <c r="D14" s="1456" t="n">
        <v>28500</v>
      </c>
      <c r="E14" s="1455" t="n">
        <v>60</v>
      </c>
      <c r="F14" s="1456" t="n"/>
      <c r="G14" s="1561" t="n"/>
      <c r="H14" s="1561" t="n"/>
      <c r="I14" s="1457" t="n">
        <v>2</v>
      </c>
      <c r="J14" s="1458" t="inlineStr">
        <is>
          <t>connectors named in the description</t>
        </is>
      </c>
      <c r="K14" s="1561" t="n"/>
      <c r="L14" s="1561" t="n"/>
      <c r="M14" s="1561" t="n"/>
      <c r="N14" s="1464" t="inlineStr">
        <is>
          <t>TP5-120-480-4-300-BAA</t>
        </is>
      </c>
      <c r="O14" s="1561" t="n"/>
      <c r="P14" s="1561" t="n"/>
      <c r="Q14" s="1561" t="n"/>
      <c r="R14" s="1464" t="inlineStr">
        <is>
          <t>HPC-360-480-2-BAA</t>
        </is>
      </c>
      <c r="S14" s="1561" t="n"/>
      <c r="T14" s="1561" t="n"/>
      <c r="U14" s="1561" t="n"/>
      <c r="V14" s="1561" t="n"/>
      <c r="W14" s="1561" t="n"/>
      <c r="X14" s="1561" t="n"/>
      <c r="Y14" s="1561" t="n"/>
      <c r="Z14" s="1561" t="n"/>
      <c r="AA14" s="1561" t="n"/>
      <c r="AB14" s="1561" t="n"/>
      <c r="AC14" s="1561" t="n"/>
      <c r="AD14" s="1465" t="inlineStr">
        <is>
          <t>TP5-30-480-3</t>
        </is>
      </c>
      <c r="AE14" s="1466" t="inlineStr">
        <is>
          <t>all_in_one</t>
        </is>
      </c>
      <c r="AF14" s="1561" t="n"/>
      <c r="AG14" s="1561" t="n"/>
    </row>
    <row r="15" ht="27.5" customHeight="1" s="254">
      <c r="A15" s="1455" t="inlineStr">
        <is>
          <t>_kW60</t>
        </is>
      </c>
      <c r="B15" s="1455" t="inlineStr">
        <is>
          <t>TP5-60-480-2</t>
        </is>
      </c>
      <c r="C15" s="1469" t="inlineStr">
        <is>
          <t xml:space="preserve">60kW DCFC - 200 Amps / 1000VDC with CCS1 &amp; CCS1(~16ft) ; 4G Modem </t>
        </is>
      </c>
      <c r="D15" s="1456" t="n">
        <v>28500</v>
      </c>
      <c r="E15" s="1455" t="n">
        <v>60</v>
      </c>
      <c r="F15" s="1456" t="n"/>
      <c r="G15" s="1561" t="n"/>
      <c r="H15" s="1561" t="n"/>
      <c r="I15" s="1457" t="n">
        <v>2</v>
      </c>
      <c r="J15" s="1458" t="inlineStr">
        <is>
          <t>connectors named in the description</t>
        </is>
      </c>
      <c r="K15" s="1561" t="n"/>
      <c r="L15" s="1561" t="n"/>
      <c r="M15" s="1561" t="n"/>
      <c r="N15" s="1561" t="n"/>
      <c r="O15" s="1561" t="n"/>
      <c r="P15" s="1561" t="n"/>
      <c r="Q15" s="1561" t="n"/>
      <c r="R15" s="1464" t="inlineStr">
        <is>
          <t>HPC-360-480-3-BAA</t>
        </is>
      </c>
      <c r="S15" s="1561" t="n"/>
      <c r="T15" s="1561" t="n"/>
      <c r="U15" s="1561" t="n"/>
      <c r="V15" s="1561" t="n"/>
      <c r="W15" s="1561" t="n"/>
      <c r="X15" s="1561" t="n"/>
      <c r="Y15" s="1561" t="n"/>
      <c r="Z15" s="1561" t="n"/>
      <c r="AA15" s="1561" t="n"/>
      <c r="AB15" s="1561" t="n"/>
      <c r="AC15" s="1561" t="n"/>
      <c r="AD15" s="1465" t="inlineStr">
        <is>
          <t>TP5-60-480-1</t>
        </is>
      </c>
      <c r="AE15" s="1466" t="inlineStr">
        <is>
          <t>all_in_one</t>
        </is>
      </c>
      <c r="AF15" s="1561" t="n"/>
      <c r="AG15" s="1561" t="n"/>
    </row>
    <row r="16" ht="27.5" customHeight="1" s="254">
      <c r="A16" s="1455" t="inlineStr">
        <is>
          <t>_kW60</t>
        </is>
      </c>
      <c r="B16" s="1455" t="inlineStr">
        <is>
          <t>TP5-60-480-3</t>
        </is>
      </c>
      <c r="C16" s="1469" t="inlineStr">
        <is>
          <t xml:space="preserve">60kW DCFC - 200 Amps / 1000VDC with CCS1 &amp; NACS(~16ft) ; 4G Modem </t>
        </is>
      </c>
      <c r="D16" s="1456" t="n">
        <v>28500</v>
      </c>
      <c r="E16" s="1455" t="n">
        <v>60</v>
      </c>
      <c r="F16" s="1456" t="n"/>
      <c r="G16" s="1561" t="n"/>
      <c r="H16" s="1561" t="n"/>
      <c r="I16" s="1457" t="n">
        <v>2</v>
      </c>
      <c r="J16" s="1458" t="inlineStr">
        <is>
          <t>connectors named in the description</t>
        </is>
      </c>
      <c r="K16" s="1561" t="n"/>
      <c r="L16" s="1561" t="n"/>
      <c r="M16" s="1561" t="n"/>
      <c r="N16" s="1561" t="n"/>
      <c r="O16" s="1561" t="n"/>
      <c r="P16" s="1561" t="n"/>
      <c r="Q16" s="1561" t="n"/>
      <c r="R16" s="1464" t="inlineStr">
        <is>
          <t>HPC-360-480-4-BAA</t>
        </is>
      </c>
      <c r="S16" s="1561" t="n"/>
      <c r="T16" s="1561" t="n"/>
      <c r="U16" s="1561" t="n"/>
      <c r="V16" s="1561" t="n"/>
      <c r="W16" s="1561" t="n"/>
      <c r="X16" s="1561" t="n"/>
      <c r="Y16" s="1561" t="n"/>
      <c r="Z16" s="1561" t="n"/>
      <c r="AA16" s="1561" t="n"/>
      <c r="AB16" s="1561" t="n"/>
      <c r="AC16" s="1561" t="n"/>
      <c r="AD16" s="1465" t="inlineStr">
        <is>
          <t>TP5-60-480-2</t>
        </is>
      </c>
      <c r="AE16" s="1466" t="inlineStr">
        <is>
          <t>all_in_one</t>
        </is>
      </c>
      <c r="AF16" s="1561" t="n"/>
      <c r="AG16" s="1561" t="n"/>
    </row>
    <row r="17" ht="27.5" customHeight="1" s="254">
      <c r="A17" s="1455" t="inlineStr">
        <is>
          <t>_kW60</t>
        </is>
      </c>
      <c r="B17" s="1455" t="inlineStr">
        <is>
          <t>TP5-60-480-4</t>
        </is>
      </c>
      <c r="C17" s="1469" t="inlineStr">
        <is>
          <t xml:space="preserve">60kW DCFC - 200 Amps / 1000VDC with NACS &amp; NACS(~16ft) ; 4G Modem </t>
        </is>
      </c>
      <c r="D17" s="1456" t="n">
        <v>28500</v>
      </c>
      <c r="E17" s="1455" t="n">
        <v>60</v>
      </c>
      <c r="F17" s="1456" t="n"/>
      <c r="G17" s="1561" t="n"/>
      <c r="H17" s="1561" t="n"/>
      <c r="I17" s="1457" t="n">
        <v>2</v>
      </c>
      <c r="J17" s="1458" t="inlineStr">
        <is>
          <t>connectors named in the description</t>
        </is>
      </c>
      <c r="K17" s="1561" t="n"/>
      <c r="L17" s="1561" t="n"/>
      <c r="M17" s="1561" t="n"/>
      <c r="N17" s="1561" t="n"/>
      <c r="O17" s="1561" t="n"/>
      <c r="P17" s="1561" t="n"/>
      <c r="Q17" s="1561" t="n"/>
      <c r="R17" s="1561" t="n"/>
      <c r="S17" s="1561" t="n"/>
      <c r="T17" s="1561" t="n"/>
      <c r="U17" s="1561" t="n"/>
      <c r="V17" s="1561" t="n"/>
      <c r="W17" s="1561" t="n"/>
      <c r="X17" s="1561" t="n"/>
      <c r="Y17" s="1561" t="n"/>
      <c r="Z17" s="1561" t="n"/>
      <c r="AA17" s="1561" t="n"/>
      <c r="AB17" s="1561" t="n"/>
      <c r="AC17" s="1561" t="n"/>
      <c r="AD17" s="1465" t="inlineStr">
        <is>
          <t>TP5-60-480-3</t>
        </is>
      </c>
      <c r="AE17" s="1466" t="inlineStr">
        <is>
          <t>all_in_one</t>
        </is>
      </c>
      <c r="AF17" s="1561" t="n"/>
      <c r="AG17" s="1561" t="n"/>
    </row>
    <row r="18" ht="27.5" customHeight="1" s="254">
      <c r="A18" s="1455" t="inlineStr">
        <is>
          <t>_kW60</t>
        </is>
      </c>
      <c r="B18" s="1455" t="inlineStr">
        <is>
          <t>CTX-AiO-60-2-200</t>
        </is>
      </c>
      <c r="C18" s="1469" t="inlineStr">
        <is>
          <t xml:space="preserve">Gen 2 60kW DCFC - 200 Amps / 1000VDC with CCS1 &amp; CCS1(~16ft) ; 4G Modem </t>
        </is>
      </c>
      <c r="D18" s="1456" t="n">
        <v>31350</v>
      </c>
      <c r="E18" s="1455" t="n">
        <v>60</v>
      </c>
      <c r="F18" s="1456" t="n"/>
      <c r="G18" s="1561" t="n"/>
      <c r="H18" s="1561" t="n"/>
      <c r="I18" s="1457" t="n">
        <v>2</v>
      </c>
      <c r="J18" s="1458" t="inlineStr">
        <is>
          <t>connectors named in the description</t>
        </is>
      </c>
      <c r="K18" s="1561" t="n"/>
      <c r="L18" s="1561" t="n"/>
      <c r="M18" s="1561" t="n"/>
      <c r="N18" s="1561" t="n"/>
      <c r="O18" s="1561" t="n"/>
      <c r="P18" s="1561" t="n"/>
      <c r="Q18" s="1561" t="n"/>
      <c r="R18" s="1561" t="n"/>
      <c r="S18" s="1561" t="n"/>
      <c r="T18" s="1561" t="n"/>
      <c r="U18" s="1561" t="n"/>
      <c r="V18" s="1561" t="n"/>
      <c r="W18" s="1561" t="n"/>
      <c r="X18" s="1561" t="n"/>
      <c r="Y18" s="1561" t="n"/>
      <c r="Z18" s="1561" t="n"/>
      <c r="AA18" s="1561" t="n"/>
      <c r="AB18" s="1561" t="n"/>
      <c r="AC18" s="1561" t="n"/>
      <c r="AD18" s="1465" t="inlineStr">
        <is>
          <t>TP5-60-480-4</t>
        </is>
      </c>
      <c r="AE18" s="1466" t="inlineStr">
        <is>
          <t>all_in_one</t>
        </is>
      </c>
      <c r="AF18" s="1561" t="n"/>
      <c r="AG18" s="1561" t="n"/>
    </row>
    <row r="19" ht="27.5" customHeight="1" s="254">
      <c r="A19" s="1455" t="inlineStr">
        <is>
          <t>_kW60</t>
        </is>
      </c>
      <c r="B19" s="1455" t="inlineStr">
        <is>
          <t>CTX-AiO-60-3-200</t>
        </is>
      </c>
      <c r="C19" s="1469" t="inlineStr">
        <is>
          <t xml:space="preserve">Gen 2 60kW DCFC - 200 Amps / 1000VDC with CCS1 &amp; NACS(~16ft) ; 4G Modem </t>
        </is>
      </c>
      <c r="D19" s="1456" t="n">
        <v>31350</v>
      </c>
      <c r="E19" s="1455" t="n">
        <v>60</v>
      </c>
      <c r="F19" s="1456" t="n"/>
      <c r="G19" s="1561" t="n"/>
      <c r="H19" s="1561" t="n"/>
      <c r="I19" s="1457" t="n">
        <v>2</v>
      </c>
      <c r="J19" s="1458" t="inlineStr">
        <is>
          <t>connectors named in the description</t>
        </is>
      </c>
      <c r="K19" s="1561" t="n"/>
      <c r="L19" s="1561" t="n"/>
      <c r="M19" s="1561" t="n"/>
      <c r="N19" s="1561" t="n"/>
      <c r="O19" s="1561" t="n"/>
      <c r="P19" s="1561" t="n"/>
      <c r="Q19" s="1561" t="n"/>
      <c r="R19" s="1561" t="n"/>
      <c r="S19" s="1561" t="n"/>
      <c r="T19" s="1561" t="n"/>
      <c r="U19" s="1561" t="n"/>
      <c r="V19" s="1561" t="n"/>
      <c r="W19" s="1561" t="n"/>
      <c r="X19" s="1561" t="n"/>
      <c r="Y19" s="1561" t="n"/>
      <c r="Z19" s="1561" t="n"/>
      <c r="AA19" s="1561" t="n"/>
      <c r="AB19" s="1561" t="n"/>
      <c r="AC19" s="1561" t="n"/>
      <c r="AD19" s="1465" t="inlineStr">
        <is>
          <t>CTX-AiO-60-2-200</t>
        </is>
      </c>
      <c r="AE19" s="1466" t="inlineStr">
        <is>
          <t>all_in_one</t>
        </is>
      </c>
      <c r="AF19" s="1561" t="n"/>
      <c r="AG19" s="1561" t="n"/>
    </row>
    <row r="20" ht="27.5" customHeight="1" s="254">
      <c r="A20" s="1455" t="inlineStr">
        <is>
          <t>_kW60</t>
        </is>
      </c>
      <c r="B20" s="1455" t="inlineStr">
        <is>
          <t>CTX-AiO-60-4-200</t>
        </is>
      </c>
      <c r="C20" s="1469" t="inlineStr">
        <is>
          <t xml:space="preserve">Gen 2 60kW DCFC - 200 Amps / 1000VDC with NACS &amp; NACS(~16ft) ; 4G Modem </t>
        </is>
      </c>
      <c r="D20" s="1456" t="n">
        <v>31350</v>
      </c>
      <c r="E20" s="1455" t="n">
        <v>60</v>
      </c>
      <c r="F20" s="1456" t="n"/>
      <c r="G20" s="1561" t="n"/>
      <c r="H20" s="1561" t="n"/>
      <c r="I20" s="1457" t="n">
        <v>2</v>
      </c>
      <c r="J20" s="1458" t="inlineStr">
        <is>
          <t>connectors named in the description</t>
        </is>
      </c>
      <c r="K20" s="1561" t="n"/>
      <c r="L20" s="1561" t="n"/>
      <c r="M20" s="1561" t="n"/>
      <c r="N20" s="1561" t="n"/>
      <c r="O20" s="1561" t="n"/>
      <c r="P20" s="1561" t="n"/>
      <c r="Q20" s="1561" t="n"/>
      <c r="R20" s="1561" t="n"/>
      <c r="S20" s="1561" t="n"/>
      <c r="T20" s="1561" t="n"/>
      <c r="U20" s="1561" t="n"/>
      <c r="V20" s="1561" t="n"/>
      <c r="W20" s="1561" t="n"/>
      <c r="X20" s="1561" t="n"/>
      <c r="Y20" s="1561" t="n"/>
      <c r="Z20" s="1561" t="n"/>
      <c r="AA20" s="1561" t="n"/>
      <c r="AB20" s="1561" t="n"/>
      <c r="AC20" s="1561" t="n"/>
      <c r="AD20" s="1465" t="inlineStr">
        <is>
          <t>CTX-AiO-60-3-200</t>
        </is>
      </c>
      <c r="AE20" s="1466" t="inlineStr">
        <is>
          <t>all_in_one</t>
        </is>
      </c>
      <c r="AF20" s="1561" t="n"/>
      <c r="AG20" s="1561" t="n"/>
    </row>
    <row r="21" ht="40" customHeight="1" s="254">
      <c r="A21" s="1455" t="inlineStr">
        <is>
          <t>_kW120</t>
        </is>
      </c>
      <c r="B21" s="1455" t="inlineStr">
        <is>
          <t>TP5-120-480-1</t>
        </is>
      </c>
      <c r="C21" s="1469" t="inlineStr">
        <is>
          <t xml:space="preserve">120kW DCFC All In One Charger - 200 Amps / 1000VDC with CCS1 &amp; NACS(~16ft) ; Can charge 2 cars simultaneously with 60kW each ; 4G Modem </t>
        </is>
      </c>
      <c r="D21" s="1456" t="n">
        <v>54000</v>
      </c>
      <c r="E21" s="1455" t="n">
        <v>120</v>
      </c>
      <c r="F21" s="1456" t="n"/>
      <c r="G21" s="1561" t="n"/>
      <c r="H21" s="1561" t="n"/>
      <c r="I21" s="1457" t="n">
        <v>2</v>
      </c>
      <c r="J21" s="1458" t="inlineStr">
        <is>
          <t>connectors named in the description</t>
        </is>
      </c>
      <c r="K21" s="1561" t="n"/>
      <c r="L21" s="1561" t="n"/>
      <c r="M21" s="1561" t="n"/>
      <c r="N21" s="1561" t="n"/>
      <c r="O21" s="1561" t="n"/>
      <c r="P21" s="1561" t="n"/>
      <c r="Q21" s="1561" t="n"/>
      <c r="R21" s="1561" t="n"/>
      <c r="S21" s="1561" t="n"/>
      <c r="T21" s="1561" t="n"/>
      <c r="U21" s="1561" t="n"/>
      <c r="V21" s="1561" t="n"/>
      <c r="W21" s="1561" t="n"/>
      <c r="X21" s="1561" t="n"/>
      <c r="Y21" s="1561" t="n"/>
      <c r="Z21" s="1561" t="n"/>
      <c r="AA21" s="1561" t="n"/>
      <c r="AB21" s="1561" t="n"/>
      <c r="AC21" s="1561" t="n"/>
      <c r="AD21" s="1465" t="inlineStr">
        <is>
          <t>CTX-AiO-60-4-200</t>
        </is>
      </c>
      <c r="AE21" s="1466" t="inlineStr">
        <is>
          <t>all_in_one</t>
        </is>
      </c>
      <c r="AF21" s="1561" t="n"/>
      <c r="AG21" s="1561" t="n"/>
    </row>
    <row r="22" ht="40" customHeight="1" s="254">
      <c r="A22" s="1455" t="inlineStr">
        <is>
          <t>_kW120</t>
        </is>
      </c>
      <c r="B22" s="1455" t="inlineStr">
        <is>
          <t>TP5-120-480-2</t>
        </is>
      </c>
      <c r="C22" s="1469" t="inlineStr">
        <is>
          <t xml:space="preserve">120kW DCFC All In One Charger - 200 Amps / 1000VDC with CCS1 &amp; CCS1(~16ft); Can charge 2 cars simultaneously with 60kW each ; 4G Modem </t>
        </is>
      </c>
      <c r="D22" s="1456" t="n">
        <v>54000</v>
      </c>
      <c r="E22" s="1455" t="n">
        <v>120</v>
      </c>
      <c r="F22" s="1456" t="n"/>
      <c r="G22" s="1561" t="n"/>
      <c r="H22" s="1561" t="n"/>
      <c r="I22" s="1457" t="n">
        <v>2</v>
      </c>
      <c r="J22" s="1458" t="inlineStr">
        <is>
          <t>connectors named in the description</t>
        </is>
      </c>
      <c r="K22" s="1561" t="n"/>
      <c r="L22" s="1561" t="n"/>
      <c r="M22" s="1561" t="n"/>
      <c r="N22" s="1561" t="n"/>
      <c r="O22" s="1561" t="n"/>
      <c r="P22" s="1561" t="n"/>
      <c r="Q22" s="1561" t="n"/>
      <c r="R22" s="1561" t="n"/>
      <c r="S22" s="1561" t="n"/>
      <c r="T22" s="1561" t="n"/>
      <c r="U22" s="1561" t="n"/>
      <c r="V22" s="1561" t="n"/>
      <c r="W22" s="1561" t="n"/>
      <c r="X22" s="1561" t="n"/>
      <c r="Y22" s="1561" t="n"/>
      <c r="Z22" s="1561" t="n"/>
      <c r="AA22" s="1561" t="n"/>
      <c r="AB22" s="1561" t="n"/>
      <c r="AC22" s="1561" t="n"/>
      <c r="AD22" s="1465" t="inlineStr">
        <is>
          <t>TP5-120-480-1</t>
        </is>
      </c>
      <c r="AE22" s="1466" t="inlineStr">
        <is>
          <t>all_in_one</t>
        </is>
      </c>
      <c r="AF22" s="1561" t="n"/>
      <c r="AG22" s="1561" t="n"/>
    </row>
    <row r="23" ht="40" customHeight="1" s="254">
      <c r="A23" s="1455" t="inlineStr">
        <is>
          <t>_kW120</t>
        </is>
      </c>
      <c r="B23" s="1455" t="inlineStr">
        <is>
          <t>TP5-120-480-2-300</t>
        </is>
      </c>
      <c r="C23" s="1469" t="inlineStr">
        <is>
          <t xml:space="preserve">120kW DCFC All In One Charger - 350A Cable / 1000VDC with CCS1 &amp; CCS1(~16ft); Can charge 2 cars simultaneously with 60kW each ; 4G Modem </t>
        </is>
      </c>
      <c r="D23" s="1456" t="n">
        <v>54000</v>
      </c>
      <c r="E23" s="1455" t="n">
        <v>120</v>
      </c>
      <c r="F23" s="1456" t="n"/>
      <c r="G23" s="1561" t="n"/>
      <c r="H23" s="1561" t="n"/>
      <c r="I23" s="1457" t="n">
        <v>2</v>
      </c>
      <c r="J23" s="1458" t="inlineStr">
        <is>
          <t>connectors named in the description</t>
        </is>
      </c>
      <c r="K23" s="1561" t="n"/>
      <c r="L23" s="1561" t="n"/>
      <c r="M23" s="1561" t="n"/>
      <c r="N23" s="1561" t="n"/>
      <c r="O23" s="1561" t="n"/>
      <c r="P23" s="1561" t="n"/>
      <c r="Q23" s="1561" t="n"/>
      <c r="R23" s="1561" t="n"/>
      <c r="S23" s="1561" t="n"/>
      <c r="T23" s="1561" t="n"/>
      <c r="U23" s="1561" t="n"/>
      <c r="V23" s="1561" t="n"/>
      <c r="W23" s="1561" t="n"/>
      <c r="X23" s="1561" t="n"/>
      <c r="Y23" s="1561" t="n"/>
      <c r="Z23" s="1561" t="n"/>
      <c r="AA23" s="1561" t="n"/>
      <c r="AB23" s="1561" t="n"/>
      <c r="AC23" s="1561" t="n"/>
      <c r="AD23" s="1465" t="inlineStr">
        <is>
          <t>TP5-120-480-2</t>
        </is>
      </c>
      <c r="AE23" s="1466" t="inlineStr">
        <is>
          <t>all_in_one</t>
        </is>
      </c>
      <c r="AF23" s="1561" t="n"/>
      <c r="AG23" s="1561" t="n"/>
    </row>
    <row r="24" ht="40" customHeight="1" s="254">
      <c r="A24" s="1455" t="inlineStr">
        <is>
          <t>_kW120</t>
        </is>
      </c>
      <c r="B24" s="1455" t="inlineStr">
        <is>
          <t>TP5-120-480-3-300</t>
        </is>
      </c>
      <c r="C24" s="1469" t="inlineStr">
        <is>
          <t xml:space="preserve">120kW DCFC All In One Charger - 1000VDC, Cables: 350A CCS1 &amp; 400A NACS (~16ft); Can charge 2 cars simultaneously with 60kW each ; 4G Modem </t>
        </is>
      </c>
      <c r="D24" s="1456" t="n">
        <v>54000</v>
      </c>
      <c r="E24" s="1455" t="n">
        <v>120</v>
      </c>
      <c r="F24" s="1456" t="n"/>
      <c r="G24" s="1561" t="n"/>
      <c r="H24" s="1561" t="n"/>
      <c r="I24" s="1457" t="n">
        <v>2</v>
      </c>
      <c r="J24" s="1458" t="inlineStr">
        <is>
          <t>manual — description does not state the count</t>
        </is>
      </c>
      <c r="K24" s="1561" t="n"/>
      <c r="L24" s="1561" t="n"/>
      <c r="M24" s="1561" t="n"/>
      <c r="N24" s="1561" t="n"/>
      <c r="O24" s="1561" t="n"/>
      <c r="P24" s="1561" t="n"/>
      <c r="Q24" s="1561" t="n"/>
      <c r="R24" s="1561" t="n"/>
      <c r="S24" s="1561" t="n"/>
      <c r="T24" s="1561" t="n"/>
      <c r="U24" s="1561" t="n"/>
      <c r="V24" s="1561" t="n"/>
      <c r="W24" s="1561" t="n"/>
      <c r="X24" s="1561" t="n"/>
      <c r="Y24" s="1561" t="n"/>
      <c r="Z24" s="1561" t="n"/>
      <c r="AA24" s="1561" t="n"/>
      <c r="AB24" s="1561" t="n"/>
      <c r="AC24" s="1561" t="n"/>
      <c r="AD24" s="1465" t="inlineStr">
        <is>
          <t>TP5-120-480-2-300</t>
        </is>
      </c>
      <c r="AE24" s="1466" t="inlineStr">
        <is>
          <t>all_in_one</t>
        </is>
      </c>
      <c r="AF24" s="1561" t="n"/>
      <c r="AG24" s="1561" t="n"/>
    </row>
    <row r="25" ht="27.5" customHeight="1" s="254">
      <c r="A25" s="1455" t="inlineStr">
        <is>
          <t>_kW120</t>
        </is>
      </c>
      <c r="B25" s="1455" t="inlineStr">
        <is>
          <t>CTX-AiO-120-2-350</t>
        </is>
      </c>
      <c r="C25" s="1469" t="inlineStr">
        <is>
          <t>Gen3 120kW CCS1 350A + CCS1 350A ; Cable Management + CC</t>
        </is>
      </c>
      <c r="D25" s="1456" t="n">
        <v>59400</v>
      </c>
      <c r="E25" s="1455" t="n">
        <v>120</v>
      </c>
      <c r="F25" s="1456" t="n"/>
      <c r="G25" s="1561" t="n"/>
      <c r="H25" s="1561" t="n"/>
      <c r="I25" s="1457" t="n">
        <v>2</v>
      </c>
      <c r="J25" s="1458" t="inlineStr">
        <is>
          <t>connectors named in the description</t>
        </is>
      </c>
      <c r="K25" s="1561" t="n"/>
      <c r="L25" s="1561" t="n"/>
      <c r="M25" s="1561" t="n"/>
      <c r="N25" s="1561" t="n"/>
      <c r="O25" s="1561" t="n"/>
      <c r="P25" s="1561" t="n"/>
      <c r="Q25" s="1561" t="n"/>
      <c r="R25" s="1561" t="n"/>
      <c r="S25" s="1561" t="n"/>
      <c r="T25" s="1561" t="n"/>
      <c r="U25" s="1561" t="n"/>
      <c r="V25" s="1561" t="n"/>
      <c r="W25" s="1561" t="n"/>
      <c r="X25" s="1561" t="n"/>
      <c r="Y25" s="1561" t="n"/>
      <c r="Z25" s="1561" t="n"/>
      <c r="AA25" s="1561" t="n"/>
      <c r="AB25" s="1561" t="n"/>
      <c r="AC25" s="1561" t="n"/>
      <c r="AD25" s="1465" t="inlineStr">
        <is>
          <t>TP5-120-480-3-300</t>
        </is>
      </c>
      <c r="AE25" s="1466" t="inlineStr">
        <is>
          <t>all_in_one</t>
        </is>
      </c>
      <c r="AF25" s="1561" t="n"/>
      <c r="AG25" s="1561" t="n"/>
    </row>
    <row r="26" ht="27.5" customHeight="1" s="254">
      <c r="A26" s="1455" t="inlineStr">
        <is>
          <t>_kW120</t>
        </is>
      </c>
      <c r="B26" s="1455" t="inlineStr">
        <is>
          <t>CTX-AiO-120-3-350</t>
        </is>
      </c>
      <c r="C26" s="1469" t="inlineStr">
        <is>
          <t>Gen3 120kW CCS1 350A + NACS 350A   ; Cable Management + CC</t>
        </is>
      </c>
      <c r="D26" s="1456" t="n">
        <v>59400</v>
      </c>
      <c r="E26" s="1455" t="n">
        <v>120</v>
      </c>
      <c r="F26" s="1456" t="n"/>
      <c r="G26" s="1561" t="n"/>
      <c r="H26" s="1561" t="n"/>
      <c r="I26" s="1457" t="n">
        <v>2</v>
      </c>
      <c r="J26" s="1458" t="inlineStr">
        <is>
          <t>connectors named in the description</t>
        </is>
      </c>
      <c r="K26" s="1561" t="n"/>
      <c r="L26" s="1561" t="n"/>
      <c r="M26" s="1561" t="n"/>
      <c r="N26" s="1561" t="n"/>
      <c r="O26" s="1561" t="n"/>
      <c r="P26" s="1561" t="n"/>
      <c r="Q26" s="1561" t="n"/>
      <c r="R26" s="1561" t="n"/>
      <c r="S26" s="1561" t="n"/>
      <c r="T26" s="1561" t="n"/>
      <c r="U26" s="1561" t="n"/>
      <c r="V26" s="1561" t="n"/>
      <c r="W26" s="1561" t="n"/>
      <c r="X26" s="1561" t="n"/>
      <c r="Y26" s="1561" t="n"/>
      <c r="Z26" s="1561" t="n"/>
      <c r="AA26" s="1561" t="n"/>
      <c r="AB26" s="1561" t="n"/>
      <c r="AC26" s="1561" t="n"/>
      <c r="AD26" s="1465" t="inlineStr">
        <is>
          <t>CTX-AiO-120-2-350</t>
        </is>
      </c>
      <c r="AE26" s="1466" t="inlineStr">
        <is>
          <t>all_in_one</t>
        </is>
      </c>
      <c r="AF26" s="1561" t="n"/>
      <c r="AG26" s="1561" t="n"/>
    </row>
    <row r="27" ht="27.5" customHeight="1" s="254">
      <c r="A27" s="1455" t="inlineStr">
        <is>
          <t>_kW120</t>
        </is>
      </c>
      <c r="B27" s="1455" t="inlineStr">
        <is>
          <t>CTX-AiO-120-4-350</t>
        </is>
      </c>
      <c r="C27" s="1469" t="inlineStr">
        <is>
          <t>Gen3 120kW NACS 350A + NACS 350A  ; Cable Management + CC</t>
        </is>
      </c>
      <c r="D27" s="1456" t="n">
        <v>59400</v>
      </c>
      <c r="E27" s="1455" t="n">
        <v>120</v>
      </c>
      <c r="F27" s="1456" t="n"/>
      <c r="G27" s="1561" t="n"/>
      <c r="H27" s="1561" t="n"/>
      <c r="I27" s="1457" t="n">
        <v>2</v>
      </c>
      <c r="J27" s="1458" t="inlineStr">
        <is>
          <t>connectors named in the description</t>
        </is>
      </c>
      <c r="K27" s="1561" t="n"/>
      <c r="L27" s="1561" t="n"/>
      <c r="M27" s="1561" t="n"/>
      <c r="N27" s="1561" t="n"/>
      <c r="O27" s="1561" t="n"/>
      <c r="P27" s="1561" t="n"/>
      <c r="Q27" s="1561" t="n"/>
      <c r="R27" s="1561" t="n"/>
      <c r="S27" s="1561" t="n"/>
      <c r="T27" s="1561" t="n"/>
      <c r="U27" s="1561" t="n"/>
      <c r="V27" s="1561" t="n"/>
      <c r="W27" s="1561" t="n"/>
      <c r="X27" s="1561" t="n"/>
      <c r="Y27" s="1561" t="n"/>
      <c r="Z27" s="1561" t="n"/>
      <c r="AA27" s="1561" t="n"/>
      <c r="AB27" s="1561" t="n"/>
      <c r="AC27" s="1561" t="n"/>
      <c r="AD27" s="1465" t="inlineStr">
        <is>
          <t>CTX-AiO-120-3-350</t>
        </is>
      </c>
      <c r="AE27" s="1466" t="inlineStr">
        <is>
          <t>all_in_one</t>
        </is>
      </c>
      <c r="AF27" s="1561" t="n"/>
      <c r="AG27" s="1561" t="n"/>
    </row>
    <row r="28" ht="15" customHeight="1" s="254">
      <c r="A28" s="1455" t="inlineStr">
        <is>
          <t>_kW120</t>
        </is>
      </c>
      <c r="B28" s="1455" t="inlineStr">
        <is>
          <t>CTX-AiO-120-5-350</t>
        </is>
      </c>
      <c r="C28" s="1468" t="inlineStr">
        <is>
          <t>Gen3 120kW Single CCS1 350A  ; Cable Management + CC</t>
        </is>
      </c>
      <c r="D28" s="1456" t="n">
        <v>59400</v>
      </c>
      <c r="E28" s="1455" t="n">
        <v>120</v>
      </c>
      <c r="F28" s="1456" t="n"/>
      <c r="G28" s="1561" t="n"/>
      <c r="H28" s="1561" t="n"/>
      <c r="I28" s="1457" t="n">
        <v>1</v>
      </c>
      <c r="J28" s="1458" t="inlineStr">
        <is>
          <t>description says Single</t>
        </is>
      </c>
      <c r="K28" s="1561" t="n"/>
      <c r="L28" s="1561" t="n"/>
      <c r="M28" s="1561" t="n"/>
      <c r="N28" s="1561" t="n"/>
      <c r="O28" s="1561" t="n"/>
      <c r="P28" s="1561" t="n"/>
      <c r="Q28" s="1561" t="n"/>
      <c r="R28" s="1561" t="n"/>
      <c r="S28" s="1561" t="n"/>
      <c r="T28" s="1561" t="n"/>
      <c r="U28" s="1561" t="n"/>
      <c r="V28" s="1561" t="n"/>
      <c r="W28" s="1561" t="n"/>
      <c r="X28" s="1561" t="n"/>
      <c r="Y28" s="1561" t="n"/>
      <c r="Z28" s="1561" t="n"/>
      <c r="AA28" s="1561" t="n"/>
      <c r="AB28" s="1561" t="n"/>
      <c r="AC28" s="1561" t="n"/>
      <c r="AD28" s="1465" t="inlineStr">
        <is>
          <t>CTX-AiO-120-4-350</t>
        </is>
      </c>
      <c r="AE28" s="1466" t="inlineStr">
        <is>
          <t>all_in_one</t>
        </is>
      </c>
      <c r="AF28" s="1561" t="n"/>
      <c r="AG28" s="1561" t="n"/>
    </row>
    <row r="29" ht="15" customHeight="1" s="254">
      <c r="A29" s="1455" t="inlineStr">
        <is>
          <t>_kW120</t>
        </is>
      </c>
      <c r="B29" s="1455" t="inlineStr">
        <is>
          <t>CTX-AiO-120-6-350</t>
        </is>
      </c>
      <c r="C29" s="1468" t="inlineStr">
        <is>
          <t>Gen3 120kW Single NACS 350A  ; Cable Management + CC</t>
        </is>
      </c>
      <c r="D29" s="1456" t="n">
        <v>59400</v>
      </c>
      <c r="E29" s="1455" t="n">
        <v>120</v>
      </c>
      <c r="F29" s="1456" t="n"/>
      <c r="G29" s="1561" t="n"/>
      <c r="H29" s="1561" t="n"/>
      <c r="I29" s="1457" t="n">
        <v>1</v>
      </c>
      <c r="J29" s="1458" t="inlineStr">
        <is>
          <t>description says Single</t>
        </is>
      </c>
      <c r="K29" s="1561" t="n"/>
      <c r="L29" s="1561" t="n"/>
      <c r="M29" s="1561" t="n"/>
      <c r="N29" s="1561" t="n"/>
      <c r="O29" s="1561" t="n"/>
      <c r="P29" s="1561" t="n"/>
      <c r="Q29" s="1561" t="n"/>
      <c r="R29" s="1561" t="n"/>
      <c r="S29" s="1561" t="n"/>
      <c r="T29" s="1561" t="n"/>
      <c r="U29" s="1561" t="n"/>
      <c r="V29" s="1561" t="n"/>
      <c r="W29" s="1561" t="n"/>
      <c r="X29" s="1561" t="n"/>
      <c r="Y29" s="1561" t="n"/>
      <c r="Z29" s="1561" t="n"/>
      <c r="AA29" s="1561" t="n"/>
      <c r="AB29" s="1561" t="n"/>
      <c r="AC29" s="1561" t="n"/>
      <c r="AD29" s="1465" t="inlineStr">
        <is>
          <t>CTX-AiO-120-5-350</t>
        </is>
      </c>
      <c r="AE29" s="1466" t="inlineStr">
        <is>
          <t>all_in_one</t>
        </is>
      </c>
      <c r="AF29" s="1561" t="n"/>
      <c r="AG29" s="1561" t="n"/>
    </row>
    <row r="30" ht="52.5" customHeight="1" s="254">
      <c r="A30" s="1455" t="inlineStr">
        <is>
          <t>_kW160</t>
        </is>
      </c>
      <c r="B30" s="1455" t="inlineStr">
        <is>
          <t>TP5-160-480-1</t>
        </is>
      </c>
      <c r="C30" s="1469" t="inlineStr">
        <is>
          <t>160kW DCFC All In One Charger - 200 Amps / 1000VDC with CCS1 &amp; NACS(~16ft); It can dispense 200A on single connector and can charge 2 cars simultaneously with 80kW eac</t>
        </is>
      </c>
      <c r="D30" s="1456" t="n">
        <v>57000</v>
      </c>
      <c r="E30" s="1455" t="n">
        <v>160</v>
      </c>
      <c r="F30" s="1456" t="n"/>
      <c r="G30" s="1561" t="n"/>
      <c r="H30" s="1561" t="n"/>
      <c r="I30" s="1457" t="n">
        <v>1</v>
      </c>
      <c r="J30" s="1458" t="inlineStr">
        <is>
          <t>description says Single</t>
        </is>
      </c>
      <c r="K30" s="1561" t="n"/>
      <c r="L30" s="1561" t="n"/>
      <c r="M30" s="1561" t="n"/>
      <c r="N30" s="1561" t="n"/>
      <c r="O30" s="1561" t="n"/>
      <c r="P30" s="1561" t="n"/>
      <c r="Q30" s="1561" t="n"/>
      <c r="R30" s="1561" t="n"/>
      <c r="S30" s="1561" t="n"/>
      <c r="T30" s="1561" t="n"/>
      <c r="U30" s="1561" t="n"/>
      <c r="V30" s="1561" t="n"/>
      <c r="W30" s="1561" t="n"/>
      <c r="X30" s="1561" t="n"/>
      <c r="Y30" s="1561" t="n"/>
      <c r="Z30" s="1561" t="n"/>
      <c r="AA30" s="1561" t="n"/>
      <c r="AB30" s="1561" t="n"/>
      <c r="AC30" s="1561" t="n"/>
      <c r="AD30" s="1465" t="inlineStr">
        <is>
          <t>CTX-AiO-120-6-350</t>
        </is>
      </c>
      <c r="AE30" s="1466" t="inlineStr">
        <is>
          <t>all_in_one</t>
        </is>
      </c>
      <c r="AF30" s="1561" t="n"/>
      <c r="AG30" s="1561" t="n"/>
    </row>
    <row r="31" ht="52.5" customHeight="1" s="254">
      <c r="A31" s="1455" t="inlineStr">
        <is>
          <t>_kW160</t>
        </is>
      </c>
      <c r="B31" s="1455" t="inlineStr">
        <is>
          <t>TP5-160-480-2</t>
        </is>
      </c>
      <c r="C31" s="1469" t="inlineStr">
        <is>
          <t>160kW DCFC All In One Charger - 200 Amps / 1000VDC with CCS1 &amp; CCS1(~16ft); It can dispense 200A on single connector and can charge 2 cars simultaneously with 80kW each ;</t>
        </is>
      </c>
      <c r="D31" s="1456" t="n">
        <v>57000</v>
      </c>
      <c r="E31" s="1455" t="n">
        <v>160</v>
      </c>
      <c r="F31" s="1456" t="n"/>
      <c r="G31" s="1561" t="n"/>
      <c r="H31" s="1561" t="n"/>
      <c r="I31" s="1457" t="n">
        <v>1</v>
      </c>
      <c r="J31" s="1458" t="inlineStr">
        <is>
          <t>description says Single</t>
        </is>
      </c>
      <c r="K31" s="1561" t="n"/>
      <c r="L31" s="1561" t="n"/>
      <c r="M31" s="1561" t="n"/>
      <c r="N31" s="1561" t="n"/>
      <c r="O31" s="1561" t="n"/>
      <c r="P31" s="1561" t="n"/>
      <c r="Q31" s="1561" t="n"/>
      <c r="R31" s="1561" t="n"/>
      <c r="S31" s="1561" t="n"/>
      <c r="T31" s="1561" t="n"/>
      <c r="U31" s="1561" t="n"/>
      <c r="V31" s="1561" t="n"/>
      <c r="W31" s="1561" t="n"/>
      <c r="X31" s="1561" t="n"/>
      <c r="Y31" s="1561" t="n"/>
      <c r="Z31" s="1561" t="n"/>
      <c r="AA31" s="1561" t="n"/>
      <c r="AB31" s="1561" t="n"/>
      <c r="AC31" s="1561" t="n"/>
      <c r="AD31" s="1465" t="inlineStr">
        <is>
          <t>TP5-160-480-1</t>
        </is>
      </c>
      <c r="AE31" s="1466" t="inlineStr">
        <is>
          <t>all_in_one</t>
        </is>
      </c>
      <c r="AF31" s="1561" t="n"/>
      <c r="AG31" s="1561" t="n"/>
    </row>
    <row r="32" ht="52.5" customHeight="1" s="254">
      <c r="A32" s="1455" t="inlineStr">
        <is>
          <t>_kW160</t>
        </is>
      </c>
      <c r="B32" s="1455" t="inlineStr">
        <is>
          <t>TP5-160-480-3</t>
        </is>
      </c>
      <c r="C32" s="1469" t="inlineStr">
        <is>
          <t xml:space="preserve">160kW DCFC All In One Charger - 200 Amps / 1000VDC with CCS1 &amp; NACS (~16ft); It can dispense 200A on single connector and can charge 2 cars simultaneously with 80kW each </t>
        </is>
      </c>
      <c r="D32" s="1456" t="n">
        <v>57000</v>
      </c>
      <c r="E32" s="1455" t="n">
        <v>160</v>
      </c>
      <c r="F32" s="1456" t="n"/>
      <c r="G32" s="1561" t="n"/>
      <c r="H32" s="1561" t="n"/>
      <c r="I32" s="1457" t="n">
        <v>1</v>
      </c>
      <c r="J32" s="1458" t="inlineStr">
        <is>
          <t>description says Single</t>
        </is>
      </c>
      <c r="K32" s="1561" t="n"/>
      <c r="L32" s="1561" t="n"/>
      <c r="M32" s="1561" t="n"/>
      <c r="N32" s="1561" t="n"/>
      <c r="O32" s="1561" t="n"/>
      <c r="P32" s="1561" t="n"/>
      <c r="Q32" s="1561" t="n"/>
      <c r="R32" s="1561" t="n"/>
      <c r="S32" s="1561" t="n"/>
      <c r="T32" s="1561" t="n"/>
      <c r="U32" s="1561" t="n"/>
      <c r="V32" s="1561" t="n"/>
      <c r="W32" s="1561" t="n"/>
      <c r="X32" s="1561" t="n"/>
      <c r="Y32" s="1561" t="n"/>
      <c r="Z32" s="1561" t="n"/>
      <c r="AA32" s="1561" t="n"/>
      <c r="AB32" s="1561" t="n"/>
      <c r="AC32" s="1561" t="n"/>
      <c r="AD32" s="1465" t="inlineStr">
        <is>
          <t>TP5-160-480-2</t>
        </is>
      </c>
      <c r="AE32" s="1466" t="inlineStr">
        <is>
          <t>all_in_one</t>
        </is>
      </c>
      <c r="AF32" s="1561" t="n"/>
      <c r="AG32" s="1561" t="n"/>
    </row>
    <row r="33" ht="40" customHeight="1" s="254">
      <c r="A33" s="1455" t="inlineStr">
        <is>
          <t>_kW160</t>
        </is>
      </c>
      <c r="B33" s="1455" t="inlineStr">
        <is>
          <t>TP5-160-480-2-300</t>
        </is>
      </c>
      <c r="C33" s="1469" t="inlineStr">
        <is>
          <t>160kW DCFC All In One Charger - 350A Cable / 1000VDC with CCS1 &amp; CCS1(~16ft); Can charge 2 cars simultaneously with 80kW each ; 4G Modem</t>
        </is>
      </c>
      <c r="D33" s="1456" t="n">
        <v>57000</v>
      </c>
      <c r="E33" s="1455" t="n">
        <v>160</v>
      </c>
      <c r="F33" s="1456" t="n"/>
      <c r="G33" s="1561" t="n"/>
      <c r="H33" s="1561" t="n"/>
      <c r="I33" s="1457" t="n">
        <v>2</v>
      </c>
      <c r="J33" s="1458" t="inlineStr">
        <is>
          <t>connectors named in the description</t>
        </is>
      </c>
      <c r="K33" s="1561" t="n"/>
      <c r="L33" s="1561" t="n"/>
      <c r="M33" s="1561" t="n"/>
      <c r="N33" s="1561" t="n"/>
      <c r="O33" s="1561" t="n"/>
      <c r="P33" s="1561" t="n"/>
      <c r="Q33" s="1561" t="n"/>
      <c r="R33" s="1561" t="n"/>
      <c r="S33" s="1561" t="n"/>
      <c r="T33" s="1561" t="n"/>
      <c r="U33" s="1561" t="n"/>
      <c r="V33" s="1561" t="n"/>
      <c r="W33" s="1561" t="n"/>
      <c r="X33" s="1561" t="n"/>
      <c r="Y33" s="1561" t="n"/>
      <c r="Z33" s="1561" t="n"/>
      <c r="AA33" s="1561" t="n"/>
      <c r="AB33" s="1561" t="n"/>
      <c r="AC33" s="1561" t="n"/>
      <c r="AD33" s="1465" t="inlineStr">
        <is>
          <t>TP5-160-480-3</t>
        </is>
      </c>
      <c r="AE33" s="1466" t="inlineStr">
        <is>
          <t>all_in_one</t>
        </is>
      </c>
      <c r="AF33" s="1561" t="n"/>
      <c r="AG33" s="1561" t="n"/>
    </row>
    <row r="34" ht="52.5" customHeight="1" s="254">
      <c r="A34" s="1455" t="inlineStr">
        <is>
          <t>_kW160</t>
        </is>
      </c>
      <c r="B34" s="1455" t="inlineStr">
        <is>
          <t>HPC-160-480-1</t>
        </is>
      </c>
      <c r="C34" s="1469" t="inlineStr">
        <is>
          <t xml:space="preserve">160kW HPC All In One Charger - 400 Amps / 1000VDC with Liquid Cooled Connector for CCS1(~14ft) &amp; NACS(~16ft) ; It can deliver 400A on the CCS coonnector. Can charge 2 </t>
        </is>
      </c>
      <c r="D34" s="1456" t="n">
        <v>68000</v>
      </c>
      <c r="E34" s="1455" t="n">
        <v>160</v>
      </c>
      <c r="F34" s="1456" t="n"/>
      <c r="G34" s="1561" t="n"/>
      <c r="H34" s="1561" t="n"/>
      <c r="I34" s="1457" t="n">
        <v>2</v>
      </c>
      <c r="J34" s="1458" t="inlineStr">
        <is>
          <t>connectors named in the description</t>
        </is>
      </c>
      <c r="K34" s="1561" t="n"/>
      <c r="L34" s="1561" t="n"/>
      <c r="M34" s="1561" t="n"/>
      <c r="N34" s="1561" t="n"/>
      <c r="O34" s="1561" t="n"/>
      <c r="P34" s="1561" t="n"/>
      <c r="Q34" s="1561" t="n"/>
      <c r="R34" s="1561" t="n"/>
      <c r="S34" s="1561" t="n"/>
      <c r="T34" s="1561" t="n"/>
      <c r="U34" s="1561" t="n"/>
      <c r="V34" s="1561" t="n"/>
      <c r="W34" s="1561" t="n"/>
      <c r="X34" s="1561" t="n"/>
      <c r="Y34" s="1561" t="n"/>
      <c r="Z34" s="1561" t="n"/>
      <c r="AA34" s="1561" t="n"/>
      <c r="AB34" s="1561" t="n"/>
      <c r="AC34" s="1561" t="n"/>
      <c r="AD34" s="1465" t="inlineStr">
        <is>
          <t>TP5-160-480-2-300</t>
        </is>
      </c>
      <c r="AE34" s="1466" t="inlineStr">
        <is>
          <t>all_in_one</t>
        </is>
      </c>
      <c r="AF34" s="1561" t="n"/>
      <c r="AG34" s="1561" t="n"/>
    </row>
    <row r="35" ht="52.5" customHeight="1" s="254">
      <c r="A35" s="1455" t="inlineStr">
        <is>
          <t>_kW160</t>
        </is>
      </c>
      <c r="B35" s="1455" t="inlineStr">
        <is>
          <t>HPC-160-480-2</t>
        </is>
      </c>
      <c r="C35" s="1469" t="inlineStr">
        <is>
          <t>160kW HPC All In One Charger - 400 Amps / 1000VDC with Liquid Cooled Connector for CCS1(~14ft) &amp; NACS(~16ft) ; It can deliver 400A on the CCS coonnector. Also can char</t>
        </is>
      </c>
      <c r="D35" s="1456" t="n">
        <v>70000</v>
      </c>
      <c r="E35" s="1455" t="n">
        <v>160</v>
      </c>
      <c r="F35" s="1456" t="n"/>
      <c r="G35" s="1561" t="n"/>
      <c r="H35" s="1561" t="n"/>
      <c r="I35" s="1457" t="n">
        <v>2</v>
      </c>
      <c r="J35" s="1458" t="inlineStr">
        <is>
          <t>connectors named in the description</t>
        </is>
      </c>
      <c r="K35" s="1561" t="n"/>
      <c r="L35" s="1561" t="n"/>
      <c r="M35" s="1561" t="n"/>
      <c r="N35" s="1561" t="n"/>
      <c r="O35" s="1561" t="n"/>
      <c r="P35" s="1561" t="n"/>
      <c r="Q35" s="1561" t="n"/>
      <c r="R35" s="1561" t="n"/>
      <c r="S35" s="1561" t="n"/>
      <c r="T35" s="1561" t="n"/>
      <c r="U35" s="1561" t="n"/>
      <c r="V35" s="1561" t="n"/>
      <c r="W35" s="1561" t="n"/>
      <c r="X35" s="1561" t="n"/>
      <c r="Y35" s="1561" t="n"/>
      <c r="Z35" s="1561" t="n"/>
      <c r="AA35" s="1561" t="n"/>
      <c r="AB35" s="1561" t="n"/>
      <c r="AC35" s="1561" t="n"/>
      <c r="AD35" s="1465" t="inlineStr">
        <is>
          <t>HPC-160-480-1</t>
        </is>
      </c>
      <c r="AE35" s="1466" t="inlineStr">
        <is>
          <t>all_in_one</t>
        </is>
      </c>
      <c r="AF35" s="1561" t="n"/>
      <c r="AG35" s="1561" t="n"/>
    </row>
    <row r="36" ht="27.5" customHeight="1" s="254">
      <c r="A36" s="1455" t="inlineStr">
        <is>
          <t>_kW160</t>
        </is>
      </c>
      <c r="B36" s="1455" t="inlineStr">
        <is>
          <t>CTX-AiO-160-2-350</t>
        </is>
      </c>
      <c r="C36" s="1469" t="inlineStr">
        <is>
          <t>Gen3 160kW CCS1 350A + CCS1 350A ; Cable Management + CC</t>
        </is>
      </c>
      <c r="D36" s="1456" t="n">
        <v>68200</v>
      </c>
      <c r="E36" s="1455" t="n">
        <v>160</v>
      </c>
      <c r="F36" s="1456" t="n"/>
      <c r="G36" s="1561" t="n"/>
      <c r="H36" s="1561" t="n"/>
      <c r="I36" s="1457" t="n">
        <v>2</v>
      </c>
      <c r="J36" s="1458" t="inlineStr">
        <is>
          <t>connectors named in the description</t>
        </is>
      </c>
      <c r="K36" s="1561" t="n"/>
      <c r="L36" s="1561" t="n"/>
      <c r="M36" s="1561" t="n"/>
      <c r="N36" s="1561" t="n"/>
      <c r="O36" s="1561" t="n"/>
      <c r="P36" s="1561" t="n"/>
      <c r="Q36" s="1561" t="n"/>
      <c r="R36" s="1561" t="n"/>
      <c r="S36" s="1561" t="n"/>
      <c r="T36" s="1561" t="n"/>
      <c r="U36" s="1561" t="n"/>
      <c r="V36" s="1561" t="n"/>
      <c r="W36" s="1561" t="n"/>
      <c r="X36" s="1561" t="n"/>
      <c r="Y36" s="1561" t="n"/>
      <c r="Z36" s="1561" t="n"/>
      <c r="AA36" s="1561" t="n"/>
      <c r="AB36" s="1561" t="n"/>
      <c r="AC36" s="1561" t="n"/>
      <c r="AD36" s="1465" t="inlineStr">
        <is>
          <t>HPC-160-480-2</t>
        </is>
      </c>
      <c r="AE36" s="1466" t="inlineStr">
        <is>
          <t>all_in_one</t>
        </is>
      </c>
      <c r="AF36" s="1561" t="n"/>
      <c r="AG36" s="1561" t="n"/>
    </row>
    <row r="37" ht="27.5" customHeight="1" s="254">
      <c r="A37" s="1455" t="inlineStr">
        <is>
          <t>_kW160</t>
        </is>
      </c>
      <c r="B37" s="1455" t="inlineStr">
        <is>
          <t>CTX-AiO-160-3-350</t>
        </is>
      </c>
      <c r="C37" s="1469" t="inlineStr">
        <is>
          <t>Gen3 160kW CCS1 350A + NACS 350A   ; Cable Management + CC</t>
        </is>
      </c>
      <c r="D37" s="1456" t="n">
        <v>68200</v>
      </c>
      <c r="E37" s="1455" t="n">
        <v>160</v>
      </c>
      <c r="F37" s="1456" t="n"/>
      <c r="G37" s="1561" t="n"/>
      <c r="H37" s="1561" t="n"/>
      <c r="I37" s="1457" t="n">
        <v>2</v>
      </c>
      <c r="J37" s="1458" t="inlineStr">
        <is>
          <t>connectors named in the description</t>
        </is>
      </c>
      <c r="K37" s="1561" t="n"/>
      <c r="L37" s="1561" t="n"/>
      <c r="M37" s="1561" t="n"/>
      <c r="N37" s="1561" t="n"/>
      <c r="O37" s="1561" t="n"/>
      <c r="P37" s="1561" t="n"/>
      <c r="Q37" s="1561" t="n"/>
      <c r="R37" s="1561" t="n"/>
      <c r="S37" s="1561" t="n"/>
      <c r="T37" s="1561" t="n"/>
      <c r="U37" s="1561" t="n"/>
      <c r="V37" s="1561" t="n"/>
      <c r="W37" s="1561" t="n"/>
      <c r="X37" s="1561" t="n"/>
      <c r="Y37" s="1561" t="n"/>
      <c r="Z37" s="1561" t="n"/>
      <c r="AA37" s="1561" t="n"/>
      <c r="AB37" s="1561" t="n"/>
      <c r="AC37" s="1561" t="n"/>
      <c r="AD37" s="1465" t="inlineStr">
        <is>
          <t>CTX-AiO-160-2-350</t>
        </is>
      </c>
      <c r="AE37" s="1466" t="inlineStr">
        <is>
          <t>all_in_one</t>
        </is>
      </c>
      <c r="AF37" s="1561" t="n"/>
      <c r="AG37" s="1561" t="n"/>
    </row>
    <row r="38" ht="27.5" customHeight="1" s="254">
      <c r="A38" s="1455" t="inlineStr">
        <is>
          <t>_kW160</t>
        </is>
      </c>
      <c r="B38" s="1455" t="inlineStr">
        <is>
          <t>CTX-AiO-160-4-350</t>
        </is>
      </c>
      <c r="C38" s="1469" t="inlineStr">
        <is>
          <t>Gen3 160kW NACS 350A + NACS 350A  ; Cable Management + CC</t>
        </is>
      </c>
      <c r="D38" s="1456" t="n">
        <v>68200</v>
      </c>
      <c r="E38" s="1455" t="n">
        <v>160</v>
      </c>
      <c r="F38" s="1456" t="n"/>
      <c r="G38" s="1561" t="n"/>
      <c r="H38" s="1561" t="n"/>
      <c r="I38" s="1457" t="n">
        <v>2</v>
      </c>
      <c r="J38" s="1458" t="inlineStr">
        <is>
          <t>connectors named in the description</t>
        </is>
      </c>
      <c r="K38" s="1561" t="n"/>
      <c r="L38" s="1561" t="n"/>
      <c r="M38" s="1561" t="n"/>
      <c r="N38" s="1561" t="n"/>
      <c r="O38" s="1561" t="n"/>
      <c r="P38" s="1561" t="n"/>
      <c r="Q38" s="1561" t="n"/>
      <c r="R38" s="1561" t="n"/>
      <c r="S38" s="1561" t="n"/>
      <c r="T38" s="1561" t="n"/>
      <c r="U38" s="1561" t="n"/>
      <c r="V38" s="1561" t="n"/>
      <c r="W38" s="1561" t="n"/>
      <c r="X38" s="1561" t="n"/>
      <c r="Y38" s="1561" t="n"/>
      <c r="Z38" s="1561" t="n"/>
      <c r="AA38" s="1561" t="n"/>
      <c r="AB38" s="1561" t="n"/>
      <c r="AC38" s="1561" t="n"/>
      <c r="AD38" s="1465" t="inlineStr">
        <is>
          <t>CTX-AiO-160-3-350</t>
        </is>
      </c>
      <c r="AE38" s="1466" t="inlineStr">
        <is>
          <t>all_in_one</t>
        </is>
      </c>
      <c r="AF38" s="1561" t="n"/>
      <c r="AG38" s="1561" t="n"/>
    </row>
    <row r="39" ht="15" customHeight="1" s="254">
      <c r="A39" s="1455" t="inlineStr">
        <is>
          <t>_kW160</t>
        </is>
      </c>
      <c r="B39" s="1455" t="inlineStr">
        <is>
          <t>CTX-AiO-160-5-350</t>
        </is>
      </c>
      <c r="C39" s="1468" t="inlineStr">
        <is>
          <t>Gen3 160kW Single CCS1 350A  ; Cable Management + CC</t>
        </is>
      </c>
      <c r="D39" s="1456" t="n">
        <v>68200</v>
      </c>
      <c r="E39" s="1455" t="n">
        <v>160</v>
      </c>
      <c r="F39" s="1456" t="n"/>
      <c r="G39" s="1561" t="n"/>
      <c r="H39" s="1561" t="n"/>
      <c r="I39" s="1457" t="n">
        <v>1</v>
      </c>
      <c r="J39" s="1458" t="inlineStr">
        <is>
          <t>description says Single</t>
        </is>
      </c>
      <c r="K39" s="1561" t="n"/>
      <c r="L39" s="1561" t="n"/>
      <c r="M39" s="1561" t="n"/>
      <c r="N39" s="1561" t="n"/>
      <c r="O39" s="1561" t="n"/>
      <c r="P39" s="1561" t="n"/>
      <c r="Q39" s="1561" t="n"/>
      <c r="R39" s="1561" t="n"/>
      <c r="S39" s="1561" t="n"/>
      <c r="T39" s="1561" t="n"/>
      <c r="U39" s="1561" t="n"/>
      <c r="V39" s="1561" t="n"/>
      <c r="W39" s="1561" t="n"/>
      <c r="X39" s="1561" t="n"/>
      <c r="Y39" s="1561" t="n"/>
      <c r="Z39" s="1561" t="n"/>
      <c r="AA39" s="1561" t="n"/>
      <c r="AB39" s="1561" t="n"/>
      <c r="AC39" s="1561" t="n"/>
      <c r="AD39" s="1465" t="inlineStr">
        <is>
          <t>CTX-AiO-160-4-350</t>
        </is>
      </c>
      <c r="AE39" s="1466" t="inlineStr">
        <is>
          <t>all_in_one</t>
        </is>
      </c>
      <c r="AF39" s="1561" t="n"/>
      <c r="AG39" s="1561" t="n"/>
    </row>
    <row r="40" ht="15" customHeight="1" s="254">
      <c r="A40" s="1455" t="inlineStr">
        <is>
          <t>_kW160</t>
        </is>
      </c>
      <c r="B40" s="1455" t="inlineStr">
        <is>
          <t>CTX-AiO-160-6-350</t>
        </is>
      </c>
      <c r="C40" s="1468" t="inlineStr">
        <is>
          <t>Gen3 160kW Single NACS 350A  ; Cable Management + CC</t>
        </is>
      </c>
      <c r="D40" s="1456" t="n">
        <v>68200</v>
      </c>
      <c r="E40" s="1455" t="n">
        <v>160</v>
      </c>
      <c r="F40" s="1456" t="n"/>
      <c r="G40" s="1561" t="n"/>
      <c r="H40" s="1561" t="n"/>
      <c r="I40" s="1457" t="n">
        <v>1</v>
      </c>
      <c r="J40" s="1458" t="inlineStr">
        <is>
          <t>description says Single</t>
        </is>
      </c>
      <c r="K40" s="1561" t="n"/>
      <c r="L40" s="1561" t="n"/>
      <c r="M40" s="1561" t="n"/>
      <c r="N40" s="1561" t="n"/>
      <c r="O40" s="1561" t="n"/>
      <c r="P40" s="1561" t="n"/>
      <c r="Q40" s="1561" t="n"/>
      <c r="R40" s="1561" t="n"/>
      <c r="S40" s="1561" t="n"/>
      <c r="T40" s="1561" t="n"/>
      <c r="U40" s="1561" t="n"/>
      <c r="V40" s="1561" t="n"/>
      <c r="W40" s="1561" t="n"/>
      <c r="X40" s="1561" t="n"/>
      <c r="Y40" s="1561" t="n"/>
      <c r="Z40" s="1561" t="n"/>
      <c r="AA40" s="1561" t="n"/>
      <c r="AB40" s="1561" t="n"/>
      <c r="AC40" s="1561" t="n"/>
      <c r="AD40" s="1465" t="inlineStr">
        <is>
          <t>CTX-AiO-160-5-350</t>
        </is>
      </c>
      <c r="AE40" s="1466" t="inlineStr">
        <is>
          <t>all_in_one</t>
        </is>
      </c>
      <c r="AF40" s="1561" t="n"/>
      <c r="AG40" s="1561" t="n"/>
    </row>
    <row r="41" ht="52.5" customHeight="1" s="254">
      <c r="A41" s="1455" t="inlineStr">
        <is>
          <t>_kW180</t>
        </is>
      </c>
      <c r="B41" s="1455" t="inlineStr">
        <is>
          <t>TP5-180-480-1</t>
        </is>
      </c>
      <c r="C41" s="1469" t="inlineStr">
        <is>
          <t>180kW DCFC All In One Charger - 200 Amps / 1000VDC with CCS1 &amp; NACS(~16ft); Can charge 2 cars simultaneously with 90kW each or 120kW on CCS1 and 60kW on NACS; 4G Mo</t>
        </is>
      </c>
      <c r="D41" s="1456" t="n">
        <v>62000</v>
      </c>
      <c r="E41" s="1455" t="n">
        <v>180</v>
      </c>
      <c r="F41" s="1456" t="n"/>
      <c r="G41" s="1561" t="n"/>
      <c r="H41" s="1561" t="n"/>
      <c r="I41" s="1457" t="n">
        <v>2</v>
      </c>
      <c r="J41" s="1458" t="inlineStr">
        <is>
          <t>connectors named in the description</t>
        </is>
      </c>
      <c r="K41" s="1561" t="n"/>
      <c r="L41" s="1561" t="n"/>
      <c r="M41" s="1561" t="n"/>
      <c r="N41" s="1561" t="n"/>
      <c r="O41" s="1561" t="n"/>
      <c r="P41" s="1561" t="n"/>
      <c r="Q41" s="1561" t="n"/>
      <c r="R41" s="1561" t="n"/>
      <c r="S41" s="1561" t="n"/>
      <c r="T41" s="1561" t="n"/>
      <c r="U41" s="1561" t="n"/>
      <c r="V41" s="1561" t="n"/>
      <c r="W41" s="1561" t="n"/>
      <c r="X41" s="1561" t="n"/>
      <c r="Y41" s="1561" t="n"/>
      <c r="Z41" s="1561" t="n"/>
      <c r="AA41" s="1561" t="n"/>
      <c r="AB41" s="1561" t="n"/>
      <c r="AC41" s="1561" t="n"/>
      <c r="AD41" s="1465" t="inlineStr">
        <is>
          <t>CTX-AiO-160-6-350</t>
        </is>
      </c>
      <c r="AE41" s="1466" t="inlineStr">
        <is>
          <t>all_in_one</t>
        </is>
      </c>
      <c r="AF41" s="1561" t="n"/>
      <c r="AG41" s="1561" t="n"/>
    </row>
    <row r="42" ht="40" customHeight="1" s="254">
      <c r="A42" s="1455" t="inlineStr">
        <is>
          <t>_kW180</t>
        </is>
      </c>
      <c r="B42" s="1455" t="inlineStr">
        <is>
          <t>TP5-180-480-2</t>
        </is>
      </c>
      <c r="C42" s="1469" t="inlineStr">
        <is>
          <t xml:space="preserve">180kW DCFC All In One Charger - 200 Amps / 1000VDC with CCS1 &amp; CCS1(~16ft); Can charge 2 cars simultaneously with 90kW each ; 4G Modem </t>
        </is>
      </c>
      <c r="D42" s="1456" t="n">
        <v>62000</v>
      </c>
      <c r="E42" s="1455" t="n">
        <v>180</v>
      </c>
      <c r="F42" s="1456" t="n"/>
      <c r="G42" s="1561" t="n"/>
      <c r="H42" s="1561" t="n"/>
      <c r="I42" s="1457" t="n">
        <v>2</v>
      </c>
      <c r="J42" s="1458" t="inlineStr">
        <is>
          <t>connectors named in the description</t>
        </is>
      </c>
      <c r="K42" s="1561" t="n"/>
      <c r="L42" s="1561" t="n"/>
      <c r="M42" s="1561" t="n"/>
      <c r="N42" s="1561" t="n"/>
      <c r="O42" s="1561" t="n"/>
      <c r="P42" s="1561" t="n"/>
      <c r="Q42" s="1561" t="n"/>
      <c r="R42" s="1561" t="n"/>
      <c r="S42" s="1561" t="n"/>
      <c r="T42" s="1561" t="n"/>
      <c r="U42" s="1561" t="n"/>
      <c r="V42" s="1561" t="n"/>
      <c r="W42" s="1561" t="n"/>
      <c r="X42" s="1561" t="n"/>
      <c r="Y42" s="1561" t="n"/>
      <c r="Z42" s="1561" t="n"/>
      <c r="AA42" s="1561" t="n"/>
      <c r="AB42" s="1561" t="n"/>
      <c r="AC42" s="1561" t="n"/>
      <c r="AD42" s="1465" t="inlineStr">
        <is>
          <t>TP5-180-480-1</t>
        </is>
      </c>
      <c r="AE42" s="1466" t="inlineStr">
        <is>
          <t>all_in_one</t>
        </is>
      </c>
      <c r="AF42" s="1561" t="n"/>
      <c r="AG42" s="1561" t="n"/>
    </row>
    <row r="43" ht="40" customHeight="1" s="254">
      <c r="A43" s="1455" t="inlineStr">
        <is>
          <t>_kW180</t>
        </is>
      </c>
      <c r="B43" s="1455" t="inlineStr">
        <is>
          <t>TP5-180-480-2-300</t>
        </is>
      </c>
      <c r="C43" s="1469" t="inlineStr">
        <is>
          <t xml:space="preserve">180kW DCFC All In One Charger - 350A Cable / 1000VDC with CCS1 &amp; CCS1(~16ft); Can charge 2 cars simultaneously with 90kW each ; 4G Modem </t>
        </is>
      </c>
      <c r="D43" s="1456" t="n">
        <v>62000</v>
      </c>
      <c r="E43" s="1455" t="n">
        <v>180</v>
      </c>
      <c r="F43" s="1456" t="n"/>
      <c r="G43" s="1561" t="n"/>
      <c r="H43" s="1561" t="n"/>
      <c r="I43" s="1457" t="n">
        <v>2</v>
      </c>
      <c r="J43" s="1458" t="inlineStr">
        <is>
          <t>connectors named in the description</t>
        </is>
      </c>
      <c r="K43" s="1561" t="n"/>
      <c r="L43" s="1561" t="n"/>
      <c r="M43" s="1561" t="n"/>
      <c r="N43" s="1561" t="n"/>
      <c r="O43" s="1561" t="n"/>
      <c r="P43" s="1561" t="n"/>
      <c r="Q43" s="1561" t="n"/>
      <c r="R43" s="1561" t="n"/>
      <c r="S43" s="1561" t="n"/>
      <c r="T43" s="1561" t="n"/>
      <c r="U43" s="1561" t="n"/>
      <c r="V43" s="1561" t="n"/>
      <c r="W43" s="1561" t="n"/>
      <c r="X43" s="1561" t="n"/>
      <c r="Y43" s="1561" t="n"/>
      <c r="Z43" s="1561" t="n"/>
      <c r="AA43" s="1561" t="n"/>
      <c r="AB43" s="1561" t="n"/>
      <c r="AC43" s="1561" t="n"/>
      <c r="AD43" s="1465" t="inlineStr">
        <is>
          <t>TP5-180-480-2</t>
        </is>
      </c>
      <c r="AE43" s="1466" t="inlineStr">
        <is>
          <t>all_in_one</t>
        </is>
      </c>
      <c r="AF43" s="1561" t="n"/>
      <c r="AG43" s="1561" t="n"/>
    </row>
    <row r="44" ht="40" customHeight="1" s="254">
      <c r="A44" s="1455" t="inlineStr">
        <is>
          <t>_kW180</t>
        </is>
      </c>
      <c r="B44" s="1455" t="inlineStr">
        <is>
          <t>TP5-180-480-3-300</t>
        </is>
      </c>
      <c r="C44" s="1469" t="inlineStr">
        <is>
          <t xml:space="preserve">180kW DCFC All In One Charger - 1000VDC, Cables: 350A CCS1 &amp; 400A NACS (~16ft); Can charge 2 cars simultaneously with 90kW each ; 4G Modem </t>
        </is>
      </c>
      <c r="D44" s="1456" t="n">
        <v>62000</v>
      </c>
      <c r="E44" s="1455" t="n">
        <v>180</v>
      </c>
      <c r="F44" s="1456" t="n"/>
      <c r="G44" s="1561" t="n"/>
      <c r="H44" s="1561" t="n"/>
      <c r="I44" s="1457" t="n">
        <v>2</v>
      </c>
      <c r="J44" s="1458" t="inlineStr">
        <is>
          <t>manual — description does not state the count</t>
        </is>
      </c>
      <c r="K44" s="1561" t="n"/>
      <c r="L44" s="1561" t="n"/>
      <c r="M44" s="1561" t="n"/>
      <c r="N44" s="1561" t="n"/>
      <c r="O44" s="1561" t="n"/>
      <c r="P44" s="1561" t="n"/>
      <c r="Q44" s="1561" t="n"/>
      <c r="R44" s="1561" t="n"/>
      <c r="S44" s="1561" t="n"/>
      <c r="T44" s="1561" t="n"/>
      <c r="U44" s="1561" t="n"/>
      <c r="V44" s="1561" t="n"/>
      <c r="W44" s="1561" t="n"/>
      <c r="X44" s="1561" t="n"/>
      <c r="Y44" s="1561" t="n"/>
      <c r="Z44" s="1561" t="n"/>
      <c r="AA44" s="1561" t="n"/>
      <c r="AB44" s="1561" t="n"/>
      <c r="AC44" s="1561" t="n"/>
      <c r="AD44" s="1465" t="inlineStr">
        <is>
          <t>TP5-180-480-2-300</t>
        </is>
      </c>
      <c r="AE44" s="1466" t="inlineStr">
        <is>
          <t>all_in_one</t>
        </is>
      </c>
      <c r="AF44" s="1561" t="n"/>
      <c r="AG44" s="1561" t="n"/>
    </row>
    <row r="45" ht="40" customHeight="1" s="254">
      <c r="A45" s="1455" t="inlineStr">
        <is>
          <t>_kW180</t>
        </is>
      </c>
      <c r="B45" s="1455" t="inlineStr">
        <is>
          <t>TP5-180-480-2-300-CL20</t>
        </is>
      </c>
      <c r="C45" s="1469" t="inlineStr">
        <is>
          <t xml:space="preserve">180kW DCFC All In One Charger - 350A Cable / 1000VDC with CCS1 &amp; CCS1(~20ft); Can charge 2 cars simultaneously with 90kW each ; 4G Modem </t>
        </is>
      </c>
      <c r="D45" s="1456" t="n">
        <v>62000</v>
      </c>
      <c r="E45" s="1455" t="n">
        <v>180</v>
      </c>
      <c r="F45" s="1456" t="n"/>
      <c r="G45" s="1561" t="n"/>
      <c r="H45" s="1561" t="n"/>
      <c r="I45" s="1457" t="n">
        <v>2</v>
      </c>
      <c r="J45" s="1458" t="inlineStr">
        <is>
          <t>connectors named in the description</t>
        </is>
      </c>
      <c r="K45" s="1561" t="n"/>
      <c r="L45" s="1561" t="n"/>
      <c r="M45" s="1561" t="n"/>
      <c r="N45" s="1561" t="n"/>
      <c r="O45" s="1561" t="n"/>
      <c r="P45" s="1561" t="n"/>
      <c r="Q45" s="1561" t="n"/>
      <c r="R45" s="1561" t="n"/>
      <c r="S45" s="1561" t="n"/>
      <c r="T45" s="1561" t="n"/>
      <c r="U45" s="1561" t="n"/>
      <c r="V45" s="1561" t="n"/>
      <c r="W45" s="1561" t="n"/>
      <c r="X45" s="1561" t="n"/>
      <c r="Y45" s="1561" t="n"/>
      <c r="Z45" s="1561" t="n"/>
      <c r="AA45" s="1561" t="n"/>
      <c r="AB45" s="1561" t="n"/>
      <c r="AC45" s="1561" t="n"/>
      <c r="AD45" s="1465" t="inlineStr">
        <is>
          <t>TP5-180-480-3-300</t>
        </is>
      </c>
      <c r="AE45" s="1466" t="inlineStr">
        <is>
          <t>all_in_one</t>
        </is>
      </c>
      <c r="AF45" s="1561" t="n"/>
      <c r="AG45" s="1561" t="n"/>
    </row>
    <row r="46" ht="40" customHeight="1" s="254">
      <c r="A46" s="1455" t="inlineStr">
        <is>
          <t>_kW240</t>
        </is>
      </c>
      <c r="B46" s="1455" t="inlineStr">
        <is>
          <t>TP5-240-480-2-300</t>
        </is>
      </c>
      <c r="C46" s="1469" t="inlineStr">
        <is>
          <t xml:space="preserve">240kW DCFC All In One Charger - 350A Cable / 1000VDC Dual CCS1 ; Can charge 2 cars simultaneously with 120kW each ; 4G Modem </t>
        </is>
      </c>
      <c r="D46" s="1456" t="n">
        <v>80000</v>
      </c>
      <c r="E46" s="1455" t="n">
        <v>240</v>
      </c>
      <c r="F46" s="1456" t="n"/>
      <c r="G46" s="1561" t="n"/>
      <c r="H46" s="1561" t="n"/>
      <c r="I46" s="1457" t="n">
        <v>2</v>
      </c>
      <c r="J46" s="1458" t="inlineStr">
        <is>
          <t>description says Dual</t>
        </is>
      </c>
      <c r="K46" s="1561" t="n"/>
      <c r="L46" s="1561" t="n"/>
      <c r="M46" s="1561" t="n"/>
      <c r="N46" s="1561" t="n"/>
      <c r="O46" s="1561" t="n"/>
      <c r="P46" s="1561" t="n"/>
      <c r="Q46" s="1561" t="n"/>
      <c r="R46" s="1561" t="n"/>
      <c r="S46" s="1561" t="n"/>
      <c r="T46" s="1561" t="n"/>
      <c r="U46" s="1561" t="n"/>
      <c r="V46" s="1561" t="n"/>
      <c r="W46" s="1561" t="n"/>
      <c r="X46" s="1561" t="n"/>
      <c r="Y46" s="1561" t="n"/>
      <c r="Z46" s="1561" t="n"/>
      <c r="AA46" s="1561" t="n"/>
      <c r="AB46" s="1561" t="n"/>
      <c r="AC46" s="1561" t="n"/>
      <c r="AD46" s="1465" t="inlineStr">
        <is>
          <t>TP5-180-480-2-300-CL20</t>
        </is>
      </c>
      <c r="AE46" s="1466" t="inlineStr">
        <is>
          <t>all_in_one</t>
        </is>
      </c>
      <c r="AF46" s="1561" t="n"/>
      <c r="AG46" s="1561" t="n"/>
    </row>
    <row r="47" ht="40" customHeight="1" s="254">
      <c r="A47" s="1455" t="inlineStr">
        <is>
          <t>_kW240</t>
        </is>
      </c>
      <c r="B47" s="1455" t="inlineStr">
        <is>
          <t>TP5-240-480-2-400</t>
        </is>
      </c>
      <c r="C47" s="1469" t="inlineStr">
        <is>
          <t xml:space="preserve">240kW DCFC All In One Charger - 1000VDC, Cables: 350A CCS1 &amp; 400A NACS; Can charge 2 cars simultaneously with 120kW each ; 4G Modem </t>
        </is>
      </c>
      <c r="D47" s="1456" t="n">
        <v>80000</v>
      </c>
      <c r="E47" s="1455" t="n">
        <v>240</v>
      </c>
      <c r="F47" s="1456" t="n"/>
      <c r="G47" s="1561" t="n"/>
      <c r="H47" s="1561" t="n"/>
      <c r="I47" s="1457" t="n">
        <v>2</v>
      </c>
      <c r="J47" s="1458" t="inlineStr">
        <is>
          <t>manual — description does not state the count</t>
        </is>
      </c>
      <c r="K47" s="1561" t="n"/>
      <c r="L47" s="1561" t="n"/>
      <c r="M47" s="1561" t="n"/>
      <c r="N47" s="1561" t="n"/>
      <c r="O47" s="1561" t="n"/>
      <c r="P47" s="1561" t="n"/>
      <c r="Q47" s="1561" t="n"/>
      <c r="R47" s="1561" t="n"/>
      <c r="S47" s="1561" t="n"/>
      <c r="T47" s="1561" t="n"/>
      <c r="U47" s="1561" t="n"/>
      <c r="V47" s="1561" t="n"/>
      <c r="W47" s="1561" t="n"/>
      <c r="X47" s="1561" t="n"/>
      <c r="Y47" s="1561" t="n"/>
      <c r="Z47" s="1561" t="n"/>
      <c r="AA47" s="1561" t="n"/>
      <c r="AB47" s="1561" t="n"/>
      <c r="AC47" s="1561" t="n"/>
      <c r="AD47" s="1465" t="inlineStr">
        <is>
          <t>TP5-240-480-2-300</t>
        </is>
      </c>
      <c r="AE47" s="1466" t="inlineStr">
        <is>
          <t>all_in_one</t>
        </is>
      </c>
      <c r="AF47" s="1561" t="n"/>
      <c r="AG47" s="1561" t="n"/>
    </row>
    <row r="48" ht="52.5" customHeight="1" s="254">
      <c r="A48" s="1455" t="inlineStr">
        <is>
          <t>_kW240</t>
        </is>
      </c>
      <c r="B48" s="1455" t="inlineStr">
        <is>
          <t>HPC-240-480-1</t>
        </is>
      </c>
      <c r="C48" s="1469" t="inlineStr">
        <is>
          <t>240kW HPC All In One Charger - 500 Amps / 1000VDC with Liquid Cooled Connector for CCS1 &amp; NACS(~14ft) ; Can deliver 500A on CCS coonnector. Can charge 2 cars simultane</t>
        </is>
      </c>
      <c r="D48" s="1456" t="n">
        <v>98000</v>
      </c>
      <c r="E48" s="1455" t="n">
        <v>240</v>
      </c>
      <c r="F48" s="1456" t="n"/>
      <c r="G48" s="1561" t="n"/>
      <c r="H48" s="1561" t="n"/>
      <c r="I48" s="1457" t="n">
        <v>2</v>
      </c>
      <c r="J48" s="1458" t="inlineStr">
        <is>
          <t>connectors named in the description</t>
        </is>
      </c>
      <c r="K48" s="1561" t="n"/>
      <c r="L48" s="1561" t="n"/>
      <c r="M48" s="1561" t="n"/>
      <c r="N48" s="1561" t="n"/>
      <c r="O48" s="1561" t="n"/>
      <c r="P48" s="1561" t="n"/>
      <c r="Q48" s="1561" t="n"/>
      <c r="R48" s="1561" t="n"/>
      <c r="S48" s="1561" t="n"/>
      <c r="T48" s="1561" t="n"/>
      <c r="U48" s="1561" t="n"/>
      <c r="V48" s="1561" t="n"/>
      <c r="W48" s="1561" t="n"/>
      <c r="X48" s="1561" t="n"/>
      <c r="Y48" s="1561" t="n"/>
      <c r="Z48" s="1561" t="n"/>
      <c r="AA48" s="1561" t="n"/>
      <c r="AB48" s="1561" t="n"/>
      <c r="AC48" s="1561" t="n"/>
      <c r="AD48" s="1465" t="inlineStr">
        <is>
          <t>TP5-240-480-2-400</t>
        </is>
      </c>
      <c r="AE48" s="1466" t="inlineStr">
        <is>
          <t>all_in_one</t>
        </is>
      </c>
      <c r="AF48" s="1561" t="n"/>
      <c r="AG48" s="1561" t="n"/>
    </row>
    <row r="49" ht="52.5" customHeight="1" s="254">
      <c r="A49" s="1455" t="inlineStr">
        <is>
          <t>_kW240</t>
        </is>
      </c>
      <c r="B49" s="1455" t="inlineStr">
        <is>
          <t>HPC-240-480-2</t>
        </is>
      </c>
      <c r="C49" s="1469" t="inlineStr">
        <is>
          <t>240kW HPC All In One Charger - 500 Amps / 1000VDC with Liquid Cooled Connector for Dual CCS1 ; Can deliver 450A on one CCS coonnector and 250A on each connector if used s</t>
        </is>
      </c>
      <c r="D49" s="1456" t="n">
        <v>98000</v>
      </c>
      <c r="E49" s="1455" t="n">
        <v>240</v>
      </c>
      <c r="F49" s="1456" t="n"/>
      <c r="G49" s="1561" t="n"/>
      <c r="H49" s="1561" t="n"/>
      <c r="I49" s="1457" t="n">
        <v>2</v>
      </c>
      <c r="J49" s="1458" t="inlineStr">
        <is>
          <t>description says Dual</t>
        </is>
      </c>
      <c r="K49" s="1561" t="n"/>
      <c r="L49" s="1561" t="n"/>
      <c r="M49" s="1561" t="n"/>
      <c r="N49" s="1561" t="n"/>
      <c r="O49" s="1561" t="n"/>
      <c r="P49" s="1561" t="n"/>
      <c r="Q49" s="1561" t="n"/>
      <c r="R49" s="1561" t="n"/>
      <c r="S49" s="1561" t="n"/>
      <c r="T49" s="1561" t="n"/>
      <c r="U49" s="1561" t="n"/>
      <c r="V49" s="1561" t="n"/>
      <c r="W49" s="1561" t="n"/>
      <c r="X49" s="1561" t="n"/>
      <c r="Y49" s="1561" t="n"/>
      <c r="Z49" s="1561" t="n"/>
      <c r="AA49" s="1561" t="n"/>
      <c r="AB49" s="1561" t="n"/>
      <c r="AC49" s="1561" t="n"/>
      <c r="AD49" s="1465" t="inlineStr">
        <is>
          <t>HPC-240-480-1</t>
        </is>
      </c>
      <c r="AE49" s="1466" t="inlineStr">
        <is>
          <t>all_in_one</t>
        </is>
      </c>
      <c r="AF49" s="1561" t="n"/>
      <c r="AG49" s="1561" t="n"/>
    </row>
    <row r="50" ht="27.5" customHeight="1" s="254">
      <c r="A50" s="1455" t="inlineStr">
        <is>
          <t>_kW240</t>
        </is>
      </c>
      <c r="B50" s="1455" t="inlineStr">
        <is>
          <t>CTX-AiO-240-2-300</t>
        </is>
      </c>
      <c r="C50" s="1468" t="inlineStr">
        <is>
          <t>Gen3 240kW CCS1 350A + CCS1 350A; Cable Management + CC</t>
        </is>
      </c>
      <c r="D50" s="1456" t="n">
        <v>88000</v>
      </c>
      <c r="E50" s="1455" t="n">
        <v>240</v>
      </c>
      <c r="F50" s="1456" t="n"/>
      <c r="G50" s="1561" t="n"/>
      <c r="H50" s="1561" t="n"/>
      <c r="I50" s="1457" t="n">
        <v>2</v>
      </c>
      <c r="J50" s="1458" t="inlineStr">
        <is>
          <t>connectors named in the description</t>
        </is>
      </c>
      <c r="K50" s="1561" t="n"/>
      <c r="L50" s="1561" t="n"/>
      <c r="M50" s="1561" t="n"/>
      <c r="N50" s="1561" t="n"/>
      <c r="O50" s="1561" t="n"/>
      <c r="P50" s="1561" t="n"/>
      <c r="Q50" s="1561" t="n"/>
      <c r="R50" s="1561" t="n"/>
      <c r="S50" s="1561" t="n"/>
      <c r="T50" s="1561" t="n"/>
      <c r="U50" s="1561" t="n"/>
      <c r="V50" s="1561" t="n"/>
      <c r="W50" s="1561" t="n"/>
      <c r="X50" s="1561" t="n"/>
      <c r="Y50" s="1561" t="n"/>
      <c r="Z50" s="1561" t="n"/>
      <c r="AA50" s="1561" t="n"/>
      <c r="AB50" s="1561" t="n"/>
      <c r="AC50" s="1561" t="n"/>
      <c r="AD50" s="1465" t="inlineStr">
        <is>
          <t>HPC-240-480-2</t>
        </is>
      </c>
      <c r="AE50" s="1466" t="inlineStr">
        <is>
          <t>all_in_one</t>
        </is>
      </c>
      <c r="AF50" s="1561" t="n"/>
      <c r="AG50" s="1561" t="n"/>
    </row>
    <row r="51" ht="27.5" customHeight="1" s="254">
      <c r="A51" s="1455" t="inlineStr">
        <is>
          <t>_kW240</t>
        </is>
      </c>
      <c r="B51" s="1455" t="inlineStr">
        <is>
          <t>CTX-AiO-240-3-300</t>
        </is>
      </c>
      <c r="C51" s="1468" t="inlineStr">
        <is>
          <t>Gen3 240kW CCS1 350A + NACS 350A; Cable Management + CC</t>
        </is>
      </c>
      <c r="D51" s="1456" t="n">
        <v>88000</v>
      </c>
      <c r="E51" s="1455" t="n">
        <v>240</v>
      </c>
      <c r="F51" s="1456" t="n"/>
      <c r="G51" s="1561" t="n"/>
      <c r="H51" s="1561" t="n"/>
      <c r="I51" s="1457" t="n">
        <v>2</v>
      </c>
      <c r="J51" s="1458" t="inlineStr">
        <is>
          <t>connectors named in the description</t>
        </is>
      </c>
      <c r="K51" s="1561" t="n"/>
      <c r="L51" s="1561" t="n"/>
      <c r="M51" s="1561" t="n"/>
      <c r="N51" s="1561" t="n"/>
      <c r="O51" s="1561" t="n"/>
      <c r="P51" s="1561" t="n"/>
      <c r="Q51" s="1561" t="n"/>
      <c r="R51" s="1561" t="n"/>
      <c r="S51" s="1561" t="n"/>
      <c r="T51" s="1561" t="n"/>
      <c r="U51" s="1561" t="n"/>
      <c r="V51" s="1561" t="n"/>
      <c r="W51" s="1561" t="n"/>
      <c r="X51" s="1561" t="n"/>
      <c r="Y51" s="1561" t="n"/>
      <c r="Z51" s="1561" t="n"/>
      <c r="AA51" s="1561" t="n"/>
      <c r="AB51" s="1561" t="n"/>
      <c r="AC51" s="1561" t="n"/>
      <c r="AD51" s="1465" t="inlineStr">
        <is>
          <t>CTX-AiO-240-2-300</t>
        </is>
      </c>
      <c r="AE51" s="1466" t="inlineStr">
        <is>
          <t>all_in_one</t>
        </is>
      </c>
      <c r="AF51" s="1561" t="n"/>
      <c r="AG51" s="1561" t="n"/>
    </row>
    <row r="52" ht="27.5" customHeight="1" s="254">
      <c r="A52" s="1455" t="inlineStr">
        <is>
          <t>_kW240</t>
        </is>
      </c>
      <c r="B52" s="1455" t="inlineStr">
        <is>
          <t>CTX-AiO-240-4-300</t>
        </is>
      </c>
      <c r="C52" s="1468" t="inlineStr">
        <is>
          <t>Gen3 240kW NACS 350A + NACS 350A; Cable Management + CC</t>
        </is>
      </c>
      <c r="D52" s="1456" t="n">
        <v>88000</v>
      </c>
      <c r="E52" s="1455" t="n">
        <v>240</v>
      </c>
      <c r="F52" s="1456" t="n"/>
      <c r="G52" s="1561" t="n"/>
      <c r="H52" s="1561" t="n"/>
      <c r="I52" s="1457" t="n">
        <v>2</v>
      </c>
      <c r="J52" s="1458" t="inlineStr">
        <is>
          <t>connectors named in the description</t>
        </is>
      </c>
      <c r="K52" s="1561" t="n"/>
      <c r="L52" s="1561" t="n"/>
      <c r="M52" s="1561" t="n"/>
      <c r="N52" s="1561" t="n"/>
      <c r="O52" s="1561" t="n"/>
      <c r="P52" s="1561" t="n"/>
      <c r="Q52" s="1561" t="n"/>
      <c r="R52" s="1561" t="n"/>
      <c r="S52" s="1561" t="n"/>
      <c r="T52" s="1561" t="n"/>
      <c r="U52" s="1561" t="n"/>
      <c r="V52" s="1561" t="n"/>
      <c r="W52" s="1561" t="n"/>
      <c r="X52" s="1561" t="n"/>
      <c r="Y52" s="1561" t="n"/>
      <c r="Z52" s="1561" t="n"/>
      <c r="AA52" s="1561" t="n"/>
      <c r="AB52" s="1561" t="n"/>
      <c r="AC52" s="1561" t="n"/>
      <c r="AD52" s="1465" t="inlineStr">
        <is>
          <t>CTX-AiO-240-3-300</t>
        </is>
      </c>
      <c r="AE52" s="1466" t="inlineStr">
        <is>
          <t>all_in_one</t>
        </is>
      </c>
      <c r="AF52" s="1561" t="n"/>
      <c r="AG52" s="1561" t="n"/>
    </row>
    <row r="53" ht="15" customHeight="1" s="254">
      <c r="A53" s="1455" t="inlineStr">
        <is>
          <t>_kW240</t>
        </is>
      </c>
      <c r="B53" s="1455" t="inlineStr">
        <is>
          <t>CTX-AiO-240-5-300</t>
        </is>
      </c>
      <c r="C53" s="1468" t="inlineStr">
        <is>
          <t>Gen3 240kW Single CCS1 350A; Cable Management + CC</t>
        </is>
      </c>
      <c r="D53" s="1456" t="n">
        <v>88000</v>
      </c>
      <c r="E53" s="1455" t="n">
        <v>240</v>
      </c>
      <c r="F53" s="1456" t="n"/>
      <c r="G53" s="1561" t="n"/>
      <c r="H53" s="1561" t="n"/>
      <c r="I53" s="1457" t="n">
        <v>1</v>
      </c>
      <c r="J53" s="1458" t="inlineStr">
        <is>
          <t>description says Single</t>
        </is>
      </c>
      <c r="K53" s="1561" t="n"/>
      <c r="L53" s="1561" t="n"/>
      <c r="M53" s="1561" t="n"/>
      <c r="N53" s="1561" t="n"/>
      <c r="O53" s="1561" t="n"/>
      <c r="P53" s="1561" t="n"/>
      <c r="Q53" s="1561" t="n"/>
      <c r="R53" s="1561" t="n"/>
      <c r="S53" s="1561" t="n"/>
      <c r="T53" s="1561" t="n"/>
      <c r="U53" s="1561" t="n"/>
      <c r="V53" s="1561" t="n"/>
      <c r="W53" s="1561" t="n"/>
      <c r="X53" s="1561" t="n"/>
      <c r="Y53" s="1561" t="n"/>
      <c r="Z53" s="1561" t="n"/>
      <c r="AA53" s="1561" t="n"/>
      <c r="AB53" s="1561" t="n"/>
      <c r="AC53" s="1561" t="n"/>
      <c r="AD53" s="1465" t="inlineStr">
        <is>
          <t>CTX-AiO-240-4-300</t>
        </is>
      </c>
      <c r="AE53" s="1466" t="inlineStr">
        <is>
          <t>all_in_one</t>
        </is>
      </c>
      <c r="AF53" s="1561" t="n"/>
      <c r="AG53" s="1561" t="n"/>
    </row>
    <row r="54" ht="40" customHeight="1" s="254">
      <c r="A54" s="1455" t="inlineStr">
        <is>
          <t>_kW360</t>
        </is>
      </c>
      <c r="B54" s="1455" t="inlineStr">
        <is>
          <t>TP5-360-480-1-300</t>
        </is>
      </c>
      <c r="C54" s="1469" t="inlineStr">
        <is>
          <t xml:space="preserve">360kW DCFC All In One Charger - 1000VDC, Cables: 350A CCS1 &amp; NACS ;  Can charge 2 cars simultaneously with 180kW each ; 4G Modem </t>
        </is>
      </c>
      <c r="D54" s="1456" t="n">
        <v>99000</v>
      </c>
      <c r="E54" s="1455" t="n">
        <v>360</v>
      </c>
      <c r="F54" s="1456" t="n"/>
      <c r="G54" s="1561" t="n"/>
      <c r="H54" s="1561" t="n"/>
      <c r="I54" s="1457" t="n">
        <v>2</v>
      </c>
      <c r="J54" s="1458" t="inlineStr">
        <is>
          <t>manual — description does not state the count</t>
        </is>
      </c>
      <c r="K54" s="1561" t="n"/>
      <c r="L54" s="1561" t="n"/>
      <c r="M54" s="1561" t="n"/>
      <c r="N54" s="1561" t="n"/>
      <c r="O54" s="1561" t="n"/>
      <c r="P54" s="1561" t="n"/>
      <c r="Q54" s="1561" t="n"/>
      <c r="R54" s="1561" t="n"/>
      <c r="S54" s="1561" t="n"/>
      <c r="T54" s="1561" t="n"/>
      <c r="U54" s="1561" t="n"/>
      <c r="V54" s="1561" t="n"/>
      <c r="W54" s="1561" t="n"/>
      <c r="X54" s="1561" t="n"/>
      <c r="Y54" s="1561" t="n"/>
      <c r="Z54" s="1561" t="n"/>
      <c r="AA54" s="1561" t="n"/>
      <c r="AB54" s="1561" t="n"/>
      <c r="AC54" s="1561" t="n"/>
      <c r="AD54" s="1465" t="inlineStr">
        <is>
          <t>CTX-AiO-240-5-300</t>
        </is>
      </c>
      <c r="AE54" s="1466" t="inlineStr">
        <is>
          <t>all_in_one</t>
        </is>
      </c>
      <c r="AF54" s="1561" t="n"/>
      <c r="AG54" s="1561" t="n"/>
    </row>
    <row r="55" ht="40" customHeight="1" s="254">
      <c r="A55" s="1455" t="inlineStr">
        <is>
          <t>_kW360</t>
        </is>
      </c>
      <c r="B55" s="1455" t="inlineStr">
        <is>
          <t>TP5-360-480-2-300</t>
        </is>
      </c>
      <c r="C55" s="1469" t="inlineStr">
        <is>
          <t xml:space="preserve">360kW DCFC All In One Charger - 350A Cable / 1000VDC Dual CCS1 ;  Can charge 2 cars simultaneously with 180kW each ; 4G Modem </t>
        </is>
      </c>
      <c r="D55" s="1456" t="n">
        <v>99000</v>
      </c>
      <c r="E55" s="1455" t="n">
        <v>360</v>
      </c>
      <c r="F55" s="1456" t="n"/>
      <c r="G55" s="1561" t="n"/>
      <c r="H55" s="1561" t="n"/>
      <c r="I55" s="1457" t="n">
        <v>2</v>
      </c>
      <c r="J55" s="1458" t="inlineStr">
        <is>
          <t>description says Dual</t>
        </is>
      </c>
      <c r="K55" s="1561" t="n"/>
      <c r="L55" s="1561" t="n"/>
      <c r="M55" s="1561" t="n"/>
      <c r="N55" s="1561" t="n"/>
      <c r="O55" s="1561" t="n"/>
      <c r="P55" s="1561" t="n"/>
      <c r="Q55" s="1561" t="n"/>
      <c r="R55" s="1561" t="n"/>
      <c r="S55" s="1561" t="n"/>
      <c r="T55" s="1561" t="n"/>
      <c r="U55" s="1561" t="n"/>
      <c r="V55" s="1561" t="n"/>
      <c r="W55" s="1561" t="n"/>
      <c r="X55" s="1561" t="n"/>
      <c r="Y55" s="1561" t="n"/>
      <c r="Z55" s="1561" t="n"/>
      <c r="AA55" s="1561" t="n"/>
      <c r="AB55" s="1561" t="n"/>
      <c r="AC55" s="1561" t="n"/>
      <c r="AD55" s="1465" t="inlineStr">
        <is>
          <t>TP5-360-480-1-300</t>
        </is>
      </c>
      <c r="AE55" s="1466" t="inlineStr">
        <is>
          <t>all_in_one</t>
        </is>
      </c>
      <c r="AF55" s="1561" t="n"/>
      <c r="AG55" s="1561" t="n"/>
    </row>
    <row r="56" ht="40" customHeight="1" s="254">
      <c r="A56" s="1455" t="inlineStr">
        <is>
          <t>_kW360</t>
        </is>
      </c>
      <c r="B56" s="1455" t="inlineStr">
        <is>
          <t>TP5-360-480-3-300</t>
        </is>
      </c>
      <c r="C56" s="1469" t="inlineStr">
        <is>
          <t xml:space="preserve">360kW DCFC All In One Charger - 1000VDC, Cables: 350A CCS1 &amp; 400A NACS ;  Can charge 2 cars simultaneously with 180kW each ; 4G Modem </t>
        </is>
      </c>
      <c r="D56" s="1456" t="n">
        <v>99000</v>
      </c>
      <c r="E56" s="1455" t="n">
        <v>360</v>
      </c>
      <c r="F56" s="1456" t="n"/>
      <c r="G56" s="1561" t="n"/>
      <c r="H56" s="1561" t="n"/>
      <c r="I56" s="1457" t="n">
        <v>2</v>
      </c>
      <c r="J56" s="1458" t="inlineStr">
        <is>
          <t>manual — description does not state the count</t>
        </is>
      </c>
      <c r="K56" s="1561" t="n"/>
      <c r="L56" s="1561" t="n"/>
      <c r="M56" s="1561" t="n"/>
      <c r="N56" s="1561" t="n"/>
      <c r="O56" s="1561" t="n"/>
      <c r="P56" s="1561" t="n"/>
      <c r="Q56" s="1561" t="n"/>
      <c r="R56" s="1561" t="n"/>
      <c r="S56" s="1561" t="n"/>
      <c r="T56" s="1561" t="n"/>
      <c r="U56" s="1561" t="n"/>
      <c r="V56" s="1561" t="n"/>
      <c r="W56" s="1561" t="n"/>
      <c r="X56" s="1561" t="n"/>
      <c r="Y56" s="1561" t="n"/>
      <c r="Z56" s="1561" t="n"/>
      <c r="AA56" s="1561" t="n"/>
      <c r="AB56" s="1561" t="n"/>
      <c r="AC56" s="1561" t="n"/>
      <c r="AD56" s="1465" t="inlineStr">
        <is>
          <t>TP5-360-480-2-300</t>
        </is>
      </c>
      <c r="AE56" s="1466" t="inlineStr">
        <is>
          <t>all_in_one</t>
        </is>
      </c>
      <c r="AF56" s="1561" t="n"/>
      <c r="AG56" s="1561" t="n"/>
    </row>
    <row r="57" ht="40" customHeight="1" s="254">
      <c r="A57" s="1455" t="inlineStr">
        <is>
          <t>_kW360</t>
        </is>
      </c>
      <c r="B57" s="1455" t="inlineStr">
        <is>
          <t>TP5-360-480-4-300</t>
        </is>
      </c>
      <c r="C57" s="1469" t="inlineStr">
        <is>
          <t xml:space="preserve">360kW DCFC All In One Charger - 1000VDC, Cables: 400A NACS / 400A NACS ;  Can charge 2 cars simultaneously with 180kW each ; 4G Modem </t>
        </is>
      </c>
      <c r="D57" s="1456" t="n">
        <v>99000</v>
      </c>
      <c r="E57" s="1455" t="n">
        <v>360</v>
      </c>
      <c r="F57" s="1456" t="n"/>
      <c r="G57" s="1561" t="n"/>
      <c r="H57" s="1561" t="n"/>
      <c r="I57" s="1457" t="n">
        <v>2</v>
      </c>
      <c r="J57" s="1458" t="inlineStr">
        <is>
          <t>manual — description does not state the count</t>
        </is>
      </c>
      <c r="K57" s="1561" t="n"/>
      <c r="L57" s="1561" t="n"/>
      <c r="M57" s="1561" t="n"/>
      <c r="N57" s="1561" t="n"/>
      <c r="O57" s="1561" t="n"/>
      <c r="P57" s="1561" t="n"/>
      <c r="Q57" s="1561" t="n"/>
      <c r="R57" s="1561" t="n"/>
      <c r="S57" s="1561" t="n"/>
      <c r="T57" s="1561" t="n"/>
      <c r="U57" s="1561" t="n"/>
      <c r="V57" s="1561" t="n"/>
      <c r="W57" s="1561" t="n"/>
      <c r="X57" s="1561" t="n"/>
      <c r="Y57" s="1561" t="n"/>
      <c r="Z57" s="1561" t="n"/>
      <c r="AA57" s="1561" t="n"/>
      <c r="AB57" s="1561" t="n"/>
      <c r="AC57" s="1561" t="n"/>
      <c r="AD57" s="1465" t="inlineStr">
        <is>
          <t>TP5-360-480-3-300</t>
        </is>
      </c>
      <c r="AE57" s="1466" t="inlineStr">
        <is>
          <t>all_in_one</t>
        </is>
      </c>
      <c r="AF57" s="1561" t="n"/>
      <c r="AG57" s="1561" t="n"/>
    </row>
    <row r="58" ht="52.5" customHeight="1" s="254">
      <c r="A58" s="1455" t="inlineStr">
        <is>
          <t>_kW360</t>
        </is>
      </c>
      <c r="B58" s="1455" t="inlineStr">
        <is>
          <t>HPC-360-480-1</t>
        </is>
      </c>
      <c r="C58" s="1469" t="inlineStr">
        <is>
          <t>360kW HPC All In One Charger - 500 Amps / 1000VDC with Liquid Cooled Connector for CCS1 &amp; NACS(~14ft) ; Can deliver 500A on CCS coonnector. Can charge 2 cars simultane</t>
        </is>
      </c>
      <c r="D58" s="1456" t="n">
        <v>110000</v>
      </c>
      <c r="E58" s="1455" t="n">
        <v>360</v>
      </c>
      <c r="F58" s="1456" t="n"/>
      <c r="G58" s="1561" t="n"/>
      <c r="H58" s="1561" t="n"/>
      <c r="I58" s="1457" t="n">
        <v>2</v>
      </c>
      <c r="J58" s="1458" t="inlineStr">
        <is>
          <t>connectors named in the description</t>
        </is>
      </c>
      <c r="K58" s="1561" t="n"/>
      <c r="L58" s="1561" t="n"/>
      <c r="M58" s="1561" t="n"/>
      <c r="N58" s="1561" t="n"/>
      <c r="O58" s="1561" t="n"/>
      <c r="P58" s="1561" t="n"/>
      <c r="Q58" s="1561" t="n"/>
      <c r="R58" s="1561" t="n"/>
      <c r="S58" s="1561" t="n"/>
      <c r="T58" s="1561" t="n"/>
      <c r="U58" s="1561" t="n"/>
      <c r="V58" s="1561" t="n"/>
      <c r="W58" s="1561" t="n"/>
      <c r="X58" s="1561" t="n"/>
      <c r="Y58" s="1561" t="n"/>
      <c r="Z58" s="1561" t="n"/>
      <c r="AA58" s="1561" t="n"/>
      <c r="AB58" s="1561" t="n"/>
      <c r="AC58" s="1561" t="n"/>
      <c r="AD58" s="1465" t="inlineStr">
        <is>
          <t>TP5-360-480-4-300</t>
        </is>
      </c>
      <c r="AE58" s="1466" t="inlineStr">
        <is>
          <t>all_in_one</t>
        </is>
      </c>
      <c r="AF58" s="1561" t="n"/>
      <c r="AG58" s="1561" t="n"/>
    </row>
    <row r="59" ht="52.5" customHeight="1" s="254">
      <c r="A59" s="1455" t="inlineStr">
        <is>
          <t>_kW360</t>
        </is>
      </c>
      <c r="B59" s="1455" t="inlineStr">
        <is>
          <t>HPC-360-480-2</t>
        </is>
      </c>
      <c r="C59" s="1469" t="inlineStr">
        <is>
          <t>360kW HPC All In One Charger - 500 Amps / 1000VDC with Liquid Cooled Connector for Dual CCS1 ; Can deliver 500A on one CCS coonnector and 400A on each connector if used s</t>
        </is>
      </c>
      <c r="D59" s="1456" t="n">
        <v>110000</v>
      </c>
      <c r="E59" s="1455" t="n">
        <v>360</v>
      </c>
      <c r="F59" s="1456" t="n"/>
      <c r="G59" s="1561" t="n"/>
      <c r="H59" s="1561" t="n"/>
      <c r="I59" s="1457" t="n">
        <v>2</v>
      </c>
      <c r="J59" s="1458" t="inlineStr">
        <is>
          <t>description says Dual</t>
        </is>
      </c>
      <c r="K59" s="1561" t="n"/>
      <c r="L59" s="1561" t="n"/>
      <c r="M59" s="1561" t="n"/>
      <c r="N59" s="1561" t="n"/>
      <c r="O59" s="1561" t="n"/>
      <c r="P59" s="1561" t="n"/>
      <c r="Q59" s="1561" t="n"/>
      <c r="R59" s="1561" t="n"/>
      <c r="S59" s="1561" t="n"/>
      <c r="T59" s="1561" t="n"/>
      <c r="U59" s="1561" t="n"/>
      <c r="V59" s="1561" t="n"/>
      <c r="W59" s="1561" t="n"/>
      <c r="X59" s="1561" t="n"/>
      <c r="Y59" s="1561" t="n"/>
      <c r="Z59" s="1561" t="n"/>
      <c r="AA59" s="1561" t="n"/>
      <c r="AB59" s="1561" t="n"/>
      <c r="AC59" s="1561" t="n"/>
      <c r="AD59" s="1465" t="inlineStr">
        <is>
          <t>HPC-360-480-1</t>
        </is>
      </c>
      <c r="AE59" s="1466" t="inlineStr">
        <is>
          <t>all_in_one</t>
        </is>
      </c>
      <c r="AF59" s="1561" t="n"/>
      <c r="AG59" s="1561" t="n"/>
    </row>
    <row r="60" ht="52.5" customHeight="1" s="254">
      <c r="A60" s="1455" t="inlineStr">
        <is>
          <t>_kW360</t>
        </is>
      </c>
      <c r="B60" s="1455" t="inlineStr">
        <is>
          <t>HPC-360-480-3</t>
        </is>
      </c>
      <c r="C60" s="1469" t="inlineStr">
        <is>
          <t xml:space="preserve">360kW HPC All In One Charger - 500 Amps / 1000VDC with Liquid Cooled Connector for CCS1 &amp; NACS ; Can deliver 500A on CCS coonnector. Can charge 2 cars simultaneously; 4G </t>
        </is>
      </c>
      <c r="D60" s="1456" t="n">
        <v>110000</v>
      </c>
      <c r="E60" s="1455" t="n">
        <v>360</v>
      </c>
      <c r="F60" s="1456" t="n"/>
      <c r="G60" s="1561" t="n"/>
      <c r="H60" s="1561" t="n"/>
      <c r="I60" s="1457" t="n">
        <v>2</v>
      </c>
      <c r="J60" s="1458" t="inlineStr">
        <is>
          <t>connectors named in the description</t>
        </is>
      </c>
      <c r="K60" s="1561" t="n"/>
      <c r="L60" s="1561" t="n"/>
      <c r="M60" s="1561" t="n"/>
      <c r="N60" s="1561" t="n"/>
      <c r="O60" s="1561" t="n"/>
      <c r="P60" s="1561" t="n"/>
      <c r="Q60" s="1561" t="n"/>
      <c r="R60" s="1561" t="n"/>
      <c r="S60" s="1561" t="n"/>
      <c r="T60" s="1561" t="n"/>
      <c r="U60" s="1561" t="n"/>
      <c r="V60" s="1561" t="n"/>
      <c r="W60" s="1561" t="n"/>
      <c r="X60" s="1561" t="n"/>
      <c r="Y60" s="1561" t="n"/>
      <c r="Z60" s="1561" t="n"/>
      <c r="AA60" s="1561" t="n"/>
      <c r="AB60" s="1561" t="n"/>
      <c r="AC60" s="1561" t="n"/>
      <c r="AD60" s="1465" t="inlineStr">
        <is>
          <t>HPC-360-480-2</t>
        </is>
      </c>
      <c r="AE60" s="1466" t="inlineStr">
        <is>
          <t>all_in_one</t>
        </is>
      </c>
      <c r="AF60" s="1561" t="n"/>
      <c r="AG60" s="1561" t="n"/>
    </row>
    <row r="61" ht="52.5" customHeight="1" s="254">
      <c r="A61" s="1455" t="inlineStr">
        <is>
          <t>_kW360</t>
        </is>
      </c>
      <c r="B61" s="1455" t="inlineStr">
        <is>
          <t>HPC-360-480-4</t>
        </is>
      </c>
      <c r="C61" s="1469" t="inlineStr">
        <is>
          <t xml:space="preserve">360kW HPC All In One Charger - 500 Amps / 1000VDC with Liquid Cooled Connector for NACS / NACS ; Can deliver 500A on CCS coonnector. Can charge 2 cars simultaneously; 4G </t>
        </is>
      </c>
      <c r="D61" s="1456" t="n">
        <v>110000</v>
      </c>
      <c r="E61" s="1455" t="n">
        <v>360</v>
      </c>
      <c r="F61" s="1456" t="n"/>
      <c r="G61" s="1561" t="n"/>
      <c r="H61" s="1561" t="n"/>
      <c r="I61" s="1457" t="n">
        <v>2</v>
      </c>
      <c r="J61" s="1458" t="inlineStr">
        <is>
          <t>connectors named in the description</t>
        </is>
      </c>
      <c r="K61" s="1561" t="n"/>
      <c r="L61" s="1561" t="n"/>
      <c r="M61" s="1561" t="n"/>
      <c r="N61" s="1561" t="n"/>
      <c r="O61" s="1561" t="n"/>
      <c r="P61" s="1561" t="n"/>
      <c r="Q61" s="1561" t="n"/>
      <c r="R61" s="1561" t="n"/>
      <c r="S61" s="1561" t="n"/>
      <c r="T61" s="1561" t="n"/>
      <c r="U61" s="1561" t="n"/>
      <c r="V61" s="1561" t="n"/>
      <c r="W61" s="1561" t="n"/>
      <c r="X61" s="1561" t="n"/>
      <c r="Y61" s="1561" t="n"/>
      <c r="Z61" s="1561" t="n"/>
      <c r="AA61" s="1561" t="n"/>
      <c r="AB61" s="1561" t="n"/>
      <c r="AC61" s="1561" t="n"/>
      <c r="AD61" s="1465" t="inlineStr">
        <is>
          <t>HPC-360-480-3</t>
        </is>
      </c>
      <c r="AE61" s="1466" t="inlineStr">
        <is>
          <t>all_in_one</t>
        </is>
      </c>
      <c r="AF61" s="1561" t="n"/>
      <c r="AG61" s="1561" t="n"/>
    </row>
    <row r="62" ht="15" customHeight="1" s="254">
      <c r="A62" s="1455" t="inlineStr">
        <is>
          <t>_Distributed_System</t>
        </is>
      </c>
      <c r="B62" s="1455" t="inlineStr">
        <is>
          <t>CTX-DSPB-360</t>
        </is>
      </c>
      <c r="C62" s="1455" t="inlineStr">
        <is>
          <t>360kW Tower</t>
        </is>
      </c>
      <c r="D62" s="1456" t="n">
        <v>81400</v>
      </c>
      <c r="E62" s="1455" t="n">
        <v>360</v>
      </c>
      <c r="F62" s="1456" t="n"/>
      <c r="G62" s="1561" t="n"/>
      <c r="H62" s="1561" t="n"/>
      <c r="I62" s="1561" t="n"/>
      <c r="J62" s="1505" t="inlineStr">
        <is>
          <t>distributed system — the architecture table holds this</t>
        </is>
      </c>
      <c r="K62" s="1561" t="n"/>
      <c r="L62" s="1561" t="n"/>
      <c r="M62" s="1561" t="n"/>
      <c r="N62" s="1561" t="n"/>
      <c r="O62" s="1561" t="n"/>
      <c r="P62" s="1561" t="n"/>
      <c r="Q62" s="1561" t="n"/>
      <c r="R62" s="1561" t="n"/>
      <c r="S62" s="1561" t="n"/>
      <c r="T62" s="1561" t="n"/>
      <c r="U62" s="1561" t="n"/>
      <c r="V62" s="1561" t="n"/>
      <c r="W62" s="1561" t="n"/>
      <c r="X62" s="1561" t="n"/>
      <c r="Y62" s="1561" t="n"/>
      <c r="Z62" s="1561" t="n"/>
      <c r="AA62" s="1561" t="n"/>
      <c r="AB62" s="1561" t="n"/>
      <c r="AC62" s="1561" t="n"/>
      <c r="AD62" s="1465" t="inlineStr">
        <is>
          <t>HPC-360-480-4</t>
        </is>
      </c>
      <c r="AE62" s="1466" t="inlineStr">
        <is>
          <t>all_in_one</t>
        </is>
      </c>
      <c r="AF62" s="1561" t="n"/>
      <c r="AG62" s="1561" t="n"/>
    </row>
    <row r="63" ht="15" customHeight="1" s="254">
      <c r="A63" s="1455" t="inlineStr">
        <is>
          <t>_Distributed_System</t>
        </is>
      </c>
      <c r="B63" s="1455" t="inlineStr">
        <is>
          <t>CTX-DSPB-480</t>
        </is>
      </c>
      <c r="C63" s="1455" t="inlineStr">
        <is>
          <t>480kW Tower</t>
        </is>
      </c>
      <c r="D63" s="1456" t="n">
        <v>90200</v>
      </c>
      <c r="E63" s="1455" t="n">
        <v>480</v>
      </c>
      <c r="F63" s="1456" t="n"/>
      <c r="G63" s="1561" t="n"/>
      <c r="H63" s="1561" t="n"/>
      <c r="I63" s="1561" t="n"/>
      <c r="J63" s="1505" t="inlineStr">
        <is>
          <t>distributed system — the architecture table holds this</t>
        </is>
      </c>
      <c r="K63" s="1561" t="n"/>
      <c r="L63" s="1561" t="n"/>
      <c r="M63" s="1561" t="n"/>
      <c r="N63" s="1561" t="n"/>
      <c r="O63" s="1561" t="n"/>
      <c r="P63" s="1561" t="n"/>
      <c r="Q63" s="1561" t="n"/>
      <c r="R63" s="1561" t="n"/>
      <c r="S63" s="1561" t="n"/>
      <c r="T63" s="1561" t="n"/>
      <c r="U63" s="1561" t="n"/>
      <c r="V63" s="1561" t="n"/>
      <c r="W63" s="1561" t="n"/>
      <c r="X63" s="1561" t="n"/>
      <c r="Y63" s="1561" t="n"/>
      <c r="Z63" s="1561" t="n"/>
      <c r="AA63" s="1561" t="n"/>
      <c r="AB63" s="1561" t="n"/>
      <c r="AC63" s="1561" t="n"/>
      <c r="AD63" s="1465" t="inlineStr">
        <is>
          <t>CTX-DSPB-360</t>
        </is>
      </c>
      <c r="AE63" s="1466" t="inlineStr">
        <is>
          <t>power_cabinet</t>
        </is>
      </c>
      <c r="AF63" s="1561" t="n"/>
      <c r="AG63" s="1561" t="n"/>
    </row>
    <row r="64" ht="15" customHeight="1" s="254">
      <c r="A64" s="1455" t="inlineStr">
        <is>
          <t>_Distributed_System</t>
        </is>
      </c>
      <c r="B64" s="1455" t="inlineStr">
        <is>
          <t>CTX-DSPB-1280</t>
        </is>
      </c>
      <c r="C64" s="1455" t="inlineStr">
        <is>
          <t>1,280kW Tower</t>
        </is>
      </c>
      <c r="D64" s="1456" t="n">
        <v>225000</v>
      </c>
      <c r="E64" s="1455" t="n">
        <v>1280</v>
      </c>
      <c r="F64" s="1456" t="n"/>
      <c r="G64" s="1561" t="n"/>
      <c r="H64" s="1561" t="n"/>
      <c r="I64" s="1561" t="n"/>
      <c r="J64" s="1505" t="inlineStr">
        <is>
          <t>distributed system — the architecture table holds this</t>
        </is>
      </c>
      <c r="K64" s="1561" t="n"/>
      <c r="L64" s="1561" t="n"/>
      <c r="M64" s="1561" t="n"/>
      <c r="N64" s="1561" t="n"/>
      <c r="O64" s="1561" t="n"/>
      <c r="P64" s="1561" t="n"/>
      <c r="Q64" s="1561" t="n"/>
      <c r="R64" s="1561" t="n"/>
      <c r="S64" s="1561" t="n"/>
      <c r="T64" s="1561" t="n"/>
      <c r="U64" s="1561" t="n"/>
      <c r="V64" s="1561" t="n"/>
      <c r="W64" s="1561" t="n"/>
      <c r="X64" s="1561" t="n"/>
      <c r="Y64" s="1561" t="n"/>
      <c r="Z64" s="1561" t="n"/>
      <c r="AA64" s="1561" t="n"/>
      <c r="AB64" s="1561" t="n"/>
      <c r="AC64" s="1561" t="n"/>
      <c r="AD64" s="1465" t="inlineStr">
        <is>
          <t>CTX-DSPB-480</t>
        </is>
      </c>
      <c r="AE64" s="1466" t="inlineStr">
        <is>
          <t>power_cabinet</t>
        </is>
      </c>
      <c r="AF64" s="1561" t="n"/>
      <c r="AG64" s="1561" t="n"/>
    </row>
    <row r="65" ht="15" customHeight="1" s="254">
      <c r="A65" s="1455" t="inlineStr">
        <is>
          <t>_Distributed_System</t>
        </is>
      </c>
      <c r="B65" s="1455" t="inlineStr">
        <is>
          <t>CTX-DST-2-300</t>
        </is>
      </c>
      <c r="C65" s="1455" t="inlineStr">
        <is>
          <t>Dispenser 300/300</t>
        </is>
      </c>
      <c r="D65" s="1456" t="n">
        <v>35200</v>
      </c>
      <c r="E65" s="1455" t="n"/>
      <c r="F65" s="1456" t="n"/>
      <c r="G65" s="1561" t="n"/>
      <c r="H65" s="1561" t="n"/>
      <c r="I65" s="1561" t="n"/>
      <c r="J65" s="1505" t="inlineStr">
        <is>
          <t>distributed system — the architecture table holds this</t>
        </is>
      </c>
      <c r="K65" s="1561" t="n"/>
      <c r="L65" s="1561" t="n"/>
      <c r="M65" s="1561" t="n"/>
      <c r="N65" s="1561" t="n"/>
      <c r="O65" s="1561" t="n"/>
      <c r="P65" s="1561" t="n"/>
      <c r="Q65" s="1561" t="n"/>
      <c r="R65" s="1561" t="n"/>
      <c r="S65" s="1561" t="n"/>
      <c r="T65" s="1561" t="n"/>
      <c r="U65" s="1561" t="n"/>
      <c r="V65" s="1561" t="n"/>
      <c r="W65" s="1561" t="n"/>
      <c r="X65" s="1561" t="n"/>
      <c r="Y65" s="1561" t="n"/>
      <c r="Z65" s="1561" t="n"/>
      <c r="AA65" s="1561" t="n"/>
      <c r="AB65" s="1561" t="n"/>
      <c r="AC65" s="1561" t="n"/>
      <c r="AD65" s="1465" t="inlineStr">
        <is>
          <t>CTX-DSPB-1280</t>
        </is>
      </c>
      <c r="AE65" s="1466" t="inlineStr">
        <is>
          <t>power_cabinet</t>
        </is>
      </c>
      <c r="AF65" s="1561" t="n"/>
      <c r="AG65" s="1561" t="n"/>
    </row>
    <row r="66" ht="15" customHeight="1" s="254">
      <c r="A66" s="1455" t="inlineStr">
        <is>
          <t>_Distributed_System</t>
        </is>
      </c>
      <c r="B66" s="1455" t="inlineStr">
        <is>
          <t>CTX-DST-HPC-2-500/300</t>
        </is>
      </c>
      <c r="C66" s="1455" t="inlineStr">
        <is>
          <t>Dispenser 500/300</t>
        </is>
      </c>
      <c r="D66" s="1456" t="n">
        <v>49500</v>
      </c>
      <c r="E66" s="1455" t="n"/>
      <c r="F66" s="1456" t="n"/>
      <c r="G66" s="1561" t="n"/>
      <c r="H66" s="1561" t="n"/>
      <c r="I66" s="1561" t="n"/>
      <c r="J66" s="1505" t="inlineStr">
        <is>
          <t>distributed system — the architecture table holds this</t>
        </is>
      </c>
      <c r="K66" s="1561" t="n"/>
      <c r="L66" s="1561" t="n"/>
      <c r="M66" s="1561" t="n"/>
      <c r="N66" s="1561" t="n"/>
      <c r="O66" s="1561" t="n"/>
      <c r="P66" s="1561" t="n"/>
      <c r="Q66" s="1561" t="n"/>
      <c r="R66" s="1561" t="n"/>
      <c r="S66" s="1561" t="n"/>
      <c r="T66" s="1561" t="n"/>
      <c r="U66" s="1561" t="n"/>
      <c r="V66" s="1561" t="n"/>
      <c r="W66" s="1561" t="n"/>
      <c r="X66" s="1561" t="n"/>
      <c r="Y66" s="1561" t="n"/>
      <c r="Z66" s="1561" t="n"/>
      <c r="AA66" s="1561" t="n"/>
      <c r="AB66" s="1561" t="n"/>
      <c r="AC66" s="1561" t="n"/>
      <c r="AD66" s="1465" t="inlineStr">
        <is>
          <t>CTX-DST-2-300</t>
        </is>
      </c>
      <c r="AE66" s="1466" t="inlineStr">
        <is>
          <t>dispenser</t>
        </is>
      </c>
      <c r="AF66" s="1561" t="n"/>
      <c r="AG66" s="1561" t="n"/>
    </row>
    <row r="67" ht="40" customHeight="1" s="254">
      <c r="A67" s="1455" t="inlineStr">
        <is>
          <t>_Buy_America</t>
        </is>
      </c>
      <c r="B67" s="1455" t="inlineStr">
        <is>
          <t>TP5-60-480-2-BAA</t>
        </is>
      </c>
      <c r="C67" s="1469" t="inlineStr">
        <is>
          <t xml:space="preserve">Buy America NEVI Compliant, Assembled in CA, USA 60kW DCFC - 140 Amps / 1000VDC with CCS1 &amp; CCS1(~16ft) ; 4G Modem </t>
        </is>
      </c>
      <c r="D67" s="1456" t="n">
        <v>68200</v>
      </c>
      <c r="E67" s="1455" t="n"/>
      <c r="F67" s="1456" t="n"/>
      <c r="G67" s="1561" t="n"/>
      <c r="H67" s="1561" t="n"/>
      <c r="I67" s="1457" t="n">
        <v>2</v>
      </c>
      <c r="J67" s="1458" t="inlineStr">
        <is>
          <t>connectors named in the description</t>
        </is>
      </c>
      <c r="K67" s="1561" t="n"/>
      <c r="L67" s="1561" t="n"/>
      <c r="M67" s="1561" t="n"/>
      <c r="N67" s="1561" t="n"/>
      <c r="O67" s="1561" t="n"/>
      <c r="P67" s="1561" t="n"/>
      <c r="Q67" s="1561" t="n"/>
      <c r="R67" s="1561" t="n"/>
      <c r="S67" s="1561" t="n"/>
      <c r="T67" s="1561" t="n"/>
      <c r="U67" s="1561" t="n"/>
      <c r="V67" s="1561" t="n"/>
      <c r="W67" s="1561" t="n"/>
      <c r="X67" s="1561" t="n"/>
      <c r="Y67" s="1561" t="n"/>
      <c r="Z67" s="1561" t="n"/>
      <c r="AA67" s="1561" t="n"/>
      <c r="AB67" s="1561" t="n"/>
      <c r="AC67" s="1561" t="n"/>
      <c r="AD67" s="1465" t="inlineStr">
        <is>
          <t>CTX-DST-HPC-2-500/300</t>
        </is>
      </c>
      <c r="AE67" s="1466" t="inlineStr">
        <is>
          <t>dispenser</t>
        </is>
      </c>
      <c r="AF67" s="1561" t="n"/>
      <c r="AG67" s="1561" t="n"/>
    </row>
    <row r="68" ht="27.5" customHeight="1" s="254">
      <c r="A68" s="1455" t="inlineStr">
        <is>
          <t>_Buy_America</t>
        </is>
      </c>
      <c r="B68" s="1455" t="inlineStr">
        <is>
          <t>TP5-60-480-3-BAA</t>
        </is>
      </c>
      <c r="C68" s="1469" t="inlineStr">
        <is>
          <t xml:space="preserve">Buy America NEVI Compliant, Assembled in CA, USA 60kW DCFC - 140 Amps / 1000VDC with CCS1 &amp; NACS ; 4G Modem </t>
        </is>
      </c>
      <c r="D68" s="1456" t="n">
        <v>68200</v>
      </c>
      <c r="E68" s="1455" t="n"/>
      <c r="F68" s="1456" t="n"/>
      <c r="G68" s="1561" t="n"/>
      <c r="H68" s="1561" t="n"/>
      <c r="I68" s="1457" t="n">
        <v>2</v>
      </c>
      <c r="J68" s="1458" t="inlineStr">
        <is>
          <t>connectors named in the description</t>
        </is>
      </c>
      <c r="K68" s="1561" t="n"/>
      <c r="L68" s="1561" t="n"/>
      <c r="M68" s="1561" t="n"/>
      <c r="N68" s="1561" t="n"/>
      <c r="O68" s="1561" t="n"/>
      <c r="P68" s="1561" t="n"/>
      <c r="Q68" s="1561" t="n"/>
      <c r="R68" s="1561" t="n"/>
      <c r="S68" s="1561" t="n"/>
      <c r="T68" s="1561" t="n"/>
      <c r="U68" s="1561" t="n"/>
      <c r="V68" s="1561" t="n"/>
      <c r="W68" s="1561" t="n"/>
      <c r="X68" s="1561" t="n"/>
      <c r="Y68" s="1561" t="n"/>
      <c r="Z68" s="1561" t="n"/>
      <c r="AA68" s="1561" t="n"/>
      <c r="AB68" s="1561" t="n"/>
      <c r="AC68" s="1561" t="n"/>
      <c r="AD68" s="1465" t="inlineStr">
        <is>
          <t>TP5-60-480-2-BAA</t>
        </is>
      </c>
      <c r="AE68" s="1466" t="inlineStr">
        <is>
          <t>all_in_one</t>
        </is>
      </c>
      <c r="AF68" s="1561" t="n"/>
      <c r="AG68" s="1561" t="n"/>
    </row>
    <row r="69" ht="27.5" customHeight="1" s="254">
      <c r="A69" s="1455" t="inlineStr">
        <is>
          <t>_Buy_America</t>
        </is>
      </c>
      <c r="B69" s="1455" t="inlineStr">
        <is>
          <t>TP5-60-480-4-BAA</t>
        </is>
      </c>
      <c r="C69" s="1469" t="inlineStr">
        <is>
          <t xml:space="preserve">Buy America NEVI Compliant, Assembled in CA, USA 60kW DCFC - 140 Amps / 1000VDC with NACS &amp; NACS ; 4G Modem </t>
        </is>
      </c>
      <c r="D69" s="1456" t="n">
        <v>68200</v>
      </c>
      <c r="E69" s="1455" t="n"/>
      <c r="F69" s="1456" t="n"/>
      <c r="G69" s="1561" t="n"/>
      <c r="H69" s="1561" t="n"/>
      <c r="I69" s="1457" t="n">
        <v>2</v>
      </c>
      <c r="J69" s="1458" t="inlineStr">
        <is>
          <t>connectors named in the description</t>
        </is>
      </c>
      <c r="K69" s="1561" t="n"/>
      <c r="L69" s="1561" t="n"/>
      <c r="M69" s="1561" t="n"/>
      <c r="N69" s="1561" t="n"/>
      <c r="O69" s="1561" t="n"/>
      <c r="P69" s="1561" t="n"/>
      <c r="Q69" s="1561" t="n"/>
      <c r="R69" s="1561" t="n"/>
      <c r="S69" s="1561" t="n"/>
      <c r="T69" s="1561" t="n"/>
      <c r="U69" s="1561" t="n"/>
      <c r="V69" s="1561" t="n"/>
      <c r="W69" s="1561" t="n"/>
      <c r="X69" s="1561" t="n"/>
      <c r="Y69" s="1561" t="n"/>
      <c r="Z69" s="1561" t="n"/>
      <c r="AA69" s="1561" t="n"/>
      <c r="AB69" s="1561" t="n"/>
      <c r="AC69" s="1561" t="n"/>
      <c r="AD69" s="1465" t="inlineStr">
        <is>
          <t>TP5-60-480-3-BAA</t>
        </is>
      </c>
      <c r="AE69" s="1466" t="inlineStr">
        <is>
          <t>all_in_one</t>
        </is>
      </c>
      <c r="AF69" s="1561" t="n"/>
      <c r="AG69" s="1561" t="n"/>
    </row>
    <row r="70" ht="52.5" customHeight="1" s="254">
      <c r="A70" s="1455" t="inlineStr">
        <is>
          <t>_Buy_America</t>
        </is>
      </c>
      <c r="B70" s="1455" t="inlineStr">
        <is>
          <t>TP5-120-480-2-300-BAA</t>
        </is>
      </c>
      <c r="C70" s="1469" t="inlineStr">
        <is>
          <t xml:space="preserve">Buy America NEVI Compliant, Assembled in CA, USA 120kW DCFC All In One Charger - 350A Cable / 1000VDC with CCS1 &amp; CCS1(~16ft); Can charge 2 cars simultaneously with 60kW </t>
        </is>
      </c>
      <c r="D70" s="1456" t="n">
        <v>75900</v>
      </c>
      <c r="E70" s="1455" t="n"/>
      <c r="F70" s="1456" t="n"/>
      <c r="G70" s="1561" t="n"/>
      <c r="H70" s="1561" t="n"/>
      <c r="I70" s="1457" t="n">
        <v>2</v>
      </c>
      <c r="J70" s="1458" t="inlineStr">
        <is>
          <t>connectors named in the description</t>
        </is>
      </c>
      <c r="K70" s="1561" t="n"/>
      <c r="L70" s="1561" t="n"/>
      <c r="M70" s="1561" t="n"/>
      <c r="N70" s="1561" t="n"/>
      <c r="O70" s="1561" t="n"/>
      <c r="P70" s="1561" t="n"/>
      <c r="Q70" s="1561" t="n"/>
      <c r="R70" s="1561" t="n"/>
      <c r="S70" s="1561" t="n"/>
      <c r="T70" s="1561" t="n"/>
      <c r="U70" s="1561" t="n"/>
      <c r="V70" s="1561" t="n"/>
      <c r="W70" s="1561" t="n"/>
      <c r="X70" s="1561" t="n"/>
      <c r="Y70" s="1561" t="n"/>
      <c r="Z70" s="1561" t="n"/>
      <c r="AA70" s="1561" t="n"/>
      <c r="AB70" s="1561" t="n"/>
      <c r="AC70" s="1561" t="n"/>
      <c r="AD70" s="1465" t="inlineStr">
        <is>
          <t>TP5-60-480-4-BAA</t>
        </is>
      </c>
      <c r="AE70" s="1466" t="inlineStr">
        <is>
          <t>all_in_one</t>
        </is>
      </c>
      <c r="AF70" s="1561" t="n"/>
      <c r="AG70" s="1561" t="n"/>
    </row>
    <row r="71" ht="52.5" customHeight="1" s="254">
      <c r="A71" s="1455" t="inlineStr">
        <is>
          <t>_Buy_America</t>
        </is>
      </c>
      <c r="B71" s="1455" t="inlineStr">
        <is>
          <t>TP5-120-480-3-300-BAA</t>
        </is>
      </c>
      <c r="C71" s="1469" t="inlineStr">
        <is>
          <t xml:space="preserve">Buy America NEVI Compliant, Assembled in CA, USA 120kW DCFC All In One Charger - 350A Cable / 1000VDC with CCS1 &amp; NACS; Can charge 2 cars simultaneously with 60kW each ; </t>
        </is>
      </c>
      <c r="D71" s="1456" t="n">
        <v>75900</v>
      </c>
      <c r="E71" s="1455" t="n"/>
      <c r="F71" s="1456" t="n"/>
      <c r="G71" s="1561" t="n"/>
      <c r="H71" s="1561" t="n"/>
      <c r="I71" s="1457" t="n">
        <v>2</v>
      </c>
      <c r="J71" s="1458" t="inlineStr">
        <is>
          <t>connectors named in the description</t>
        </is>
      </c>
      <c r="K71" s="1561" t="n"/>
      <c r="L71" s="1561" t="n"/>
      <c r="M71" s="1561" t="n"/>
      <c r="N71" s="1561" t="n"/>
      <c r="O71" s="1561" t="n"/>
      <c r="P71" s="1561" t="n"/>
      <c r="Q71" s="1561" t="n"/>
      <c r="R71" s="1561" t="n"/>
      <c r="S71" s="1561" t="n"/>
      <c r="T71" s="1561" t="n"/>
      <c r="U71" s="1561" t="n"/>
      <c r="V71" s="1561" t="n"/>
      <c r="W71" s="1561" t="n"/>
      <c r="X71" s="1561" t="n"/>
      <c r="Y71" s="1561" t="n"/>
      <c r="Z71" s="1561" t="n"/>
      <c r="AA71" s="1561" t="n"/>
      <c r="AB71" s="1561" t="n"/>
      <c r="AC71" s="1561" t="n"/>
      <c r="AD71" s="1465" t="inlineStr">
        <is>
          <t>TP5-120-480-2-300-BAA</t>
        </is>
      </c>
      <c r="AE71" s="1466" t="inlineStr">
        <is>
          <t>all_in_one</t>
        </is>
      </c>
      <c r="AF71" s="1561" t="n"/>
      <c r="AG71" s="1561" t="n"/>
    </row>
    <row r="72" ht="52.5" customHeight="1" s="254">
      <c r="A72" s="1455" t="inlineStr">
        <is>
          <t>_Buy_America</t>
        </is>
      </c>
      <c r="B72" s="1455" t="inlineStr">
        <is>
          <t>TP5-120-480-4-300-BAA</t>
        </is>
      </c>
      <c r="C72" s="1469" t="inlineStr">
        <is>
          <t xml:space="preserve">Buy America NEVI Compliant, Assembled in CA, USA 120kW DCFC All In One Charger - 350A Cable / 1000VDC with NACS &amp; NACS(~16ft); Can charge 2 cars simultaneously with 60kW </t>
        </is>
      </c>
      <c r="D72" s="1456" t="n">
        <v>75900</v>
      </c>
      <c r="E72" s="1455" t="n"/>
      <c r="F72" s="1456" t="n"/>
      <c r="G72" s="1561" t="n"/>
      <c r="H72" s="1561" t="n"/>
      <c r="I72" s="1457" t="n">
        <v>2</v>
      </c>
      <c r="J72" s="1458" t="inlineStr">
        <is>
          <t>connectors named in the description</t>
        </is>
      </c>
      <c r="K72" s="1561" t="n"/>
      <c r="L72" s="1561" t="n"/>
      <c r="M72" s="1561" t="n"/>
      <c r="N72" s="1561" t="n"/>
      <c r="O72" s="1561" t="n"/>
      <c r="P72" s="1561" t="n"/>
      <c r="Q72" s="1561" t="n"/>
      <c r="R72" s="1561" t="n"/>
      <c r="S72" s="1561" t="n"/>
      <c r="T72" s="1561" t="n"/>
      <c r="U72" s="1561" t="n"/>
      <c r="V72" s="1561" t="n"/>
      <c r="W72" s="1561" t="n"/>
      <c r="X72" s="1561" t="n"/>
      <c r="Y72" s="1561" t="n"/>
      <c r="Z72" s="1561" t="n"/>
      <c r="AA72" s="1561" t="n"/>
      <c r="AB72" s="1561" t="n"/>
      <c r="AC72" s="1561" t="n"/>
      <c r="AD72" s="1465" t="inlineStr">
        <is>
          <t>TP5-120-480-3-300-BAA</t>
        </is>
      </c>
      <c r="AE72" s="1466" t="inlineStr">
        <is>
          <t>all_in_one</t>
        </is>
      </c>
      <c r="AF72" s="1561" t="n"/>
      <c r="AG72" s="1561" t="n"/>
    </row>
    <row r="73" ht="52.5" customHeight="1" s="254">
      <c r="A73" s="1455" t="inlineStr">
        <is>
          <t>_Buy_America</t>
        </is>
      </c>
      <c r="B73" s="1455" t="inlineStr">
        <is>
          <t>TP5-180-480-2-BAA</t>
        </is>
      </c>
      <c r="C73" s="1469" t="inlineStr">
        <is>
          <t xml:space="preserve">Buy America NEVI Compliant, Assembled in CA, USA 180kW Air Cooled 350A Cable (BAA) CCS1 / CCS1 1000VDC Connector for Dual CCS1; Can deliver 350A on one CCS conector. Set </t>
        </is>
      </c>
      <c r="D73" s="1456" t="n">
        <v>82500</v>
      </c>
      <c r="E73" s="1455" t="n"/>
      <c r="F73" s="1456" t="n"/>
      <c r="G73" s="1561" t="n"/>
      <c r="H73" s="1561" t="n"/>
      <c r="I73" s="1457" t="n">
        <v>2</v>
      </c>
      <c r="J73" s="1458" t="inlineStr">
        <is>
          <t>description says Dual</t>
        </is>
      </c>
      <c r="K73" s="1561" t="n"/>
      <c r="L73" s="1561" t="n"/>
      <c r="M73" s="1561" t="n"/>
      <c r="N73" s="1561" t="n"/>
      <c r="O73" s="1561" t="n"/>
      <c r="P73" s="1561" t="n"/>
      <c r="Q73" s="1561" t="n"/>
      <c r="R73" s="1561" t="n"/>
      <c r="S73" s="1561" t="n"/>
      <c r="T73" s="1561" t="n"/>
      <c r="U73" s="1561" t="n"/>
      <c r="V73" s="1561" t="n"/>
      <c r="W73" s="1561" t="n"/>
      <c r="X73" s="1561" t="n"/>
      <c r="Y73" s="1561" t="n"/>
      <c r="Z73" s="1561" t="n"/>
      <c r="AA73" s="1561" t="n"/>
      <c r="AB73" s="1561" t="n"/>
      <c r="AC73" s="1561" t="n"/>
      <c r="AD73" s="1465" t="inlineStr">
        <is>
          <t>TP5-120-480-4-300-BAA</t>
        </is>
      </c>
      <c r="AE73" s="1466" t="inlineStr">
        <is>
          <t>all_in_one</t>
        </is>
      </c>
      <c r="AF73" s="1561" t="n"/>
      <c r="AG73" s="1561" t="n"/>
    </row>
    <row r="74" ht="52.5" customHeight="1" s="254">
      <c r="A74" s="1455" t="inlineStr">
        <is>
          <t>_Buy_America</t>
        </is>
      </c>
      <c r="B74" s="1455" t="inlineStr">
        <is>
          <t>TP5-180-480-3-BAA</t>
        </is>
      </c>
      <c r="C74" s="1469" t="inlineStr">
        <is>
          <t>Buy America NEVI Compliant, Assembled in CA, USA 180kW Air Cooled 350A Cable (BAA)  CCS1 / NACS 1000VDC Connector for Dual CCS1; Can deliver 350A on one CCS conector. Set</t>
        </is>
      </c>
      <c r="D74" s="1456" t="n">
        <v>82500</v>
      </c>
      <c r="E74" s="1455" t="n"/>
      <c r="F74" s="1456" t="n"/>
      <c r="G74" s="1561" t="n"/>
      <c r="H74" s="1561" t="n"/>
      <c r="I74" s="1457" t="n">
        <v>2</v>
      </c>
      <c r="J74" s="1458" t="inlineStr">
        <is>
          <t>description says Dual</t>
        </is>
      </c>
      <c r="K74" s="1561" t="n"/>
      <c r="L74" s="1561" t="n"/>
      <c r="M74" s="1561" t="n"/>
      <c r="N74" s="1561" t="n"/>
      <c r="O74" s="1561" t="n"/>
      <c r="P74" s="1561" t="n"/>
      <c r="Q74" s="1561" t="n"/>
      <c r="R74" s="1561" t="n"/>
      <c r="S74" s="1561" t="n"/>
      <c r="T74" s="1561" t="n"/>
      <c r="U74" s="1561" t="n"/>
      <c r="V74" s="1561" t="n"/>
      <c r="W74" s="1561" t="n"/>
      <c r="X74" s="1561" t="n"/>
      <c r="Y74" s="1561" t="n"/>
      <c r="Z74" s="1561" t="n"/>
      <c r="AA74" s="1561" t="n"/>
      <c r="AB74" s="1561" t="n"/>
      <c r="AC74" s="1561" t="n"/>
      <c r="AD74" s="1465" t="inlineStr">
        <is>
          <t>TP5-180-480-2-BAA</t>
        </is>
      </c>
      <c r="AE74" s="1466" t="inlineStr">
        <is>
          <t>all_in_one</t>
        </is>
      </c>
      <c r="AF74" s="1561" t="n"/>
      <c r="AG74" s="1561" t="n"/>
    </row>
    <row r="75" ht="52.5" customHeight="1" s="254">
      <c r="A75" s="1455" t="inlineStr">
        <is>
          <t>_Buy_America</t>
        </is>
      </c>
      <c r="B75" s="1455" t="inlineStr">
        <is>
          <t>TP5-180-480-4-BAA</t>
        </is>
      </c>
      <c r="C75" s="1469" t="inlineStr">
        <is>
          <t xml:space="preserve">Buy America NEVI Compliant, Assembled in CA, USA 180kW Air Cooled 350A Cable (BAA) NACS / NACS 1000VDC Connector for Dual CCS1; Can deliver 350A on one CCS conector. Set </t>
        </is>
      </c>
      <c r="D75" s="1456" t="n">
        <v>82500</v>
      </c>
      <c r="E75" s="1455" t="n"/>
      <c r="F75" s="1456" t="n"/>
      <c r="G75" s="1561" t="n"/>
      <c r="H75" s="1561" t="n"/>
      <c r="I75" s="1457" t="n">
        <v>2</v>
      </c>
      <c r="J75" s="1458" t="inlineStr">
        <is>
          <t>description says Dual</t>
        </is>
      </c>
      <c r="K75" s="1561" t="n"/>
      <c r="L75" s="1561" t="n"/>
      <c r="M75" s="1561" t="n"/>
      <c r="N75" s="1561" t="n"/>
      <c r="O75" s="1561" t="n"/>
      <c r="P75" s="1561" t="n"/>
      <c r="Q75" s="1561" t="n"/>
      <c r="R75" s="1561" t="n"/>
      <c r="S75" s="1561" t="n"/>
      <c r="T75" s="1561" t="n"/>
      <c r="U75" s="1561" t="n"/>
      <c r="V75" s="1561" t="n"/>
      <c r="W75" s="1561" t="n"/>
      <c r="X75" s="1561" t="n"/>
      <c r="Y75" s="1561" t="n"/>
      <c r="Z75" s="1561" t="n"/>
      <c r="AA75" s="1561" t="n"/>
      <c r="AB75" s="1561" t="n"/>
      <c r="AC75" s="1561" t="n"/>
      <c r="AD75" s="1465" t="inlineStr">
        <is>
          <t>TP5-180-480-3-BAA</t>
        </is>
      </c>
      <c r="AE75" s="1466" t="inlineStr">
        <is>
          <t>all_in_one</t>
        </is>
      </c>
      <c r="AF75" s="1561" t="n"/>
      <c r="AG75" s="1561" t="n"/>
    </row>
    <row r="76" ht="52.5" customHeight="1" s="254">
      <c r="A76" s="1455" t="inlineStr">
        <is>
          <t>_Buy_America</t>
        </is>
      </c>
      <c r="B76" s="1455" t="inlineStr">
        <is>
          <t>HPC-180-480-2-BAA</t>
        </is>
      </c>
      <c r="C76" s="1469" t="inlineStr">
        <is>
          <t>Buy America NEVI Compliant, Assembled in CA, USA 180kW Liquid Cooled (BAA) Dual CCS1 500 Amps / 1000VDC with Liquid Cooled Connector for Dual CCS1 ; Can deliver 450A on o</t>
        </is>
      </c>
      <c r="D76" s="1456" t="n">
        <v>82500</v>
      </c>
      <c r="E76" s="1455" t="n"/>
      <c r="F76" s="1456" t="n"/>
      <c r="G76" s="1561" t="n"/>
      <c r="H76" s="1561" t="n"/>
      <c r="I76" s="1457" t="n">
        <v>2</v>
      </c>
      <c r="J76" s="1458" t="inlineStr">
        <is>
          <t>description says Dual</t>
        </is>
      </c>
      <c r="K76" s="1561" t="n"/>
      <c r="L76" s="1561" t="n"/>
      <c r="M76" s="1561" t="n"/>
      <c r="N76" s="1561" t="n"/>
      <c r="O76" s="1561" t="n"/>
      <c r="P76" s="1561" t="n"/>
      <c r="Q76" s="1561" t="n"/>
      <c r="R76" s="1561" t="n"/>
      <c r="S76" s="1561" t="n"/>
      <c r="T76" s="1561" t="n"/>
      <c r="U76" s="1561" t="n"/>
      <c r="V76" s="1561" t="n"/>
      <c r="W76" s="1561" t="n"/>
      <c r="X76" s="1561" t="n"/>
      <c r="Y76" s="1561" t="n"/>
      <c r="Z76" s="1561" t="n"/>
      <c r="AA76" s="1561" t="n"/>
      <c r="AB76" s="1561" t="n"/>
      <c r="AC76" s="1561" t="n"/>
      <c r="AD76" s="1465" t="inlineStr">
        <is>
          <t>TP5-180-480-4-BAA</t>
        </is>
      </c>
      <c r="AE76" s="1466" t="inlineStr">
        <is>
          <t>all_in_one</t>
        </is>
      </c>
      <c r="AF76" s="1561" t="n"/>
      <c r="AG76" s="1561" t="n"/>
    </row>
    <row r="77" ht="52.5" customHeight="1" s="254">
      <c r="A77" s="1455" t="inlineStr">
        <is>
          <t>_Buy_America</t>
        </is>
      </c>
      <c r="B77" s="1455" t="inlineStr">
        <is>
          <t>HPC-180-480-3-BAA</t>
        </is>
      </c>
      <c r="C77" s="1469" t="inlineStr">
        <is>
          <t>Buy America NEVI Compliant, Assembled in CA, USA 180kW Liquid Cooled (BAA) CCS1 / NACS 1000VDC with Liquid Cooled Connector for Dual CCS1 ; Can deliver 450A on one CCS co</t>
        </is>
      </c>
      <c r="D77" s="1456" t="n">
        <v>82500</v>
      </c>
      <c r="E77" s="1455" t="n"/>
      <c r="F77" s="1456" t="n"/>
      <c r="G77" s="1561" t="n"/>
      <c r="H77" s="1561" t="n"/>
      <c r="I77" s="1457" t="n">
        <v>2</v>
      </c>
      <c r="J77" s="1458" t="inlineStr">
        <is>
          <t>description says Dual</t>
        </is>
      </c>
      <c r="K77" s="1561" t="n"/>
      <c r="L77" s="1561" t="n"/>
      <c r="M77" s="1561" t="n"/>
      <c r="N77" s="1561" t="n"/>
      <c r="O77" s="1561" t="n"/>
      <c r="P77" s="1561" t="n"/>
      <c r="Q77" s="1561" t="n"/>
      <c r="R77" s="1561" t="n"/>
      <c r="S77" s="1561" t="n"/>
      <c r="T77" s="1561" t="n"/>
      <c r="U77" s="1561" t="n"/>
      <c r="V77" s="1561" t="n"/>
      <c r="W77" s="1561" t="n"/>
      <c r="X77" s="1561" t="n"/>
      <c r="Y77" s="1561" t="n"/>
      <c r="Z77" s="1561" t="n"/>
      <c r="AA77" s="1561" t="n"/>
      <c r="AB77" s="1561" t="n"/>
      <c r="AC77" s="1561" t="n"/>
      <c r="AD77" s="1465" t="inlineStr">
        <is>
          <t>HPC-180-480-2-BAA</t>
        </is>
      </c>
      <c r="AE77" s="1466" t="inlineStr">
        <is>
          <t>all_in_one</t>
        </is>
      </c>
      <c r="AF77" s="1561" t="n"/>
      <c r="AG77" s="1561" t="n"/>
    </row>
    <row r="78" ht="52.5" customHeight="1" s="254">
      <c r="A78" s="1455" t="inlineStr">
        <is>
          <t>_Buy_America</t>
        </is>
      </c>
      <c r="B78" s="1455" t="inlineStr">
        <is>
          <t>HPC-180-480-4-BAA</t>
        </is>
      </c>
      <c r="C78" s="1469" t="inlineStr">
        <is>
          <t>Buy America NEVI Compliant, Assembled in CA, USA 180kW Liquid Cooled (BAA) NACS /NACS 1000VDC with Liquid Cooled Connector for Dual CCS1 ; Can deliver 450A on one CCS con</t>
        </is>
      </c>
      <c r="D78" s="1456" t="n">
        <v>82500</v>
      </c>
      <c r="E78" s="1455" t="n"/>
      <c r="F78" s="1456" t="n"/>
      <c r="G78" s="1561" t="n"/>
      <c r="H78" s="1561" t="n"/>
      <c r="I78" s="1457" t="n">
        <v>2</v>
      </c>
      <c r="J78" s="1458" t="inlineStr">
        <is>
          <t>description says Dual</t>
        </is>
      </c>
      <c r="K78" s="1561" t="n"/>
      <c r="L78" s="1561" t="n"/>
      <c r="M78" s="1561" t="n"/>
      <c r="N78" s="1561" t="n"/>
      <c r="O78" s="1561" t="n"/>
      <c r="P78" s="1561" t="n"/>
      <c r="Q78" s="1561" t="n"/>
      <c r="R78" s="1561" t="n"/>
      <c r="S78" s="1561" t="n"/>
      <c r="T78" s="1561" t="n"/>
      <c r="U78" s="1561" t="n"/>
      <c r="V78" s="1561" t="n"/>
      <c r="W78" s="1561" t="n"/>
      <c r="X78" s="1561" t="n"/>
      <c r="Y78" s="1561" t="n"/>
      <c r="Z78" s="1561" t="n"/>
      <c r="AA78" s="1561" t="n"/>
      <c r="AB78" s="1561" t="n"/>
      <c r="AC78" s="1561" t="n"/>
      <c r="AD78" s="1465" t="inlineStr">
        <is>
          <t>HPC-180-480-3-BAA</t>
        </is>
      </c>
      <c r="AE78" s="1466" t="inlineStr">
        <is>
          <t>all_in_one</t>
        </is>
      </c>
      <c r="AF78" s="1561" t="n"/>
      <c r="AG78" s="1561" t="n"/>
    </row>
    <row r="79" ht="52.5" customHeight="1" s="254">
      <c r="A79" s="1455" t="inlineStr">
        <is>
          <t>_Buy_America</t>
        </is>
      </c>
      <c r="B79" s="1455" t="inlineStr">
        <is>
          <t>TP5-360-480-2-BAA</t>
        </is>
      </c>
      <c r="C79" s="1469" t="inlineStr">
        <is>
          <t>Buy America NEVI Compliant 360kW Air Cooled 350A Cable (BAA) Dual CCS1 / 1000VDC Connector for Dual CCS1 ; Can deliver 350A on one CCS connector and 350A on each connecto</t>
        </is>
      </c>
      <c r="D79" s="1456" t="n">
        <v>138600</v>
      </c>
      <c r="E79" s="1455" t="n"/>
      <c r="F79" s="1456" t="n"/>
      <c r="G79" s="1561" t="n"/>
      <c r="H79" s="1561" t="n"/>
      <c r="I79" s="1457" t="n">
        <v>2</v>
      </c>
      <c r="J79" s="1458" t="inlineStr">
        <is>
          <t>description says Dual</t>
        </is>
      </c>
      <c r="K79" s="1561" t="n"/>
      <c r="L79" s="1561" t="n"/>
      <c r="M79" s="1561" t="n"/>
      <c r="N79" s="1561" t="n"/>
      <c r="O79" s="1561" t="n"/>
      <c r="P79" s="1561" t="n"/>
      <c r="Q79" s="1561" t="n"/>
      <c r="R79" s="1561" t="n"/>
      <c r="S79" s="1561" t="n"/>
      <c r="T79" s="1561" t="n"/>
      <c r="U79" s="1561" t="n"/>
      <c r="V79" s="1561" t="n"/>
      <c r="W79" s="1561" t="n"/>
      <c r="X79" s="1561" t="n"/>
      <c r="Y79" s="1561" t="n"/>
      <c r="Z79" s="1561" t="n"/>
      <c r="AA79" s="1561" t="n"/>
      <c r="AB79" s="1561" t="n"/>
      <c r="AC79" s="1561" t="n"/>
      <c r="AD79" s="1465" t="inlineStr">
        <is>
          <t>HPC-180-480-4-BAA</t>
        </is>
      </c>
      <c r="AE79" s="1466" t="inlineStr">
        <is>
          <t>all_in_one</t>
        </is>
      </c>
      <c r="AF79" s="1561" t="n"/>
      <c r="AG79" s="1561" t="n"/>
    </row>
    <row r="80" ht="52.5" customHeight="1" s="254">
      <c r="A80" s="1455" t="inlineStr">
        <is>
          <t>_Buy_America</t>
        </is>
      </c>
      <c r="B80" s="1455" t="inlineStr">
        <is>
          <t>TP5-360-480-3-BAA</t>
        </is>
      </c>
      <c r="C80" s="1469" t="inlineStr">
        <is>
          <t>Buy America NEVI Compliant 360kW Air Cooled 350A Cable (BAA) Dual CCS1 / 1000VDC Connector for CCS1/NACS ; Can deliver 350A on one CCS connector and 350A on each connecto</t>
        </is>
      </c>
      <c r="D80" s="1456" t="n">
        <v>138600</v>
      </c>
      <c r="E80" s="1455" t="n"/>
      <c r="F80" s="1456" t="n"/>
      <c r="G80" s="1561" t="n"/>
      <c r="H80" s="1561" t="n"/>
      <c r="I80" s="1457" t="n">
        <v>2</v>
      </c>
      <c r="J80" s="1458" t="inlineStr">
        <is>
          <t>description says Dual</t>
        </is>
      </c>
      <c r="K80" s="1561" t="n"/>
      <c r="L80" s="1561" t="n"/>
      <c r="M80" s="1561" t="n"/>
      <c r="N80" s="1561" t="n"/>
      <c r="O80" s="1561" t="n"/>
      <c r="P80" s="1561" t="n"/>
      <c r="Q80" s="1561" t="n"/>
      <c r="R80" s="1561" t="n"/>
      <c r="S80" s="1561" t="n"/>
      <c r="T80" s="1561" t="n"/>
      <c r="U80" s="1561" t="n"/>
      <c r="V80" s="1561" t="n"/>
      <c r="W80" s="1561" t="n"/>
      <c r="X80" s="1561" t="n"/>
      <c r="Y80" s="1561" t="n"/>
      <c r="Z80" s="1561" t="n"/>
      <c r="AA80" s="1561" t="n"/>
      <c r="AB80" s="1561" t="n"/>
      <c r="AC80" s="1561" t="n"/>
      <c r="AD80" s="1465" t="inlineStr">
        <is>
          <t>TP5-360-480-2-BAA</t>
        </is>
      </c>
      <c r="AE80" s="1466" t="inlineStr">
        <is>
          <t>all_in_one</t>
        </is>
      </c>
      <c r="AF80" s="1561" t="n"/>
      <c r="AG80" s="1561" t="n"/>
    </row>
    <row r="81" ht="52.5" customHeight="1" s="254">
      <c r="A81" s="1455" t="inlineStr">
        <is>
          <t>_Buy_America</t>
        </is>
      </c>
      <c r="B81" s="1455" t="inlineStr">
        <is>
          <t>TP5-360-480-4-BAA</t>
        </is>
      </c>
      <c r="C81" s="1469" t="inlineStr">
        <is>
          <t>Buy America NEVI Compliant 360kW Air Cooled 350A Cable (BAA) Dual CCS1 / 1000VDC Connector for NACS/NACS ; Can deliver 350A on one CCS connector and 350A on each connecto</t>
        </is>
      </c>
      <c r="D81" s="1456" t="n">
        <v>138600</v>
      </c>
      <c r="E81" s="1455" t="n"/>
      <c r="F81" s="1456" t="n"/>
      <c r="G81" s="1561" t="n"/>
      <c r="H81" s="1561" t="n"/>
      <c r="I81" s="1457" t="n">
        <v>2</v>
      </c>
      <c r="J81" s="1458" t="inlineStr">
        <is>
          <t>description says Dual</t>
        </is>
      </c>
      <c r="K81" s="1561" t="n"/>
      <c r="L81" s="1561" t="n"/>
      <c r="M81" s="1561" t="n"/>
      <c r="N81" s="1561" t="n"/>
      <c r="O81" s="1561" t="n"/>
      <c r="P81" s="1561" t="n"/>
      <c r="Q81" s="1561" t="n"/>
      <c r="R81" s="1561" t="n"/>
      <c r="S81" s="1561" t="n"/>
      <c r="T81" s="1561" t="n"/>
      <c r="U81" s="1561" t="n"/>
      <c r="V81" s="1561" t="n"/>
      <c r="W81" s="1561" t="n"/>
      <c r="X81" s="1561" t="n"/>
      <c r="Y81" s="1561" t="n"/>
      <c r="Z81" s="1561" t="n"/>
      <c r="AA81" s="1561" t="n"/>
      <c r="AB81" s="1561" t="n"/>
      <c r="AC81" s="1561" t="n"/>
      <c r="AD81" s="1465" t="inlineStr">
        <is>
          <t>TP5-360-480-3-BAA</t>
        </is>
      </c>
      <c r="AE81" s="1466" t="inlineStr">
        <is>
          <t>all_in_one</t>
        </is>
      </c>
      <c r="AF81" s="1561" t="n"/>
      <c r="AG81" s="1561" t="n"/>
    </row>
    <row r="82" ht="52.5" customHeight="1" s="254">
      <c r="A82" s="1455" t="inlineStr">
        <is>
          <t>_Buy_America</t>
        </is>
      </c>
      <c r="B82" s="1455" t="inlineStr">
        <is>
          <t>HPC-360-480-2-BAA</t>
        </is>
      </c>
      <c r="C82" s="1469" t="inlineStr">
        <is>
          <t>Buy America NEVI Compliant 360kW Liquid Cooled (BAA) 500 Amps / 1000VDC with Liquid Cooled Connector for Dual CCS1 ; Can deliver 500A on one CCS connector and 400A on eac</t>
        </is>
      </c>
      <c r="D82" s="1456" t="n">
        <v>137500</v>
      </c>
      <c r="E82" s="1455" t="n"/>
      <c r="F82" s="1456" t="n"/>
      <c r="G82" s="1561" t="n"/>
      <c r="H82" s="1561" t="n"/>
      <c r="I82" s="1457" t="n">
        <v>2</v>
      </c>
      <c r="J82" s="1458" t="inlineStr">
        <is>
          <t>description says Dual</t>
        </is>
      </c>
      <c r="K82" s="1561" t="n"/>
      <c r="L82" s="1561" t="n"/>
      <c r="M82" s="1561" t="n"/>
      <c r="N82" s="1561" t="n"/>
      <c r="O82" s="1561" t="n"/>
      <c r="P82" s="1561" t="n"/>
      <c r="Q82" s="1561" t="n"/>
      <c r="R82" s="1561" t="n"/>
      <c r="S82" s="1561" t="n"/>
      <c r="T82" s="1561" t="n"/>
      <c r="U82" s="1561" t="n"/>
      <c r="V82" s="1561" t="n"/>
      <c r="W82" s="1561" t="n"/>
      <c r="X82" s="1561" t="n"/>
      <c r="Y82" s="1561" t="n"/>
      <c r="Z82" s="1561" t="n"/>
      <c r="AA82" s="1561" t="n"/>
      <c r="AB82" s="1561" t="n"/>
      <c r="AC82" s="1561" t="n"/>
      <c r="AD82" s="1465" t="inlineStr">
        <is>
          <t>TP5-360-480-4-BAA</t>
        </is>
      </c>
      <c r="AE82" s="1466" t="inlineStr">
        <is>
          <t>all_in_one</t>
        </is>
      </c>
      <c r="AF82" s="1561" t="n"/>
      <c r="AG82" s="1561" t="n"/>
    </row>
    <row r="83" ht="52.5" customHeight="1" s="254">
      <c r="A83" s="1455" t="inlineStr">
        <is>
          <t>_Buy_America</t>
        </is>
      </c>
      <c r="B83" s="1455" t="inlineStr">
        <is>
          <t>HPC-360-480-3-BAA</t>
        </is>
      </c>
      <c r="C83" s="1469" t="inlineStr">
        <is>
          <t>Buy America NEVI Compliant 360kW Liquid Cooled (BAA) 500 Amps / 1000VDC with Liquid Cooled Connector for CCS1/NACS ; Can deliver 500A on one CCS connector and 400A on eac</t>
        </is>
      </c>
      <c r="D83" s="1456" t="n">
        <v>137500</v>
      </c>
      <c r="E83" s="1455" t="n"/>
      <c r="F83" s="1456" t="n"/>
      <c r="G83" s="1561" t="n"/>
      <c r="H83" s="1561" t="n"/>
      <c r="I83" s="1457" t="n">
        <v>2</v>
      </c>
      <c r="J83" s="1458" t="inlineStr">
        <is>
          <t>connectors named in the description</t>
        </is>
      </c>
      <c r="K83" s="1561" t="n"/>
      <c r="L83" s="1561" t="n"/>
      <c r="M83" s="1561" t="n"/>
      <c r="N83" s="1561" t="n"/>
      <c r="O83" s="1561" t="n"/>
      <c r="P83" s="1561" t="n"/>
      <c r="Q83" s="1561" t="n"/>
      <c r="R83" s="1561" t="n"/>
      <c r="S83" s="1561" t="n"/>
      <c r="T83" s="1561" t="n"/>
      <c r="U83" s="1561" t="n"/>
      <c r="V83" s="1561" t="n"/>
      <c r="W83" s="1561" t="n"/>
      <c r="X83" s="1561" t="n"/>
      <c r="Y83" s="1561" t="n"/>
      <c r="Z83" s="1561" t="n"/>
      <c r="AA83" s="1561" t="n"/>
      <c r="AB83" s="1561" t="n"/>
      <c r="AC83" s="1561" t="n"/>
      <c r="AD83" s="1465" t="inlineStr">
        <is>
          <t>HPC-360-480-2-BAA</t>
        </is>
      </c>
      <c r="AE83" s="1466" t="inlineStr">
        <is>
          <t>all_in_one</t>
        </is>
      </c>
      <c r="AF83" s="1561" t="n"/>
      <c r="AG83" s="1561" t="n"/>
    </row>
    <row r="84" ht="52.5" customHeight="1" s="254">
      <c r="A84" s="1455" t="inlineStr">
        <is>
          <t>_Buy_America</t>
        </is>
      </c>
      <c r="B84" s="1455" t="inlineStr">
        <is>
          <t>HPC-360-480-4-BAA</t>
        </is>
      </c>
      <c r="C84" s="1469" t="inlineStr">
        <is>
          <t>Buy America NEVI Compliant 360kW Liquid Cooled (BAA) 500 Amps / 1000VDC with Liquid Cooled Connector for NACS/NACS ; Can deliver 500A on one CCS connector and 400A on eac</t>
        </is>
      </c>
      <c r="D84" s="1456" t="n">
        <v>137500</v>
      </c>
      <c r="E84" s="1455" t="n"/>
      <c r="F84" s="1456" t="n"/>
      <c r="G84" s="1561" t="n"/>
      <c r="H84" s="1561" t="n"/>
      <c r="I84" s="1457" t="n">
        <v>2</v>
      </c>
      <c r="J84" s="1458" t="inlineStr">
        <is>
          <t>connectors named in the description</t>
        </is>
      </c>
      <c r="K84" s="1561" t="n"/>
      <c r="L84" s="1561" t="n"/>
      <c r="M84" s="1561" t="n"/>
      <c r="N84" s="1561" t="n"/>
      <c r="O84" s="1561" t="n"/>
      <c r="P84" s="1561" t="n"/>
      <c r="Q84" s="1561" t="n"/>
      <c r="R84" s="1561" t="n"/>
      <c r="S84" s="1561" t="n"/>
      <c r="T84" s="1561" t="n"/>
      <c r="U84" s="1561" t="n"/>
      <c r="V84" s="1561" t="n"/>
      <c r="W84" s="1561" t="n"/>
      <c r="X84" s="1561" t="n"/>
      <c r="Y84" s="1561" t="n"/>
      <c r="Z84" s="1561" t="n"/>
      <c r="AA84" s="1561" t="n"/>
      <c r="AB84" s="1561" t="n"/>
      <c r="AC84" s="1561" t="n"/>
      <c r="AD84" s="1465" t="inlineStr">
        <is>
          <t>HPC-360-480-3-BAA</t>
        </is>
      </c>
      <c r="AE84" s="1466" t="inlineStr">
        <is>
          <t>all_in_one</t>
        </is>
      </c>
      <c r="AF84" s="1561" t="n"/>
      <c r="AG84" s="1561" t="n"/>
    </row>
    <row r="85" ht="15" customHeight="1" s="254">
      <c r="A85" s="1455" t="inlineStr">
        <is>
          <t>_V2G</t>
        </is>
      </c>
      <c r="B85" s="1455" t="inlineStr">
        <is>
          <t>CTX-V2G-20-480-1</t>
        </is>
      </c>
      <c r="C85" s="1455" t="inlineStr">
        <is>
          <t>20kW V2G Charger</t>
        </is>
      </c>
      <c r="D85" s="1456" t="n">
        <v>16700</v>
      </c>
      <c r="E85" s="1455" t="n"/>
      <c r="F85" s="1456" t="n"/>
      <c r="G85" s="1561" t="n"/>
      <c r="H85" s="1561" t="n"/>
      <c r="I85" s="1457" t="n">
        <v>1</v>
      </c>
      <c r="J85" s="1458" t="inlineStr">
        <is>
          <t>manual — description does not state the count</t>
        </is>
      </c>
      <c r="K85" s="1561" t="n"/>
      <c r="L85" s="1561" t="n"/>
      <c r="M85" s="1561" t="n"/>
      <c r="N85" s="1561" t="n"/>
      <c r="O85" s="1561" t="n"/>
      <c r="P85" s="1561" t="n"/>
      <c r="Q85" s="1561" t="n"/>
      <c r="R85" s="1561" t="n"/>
      <c r="S85" s="1561" t="n"/>
      <c r="T85" s="1561" t="n"/>
      <c r="U85" s="1561" t="n"/>
      <c r="V85" s="1561" t="n"/>
      <c r="W85" s="1561" t="n"/>
      <c r="X85" s="1561" t="n"/>
      <c r="Y85" s="1561" t="n"/>
      <c r="Z85" s="1561" t="n"/>
      <c r="AA85" s="1561" t="n"/>
      <c r="AB85" s="1561" t="n"/>
      <c r="AC85" s="1561" t="n"/>
      <c r="AD85" s="1465" t="inlineStr">
        <is>
          <t>HPC-360-480-4-BAA</t>
        </is>
      </c>
      <c r="AE85" s="1466" t="inlineStr">
        <is>
          <t>all_in_one</t>
        </is>
      </c>
      <c r="AF85" s="1561" t="n"/>
      <c r="AG85" s="1561" t="n"/>
    </row>
    <row r="86" ht="15" customHeight="1" s="254">
      <c r="A86" s="1455" t="inlineStr">
        <is>
          <t>_V2G</t>
        </is>
      </c>
      <c r="B86" s="1455" t="inlineStr">
        <is>
          <t>CTX-V2G-30-480-1</t>
        </is>
      </c>
      <c r="C86" s="1455" t="inlineStr">
        <is>
          <t>30kW V2G Charger</t>
        </is>
      </c>
      <c r="D86" s="1456" t="n">
        <v>23800</v>
      </c>
      <c r="E86" s="1455" t="n"/>
      <c r="F86" s="1456" t="n"/>
      <c r="G86" s="1561" t="n"/>
      <c r="H86" s="1561" t="n"/>
      <c r="I86" s="1457" t="n">
        <v>1</v>
      </c>
      <c r="J86" s="1458" t="inlineStr">
        <is>
          <t>manual — description does not state the count</t>
        </is>
      </c>
      <c r="K86" s="1561" t="n"/>
      <c r="L86" s="1561" t="n"/>
      <c r="M86" s="1561" t="n"/>
      <c r="N86" s="1561" t="n"/>
      <c r="O86" s="1561" t="n"/>
      <c r="P86" s="1561" t="n"/>
      <c r="Q86" s="1561" t="n"/>
      <c r="R86" s="1561" t="n"/>
      <c r="S86" s="1561" t="n"/>
      <c r="T86" s="1561" t="n"/>
      <c r="U86" s="1561" t="n"/>
      <c r="V86" s="1561" t="n"/>
      <c r="W86" s="1561" t="n"/>
      <c r="X86" s="1561" t="n"/>
      <c r="Y86" s="1561" t="n"/>
      <c r="Z86" s="1561" t="n"/>
      <c r="AA86" s="1561" t="n"/>
      <c r="AB86" s="1561" t="n"/>
      <c r="AC86" s="1561" t="n"/>
      <c r="AD86" s="1465" t="inlineStr">
        <is>
          <t>CTX-V2G-20-480-1</t>
        </is>
      </c>
      <c r="AE86" s="1466" t="inlineStr">
        <is>
          <t>all_in_one</t>
        </is>
      </c>
      <c r="AF86" s="1561" t="n"/>
      <c r="AG86" s="1561" t="n"/>
    </row>
    <row r="87" ht="15" customHeight="1" s="254">
      <c r="A87" s="1455" t="inlineStr">
        <is>
          <t>_V2G</t>
        </is>
      </c>
      <c r="B87" s="1455" t="inlineStr">
        <is>
          <t>CTX-V2G-40-480-1</t>
        </is>
      </c>
      <c r="C87" s="1455" t="inlineStr">
        <is>
          <t>40kW V2G Charger</t>
        </is>
      </c>
      <c r="D87" s="1456" t="n">
        <v>35900</v>
      </c>
      <c r="E87" s="1455" t="n"/>
      <c r="F87" s="1456" t="n"/>
      <c r="G87" s="1561" t="n"/>
      <c r="H87" s="1561" t="n"/>
      <c r="I87" s="1457" t="n">
        <v>1</v>
      </c>
      <c r="J87" s="1458" t="inlineStr">
        <is>
          <t>manual — description does not state the count</t>
        </is>
      </c>
      <c r="K87" s="1561" t="n"/>
      <c r="L87" s="1561" t="n"/>
      <c r="M87" s="1561" t="n"/>
      <c r="N87" s="1561" t="n"/>
      <c r="O87" s="1561" t="n"/>
      <c r="P87" s="1561" t="n"/>
      <c r="Q87" s="1561" t="n"/>
      <c r="R87" s="1561" t="n"/>
      <c r="S87" s="1561" t="n"/>
      <c r="T87" s="1561" t="n"/>
      <c r="U87" s="1561" t="n"/>
      <c r="V87" s="1561" t="n"/>
      <c r="W87" s="1561" t="n"/>
      <c r="X87" s="1561" t="n"/>
      <c r="Y87" s="1561" t="n"/>
      <c r="Z87" s="1561" t="n"/>
      <c r="AA87" s="1561" t="n"/>
      <c r="AB87" s="1561" t="n"/>
      <c r="AC87" s="1561" t="n"/>
      <c r="AD87" s="1465" t="inlineStr">
        <is>
          <t>CTX-V2G-30-480-1</t>
        </is>
      </c>
      <c r="AE87" s="1466" t="inlineStr">
        <is>
          <t>all_in_one</t>
        </is>
      </c>
      <c r="AF87" s="1561" t="n"/>
      <c r="AG87" s="1561" t="n"/>
    </row>
    <row r="88" ht="15" customHeight="1" s="254">
      <c r="A88" s="1455" t="inlineStr">
        <is>
          <t>_V2G</t>
        </is>
      </c>
      <c r="B88" s="1455" t="inlineStr">
        <is>
          <t>CTX-V2G-60-480-1</t>
        </is>
      </c>
      <c r="C88" s="1455" t="inlineStr">
        <is>
          <t>60kW V2G Charger</t>
        </is>
      </c>
      <c r="D88" s="1456" t="n">
        <v>50000</v>
      </c>
      <c r="E88" s="1455" t="n"/>
      <c r="F88" s="1456" t="n"/>
      <c r="G88" s="1561" t="n"/>
      <c r="H88" s="1561" t="n"/>
      <c r="I88" s="1457" t="n">
        <v>1</v>
      </c>
      <c r="J88" s="1458" t="inlineStr">
        <is>
          <t>manual — description does not state the count</t>
        </is>
      </c>
      <c r="K88" s="1561" t="n"/>
      <c r="L88" s="1561" t="n"/>
      <c r="M88" s="1561" t="n"/>
      <c r="N88" s="1561" t="n"/>
      <c r="O88" s="1561" t="n"/>
      <c r="P88" s="1561" t="n"/>
      <c r="Q88" s="1561" t="n"/>
      <c r="R88" s="1561" t="n"/>
      <c r="S88" s="1561" t="n"/>
      <c r="T88" s="1561" t="n"/>
      <c r="U88" s="1561" t="n"/>
      <c r="V88" s="1561" t="n"/>
      <c r="W88" s="1561" t="n"/>
      <c r="X88" s="1561" t="n"/>
      <c r="Y88" s="1561" t="n"/>
      <c r="Z88" s="1561" t="n"/>
      <c r="AA88" s="1561" t="n"/>
      <c r="AB88" s="1561" t="n"/>
      <c r="AC88" s="1561" t="n"/>
      <c r="AD88" s="1465" t="inlineStr">
        <is>
          <t>CTX-V2G-40-480-1</t>
        </is>
      </c>
      <c r="AE88" s="1466" t="inlineStr">
        <is>
          <t>all_in_one</t>
        </is>
      </c>
      <c r="AF88" s="1561" t="n"/>
      <c r="AG88" s="1561" t="n"/>
    </row>
    <row r="89" ht="15" customHeight="1" s="254">
      <c r="A89" s="1455" t="inlineStr">
        <is>
          <t>_L2_Accessories</t>
        </is>
      </c>
      <c r="B89" s="1455" t="inlineStr">
        <is>
          <t>CTX-FLUXPED</t>
        </is>
      </c>
      <c r="C89" s="1455" t="inlineStr">
        <is>
          <t>Single Post (no Retraction)</t>
        </is>
      </c>
      <c r="D89" s="1456" t="n">
        <v>412.5</v>
      </c>
      <c r="E89" s="1455" t="n"/>
      <c r="F89" s="1456" t="n"/>
      <c r="G89" s="1561" t="n"/>
      <c r="H89" s="1561" t="n"/>
      <c r="I89" s="1457" t="n">
        <v>0</v>
      </c>
      <c r="J89" s="1458" t="inlineStr">
        <is>
          <t>accessory — not a charging position</t>
        </is>
      </c>
      <c r="K89" s="1561" t="n"/>
      <c r="L89" s="1561" t="n"/>
      <c r="M89" s="1561" t="n"/>
      <c r="N89" s="1561" t="n"/>
      <c r="O89" s="1561" t="n"/>
      <c r="P89" s="1561" t="n"/>
      <c r="Q89" s="1561" t="n"/>
      <c r="R89" s="1561" t="n"/>
      <c r="S89" s="1561" t="n"/>
      <c r="T89" s="1561" t="n"/>
      <c r="U89" s="1561" t="n"/>
      <c r="V89" s="1561" t="n"/>
      <c r="W89" s="1561" t="n"/>
      <c r="X89" s="1561" t="n"/>
      <c r="Y89" s="1561" t="n"/>
      <c r="Z89" s="1561" t="n"/>
      <c r="AA89" s="1561" t="n"/>
      <c r="AB89" s="1561" t="n"/>
      <c r="AC89" s="1561" t="n"/>
      <c r="AD89" s="1465" t="inlineStr">
        <is>
          <t>CTX-V2G-60-480-1</t>
        </is>
      </c>
      <c r="AE89" s="1466" t="inlineStr">
        <is>
          <t>all_in_one</t>
        </is>
      </c>
      <c r="AF89" s="1561" t="n"/>
      <c r="AG89" s="1561" t="n"/>
    </row>
    <row r="90" ht="15" customHeight="1" s="254">
      <c r="A90" s="1455" t="inlineStr">
        <is>
          <t>_L2_Accessories</t>
        </is>
      </c>
      <c r="B90" s="1455" t="inlineStr">
        <is>
          <t>CTX-FLUXWAL-CMS-1</t>
        </is>
      </c>
      <c r="C90" s="1455" t="inlineStr">
        <is>
          <t>Single Retractor (Wall)</t>
        </is>
      </c>
      <c r="D90" s="1456" t="n">
        <v>275</v>
      </c>
      <c r="E90" s="1455" t="n"/>
      <c r="F90" s="1456" t="n"/>
      <c r="G90" s="1561" t="n"/>
      <c r="H90" s="1561" t="n"/>
      <c r="I90" s="1457" t="n">
        <v>0</v>
      </c>
      <c r="J90" s="1458" t="inlineStr">
        <is>
          <t>accessory — not a charging position</t>
        </is>
      </c>
      <c r="K90" s="1561" t="n"/>
      <c r="L90" s="1561" t="n"/>
      <c r="M90" s="1561" t="n"/>
      <c r="N90" s="1561" t="n"/>
      <c r="O90" s="1561" t="n"/>
      <c r="P90" s="1561" t="n"/>
      <c r="Q90" s="1561" t="n"/>
      <c r="R90" s="1561" t="n"/>
      <c r="S90" s="1561" t="n"/>
      <c r="T90" s="1561" t="n"/>
      <c r="U90" s="1561" t="n"/>
      <c r="V90" s="1561" t="n"/>
      <c r="W90" s="1561" t="n"/>
      <c r="X90" s="1561" t="n"/>
      <c r="Y90" s="1561" t="n"/>
      <c r="Z90" s="1561" t="n"/>
      <c r="AA90" s="1561" t="n"/>
      <c r="AB90" s="1561" t="n"/>
      <c r="AC90" s="1561" t="n"/>
      <c r="AD90" s="1465" t="inlineStr">
        <is>
          <t>CTX-FLUXPED</t>
        </is>
      </c>
      <c r="AE90" s="1466" t="inlineStr">
        <is>
          <t>accessory</t>
        </is>
      </c>
      <c r="AF90" s="1561" t="n"/>
      <c r="AG90" s="1561" t="n"/>
    </row>
    <row r="91" ht="15" customHeight="1" s="254">
      <c r="A91" s="1455" t="inlineStr">
        <is>
          <t>_L2_Accessories</t>
        </is>
      </c>
      <c r="B91" s="1455" t="inlineStr">
        <is>
          <t>CTX-FLUXPED-CMS-1</t>
        </is>
      </c>
      <c r="C91" s="1455" t="inlineStr">
        <is>
          <t>Single Retractor post</t>
        </is>
      </c>
      <c r="D91" s="1456" t="n">
        <v>412.5</v>
      </c>
      <c r="E91" s="1455" t="n"/>
      <c r="F91" s="1456" t="n"/>
      <c r="G91" s="1561" t="n"/>
      <c r="H91" s="1561" t="n"/>
      <c r="I91" s="1457" t="n">
        <v>0</v>
      </c>
      <c r="J91" s="1458" t="inlineStr">
        <is>
          <t>accessory — not a charging position</t>
        </is>
      </c>
      <c r="K91" s="1561" t="n"/>
      <c r="L91" s="1561" t="n"/>
      <c r="M91" s="1561" t="n"/>
      <c r="N91" s="1561" t="n"/>
      <c r="O91" s="1561" t="n"/>
      <c r="P91" s="1561" t="n"/>
      <c r="Q91" s="1561" t="n"/>
      <c r="R91" s="1561" t="n"/>
      <c r="S91" s="1561" t="n"/>
      <c r="T91" s="1561" t="n"/>
      <c r="U91" s="1561" t="n"/>
      <c r="V91" s="1561" t="n"/>
      <c r="W91" s="1561" t="n"/>
      <c r="X91" s="1561" t="n"/>
      <c r="Y91" s="1561" t="n"/>
      <c r="Z91" s="1561" t="n"/>
      <c r="AA91" s="1561" t="n"/>
      <c r="AB91" s="1561" t="n"/>
      <c r="AC91" s="1561" t="n"/>
      <c r="AD91" s="1465" t="inlineStr">
        <is>
          <t>CTX-FLUXWAL-CMS-1</t>
        </is>
      </c>
      <c r="AE91" s="1466" t="inlineStr">
        <is>
          <t>accessory</t>
        </is>
      </c>
      <c r="AF91" s="1561" t="n"/>
      <c r="AG91" s="1561" t="n"/>
    </row>
    <row r="92" ht="15" customHeight="1" s="254">
      <c r="A92" s="1455" t="inlineStr">
        <is>
          <t>_L2_Accessories</t>
        </is>
      </c>
      <c r="B92" s="1455" t="inlineStr">
        <is>
          <t>CTX-FLUXPED-CMS-2</t>
        </is>
      </c>
      <c r="C92" s="1455" t="inlineStr">
        <is>
          <t>Dual Retractor (Post)</t>
        </is>
      </c>
      <c r="D92" s="1456" t="n">
        <v>632.5</v>
      </c>
      <c r="E92" s="1455" t="n"/>
      <c r="F92" s="1456" t="n"/>
      <c r="G92" s="1561" t="n"/>
      <c r="H92" s="1561" t="n"/>
      <c r="I92" s="1457" t="n">
        <v>0</v>
      </c>
      <c r="J92" s="1458" t="inlineStr">
        <is>
          <t>accessory — not a charging position</t>
        </is>
      </c>
      <c r="K92" s="1561" t="n"/>
      <c r="L92" s="1561" t="n"/>
      <c r="M92" s="1561" t="n"/>
      <c r="N92" s="1561" t="n"/>
      <c r="O92" s="1561" t="n"/>
      <c r="P92" s="1561" t="n"/>
      <c r="Q92" s="1561" t="n"/>
      <c r="R92" s="1561" t="n"/>
      <c r="S92" s="1561" t="n"/>
      <c r="T92" s="1561" t="n"/>
      <c r="U92" s="1561" t="n"/>
      <c r="V92" s="1561" t="n"/>
      <c r="W92" s="1561" t="n"/>
      <c r="X92" s="1561" t="n"/>
      <c r="Y92" s="1561" t="n"/>
      <c r="Z92" s="1561" t="n"/>
      <c r="AA92" s="1561" t="n"/>
      <c r="AB92" s="1561" t="n"/>
      <c r="AC92" s="1561" t="n"/>
      <c r="AD92" s="1465" t="inlineStr">
        <is>
          <t>CTX-FLUXPED-CMS-1</t>
        </is>
      </c>
      <c r="AE92" s="1466" t="inlineStr">
        <is>
          <t>accessory</t>
        </is>
      </c>
      <c r="AF92" s="1561" t="n"/>
      <c r="AG92" s="1561" t="n"/>
    </row>
    <row r="93" ht="15" customHeight="1" s="254">
      <c r="A93" s="1455" t="inlineStr">
        <is>
          <t>_L2_Accessories</t>
        </is>
      </c>
      <c r="B93" s="1455" t="inlineStr">
        <is>
          <t>CTX-FLUXPED-SBS</t>
        </is>
      </c>
      <c r="C93" s="1455" t="inlineStr">
        <is>
          <t>Side By Side Bracket</t>
        </is>
      </c>
      <c r="D93" s="1456" t="n">
        <v>137.5</v>
      </c>
      <c r="E93" s="1455" t="n"/>
      <c r="F93" s="1456" t="n"/>
      <c r="G93" s="1561" t="n"/>
      <c r="H93" s="1561" t="n"/>
      <c r="I93" s="1457" t="n">
        <v>0</v>
      </c>
      <c r="J93" s="1458" t="inlineStr">
        <is>
          <t>accessory — not a charging position</t>
        </is>
      </c>
      <c r="K93" s="1561" t="n"/>
      <c r="L93" s="1561" t="n"/>
      <c r="M93" s="1561" t="n"/>
      <c r="N93" s="1561" t="n"/>
      <c r="O93" s="1561" t="n"/>
      <c r="P93" s="1561" t="n"/>
      <c r="Q93" s="1561" t="n"/>
      <c r="R93" s="1561" t="n"/>
      <c r="S93" s="1561" t="n"/>
      <c r="T93" s="1561" t="n"/>
      <c r="U93" s="1561" t="n"/>
      <c r="V93" s="1561" t="n"/>
      <c r="W93" s="1561" t="n"/>
      <c r="X93" s="1561" t="n"/>
      <c r="Y93" s="1561" t="n"/>
      <c r="Z93" s="1561" t="n"/>
      <c r="AA93" s="1561" t="n"/>
      <c r="AB93" s="1561" t="n"/>
      <c r="AC93" s="1561" t="n"/>
      <c r="AD93" s="1465" t="inlineStr">
        <is>
          <t>CTX-FLUXPED-CMS-2</t>
        </is>
      </c>
      <c r="AE93" s="1466" t="inlineStr">
        <is>
          <t>accessory</t>
        </is>
      </c>
      <c r="AF93" s="1561" t="n"/>
      <c r="AG93" s="1561" t="n"/>
    </row>
    <row r="94" ht="15" customHeight="1" s="254">
      <c r="A94" s="1561" t="n"/>
      <c r="B94" s="1561" t="n"/>
      <c r="C94" s="1561" t="n"/>
      <c r="D94" s="1561" t="n"/>
      <c r="E94" s="1561" t="n"/>
      <c r="F94" s="1561" t="n"/>
      <c r="G94" s="1561" t="n"/>
      <c r="H94" s="1561" t="n"/>
      <c r="I94" s="1561" t="n"/>
      <c r="J94" s="1561" t="n"/>
      <c r="K94" s="1561" t="n"/>
      <c r="L94" s="1561" t="n"/>
      <c r="M94" s="1561" t="n"/>
      <c r="N94" s="1561" t="n"/>
      <c r="O94" s="1561" t="n"/>
      <c r="P94" s="1561" t="n"/>
      <c r="Q94" s="1561" t="n"/>
      <c r="R94" s="1561" t="n"/>
      <c r="S94" s="1561" t="n"/>
      <c r="T94" s="1561" t="n"/>
      <c r="U94" s="1561" t="n"/>
      <c r="V94" s="1561" t="n"/>
      <c r="W94" s="1561" t="n"/>
      <c r="X94" s="1561" t="n"/>
      <c r="Y94" s="1561" t="n"/>
      <c r="Z94" s="1561" t="n"/>
      <c r="AA94" s="1561" t="n"/>
      <c r="AB94" s="1561" t="n"/>
      <c r="AC94" s="1561" t="n"/>
      <c r="AD94" s="1465" t="inlineStr">
        <is>
          <t>CTX-FLUXPED-SBS</t>
        </is>
      </c>
      <c r="AE94" s="1466" t="inlineStr">
        <is>
          <t>accessory</t>
        </is>
      </c>
      <c r="AF94" s="1561" t="n"/>
      <c r="AG94" s="1561" t="n"/>
    </row>
    <row r="95" ht="29" customHeight="1" s="254">
      <c r="A95" s="1470" t="inlineStr">
        <is>
          <t>SERVICE AND WARRANTY RATES PER CABINET PER YEAR</t>
        </is>
      </c>
      <c r="B95" s="1561" t="n"/>
      <c r="C95" s="1561" t="n"/>
      <c r="D95" s="1561" t="n"/>
      <c r="E95" s="1561" t="n"/>
      <c r="F95" s="1561" t="n"/>
      <c r="G95" s="1561" t="n"/>
      <c r="H95" s="1561" t="n"/>
      <c r="I95" s="1561" t="n"/>
      <c r="J95" s="1561" t="n"/>
      <c r="K95" s="1561" t="n"/>
      <c r="L95" s="1561" t="n"/>
      <c r="M95" s="1561" t="n"/>
      <c r="N95" s="1561" t="n"/>
      <c r="O95" s="1561" t="n"/>
      <c r="P95" s="1561" t="n"/>
      <c r="Q95" s="1561" t="n"/>
      <c r="R95" s="1561" t="n"/>
      <c r="S95" s="1561" t="n"/>
      <c r="T95" s="1561" t="n"/>
      <c r="U95" s="1561" t="n"/>
      <c r="V95" s="1561" t="n"/>
      <c r="W95" s="1561" t="n"/>
      <c r="X95" s="1561" t="n"/>
      <c r="Y95" s="1561" t="n"/>
      <c r="Z95" s="1561" t="n"/>
      <c r="AA95" s="1561" t="n"/>
      <c r="AB95" s="1561" t="n"/>
      <c r="AC95" s="1561" t="n"/>
      <c r="AD95" s="1561" t="n"/>
      <c r="AE95" s="1561" t="n"/>
      <c r="AF95" s="1561" t="n"/>
      <c r="AG95" s="1561" t="n"/>
    </row>
    <row r="96" ht="25.5" customHeight="1" s="254">
      <c r="A96" s="1453" t="inlineStr">
        <is>
          <t>Class</t>
        </is>
      </c>
      <c r="B96" s="1453" t="n"/>
      <c r="C96" s="1453" t="inlineStr">
        <is>
          <t>Yearly warranty</t>
        </is>
      </c>
      <c r="D96" s="1453" t="inlineStr">
        <is>
          <t>In-warranty service</t>
        </is>
      </c>
      <c r="E96" s="1453" t="inlineStr">
        <is>
          <t>Warranty + service, year 3+</t>
        </is>
      </c>
      <c r="F96" s="1453" t="inlineStr">
        <is>
          <t>Out-of-warranty service</t>
        </is>
      </c>
      <c r="G96" s="1461" t="inlineStr">
        <is>
          <t>Included manufacturer warranty</t>
        </is>
      </c>
      <c r="H96" s="1561" t="n"/>
      <c r="I96" s="1561" t="n"/>
      <c r="J96" s="1561" t="n"/>
      <c r="K96" s="1561" t="n"/>
      <c r="L96" s="1561" t="n"/>
      <c r="M96" s="1561" t="n"/>
      <c r="N96" s="1561" t="n"/>
      <c r="O96" s="1561" t="n"/>
      <c r="P96" s="1561" t="n"/>
      <c r="Q96" s="1561" t="n"/>
      <c r="R96" s="1561" t="n"/>
      <c r="S96" s="1561" t="n"/>
      <c r="T96" s="1561" t="n"/>
      <c r="U96" s="1561" t="n"/>
      <c r="V96" s="1561" t="n"/>
      <c r="W96" s="1561" t="n"/>
      <c r="X96" s="1561" t="n"/>
      <c r="Y96" s="1561" t="n"/>
      <c r="Z96" s="1561" t="n"/>
      <c r="AA96" s="1561" t="n"/>
      <c r="AB96" s="1561" t="n"/>
      <c r="AC96" s="1561" t="n"/>
      <c r="AD96" s="1561" t="n"/>
      <c r="AE96" s="1561" t="n"/>
      <c r="AF96" s="1561" t="n"/>
      <c r="AG96" s="1561" t="n"/>
    </row>
    <row r="97" ht="15" customHeight="1" s="254">
      <c r="A97" s="1455" t="inlineStr">
        <is>
          <t>AC Charger - 7.2 kW UP80J-PMP Single</t>
        </is>
      </c>
      <c r="B97" s="1561" t="n"/>
      <c r="C97" s="1456" t="n">
        <v>416</v>
      </c>
      <c r="D97" s="1456" t="n">
        <v>320.11</v>
      </c>
      <c r="E97" s="1456" t="n">
        <v>736.11</v>
      </c>
      <c r="F97" s="1471" t="inlineStr">
        <is>
          <t>NOT OFFERED</t>
        </is>
      </c>
      <c r="G97" s="1472" t="inlineStr">
        <is>
          <t>1 year, parts only</t>
        </is>
      </c>
      <c r="H97" s="1561" t="n"/>
      <c r="I97" s="1561" t="n"/>
      <c r="J97" s="1561" t="n"/>
      <c r="K97" s="1561" t="n"/>
      <c r="L97" s="1561" t="n"/>
      <c r="M97" s="1561" t="n"/>
      <c r="N97" s="1561" t="n"/>
      <c r="O97" s="1561" t="n"/>
      <c r="P97" s="1561" t="n"/>
      <c r="Q97" s="1561" t="n"/>
      <c r="R97" s="1561" t="n"/>
      <c r="S97" s="1561" t="n"/>
      <c r="T97" s="1561" t="n"/>
      <c r="U97" s="1561" t="n"/>
      <c r="V97" s="1561" t="n"/>
      <c r="W97" s="1561" t="n"/>
      <c r="X97" s="1561" t="n"/>
      <c r="Y97" s="1561" t="n"/>
      <c r="Z97" s="1561" t="n"/>
      <c r="AA97" s="1561" t="n"/>
      <c r="AB97" s="1561" t="n"/>
      <c r="AC97" s="1561" t="n"/>
      <c r="AD97" s="1561" t="n"/>
      <c r="AE97" s="1561" t="n"/>
      <c r="AF97" s="1561" t="n"/>
      <c r="AG97" s="1561" t="n"/>
    </row>
    <row r="98" ht="15" customHeight="1" s="254">
      <c r="A98" s="1455" t="inlineStr">
        <is>
          <t>AC Charger - 2 x 7.2 kW UP160J-PMP Dual</t>
        </is>
      </c>
      <c r="B98" s="1561" t="n"/>
      <c r="C98" s="1456" t="n">
        <v>416</v>
      </c>
      <c r="D98" s="1456" t="n">
        <v>320.11</v>
      </c>
      <c r="E98" s="1456" t="n">
        <v>736.11</v>
      </c>
      <c r="F98" s="1471" t="inlineStr">
        <is>
          <t>NOT OFFERED</t>
        </is>
      </c>
      <c r="G98" s="1472" t="inlineStr">
        <is>
          <t>1 year, parts only</t>
        </is>
      </c>
      <c r="H98" s="1561" t="n"/>
      <c r="I98" s="1561" t="n"/>
      <c r="J98" s="1561" t="n"/>
      <c r="K98" s="1561" t="n"/>
      <c r="L98" s="1561" t="n"/>
      <c r="M98" s="1561" t="n"/>
      <c r="N98" s="1561" t="n"/>
      <c r="O98" s="1561" t="n"/>
      <c r="P98" s="1561" t="n"/>
      <c r="Q98" s="1561" t="n"/>
      <c r="R98" s="1561" t="n"/>
      <c r="S98" s="1561" t="n"/>
      <c r="T98" s="1561" t="n"/>
      <c r="U98" s="1561" t="n"/>
      <c r="V98" s="1561" t="n"/>
      <c r="W98" s="1561" t="n"/>
      <c r="X98" s="1561" t="n"/>
      <c r="Y98" s="1561" t="n"/>
      <c r="Z98" s="1561" t="n"/>
      <c r="AA98" s="1561" t="n"/>
      <c r="AB98" s="1561" t="n"/>
      <c r="AC98" s="1561" t="n"/>
      <c r="AD98" s="1561" t="n"/>
      <c r="AE98" s="1561" t="n"/>
      <c r="AF98" s="1561" t="n"/>
      <c r="AG98" s="1561" t="n"/>
    </row>
    <row r="99" ht="15" customHeight="1" s="254">
      <c r="A99" s="1455" t="inlineStr">
        <is>
          <t>AC Charger - 7.2 kW UP80J-WMP Single</t>
        </is>
      </c>
      <c r="B99" s="1561" t="n"/>
      <c r="C99" s="1456" t="n">
        <v>416</v>
      </c>
      <c r="D99" s="1456" t="n">
        <v>320.11</v>
      </c>
      <c r="E99" s="1456" t="n">
        <v>736.11</v>
      </c>
      <c r="F99" s="1471" t="inlineStr">
        <is>
          <t>NOT OFFERED</t>
        </is>
      </c>
      <c r="G99" s="1472" t="inlineStr">
        <is>
          <t>1 year, parts only</t>
        </is>
      </c>
      <c r="H99" s="1561" t="n"/>
      <c r="I99" s="1561" t="n"/>
      <c r="J99" s="1561" t="n"/>
      <c r="K99" s="1561" t="n"/>
      <c r="L99" s="1561" t="n"/>
      <c r="M99" s="1561" t="n"/>
      <c r="N99" s="1561" t="n"/>
      <c r="O99" s="1561" t="n"/>
      <c r="P99" s="1561" t="n"/>
      <c r="Q99" s="1561" t="n"/>
      <c r="R99" s="1561" t="n"/>
      <c r="S99" s="1561" t="n"/>
      <c r="T99" s="1561" t="n"/>
      <c r="U99" s="1561" t="n"/>
      <c r="V99" s="1561" t="n"/>
      <c r="W99" s="1561" t="n"/>
      <c r="X99" s="1561" t="n"/>
      <c r="Y99" s="1561" t="n"/>
      <c r="Z99" s="1561" t="n"/>
      <c r="AA99" s="1561" t="n"/>
      <c r="AB99" s="1561" t="n"/>
      <c r="AC99" s="1561" t="n"/>
      <c r="AD99" s="1561" t="n"/>
      <c r="AE99" s="1561" t="n"/>
      <c r="AF99" s="1561" t="n"/>
      <c r="AG99" s="1561" t="n"/>
    </row>
    <row r="100" ht="15" customHeight="1" s="254">
      <c r="A100" s="1455" t="inlineStr">
        <is>
          <t>AC Charger - 2 x 7.2 kW UP160J-WMP Dual</t>
        </is>
      </c>
      <c r="B100" s="1561" t="n"/>
      <c r="C100" s="1456" t="n">
        <v>416</v>
      </c>
      <c r="D100" s="1456" t="n">
        <v>320.11</v>
      </c>
      <c r="E100" s="1456" t="n">
        <v>736.11</v>
      </c>
      <c r="F100" s="1471" t="inlineStr">
        <is>
          <t>NOT OFFERED</t>
        </is>
      </c>
      <c r="G100" s="1472" t="inlineStr">
        <is>
          <t>1 year, parts only</t>
        </is>
      </c>
      <c r="H100" s="1561" t="n"/>
      <c r="I100" s="1561" t="n"/>
      <c r="J100" s="1561" t="n"/>
      <c r="K100" s="1561" t="n"/>
      <c r="L100" s="1561" t="n"/>
      <c r="M100" s="1561" t="n"/>
      <c r="N100" s="1561" t="n"/>
      <c r="O100" s="1561" t="n"/>
      <c r="P100" s="1561" t="n"/>
      <c r="Q100" s="1561" t="n"/>
      <c r="R100" s="1561" t="n"/>
      <c r="S100" s="1561" t="n"/>
      <c r="T100" s="1561" t="n"/>
      <c r="U100" s="1561" t="n"/>
      <c r="V100" s="1561" t="n"/>
      <c r="W100" s="1561" t="n"/>
      <c r="X100" s="1561" t="n"/>
      <c r="Y100" s="1561" t="n"/>
      <c r="Z100" s="1561" t="n"/>
      <c r="AA100" s="1561" t="n"/>
      <c r="AB100" s="1561" t="n"/>
      <c r="AC100" s="1561" t="n"/>
      <c r="AD100" s="1561" t="n"/>
      <c r="AE100" s="1561" t="n"/>
      <c r="AF100" s="1561" t="n"/>
      <c r="AG100" s="1561" t="n"/>
    </row>
    <row r="101" ht="15" customHeight="1" s="254">
      <c r="A101" s="1455" t="inlineStr">
        <is>
          <t>DC-60kW CCS1 + NACS</t>
        </is>
      </c>
      <c r="B101" s="1561" t="n"/>
      <c r="C101" s="1456" t="n">
        <v>962.84</v>
      </c>
      <c r="D101" s="1456" t="n">
        <v>1476.36</v>
      </c>
      <c r="E101" s="1456" t="n">
        <v>2439.2</v>
      </c>
      <c r="F101" s="1471" t="inlineStr">
        <is>
          <t>NOT OFFERED</t>
        </is>
      </c>
      <c r="G101" s="1472" t="inlineStr">
        <is>
          <t>2 years, parts only</t>
        </is>
      </c>
      <c r="H101" s="1561" t="n"/>
      <c r="I101" s="1561" t="n"/>
      <c r="J101" s="1561" t="n"/>
      <c r="K101" s="1561" t="n"/>
      <c r="L101" s="1561" t="n"/>
      <c r="M101" s="1561" t="n"/>
      <c r="N101" s="1561" t="n"/>
      <c r="O101" s="1561" t="n"/>
      <c r="P101" s="1561" t="n"/>
      <c r="Q101" s="1561" t="n"/>
      <c r="R101" s="1561" t="n"/>
      <c r="S101" s="1561" t="n"/>
      <c r="T101" s="1561" t="n"/>
      <c r="U101" s="1561" t="n"/>
      <c r="V101" s="1561" t="n"/>
      <c r="W101" s="1561" t="n"/>
      <c r="X101" s="1561" t="n"/>
      <c r="Y101" s="1561" t="n"/>
      <c r="Z101" s="1561" t="n"/>
      <c r="AA101" s="1561" t="n"/>
      <c r="AB101" s="1561" t="n"/>
      <c r="AC101" s="1561" t="n"/>
      <c r="AD101" s="1561" t="n"/>
      <c r="AE101" s="1561" t="n"/>
      <c r="AF101" s="1561" t="n"/>
      <c r="AG101" s="1561" t="n"/>
    </row>
    <row r="102" ht="15" customHeight="1" s="254">
      <c r="A102" s="1455" t="inlineStr">
        <is>
          <t>DC-120kW CCS1 + NACS</t>
        </is>
      </c>
      <c r="B102" s="1561" t="n"/>
      <c r="C102" s="1456" t="n">
        <v>1196.91</v>
      </c>
      <c r="D102" s="1456" t="n">
        <v>1616.76</v>
      </c>
      <c r="E102" s="1456" t="n">
        <v>2813.67</v>
      </c>
      <c r="F102" s="1471" t="inlineStr">
        <is>
          <t>NOT OFFERED</t>
        </is>
      </c>
      <c r="G102" s="1472" t="inlineStr">
        <is>
          <t>2 years, parts only</t>
        </is>
      </c>
      <c r="H102" s="1561" t="n"/>
      <c r="I102" s="1561" t="n"/>
      <c r="J102" s="1561" t="n"/>
      <c r="K102" s="1561" t="n"/>
      <c r="L102" s="1561" t="n"/>
      <c r="M102" s="1561" t="n"/>
      <c r="N102" s="1561" t="n"/>
      <c r="O102" s="1561" t="n"/>
      <c r="P102" s="1561" t="n"/>
      <c r="Q102" s="1561" t="n"/>
      <c r="R102" s="1561" t="n"/>
      <c r="S102" s="1561" t="n"/>
      <c r="T102" s="1561" t="n"/>
      <c r="U102" s="1561" t="n"/>
      <c r="V102" s="1561" t="n"/>
      <c r="W102" s="1561" t="n"/>
      <c r="X102" s="1561" t="n"/>
      <c r="Y102" s="1561" t="n"/>
      <c r="Z102" s="1561" t="n"/>
      <c r="AA102" s="1561" t="n"/>
      <c r="AB102" s="1561" t="n"/>
      <c r="AC102" s="1561" t="n"/>
      <c r="AD102" s="1561" t="n"/>
      <c r="AE102" s="1561" t="n"/>
      <c r="AF102" s="1561" t="n"/>
      <c r="AG102" s="1561" t="n"/>
    </row>
    <row r="103" ht="15" customHeight="1" s="254">
      <c r="A103" s="1455" t="inlineStr">
        <is>
          <t>DC-160kW CCS1 + NACS</t>
        </is>
      </c>
      <c r="B103" s="1561" t="n"/>
      <c r="C103" s="1456" t="n">
        <v>1428.57</v>
      </c>
      <c r="D103" s="1456" t="n">
        <v>1879.2</v>
      </c>
      <c r="E103" s="1456" t="n">
        <v>3307.77</v>
      </c>
      <c r="F103" s="1471" t="inlineStr">
        <is>
          <t>NOT OFFERED</t>
        </is>
      </c>
      <c r="G103" s="1472" t="inlineStr">
        <is>
          <t>2 years, parts only</t>
        </is>
      </c>
      <c r="H103" s="1561" t="n"/>
      <c r="I103" s="1561" t="n"/>
      <c r="J103" s="1561" t="n"/>
      <c r="K103" s="1561" t="n"/>
      <c r="L103" s="1561" t="n"/>
      <c r="M103" s="1561" t="n"/>
      <c r="N103" s="1561" t="n"/>
      <c r="O103" s="1561" t="n"/>
      <c r="P103" s="1561" t="n"/>
      <c r="Q103" s="1561" t="n"/>
      <c r="R103" s="1561" t="n"/>
      <c r="S103" s="1561" t="n"/>
      <c r="T103" s="1561" t="n"/>
      <c r="U103" s="1561" t="n"/>
      <c r="V103" s="1561" t="n"/>
      <c r="W103" s="1561" t="n"/>
      <c r="X103" s="1561" t="n"/>
      <c r="Y103" s="1561" t="n"/>
      <c r="Z103" s="1561" t="n"/>
      <c r="AA103" s="1561" t="n"/>
      <c r="AB103" s="1561" t="n"/>
      <c r="AC103" s="1561" t="n"/>
      <c r="AD103" s="1561" t="n"/>
      <c r="AE103" s="1561" t="n"/>
      <c r="AF103" s="1561" t="n"/>
      <c r="AG103" s="1561" t="n"/>
    </row>
    <row r="104" ht="15" customHeight="1" s="254">
      <c r="A104" s="1455" t="inlineStr">
        <is>
          <t>DC-180KW</t>
        </is>
      </c>
      <c r="B104" s="1561" t="n"/>
      <c r="C104" s="1456" t="n">
        <v>1856.844</v>
      </c>
      <c r="D104" s="1456" t="n">
        <v>2708.64</v>
      </c>
      <c r="E104" s="1456" t="n">
        <v>4565.484</v>
      </c>
      <c r="F104" s="1471" t="inlineStr">
        <is>
          <t>NOT OFFERED</t>
        </is>
      </c>
      <c r="G104" s="1472" t="inlineStr">
        <is>
          <t>2 years, parts only</t>
        </is>
      </c>
      <c r="H104" s="1561" t="n"/>
      <c r="I104" s="1561" t="n"/>
      <c r="J104" s="1561" t="n"/>
      <c r="K104" s="1561" t="n"/>
      <c r="L104" s="1561" t="n"/>
      <c r="M104" s="1561" t="n"/>
      <c r="N104" s="1561" t="n"/>
      <c r="O104" s="1561" t="n"/>
      <c r="P104" s="1561" t="n"/>
      <c r="Q104" s="1561" t="n"/>
      <c r="R104" s="1561" t="n"/>
      <c r="S104" s="1561" t="n"/>
      <c r="T104" s="1561" t="n"/>
      <c r="U104" s="1561" t="n"/>
      <c r="V104" s="1561" t="n"/>
      <c r="W104" s="1561" t="n"/>
      <c r="X104" s="1561" t="n"/>
      <c r="Y104" s="1561" t="n"/>
      <c r="Z104" s="1561" t="n"/>
      <c r="AA104" s="1561" t="n"/>
      <c r="AB104" s="1561" t="n"/>
      <c r="AC104" s="1561" t="n"/>
      <c r="AD104" s="1561" t="n"/>
      <c r="AE104" s="1561" t="n"/>
      <c r="AF104" s="1561" t="n"/>
      <c r="AG104" s="1561" t="n"/>
    </row>
    <row r="105" ht="15" customHeight="1" s="254">
      <c r="A105" s="1455" t="inlineStr">
        <is>
          <t>DC-240KW</t>
        </is>
      </c>
      <c r="B105" s="1561" t="n"/>
      <c r="C105" s="1456" t="n">
        <v>2708.64</v>
      </c>
      <c r="D105" s="1456" t="n">
        <v>6478.754</v>
      </c>
      <c r="E105" s="1456" t="n">
        <v>9187.394</v>
      </c>
      <c r="F105" s="1471" t="inlineStr">
        <is>
          <t>NOT OFFERED</t>
        </is>
      </c>
      <c r="G105" s="1472" t="inlineStr">
        <is>
          <t>2 years, parts only</t>
        </is>
      </c>
      <c r="H105" s="1561" t="n"/>
      <c r="I105" s="1561" t="n"/>
      <c r="J105" s="1561" t="n"/>
      <c r="K105" s="1561" t="n"/>
      <c r="L105" s="1561" t="n"/>
      <c r="M105" s="1561" t="n"/>
      <c r="N105" s="1561" t="n"/>
      <c r="O105" s="1561" t="n"/>
      <c r="P105" s="1561" t="n"/>
      <c r="Q105" s="1561" t="n"/>
      <c r="R105" s="1561" t="n"/>
      <c r="S105" s="1561" t="n"/>
      <c r="T105" s="1561" t="n"/>
      <c r="U105" s="1561" t="n"/>
      <c r="V105" s="1561" t="n"/>
      <c r="W105" s="1561" t="n"/>
      <c r="X105" s="1561" t="n"/>
      <c r="Y105" s="1561" t="n"/>
      <c r="Z105" s="1561" t="n"/>
      <c r="AA105" s="1561" t="n"/>
      <c r="AB105" s="1561" t="n"/>
      <c r="AC105" s="1561" t="n"/>
      <c r="AD105" s="1561" t="n"/>
      <c r="AE105" s="1561" t="n"/>
      <c r="AF105" s="1561" t="n"/>
      <c r="AG105" s="1561" t="n"/>
    </row>
    <row r="106" ht="15" customHeight="1" s="254">
      <c r="A106" s="1455" t="inlineStr">
        <is>
          <t>DC-360kW CCS1 + CCS1</t>
        </is>
      </c>
      <c r="B106" s="1561" t="n"/>
      <c r="C106" s="1456" t="n">
        <v>4051.08</v>
      </c>
      <c r="D106" s="1456" t="n">
        <v>4898.88</v>
      </c>
      <c r="E106" s="1456" t="n">
        <v>8949.959999999999</v>
      </c>
      <c r="F106" s="1471" t="inlineStr">
        <is>
          <t>NOT OFFERED</t>
        </is>
      </c>
      <c r="G106" s="1472" t="inlineStr">
        <is>
          <t>2 years, parts only</t>
        </is>
      </c>
      <c r="H106" s="1561" t="n"/>
      <c r="I106" s="1561" t="n"/>
      <c r="J106" s="1561" t="n"/>
      <c r="K106" s="1561" t="n"/>
      <c r="L106" s="1561" t="n"/>
      <c r="M106" s="1561" t="n"/>
      <c r="N106" s="1561" t="n"/>
      <c r="O106" s="1561" t="n"/>
      <c r="P106" s="1561" t="n"/>
      <c r="Q106" s="1561" t="n"/>
      <c r="R106" s="1561" t="n"/>
      <c r="S106" s="1561" t="n"/>
      <c r="T106" s="1561" t="n"/>
      <c r="U106" s="1561" t="n"/>
      <c r="V106" s="1561" t="n"/>
      <c r="W106" s="1561" t="n"/>
      <c r="X106" s="1561" t="n"/>
      <c r="Y106" s="1561" t="n"/>
      <c r="Z106" s="1561" t="n"/>
      <c r="AA106" s="1561" t="n"/>
      <c r="AB106" s="1561" t="n"/>
      <c r="AC106" s="1561" t="n"/>
      <c r="AD106" s="1561" t="n"/>
      <c r="AE106" s="1561" t="n"/>
      <c r="AF106" s="1561" t="n"/>
      <c r="AG106" s="1561" t="n"/>
    </row>
    <row r="107" ht="15" customHeight="1" s="254">
      <c r="A107" s="1455" t="inlineStr">
        <is>
          <t>CTX-DSPB-360</t>
        </is>
      </c>
      <c r="B107" s="1455" t="n"/>
      <c r="C107" s="1456">
        <f>C106+(C106*25%)</f>
        <v/>
      </c>
      <c r="D107" s="1456">
        <f>D106+(D106*25%)</f>
        <v/>
      </c>
      <c r="E107" s="1456">
        <f>D107+C107</f>
        <v/>
      </c>
      <c r="F107" s="1471" t="inlineStr">
        <is>
          <t>NOT OFFERED</t>
        </is>
      </c>
      <c r="G107" s="1472" t="inlineStr">
        <is>
          <t>2 years, parts only</t>
        </is>
      </c>
      <c r="H107" s="1561" t="n"/>
      <c r="I107" s="1561" t="n"/>
      <c r="J107" s="1561" t="n"/>
      <c r="K107" s="1561" t="n"/>
      <c r="L107" s="1561" t="n"/>
      <c r="M107" s="1561" t="n"/>
      <c r="N107" s="1561" t="n"/>
      <c r="O107" s="1561" t="n"/>
      <c r="P107" s="1561" t="n"/>
      <c r="Q107" s="1561" t="n"/>
      <c r="R107" s="1561" t="n"/>
      <c r="S107" s="1561" t="n"/>
      <c r="T107" s="1561" t="n"/>
      <c r="U107" s="1561" t="n"/>
      <c r="V107" s="1561" t="n"/>
      <c r="W107" s="1561" t="n"/>
      <c r="X107" s="1561" t="n"/>
      <c r="Y107" s="1561" t="n"/>
      <c r="Z107" s="1561" t="n"/>
      <c r="AA107" s="1561" t="n"/>
      <c r="AB107" s="1561" t="n"/>
      <c r="AC107" s="1561" t="n"/>
      <c r="AD107" s="1561" t="n"/>
      <c r="AE107" s="1561" t="n"/>
      <c r="AF107" s="1561" t="n"/>
      <c r="AG107" s="1561" t="n"/>
    </row>
    <row r="108" ht="15" customHeight="1" s="254">
      <c r="A108" s="1455" t="inlineStr">
        <is>
          <t>CTX-DSPB-480</t>
        </is>
      </c>
      <c r="B108" s="1455" t="n"/>
      <c r="C108" s="1456">
        <f>C107+(C107*30%)</f>
        <v/>
      </c>
      <c r="D108" s="1456">
        <f>D107+(D107*25%)</f>
        <v/>
      </c>
      <c r="E108" s="1456">
        <f>D108+C108</f>
        <v/>
      </c>
      <c r="F108" s="1471" t="inlineStr">
        <is>
          <t>NOT OFFERED</t>
        </is>
      </c>
      <c r="G108" s="1472" t="inlineStr">
        <is>
          <t>2 years, parts only</t>
        </is>
      </c>
      <c r="H108" s="1561" t="n"/>
      <c r="I108" s="1561" t="n"/>
      <c r="J108" s="1561" t="n"/>
      <c r="K108" s="1561" t="n"/>
      <c r="L108" s="1561" t="n"/>
      <c r="M108" s="1561" t="n"/>
      <c r="N108" s="1561" t="n"/>
      <c r="O108" s="1561" t="n"/>
      <c r="P108" s="1561" t="n"/>
      <c r="Q108" s="1561" t="n"/>
      <c r="R108" s="1561" t="n"/>
      <c r="S108" s="1561" t="n"/>
      <c r="T108" s="1561" t="n"/>
      <c r="U108" s="1561" t="n"/>
      <c r="V108" s="1561" t="n"/>
      <c r="W108" s="1561" t="n"/>
      <c r="X108" s="1561" t="n"/>
      <c r="Y108" s="1561" t="n"/>
      <c r="Z108" s="1561" t="n"/>
      <c r="AA108" s="1561" t="n"/>
      <c r="AB108" s="1561" t="n"/>
      <c r="AC108" s="1561" t="n"/>
      <c r="AD108" s="1561" t="n"/>
      <c r="AE108" s="1561" t="n"/>
      <c r="AF108" s="1561" t="n"/>
      <c r="AG108" s="1561" t="n"/>
    </row>
    <row r="109" ht="15" customHeight="1" s="254">
      <c r="A109" s="1455" t="inlineStr">
        <is>
          <t>CTX-DSPB-1280</t>
        </is>
      </c>
      <c r="B109" s="1455" t="n"/>
      <c r="C109" s="1456">
        <f>C108+(C108*50%)</f>
        <v/>
      </c>
      <c r="D109" s="1456">
        <f>D108+(D108*25%)</f>
        <v/>
      </c>
      <c r="E109" s="1456">
        <f>D109+C109</f>
        <v/>
      </c>
      <c r="F109" s="1471" t="inlineStr">
        <is>
          <t>NOT OFFERED</t>
        </is>
      </c>
      <c r="G109" s="1472" t="inlineStr">
        <is>
          <t>2 years, parts only</t>
        </is>
      </c>
      <c r="H109" s="1561" t="n"/>
      <c r="I109" s="1561" t="n"/>
      <c r="J109" s="1561" t="n"/>
      <c r="K109" s="1561" t="n"/>
      <c r="L109" s="1561" t="n"/>
      <c r="M109" s="1561" t="n"/>
      <c r="N109" s="1561" t="n"/>
      <c r="O109" s="1561" t="n"/>
      <c r="P109" s="1561" t="n"/>
      <c r="Q109" s="1561" t="n"/>
      <c r="R109" s="1561" t="n"/>
      <c r="S109" s="1561" t="n"/>
      <c r="T109" s="1561" t="n"/>
      <c r="U109" s="1561" t="n"/>
      <c r="V109" s="1561" t="n"/>
      <c r="W109" s="1561" t="n"/>
      <c r="X109" s="1561" t="n"/>
      <c r="Y109" s="1561" t="n"/>
      <c r="Z109" s="1561" t="n"/>
      <c r="AA109" s="1561" t="n"/>
      <c r="AB109" s="1561" t="n"/>
      <c r="AC109" s="1561" t="n"/>
      <c r="AD109" s="1561" t="n"/>
      <c r="AE109" s="1561" t="n"/>
      <c r="AF109" s="1561" t="n"/>
      <c r="AG109" s="1561" t="n"/>
    </row>
    <row r="110" ht="15" customHeight="1" s="254">
      <c r="A110" s="1455" t="inlineStr">
        <is>
          <t>CTX-DST-2-300/CTX-DST-HPC-2-500/300</t>
        </is>
      </c>
      <c r="B110" s="1561" t="n"/>
      <c r="C110" s="1456" t="n">
        <v>962.84</v>
      </c>
      <c r="D110" s="1456" t="n">
        <v>1476.36</v>
      </c>
      <c r="E110" s="1456">
        <f>D110+C110</f>
        <v/>
      </c>
      <c r="F110" s="1561" t="n"/>
      <c r="G110" s="1561" t="n"/>
      <c r="H110" s="1561" t="n"/>
      <c r="I110" s="1561" t="n"/>
      <c r="J110" s="1561" t="n"/>
      <c r="K110" s="1561" t="n"/>
      <c r="L110" s="1561" t="n"/>
      <c r="M110" s="1561" t="n"/>
      <c r="N110" s="1561" t="n"/>
      <c r="O110" s="1561" t="n"/>
      <c r="P110" s="1561" t="n"/>
      <c r="Q110" s="1561" t="n"/>
      <c r="R110" s="1561" t="n"/>
      <c r="S110" s="1561" t="n"/>
      <c r="T110" s="1561" t="n"/>
      <c r="U110" s="1561" t="n"/>
      <c r="V110" s="1561" t="n"/>
      <c r="W110" s="1561" t="n"/>
      <c r="X110" s="1561" t="n"/>
      <c r="Y110" s="1561" t="n"/>
      <c r="Z110" s="1561" t="n"/>
      <c r="AA110" s="1561" t="n"/>
      <c r="AB110" s="1561" t="n"/>
      <c r="AC110" s="1561" t="n"/>
      <c r="AD110" s="1561" t="n"/>
      <c r="AE110" s="1561" t="n"/>
      <c r="AF110" s="1561" t="n"/>
      <c r="AG110" s="1561" t="n"/>
    </row>
    <row r="111" ht="26" customHeight="1" s="254">
      <c r="A111" s="1473"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c r="H111" s="1561" t="n"/>
      <c r="I111" s="1561" t="n"/>
      <c r="J111" s="1561" t="n"/>
      <c r="K111" s="1561" t="n"/>
      <c r="L111" s="1561" t="n"/>
      <c r="M111" s="1561" t="n"/>
      <c r="N111" s="1561" t="n"/>
      <c r="O111" s="1561" t="n"/>
      <c r="P111" s="1561" t="n"/>
      <c r="Q111" s="1561" t="n"/>
      <c r="R111" s="1561" t="n"/>
      <c r="S111" s="1561" t="n"/>
      <c r="T111" s="1561" t="n"/>
      <c r="U111" s="1561" t="n"/>
      <c r="V111" s="1561" t="n"/>
      <c r="W111" s="1561" t="n"/>
      <c r="X111" s="1561" t="n"/>
      <c r="Y111" s="1561" t="n"/>
      <c r="Z111" s="1561" t="n"/>
      <c r="AA111" s="1561" t="n"/>
      <c r="AB111" s="1561" t="n"/>
      <c r="AC111" s="1561" t="n"/>
      <c r="AD111" s="1561" t="n"/>
      <c r="AE111" s="1561" t="n"/>
      <c r="AF111" s="1561" t="n"/>
      <c r="AG111" s="1561" t="n"/>
    </row>
    <row r="112" ht="15" customHeight="1" s="254">
      <c r="A112" s="1474" t="inlineStr">
        <is>
          <t>The year-3+ rate is the yearly warranty plus the in-warranty service rate. Extending the warranty does not change what service costs; it adds back the warranty the manufacturer previously gave.</t>
        </is>
      </c>
      <c r="H112" s="1561" t="n"/>
      <c r="I112" s="1561" t="n"/>
      <c r="J112" s="1561" t="n"/>
      <c r="K112" s="1561" t="n"/>
      <c r="L112" s="1561" t="n"/>
      <c r="M112" s="1561" t="n"/>
      <c r="N112" s="1561" t="n"/>
      <c r="O112" s="1561" t="n"/>
      <c r="P112" s="1561" t="n"/>
      <c r="Q112" s="1561" t="n"/>
      <c r="R112" s="1561" t="n"/>
      <c r="S112" s="1561" t="n"/>
      <c r="T112" s="1561" t="n"/>
      <c r="U112" s="1561" t="n"/>
      <c r="V112" s="1561" t="n"/>
      <c r="W112" s="1561" t="n"/>
      <c r="X112" s="1561" t="n"/>
      <c r="Y112" s="1561" t="n"/>
      <c r="Z112" s="1561" t="n"/>
      <c r="AA112" s="1561" t="n"/>
      <c r="AB112" s="1561" t="n"/>
      <c r="AC112" s="1561" t="n"/>
      <c r="AD112" s="1561" t="n"/>
      <c r="AE112" s="1561" t="n"/>
      <c r="AF112" s="1561" t="n"/>
      <c r="AG112" s="1561" t="n"/>
    </row>
    <row r="113" ht="15" customHeight="1" s="254">
      <c r="A113" s="1561" t="n"/>
      <c r="B113" s="1561" t="n"/>
      <c r="C113" s="1561" t="n"/>
      <c r="D113" s="1561" t="n"/>
      <c r="E113" s="1561" t="n"/>
      <c r="F113" s="1561" t="n"/>
      <c r="G113" s="1561" t="n"/>
      <c r="H113" s="1561" t="n"/>
      <c r="I113" s="1561" t="n"/>
      <c r="J113" s="1561" t="n"/>
      <c r="K113" s="1561" t="n"/>
      <c r="L113" s="1561" t="n"/>
      <c r="M113" s="1561" t="n"/>
      <c r="N113" s="1561" t="n"/>
      <c r="O113" s="1561" t="n"/>
      <c r="P113" s="1561" t="n"/>
      <c r="Q113" s="1561" t="n"/>
      <c r="R113" s="1561" t="n"/>
      <c r="S113" s="1561" t="n"/>
      <c r="T113" s="1561" t="n"/>
      <c r="U113" s="1561" t="n"/>
      <c r="V113" s="1561" t="n"/>
      <c r="W113" s="1561" t="n"/>
      <c r="X113" s="1561" t="n"/>
      <c r="Y113" s="1561" t="n"/>
      <c r="Z113" s="1561" t="n"/>
      <c r="AA113" s="1561" t="n"/>
      <c r="AB113" s="1561" t="n"/>
      <c r="AC113" s="1561" t="n"/>
      <c r="AD113" s="1561" t="n"/>
      <c r="AE113" s="1561" t="n"/>
      <c r="AF113" s="1561" t="n"/>
      <c r="AG113" s="1561" t="n"/>
    </row>
    <row r="114" ht="15" customHeight="1" s="254">
      <c r="A114" s="1561" t="n"/>
      <c r="B114" s="1561" t="n"/>
      <c r="C114" s="1561" t="n"/>
      <c r="D114" s="1561" t="n"/>
      <c r="E114" s="1475" t="n"/>
      <c r="F114" s="1561" t="n"/>
      <c r="G114" s="1561" t="n"/>
      <c r="H114" s="1561" t="n"/>
      <c r="I114" s="1561" t="n"/>
      <c r="J114" s="1561" t="n"/>
      <c r="K114" s="1561" t="n"/>
      <c r="L114" s="1561" t="n"/>
      <c r="M114" s="1561" t="n"/>
      <c r="N114" s="1561" t="n"/>
      <c r="O114" s="1561" t="n"/>
      <c r="P114" s="1561" t="n"/>
      <c r="Q114" s="1561" t="n"/>
      <c r="R114" s="1561" t="n"/>
      <c r="S114" s="1561" t="n"/>
      <c r="T114" s="1561" t="n"/>
      <c r="U114" s="1561" t="n"/>
      <c r="V114" s="1561" t="n"/>
      <c r="W114" s="1561" t="n"/>
      <c r="X114" s="1561" t="n"/>
      <c r="Y114" s="1561" t="n"/>
      <c r="Z114" s="1561" t="n"/>
      <c r="AA114" s="1561" t="n"/>
      <c r="AB114" s="1561" t="n"/>
      <c r="AC114" s="1561" t="n"/>
      <c r="AD114" s="1561" t="n"/>
      <c r="AE114" s="1561" t="n"/>
      <c r="AF114" s="1561" t="n"/>
      <c r="AG114" s="1561" t="n"/>
    </row>
    <row r="115" ht="15" customHeight="1" s="254">
      <c r="A115" s="1476" t="inlineStr">
        <is>
          <t>EQUIPMENT ARCHITECTURE — what each SKU is, not just what it costs</t>
        </is>
      </c>
      <c r="I115" s="1561" t="n"/>
      <c r="J115" s="1561" t="n"/>
      <c r="K115" s="1561" t="n"/>
      <c r="L115" s="1561" t="n"/>
      <c r="M115" s="1561" t="n"/>
      <c r="N115" s="1561" t="n"/>
      <c r="O115" s="1561" t="n"/>
      <c r="P115" s="1561" t="n"/>
      <c r="Q115" s="1561" t="n"/>
      <c r="R115" s="1561" t="n"/>
      <c r="S115" s="1561" t="n"/>
      <c r="T115" s="1561" t="n"/>
      <c r="U115" s="1561" t="n"/>
      <c r="V115" s="1561" t="n"/>
      <c r="W115" s="1561" t="n"/>
      <c r="X115" s="1561" t="n"/>
      <c r="Y115" s="1561" t="n"/>
      <c r="Z115" s="1561" t="n"/>
      <c r="AA115" s="1561" t="n"/>
      <c r="AB115" s="1561" t="n"/>
      <c r="AC115" s="1561" t="n"/>
      <c r="AD115" s="1561" t="n"/>
      <c r="AE115" s="1561" t="n"/>
      <c r="AF115" s="1561" t="n"/>
      <c r="AG115" s="1561" t="n"/>
    </row>
    <row r="116" ht="15" customHeight="1" s="254">
      <c r="A116" s="1474" t="inlineStr">
        <is>
          <t>A power cabinet takes AC and produces DC and has no connectors. A dispenser has the connectors and no power of its own. An all-in-one is both in one enclosure. The role decides whether a row adds load, ports, both or neither — see 2_Equipment.</t>
        </is>
      </c>
      <c r="I116" s="1561" t="n"/>
      <c r="J116" s="1561" t="n"/>
      <c r="K116" s="1561" t="n"/>
      <c r="L116" s="1561" t="n"/>
      <c r="M116" s="1561" t="n"/>
      <c r="N116" s="1561" t="n"/>
      <c r="O116" s="1561" t="n"/>
      <c r="P116" s="1561" t="n"/>
      <c r="Q116" s="1561" t="n"/>
      <c r="R116" s="1561" t="n"/>
      <c r="S116" s="1561" t="n"/>
      <c r="T116" s="1561" t="n"/>
      <c r="U116" s="1561" t="n"/>
      <c r="V116" s="1561" t="n"/>
      <c r="W116" s="1561" t="n"/>
      <c r="X116" s="1561" t="n"/>
      <c r="Y116" s="1561" t="n"/>
      <c r="Z116" s="1561" t="n"/>
      <c r="AA116" s="1561" t="n"/>
      <c r="AB116" s="1561" t="n"/>
      <c r="AC116" s="1561" t="n"/>
      <c r="AD116" s="1561" t="n"/>
      <c r="AE116" s="1561" t="n"/>
      <c r="AF116" s="1561" t="n"/>
      <c r="AG116" s="1561" t="n"/>
    </row>
    <row r="117" ht="25.5" customHeight="1" s="254">
      <c r="A117" s="1477" t="inlineStr">
        <is>
          <t>SKU</t>
        </is>
      </c>
      <c r="B117" s="1478" t="inlineStr">
        <is>
          <t>Role</t>
        </is>
      </c>
      <c r="C117" s="1477" t="inlineStr">
        <is>
          <t>DC output kW</t>
        </is>
      </c>
      <c r="D117" s="1478" t="inlineStr">
        <is>
          <t>AC input kW</t>
        </is>
      </c>
      <c r="E117" s="1478" t="inlineStr">
        <is>
          <t>AC input circuits</t>
        </is>
      </c>
      <c r="F117" s="1478" t="inlineStr">
        <is>
          <t>AC FLA total</t>
        </is>
      </c>
      <c r="G117" s="1478" t="inlineStr">
        <is>
          <t>DC outputs / connectors</t>
        </is>
      </c>
      <c r="H117" s="1479" t="inlineStr">
        <is>
          <t>Max dual dispensers</t>
        </is>
      </c>
      <c r="I117" s="1477" t="inlineStr">
        <is>
          <t>Source and confidence</t>
        </is>
      </c>
      <c r="J117" s="1561" t="n"/>
      <c r="K117" s="1561" t="n"/>
      <c r="L117" s="1561" t="n"/>
      <c r="M117" s="1561" t="n"/>
      <c r="N117" s="1561" t="n"/>
      <c r="O117" s="1561" t="n"/>
      <c r="P117" s="1561" t="n"/>
      <c r="Q117" s="1561" t="n"/>
      <c r="R117" s="1561" t="n"/>
      <c r="S117" s="1561" t="n"/>
      <c r="T117" s="1561" t="n"/>
      <c r="U117" s="1561" t="n"/>
      <c r="V117" s="1561" t="n"/>
      <c r="W117" s="1561" t="n"/>
      <c r="X117" s="1561" t="n"/>
      <c r="Y117" s="1561" t="n"/>
      <c r="Z117" s="1561" t="n"/>
      <c r="AA117" s="1561" t="n"/>
      <c r="AB117" s="1561" t="n"/>
      <c r="AC117" s="1561" t="n"/>
      <c r="AD117" s="1561" t="n"/>
      <c r="AE117" s="1561" t="n"/>
      <c r="AF117" s="1561" t="n"/>
      <c r="AG117" s="1561" t="n"/>
    </row>
    <row r="118" ht="15" customHeight="1" s="254">
      <c r="A118" s="1480" t="inlineStr">
        <is>
          <t>CTX-DSPB-360</t>
        </is>
      </c>
      <c r="B118" s="1481" t="inlineStr">
        <is>
          <t>Power cabinet — no connectors</t>
        </is>
      </c>
      <c r="C118" s="1481" t="n">
        <v>360</v>
      </c>
      <c r="D118" s="1481" t="n">
        <v>393</v>
      </c>
      <c r="E118" s="1481" t="n">
        <v>2</v>
      </c>
      <c r="F118" s="1481" t="n">
        <v>472.7</v>
      </c>
      <c r="G118" s="1481" t="n">
        <v>6</v>
      </c>
      <c r="H118" s="1481" t="n">
        <v>3</v>
      </c>
      <c r="I118" s="1173" t="inlineStr">
        <is>
          <t>DERIVED — AC input, circuit count and the 3-dispenser limit extrapolated from the published 480 kW cabinet. Confirm all three with Chargetronix before sizing service.</t>
        </is>
      </c>
      <c r="J118" s="299" t="n"/>
      <c r="K118" s="299" t="n"/>
      <c r="L118" s="299" t="n"/>
      <c r="M118" s="299" t="n"/>
      <c r="N118" s="299" t="n"/>
      <c r="O118" s="299" t="n"/>
      <c r="P118" s="299" t="n"/>
      <c r="Q118" s="299" t="n"/>
      <c r="R118" s="1561" t="n"/>
      <c r="S118" s="1561" t="n"/>
      <c r="T118" s="1561" t="n"/>
      <c r="U118" s="1561" t="n"/>
      <c r="V118" s="1561" t="n"/>
      <c r="W118" s="1561" t="n"/>
      <c r="X118" s="1561" t="n"/>
      <c r="Y118" s="1561" t="n"/>
      <c r="Z118" s="1561" t="n"/>
      <c r="AA118" s="1561" t="n"/>
      <c r="AB118" s="1561" t="n"/>
      <c r="AC118" s="1561" t="n"/>
      <c r="AD118" s="1561" t="n"/>
      <c r="AE118" s="1561" t="n"/>
      <c r="AF118" s="1561" t="n"/>
      <c r="AG118" s="1561" t="n"/>
    </row>
    <row r="119" ht="15" customHeight="1" s="254">
      <c r="A119" s="1480" t="inlineStr">
        <is>
          <t>CTX-DSPB-480</t>
        </is>
      </c>
      <c r="B119" s="1481" t="inlineStr">
        <is>
          <t>Power cabinet — no connectors</t>
        </is>
      </c>
      <c r="C119" s="1481" t="n">
        <v>480</v>
      </c>
      <c r="D119" s="1481" t="n">
        <v>524</v>
      </c>
      <c r="E119" s="1481" t="n">
        <v>2</v>
      </c>
      <c r="F119" s="1481" t="n">
        <v>630.3</v>
      </c>
      <c r="G119" s="1481" t="n">
        <v>6</v>
      </c>
      <c r="H119" s="1481" t="n">
        <v>3</v>
      </c>
      <c r="I119" s="1482" t="inlineStr">
        <is>
          <t>PUBLISHED — 480 VAC +/-10%, 3P+PE, 2 input circuits at 315 A each, input power 524 kW, output 480 kW, 200-1000 VDC, 500 A per channel, 1,600 A system, up to 6 DC outputs, dynamic power sharing in 40 kW increments. Takes UP TO 3 DUAL DISPENSERS (6 connectors).</t>
        </is>
      </c>
      <c r="J119" s="299" t="n"/>
      <c r="K119" s="299" t="n"/>
      <c r="L119" s="299" t="n"/>
      <c r="M119" s="299" t="n"/>
      <c r="N119" s="299" t="n"/>
      <c r="O119" s="299" t="n"/>
      <c r="P119" s="299" t="n"/>
      <c r="Q119" s="299" t="n"/>
      <c r="R119" s="1561" t="n"/>
      <c r="S119" s="1561" t="n"/>
      <c r="T119" s="1561" t="n"/>
      <c r="U119" s="1561" t="n"/>
      <c r="V119" s="1561" t="n"/>
      <c r="W119" s="1561" t="n"/>
      <c r="X119" s="1561" t="n"/>
      <c r="Y119" s="1561" t="n"/>
      <c r="Z119" s="1561" t="n"/>
      <c r="AA119" s="1561" t="n"/>
      <c r="AB119" s="1561" t="n"/>
      <c r="AC119" s="1561" t="n"/>
      <c r="AD119" s="1561" t="n"/>
      <c r="AE119" s="1561" t="n"/>
      <c r="AF119" s="1561" t="n"/>
      <c r="AG119" s="1561" t="n"/>
    </row>
    <row r="120" ht="25" customHeight="1" s="254">
      <c r="A120" s="1480" t="inlineStr">
        <is>
          <t>CTX-DSPB-1280</t>
        </is>
      </c>
      <c r="B120" s="1481" t="inlineStr">
        <is>
          <t>Power cabinet — no connectors</t>
        </is>
      </c>
      <c r="C120" s="1481" t="n">
        <v>1280</v>
      </c>
      <c r="D120" s="1481" t="n">
        <v>1928.8</v>
      </c>
      <c r="E120" s="1481" t="n">
        <v>4</v>
      </c>
      <c r="F120" s="1481" t="n">
        <v>2320</v>
      </c>
      <c r="G120" s="1481" t="n">
        <v>16</v>
      </c>
      <c r="H120" s="1481" t="n">
        <v>8</v>
      </c>
      <c r="I120" s="1173" t="inlineStr">
        <is>
          <t>CONFIRMED against the ChargeTronix / Sinexcel SEC1000/1280F single-line (CE dwg 2025-06-25): 1,280 kW output, 480 VAC 3PH 4W, nameplate 2,320 A on (4) 700 A MCCB inputs at 580 A each (725 A at 125% -&gt; 800 A feeders), 16 DC outputs at 500 A with 800 A fuses, 8 dual dispensers. AC input carried as 2,320 A x 480 V x sqrt 3 = 1,928.9 kVA. The drawing's note 7: if the UL nameplate at 480 V is 2,000 A or less, a 2,500 A main, 600 A feeders and 1,500 kVA serve instead.</t>
        </is>
      </c>
      <c r="J120" s="299" t="n"/>
      <c r="K120" s="299" t="n"/>
      <c r="L120" s="299" t="n"/>
      <c r="M120" s="299" t="n"/>
      <c r="N120" s="299" t="n"/>
      <c r="O120" s="299" t="n"/>
      <c r="P120" s="299" t="n"/>
      <c r="Q120" s="299" t="n"/>
      <c r="R120" s="1561" t="n"/>
      <c r="S120" s="1561" t="n"/>
      <c r="T120" s="1561" t="n"/>
      <c r="U120" s="1561" t="n"/>
      <c r="V120" s="1561" t="n"/>
      <c r="W120" s="1561" t="n"/>
      <c r="X120" s="1561" t="n"/>
      <c r="Y120" s="1561" t="n"/>
      <c r="Z120" s="1561" t="n"/>
      <c r="AA120" s="1561" t="n"/>
      <c r="AB120" s="1561" t="n"/>
      <c r="AC120" s="1561" t="n"/>
      <c r="AD120" s="1561" t="n"/>
      <c r="AE120" s="1561" t="n"/>
      <c r="AF120" s="1561" t="n"/>
      <c r="AG120" s="1561" t="n"/>
    </row>
    <row r="121" ht="15" customHeight="1" s="254">
      <c r="A121" s="1480" t="inlineStr">
        <is>
          <t>CTX-DST-2-300</t>
        </is>
      </c>
      <c r="B121" s="1481" t="inlineStr">
        <is>
          <t>Dispenser — connectors only</t>
        </is>
      </c>
      <c r="C121" s="1481" t="n">
        <v>0</v>
      </c>
      <c r="D121" s="1481" t="n">
        <v>0</v>
      </c>
      <c r="E121" s="1481" t="n">
        <v>0</v>
      </c>
      <c r="F121" s="1481" t="n">
        <v>0</v>
      </c>
      <c r="G121" s="1481" t="n">
        <v>2</v>
      </c>
      <c r="H121" s="1481" t="n">
        <v>0</v>
      </c>
      <c r="I121" s="1482" t="inlineStr">
        <is>
          <t>PUBLISHED — 2 connectors CCS1/NACS, 200-1000 V, up to 2 input circuits per dispenser, load sharing across 2 EVs, 5 m cable, 15 in touchscreen, 241 kg.</t>
        </is>
      </c>
      <c r="J121" s="299" t="n"/>
      <c r="K121" s="299" t="n"/>
      <c r="L121" s="299" t="n"/>
      <c r="M121" s="299" t="n"/>
      <c r="N121" s="299" t="n"/>
      <c r="O121" s="299" t="n"/>
      <c r="P121" s="299" t="n"/>
      <c r="Q121" s="299" t="n"/>
      <c r="R121" s="1561" t="n"/>
      <c r="S121" s="1561" t="n"/>
      <c r="T121" s="1561" t="n"/>
      <c r="U121" s="1561" t="n"/>
      <c r="V121" s="1561" t="n"/>
      <c r="W121" s="1561" t="n"/>
      <c r="X121" s="1561" t="n"/>
      <c r="Y121" s="1561" t="n"/>
      <c r="Z121" s="1561" t="n"/>
      <c r="AA121" s="1561" t="n"/>
      <c r="AB121" s="1561" t="n"/>
      <c r="AC121" s="1561" t="n"/>
      <c r="AD121" s="1561" t="n"/>
      <c r="AE121" s="1561" t="n"/>
      <c r="AF121" s="1561" t="n"/>
      <c r="AG121" s="1561" t="n"/>
    </row>
    <row r="122" ht="15" customHeight="1" s="254">
      <c r="A122" s="1480" t="inlineStr">
        <is>
          <t>CTX-DST-HPC-2-500/300</t>
        </is>
      </c>
      <c r="B122" s="1481" t="inlineStr">
        <is>
          <t>Dispenser — connectors only</t>
        </is>
      </c>
      <c r="C122" s="1481" t="n">
        <v>0</v>
      </c>
      <c r="D122" s="1481" t="n">
        <v>0</v>
      </c>
      <c r="E122" s="1481" t="n">
        <v>0</v>
      </c>
      <c r="F122" s="1481" t="n">
        <v>0</v>
      </c>
      <c r="G122" s="1481" t="n">
        <v>2</v>
      </c>
      <c r="H122" s="1481" t="n">
        <v>0</v>
      </c>
      <c r="I122" s="1483" t="inlineStr">
        <is>
          <t>PUBLISHED — liquid-cooled connector rated 500 A, air-cooled 200/350 A boost to 400 A.</t>
        </is>
      </c>
      <c r="J122" s="299" t="n"/>
      <c r="K122" s="1561" t="n"/>
      <c r="L122" s="1561" t="n"/>
      <c r="M122" s="1561" t="n"/>
      <c r="N122" s="1561" t="n"/>
      <c r="O122" s="1561" t="n"/>
      <c r="P122" s="1561" t="n"/>
      <c r="Q122" s="1561" t="n"/>
      <c r="R122" s="1561" t="n"/>
      <c r="S122" s="1561" t="n"/>
      <c r="T122" s="1561" t="n"/>
      <c r="U122" s="1561" t="n"/>
      <c r="V122" s="1561" t="n"/>
      <c r="W122" s="1561" t="n"/>
      <c r="X122" s="1561" t="n"/>
      <c r="Y122" s="1561" t="n"/>
      <c r="Z122" s="1561" t="n"/>
      <c r="AA122" s="1561" t="n"/>
      <c r="AB122" s="1561" t="n"/>
      <c r="AC122" s="1561" t="n"/>
      <c r="AD122" s="1561" t="n"/>
      <c r="AE122" s="1561" t="n"/>
      <c r="AF122" s="1561" t="n"/>
      <c r="AG122" s="1561" t="n"/>
    </row>
    <row r="123" ht="15" customHeight="1" s="254">
      <c r="A123" s="1561" t="n"/>
      <c r="B123" s="1561" t="n"/>
      <c r="C123" s="1561" t="n"/>
      <c r="D123" s="1561" t="n"/>
      <c r="E123" s="1561" t="n"/>
      <c r="F123" s="1561" t="n"/>
      <c r="G123" s="1561" t="n"/>
      <c r="H123" s="1561" t="n"/>
      <c r="I123" s="1561" t="n"/>
      <c r="J123" s="1561" t="n"/>
      <c r="K123" s="1561" t="n"/>
      <c r="L123" s="1561" t="n"/>
      <c r="M123" s="1561" t="n"/>
      <c r="N123" s="1561" t="n"/>
      <c r="O123" s="1561" t="n"/>
      <c r="P123" s="1561" t="n"/>
      <c r="Q123" s="1561" t="n"/>
      <c r="R123" s="1561" t="n"/>
      <c r="S123" s="1561" t="n"/>
      <c r="T123" s="1561" t="n"/>
      <c r="U123" s="1561" t="n"/>
      <c r="V123" s="1561" t="n"/>
      <c r="W123" s="1561" t="n"/>
      <c r="X123" s="1561" t="n"/>
      <c r="Y123" s="1561" t="n"/>
      <c r="Z123" s="1561" t="n"/>
      <c r="AA123" s="1561" t="n"/>
      <c r="AB123" s="1561" t="n"/>
      <c r="AC123" s="1561" t="n"/>
      <c r="AD123" s="1561" t="n"/>
      <c r="AE123" s="1561" t="n"/>
      <c r="AF123" s="1561" t="n"/>
      <c r="AG123" s="1561" t="n"/>
    </row>
    <row r="124" ht="15" customHeight="1" s="254">
      <c r="A124" s="1484" t="inlineStr">
        <is>
          <t>MISSING FROM THE PRICE BOOK — Nexus Fleet Dispenser</t>
        </is>
      </c>
      <c r="B124" s="1561" t="n"/>
      <c r="C124" s="1177" t="inlineStr">
        <is>
          <t>single connector, CCS1/NACS air cooled 200/350 A, 50 kg, 5 m or 7 m cable, no user interface — in the published range but absent from the price book, so it cannot be quoted.</t>
        </is>
      </c>
      <c r="J124" s="1561" t="n"/>
      <c r="K124" s="1561" t="n"/>
      <c r="L124" s="1561" t="n"/>
      <c r="M124" s="1561" t="n"/>
      <c r="N124" s="1561" t="n"/>
      <c r="O124" s="1561" t="n"/>
      <c r="P124" s="1561" t="n"/>
      <c r="Q124" s="1561" t="n"/>
      <c r="R124" s="1561" t="n"/>
      <c r="S124" s="1561" t="n"/>
      <c r="T124" s="1561" t="n"/>
      <c r="U124" s="1561" t="n"/>
      <c r="V124" s="1561" t="n"/>
      <c r="W124" s="1561" t="n"/>
      <c r="X124" s="1561" t="n"/>
      <c r="Y124" s="1561" t="n"/>
      <c r="Z124" s="1561" t="n"/>
      <c r="AA124" s="1561" t="n"/>
      <c r="AB124" s="1561" t="n"/>
      <c r="AC124" s="1561" t="n"/>
      <c r="AD124" s="1561" t="n"/>
      <c r="AE124" s="1561" t="n"/>
      <c r="AF124" s="1561" t="n"/>
      <c r="AG124" s="1561" t="n"/>
    </row>
  </sheetData>
  <sheetProtection selectLockedCells="0" selectUnlockedCells="0" sheet="1" objects="0" insertRows="1" insertHyperlinks="1" autoFilter="1" scenarios="0" formatColumns="0" deleteColumns="1" insertColumns="1" pivotTables="1" deleteRows="1" formatCells="0" formatRows="0" sort="1"/>
  <mergeCells count="12">
    <mergeCell ref="A111:G111"/>
    <mergeCell ref="C124:I124"/>
    <mergeCell ref="A1:F1"/>
    <mergeCell ref="I118:Q118"/>
    <mergeCell ref="I119:Q119"/>
    <mergeCell ref="I120:Q120"/>
    <mergeCell ref="A115:H115"/>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7.xml><?xml version="1.0" encoding="utf-8"?>
<worksheet xmlns="http://schemas.openxmlformats.org/spreadsheetml/2006/main">
  <sheetPr filterMode="0">
    <tabColor rgb="007A7A7A"/>
    <outlinePr summaryBelow="1" summaryRight="1"/>
    <pageSetUpPr fitToPage="1"/>
  </sheetPr>
  <dimension ref="A1:G22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bottomLeft" activeCell="A4" sqref="A4"/>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15" customHeight="1" s="254">
      <c r="A1" s="1485" t="inlineStr">
        <is>
          <t>REFERENCE DATA</t>
        </is>
      </c>
      <c r="G1" s="1561" t="n"/>
    </row>
    <row r="2" ht="15" customHeight="1" s="254">
      <c r="A2" s="1486" t="inlineStr">
        <is>
          <t>Lookup tables used by the electrical checks and the costing engine.</t>
        </is>
      </c>
    </row>
    <row r="3" ht="15" customHeight="1" s="254">
      <c r="A3" s="1487" t="inlineStr">
        <is>
          <t>Amps required</t>
        </is>
      </c>
      <c r="B3" s="1487" t="inlineStr">
        <is>
          <t>Standard frame</t>
        </is>
      </c>
      <c r="C3" s="1561" t="n"/>
      <c r="D3" s="1487" t="inlineStr">
        <is>
          <t>Charger kW</t>
        </is>
      </c>
      <c r="E3" s="1487" t="inlineStr">
        <is>
          <t>Design amps</t>
        </is>
      </c>
      <c r="F3" s="1487" t="inlineStr">
        <is>
          <t>Breaker A</t>
        </is>
      </c>
      <c r="G3" s="1561" t="n"/>
    </row>
    <row r="4" ht="15" customHeight="1" s="254">
      <c r="A4" s="1455" t="n">
        <v>0</v>
      </c>
      <c r="B4" s="1455" t="n">
        <v>400</v>
      </c>
      <c r="C4" s="1561" t="n"/>
      <c r="D4" s="1455" t="n">
        <v>30</v>
      </c>
      <c r="E4" s="1455" t="n">
        <v>40</v>
      </c>
      <c r="F4" s="1455" t="n">
        <v>50</v>
      </c>
      <c r="G4" s="1561" t="n"/>
    </row>
    <row r="5" ht="15" customHeight="1" s="254">
      <c r="A5" s="1455" t="n">
        <v>400</v>
      </c>
      <c r="B5" s="1455" t="n">
        <v>600</v>
      </c>
      <c r="C5" s="1561" t="n"/>
      <c r="D5" s="1455" t="n">
        <v>50</v>
      </c>
      <c r="E5" s="1455" t="n">
        <v>72</v>
      </c>
      <c r="F5" s="1455" t="n">
        <v>100</v>
      </c>
      <c r="G5" s="1561" t="n"/>
    </row>
    <row r="6" ht="15" customHeight="1" s="254">
      <c r="A6" s="1455" t="n">
        <v>600</v>
      </c>
      <c r="B6" s="1455" t="n">
        <v>800</v>
      </c>
      <c r="C6" s="1561" t="n"/>
      <c r="D6" s="1455" t="n">
        <v>60</v>
      </c>
      <c r="E6" s="1455" t="n">
        <v>80</v>
      </c>
      <c r="F6" s="1455" t="n">
        <v>100</v>
      </c>
      <c r="G6" s="1561" t="n"/>
    </row>
    <row r="7" ht="15" customHeight="1" s="254">
      <c r="A7" s="1455" t="n">
        <v>800</v>
      </c>
      <c r="B7" s="1455" t="n">
        <v>1000</v>
      </c>
      <c r="C7" s="1561" t="n"/>
      <c r="D7" s="1455" t="n">
        <v>100</v>
      </c>
      <c r="E7" s="1455" t="n">
        <v>130</v>
      </c>
      <c r="F7" s="1455" t="n">
        <v>200</v>
      </c>
      <c r="G7" s="1561" t="n"/>
    </row>
    <row r="8" ht="15" customHeight="1" s="254">
      <c r="A8" s="1455" t="n">
        <v>1000</v>
      </c>
      <c r="B8" s="1455" t="n">
        <v>1200</v>
      </c>
      <c r="C8" s="1561" t="n"/>
      <c r="D8" s="1455" t="n">
        <v>120</v>
      </c>
      <c r="E8" s="1455" t="n">
        <v>160</v>
      </c>
      <c r="F8" s="1455" t="n">
        <v>200</v>
      </c>
      <c r="G8" s="1561" t="n"/>
    </row>
    <row r="9" ht="15" customHeight="1" s="254">
      <c r="A9" s="1455" t="n">
        <v>1200</v>
      </c>
      <c r="B9" s="1455" t="n">
        <v>1600</v>
      </c>
      <c r="C9" s="1561" t="n"/>
      <c r="D9" s="1455" t="n">
        <v>160</v>
      </c>
      <c r="E9" s="1455" t="n">
        <v>215</v>
      </c>
      <c r="F9" s="1455" t="n">
        <v>300</v>
      </c>
      <c r="G9" s="1561" t="n"/>
    </row>
    <row r="10" ht="15" customHeight="1" s="254">
      <c r="A10" s="1455" t="n">
        <v>1600</v>
      </c>
      <c r="B10" s="1455" t="n">
        <v>2000</v>
      </c>
      <c r="C10" s="1561" t="n"/>
      <c r="D10" s="1455" t="n">
        <v>180</v>
      </c>
      <c r="E10" s="1455" t="n">
        <v>240</v>
      </c>
      <c r="F10" s="1455" t="n">
        <v>300</v>
      </c>
      <c r="G10" s="1561" t="n"/>
    </row>
    <row r="11" ht="15" customHeight="1" s="254">
      <c r="A11" s="1455" t="n">
        <v>2000</v>
      </c>
      <c r="B11" s="1455" t="n">
        <v>2500</v>
      </c>
      <c r="C11" s="1561" t="n"/>
      <c r="D11" s="1455" t="n">
        <v>200</v>
      </c>
      <c r="E11" s="1455" t="n">
        <v>265</v>
      </c>
      <c r="F11" s="1455" t="n">
        <v>335</v>
      </c>
      <c r="G11" s="1561" t="n"/>
    </row>
    <row r="12" ht="15" customHeight="1" s="254">
      <c r="A12" s="1455" t="n">
        <v>2500</v>
      </c>
      <c r="B12" s="1455" t="n">
        <v>3000</v>
      </c>
      <c r="C12" s="1561" t="n"/>
      <c r="D12" s="1455" t="n">
        <v>240</v>
      </c>
      <c r="E12" s="1455" t="n">
        <v>320</v>
      </c>
      <c r="F12" s="1455" t="n">
        <v>400</v>
      </c>
      <c r="G12" s="1561" t="n"/>
    </row>
    <row r="13" ht="15" customHeight="1" s="254">
      <c r="A13" s="1455" t="n">
        <v>3000</v>
      </c>
      <c r="B13" s="1455" t="n">
        <v>4000</v>
      </c>
      <c r="C13" s="1561" t="n"/>
      <c r="D13" s="1455" t="n">
        <v>275</v>
      </c>
      <c r="E13" s="1455" t="n">
        <v>385</v>
      </c>
      <c r="F13" s="1455" t="n">
        <v>500</v>
      </c>
      <c r="G13" s="1561" t="n"/>
    </row>
    <row r="14" ht="15" customHeight="1" s="254">
      <c r="A14" s="1455" t="n">
        <v>4000</v>
      </c>
      <c r="B14" s="1455" t="n">
        <v>5000</v>
      </c>
      <c r="C14" s="1561" t="n"/>
      <c r="D14" s="1455" t="n">
        <v>300</v>
      </c>
      <c r="E14" s="1455" t="n">
        <v>400</v>
      </c>
      <c r="F14" s="1455" t="n">
        <v>500</v>
      </c>
      <c r="G14" s="1561" t="n"/>
    </row>
    <row r="15" ht="15" customHeight="1" s="254">
      <c r="A15" s="1455" t="n">
        <v>5000</v>
      </c>
      <c r="B15" s="1455" t="n">
        <v>6000</v>
      </c>
      <c r="C15" s="1561" t="n"/>
      <c r="D15" s="1455" t="n">
        <v>360</v>
      </c>
      <c r="E15" s="1455" t="n">
        <v>480</v>
      </c>
      <c r="F15" s="1455" t="n">
        <v>600</v>
      </c>
      <c r="G15" s="1561" t="n"/>
    </row>
    <row r="16" ht="15" customHeight="1" s="254">
      <c r="A16" s="1455" t="n">
        <v>6000</v>
      </c>
      <c r="B16" s="1455" t="n">
        <v>10000</v>
      </c>
      <c r="C16" s="1561" t="n"/>
      <c r="D16" s="1561" t="n"/>
      <c r="E16" s="1561" t="n"/>
      <c r="F16" s="1561" t="n"/>
      <c r="G16" s="1561" t="n"/>
    </row>
    <row r="17" ht="15" customHeight="1" s="254">
      <c r="A17" s="1561" t="n"/>
      <c r="B17" s="1561" t="n"/>
      <c r="C17" s="1561" t="n"/>
      <c r="D17" s="1561" t="n"/>
      <c r="E17" s="1561" t="n"/>
      <c r="F17" s="1561" t="n"/>
      <c r="G17" s="1561" t="n"/>
    </row>
    <row r="18" ht="15" customHeight="1" s="254">
      <c r="A18" s="1488" t="inlineStr">
        <is>
          <t>480V SWITCHGEAR AND BREAKER PRICES</t>
        </is>
      </c>
      <c r="B18" s="1561" t="n"/>
      <c r="C18" s="1561" t="n"/>
      <c r="D18" s="1561" t="n"/>
      <c r="E18" s="1561" t="n"/>
      <c r="F18" s="1561" t="n"/>
      <c r="G18" s="1561" t="n"/>
    </row>
    <row r="19" ht="15" customHeight="1" s="254">
      <c r="A19" s="1453" t="inlineStr">
        <is>
          <t>Item</t>
        </is>
      </c>
      <c r="B19" s="1453" t="inlineStr">
        <is>
          <t>Size</t>
        </is>
      </c>
      <c r="C19" s="1453" t="inlineStr">
        <is>
          <t>Cost</t>
        </is>
      </c>
      <c r="D19" s="1561" t="n"/>
      <c r="E19" s="1561" t="n"/>
      <c r="F19" s="1561" t="n"/>
      <c r="G19" s="1561" t="n"/>
    </row>
    <row r="20" ht="15" customHeight="1" s="254">
      <c r="A20" s="1455" t="inlineStr">
        <is>
          <t>Main</t>
        </is>
      </c>
      <c r="B20" s="1455" t="inlineStr">
        <is>
          <t>400A</t>
        </is>
      </c>
      <c r="C20" s="1456" t="n">
        <v>20426.82</v>
      </c>
      <c r="D20" s="1561" t="n"/>
      <c r="E20" s="1561" t="n"/>
      <c r="F20" s="1561" t="n"/>
      <c r="G20" s="1561" t="n"/>
    </row>
    <row r="21" ht="15" customHeight="1" s="254">
      <c r="A21" s="1455" t="inlineStr">
        <is>
          <t>Main</t>
        </is>
      </c>
      <c r="B21" s="1455" t="inlineStr">
        <is>
          <t>800A</t>
        </is>
      </c>
      <c r="C21" s="1456" t="n">
        <v>31187</v>
      </c>
      <c r="D21" s="1561" t="n"/>
      <c r="E21" s="1561" t="n"/>
      <c r="F21" s="1561" t="n"/>
      <c r="G21" s="1561" t="n"/>
    </row>
    <row r="22" ht="15" customHeight="1" s="254">
      <c r="A22" s="1455" t="inlineStr">
        <is>
          <t>Main</t>
        </is>
      </c>
      <c r="B22" s="1455" t="inlineStr">
        <is>
          <t>1000A</t>
        </is>
      </c>
      <c r="C22" s="1456" t="n">
        <v>36812.5</v>
      </c>
      <c r="D22" s="1561" t="n"/>
      <c r="E22" s="1561" t="n"/>
      <c r="F22" s="1561" t="n"/>
      <c r="G22" s="1561" t="n"/>
    </row>
    <row r="23" ht="15" customHeight="1" s="254">
      <c r="A23" s="1455" t="inlineStr">
        <is>
          <t>Main</t>
        </is>
      </c>
      <c r="B23" s="1455" t="inlineStr">
        <is>
          <t>1200A</t>
        </is>
      </c>
      <c r="C23" s="1456" t="n">
        <v>43292.68</v>
      </c>
      <c r="D23" s="1561" t="n"/>
      <c r="E23" s="1561" t="n"/>
      <c r="F23" s="1561" t="n"/>
      <c r="G23" s="1561" t="n"/>
    </row>
    <row r="24" ht="15" customHeight="1" s="254">
      <c r="A24" s="1455" t="inlineStr">
        <is>
          <t>Main</t>
        </is>
      </c>
      <c r="B24" s="1455" t="inlineStr">
        <is>
          <t>1600A</t>
        </is>
      </c>
      <c r="C24" s="1456" t="n">
        <v>56750</v>
      </c>
      <c r="D24" s="1561" t="n"/>
      <c r="E24" s="1561" t="n"/>
      <c r="F24" s="1561" t="n"/>
      <c r="G24" s="1561" t="n"/>
    </row>
    <row r="25" ht="15" customHeight="1" s="254">
      <c r="A25" s="1455" t="inlineStr">
        <is>
          <t>Main</t>
        </is>
      </c>
      <c r="B25" s="1455" t="inlineStr">
        <is>
          <t>2000A</t>
        </is>
      </c>
      <c r="C25" s="1456" t="n">
        <v>60000</v>
      </c>
      <c r="D25" s="1561" t="n"/>
      <c r="E25" s="1561" t="n"/>
      <c r="F25" s="1561" t="n"/>
      <c r="G25" s="1561" t="n"/>
    </row>
    <row r="26" ht="15" customHeight="1" s="254">
      <c r="A26" s="1455" t="inlineStr">
        <is>
          <t>Main</t>
        </is>
      </c>
      <c r="B26" s="1455" t="inlineStr">
        <is>
          <t>2500A</t>
        </is>
      </c>
      <c r="C26" s="1456" t="n">
        <v>58540</v>
      </c>
      <c r="D26" s="1561" t="n"/>
      <c r="E26" s="1561" t="n"/>
      <c r="F26" s="1561" t="n"/>
      <c r="G26" s="1561" t="n"/>
    </row>
    <row r="27" ht="15" customHeight="1" s="254">
      <c r="A27" s="1455" t="inlineStr">
        <is>
          <t>Main</t>
        </is>
      </c>
      <c r="B27" s="1455" t="inlineStr">
        <is>
          <t>3000A</t>
        </is>
      </c>
      <c r="C27" s="1456" t="n">
        <v>65000</v>
      </c>
      <c r="D27" s="1561" t="n"/>
      <c r="E27" s="1561" t="n"/>
      <c r="F27" s="1561" t="n"/>
      <c r="G27" s="1561" t="n"/>
    </row>
    <row r="28" ht="15" customHeight="1" s="254">
      <c r="A28" s="1455" t="inlineStr">
        <is>
          <t>Main</t>
        </is>
      </c>
      <c r="B28" s="1455" t="inlineStr">
        <is>
          <t>4000A</t>
        </is>
      </c>
      <c r="C28" s="1456" t="n">
        <v>67500</v>
      </c>
      <c r="D28" s="1561" t="n"/>
      <c r="E28" s="1561" t="n"/>
      <c r="F28" s="1561" t="n"/>
      <c r="G28" s="1561" t="n"/>
    </row>
    <row r="29" ht="15" customHeight="1" s="254">
      <c r="A29" s="1455" t="inlineStr">
        <is>
          <t>Main</t>
        </is>
      </c>
      <c r="B29" s="1455" t="inlineStr">
        <is>
          <t>5000A</t>
        </is>
      </c>
      <c r="C29" s="1456" t="n">
        <v>70000</v>
      </c>
      <c r="D29" s="1561" t="n"/>
      <c r="E29" s="1561" t="n"/>
      <c r="F29" s="1561" t="n"/>
      <c r="G29" s="1561" t="n"/>
    </row>
    <row r="30" ht="15" customHeight="1" s="254">
      <c r="A30" s="1455" t="inlineStr">
        <is>
          <t>main breakers</t>
        </is>
      </c>
      <c r="B30" s="1455" t="inlineStr">
        <is>
          <t>110A</t>
        </is>
      </c>
      <c r="C30" s="1456" t="n">
        <v>650</v>
      </c>
      <c r="D30" s="1561" t="n"/>
      <c r="E30" s="1561" t="n"/>
      <c r="F30" s="1561" t="n"/>
      <c r="G30" s="1561" t="n"/>
    </row>
    <row r="31" ht="15" customHeight="1" s="254">
      <c r="A31" s="1455" t="inlineStr">
        <is>
          <t>main breakers</t>
        </is>
      </c>
      <c r="B31" s="1455" t="inlineStr">
        <is>
          <t>125A</t>
        </is>
      </c>
      <c r="C31" s="1456" t="n">
        <v>700</v>
      </c>
      <c r="D31" s="1561" t="n"/>
      <c r="E31" s="1561" t="n"/>
      <c r="F31" s="1561" t="n"/>
      <c r="G31" s="1561" t="n"/>
    </row>
    <row r="32" ht="15" customHeight="1" s="254">
      <c r="A32" s="1455" t="inlineStr">
        <is>
          <t>main breakers</t>
        </is>
      </c>
      <c r="B32" s="1455" t="inlineStr">
        <is>
          <t>250A</t>
        </is>
      </c>
      <c r="C32" s="1456" t="n">
        <v>1100</v>
      </c>
      <c r="D32" s="1561" t="n"/>
      <c r="E32" s="1561" t="n"/>
      <c r="F32" s="1561" t="n"/>
      <c r="G32" s="1561" t="n"/>
    </row>
    <row r="33" ht="15" customHeight="1" s="254">
      <c r="A33" s="1455" t="inlineStr">
        <is>
          <t>main breakers</t>
        </is>
      </c>
      <c r="B33" s="1455" t="inlineStr">
        <is>
          <t>3000A</t>
        </is>
      </c>
      <c r="C33" s="1456" t="n">
        <v>32500</v>
      </c>
      <c r="D33" s="1561" t="n"/>
      <c r="E33" s="1561" t="n"/>
      <c r="F33" s="1561" t="n"/>
      <c r="G33" s="1561" t="n"/>
    </row>
    <row r="34" ht="15" customHeight="1" s="254">
      <c r="A34" s="1455" t="inlineStr">
        <is>
          <t>breakers</t>
        </is>
      </c>
      <c r="B34" s="1455" t="inlineStr">
        <is>
          <t>100A</t>
        </is>
      </c>
      <c r="C34" s="1456" t="n">
        <v>580</v>
      </c>
      <c r="D34" s="1561" t="n"/>
      <c r="E34" s="1561" t="n"/>
      <c r="F34" s="1561" t="n"/>
      <c r="G34" s="1561" t="n"/>
    </row>
    <row r="35" ht="15" customHeight="1" s="254">
      <c r="A35" s="1455" t="inlineStr">
        <is>
          <t>breakers</t>
        </is>
      </c>
      <c r="B35" s="1455" t="inlineStr">
        <is>
          <t>200A</t>
        </is>
      </c>
      <c r="C35" s="1456" t="n">
        <v>900</v>
      </c>
      <c r="D35" s="1561" t="n"/>
      <c r="E35" s="1561" t="n"/>
      <c r="F35" s="1561" t="n"/>
      <c r="G35" s="1561" t="n"/>
    </row>
    <row r="36" ht="15" customHeight="1" s="254">
      <c r="A36" s="1455" t="inlineStr">
        <is>
          <t>breakers</t>
        </is>
      </c>
      <c r="B36" s="1455" t="inlineStr">
        <is>
          <t>300A</t>
        </is>
      </c>
      <c r="C36" s="1456" t="n">
        <v>1450</v>
      </c>
      <c r="D36" s="1561" t="n"/>
      <c r="E36" s="1561" t="n"/>
      <c r="F36" s="1561" t="n"/>
      <c r="G36" s="1561" t="n"/>
    </row>
    <row r="37" ht="15" customHeight="1" s="254">
      <c r="A37" s="1455" t="inlineStr">
        <is>
          <t>breakers</t>
        </is>
      </c>
      <c r="B37" s="1455" t="inlineStr">
        <is>
          <t>500A</t>
        </is>
      </c>
      <c r="C37" s="1456" t="n">
        <v>3100</v>
      </c>
      <c r="D37" s="1561" t="n"/>
      <c r="E37" s="1561" t="n"/>
      <c r="F37" s="1561" t="n"/>
      <c r="G37" s="1561" t="n"/>
    </row>
    <row r="38" ht="15" customHeight="1" s="254">
      <c r="A38" s="1455" t="inlineStr">
        <is>
          <t>breakers</t>
        </is>
      </c>
      <c r="B38" s="1455" t="inlineStr">
        <is>
          <t>600A</t>
        </is>
      </c>
      <c r="C38" s="1456" t="n">
        <v>3700</v>
      </c>
      <c r="D38" s="1561" t="n"/>
      <c r="E38" s="1561" t="n"/>
      <c r="F38" s="1561" t="n"/>
      <c r="G38" s="1561" t="n"/>
    </row>
    <row r="39" ht="15" customHeight="1" s="254">
      <c r="A39" s="1455" t="inlineStr">
        <is>
          <t>disconnects</t>
        </is>
      </c>
      <c r="B39" s="1455" t="inlineStr">
        <is>
          <t>500A</t>
        </is>
      </c>
      <c r="C39" s="1456" t="n">
        <v>4000</v>
      </c>
      <c r="D39" s="1561" t="n"/>
      <c r="E39" s="1561" t="n"/>
      <c r="F39" s="1561" t="n"/>
      <c r="G39" s="1561" t="n"/>
    </row>
    <row r="40" ht="15" customHeight="1" s="254">
      <c r="A40" s="1488" t="inlineStr">
        <is>
          <t>CONDUCTOR AND CONDUIT — $ PER FOOT</t>
        </is>
      </c>
      <c r="B40" s="1561" t="n"/>
      <c r="C40" s="1561" t="n"/>
      <c r="D40" s="1561" t="n"/>
      <c r="E40" s="1561" t="n"/>
      <c r="F40" s="1561" t="n"/>
      <c r="G40" s="1561" t="n"/>
    </row>
    <row r="41" ht="15" customHeight="1" s="254">
      <c r="A41" s="1453" t="inlineStr">
        <is>
          <t>Wire size</t>
        </is>
      </c>
      <c r="B41" s="1453" t="inlineStr">
        <is>
          <t>Copper $/ft</t>
        </is>
      </c>
      <c r="C41" s="1453" t="inlineStr">
        <is>
          <t>Aluminium $/ft</t>
        </is>
      </c>
      <c r="D41" s="1453" t="inlineStr">
        <is>
          <t>Conduit size</t>
        </is>
      </c>
      <c r="E41" s="1453" t="inlineStr">
        <is>
          <t>PVC $/ft</t>
        </is>
      </c>
      <c r="F41" s="1561" t="n"/>
      <c r="G41" s="1561" t="n"/>
    </row>
    <row r="42" ht="15" customHeight="1" s="254">
      <c r="A42" s="1455" t="inlineStr">
        <is>
          <t>10 AWG</t>
        </is>
      </c>
      <c r="B42" s="1489" t="n">
        <v>0.30329</v>
      </c>
      <c r="C42" s="1489" t="n">
        <v>0.28</v>
      </c>
      <c r="D42" s="1455" t="inlineStr">
        <is>
          <t>(1/2")</t>
        </is>
      </c>
      <c r="E42" s="1489" t="n">
        <v>0.2445</v>
      </c>
      <c r="F42" s="1561" t="n"/>
      <c r="G42" s="1561" t="n"/>
    </row>
    <row r="43" ht="15" customHeight="1" s="254">
      <c r="A43" s="1455" t="inlineStr">
        <is>
          <t>8 AWG</t>
        </is>
      </c>
      <c r="B43" s="1489" t="n">
        <v>0.56613</v>
      </c>
      <c r="C43" s="1561" t="n"/>
      <c r="D43" s="1455" t="inlineStr">
        <is>
          <t>(3/4")</t>
        </is>
      </c>
      <c r="E43" s="1489" t="n">
        <v>0.2912</v>
      </c>
      <c r="F43" s="1561" t="n"/>
      <c r="G43" s="1561" t="n"/>
    </row>
    <row r="44" ht="15" customHeight="1" s="254">
      <c r="A44" s="1455" t="inlineStr">
        <is>
          <t>6 AWG</t>
        </is>
      </c>
      <c r="B44" s="1489" t="n">
        <v>0.87104</v>
      </c>
      <c r="C44" s="1489" t="n">
        <v>0.30636</v>
      </c>
      <c r="D44" s="1455" t="inlineStr">
        <is>
          <t>(1")</t>
        </is>
      </c>
      <c r="E44" s="1489" t="n">
        <v>0.4698</v>
      </c>
      <c r="F44" s="1561" t="n"/>
      <c r="G44" s="1561" t="n"/>
    </row>
    <row r="45" ht="15" customHeight="1" s="254">
      <c r="A45" s="1455" t="inlineStr">
        <is>
          <t>4 AWG</t>
        </is>
      </c>
      <c r="B45" s="1489" t="n">
        <v>1.33293</v>
      </c>
      <c r="C45" s="1489" t="n">
        <v>0.37998</v>
      </c>
      <c r="D45" s="1455" t="inlineStr">
        <is>
          <t>(1 1/4")</t>
        </is>
      </c>
      <c r="E45" s="1489" t="n">
        <v>0.6155</v>
      </c>
      <c r="F45" s="1561" t="n"/>
      <c r="G45" s="1561" t="n"/>
    </row>
    <row r="46" ht="15" customHeight="1" s="254">
      <c r="A46" s="1455" t="inlineStr">
        <is>
          <t>2 AWG</t>
        </is>
      </c>
      <c r="B46" s="1489" t="n">
        <v>2.1044</v>
      </c>
      <c r="C46" s="1489" t="n">
        <v>0.36681</v>
      </c>
      <c r="D46" s="1455" t="inlineStr">
        <is>
          <t>(1 1/2")</t>
        </is>
      </c>
      <c r="E46" s="1489" t="n">
        <v>0.7129</v>
      </c>
      <c r="F46" s="1561" t="n"/>
      <c r="G46" s="1561" t="n"/>
    </row>
    <row r="47" ht="15" customHeight="1" s="254">
      <c r="A47" s="1455" t="inlineStr">
        <is>
          <t>1 AWG</t>
        </is>
      </c>
      <c r="B47" s="1489" t="n">
        <v>2.39833</v>
      </c>
      <c r="C47" s="1489" t="n">
        <v>0.4821</v>
      </c>
      <c r="D47" s="1455" t="inlineStr">
        <is>
          <t>(2")</t>
        </is>
      </c>
      <c r="E47" s="1489" t="n">
        <v>0.8897</v>
      </c>
      <c r="F47" s="1561" t="n"/>
      <c r="G47" s="1561" t="n"/>
    </row>
    <row r="48" ht="15" customHeight="1" s="254">
      <c r="A48" s="1455" t="inlineStr">
        <is>
          <t>1 /0</t>
        </is>
      </c>
      <c r="B48" s="1489" t="n">
        <v>2.95304</v>
      </c>
      <c r="C48" s="1489" t="n">
        <v>0.66733</v>
      </c>
      <c r="D48" s="1455" t="inlineStr">
        <is>
          <t>(2 1/2")</t>
        </is>
      </c>
      <c r="E48" s="1489" t="n">
        <v>1.396</v>
      </c>
      <c r="F48" s="1561" t="n"/>
      <c r="G48" s="1561" t="n"/>
    </row>
    <row r="49" ht="15" customHeight="1" s="254">
      <c r="A49" s="1455" t="inlineStr">
        <is>
          <t>2 /0</t>
        </is>
      </c>
      <c r="B49" s="1489" t="n">
        <v>3.63758</v>
      </c>
      <c r="C49" s="1489" t="n">
        <v>0.75045</v>
      </c>
      <c r="D49" s="1455" t="inlineStr">
        <is>
          <t xml:space="preserve">(3") </t>
        </is>
      </c>
      <c r="E49" s="1489" t="n">
        <v>1.7033</v>
      </c>
      <c r="F49" s="1561" t="n"/>
      <c r="G49" s="1561" t="n"/>
    </row>
    <row r="50" ht="15" customHeight="1" s="254">
      <c r="A50" s="1455" t="inlineStr">
        <is>
          <t>3 /0</t>
        </is>
      </c>
      <c r="B50" s="1489" t="n">
        <v>4.5658</v>
      </c>
      <c r="C50" s="1489" t="n">
        <v>0.88701</v>
      </c>
      <c r="D50" s="1455" t="inlineStr">
        <is>
          <t>(3  1/2")</t>
        </is>
      </c>
      <c r="E50" s="1489" t="n">
        <v>2.25</v>
      </c>
      <c r="F50" s="1561" t="n"/>
      <c r="G50" s="1561" t="n"/>
    </row>
    <row r="51" ht="15" customHeight="1" s="254">
      <c r="A51" s="1455" t="inlineStr">
        <is>
          <t>4 /0</t>
        </is>
      </c>
      <c r="B51" s="1489" t="n">
        <v>5.73045</v>
      </c>
      <c r="C51" s="1489" t="n">
        <v>1.09956</v>
      </c>
      <c r="D51" s="1455" t="inlineStr">
        <is>
          <t>(4")</t>
        </is>
      </c>
      <c r="E51" s="1489" t="n">
        <v>2.3164</v>
      </c>
      <c r="F51" s="1561" t="n"/>
      <c r="G51" s="1561" t="n"/>
    </row>
    <row r="52" ht="15" customHeight="1" s="254">
      <c r="A52" s="1455" t="inlineStr">
        <is>
          <t>250 KCMIL</t>
        </is>
      </c>
      <c r="B52" s="1489" t="n">
        <v>6.64016</v>
      </c>
      <c r="C52" s="1489" t="n">
        <v>1.2278</v>
      </c>
      <c r="D52" s="1455" t="inlineStr">
        <is>
          <t>(5")</t>
        </is>
      </c>
      <c r="E52" s="1489" t="n">
        <v>3.3106</v>
      </c>
      <c r="F52" s="1561" t="n"/>
      <c r="G52" s="1561" t="n"/>
    </row>
    <row r="53" ht="15" customHeight="1" s="254">
      <c r="A53" s="1455" t="inlineStr">
        <is>
          <t>300 KCMIL</t>
        </is>
      </c>
      <c r="B53" s="1489" t="n">
        <v>7.9632</v>
      </c>
      <c r="C53" s="1489" t="n">
        <v>1.49616</v>
      </c>
      <c r="D53" s="1561" t="n"/>
      <c r="E53" s="1561" t="n"/>
      <c r="F53" s="1561" t="n"/>
      <c r="G53" s="1561" t="n"/>
    </row>
    <row r="54" ht="15" customHeight="1" s="254">
      <c r="A54" s="1455" t="inlineStr">
        <is>
          <t>350 KCMIL</t>
        </is>
      </c>
      <c r="B54" s="1489" t="n">
        <v>9.324159999999999</v>
      </c>
      <c r="C54" s="1489" t="n">
        <v>2.06137</v>
      </c>
      <c r="D54" s="1561" t="n"/>
      <c r="E54" s="1561" t="n"/>
      <c r="F54" s="1561" t="n"/>
      <c r="G54" s="1561" t="n"/>
    </row>
    <row r="55" ht="15" customHeight="1" s="254">
      <c r="A55" s="1455" t="inlineStr">
        <is>
          <t>400 KCMIL</t>
        </is>
      </c>
      <c r="B55" s="1489" t="n">
        <v>10.60671</v>
      </c>
      <c r="C55" s="1489" t="n">
        <v>2.10412</v>
      </c>
      <c r="D55" s="1561" t="n"/>
      <c r="E55" s="1561" t="n"/>
      <c r="F55" s="1561" t="n"/>
      <c r="G55" s="1561" t="n"/>
    </row>
    <row r="56" ht="15" customHeight="1" s="254">
      <c r="A56" s="1455" t="inlineStr">
        <is>
          <t>450 KCMIL</t>
        </is>
      </c>
      <c r="B56" s="1489" t="n">
        <v>11.334</v>
      </c>
      <c r="C56" s="1489" t="n">
        <v>2.7204</v>
      </c>
      <c r="D56" s="1561" t="n"/>
      <c r="E56" s="1561" t="n"/>
      <c r="F56" s="1561" t="n"/>
      <c r="G56" s="1561" t="n"/>
    </row>
    <row r="57" ht="15" customHeight="1" s="254">
      <c r="A57" s="1455" t="inlineStr">
        <is>
          <t>500 KCMIL</t>
        </is>
      </c>
      <c r="B57" s="1489" t="n">
        <v>13.30059</v>
      </c>
      <c r="C57" s="1489" t="n">
        <v>2.7204</v>
      </c>
      <c r="D57" s="1561" t="n"/>
      <c r="E57" s="1561" t="n"/>
      <c r="F57" s="1561" t="n"/>
      <c r="G57" s="1561" t="n"/>
    </row>
    <row r="58" ht="15" customHeight="1" s="254">
      <c r="A58" s="1455" t="inlineStr">
        <is>
          <t>600 KCMIL</t>
        </is>
      </c>
      <c r="B58" s="1489" t="n">
        <v>16.57382</v>
      </c>
      <c r="C58" s="1489" t="n">
        <v>2.7204</v>
      </c>
      <c r="D58" s="1561" t="n"/>
      <c r="E58" s="1561" t="n"/>
      <c r="F58" s="1561" t="n"/>
      <c r="G58" s="1561" t="n"/>
    </row>
    <row r="59" ht="15" customHeight="1" s="254">
      <c r="A59" s="1455" t="inlineStr">
        <is>
          <t>750 KCMIL</t>
        </is>
      </c>
      <c r="B59" s="1489" t="n">
        <v>25.921</v>
      </c>
      <c r="C59" s="1489" t="n">
        <v>4.809</v>
      </c>
      <c r="D59" s="1561" t="n"/>
      <c r="E59" s="1561" t="n"/>
      <c r="F59" s="1561" t="n"/>
      <c r="G59" s="1561" t="n"/>
    </row>
    <row r="60" ht="15" customHeight="1" s="254">
      <c r="A60" s="1455" t="inlineStr">
        <is>
          <t>1000 KCMIL</t>
        </is>
      </c>
      <c r="B60" s="1489" t="n">
        <v>34.398</v>
      </c>
      <c r="C60" s="1489" t="n">
        <v>7.566</v>
      </c>
      <c r="D60" s="1561" t="n"/>
      <c r="E60" s="1561" t="n"/>
      <c r="F60" s="1561" t="n"/>
      <c r="G60" s="1561" t="n"/>
    </row>
    <row r="61" ht="15" customHeight="1" s="254">
      <c r="A61" s="1561" t="n"/>
      <c r="B61" s="1561" t="n"/>
      <c r="C61" s="1561" t="n"/>
      <c r="D61" s="1561" t="n"/>
      <c r="E61" s="1561" t="n"/>
      <c r="F61" s="1561" t="n"/>
      <c r="G61" s="1561" t="n"/>
    </row>
    <row r="62" ht="15" customHeight="1" s="254">
      <c r="A62" s="1561" t="n"/>
      <c r="B62" s="1561" t="n"/>
      <c r="C62" s="1561" t="n"/>
      <c r="D62" s="1561" t="n"/>
      <c r="E62" s="1561" t="n"/>
      <c r="F62" s="1561" t="n"/>
      <c r="G62" s="1561" t="n"/>
    </row>
    <row r="63" ht="15" customHeight="1" s="254">
      <c r="A63" s="1490" t="inlineStr">
        <is>
          <t>CONDUCTOR AMPACITY — NEC Table 310.16</t>
        </is>
      </c>
      <c r="B63" s="1561" t="n"/>
      <c r="C63" s="1561" t="n"/>
      <c r="D63" s="1561" t="n"/>
      <c r="E63" s="1561" t="n"/>
      <c r="F63" s="1561" t="n"/>
      <c r="G63" s="1561" t="n"/>
    </row>
    <row r="64" ht="25.5" customHeight="1" s="254">
      <c r="A64" s="1491"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5" customHeight="1" s="254">
      <c r="A65" s="1478" t="inlineStr">
        <is>
          <t>Size</t>
        </is>
      </c>
      <c r="B65" s="1478" t="inlineStr">
        <is>
          <t>Cu-60</t>
        </is>
      </c>
      <c r="C65" s="1478" t="inlineStr">
        <is>
          <t>Cu-75</t>
        </is>
      </c>
      <c r="D65" s="1478" t="inlineStr">
        <is>
          <t>Cu-90</t>
        </is>
      </c>
      <c r="E65" s="1478" t="inlineStr">
        <is>
          <t>Al-60</t>
        </is>
      </c>
      <c r="F65" s="1478" t="inlineStr">
        <is>
          <t>Al-75</t>
        </is>
      </c>
      <c r="G65" s="1478" t="inlineStr">
        <is>
          <t>Al-90</t>
        </is>
      </c>
    </row>
    <row r="66" ht="15" customHeight="1" s="254">
      <c r="A66" s="1472" t="inlineStr">
        <is>
          <t>10 AWG</t>
        </is>
      </c>
      <c r="B66" s="1492" t="n">
        <v>30</v>
      </c>
      <c r="C66" s="1492" t="n">
        <v>35</v>
      </c>
      <c r="D66" s="1492" t="n">
        <v>40</v>
      </c>
      <c r="E66" s="1492" t="n">
        <v>25</v>
      </c>
      <c r="F66" s="1492" t="n">
        <v>30</v>
      </c>
      <c r="G66" s="1492" t="n">
        <v>35</v>
      </c>
    </row>
    <row r="67" ht="15" customHeight="1" s="254">
      <c r="A67" s="1472" t="inlineStr">
        <is>
          <t>8 AWG</t>
        </is>
      </c>
      <c r="B67" s="1492" t="n">
        <v>40</v>
      </c>
      <c r="C67" s="1492" t="n">
        <v>50</v>
      </c>
      <c r="D67" s="1492" t="n">
        <v>55</v>
      </c>
      <c r="E67" s="1492" t="n">
        <v>35</v>
      </c>
      <c r="F67" s="1492" t="n">
        <v>40</v>
      </c>
      <c r="G67" s="1492" t="n">
        <v>45</v>
      </c>
    </row>
    <row r="68" ht="15" customHeight="1" s="254">
      <c r="A68" s="1472" t="inlineStr">
        <is>
          <t>6 AWG</t>
        </is>
      </c>
      <c r="B68" s="1492" t="n">
        <v>55</v>
      </c>
      <c r="C68" s="1492" t="n">
        <v>65</v>
      </c>
      <c r="D68" s="1492" t="n">
        <v>75</v>
      </c>
      <c r="E68" s="1492" t="n">
        <v>40</v>
      </c>
      <c r="F68" s="1492" t="n">
        <v>50</v>
      </c>
      <c r="G68" s="1492" t="n">
        <v>55</v>
      </c>
    </row>
    <row r="69" ht="15" customHeight="1" s="254">
      <c r="A69" s="1472" t="inlineStr">
        <is>
          <t>4 AWG</t>
        </is>
      </c>
      <c r="B69" s="1492" t="n">
        <v>70</v>
      </c>
      <c r="C69" s="1492" t="n">
        <v>85</v>
      </c>
      <c r="D69" s="1492" t="n">
        <v>95</v>
      </c>
      <c r="E69" s="1492" t="n">
        <v>55</v>
      </c>
      <c r="F69" s="1492" t="n">
        <v>65</v>
      </c>
      <c r="G69" s="1492" t="n">
        <v>75</v>
      </c>
    </row>
    <row r="70" ht="15" customHeight="1" s="254">
      <c r="A70" s="1472" t="inlineStr">
        <is>
          <t>2 AWG</t>
        </is>
      </c>
      <c r="B70" s="1492" t="n">
        <v>95</v>
      </c>
      <c r="C70" s="1492" t="n">
        <v>115</v>
      </c>
      <c r="D70" s="1492" t="n">
        <v>130</v>
      </c>
      <c r="E70" s="1492" t="n">
        <v>75</v>
      </c>
      <c r="F70" s="1492" t="n">
        <v>90</v>
      </c>
      <c r="G70" s="1492" t="n">
        <v>100</v>
      </c>
    </row>
    <row r="71" ht="15" customHeight="1" s="254">
      <c r="A71" s="1472" t="inlineStr">
        <is>
          <t>1 AWG</t>
        </is>
      </c>
      <c r="B71" s="1492" t="n">
        <v>110</v>
      </c>
      <c r="C71" s="1492" t="n">
        <v>130</v>
      </c>
      <c r="D71" s="1492" t="n">
        <v>145</v>
      </c>
      <c r="E71" s="1492" t="n">
        <v>85</v>
      </c>
      <c r="F71" s="1492" t="n">
        <v>100</v>
      </c>
      <c r="G71" s="1492" t="n">
        <v>115</v>
      </c>
    </row>
    <row r="72" ht="15" customHeight="1" s="254">
      <c r="A72" s="1472" t="inlineStr">
        <is>
          <t>1 /0</t>
        </is>
      </c>
      <c r="B72" s="1492" t="n">
        <v>125</v>
      </c>
      <c r="C72" s="1492" t="n">
        <v>150</v>
      </c>
      <c r="D72" s="1492" t="n">
        <v>170</v>
      </c>
      <c r="E72" s="1492" t="n">
        <v>100</v>
      </c>
      <c r="F72" s="1492" t="n">
        <v>120</v>
      </c>
      <c r="G72" s="1492" t="n">
        <v>135</v>
      </c>
    </row>
    <row r="73" ht="15" customHeight="1" s="254">
      <c r="A73" s="1472" t="inlineStr">
        <is>
          <t>2 /0</t>
        </is>
      </c>
      <c r="B73" s="1492" t="n">
        <v>145</v>
      </c>
      <c r="C73" s="1492" t="n">
        <v>175</v>
      </c>
      <c r="D73" s="1492" t="n">
        <v>195</v>
      </c>
      <c r="E73" s="1492" t="n">
        <v>115</v>
      </c>
      <c r="F73" s="1492" t="n">
        <v>135</v>
      </c>
      <c r="G73" s="1492" t="n">
        <v>150</v>
      </c>
    </row>
    <row r="74" ht="15" customHeight="1" s="254">
      <c r="A74" s="1472" t="inlineStr">
        <is>
          <t>3 /0</t>
        </is>
      </c>
      <c r="B74" s="1492" t="n">
        <v>165</v>
      </c>
      <c r="C74" s="1492" t="n">
        <v>200</v>
      </c>
      <c r="D74" s="1492" t="n">
        <v>225</v>
      </c>
      <c r="E74" s="1492" t="n">
        <v>130</v>
      </c>
      <c r="F74" s="1492" t="n">
        <v>155</v>
      </c>
      <c r="G74" s="1492" t="n">
        <v>175</v>
      </c>
    </row>
    <row r="75" ht="15" customHeight="1" s="254">
      <c r="A75" s="1472" t="inlineStr">
        <is>
          <t>4 /0</t>
        </is>
      </c>
      <c r="B75" s="1492" t="n">
        <v>195</v>
      </c>
      <c r="C75" s="1492" t="n">
        <v>230</v>
      </c>
      <c r="D75" s="1492" t="n">
        <v>260</v>
      </c>
      <c r="E75" s="1492" t="n">
        <v>150</v>
      </c>
      <c r="F75" s="1492" t="n">
        <v>180</v>
      </c>
      <c r="G75" s="1492" t="n">
        <v>205</v>
      </c>
    </row>
    <row r="76" ht="15" customHeight="1" s="254">
      <c r="A76" s="1472" t="inlineStr">
        <is>
          <t>250 KCMIL</t>
        </is>
      </c>
      <c r="B76" s="1492" t="n">
        <v>215</v>
      </c>
      <c r="C76" s="1492" t="n">
        <v>255</v>
      </c>
      <c r="D76" s="1492" t="n">
        <v>290</v>
      </c>
      <c r="E76" s="1492" t="n">
        <v>170</v>
      </c>
      <c r="F76" s="1492" t="n">
        <v>205</v>
      </c>
      <c r="G76" s="1492" t="n">
        <v>230</v>
      </c>
    </row>
    <row r="77" ht="15" customHeight="1" s="254">
      <c r="A77" s="1472" t="inlineStr">
        <is>
          <t>300 KCMIL</t>
        </is>
      </c>
      <c r="B77" s="1492" t="n">
        <v>240</v>
      </c>
      <c r="C77" s="1492" t="n">
        <v>285</v>
      </c>
      <c r="D77" s="1492" t="n">
        <v>320</v>
      </c>
      <c r="E77" s="1492" t="n">
        <v>195</v>
      </c>
      <c r="F77" s="1492" t="n">
        <v>230</v>
      </c>
      <c r="G77" s="1492" t="n">
        <v>260</v>
      </c>
    </row>
    <row r="78" ht="15" customHeight="1" s="254">
      <c r="A78" s="1472" t="inlineStr">
        <is>
          <t>350 KCMIL</t>
        </is>
      </c>
      <c r="B78" s="1492" t="n">
        <v>260</v>
      </c>
      <c r="C78" s="1492" t="n">
        <v>310</v>
      </c>
      <c r="D78" s="1492" t="n">
        <v>350</v>
      </c>
      <c r="E78" s="1492" t="n">
        <v>210</v>
      </c>
      <c r="F78" s="1492" t="n">
        <v>250</v>
      </c>
      <c r="G78" s="1492" t="n">
        <v>280</v>
      </c>
    </row>
    <row r="79" ht="15" customHeight="1" s="254">
      <c r="A79" s="1472" t="inlineStr">
        <is>
          <t>400 KCMIL</t>
        </is>
      </c>
      <c r="B79" s="1492" t="n">
        <v>280</v>
      </c>
      <c r="C79" s="1492" t="n">
        <v>335</v>
      </c>
      <c r="D79" s="1492" t="n">
        <v>380</v>
      </c>
      <c r="E79" s="1492" t="n">
        <v>225</v>
      </c>
      <c r="F79" s="1492" t="n">
        <v>270</v>
      </c>
      <c r="G79" s="1492" t="n">
        <v>305</v>
      </c>
    </row>
    <row r="80" ht="15" customHeight="1" s="254">
      <c r="A80" s="1472" t="inlineStr">
        <is>
          <t>450 KCMIL</t>
        </is>
      </c>
      <c r="B80" s="1492" t="n"/>
      <c r="C80" s="1492" t="n"/>
      <c r="D80" s="1492" t="n"/>
      <c r="E80" s="1492" t="n"/>
      <c r="F80" s="1492" t="n"/>
      <c r="G80" s="1492" t="n"/>
    </row>
    <row r="81" ht="15" customHeight="1" s="254">
      <c r="A81" s="1472" t="inlineStr">
        <is>
          <t>500 KCMIL</t>
        </is>
      </c>
      <c r="B81" s="1492" t="n">
        <v>320</v>
      </c>
      <c r="C81" s="1492" t="n">
        <v>380</v>
      </c>
      <c r="D81" s="1492" t="n">
        <v>430</v>
      </c>
      <c r="E81" s="1492" t="n">
        <v>260</v>
      </c>
      <c r="F81" s="1492" t="n">
        <v>310</v>
      </c>
      <c r="G81" s="1492" t="n">
        <v>350</v>
      </c>
    </row>
    <row r="82" ht="15" customHeight="1" s="254">
      <c r="A82" s="1472" t="inlineStr">
        <is>
          <t>600 KCMIL</t>
        </is>
      </c>
      <c r="B82" s="1492" t="n">
        <v>350</v>
      </c>
      <c r="C82" s="1492" t="n">
        <v>420</v>
      </c>
      <c r="D82" s="1492" t="n">
        <v>475</v>
      </c>
      <c r="E82" s="1492" t="n">
        <v>285</v>
      </c>
      <c r="F82" s="1492" t="n">
        <v>340</v>
      </c>
      <c r="G82" s="1492" t="n">
        <v>385</v>
      </c>
    </row>
    <row r="83" ht="15" customHeight="1" s="254">
      <c r="A83" s="1472" t="inlineStr">
        <is>
          <t>750 KCMIL</t>
        </is>
      </c>
      <c r="B83" s="1492" t="n">
        <v>400</v>
      </c>
      <c r="C83" s="1492" t="n">
        <v>475</v>
      </c>
      <c r="D83" s="1492" t="n">
        <v>535</v>
      </c>
      <c r="E83" s="1492" t="n">
        <v>320</v>
      </c>
      <c r="F83" s="1492" t="n">
        <v>385</v>
      </c>
      <c r="G83" s="1492" t="n">
        <v>435</v>
      </c>
    </row>
    <row r="84" ht="15" customHeight="1" s="254">
      <c r="A84" s="1472" t="inlineStr">
        <is>
          <t>1000 KCMIL</t>
        </is>
      </c>
      <c r="B84" s="1492" t="n">
        <v>455</v>
      </c>
      <c r="C84" s="1492" t="n">
        <v>545</v>
      </c>
      <c r="D84" s="1492" t="n">
        <v>615</v>
      </c>
      <c r="E84" s="1492" t="n">
        <v>375</v>
      </c>
      <c r="F84" s="1492" t="n">
        <v>445</v>
      </c>
      <c r="G84" s="1492" t="n">
        <v>500</v>
      </c>
    </row>
    <row r="85" ht="15" customHeight="1" s="254">
      <c r="A85" s="1561" t="n"/>
      <c r="B85" s="1561" t="n"/>
      <c r="C85" s="1561" t="n"/>
      <c r="D85" s="1561" t="n"/>
      <c r="E85" s="1561" t="n"/>
      <c r="F85" s="1561" t="n"/>
      <c r="G85" s="1561" t="n"/>
    </row>
    <row r="86" ht="15" customHeight="1" s="254">
      <c r="A86" s="1561" t="n"/>
      <c r="B86" s="1561" t="n"/>
      <c r="C86" s="1561" t="n"/>
      <c r="D86" s="1561" t="n"/>
      <c r="E86" s="1561" t="n"/>
      <c r="F86" s="1561" t="n"/>
      <c r="G86" s="1561" t="n"/>
    </row>
    <row r="87" ht="15" customHeight="1" s="254">
      <c r="A87" s="1493" t="inlineStr">
        <is>
          <t>AMBIENT TEMPERATURE CORRECTION — NEC Table 310.15(B)(1)(1)</t>
        </is>
      </c>
      <c r="B87" s="299" t="n"/>
      <c r="C87" s="299" t="n"/>
      <c r="D87" s="299" t="n"/>
      <c r="E87" s="299" t="n"/>
      <c r="F87" s="299" t="n"/>
      <c r="G87" s="299" t="n"/>
    </row>
    <row r="88" ht="25.5" customHeight="1" s="254">
      <c r="A88" s="1491"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c r="E88" s="1561" t="n"/>
      <c r="F88" s="1561" t="n"/>
      <c r="G88" s="1561" t="n"/>
    </row>
    <row r="89" ht="15" customHeight="1" s="254">
      <c r="A89" s="1478" t="inlineStr">
        <is>
          <t>Up to C</t>
        </is>
      </c>
      <c r="B89" s="1478" t="inlineStr">
        <is>
          <t>60</t>
        </is>
      </c>
      <c r="C89" s="1478" t="inlineStr">
        <is>
          <t>75</t>
        </is>
      </c>
      <c r="D89" s="1478" t="inlineStr">
        <is>
          <t>90</t>
        </is>
      </c>
      <c r="E89" s="1561" t="n"/>
      <c r="F89" s="1561" t="n"/>
      <c r="G89" s="1561" t="n"/>
    </row>
    <row r="90" ht="15" customHeight="1" s="254">
      <c r="A90" s="1492" t="n">
        <v>10</v>
      </c>
      <c r="B90" s="1494" t="n">
        <v>1.29</v>
      </c>
      <c r="C90" s="1494" t="n">
        <v>1.2</v>
      </c>
      <c r="D90" s="1494" t="n">
        <v>1.15</v>
      </c>
      <c r="E90" s="1561" t="n"/>
      <c r="F90" s="1561" t="n"/>
      <c r="G90" s="1561" t="n"/>
    </row>
    <row r="91" ht="15" customHeight="1" s="254">
      <c r="A91" s="1492" t="n">
        <v>15</v>
      </c>
      <c r="B91" s="1494" t="n">
        <v>1.22</v>
      </c>
      <c r="C91" s="1494" t="n">
        <v>1.15</v>
      </c>
      <c r="D91" s="1494" t="n">
        <v>1.12</v>
      </c>
      <c r="E91" s="1561" t="n"/>
      <c r="F91" s="1561" t="n"/>
      <c r="G91" s="1561" t="n"/>
    </row>
    <row r="92" ht="15" customHeight="1" s="254">
      <c r="A92" s="1492" t="n">
        <v>20</v>
      </c>
      <c r="B92" s="1494" t="n">
        <v>1.15</v>
      </c>
      <c r="C92" s="1494" t="n">
        <v>1.11</v>
      </c>
      <c r="D92" s="1494" t="n">
        <v>1.08</v>
      </c>
      <c r="E92" s="1561" t="n"/>
      <c r="F92" s="1561" t="n"/>
      <c r="G92" s="1561" t="n"/>
    </row>
    <row r="93" ht="15" customHeight="1" s="254">
      <c r="A93" s="1492" t="n">
        <v>25</v>
      </c>
      <c r="B93" s="1494" t="n">
        <v>1.08</v>
      </c>
      <c r="C93" s="1494" t="n">
        <v>1.05</v>
      </c>
      <c r="D93" s="1494" t="n">
        <v>1.04</v>
      </c>
      <c r="E93" s="1561" t="n"/>
      <c r="F93" s="1561" t="n"/>
      <c r="G93" s="1561" t="n"/>
    </row>
    <row r="94" ht="15" customHeight="1" s="254">
      <c r="A94" s="1492" t="n">
        <v>30</v>
      </c>
      <c r="B94" s="1494" t="n">
        <v>1</v>
      </c>
      <c r="C94" s="1494" t="n">
        <v>1</v>
      </c>
      <c r="D94" s="1494" t="n">
        <v>1</v>
      </c>
      <c r="E94" s="1561" t="n"/>
      <c r="F94" s="1561" t="n"/>
      <c r="G94" s="1561" t="n"/>
    </row>
    <row r="95" ht="15" customHeight="1" s="254">
      <c r="A95" s="1492" t="n">
        <v>35</v>
      </c>
      <c r="B95" s="1494" t="n">
        <v>0.91</v>
      </c>
      <c r="C95" s="1494" t="n">
        <v>0.9399999999999999</v>
      </c>
      <c r="D95" s="1494" t="n">
        <v>0.96</v>
      </c>
      <c r="E95" s="1561" t="n"/>
      <c r="F95" s="1561" t="n"/>
      <c r="G95" s="1561" t="n"/>
    </row>
    <row r="96" ht="15" customHeight="1" s="254">
      <c r="A96" s="1492" t="n">
        <v>40</v>
      </c>
      <c r="B96" s="1494" t="n">
        <v>0.82</v>
      </c>
      <c r="C96" s="1494" t="n">
        <v>0.88</v>
      </c>
      <c r="D96" s="1494" t="n">
        <v>0.91</v>
      </c>
      <c r="E96" s="1561" t="n"/>
      <c r="F96" s="1561" t="n"/>
      <c r="G96" s="1561" t="n"/>
    </row>
    <row r="97" ht="15" customHeight="1" s="254">
      <c r="A97" s="1492" t="n">
        <v>45</v>
      </c>
      <c r="B97" s="1494" t="n">
        <v>0.71</v>
      </c>
      <c r="C97" s="1494" t="n">
        <v>0.82</v>
      </c>
      <c r="D97" s="1494" t="n">
        <v>0.87</v>
      </c>
      <c r="E97" s="1561" t="n"/>
      <c r="F97" s="1561" t="n"/>
      <c r="G97" s="1561" t="n"/>
    </row>
    <row r="98" ht="15" customHeight="1" s="254">
      <c r="A98" s="1492" t="n">
        <v>50</v>
      </c>
      <c r="B98" s="1494" t="n">
        <v>0.58</v>
      </c>
      <c r="C98" s="1494" t="n">
        <v>0.75</v>
      </c>
      <c r="D98" s="1494" t="n">
        <v>0.82</v>
      </c>
      <c r="E98" s="1561" t="n"/>
      <c r="F98" s="1561" t="n"/>
      <c r="G98" s="1561" t="n"/>
    </row>
    <row r="99" ht="15" customHeight="1" s="254">
      <c r="A99" s="1492" t="n">
        <v>55</v>
      </c>
      <c r="B99" s="1494" t="n">
        <v>0.41</v>
      </c>
      <c r="C99" s="1494" t="n">
        <v>0.67</v>
      </c>
      <c r="D99" s="1494" t="n">
        <v>0.76</v>
      </c>
      <c r="E99" s="1561" t="n"/>
      <c r="F99" s="1561" t="n"/>
      <c r="G99" s="1561" t="n"/>
    </row>
    <row r="100" ht="15" customHeight="1" s="254">
      <c r="A100" s="1492" t="n">
        <v>60</v>
      </c>
      <c r="B100" s="1494" t="n"/>
      <c r="C100" s="1494" t="n">
        <v>0.58</v>
      </c>
      <c r="D100" s="1494" t="n">
        <v>0.71</v>
      </c>
      <c r="E100" s="1561" t="n"/>
      <c r="F100" s="1561" t="n"/>
      <c r="G100" s="1561" t="n"/>
    </row>
    <row r="101" ht="15" customHeight="1" s="254">
      <c r="A101" s="1492" t="n">
        <v>65</v>
      </c>
      <c r="B101" s="1494" t="n"/>
      <c r="C101" s="1494" t="n">
        <v>0.47</v>
      </c>
      <c r="D101" s="1494" t="n">
        <v>0.65</v>
      </c>
      <c r="E101" s="1561" t="n"/>
      <c r="F101" s="1561" t="n"/>
      <c r="G101" s="1561" t="n"/>
    </row>
    <row r="102" ht="15" customHeight="1" s="254">
      <c r="A102" s="1492" t="n">
        <v>70</v>
      </c>
      <c r="B102" s="1494" t="n"/>
      <c r="C102" s="1494" t="n">
        <v>0.33</v>
      </c>
      <c r="D102" s="1494" t="n">
        <v>0.58</v>
      </c>
      <c r="E102" s="1561" t="n"/>
      <c r="F102" s="1561" t="n"/>
      <c r="G102" s="1561" t="n"/>
    </row>
    <row r="103" ht="15" customHeight="1" s="254">
      <c r="A103" s="1492" t="n">
        <v>75</v>
      </c>
      <c r="B103" s="1494" t="n"/>
      <c r="C103" s="1494" t="n"/>
      <c r="D103" s="1494" t="n">
        <v>0.5</v>
      </c>
      <c r="E103" s="1561" t="n"/>
      <c r="F103" s="1561" t="n"/>
      <c r="G103" s="1561" t="n"/>
    </row>
    <row r="104" ht="15" customHeight="1" s="254">
      <c r="A104" s="1492" t="n">
        <v>80</v>
      </c>
      <c r="B104" s="1494" t="n"/>
      <c r="C104" s="1494" t="n"/>
      <c r="D104" s="1494" t="n">
        <v>0.41</v>
      </c>
      <c r="E104" s="1561" t="n"/>
      <c r="F104" s="1561" t="n"/>
      <c r="G104" s="1561" t="n"/>
    </row>
    <row r="105" ht="15" customHeight="1" s="254">
      <c r="A105" s="1561" t="n"/>
      <c r="B105" s="1561" t="n"/>
      <c r="C105" s="1561" t="n"/>
      <c r="D105" s="1561" t="n"/>
      <c r="E105" s="1561" t="n"/>
      <c r="F105" s="1561" t="n"/>
      <c r="G105" s="1561" t="n"/>
    </row>
    <row r="106" ht="15" customHeight="1" s="254">
      <c r="A106" s="1561" t="n"/>
      <c r="B106" s="1561" t="n"/>
      <c r="C106" s="1561" t="n"/>
      <c r="D106" s="1561" t="n"/>
      <c r="E106" s="1561" t="n"/>
      <c r="F106" s="1561" t="n"/>
      <c r="G106" s="1561" t="n"/>
    </row>
    <row r="107" ht="15" customHeight="1" s="254">
      <c r="A107" s="1490" t="inlineStr">
        <is>
          <t>CONDUCTOR IMPEDANCE — NEC Chapter 9 Table 9</t>
        </is>
      </c>
      <c r="B107" s="1561" t="n"/>
      <c r="C107" s="1561" t="n"/>
      <c r="D107" s="1561" t="n"/>
      <c r="E107" s="1561" t="n"/>
      <c r="F107" s="1561" t="n"/>
      <c r="G107" s="1561" t="n"/>
    </row>
    <row r="108" ht="47" customHeight="1" s="254">
      <c r="A108" s="1495"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c r="D108" s="1561" t="n"/>
      <c r="E108" s="1561" t="n"/>
      <c r="F108" s="1561" t="n"/>
      <c r="G108" s="1561" t="n"/>
    </row>
    <row r="109" ht="15" customHeight="1" s="254">
      <c r="A109" s="1478" t="inlineStr">
        <is>
          <t>Size</t>
        </is>
      </c>
      <c r="B109" s="1478" t="inlineStr">
        <is>
          <t>Cu ohm/1000ft</t>
        </is>
      </c>
      <c r="C109" s="1478" t="inlineStr">
        <is>
          <t>Al ohm/1000ft</t>
        </is>
      </c>
      <c r="D109" s="1561" t="n"/>
      <c r="E109" s="1561" t="n"/>
      <c r="F109" s="1561" t="n"/>
      <c r="G109" s="1561" t="n"/>
    </row>
    <row r="110" ht="15" customHeight="1" s="254">
      <c r="A110" s="1472" t="inlineStr">
        <is>
          <t>10 AWG</t>
        </is>
      </c>
      <c r="B110" s="1496" t="n">
        <v>1.2</v>
      </c>
      <c r="C110" s="1496" t="n"/>
      <c r="D110" s="1561" t="n"/>
      <c r="E110" s="1561" t="n"/>
      <c r="F110" s="1561" t="n"/>
      <c r="G110" s="1561" t="n"/>
    </row>
    <row r="111" ht="15" customHeight="1" s="254">
      <c r="A111" s="1472" t="inlineStr">
        <is>
          <t>8 AWG</t>
        </is>
      </c>
      <c r="B111" s="1496" t="n">
        <v>0.78</v>
      </c>
      <c r="C111" s="1496" t="n"/>
      <c r="D111" s="1561" t="n"/>
      <c r="E111" s="1561" t="n"/>
      <c r="F111" s="1561" t="n"/>
      <c r="G111" s="1561" t="n"/>
    </row>
    <row r="112" ht="15" customHeight="1" s="254">
      <c r="A112" s="1472" t="inlineStr">
        <is>
          <t>6 AWG</t>
        </is>
      </c>
      <c r="B112" s="1496" t="n">
        <v>0.49</v>
      </c>
      <c r="C112" s="1496" t="n">
        <v>0.71</v>
      </c>
      <c r="D112" s="1561" t="n"/>
      <c r="E112" s="1561" t="n"/>
      <c r="F112" s="1561" t="n"/>
      <c r="G112" s="1561" t="n"/>
    </row>
    <row r="113" ht="15" customHeight="1" s="254">
      <c r="A113" s="1472" t="inlineStr">
        <is>
          <t>4 AWG</t>
        </is>
      </c>
      <c r="B113" s="1496" t="n">
        <v>0.31</v>
      </c>
      <c r="C113" s="1496" t="n">
        <v>0.45</v>
      </c>
      <c r="D113" s="1561" t="n"/>
      <c r="E113" s="1561" t="n"/>
      <c r="F113" s="1561" t="n"/>
      <c r="G113" s="1561" t="n"/>
    </row>
    <row r="114" ht="15" customHeight="1" s="254">
      <c r="A114" s="1472" t="inlineStr">
        <is>
          <t>2 AWG</t>
        </is>
      </c>
      <c r="B114" s="1496" t="n">
        <v>0.19</v>
      </c>
      <c r="C114" s="1496" t="n">
        <v>0.29</v>
      </c>
      <c r="D114" s="1561" t="n"/>
      <c r="E114" s="1561" t="n"/>
      <c r="F114" s="1561" t="n"/>
      <c r="G114" s="1561" t="n"/>
    </row>
    <row r="115" ht="15" customHeight="1" s="254">
      <c r="A115" s="1472" t="inlineStr">
        <is>
          <t>1 AWG</t>
        </is>
      </c>
      <c r="B115" s="1496" t="n">
        <v>0.15</v>
      </c>
      <c r="C115" s="1496" t="n">
        <v>0.23</v>
      </c>
      <c r="D115" s="1561" t="n"/>
      <c r="E115" s="1561" t="n"/>
      <c r="F115" s="1561" t="n"/>
      <c r="G115" s="1561" t="n"/>
    </row>
    <row r="116" ht="15" customHeight="1" s="254">
      <c r="A116" s="1472" t="inlineStr">
        <is>
          <t>1 /0</t>
        </is>
      </c>
      <c r="B116" s="1496" t="n">
        <v>0.12</v>
      </c>
      <c r="C116" s="1496" t="n">
        <v>0.19</v>
      </c>
      <c r="D116" s="1561" t="n"/>
      <c r="E116" s="1561" t="n"/>
      <c r="F116" s="1561" t="n"/>
      <c r="G116" s="1561" t="n"/>
    </row>
    <row r="117" ht="15" customHeight="1" s="254">
      <c r="A117" s="1472" t="inlineStr">
        <is>
          <t>2 /0</t>
        </is>
      </c>
      <c r="B117" s="1496" t="n">
        <v>0.1</v>
      </c>
      <c r="C117" s="1496" t="n">
        <v>0.15</v>
      </c>
      <c r="D117" s="1561" t="n"/>
      <c r="E117" s="1561" t="n"/>
      <c r="F117" s="1561" t="n"/>
      <c r="G117" s="1561" t="n"/>
    </row>
    <row r="118" ht="15" customHeight="1" s="254">
      <c r="A118" s="1472" t="inlineStr">
        <is>
          <t>3 /0</t>
        </is>
      </c>
      <c r="B118" s="1496" t="n">
        <v>0.077</v>
      </c>
      <c r="C118" s="1496" t="n">
        <v>0.12</v>
      </c>
      <c r="D118" s="1561" t="n"/>
      <c r="E118" s="1561" t="n"/>
      <c r="F118" s="1561" t="n"/>
      <c r="G118" s="1561" t="n"/>
    </row>
    <row r="119" ht="15" customHeight="1" s="254">
      <c r="A119" s="1472" t="inlineStr">
        <is>
          <t>4 /0</t>
        </is>
      </c>
      <c r="B119" s="1496" t="n">
        <v>0.062</v>
      </c>
      <c r="C119" s="1496" t="n">
        <v>0.1</v>
      </c>
      <c r="D119" s="1561" t="n"/>
      <c r="E119" s="1561" t="n"/>
      <c r="F119" s="1561" t="n"/>
      <c r="G119" s="1561" t="n"/>
    </row>
    <row r="120" ht="15" customHeight="1" s="254">
      <c r="A120" s="1472" t="inlineStr">
        <is>
          <t>250 KCMIL</t>
        </is>
      </c>
      <c r="B120" s="1496" t="n">
        <v>0.052</v>
      </c>
      <c r="C120" s="1496" t="n">
        <v>0.08500000000000001</v>
      </c>
      <c r="D120" s="1561" t="n"/>
      <c r="E120" s="1561" t="n"/>
      <c r="F120" s="1561" t="n"/>
      <c r="G120" s="1561" t="n"/>
    </row>
    <row r="121" ht="15" customHeight="1" s="254">
      <c r="A121" s="1472" t="inlineStr">
        <is>
          <t>300 KCMIL</t>
        </is>
      </c>
      <c r="B121" s="1496" t="n">
        <v>0.044</v>
      </c>
      <c r="C121" s="1496" t="n">
        <v>0.07099999999999999</v>
      </c>
      <c r="D121" s="1561" t="n"/>
      <c r="E121" s="1561" t="n"/>
      <c r="F121" s="1561" t="n"/>
      <c r="G121" s="1561" t="n"/>
    </row>
    <row r="122" ht="15" customHeight="1" s="254">
      <c r="A122" s="1472" t="inlineStr">
        <is>
          <t>350 KCMIL</t>
        </is>
      </c>
      <c r="B122" s="1496" t="n">
        <v>0.038</v>
      </c>
      <c r="C122" s="1496" t="n">
        <v>0.061</v>
      </c>
      <c r="D122" s="1561" t="n"/>
      <c r="E122" s="1561" t="n"/>
      <c r="F122" s="1561" t="n"/>
      <c r="G122" s="1561" t="n"/>
    </row>
    <row r="123" ht="15" customHeight="1" s="254">
      <c r="A123" s="1472" t="inlineStr">
        <is>
          <t>400 KCMIL</t>
        </is>
      </c>
      <c r="B123" s="1496" t="n">
        <v>0.033</v>
      </c>
      <c r="C123" s="1496" t="n">
        <v>0.054</v>
      </c>
      <c r="D123" s="1561" t="n"/>
      <c r="E123" s="1561" t="n"/>
      <c r="F123" s="1561" t="n"/>
      <c r="G123" s="1561" t="n"/>
    </row>
    <row r="124" ht="15" customHeight="1" s="254">
      <c r="A124" s="1472" t="inlineStr">
        <is>
          <t>450 KCMIL</t>
        </is>
      </c>
      <c r="B124" s="1496" t="n"/>
      <c r="C124" s="1496" t="n"/>
      <c r="D124" s="1561" t="n"/>
      <c r="E124" s="1561" t="n"/>
      <c r="F124" s="1561" t="n"/>
      <c r="G124" s="1561" t="n"/>
    </row>
    <row r="125" ht="15" customHeight="1" s="254">
      <c r="A125" s="1472" t="inlineStr">
        <is>
          <t>500 KCMIL</t>
        </is>
      </c>
      <c r="B125" s="1496" t="n">
        <v>0.027</v>
      </c>
      <c r="C125" s="1496" t="n">
        <v>0.043</v>
      </c>
      <c r="D125" s="1561" t="n"/>
      <c r="E125" s="1561" t="n"/>
      <c r="F125" s="1561" t="n"/>
      <c r="G125" s="1561" t="n"/>
    </row>
    <row r="126" ht="15" customHeight="1" s="254">
      <c r="A126" s="1472" t="inlineStr">
        <is>
          <t>600 KCMIL</t>
        </is>
      </c>
      <c r="B126" s="1496" t="n">
        <v>0.023</v>
      </c>
      <c r="C126" s="1496" t="n">
        <v>0.036</v>
      </c>
      <c r="D126" s="1561" t="n"/>
      <c r="E126" s="1561" t="n"/>
      <c r="F126" s="1561" t="n"/>
      <c r="G126" s="1561" t="n"/>
    </row>
    <row r="127" ht="15" customHeight="1" s="254">
      <c r="A127" s="1472" t="inlineStr">
        <is>
          <t>750 KCMIL</t>
        </is>
      </c>
      <c r="B127" s="1496" t="n">
        <v>0.019</v>
      </c>
      <c r="C127" s="1496" t="n">
        <v>0.029</v>
      </c>
      <c r="D127" s="1561" t="n"/>
      <c r="E127" s="1561" t="n"/>
      <c r="F127" s="1561" t="n"/>
      <c r="G127" s="1561" t="n"/>
    </row>
    <row r="128" ht="15" customHeight="1" s="254">
      <c r="A128" s="1472" t="inlineStr">
        <is>
          <t>1000 KCMIL</t>
        </is>
      </c>
      <c r="B128" s="1496" t="n">
        <v>0.015</v>
      </c>
      <c r="C128" s="1496" t="n">
        <v>0.023</v>
      </c>
      <c r="D128" s="1561" t="n"/>
      <c r="E128" s="1561" t="n"/>
      <c r="F128" s="1561" t="n"/>
      <c r="G128" s="1561" t="n"/>
    </row>
    <row r="129" ht="15" customHeight="1" s="254">
      <c r="A129" s="1561" t="n"/>
      <c r="B129" s="1561" t="n"/>
      <c r="C129" s="1561" t="n"/>
      <c r="D129" s="1561" t="n"/>
      <c r="E129" s="1561" t="n"/>
      <c r="F129" s="1561" t="n"/>
      <c r="G129" s="1561" t="n"/>
    </row>
    <row r="130" ht="15" customHeight="1" s="254">
      <c r="A130" s="1561" t="n"/>
      <c r="B130" s="1561" t="n"/>
      <c r="C130" s="1561" t="n"/>
      <c r="D130" s="1561" t="n"/>
      <c r="E130" s="1561" t="n"/>
      <c r="F130" s="1561" t="n"/>
      <c r="G130" s="1561" t="n"/>
    </row>
    <row r="131" ht="15" customHeight="1" s="254">
      <c r="A131" s="1497" t="inlineStr">
        <is>
          <t>STANDARD OVERCURRENT DEVICE RATINGS — NEC 240.6(A)</t>
        </is>
      </c>
      <c r="B131" s="299" t="n"/>
      <c r="C131" s="299" t="n"/>
      <c r="D131" s="299" t="n"/>
      <c r="E131" s="299" t="n"/>
      <c r="F131" s="299" t="n"/>
      <c r="G131" s="299" t="n"/>
    </row>
    <row r="132" ht="15" customHeight="1" s="254">
      <c r="A132" s="1492" t="n">
        <v>15</v>
      </c>
      <c r="B132" s="1561" t="n"/>
      <c r="C132" s="1561" t="n"/>
      <c r="D132" s="1561" t="n"/>
      <c r="E132" s="1561" t="n"/>
      <c r="F132" s="1561" t="n"/>
      <c r="G132" s="1561" t="n"/>
    </row>
    <row r="133" ht="15" customHeight="1" s="254">
      <c r="A133" s="1492" t="n">
        <v>20</v>
      </c>
      <c r="B133" s="1561" t="n"/>
      <c r="C133" s="1561" t="n"/>
      <c r="D133" s="1561" t="n"/>
      <c r="E133" s="1561" t="n"/>
      <c r="F133" s="1561" t="n"/>
      <c r="G133" s="1561" t="n"/>
    </row>
    <row r="134" ht="15" customHeight="1" s="254">
      <c r="A134" s="1492" t="n">
        <v>25</v>
      </c>
      <c r="B134" s="1561" t="n"/>
      <c r="C134" s="1561" t="n"/>
      <c r="D134" s="1561" t="n"/>
      <c r="E134" s="1561" t="n"/>
      <c r="F134" s="1561" t="n"/>
      <c r="G134" s="1561" t="n"/>
    </row>
    <row r="135" ht="15" customHeight="1" s="254">
      <c r="A135" s="1492" t="n">
        <v>30</v>
      </c>
      <c r="B135" s="1561" t="n"/>
      <c r="C135" s="1561" t="n"/>
      <c r="D135" s="1561" t="n"/>
      <c r="E135" s="1561" t="n"/>
      <c r="F135" s="1561" t="n"/>
      <c r="G135" s="1561" t="n"/>
    </row>
    <row r="136" ht="15" customHeight="1" s="254">
      <c r="A136" s="1492" t="n">
        <v>35</v>
      </c>
      <c r="B136" s="1561" t="n"/>
      <c r="C136" s="1561" t="n"/>
      <c r="D136" s="1561" t="n"/>
      <c r="E136" s="1561" t="n"/>
      <c r="F136" s="1561" t="n"/>
      <c r="G136" s="1561" t="n"/>
    </row>
    <row r="137" ht="15" customHeight="1" s="254">
      <c r="A137" s="1492" t="n">
        <v>40</v>
      </c>
      <c r="B137" s="1561" t="n"/>
      <c r="C137" s="1561" t="n"/>
      <c r="D137" s="1561" t="n"/>
      <c r="E137" s="1561" t="n"/>
      <c r="F137" s="1561" t="n"/>
      <c r="G137" s="1561" t="n"/>
    </row>
    <row r="138" ht="15" customHeight="1" s="254">
      <c r="A138" s="1492" t="n">
        <v>45</v>
      </c>
      <c r="B138" s="1561" t="n"/>
      <c r="C138" s="1561" t="n"/>
      <c r="D138" s="1561" t="n"/>
      <c r="E138" s="1561" t="n"/>
      <c r="F138" s="1561" t="n"/>
      <c r="G138" s="1561" t="n"/>
    </row>
    <row r="139" ht="15" customHeight="1" s="254">
      <c r="A139" s="1492" t="n">
        <v>50</v>
      </c>
      <c r="B139" s="1561" t="n"/>
      <c r="C139" s="1561" t="n"/>
      <c r="D139" s="1561" t="n"/>
      <c r="E139" s="1561" t="n"/>
      <c r="F139" s="1561" t="n"/>
      <c r="G139" s="1561" t="n"/>
    </row>
    <row r="140" ht="15" customHeight="1" s="254">
      <c r="A140" s="1492" t="n">
        <v>60</v>
      </c>
      <c r="B140" s="1561" t="n"/>
      <c r="C140" s="1561" t="n"/>
      <c r="D140" s="1561" t="n"/>
      <c r="E140" s="1561" t="n"/>
      <c r="F140" s="1561" t="n"/>
      <c r="G140" s="1561" t="n"/>
    </row>
    <row r="141" ht="15" customHeight="1" s="254">
      <c r="A141" s="1492" t="n">
        <v>70</v>
      </c>
      <c r="B141" s="1561" t="n"/>
      <c r="C141" s="1561" t="n"/>
      <c r="D141" s="1561" t="n"/>
      <c r="E141" s="1561" t="n"/>
      <c r="F141" s="1561" t="n"/>
      <c r="G141" s="1561" t="n"/>
    </row>
    <row r="142" ht="15" customHeight="1" s="254">
      <c r="A142" s="1492" t="n">
        <v>80</v>
      </c>
      <c r="B142" s="1561" t="n"/>
      <c r="C142" s="1561" t="n"/>
      <c r="D142" s="1561" t="n"/>
      <c r="E142" s="1561" t="n"/>
      <c r="F142" s="1561" t="n"/>
      <c r="G142" s="1561" t="n"/>
    </row>
    <row r="143" ht="15" customHeight="1" s="254">
      <c r="A143" s="1492" t="n">
        <v>90</v>
      </c>
      <c r="B143" s="1561" t="n"/>
      <c r="C143" s="1561" t="n"/>
      <c r="D143" s="1561" t="n"/>
      <c r="E143" s="1561" t="n"/>
      <c r="F143" s="1561" t="n"/>
      <c r="G143" s="1561" t="n"/>
    </row>
    <row r="144" ht="15" customHeight="1" s="254">
      <c r="A144" s="1492" t="n">
        <v>100</v>
      </c>
      <c r="B144" s="1561" t="n"/>
      <c r="C144" s="1561" t="n"/>
      <c r="D144" s="1561" t="n"/>
      <c r="E144" s="1561" t="n"/>
      <c r="F144" s="1561" t="n"/>
      <c r="G144" s="1561" t="n"/>
    </row>
    <row r="145" ht="15" customHeight="1" s="254">
      <c r="A145" s="1492" t="n">
        <v>110</v>
      </c>
      <c r="B145" s="1561" t="n"/>
      <c r="C145" s="1561" t="n"/>
      <c r="D145" s="1561" t="n"/>
      <c r="E145" s="1561" t="n"/>
      <c r="F145" s="1561" t="n"/>
      <c r="G145" s="1561" t="n"/>
    </row>
    <row r="146" ht="15" customHeight="1" s="254">
      <c r="A146" s="1492" t="n">
        <v>125</v>
      </c>
      <c r="B146" s="1561" t="n"/>
      <c r="C146" s="1561" t="n"/>
      <c r="D146" s="1561" t="n"/>
      <c r="E146" s="1561" t="n"/>
      <c r="F146" s="1561" t="n"/>
      <c r="G146" s="1561" t="n"/>
    </row>
    <row r="147" ht="15" customHeight="1" s="254">
      <c r="A147" s="1492" t="n">
        <v>150</v>
      </c>
      <c r="B147" s="1561" t="n"/>
      <c r="C147" s="1561" t="n"/>
      <c r="D147" s="1561" t="n"/>
      <c r="E147" s="1561" t="n"/>
      <c r="F147" s="1561" t="n"/>
      <c r="G147" s="1561" t="n"/>
    </row>
    <row r="148" ht="15" customHeight="1" s="254">
      <c r="A148" s="1492" t="n">
        <v>175</v>
      </c>
      <c r="B148" s="1561" t="n"/>
      <c r="C148" s="1561" t="n"/>
      <c r="D148" s="1561" t="n"/>
      <c r="E148" s="1561" t="n"/>
      <c r="F148" s="1561" t="n"/>
      <c r="G148" s="1561" t="n"/>
    </row>
    <row r="149" ht="15" customHeight="1" s="254">
      <c r="A149" s="1492" t="n">
        <v>200</v>
      </c>
      <c r="B149" s="1561" t="n"/>
      <c r="C149" s="1561" t="n"/>
      <c r="D149" s="1561" t="n"/>
      <c r="E149" s="1561" t="n"/>
      <c r="F149" s="1561" t="n"/>
      <c r="G149" s="1561" t="n"/>
    </row>
    <row r="150" ht="15" customHeight="1" s="254">
      <c r="A150" s="1492" t="n">
        <v>225</v>
      </c>
      <c r="B150" s="1561" t="n"/>
      <c r="C150" s="1561" t="n"/>
      <c r="D150" s="1561" t="n"/>
      <c r="E150" s="1561" t="n"/>
      <c r="F150" s="1561" t="n"/>
      <c r="G150" s="1561" t="n"/>
    </row>
    <row r="151" ht="15" customHeight="1" s="254">
      <c r="A151" s="1492" t="n">
        <v>250</v>
      </c>
      <c r="B151" s="1561" t="n"/>
      <c r="C151" s="1561" t="n"/>
      <c r="D151" s="1561" t="n"/>
      <c r="E151" s="1561" t="n"/>
      <c r="F151" s="1561" t="n"/>
      <c r="G151" s="1561" t="n"/>
    </row>
    <row r="152" ht="15" customHeight="1" s="254">
      <c r="A152" s="1492" t="n">
        <v>300</v>
      </c>
      <c r="B152" s="1561" t="n"/>
      <c r="C152" s="1561" t="n"/>
      <c r="D152" s="1561" t="n"/>
      <c r="E152" s="1561" t="n"/>
      <c r="F152" s="1561" t="n"/>
      <c r="G152" s="1561" t="n"/>
    </row>
    <row r="153" ht="15" customHeight="1" s="254">
      <c r="A153" s="1492" t="n">
        <v>350</v>
      </c>
      <c r="B153" s="1561" t="n"/>
      <c r="C153" s="1561" t="n"/>
      <c r="D153" s="1561" t="n"/>
      <c r="E153" s="1561" t="n"/>
      <c r="F153" s="1561" t="n"/>
      <c r="G153" s="1561" t="n"/>
    </row>
    <row r="154" ht="15" customHeight="1" s="254">
      <c r="A154" s="1492" t="n">
        <v>400</v>
      </c>
      <c r="B154" s="1561" t="n"/>
      <c r="C154" s="1561" t="n"/>
      <c r="D154" s="1561" t="n"/>
      <c r="E154" s="1561" t="n"/>
      <c r="F154" s="1561" t="n"/>
      <c r="G154" s="1561" t="n"/>
    </row>
    <row r="155" ht="15" customHeight="1" s="254">
      <c r="A155" s="1492" t="n">
        <v>450</v>
      </c>
      <c r="B155" s="1561" t="n"/>
      <c r="C155" s="1561" t="n"/>
      <c r="D155" s="1561" t="n"/>
      <c r="E155" s="1561" t="n"/>
      <c r="F155" s="1561" t="n"/>
      <c r="G155" s="1561" t="n"/>
    </row>
    <row r="156" ht="15" customHeight="1" s="254">
      <c r="A156" s="1492" t="n">
        <v>500</v>
      </c>
      <c r="B156" s="1561" t="n"/>
      <c r="C156" s="1561" t="n"/>
      <c r="D156" s="1561" t="n"/>
      <c r="E156" s="1561" t="n"/>
      <c r="F156" s="1561" t="n"/>
      <c r="G156" s="1561" t="n"/>
    </row>
    <row r="157" ht="15" customHeight="1" s="254">
      <c r="A157" s="1492" t="n">
        <v>600</v>
      </c>
      <c r="B157" s="1561" t="n"/>
      <c r="C157" s="1561" t="n"/>
      <c r="D157" s="1561" t="n"/>
      <c r="E157" s="1561" t="n"/>
      <c r="F157" s="1561" t="n"/>
      <c r="G157" s="1561" t="n"/>
    </row>
    <row r="158" ht="15" customHeight="1" s="254">
      <c r="A158" s="1492" t="n">
        <v>700</v>
      </c>
      <c r="B158" s="1561" t="n"/>
      <c r="C158" s="1561" t="n"/>
      <c r="D158" s="1561" t="n"/>
      <c r="E158" s="1561" t="n"/>
      <c r="F158" s="1561" t="n"/>
      <c r="G158" s="1561" t="n"/>
    </row>
    <row r="159" ht="15" customHeight="1" s="254">
      <c r="A159" s="1492" t="n">
        <v>800</v>
      </c>
      <c r="B159" s="1561" t="n"/>
      <c r="C159" s="1561" t="n"/>
      <c r="D159" s="1561" t="n"/>
      <c r="E159" s="1561" t="n"/>
      <c r="F159" s="1561" t="n"/>
      <c r="G159" s="1561" t="n"/>
    </row>
    <row r="160" ht="15" customHeight="1" s="254">
      <c r="A160" s="1492" t="n">
        <v>1000</v>
      </c>
      <c r="B160" s="1561" t="n"/>
      <c r="C160" s="1561" t="n"/>
      <c r="D160" s="1561" t="n"/>
      <c r="E160" s="1561" t="n"/>
      <c r="F160" s="1561" t="n"/>
      <c r="G160" s="1561" t="n"/>
    </row>
    <row r="161" ht="15" customHeight="1" s="254">
      <c r="A161" s="1492" t="n">
        <v>1200</v>
      </c>
      <c r="B161" s="1561" t="n"/>
      <c r="C161" s="1561" t="n"/>
      <c r="D161" s="1561" t="n"/>
      <c r="E161" s="1561" t="n"/>
      <c r="F161" s="1561" t="n"/>
      <c r="G161" s="1561" t="n"/>
    </row>
    <row r="162" ht="15" customHeight="1" s="254">
      <c r="A162" s="1492" t="n">
        <v>1600</v>
      </c>
      <c r="B162" s="1561" t="n"/>
      <c r="C162" s="1561" t="n"/>
      <c r="D162" s="1561" t="n"/>
      <c r="E162" s="1561" t="n"/>
      <c r="F162" s="1561" t="n"/>
      <c r="G162" s="1561" t="n"/>
    </row>
    <row r="163" ht="15" customHeight="1" s="254">
      <c r="A163" s="1492" t="n">
        <v>2000</v>
      </c>
      <c r="B163" s="1561" t="n"/>
      <c r="C163" s="1561" t="n"/>
      <c r="D163" s="1561" t="n"/>
      <c r="E163" s="1561" t="n"/>
      <c r="F163" s="1561" t="n"/>
      <c r="G163" s="1561" t="n"/>
    </row>
    <row r="164" ht="15" customHeight="1" s="254">
      <c r="A164" s="1492" t="n">
        <v>2500</v>
      </c>
      <c r="B164" s="1561" t="n"/>
      <c r="C164" s="1561" t="n"/>
      <c r="D164" s="1561" t="n"/>
      <c r="E164" s="1561" t="n"/>
      <c r="F164" s="1561" t="n"/>
      <c r="G164" s="1561" t="n"/>
    </row>
    <row r="165" ht="15" customHeight="1" s="254">
      <c r="A165" s="1492" t="n">
        <v>3000</v>
      </c>
      <c r="B165" s="1561" t="n"/>
      <c r="C165" s="1561" t="n"/>
      <c r="D165" s="1561" t="n"/>
      <c r="E165" s="1561" t="n"/>
      <c r="F165" s="1561" t="n"/>
      <c r="G165" s="1561" t="n"/>
    </row>
    <row r="166" ht="15" customHeight="1" s="254">
      <c r="A166" s="1492" t="n">
        <v>4000</v>
      </c>
      <c r="B166" s="1561" t="n"/>
      <c r="C166" s="1561" t="n"/>
      <c r="D166" s="1561" t="n"/>
      <c r="E166" s="1561" t="n"/>
      <c r="F166" s="1561" t="n"/>
      <c r="G166" s="1561" t="n"/>
    </row>
    <row r="167" ht="15" customHeight="1" s="254">
      <c r="A167" s="1492" t="n">
        <v>5000</v>
      </c>
      <c r="B167" s="1561" t="n"/>
      <c r="C167" s="1561" t="n"/>
      <c r="D167" s="1561" t="n"/>
      <c r="E167" s="1561" t="n"/>
      <c r="F167" s="1561" t="n"/>
      <c r="G167" s="1561" t="n"/>
    </row>
    <row r="168" ht="15" customHeight="1" s="254">
      <c r="A168" s="1492" t="n">
        <v>6000</v>
      </c>
      <c r="B168" s="1561" t="n"/>
      <c r="C168" s="1561" t="n"/>
      <c r="D168" s="1561" t="n"/>
      <c r="E168" s="1561" t="n"/>
      <c r="F168" s="1561" t="n"/>
      <c r="G168" s="1561" t="n"/>
    </row>
    <row r="169" ht="15" customHeight="1" s="254">
      <c r="A169" s="1561" t="n"/>
      <c r="B169" s="1561" t="n"/>
      <c r="C169" s="1561" t="n"/>
      <c r="D169" s="1561" t="n"/>
      <c r="E169" s="1561" t="n"/>
      <c r="F169" s="1561" t="n"/>
      <c r="G169" s="1561" t="n"/>
    </row>
    <row r="170" ht="15" customHeight="1" s="254">
      <c r="A170" s="1498" t="inlineStr">
        <is>
          <t>MARKET BENCHMARKS — DC fast charging by state</t>
        </is>
      </c>
      <c r="B170" s="1561" t="n"/>
      <c r="C170" s="1561" t="n"/>
      <c r="D170" s="1561" t="n"/>
      <c r="E170" s="1561" t="n"/>
      <c r="F170" s="1561" t="n"/>
      <c r="G170" s="1561" t="n"/>
    </row>
    <row r="171" ht="25.5" customHeight="1" s="254">
      <c r="A171" s="1499" t="inlineStr">
        <is>
          <t>Source: Paren, US EV Fast Charging Report, Q2 2026. Port utilisation is time-based — the share of the day a port delivers energy. The intake and the model read the same rows. California price to driver updated 2026-09-25 to $0.69/kWh from the September 2026 DCFC Tracker California network averages (Tesla standard $0.703, Electrify America $0.69, EVgo $0.667); utilisation unchanged.</t>
        </is>
      </c>
    </row>
    <row r="172" ht="15" customHeight="1" s="254">
      <c r="A172" s="1454" t="inlineStr">
        <is>
          <t>State</t>
        </is>
      </c>
      <c r="B172" s="1454" t="inlineStr">
        <is>
          <t>Port utilisation</t>
        </is>
      </c>
      <c r="C172" s="1454" t="inlineStr">
        <is>
          <t>Price to driver $/kWh</t>
        </is>
      </c>
      <c r="D172" s="1561" t="n"/>
      <c r="E172" s="1561" t="n"/>
      <c r="F172" s="1561" t="n"/>
      <c r="G172" s="1561" t="n"/>
    </row>
    <row r="173" ht="15" customHeight="1" s="254">
      <c r="A173" s="1457" t="inlineStr">
        <is>
          <t>United States (average)</t>
        </is>
      </c>
      <c r="B173" s="1500" t="n">
        <v>0.1576</v>
      </c>
      <c r="C173" s="1501" t="n">
        <v>0.538</v>
      </c>
      <c r="D173" s="1561" t="n"/>
      <c r="E173" s="1561" t="n"/>
      <c r="F173" s="1561" t="n"/>
      <c r="G173" s="1561" t="n"/>
    </row>
    <row r="174" ht="15" customHeight="1" s="254">
      <c r="A174" s="1457" t="inlineStr">
        <is>
          <t>California</t>
        </is>
      </c>
      <c r="B174" s="1500" t="n">
        <v>0.231</v>
      </c>
      <c r="C174" s="1501" t="n">
        <v>0.6899999999999999</v>
      </c>
      <c r="D174" s="1561" t="n"/>
      <c r="E174" s="1561" t="n"/>
      <c r="F174" s="1561" t="n"/>
      <c r="G174" s="1561" t="n"/>
    </row>
    <row r="175" ht="15" customHeight="1" s="254">
      <c r="A175" s="1457" t="inlineStr">
        <is>
          <t>District of Columbia</t>
        </is>
      </c>
      <c r="B175" s="1500" t="n">
        <v>0.297</v>
      </c>
      <c r="C175" s="1502" t="n"/>
      <c r="D175" s="1561" t="n"/>
      <c r="E175" s="1561" t="n"/>
      <c r="F175" s="1561" t="n"/>
      <c r="G175" s="1561" t="n"/>
    </row>
    <row r="176" ht="15" customHeight="1" s="254">
      <c r="A176" s="1457" t="inlineStr">
        <is>
          <t>Hawaii</t>
        </is>
      </c>
      <c r="B176" s="1500" t="n">
        <v>0.287</v>
      </c>
      <c r="C176" s="1501" t="n">
        <v>0.856</v>
      </c>
      <c r="D176" s="1561" t="n"/>
      <c r="E176" s="1561" t="n"/>
      <c r="F176" s="1561" t="n"/>
      <c r="G176" s="1561" t="n"/>
    </row>
    <row r="177" ht="15" customHeight="1" s="254">
      <c r="A177" s="1457" t="inlineStr">
        <is>
          <t>Florida</t>
        </is>
      </c>
      <c r="B177" s="1500" t="n">
        <v>0.201</v>
      </c>
      <c r="C177" s="1502" t="n"/>
      <c r="D177" s="1561" t="n"/>
      <c r="E177" s="1561" t="n"/>
      <c r="F177" s="1561" t="n"/>
      <c r="G177" s="1561" t="n"/>
    </row>
    <row r="178" ht="15" customHeight="1" s="254">
      <c r="A178" s="1457" t="inlineStr">
        <is>
          <t>Alaska</t>
        </is>
      </c>
      <c r="B178" s="1500" t="n">
        <v>0.02</v>
      </c>
      <c r="C178" s="1502" t="n"/>
      <c r="D178" s="1561" t="n"/>
      <c r="E178" s="1561" t="n"/>
      <c r="F178" s="1561" t="n"/>
      <c r="G178" s="1561" t="n"/>
    </row>
    <row r="179" ht="15" customHeight="1" s="254">
      <c r="A179" s="1457" t="inlineStr">
        <is>
          <t>Nebraska</t>
        </is>
      </c>
      <c r="B179" s="1503" t="n"/>
      <c r="C179" s="1501" t="n">
        <v>0.428</v>
      </c>
      <c r="D179" s="1561" t="n"/>
      <c r="E179" s="1561" t="n"/>
      <c r="F179" s="1561" t="n"/>
      <c r="G179" s="1561" t="n"/>
    </row>
    <row r="180" ht="15" customHeight="1" s="254">
      <c r="A180" s="1561" t="n"/>
      <c r="B180" s="1561" t="n"/>
      <c r="C180" s="1561" t="n"/>
      <c r="D180" s="1561" t="n"/>
      <c r="E180" s="1561" t="n"/>
      <c r="F180" s="1561" t="n"/>
      <c r="G180" s="1561" t="n"/>
    </row>
    <row r="181" ht="15" customHeight="1" s="254">
      <c r="A181" s="1504" t="inlineStr">
        <is>
          <t>NEC 250.122 — EQUIPMENT GROUND BY OCPD</t>
        </is>
      </c>
      <c r="B181" s="1561" t="n"/>
      <c r="C181" s="1561" t="n"/>
      <c r="D181" s="1561" t="n"/>
      <c r="E181" s="1561" t="n"/>
      <c r="F181" s="1561" t="n"/>
      <c r="G181" s="1561" t="n"/>
    </row>
    <row r="182" ht="15" customHeight="1" s="254">
      <c r="A182" s="1499" t="inlineStr">
        <is>
          <t>UNVERIFIED — transcribed from the project model's own table, not from the printed NEC page. The equipment ground is sized on the DEVICE, not the load. Check it before it goes to an inspector.</t>
        </is>
      </c>
    </row>
    <row r="183" ht="15" customHeight="1" s="254">
      <c r="A183" s="1454" t="inlineStr">
        <is>
          <t>OCPD up to (A)</t>
        </is>
      </c>
      <c r="B183" s="1454" t="inlineStr">
        <is>
          <t>Copper</t>
        </is>
      </c>
      <c r="C183" s="1454" t="inlineStr">
        <is>
          <t>Aluminium</t>
        </is>
      </c>
      <c r="D183" s="1561" t="n"/>
      <c r="E183" s="1561" t="n"/>
      <c r="F183" s="1561" t="n"/>
      <c r="G183" s="1561" t="n"/>
    </row>
    <row r="184" ht="15" customHeight="1" s="254">
      <c r="A184" s="1457" t="n">
        <v>15</v>
      </c>
      <c r="B184" s="1457" t="inlineStr">
        <is>
          <t>14 AWG</t>
        </is>
      </c>
      <c r="C184" s="1457" t="inlineStr">
        <is>
          <t>12 AWG</t>
        </is>
      </c>
      <c r="D184" s="1561" t="n"/>
      <c r="E184" s="1561" t="n"/>
      <c r="F184" s="1561" t="n"/>
      <c r="G184" s="1561" t="n"/>
    </row>
    <row r="185" ht="15" customHeight="1" s="254">
      <c r="A185" s="1457" t="n">
        <v>20</v>
      </c>
      <c r="B185" s="1457" t="inlineStr">
        <is>
          <t>12 AWG</t>
        </is>
      </c>
      <c r="C185" s="1457" t="inlineStr">
        <is>
          <t>10 AWG</t>
        </is>
      </c>
      <c r="D185" s="1561" t="n"/>
      <c r="E185" s="1561" t="n"/>
      <c r="F185" s="1561" t="n"/>
      <c r="G185" s="1561" t="n"/>
    </row>
    <row r="186" ht="15" customHeight="1" s="254">
      <c r="A186" s="1457" t="n">
        <v>60</v>
      </c>
      <c r="B186" s="1457" t="inlineStr">
        <is>
          <t>10 AWG</t>
        </is>
      </c>
      <c r="C186" s="1457" t="inlineStr">
        <is>
          <t>8 AWG</t>
        </is>
      </c>
      <c r="D186" s="1561" t="n"/>
      <c r="E186" s="1561" t="n"/>
      <c r="F186" s="1561" t="n"/>
      <c r="G186" s="1561" t="n"/>
    </row>
    <row r="187" ht="15" customHeight="1" s="254">
      <c r="A187" s="1457" t="n">
        <v>100</v>
      </c>
      <c r="B187" s="1457" t="inlineStr">
        <is>
          <t>8 AWG</t>
        </is>
      </c>
      <c r="C187" s="1457" t="inlineStr">
        <is>
          <t>6 AWG</t>
        </is>
      </c>
      <c r="D187" s="1561" t="n"/>
      <c r="E187" s="1561" t="n"/>
      <c r="F187" s="1561" t="n"/>
      <c r="G187" s="1561" t="n"/>
    </row>
    <row r="188" ht="15" customHeight="1" s="254">
      <c r="A188" s="1457" t="n">
        <v>200</v>
      </c>
      <c r="B188" s="1457" t="inlineStr">
        <is>
          <t>6 AWG</t>
        </is>
      </c>
      <c r="C188" s="1457" t="inlineStr">
        <is>
          <t>4 AWG</t>
        </is>
      </c>
      <c r="D188" s="1561" t="n"/>
      <c r="E188" s="1561" t="n"/>
      <c r="F188" s="1561" t="n"/>
      <c r="G188" s="1561" t="n"/>
    </row>
    <row r="189" ht="15" customHeight="1" s="254">
      <c r="A189" s="1457" t="n">
        <v>300</v>
      </c>
      <c r="B189" s="1457" t="inlineStr">
        <is>
          <t>4 AWG</t>
        </is>
      </c>
      <c r="C189" s="1457" t="inlineStr">
        <is>
          <t>2 AWG</t>
        </is>
      </c>
      <c r="D189" s="1561" t="n"/>
      <c r="E189" s="1561" t="n"/>
      <c r="F189" s="1561" t="n"/>
      <c r="G189" s="1561" t="n"/>
    </row>
    <row r="190" ht="15" customHeight="1" s="254">
      <c r="A190" s="1457" t="n">
        <v>400</v>
      </c>
      <c r="B190" s="1457" t="inlineStr">
        <is>
          <t>3 AWG</t>
        </is>
      </c>
      <c r="C190" s="1457" t="inlineStr">
        <is>
          <t>1 AWG</t>
        </is>
      </c>
      <c r="D190" s="1561" t="n"/>
      <c r="E190" s="1561" t="n"/>
      <c r="F190" s="1561" t="n"/>
      <c r="G190" s="1561" t="n"/>
    </row>
    <row r="191" ht="15" customHeight="1" s="254">
      <c r="A191" s="1457" t="n">
        <v>500</v>
      </c>
      <c r="B191" s="1457" t="inlineStr">
        <is>
          <t>2 AWG</t>
        </is>
      </c>
      <c r="C191" s="1457" t="inlineStr">
        <is>
          <t>1 /0</t>
        </is>
      </c>
      <c r="D191" s="1561" t="n"/>
      <c r="E191" s="1561" t="n"/>
      <c r="F191" s="1561" t="n"/>
      <c r="G191" s="1561" t="n"/>
    </row>
    <row r="192" ht="15" customHeight="1" s="254">
      <c r="A192" s="1457" t="n">
        <v>600</v>
      </c>
      <c r="B192" s="1457" t="inlineStr">
        <is>
          <t>1 AWG</t>
        </is>
      </c>
      <c r="C192" s="1457" t="inlineStr">
        <is>
          <t>2 /0</t>
        </is>
      </c>
      <c r="D192" s="1561" t="n"/>
      <c r="E192" s="1561" t="n"/>
      <c r="F192" s="1561" t="n"/>
      <c r="G192" s="1561" t="n"/>
    </row>
    <row r="193" ht="15" customHeight="1" s="254">
      <c r="A193" s="1457" t="n">
        <v>800</v>
      </c>
      <c r="B193" s="1457" t="inlineStr">
        <is>
          <t>1 /0</t>
        </is>
      </c>
      <c r="C193" s="1457" t="inlineStr">
        <is>
          <t>3 /0</t>
        </is>
      </c>
      <c r="D193" s="1561" t="n"/>
      <c r="E193" s="1561" t="n"/>
      <c r="F193" s="1561" t="n"/>
      <c r="G193" s="1561" t="n"/>
    </row>
    <row r="194" ht="15" customHeight="1" s="254">
      <c r="A194" s="1457" t="n">
        <v>1000</v>
      </c>
      <c r="B194" s="1457" t="inlineStr">
        <is>
          <t>2 /0</t>
        </is>
      </c>
      <c r="C194" s="1457" t="inlineStr">
        <is>
          <t>4 /0</t>
        </is>
      </c>
      <c r="D194" s="1561" t="n"/>
      <c r="E194" s="1561" t="n"/>
      <c r="F194" s="1561" t="n"/>
      <c r="G194" s="1561" t="n"/>
    </row>
    <row r="195" ht="15" customHeight="1" s="254">
      <c r="A195" s="1457" t="n">
        <v>1200</v>
      </c>
      <c r="B195" s="1457" t="inlineStr">
        <is>
          <t>3 /0</t>
        </is>
      </c>
      <c r="C195" s="1457" t="inlineStr">
        <is>
          <t>250 KCMIL</t>
        </is>
      </c>
      <c r="D195" s="1561" t="n"/>
      <c r="E195" s="1561" t="n"/>
      <c r="F195" s="1561" t="n"/>
      <c r="G195" s="1561" t="n"/>
    </row>
    <row r="196" ht="15" customHeight="1" s="254">
      <c r="A196" s="1457" t="n">
        <v>1600</v>
      </c>
      <c r="B196" s="1457" t="inlineStr">
        <is>
          <t>4 /0</t>
        </is>
      </c>
      <c r="C196" s="1457" t="inlineStr">
        <is>
          <t>350 KCMIL</t>
        </is>
      </c>
      <c r="D196" s="1561" t="n"/>
      <c r="E196" s="1561" t="n"/>
      <c r="F196" s="1561" t="n"/>
      <c r="G196" s="1561" t="n"/>
    </row>
    <row r="197" ht="15" customHeight="1" s="254">
      <c r="A197" s="1457" t="n">
        <v>2000</v>
      </c>
      <c r="B197" s="1457" t="inlineStr">
        <is>
          <t>250 KCMIL</t>
        </is>
      </c>
      <c r="C197" s="1457" t="inlineStr">
        <is>
          <t>400 KCMIL</t>
        </is>
      </c>
      <c r="D197" s="1561" t="n"/>
      <c r="E197" s="1561" t="n"/>
      <c r="F197" s="1561" t="n"/>
      <c r="G197" s="1561" t="n"/>
    </row>
    <row r="198" ht="15" customHeight="1" s="254">
      <c r="A198" s="1457" t="n">
        <v>2500</v>
      </c>
      <c r="B198" s="1457" t="inlineStr">
        <is>
          <t>350 KCMIL</t>
        </is>
      </c>
      <c r="C198" s="1457" t="inlineStr">
        <is>
          <t>600 KCMIL</t>
        </is>
      </c>
      <c r="D198" s="1561" t="n"/>
      <c r="E198" s="1561" t="n"/>
      <c r="F198" s="1561" t="n"/>
      <c r="G198" s="1561" t="n"/>
    </row>
    <row r="199" ht="15" customHeight="1" s="254">
      <c r="A199" s="1457" t="n">
        <v>3000</v>
      </c>
      <c r="B199" s="1457" t="inlineStr">
        <is>
          <t>400 KCMIL</t>
        </is>
      </c>
      <c r="C199" s="1457" t="inlineStr">
        <is>
          <t>600 KCMIL</t>
        </is>
      </c>
      <c r="D199" s="1561" t="n"/>
      <c r="E199" s="1561" t="n"/>
      <c r="F199" s="1561" t="n"/>
      <c r="G199" s="1561" t="n"/>
    </row>
    <row r="200" ht="15" customHeight="1" s="254">
      <c r="A200" s="1457" t="n">
        <v>4000</v>
      </c>
      <c r="B200" s="1457" t="inlineStr">
        <is>
          <t>500 KCMIL</t>
        </is>
      </c>
      <c r="C200" s="1457" t="inlineStr">
        <is>
          <t>750 KCMIL</t>
        </is>
      </c>
      <c r="D200" s="1561" t="n"/>
      <c r="E200" s="1561" t="n"/>
      <c r="F200" s="1561" t="n"/>
      <c r="G200" s="1561" t="n"/>
    </row>
    <row r="201" ht="15" customHeight="1" s="254">
      <c r="A201" s="1561" t="n"/>
      <c r="B201" s="1561" t="n"/>
      <c r="C201" s="1561" t="n"/>
      <c r="D201" s="1561" t="n"/>
      <c r="E201" s="1561" t="n"/>
      <c r="F201" s="1561" t="n"/>
      <c r="G201" s="1561" t="n"/>
    </row>
    <row r="202" ht="15" customHeight="1" s="254">
      <c r="A202" s="1504" t="inlineStr">
        <is>
          <t>MARKET BENCHMARKS — Level 2 by state</t>
        </is>
      </c>
      <c r="B202" s="1561" t="n"/>
      <c r="C202" s="1561" t="n"/>
      <c r="D202" s="1561" t="n"/>
      <c r="E202" s="1561" t="n"/>
      <c r="F202" s="1561" t="n"/>
      <c r="G202" s="1561" t="n"/>
    </row>
    <row r="203" ht="47" customHeight="1" s="254">
      <c r="A203" s="1505"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c r="E203" s="1561" t="n"/>
      <c r="F203" s="1561" t="n"/>
      <c r="G203" s="1561" t="n"/>
    </row>
    <row r="204" ht="15" customHeight="1" s="254">
      <c r="A204" s="1454" t="inlineStr">
        <is>
          <t>State</t>
        </is>
      </c>
      <c r="B204" s="1454" t="inlineStr">
        <is>
          <t>kWh per port per day</t>
        </is>
      </c>
      <c r="C204" s="1454" t="inlineStr">
        <is>
          <t>Price to driver $/kWh</t>
        </is>
      </c>
      <c r="D204" s="1454" t="inlineStr">
        <is>
          <t>Basis</t>
        </is>
      </c>
      <c r="E204" s="1561" t="n"/>
      <c r="F204" s="1561" t="n"/>
      <c r="G204" s="1561" t="n"/>
    </row>
    <row r="205" ht="15" customHeight="1" s="254">
      <c r="A205" s="1457" t="inlineStr">
        <is>
          <t>United States (average)</t>
        </is>
      </c>
      <c r="B205" s="1506" t="n">
        <v>6.98</v>
      </c>
      <c r="C205" s="1507" t="n">
        <v>0.31</v>
      </c>
      <c r="D205" s="1508" t="inlineStr">
        <is>
          <t>ENERGY STAR / Argonne AFLEET; price is the midpoint of the 2026 public band</t>
        </is>
      </c>
    </row>
    <row r="206" ht="15" customHeight="1" s="254">
      <c r="A206" s="1457" t="inlineStr">
        <is>
          <t>California</t>
        </is>
      </c>
      <c r="B206" s="1506" t="n">
        <v>6.98</v>
      </c>
      <c r="C206" s="1507" t="n">
        <v>0.4</v>
      </c>
      <c r="D206" s="1508" t="inlineStr">
        <is>
          <t>US figure applied — no state series published; price at the top of the 2026 band</t>
        </is>
      </c>
    </row>
    <row r="207" ht="15" customHeight="1" s="254">
      <c r="A207" s="1561" t="n"/>
      <c r="B207" s="1561" t="n"/>
      <c r="C207" s="1561" t="n"/>
      <c r="D207" s="1561" t="n"/>
      <c r="E207" s="1561" t="n"/>
      <c r="F207" s="1561" t="n"/>
      <c r="G207" s="1561" t="n"/>
    </row>
    <row r="208" ht="15" customHeight="1" s="254">
      <c r="A208" s="1509" t="inlineStr">
        <is>
          <t>CONDUIT BY CONDUCTOR — one set, Schedule 40 PVC at 40% fill</t>
        </is>
      </c>
    </row>
    <row r="209" ht="25.5" customHeight="1" s="254">
      <c r="A209" s="1505" t="inlineStr">
        <is>
          <t>UNVERIFIED — read from NEC Chapter 9 Tables 1, 4 and 5 for THHN/THWN-2 and rounded up. The charger-run table on the Electrical tab picks from here; an override column on the run takes precedence. Three conductors plus an equipment ground for a three-phase run; two plus ground for a single-phase Level 2 circuit.</t>
        </is>
      </c>
    </row>
    <row r="210" ht="15" customHeight="1" s="254">
      <c r="A210" s="1454" t="inlineStr">
        <is>
          <t>Conductor</t>
        </is>
      </c>
      <c r="B210" s="1454" t="inlineStr">
        <is>
          <t>3 + ground</t>
        </is>
      </c>
      <c r="C210" s="1454" t="inlineStr">
        <is>
          <t>2 + ground</t>
        </is>
      </c>
      <c r="D210" s="1561" t="n"/>
      <c r="E210" s="1561" t="n"/>
      <c r="F210" s="1561" t="n"/>
      <c r="G210" s="1561" t="n"/>
    </row>
    <row r="211" ht="15" customHeight="1" s="254">
      <c r="A211" s="1457" t="inlineStr">
        <is>
          <t>10 AWG</t>
        </is>
      </c>
      <c r="B211" s="1457" t="inlineStr">
        <is>
          <t>(3/4")</t>
        </is>
      </c>
      <c r="C211" s="1457" t="inlineStr">
        <is>
          <t>(1/2")</t>
        </is>
      </c>
      <c r="D211" s="1561" t="n"/>
      <c r="E211" s="1561" t="n"/>
      <c r="F211" s="1561" t="n"/>
      <c r="G211" s="1561" t="n"/>
    </row>
    <row r="212" ht="15" customHeight="1" s="254">
      <c r="A212" s="1457" t="inlineStr">
        <is>
          <t>8 AWG</t>
        </is>
      </c>
      <c r="B212" s="1457" t="inlineStr">
        <is>
          <t>(3/4")</t>
        </is>
      </c>
      <c r="C212" s="1457" t="inlineStr">
        <is>
          <t>(3/4")</t>
        </is>
      </c>
      <c r="D212" s="1561" t="n"/>
      <c r="E212" s="1561" t="n"/>
      <c r="F212" s="1561" t="n"/>
      <c r="G212" s="1561" t="n"/>
    </row>
    <row r="213" ht="15" customHeight="1" s="254">
      <c r="A213" s="1457" t="inlineStr">
        <is>
          <t>6 AWG</t>
        </is>
      </c>
      <c r="B213" s="1457" t="inlineStr">
        <is>
          <t>(1")</t>
        </is>
      </c>
      <c r="C213" s="1457" t="inlineStr">
        <is>
          <t>(3/4")</t>
        </is>
      </c>
      <c r="D213" s="1561" t="n"/>
      <c r="E213" s="1561" t="n"/>
      <c r="F213" s="1561" t="n"/>
      <c r="G213" s="1561" t="n"/>
    </row>
    <row r="214" ht="15" customHeight="1" s="254">
      <c r="A214" s="1457" t="inlineStr">
        <is>
          <t>4 AWG</t>
        </is>
      </c>
      <c r="B214" s="1457" t="inlineStr">
        <is>
          <t>(1 1/4")</t>
        </is>
      </c>
      <c r="C214" s="1457" t="inlineStr">
        <is>
          <t>(1")</t>
        </is>
      </c>
      <c r="D214" s="1561" t="n"/>
      <c r="E214" s="1561" t="n"/>
      <c r="F214" s="1561" t="n"/>
      <c r="G214" s="1561" t="n"/>
    </row>
    <row r="215" ht="15" customHeight="1" s="254">
      <c r="A215" s="1457" t="inlineStr">
        <is>
          <t>2 AWG</t>
        </is>
      </c>
      <c r="B215" s="1457" t="inlineStr">
        <is>
          <t>(1 1/4")</t>
        </is>
      </c>
      <c r="C215" s="1457" t="inlineStr">
        <is>
          <t>(1")</t>
        </is>
      </c>
      <c r="D215" s="1561" t="n"/>
      <c r="E215" s="1561" t="n"/>
      <c r="F215" s="1561" t="n"/>
      <c r="G215" s="1561" t="n"/>
    </row>
    <row r="216" ht="15" customHeight="1" s="254">
      <c r="A216" s="1457" t="inlineStr">
        <is>
          <t>1 AWG</t>
        </is>
      </c>
      <c r="B216" s="1457" t="inlineStr">
        <is>
          <t>(1 1/2")</t>
        </is>
      </c>
      <c r="C216" s="1457" t="inlineStr">
        <is>
          <t>(1 1/4")</t>
        </is>
      </c>
      <c r="D216" s="1561" t="n"/>
      <c r="E216" s="1561" t="n"/>
      <c r="F216" s="1561" t="n"/>
      <c r="G216" s="1561" t="n"/>
    </row>
    <row r="217" ht="15" customHeight="1" s="254">
      <c r="A217" s="1457" t="inlineStr">
        <is>
          <t>1 /0</t>
        </is>
      </c>
      <c r="B217" s="1457" t="inlineStr">
        <is>
          <t>(1 1/2")</t>
        </is>
      </c>
      <c r="C217" s="1457" t="inlineStr">
        <is>
          <t>(1 1/4")</t>
        </is>
      </c>
      <c r="D217" s="1561" t="n"/>
      <c r="E217" s="1561" t="n"/>
      <c r="F217" s="1561" t="n"/>
      <c r="G217" s="1561" t="n"/>
    </row>
    <row r="218" ht="15" customHeight="1" s="254">
      <c r="A218" s="1457" t="inlineStr">
        <is>
          <t>2 /0</t>
        </is>
      </c>
      <c r="B218" s="1457" t="inlineStr">
        <is>
          <t>(2")</t>
        </is>
      </c>
      <c r="C218" s="1457" t="inlineStr">
        <is>
          <t>(1 1/2")</t>
        </is>
      </c>
      <c r="D218" s="1561" t="n"/>
      <c r="E218" s="1561" t="n"/>
      <c r="F218" s="1561" t="n"/>
      <c r="G218" s="1561" t="n"/>
    </row>
    <row r="219" ht="15" customHeight="1" s="254">
      <c r="A219" s="1457" t="inlineStr">
        <is>
          <t>3 /0</t>
        </is>
      </c>
      <c r="B219" s="1457" t="inlineStr">
        <is>
          <t>(2")</t>
        </is>
      </c>
      <c r="C219" s="1457" t="inlineStr">
        <is>
          <t>(1 1/2")</t>
        </is>
      </c>
      <c r="D219" s="1561" t="n"/>
      <c r="E219" s="1561" t="n"/>
      <c r="F219" s="1561" t="n"/>
      <c r="G219" s="1561" t="n"/>
    </row>
    <row r="220" ht="15" customHeight="1" s="254">
      <c r="A220" s="1457" t="inlineStr">
        <is>
          <t>4 /0</t>
        </is>
      </c>
      <c r="B220" s="1457" t="inlineStr">
        <is>
          <t>(2 1/2")</t>
        </is>
      </c>
      <c r="C220" s="1457" t="inlineStr">
        <is>
          <t>(2")</t>
        </is>
      </c>
      <c r="D220" s="1561" t="n"/>
      <c r="E220" s="1561" t="n"/>
      <c r="F220" s="1561" t="n"/>
      <c r="G220" s="1561" t="n"/>
    </row>
    <row r="221" ht="15" customHeight="1" s="254">
      <c r="A221" s="1457" t="inlineStr">
        <is>
          <t>250 KCMIL</t>
        </is>
      </c>
      <c r="B221" s="1457" t="inlineStr">
        <is>
          <t>(2 1/2")</t>
        </is>
      </c>
      <c r="C221" s="1457" t="inlineStr">
        <is>
          <t>(2")</t>
        </is>
      </c>
      <c r="D221" s="1561" t="n"/>
      <c r="E221" s="1561" t="n"/>
      <c r="F221" s="1561" t="n"/>
      <c r="G221" s="1561" t="n"/>
    </row>
    <row r="222" ht="15" customHeight="1" s="254">
      <c r="A222" s="1457" t="inlineStr">
        <is>
          <t>300 KCMIL</t>
        </is>
      </c>
      <c r="B222" s="1457" t="inlineStr">
        <is>
          <t xml:space="preserve">(3") </t>
        </is>
      </c>
      <c r="C222" s="1457" t="inlineStr">
        <is>
          <t>(2 1/2")</t>
        </is>
      </c>
      <c r="D222" s="1561" t="n"/>
      <c r="E222" s="1561" t="n"/>
      <c r="F222" s="1561" t="n"/>
      <c r="G222" s="1561" t="n"/>
    </row>
    <row r="223" ht="15" customHeight="1" s="254">
      <c r="A223" s="1457" t="inlineStr">
        <is>
          <t>350 KCMIL</t>
        </is>
      </c>
      <c r="B223" s="1457" t="inlineStr">
        <is>
          <t xml:space="preserve">(3") </t>
        </is>
      </c>
      <c r="C223" s="1457" t="inlineStr">
        <is>
          <t>(2 1/2")</t>
        </is>
      </c>
      <c r="D223" s="1561" t="n"/>
      <c r="E223" s="1561" t="n"/>
      <c r="F223" s="1561" t="n"/>
      <c r="G223" s="1561" t="n"/>
    </row>
    <row r="224" ht="15" customHeight="1" s="254">
      <c r="A224" s="1457" t="inlineStr">
        <is>
          <t>400 KCMIL</t>
        </is>
      </c>
      <c r="B224" s="1457" t="inlineStr">
        <is>
          <t xml:space="preserve">(3") </t>
        </is>
      </c>
      <c r="C224" s="1457" t="inlineStr">
        <is>
          <t>(2 1/2")</t>
        </is>
      </c>
      <c r="D224" s="1561" t="n"/>
      <c r="E224" s="1561" t="n"/>
      <c r="F224" s="1561" t="n"/>
      <c r="G224" s="1561" t="n"/>
    </row>
    <row r="225" ht="15" customHeight="1" s="254">
      <c r="A225" s="1457" t="inlineStr">
        <is>
          <t>500 KCMIL</t>
        </is>
      </c>
      <c r="B225" s="1457" t="inlineStr">
        <is>
          <t>(3  1/2")</t>
        </is>
      </c>
      <c r="C225" s="1457" t="inlineStr">
        <is>
          <t xml:space="preserve">(3") </t>
        </is>
      </c>
      <c r="D225" s="1561" t="n"/>
      <c r="E225" s="1561" t="n"/>
      <c r="F225" s="1561" t="n"/>
      <c r="G225" s="1561" t="n"/>
    </row>
    <row r="226" ht="15" customHeight="1" s="254">
      <c r="A226" s="1457" t="inlineStr">
        <is>
          <t>600 KCMIL</t>
        </is>
      </c>
      <c r="B226" s="1457" t="inlineStr">
        <is>
          <t>(4")</t>
        </is>
      </c>
      <c r="C226" s="1457" t="inlineStr">
        <is>
          <t xml:space="preserve">(3") </t>
        </is>
      </c>
      <c r="D226" s="1561" t="n"/>
      <c r="E226" s="1561" t="n"/>
      <c r="F226" s="1561" t="n"/>
      <c r="G226" s="1561" t="n"/>
    </row>
    <row r="227" ht="15" customHeight="1" s="254">
      <c r="A227" s="1457" t="inlineStr">
        <is>
          <t>750 KCMIL</t>
        </is>
      </c>
      <c r="B227" s="1457" t="inlineStr">
        <is>
          <t>(4")</t>
        </is>
      </c>
      <c r="C227" s="1457" t="inlineStr">
        <is>
          <t>(3  1/2")</t>
        </is>
      </c>
      <c r="D227" s="1561" t="n"/>
      <c r="E227" s="1561" t="n"/>
      <c r="F227" s="1561" t="n"/>
      <c r="G227" s="1561" t="n"/>
    </row>
    <row r="228" ht="15" customHeight="1" s="254">
      <c r="A228" s="1457" t="inlineStr">
        <is>
          <t>1000 KCMIL</t>
        </is>
      </c>
      <c r="B228" s="1457" t="inlineStr">
        <is>
          <t>(5")</t>
        </is>
      </c>
      <c r="C228" s="1457" t="inlineStr">
        <is>
          <t>(4")</t>
        </is>
      </c>
      <c r="D228" s="1561" t="n"/>
      <c r="E228" s="1561" t="n"/>
      <c r="F228" s="1561" t="n"/>
      <c r="G228" s="1561" t="n"/>
    </row>
  </sheetData>
  <sheetProtection selectLockedCells="0" selectUnlockedCells="0" sheet="1" objects="0" insertRows="1" insertHyperlinks="1" autoFilter="1" scenarios="0" formatColumns="0" deleteColumns="1" insertColumns="1" pivotTables="1" deleteRows="1" formatCells="0" formatRows="0" sort="1"/>
  <mergeCells count="14">
    <mergeCell ref="A108:C108"/>
    <mergeCell ref="A88:D88"/>
    <mergeCell ref="A1:F1"/>
    <mergeCell ref="D206:G206"/>
    <mergeCell ref="A87:G87"/>
    <mergeCell ref="A131:G131"/>
    <mergeCell ref="A171:G171"/>
    <mergeCell ref="A2:G2"/>
    <mergeCell ref="A209:G209"/>
    <mergeCell ref="A64:G64"/>
    <mergeCell ref="D205:G205"/>
    <mergeCell ref="A182:G182"/>
    <mergeCell ref="A208:G208"/>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8.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bottomLeft" activeCell="A5" sqref="A5"/>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5" customHeight="1" s="254">
      <c r="A1" s="1543" t="inlineStr">
        <is>
          <t>CALIFORNIA ELECTRIC UTILITIES — DELIVERY</t>
        </is>
      </c>
      <c r="F1" s="1561" t="n"/>
      <c r="G1" s="1561" t="n"/>
      <c r="H1" s="1561" t="n"/>
      <c r="I1" s="1561" t="n"/>
      <c r="J1" s="1561" t="n"/>
      <c r="K1" s="1561" t="n"/>
      <c r="L1" s="1561" t="n"/>
      <c r="M1" s="1561" t="n"/>
      <c r="N1" s="1561" t="n"/>
    </row>
    <row r="2" ht="26" customHeight="1" s="254">
      <c r="A2" s="1474"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c r="F2" s="1561" t="n"/>
      <c r="G2" s="1561" t="n"/>
      <c r="H2" s="1561" t="n"/>
      <c r="I2" s="1561" t="n"/>
      <c r="J2" s="1561" t="n"/>
      <c r="K2" s="1561" t="n"/>
      <c r="L2" s="1561" t="n"/>
      <c r="M2" s="1561" t="n"/>
      <c r="N2" s="1561" t="n"/>
    </row>
    <row r="3" ht="15" customHeight="1" s="254">
      <c r="A3" s="1561" t="n"/>
      <c r="B3" s="1561" t="n"/>
      <c r="C3" s="1561" t="n"/>
      <c r="D3" s="1561" t="n"/>
      <c r="E3" s="1561" t="n"/>
      <c r="F3" s="1561" t="n"/>
      <c r="G3" s="1561" t="n"/>
      <c r="H3" s="1561" t="n"/>
      <c r="I3" s="1561" t="n"/>
      <c r="J3" s="1561" t="n"/>
      <c r="K3" s="1561" t="n"/>
      <c r="L3" s="1561" t="n"/>
      <c r="M3" s="1561" t="n"/>
      <c r="N3" s="1561" t="n"/>
    </row>
    <row r="4" ht="15" customHeight="1" s="254">
      <c r="A4" s="1510" t="inlineStr">
        <is>
          <t>Utility</t>
        </is>
      </c>
      <c r="B4" s="1510" t="inlineStr">
        <is>
          <t>Type</t>
        </is>
      </c>
      <c r="C4" s="1510" t="inlineStr">
        <is>
          <t>Service territory</t>
        </is>
      </c>
      <c r="D4" s="1510" t="inlineStr">
        <is>
          <t>EV rate status</t>
        </is>
      </c>
      <c r="E4" s="1510" t="n"/>
      <c r="F4" s="1204" t="inlineStr">
        <is>
          <t>DELIVERY UTILITY PICKER — what the Project tab offers</t>
        </is>
      </c>
      <c r="G4" s="1561" t="n"/>
      <c r="H4" s="1508" t="inlineStr">
        <is>
          <t>RATE SCHEDULE PICKER — what the Revenue tab offers</t>
        </is>
      </c>
      <c r="I4" s="1561" t="n"/>
      <c r="J4" s="1511" t="inlineStr">
        <is>
          <t>Utility (resolved)</t>
        </is>
      </c>
      <c r="K4" s="1511" t="inlineStr">
        <is>
          <t>Type</t>
        </is>
      </c>
      <c r="L4" s="1511" t="inlineStr">
        <is>
          <t>Service territory</t>
        </is>
      </c>
      <c r="M4" s="1511" t="inlineStr">
        <is>
          <t>EV rate status</t>
        </is>
      </c>
      <c r="N4" s="1511" t="inlineStr">
        <is>
          <t>State</t>
        </is>
      </c>
    </row>
    <row r="5" ht="15" customHeight="1" s="254">
      <c r="A5" s="1512" t="inlineStr">
        <is>
          <t>PG&amp;E — Pacific Gas and Electric</t>
        </is>
      </c>
      <c r="B5" s="1513" t="inlineStr">
        <is>
          <t>IOU</t>
        </is>
      </c>
      <c r="C5" s="1472" t="inlineStr">
        <is>
          <t>Northern &amp; central CA, 47 counties</t>
        </is>
      </c>
      <c r="D5" s="1514" t="inlineStr">
        <is>
          <t>EV rate: BEV-1 / BEV-2-S / BEV-2-P</t>
        </is>
      </c>
      <c r="E5" s="1561" t="n"/>
      <c r="F5" s="1457" t="inlineStr">
        <is>
          <t>PG&amp;E — Pacific Gas and Electric</t>
        </is>
      </c>
      <c r="G5" s="1561" t="n"/>
      <c r="H5" s="1515" t="inlineStr">
        <is>
          <t>BEV-1</t>
        </is>
      </c>
      <c r="I5" s="1561" t="n"/>
      <c r="J5" s="1457" t="inlineStr">
        <is>
          <t>PG&amp;E — Pacific Gas and Electric</t>
        </is>
      </c>
      <c r="K5" s="1457" t="inlineStr">
        <is>
          <t>IOU</t>
        </is>
      </c>
      <c r="L5" s="1457" t="inlineStr">
        <is>
          <t>Northern &amp; central CA, 47 counties</t>
        </is>
      </c>
      <c r="M5" s="1457" t="inlineStr">
        <is>
          <t>EV rate: BEV-1 / BEV-2-S / BEV-2-P</t>
        </is>
      </c>
      <c r="N5" s="1457" t="inlineStr">
        <is>
          <t>California</t>
        </is>
      </c>
    </row>
    <row r="6" ht="15" customHeight="1" s="254">
      <c r="A6" s="1512" t="inlineStr">
        <is>
          <t>SCE — Southern California Edison</t>
        </is>
      </c>
      <c r="B6" s="1513" t="inlineStr">
        <is>
          <t>IOU</t>
        </is>
      </c>
      <c r="C6" s="1472" t="inlineStr">
        <is>
          <t>Central &amp; southern CA, 15 counties</t>
        </is>
      </c>
      <c r="D6" s="1514" t="inlineStr">
        <is>
          <t>EV rate: TOU-EV-7 / 8 / 9</t>
        </is>
      </c>
      <c r="E6" s="1561" t="n"/>
      <c r="F6" s="1457" t="inlineStr">
        <is>
          <t>SCE — Southern California Edison</t>
        </is>
      </c>
      <c r="G6" s="1561" t="n"/>
      <c r="H6" s="1515" t="inlineStr">
        <is>
          <t>BEV-2-S</t>
        </is>
      </c>
      <c r="I6" s="1561" t="n"/>
      <c r="J6" s="1457" t="inlineStr">
        <is>
          <t>SCE — Southern California Edison</t>
        </is>
      </c>
      <c r="K6" s="1457" t="inlineStr">
        <is>
          <t>IOU</t>
        </is>
      </c>
      <c r="L6" s="1457" t="inlineStr">
        <is>
          <t>Central &amp; southern CA, 15 counties</t>
        </is>
      </c>
      <c r="M6" s="1457" t="inlineStr">
        <is>
          <t>EV rate: TOU-EV-7 / 8 / 9</t>
        </is>
      </c>
      <c r="N6" s="1457" t="inlineStr">
        <is>
          <t>California</t>
        </is>
      </c>
    </row>
    <row r="7" ht="15" customHeight="1" s="254">
      <c r="A7" s="1512" t="inlineStr">
        <is>
          <t>SDG&amp;E — San Diego Gas &amp; Electric</t>
        </is>
      </c>
      <c r="B7" s="1513" t="inlineStr">
        <is>
          <t>IOU</t>
        </is>
      </c>
      <c r="C7" s="1472" t="inlineStr">
        <is>
          <t>San Diego Co. + southern Orange Co.</t>
        </is>
      </c>
      <c r="D7" s="1514" t="inlineStr">
        <is>
          <t>EV rate: EV-HP</t>
        </is>
      </c>
      <c r="E7" s="1561" t="n"/>
      <c r="F7" s="1457" t="inlineStr">
        <is>
          <t>SDG&amp;E — San Diego Gas &amp; Electric</t>
        </is>
      </c>
      <c r="G7" s="1561" t="n"/>
      <c r="H7" s="1515" t="inlineStr">
        <is>
          <t>BEV-2-P</t>
        </is>
      </c>
      <c r="I7" s="1561" t="n"/>
      <c r="J7" s="1457" t="inlineStr">
        <is>
          <t>SDG&amp;E — San Diego Gas &amp; Electric</t>
        </is>
      </c>
      <c r="K7" s="1457" t="inlineStr">
        <is>
          <t>IOU</t>
        </is>
      </c>
      <c r="L7" s="1457" t="inlineStr">
        <is>
          <t>San Diego Co. + southern Orange Co.</t>
        </is>
      </c>
      <c r="M7" s="1457" t="inlineStr">
        <is>
          <t>EV rate: EV-HP</t>
        </is>
      </c>
      <c r="N7" s="1457" t="inlineStr">
        <is>
          <t>California</t>
        </is>
      </c>
    </row>
    <row r="8" ht="15" customHeight="1" s="254">
      <c r="A8" s="1512" t="inlineStr">
        <is>
          <t>Liberty Utilities (CalPeco Electric)</t>
        </is>
      </c>
      <c r="B8" s="1513" t="inlineStr">
        <is>
          <t>IOU</t>
        </is>
      </c>
      <c r="C8" s="1472" t="inlineStr">
        <is>
          <t>North Lake Tahoe &amp; eastern Sierra</t>
        </is>
      </c>
      <c r="D8" s="1514" t="inlineStr">
        <is>
          <t>EV rate: TOU A-1/A-2/A-3 EV</t>
        </is>
      </c>
      <c r="E8" s="1561" t="n"/>
      <c r="F8" s="1457" t="inlineStr">
        <is>
          <t>Liberty Utilities (CalPeco Electric)</t>
        </is>
      </c>
      <c r="G8" s="1561" t="n"/>
      <c r="H8" s="1515" t="inlineStr">
        <is>
          <t>TOU-EV-7</t>
        </is>
      </c>
      <c r="I8" s="1561" t="n"/>
      <c r="J8" s="1457" t="inlineStr">
        <is>
          <t>Liberty Utilities (CalPeco Electric)</t>
        </is>
      </c>
      <c r="K8" s="1457" t="inlineStr">
        <is>
          <t>IOU</t>
        </is>
      </c>
      <c r="L8" s="1457" t="inlineStr">
        <is>
          <t>North Lake Tahoe &amp; eastern Sierra</t>
        </is>
      </c>
      <c r="M8" s="1457" t="inlineStr">
        <is>
          <t>EV rate: TOU A-1/A-2/A-3 EV</t>
        </is>
      </c>
      <c r="N8" s="1457" t="inlineStr">
        <is>
          <t>California</t>
        </is>
      </c>
    </row>
    <row r="9" ht="15" customHeight="1" s="254">
      <c r="A9" s="1512" t="inlineStr">
        <is>
          <t>Pacific Power (PacifiCorp)</t>
        </is>
      </c>
      <c r="B9" s="1513" t="inlineStr">
        <is>
          <t>IOU</t>
        </is>
      </c>
      <c r="C9" s="1472" t="inlineStr">
        <is>
          <t>Siskiyou, Modoc, Shasta, Del Norte</t>
        </is>
      </c>
      <c r="D9" s="1516" t="inlineStr">
        <is>
          <t>NO commercial EV rate</t>
        </is>
      </c>
      <c r="E9" s="1561" t="n"/>
      <c r="F9" s="1457" t="inlineStr">
        <is>
          <t>Pacific Power (PacifiCorp)</t>
        </is>
      </c>
      <c r="G9" s="1561" t="n"/>
      <c r="H9" s="1515" t="inlineStr">
        <is>
          <t>TOU-EV-8</t>
        </is>
      </c>
      <c r="I9" s="1561" t="n"/>
      <c r="J9" s="1457" t="inlineStr">
        <is>
          <t>Pacific Power (PacifiCorp)</t>
        </is>
      </c>
      <c r="K9" s="1457" t="inlineStr">
        <is>
          <t>IOU</t>
        </is>
      </c>
      <c r="L9" s="1457" t="inlineStr">
        <is>
          <t>Siskiyou, Modoc, Shasta, Del Norte</t>
        </is>
      </c>
      <c r="M9" s="1457" t="inlineStr">
        <is>
          <t>NO commercial EV rate</t>
        </is>
      </c>
      <c r="N9" s="1457" t="inlineStr">
        <is>
          <t>California</t>
        </is>
      </c>
    </row>
    <row r="10" ht="26" customHeight="1" s="254">
      <c r="A10" s="1512" t="inlineStr">
        <is>
          <t>Bear Valley Electric Service (BVES)</t>
        </is>
      </c>
      <c r="B10" s="1513" t="inlineStr">
        <is>
          <t>IOU</t>
        </is>
      </c>
      <c r="C10" s="1472" t="inlineStr">
        <is>
          <t>Big Bear Lake, San Bernardino Co.</t>
        </is>
      </c>
      <c r="D10" s="1517" t="inlineStr">
        <is>
          <t>EV rate: TOU-EV-2 / TOU-EV-3 (max 500 kW)</t>
        </is>
      </c>
      <c r="E10" s="1561" t="n"/>
      <c r="F10" s="1457" t="inlineStr">
        <is>
          <t>Bear Valley Electric Service (BVES)</t>
        </is>
      </c>
      <c r="G10" s="1561" t="n"/>
      <c r="H10" s="1515" t="inlineStr">
        <is>
          <t>TOU-EV-9</t>
        </is>
      </c>
      <c r="I10" s="1561" t="n"/>
      <c r="J10" s="1457" t="inlineStr">
        <is>
          <t>Bear Valley Electric Service (BVES)</t>
        </is>
      </c>
      <c r="K10" s="1457" t="inlineStr">
        <is>
          <t>IOU</t>
        </is>
      </c>
      <c r="L10" s="1457" t="inlineStr">
        <is>
          <t>Big Bear Lake, San Bernardino Co.</t>
        </is>
      </c>
      <c r="M10" s="1457" t="inlineStr">
        <is>
          <t>EV rate: TOU-EV-2 / TOU-EV-3 (max 500 kW)</t>
        </is>
      </c>
      <c r="N10" s="1457" t="inlineStr">
        <is>
          <t>California</t>
        </is>
      </c>
    </row>
    <row r="11" ht="15" customHeight="1" s="254">
      <c r="A11" s="1512" t="inlineStr">
        <is>
          <t>LADWP — Los Angeles Dept of Water &amp; Power</t>
        </is>
      </c>
      <c r="B11" s="1513" t="inlineStr">
        <is>
          <t>POU</t>
        </is>
      </c>
      <c r="C11" s="1472" t="inlineStr">
        <is>
          <t>City of Los Angeles + Owens Valley</t>
        </is>
      </c>
      <c r="D11" s="1514" t="inlineStr">
        <is>
          <t>EV rate: EVA1 / EVA2 / EVA3 (pilot)</t>
        </is>
      </c>
      <c r="E11" s="1561" t="n"/>
      <c r="F11" s="1457" t="inlineStr">
        <is>
          <t>LADWP — Los Angeles Dept of Water &amp; Power</t>
        </is>
      </c>
      <c r="G11" s="1561" t="n"/>
      <c r="H11" s="1515" t="inlineStr">
        <is>
          <t>EV-HP (&gt;150 kW)</t>
        </is>
      </c>
      <c r="I11" s="1561" t="n"/>
      <c r="J11" s="1457" t="inlineStr">
        <is>
          <t>LADWP — Los Angeles Dept of Water &amp; Power</t>
        </is>
      </c>
      <c r="K11" s="1457" t="inlineStr">
        <is>
          <t>POU</t>
        </is>
      </c>
      <c r="L11" s="1457" t="inlineStr">
        <is>
          <t>City of Los Angeles + Owens Valley</t>
        </is>
      </c>
      <c r="M11" s="1457" t="inlineStr">
        <is>
          <t>EV rate: EVA1 / EVA2 / EVA3 (pilot)</t>
        </is>
      </c>
      <c r="N11" s="1457" t="inlineStr">
        <is>
          <t>California</t>
        </is>
      </c>
    </row>
    <row r="12" ht="15" customHeight="1" s="254">
      <c r="A12" s="1512" t="inlineStr">
        <is>
          <t>SMUD — Sacramento Municipal Utility District</t>
        </is>
      </c>
      <c r="B12" s="1513" t="inlineStr">
        <is>
          <t>POU</t>
        </is>
      </c>
      <c r="C12" s="1472" t="inlineStr">
        <is>
          <t>Sacramento Co. + part of Placer Co.</t>
        </is>
      </c>
      <c r="D12" s="1514" t="inlineStr">
        <is>
          <t>EV rate: EV_SR subscription</t>
        </is>
      </c>
      <c r="E12" s="1561" t="n"/>
      <c r="F12" s="1457" t="inlineStr">
        <is>
          <t>SMUD — Sacramento Municipal Utility District</t>
        </is>
      </c>
      <c r="G12" s="1561" t="n"/>
      <c r="H12" s="1515" t="inlineStr">
        <is>
          <t>EV-HP (&lt;=150 kW)</t>
        </is>
      </c>
      <c r="I12" s="1561" t="n"/>
      <c r="J12" s="1457" t="inlineStr">
        <is>
          <t>SMUD — Sacramento Municipal Utility District</t>
        </is>
      </c>
      <c r="K12" s="1457" t="inlineStr">
        <is>
          <t>POU</t>
        </is>
      </c>
      <c r="L12" s="1457" t="inlineStr">
        <is>
          <t>Sacramento Co. + part of Placer Co.</t>
        </is>
      </c>
      <c r="M12" s="1457" t="inlineStr">
        <is>
          <t>EV rate: EV_SR subscription</t>
        </is>
      </c>
      <c r="N12" s="1457" t="inlineStr">
        <is>
          <t>California</t>
        </is>
      </c>
    </row>
    <row r="13" ht="15" customHeight="1" s="254">
      <c r="A13" s="1512" t="inlineStr">
        <is>
          <t>IID — Imperial Irrigation District</t>
        </is>
      </c>
      <c r="B13" s="1513" t="inlineStr">
        <is>
          <t>POU</t>
        </is>
      </c>
      <c r="C13" s="1472" t="inlineStr">
        <is>
          <t>Imperial Co. + eastern Coachella Valley</t>
        </is>
      </c>
      <c r="D13" s="1516" t="inlineStr">
        <is>
          <t>NO EV rate</t>
        </is>
      </c>
      <c r="E13" s="1561" t="n"/>
      <c r="F13" s="1457" t="inlineStr">
        <is>
          <t>IID — Imperial Irrigation District</t>
        </is>
      </c>
      <c r="G13" s="1561" t="n"/>
      <c r="H13" s="1515" t="inlineStr">
        <is>
          <t>UMERC Cg1 — General Secondary, three-phase</t>
        </is>
      </c>
      <c r="I13" s="1561" t="n"/>
      <c r="J13" s="1457" t="inlineStr">
        <is>
          <t>IID — Imperial Irrigation District</t>
        </is>
      </c>
      <c r="K13" s="1457" t="inlineStr">
        <is>
          <t>POU</t>
        </is>
      </c>
      <c r="L13" s="1457" t="inlineStr">
        <is>
          <t>Imperial Co. + eastern Coachella Valley</t>
        </is>
      </c>
      <c r="M13" s="1457" t="inlineStr">
        <is>
          <t>NO EV rate</t>
        </is>
      </c>
      <c r="N13" s="1457" t="inlineStr">
        <is>
          <t>California</t>
        </is>
      </c>
    </row>
    <row r="14" ht="15" customHeight="1" s="254">
      <c r="A14" s="1512" t="inlineStr">
        <is>
          <t>MID — Modesto Irrigation District</t>
        </is>
      </c>
      <c r="B14" s="1513" t="inlineStr">
        <is>
          <t>POU</t>
        </is>
      </c>
      <c r="C14" s="1472" t="inlineStr">
        <is>
          <t>Modesto &amp; Stanislaus Co.</t>
        </is>
      </c>
      <c r="D14" s="1516" t="inlineStr">
        <is>
          <t>NO commercial EV rate</t>
        </is>
      </c>
      <c r="E14" s="1561" t="n"/>
      <c r="F14" s="1457" t="inlineStr">
        <is>
          <t>MID — Modesto Irrigation District</t>
        </is>
      </c>
      <c r="G14" s="1561" t="n"/>
      <c r="H14" s="1515" t="inlineStr">
        <is>
          <t>UMERC Cg5 — General Secondary Time-of-Use</t>
        </is>
      </c>
      <c r="I14" s="1561" t="n"/>
      <c r="J14" s="1457" t="inlineStr">
        <is>
          <t>MID — Modesto Irrigation District</t>
        </is>
      </c>
      <c r="K14" s="1457" t="inlineStr">
        <is>
          <t>POU</t>
        </is>
      </c>
      <c r="L14" s="1457" t="inlineStr">
        <is>
          <t>Modesto &amp; Stanislaus Co.</t>
        </is>
      </c>
      <c r="M14" s="1457" t="inlineStr">
        <is>
          <t>NO commercial EV rate</t>
        </is>
      </c>
      <c r="N14" s="1457" t="inlineStr">
        <is>
          <t>California</t>
        </is>
      </c>
    </row>
    <row r="15" ht="15" customHeight="1" s="254">
      <c r="A15" s="1512" t="inlineStr">
        <is>
          <t>Anaheim Public Utilities</t>
        </is>
      </c>
      <c r="B15" s="1513" t="inlineStr">
        <is>
          <t>POU</t>
        </is>
      </c>
      <c r="C15" s="1472" t="inlineStr">
        <is>
          <t>City of Anaheim, Orange Co.</t>
        </is>
      </c>
      <c r="D15" s="1212" t="inlineStr">
        <is>
          <t>EV rate D-EV-2 CLOSED to new customers</t>
        </is>
      </c>
      <c r="E15" s="1561" t="n"/>
      <c r="F15" s="1457" t="inlineStr">
        <is>
          <t>Anaheim Public Utilities</t>
        </is>
      </c>
      <c r="G15" s="1561" t="n"/>
      <c r="H15" s="1515" t="inlineStr">
        <is>
          <t>UMERC Cg3 — General Secondary Demand TOU</t>
        </is>
      </c>
      <c r="I15" s="1561" t="n"/>
      <c r="J15" s="1457" t="inlineStr">
        <is>
          <t>Anaheim Public Utilities</t>
        </is>
      </c>
      <c r="K15" s="1457" t="inlineStr">
        <is>
          <t>POU</t>
        </is>
      </c>
      <c r="L15" s="1457" t="inlineStr">
        <is>
          <t>City of Anaheim, Orange Co.</t>
        </is>
      </c>
      <c r="M15" s="1457" t="inlineStr">
        <is>
          <t>EV rate D-EV-2 CLOSED to new customers</t>
        </is>
      </c>
      <c r="N15" s="1457" t="inlineStr">
        <is>
          <t>California</t>
        </is>
      </c>
    </row>
    <row r="16" ht="15" customHeight="1" s="254">
      <c r="A16" s="1512" t="inlineStr">
        <is>
          <t>Riverside Public Utilities</t>
        </is>
      </c>
      <c r="B16" s="1513" t="inlineStr">
        <is>
          <t>POU</t>
        </is>
      </c>
      <c r="C16" s="1472" t="inlineStr">
        <is>
          <t>City of Riverside</t>
        </is>
      </c>
      <c r="D16" s="1518" t="inlineStr">
        <is>
          <t>EV rate SMEVC capped below 150 kW</t>
        </is>
      </c>
      <c r="E16" s="1561" t="n"/>
      <c r="F16" s="1457" t="inlineStr">
        <is>
          <t>Riverside Public Utilities</t>
        </is>
      </c>
      <c r="G16" s="1561" t="n"/>
      <c r="H16" s="1515" t="inlineStr">
        <is>
          <t>Manual</t>
        </is>
      </c>
      <c r="I16" s="1561" t="n"/>
      <c r="J16" s="1457" t="inlineStr">
        <is>
          <t>Riverside Public Utilities</t>
        </is>
      </c>
      <c r="K16" s="1457" t="inlineStr">
        <is>
          <t>POU</t>
        </is>
      </c>
      <c r="L16" s="1457" t="inlineStr">
        <is>
          <t>City of Riverside</t>
        </is>
      </c>
      <c r="M16" s="1457" t="inlineStr">
        <is>
          <t>EV rate SMEVC capped below 150 kW</t>
        </is>
      </c>
      <c r="N16" s="1457" t="inlineStr">
        <is>
          <t>California</t>
        </is>
      </c>
    </row>
    <row r="17" ht="15" customHeight="1" s="254">
      <c r="A17" s="1512" t="inlineStr">
        <is>
          <t>TID — Turlock Irrigation District</t>
        </is>
      </c>
      <c r="B17" s="1513" t="inlineStr">
        <is>
          <t>POU</t>
        </is>
      </c>
      <c r="C17" s="1472" t="inlineStr">
        <is>
          <t>Turlock; Stanislaus, Merced, Tuolumne</t>
        </is>
      </c>
      <c r="D17" s="1516" t="inlineStr">
        <is>
          <t>NO EV rate</t>
        </is>
      </c>
      <c r="E17" s="1561" t="n"/>
      <c r="F17" s="1457" t="inlineStr">
        <is>
          <t>TID — Turlock Irrigation District</t>
        </is>
      </c>
      <c r="G17" s="1561" t="n"/>
      <c r="H17" s="1457" t="inlineStr">
        <is>
          <t>REU E2 — Small Commercial (no demand)</t>
        </is>
      </c>
      <c r="I17" s="1561" t="n"/>
      <c r="J17" s="1457" t="inlineStr">
        <is>
          <t>TID — Turlock Irrigation District</t>
        </is>
      </c>
      <c r="K17" s="1457" t="inlineStr">
        <is>
          <t>POU</t>
        </is>
      </c>
      <c r="L17" s="1457" t="inlineStr">
        <is>
          <t>Turlock; Stanislaus, Merced, Tuolumne</t>
        </is>
      </c>
      <c r="M17" s="1457" t="inlineStr">
        <is>
          <t>NO EV rate</t>
        </is>
      </c>
      <c r="N17" s="1457" t="inlineStr">
        <is>
          <t>California</t>
        </is>
      </c>
    </row>
    <row r="18" ht="15" customHeight="1" s="254">
      <c r="A18" s="1512" t="inlineStr">
        <is>
          <t>Glendale Water and Power</t>
        </is>
      </c>
      <c r="B18" s="1513" t="inlineStr">
        <is>
          <t>POU</t>
        </is>
      </c>
      <c r="C18" s="1472" t="inlineStr">
        <is>
          <t>City of Glendale, LA Co.</t>
        </is>
      </c>
      <c r="D18" s="1516" t="inlineStr">
        <is>
          <t>NO commercial EV rate</t>
        </is>
      </c>
      <c r="E18" s="1561" t="n"/>
      <c r="F18" s="1457" t="inlineStr">
        <is>
          <t>Glendale Water and Power</t>
        </is>
      </c>
      <c r="G18" s="1561" t="n"/>
      <c r="H18" s="1457" t="inlineStr">
        <is>
          <t>REU E7/E8 — Large Commercial (demand)</t>
        </is>
      </c>
      <c r="I18" s="1561" t="n"/>
      <c r="J18" s="1457" t="inlineStr">
        <is>
          <t>Glendale Water and Power</t>
        </is>
      </c>
      <c r="K18" s="1457" t="inlineStr">
        <is>
          <t>POU</t>
        </is>
      </c>
      <c r="L18" s="1457" t="inlineStr">
        <is>
          <t>City of Glendale, LA Co.</t>
        </is>
      </c>
      <c r="M18" s="1457" t="inlineStr">
        <is>
          <t>NO commercial EV rate</t>
        </is>
      </c>
      <c r="N18" s="1457" t="inlineStr">
        <is>
          <t>California</t>
        </is>
      </c>
    </row>
    <row r="19" ht="15" customHeight="1" s="254">
      <c r="A19" s="1512" t="inlineStr">
        <is>
          <t>Roseville Electric Utility</t>
        </is>
      </c>
      <c r="B19" s="1513" t="inlineStr">
        <is>
          <t>POU</t>
        </is>
      </c>
      <c r="C19" s="1472" t="inlineStr">
        <is>
          <t>City of Roseville, Placer Co.</t>
        </is>
      </c>
      <c r="D19" s="1516" t="inlineStr">
        <is>
          <t>NO commercial EV rate</t>
        </is>
      </c>
      <c r="E19" s="1561" t="n"/>
      <c r="F19" s="1457" t="inlineStr">
        <is>
          <t>Roseville Electric Utility</t>
        </is>
      </c>
      <c r="G19" s="1561" t="n"/>
      <c r="H19" s="1457" t="inlineStr">
        <is>
          <t>EV-HP Primary (&gt;150 kW)</t>
        </is>
      </c>
      <c r="I19" s="1561" t="n"/>
      <c r="J19" s="1457" t="inlineStr">
        <is>
          <t>Roseville Electric Utility</t>
        </is>
      </c>
      <c r="K19" s="1457" t="inlineStr">
        <is>
          <t>POU</t>
        </is>
      </c>
      <c r="L19" s="1457" t="inlineStr">
        <is>
          <t>City of Roseville, Placer Co.</t>
        </is>
      </c>
      <c r="M19" s="1457" t="inlineStr">
        <is>
          <t>NO commercial EV rate</t>
        </is>
      </c>
      <c r="N19" s="1457" t="inlineStr">
        <is>
          <t>California</t>
        </is>
      </c>
    </row>
    <row r="20" ht="15" customHeight="1" s="254">
      <c r="A20" s="1512" t="inlineStr">
        <is>
          <t>Pasadena Water and Power</t>
        </is>
      </c>
      <c r="B20" s="1513" t="inlineStr">
        <is>
          <t>POU</t>
        </is>
      </c>
      <c r="C20" s="1472" t="inlineStr">
        <is>
          <t>City of Pasadena, LA Co.</t>
        </is>
      </c>
      <c r="D20" s="1516" t="inlineStr">
        <is>
          <t>NO commercial EV rate</t>
        </is>
      </c>
      <c r="E20" s="1561" t="n"/>
      <c r="F20" s="1457" t="inlineStr">
        <is>
          <t>Pasadena Water and Power</t>
        </is>
      </c>
      <c r="G20" s="1561" t="n"/>
      <c r="H20" s="1457" t="inlineStr">
        <is>
          <t>E-4</t>
        </is>
      </c>
      <c r="I20" s="1561" t="n"/>
      <c r="J20" s="1457" t="inlineStr">
        <is>
          <t>Pasadena Water and Power</t>
        </is>
      </c>
      <c r="K20" s="1457" t="inlineStr">
        <is>
          <t>POU</t>
        </is>
      </c>
      <c r="L20" s="1457" t="inlineStr">
        <is>
          <t>City of Pasadena, LA Co.</t>
        </is>
      </c>
      <c r="M20" s="1457" t="inlineStr">
        <is>
          <t>NO commercial EV rate</t>
        </is>
      </c>
      <c r="N20" s="1457" t="inlineStr">
        <is>
          <t>California</t>
        </is>
      </c>
    </row>
    <row r="21" ht="15" customHeight="1" s="254">
      <c r="A21" s="1512" t="inlineStr">
        <is>
          <t>Silicon Valley Power (Santa Clara)</t>
        </is>
      </c>
      <c r="B21" s="1513" t="inlineStr">
        <is>
          <t>POU</t>
        </is>
      </c>
      <c r="C21" s="1472" t="inlineStr">
        <is>
          <t>City of Santa Clara</t>
        </is>
      </c>
      <c r="D21" s="1516" t="inlineStr">
        <is>
          <t>NO EV rate — by policy</t>
        </is>
      </c>
      <c r="E21" s="1561" t="n"/>
      <c r="F21" s="1457" t="inlineStr">
        <is>
          <t>Silicon Valley Power (Santa Clara)</t>
        </is>
      </c>
      <c r="G21" s="1561" t="n"/>
      <c r="H21" s="1457" t="inlineStr">
        <is>
          <t>E-7</t>
        </is>
      </c>
      <c r="I21" s="1561" t="n"/>
      <c r="J21" s="1457" t="inlineStr">
        <is>
          <t>Silicon Valley Power (Santa Clara)</t>
        </is>
      </c>
      <c r="K21" s="1457" t="inlineStr">
        <is>
          <t>POU</t>
        </is>
      </c>
      <c r="L21" s="1457" t="inlineStr">
        <is>
          <t>City of Santa Clara</t>
        </is>
      </c>
      <c r="M21" s="1457" t="inlineStr">
        <is>
          <t>NO EV rate — by policy</t>
        </is>
      </c>
      <c r="N21" s="1457" t="inlineStr">
        <is>
          <t>California</t>
        </is>
      </c>
    </row>
    <row r="22" ht="15" customHeight="1" s="254">
      <c r="A22" s="1512" t="inlineStr">
        <is>
          <t>Burbank Water and Power</t>
        </is>
      </c>
      <c r="B22" s="1513" t="inlineStr">
        <is>
          <t>POU</t>
        </is>
      </c>
      <c r="C22" s="1472" t="inlineStr">
        <is>
          <t>City of Burbank, LA Co.</t>
        </is>
      </c>
      <c r="D22" s="1516" t="inlineStr">
        <is>
          <t>NO commercial EV rate</t>
        </is>
      </c>
      <c r="E22" s="1561" t="n"/>
      <c r="F22" s="1457" t="inlineStr">
        <is>
          <t>Burbank Water and Power</t>
        </is>
      </c>
      <c r="G22" s="1561" t="n"/>
      <c r="H22" s="1561" t="n"/>
      <c r="I22" s="1561" t="n"/>
      <c r="J22" s="1457" t="inlineStr">
        <is>
          <t>Burbank Water and Power</t>
        </is>
      </c>
      <c r="K22" s="1457" t="inlineStr">
        <is>
          <t>POU</t>
        </is>
      </c>
      <c r="L22" s="1457" t="inlineStr">
        <is>
          <t>City of Burbank, LA Co.</t>
        </is>
      </c>
      <c r="M22" s="1457" t="inlineStr">
        <is>
          <t>NO commercial EV rate</t>
        </is>
      </c>
      <c r="N22" s="1457" t="inlineStr">
        <is>
          <t>California</t>
        </is>
      </c>
    </row>
    <row r="23" ht="15" customHeight="1" s="254">
      <c r="A23" s="1512" t="inlineStr">
        <is>
          <t>Redding Electric Utility</t>
        </is>
      </c>
      <c r="B23" s="1513" t="inlineStr">
        <is>
          <t>POU</t>
        </is>
      </c>
      <c r="C23" s="1472" t="inlineStr">
        <is>
          <t>City of Redding, Shasta Co.</t>
        </is>
      </c>
      <c r="D23" s="1518" t="inlineStr">
        <is>
          <t>Not researched</t>
        </is>
      </c>
      <c r="E23" s="1561" t="n"/>
      <c r="F23" s="1457" t="inlineStr">
        <is>
          <t>Redding Electric Utility</t>
        </is>
      </c>
      <c r="G23" s="1561" t="n"/>
      <c r="H23" s="1561" t="n"/>
      <c r="I23" s="1561" t="n"/>
      <c r="J23" s="1457" t="inlineStr">
        <is>
          <t>Redding Electric Utility</t>
        </is>
      </c>
      <c r="K23" s="1457" t="inlineStr">
        <is>
          <t>POU</t>
        </is>
      </c>
      <c r="L23" s="1457" t="inlineStr">
        <is>
          <t>City of Redding, Shasta Co.</t>
        </is>
      </c>
      <c r="M23" s="1457" t="inlineStr">
        <is>
          <t>Not researched</t>
        </is>
      </c>
      <c r="N23" s="1457" t="inlineStr">
        <is>
          <t>California</t>
        </is>
      </c>
    </row>
    <row r="24" ht="15" customHeight="1" s="254">
      <c r="A24" s="1512" t="inlineStr">
        <is>
          <t>Alameda Municipal Power</t>
        </is>
      </c>
      <c r="B24" s="1513" t="inlineStr">
        <is>
          <t>POU</t>
        </is>
      </c>
      <c r="C24" s="1472" t="inlineStr">
        <is>
          <t>City of Alameda</t>
        </is>
      </c>
      <c r="D24" s="1516" t="inlineStr">
        <is>
          <t>NO commercial EV rate</t>
        </is>
      </c>
      <c r="E24" s="1561" t="n"/>
      <c r="F24" s="1457" t="inlineStr">
        <is>
          <t>Alameda Municipal Power</t>
        </is>
      </c>
      <c r="G24" s="1561" t="n"/>
      <c r="H24" s="1561" t="n"/>
      <c r="I24" s="1561" t="n"/>
      <c r="J24" s="1457" t="inlineStr">
        <is>
          <t>Alameda Municipal Power</t>
        </is>
      </c>
      <c r="K24" s="1457" t="inlineStr">
        <is>
          <t>POU</t>
        </is>
      </c>
      <c r="L24" s="1457" t="inlineStr">
        <is>
          <t>City of Alameda</t>
        </is>
      </c>
      <c r="M24" s="1457" t="inlineStr">
        <is>
          <t>NO commercial EV rate</t>
        </is>
      </c>
      <c r="N24" s="1457" t="inlineStr">
        <is>
          <t>California</t>
        </is>
      </c>
    </row>
    <row r="25" ht="15" customHeight="1" s="254">
      <c r="A25" s="1512" t="inlineStr">
        <is>
          <t>City of Palo Alto Utilities</t>
        </is>
      </c>
      <c r="B25" s="1513" t="inlineStr">
        <is>
          <t>POU</t>
        </is>
      </c>
      <c r="C25" s="1472" t="inlineStr">
        <is>
          <t>City of Palo Alto</t>
        </is>
      </c>
      <c r="D25" s="1516" t="inlineStr">
        <is>
          <t>NO commercial EV rate</t>
        </is>
      </c>
      <c r="E25" s="1561" t="n"/>
      <c r="F25" s="1457" t="inlineStr">
        <is>
          <t>City of Palo Alto Utilities</t>
        </is>
      </c>
      <c r="G25" s="1561" t="n"/>
      <c r="H25" s="1561" t="n"/>
      <c r="I25" s="1561" t="n"/>
      <c r="J25" s="1457" t="inlineStr">
        <is>
          <t>City of Palo Alto Utilities</t>
        </is>
      </c>
      <c r="K25" s="1457" t="inlineStr">
        <is>
          <t>POU</t>
        </is>
      </c>
      <c r="L25" s="1457" t="inlineStr">
        <is>
          <t>City of Palo Alto</t>
        </is>
      </c>
      <c r="M25" s="1457" t="inlineStr">
        <is>
          <t>NO commercial EV rate</t>
        </is>
      </c>
      <c r="N25" s="1457" t="inlineStr">
        <is>
          <t>California</t>
        </is>
      </c>
    </row>
    <row r="26" ht="15" customHeight="1" s="254">
      <c r="A26" s="1512" t="inlineStr">
        <is>
          <t>Lodi Electric Utility</t>
        </is>
      </c>
      <c r="B26" s="1513" t="inlineStr">
        <is>
          <t>POU</t>
        </is>
      </c>
      <c r="C26" s="1472" t="inlineStr">
        <is>
          <t>City of Lodi, San Joaquin Co.</t>
        </is>
      </c>
      <c r="D26" s="1518" t="inlineStr">
        <is>
          <t>Not researched</t>
        </is>
      </c>
      <c r="E26" s="1561" t="n"/>
      <c r="F26" s="1457" t="inlineStr">
        <is>
          <t>Lodi Electric Utility</t>
        </is>
      </c>
      <c r="G26" s="1561" t="n"/>
      <c r="H26" s="1561" t="n"/>
      <c r="I26" s="1561" t="n"/>
      <c r="J26" s="1457" t="inlineStr">
        <is>
          <t>Lodi Electric Utility</t>
        </is>
      </c>
      <c r="K26" s="1457" t="inlineStr">
        <is>
          <t>POU</t>
        </is>
      </c>
      <c r="L26" s="1457" t="inlineStr">
        <is>
          <t>City of Lodi, San Joaquin Co.</t>
        </is>
      </c>
      <c r="M26" s="1457" t="inlineStr">
        <is>
          <t>Not researched</t>
        </is>
      </c>
      <c r="N26" s="1457" t="inlineStr">
        <is>
          <t>California</t>
        </is>
      </c>
    </row>
    <row r="27" ht="15" customHeight="1" s="254">
      <c r="A27" s="1512" t="inlineStr">
        <is>
          <t>Colton Public Utilities</t>
        </is>
      </c>
      <c r="B27" s="1513" t="inlineStr">
        <is>
          <t>POU</t>
        </is>
      </c>
      <c r="C27" s="1472" t="inlineStr">
        <is>
          <t>City of Colton, San Bernardino Co.</t>
        </is>
      </c>
      <c r="D27" s="1518" t="inlineStr">
        <is>
          <t>EV rate page exists — obtain tariff</t>
        </is>
      </c>
      <c r="E27" s="1561" t="n"/>
      <c r="F27" s="1457" t="inlineStr">
        <is>
          <t>Colton Public Utilities</t>
        </is>
      </c>
      <c r="G27" s="1561" t="n"/>
      <c r="H27" s="1561" t="n"/>
      <c r="I27" s="1561" t="n"/>
      <c r="J27" s="1457" t="inlineStr">
        <is>
          <t>Colton Public Utilities</t>
        </is>
      </c>
      <c r="K27" s="1457" t="inlineStr">
        <is>
          <t>POU</t>
        </is>
      </c>
      <c r="L27" s="1457" t="inlineStr">
        <is>
          <t>City of Colton, San Bernardino Co.</t>
        </is>
      </c>
      <c r="M27" s="1457" t="inlineStr">
        <is>
          <t>EV rate page exists — obtain tariff</t>
        </is>
      </c>
      <c r="N27" s="1457" t="inlineStr">
        <is>
          <t>California</t>
        </is>
      </c>
    </row>
    <row r="28" ht="15" customHeight="1" s="254">
      <c r="A28" s="1512" t="inlineStr">
        <is>
          <t>Azusa Light &amp; Water</t>
        </is>
      </c>
      <c r="B28" s="1513" t="inlineStr">
        <is>
          <t>POU</t>
        </is>
      </c>
      <c r="C28" s="1472" t="inlineStr">
        <is>
          <t>City of Azusa, LA Co.</t>
        </is>
      </c>
      <c r="D28" s="1516" t="inlineStr">
        <is>
          <t>NO commercial EV rate</t>
        </is>
      </c>
      <c r="E28" s="1561" t="n"/>
      <c r="F28" s="1457" t="inlineStr">
        <is>
          <t>Azusa Light &amp; Water</t>
        </is>
      </c>
      <c r="G28" s="1561" t="n"/>
      <c r="H28" s="1561" t="n"/>
      <c r="I28" s="1561" t="n"/>
      <c r="J28" s="1457" t="inlineStr">
        <is>
          <t>Azusa Light &amp; Water</t>
        </is>
      </c>
      <c r="K28" s="1457" t="inlineStr">
        <is>
          <t>POU</t>
        </is>
      </c>
      <c r="L28" s="1457" t="inlineStr">
        <is>
          <t>City of Azusa, LA Co.</t>
        </is>
      </c>
      <c r="M28" s="1457" t="inlineStr">
        <is>
          <t>NO commercial EV rate</t>
        </is>
      </c>
      <c r="N28" s="1457" t="inlineStr">
        <is>
          <t>California</t>
        </is>
      </c>
    </row>
    <row r="29" ht="15" customHeight="1" s="254">
      <c r="A29" s="1512" t="inlineStr">
        <is>
          <t>Lompoc Electric Division</t>
        </is>
      </c>
      <c r="B29" s="1513" t="inlineStr">
        <is>
          <t>POU</t>
        </is>
      </c>
      <c r="C29" s="1472" t="inlineStr">
        <is>
          <t>City of Lompoc, Santa Barbara Co.</t>
        </is>
      </c>
      <c r="D29" s="1518" t="inlineStr">
        <is>
          <t>Not researched</t>
        </is>
      </c>
      <c r="E29" s="1561" t="n"/>
      <c r="F29" s="1457" t="inlineStr">
        <is>
          <t>Lompoc Electric Division</t>
        </is>
      </c>
      <c r="G29" s="1561" t="n"/>
      <c r="H29" s="1561" t="n"/>
      <c r="I29" s="1561" t="n"/>
      <c r="J29" s="1457" t="inlineStr">
        <is>
          <t>Lompoc Electric Division</t>
        </is>
      </c>
      <c r="K29" s="1457" t="inlineStr">
        <is>
          <t>POU</t>
        </is>
      </c>
      <c r="L29" s="1457" t="inlineStr">
        <is>
          <t>City of Lompoc, Santa Barbara Co.</t>
        </is>
      </c>
      <c r="M29" s="1457" t="inlineStr">
        <is>
          <t>Not researched</t>
        </is>
      </c>
      <c r="N29" s="1457" t="inlineStr">
        <is>
          <t>California</t>
        </is>
      </c>
    </row>
    <row r="30" ht="15" customHeight="1" s="254">
      <c r="A30" s="1512" t="inlineStr">
        <is>
          <t>Truckee Donner PUD</t>
        </is>
      </c>
      <c r="B30" s="1513" t="inlineStr">
        <is>
          <t>POU</t>
        </is>
      </c>
      <c r="C30" s="1472" t="inlineStr">
        <is>
          <t>Truckee &amp; Donner, Nevada/Placer Co.</t>
        </is>
      </c>
      <c r="D30" s="1518" t="inlineStr">
        <is>
          <t>Not researched</t>
        </is>
      </c>
      <c r="E30" s="1561" t="n"/>
      <c r="F30" s="1457" t="inlineStr">
        <is>
          <t>Truckee Donner PUD</t>
        </is>
      </c>
      <c r="G30" s="1561" t="n"/>
      <c r="H30" s="1561" t="n"/>
      <c r="I30" s="1561" t="n"/>
      <c r="J30" s="1457" t="inlineStr">
        <is>
          <t>Truckee Donner PUD</t>
        </is>
      </c>
      <c r="K30" s="1457" t="inlineStr">
        <is>
          <t>POU</t>
        </is>
      </c>
      <c r="L30" s="1457" t="inlineStr">
        <is>
          <t>Truckee &amp; Donner, Nevada/Placer Co.</t>
        </is>
      </c>
      <c r="M30" s="1457" t="inlineStr">
        <is>
          <t>Not researched</t>
        </is>
      </c>
      <c r="N30" s="1457" t="inlineStr">
        <is>
          <t>California</t>
        </is>
      </c>
    </row>
    <row r="31" ht="15" customHeight="1" s="254">
      <c r="A31" s="1512" t="inlineStr">
        <is>
          <t>Banning Electric Utility</t>
        </is>
      </c>
      <c r="B31" s="1513" t="inlineStr">
        <is>
          <t>POU</t>
        </is>
      </c>
      <c r="C31" s="1472" t="inlineStr">
        <is>
          <t>City of Banning, Riverside Co.</t>
        </is>
      </c>
      <c r="D31" s="1518" t="inlineStr">
        <is>
          <t>Not researched</t>
        </is>
      </c>
      <c r="E31" s="1561" t="n"/>
      <c r="F31" s="1457" t="inlineStr">
        <is>
          <t>Banning Electric Utility</t>
        </is>
      </c>
      <c r="G31" s="1561" t="n"/>
      <c r="H31" s="1561" t="n"/>
      <c r="I31" s="1561" t="n"/>
      <c r="J31" s="1457" t="inlineStr">
        <is>
          <t>Banning Electric Utility</t>
        </is>
      </c>
      <c r="K31" s="1457" t="inlineStr">
        <is>
          <t>POU</t>
        </is>
      </c>
      <c r="L31" s="1457" t="inlineStr">
        <is>
          <t>City of Banning, Riverside Co.</t>
        </is>
      </c>
      <c r="M31" s="1457" t="inlineStr">
        <is>
          <t>Not researched</t>
        </is>
      </c>
      <c r="N31" s="1457" t="inlineStr">
        <is>
          <t>California</t>
        </is>
      </c>
    </row>
    <row r="32" ht="15" customHeight="1" s="254">
      <c r="A32" s="1512" t="inlineStr">
        <is>
          <t>Merced Irrigation District</t>
        </is>
      </c>
      <c r="B32" s="1513" t="inlineStr">
        <is>
          <t>POU</t>
        </is>
      </c>
      <c r="C32" s="1472" t="inlineStr">
        <is>
          <t>Merced County</t>
        </is>
      </c>
      <c r="D32" s="1518" t="inlineStr">
        <is>
          <t>Not researched</t>
        </is>
      </c>
      <c r="E32" s="1561" t="n"/>
      <c r="F32" s="1457" t="inlineStr">
        <is>
          <t>Merced Irrigation District</t>
        </is>
      </c>
      <c r="G32" s="1561" t="n"/>
      <c r="H32" s="1561" t="n"/>
      <c r="I32" s="1561" t="n"/>
      <c r="J32" s="1457" t="inlineStr">
        <is>
          <t>Merced Irrigation District</t>
        </is>
      </c>
      <c r="K32" s="1457" t="inlineStr">
        <is>
          <t>POU</t>
        </is>
      </c>
      <c r="L32" s="1457" t="inlineStr">
        <is>
          <t>Merced County</t>
        </is>
      </c>
      <c r="M32" s="1457" t="inlineStr">
        <is>
          <t>Not researched</t>
        </is>
      </c>
      <c r="N32" s="1457" t="inlineStr">
        <is>
          <t>California</t>
        </is>
      </c>
    </row>
    <row r="33" ht="15" customHeight="1" s="254">
      <c r="A33" s="1512" t="inlineStr">
        <is>
          <t>LMUD — Lassen Municipal Utility District</t>
        </is>
      </c>
      <c r="B33" s="1513" t="inlineStr">
        <is>
          <t>POU</t>
        </is>
      </c>
      <c r="C33" s="1472" t="inlineStr">
        <is>
          <t>Susanville &amp; Lassen Co.</t>
        </is>
      </c>
      <c r="D33" s="1518" t="inlineStr">
        <is>
          <t>Not researched</t>
        </is>
      </c>
      <c r="E33" s="1561" t="n"/>
      <c r="F33" s="1457" t="inlineStr">
        <is>
          <t>LMUD — Lassen Municipal Utility District</t>
        </is>
      </c>
      <c r="G33" s="1561" t="n"/>
      <c r="H33" s="1561" t="n"/>
      <c r="I33" s="1561" t="n"/>
      <c r="J33" s="1457" t="inlineStr">
        <is>
          <t>LMUD — Lassen Municipal Utility District</t>
        </is>
      </c>
      <c r="K33" s="1457" t="inlineStr">
        <is>
          <t>POU</t>
        </is>
      </c>
      <c r="L33" s="1457" t="inlineStr">
        <is>
          <t>Susanville &amp; Lassen Co.</t>
        </is>
      </c>
      <c r="M33" s="1457" t="inlineStr">
        <is>
          <t>Not researched</t>
        </is>
      </c>
      <c r="N33" s="1457" t="inlineStr">
        <is>
          <t>California</t>
        </is>
      </c>
    </row>
    <row r="34" ht="15" customHeight="1" s="254">
      <c r="A34" s="1512" t="inlineStr">
        <is>
          <t>Ukiah Electric Utility</t>
        </is>
      </c>
      <c r="B34" s="1513" t="inlineStr">
        <is>
          <t>POU</t>
        </is>
      </c>
      <c r="C34" s="1472" t="inlineStr">
        <is>
          <t>City of Ukiah, Mendocino Co.</t>
        </is>
      </c>
      <c r="D34" s="1518" t="inlineStr">
        <is>
          <t>Not researched</t>
        </is>
      </c>
      <c r="E34" s="1561" t="n"/>
      <c r="F34" s="1457" t="inlineStr">
        <is>
          <t>Ukiah Electric Utility</t>
        </is>
      </c>
      <c r="G34" s="1561" t="n"/>
      <c r="H34" s="1561" t="n"/>
      <c r="I34" s="1561" t="n"/>
      <c r="J34" s="1457" t="inlineStr">
        <is>
          <t>Ukiah Electric Utility</t>
        </is>
      </c>
      <c r="K34" s="1457" t="inlineStr">
        <is>
          <t>POU</t>
        </is>
      </c>
      <c r="L34" s="1457" t="inlineStr">
        <is>
          <t>City of Ukiah, Mendocino Co.</t>
        </is>
      </c>
      <c r="M34" s="1457" t="inlineStr">
        <is>
          <t>Not researched</t>
        </is>
      </c>
      <c r="N34" s="1457" t="inlineStr">
        <is>
          <t>California</t>
        </is>
      </c>
    </row>
    <row r="35" ht="15" customHeight="1" s="254">
      <c r="A35" s="1512" t="inlineStr">
        <is>
          <t>Trinity Public Utilities District</t>
        </is>
      </c>
      <c r="B35" s="1513" t="inlineStr">
        <is>
          <t>POU</t>
        </is>
      </c>
      <c r="C35" s="1472" t="inlineStr">
        <is>
          <t>Trinity County</t>
        </is>
      </c>
      <c r="D35" s="1518" t="inlineStr">
        <is>
          <t>Not researched</t>
        </is>
      </c>
      <c r="E35" s="1561" t="n"/>
      <c r="F35" s="1457" t="inlineStr">
        <is>
          <t>Trinity Public Utilities District</t>
        </is>
      </c>
      <c r="G35" s="1561" t="n"/>
      <c r="H35" s="1561" t="n"/>
      <c r="I35" s="1561" t="n"/>
      <c r="J35" s="1457" t="inlineStr">
        <is>
          <t>Trinity Public Utilities District</t>
        </is>
      </c>
      <c r="K35" s="1457" t="inlineStr">
        <is>
          <t>POU</t>
        </is>
      </c>
      <c r="L35" s="1457" t="inlineStr">
        <is>
          <t>Trinity County</t>
        </is>
      </c>
      <c r="M35" s="1457" t="inlineStr">
        <is>
          <t>Not researched</t>
        </is>
      </c>
      <c r="N35" s="1457" t="inlineStr">
        <is>
          <t>California</t>
        </is>
      </c>
    </row>
    <row r="36" ht="15" customHeight="1" s="254">
      <c r="A36" s="1512" t="inlineStr">
        <is>
          <t>Healdsburg Electric Department</t>
        </is>
      </c>
      <c r="B36" s="1513" t="inlineStr">
        <is>
          <t>POU</t>
        </is>
      </c>
      <c r="C36" s="1472" t="inlineStr">
        <is>
          <t>City of Healdsburg, Sonoma Co.</t>
        </is>
      </c>
      <c r="D36" s="1518" t="inlineStr">
        <is>
          <t>Not researched</t>
        </is>
      </c>
      <c r="E36" s="1561" t="n"/>
      <c r="F36" s="1457" t="inlineStr">
        <is>
          <t>Healdsburg Electric Department</t>
        </is>
      </c>
      <c r="G36" s="1561" t="n"/>
      <c r="H36" s="1561" t="n"/>
      <c r="I36" s="1561" t="n"/>
      <c r="J36" s="1457" t="inlineStr">
        <is>
          <t>Healdsburg Electric Department</t>
        </is>
      </c>
      <c r="K36" s="1457" t="inlineStr">
        <is>
          <t>POU</t>
        </is>
      </c>
      <c r="L36" s="1457" t="inlineStr">
        <is>
          <t>City of Healdsburg, Sonoma Co.</t>
        </is>
      </c>
      <c r="M36" s="1457" t="inlineStr">
        <is>
          <t>Not researched</t>
        </is>
      </c>
      <c r="N36" s="1457" t="inlineStr">
        <is>
          <t>California</t>
        </is>
      </c>
    </row>
    <row r="37" ht="15" customHeight="1" s="254">
      <c r="A37" s="1512" t="inlineStr">
        <is>
          <t>Shasta Lake Electric Utility</t>
        </is>
      </c>
      <c r="B37" s="1513" t="inlineStr">
        <is>
          <t>POU</t>
        </is>
      </c>
      <c r="C37" s="1472" t="inlineStr">
        <is>
          <t>City of Shasta Lake, Shasta Co.</t>
        </is>
      </c>
      <c r="D37" s="1518" t="inlineStr">
        <is>
          <t>Not researched</t>
        </is>
      </c>
      <c r="E37" s="1561" t="n"/>
      <c r="F37" s="1457" t="inlineStr">
        <is>
          <t>Shasta Lake Electric Utility</t>
        </is>
      </c>
      <c r="G37" s="1561" t="n"/>
      <c r="H37" s="1561" t="n"/>
      <c r="I37" s="1561" t="n"/>
      <c r="J37" s="1457" t="inlineStr">
        <is>
          <t>Shasta Lake Electric Utility</t>
        </is>
      </c>
      <c r="K37" s="1457" t="inlineStr">
        <is>
          <t>POU</t>
        </is>
      </c>
      <c r="L37" s="1457" t="inlineStr">
        <is>
          <t>City of Shasta Lake, Shasta Co.</t>
        </is>
      </c>
      <c r="M37" s="1457" t="inlineStr">
        <is>
          <t>Not researched</t>
        </is>
      </c>
      <c r="N37" s="1457" t="inlineStr">
        <is>
          <t>California</t>
        </is>
      </c>
    </row>
    <row r="38" ht="26" customHeight="1" s="254">
      <c r="A38" s="1512" t="inlineStr">
        <is>
          <t>Rancho Cucamonga Municipal Utility</t>
        </is>
      </c>
      <c r="B38" s="1513" t="inlineStr">
        <is>
          <t>POU</t>
        </is>
      </c>
      <c r="C38" s="1519" t="inlineStr">
        <is>
          <t>PARTIAL — newer development only; SCE serves the rest</t>
        </is>
      </c>
      <c r="D38" s="1518" t="inlineStr">
        <is>
          <t>Not researched</t>
        </is>
      </c>
      <c r="E38" s="1561" t="n"/>
      <c r="F38" s="1457" t="inlineStr">
        <is>
          <t>Rancho Cucamonga Municipal Utility</t>
        </is>
      </c>
      <c r="G38" s="1561" t="n"/>
      <c r="H38" s="1561" t="n"/>
      <c r="I38" s="1561" t="n"/>
      <c r="J38" s="1457" t="inlineStr">
        <is>
          <t>Rancho Cucamonga Municipal Utility</t>
        </is>
      </c>
      <c r="K38" s="1457" t="inlineStr">
        <is>
          <t>POU</t>
        </is>
      </c>
      <c r="L38" s="1520" t="inlineStr">
        <is>
          <t>PARTIAL — newer development only; SCE serves the rest</t>
        </is>
      </c>
      <c r="M38" s="1457" t="inlineStr">
        <is>
          <t>Not researched</t>
        </is>
      </c>
      <c r="N38" s="1457" t="inlineStr">
        <is>
          <t>California</t>
        </is>
      </c>
    </row>
    <row r="39" ht="26" customHeight="1" s="254">
      <c r="A39" s="1512" t="inlineStr">
        <is>
          <t>Moreno Valley Utility</t>
        </is>
      </c>
      <c r="B39" s="1513" t="inlineStr">
        <is>
          <t>POU</t>
        </is>
      </c>
      <c r="C39" s="1519" t="inlineStr">
        <is>
          <t>PARTIAL — post-2004 development only; SCE serves the rest</t>
        </is>
      </c>
      <c r="D39" s="1518" t="inlineStr">
        <is>
          <t>Not researched</t>
        </is>
      </c>
      <c r="E39" s="1561" t="n"/>
      <c r="F39" s="1457" t="inlineStr">
        <is>
          <t>Moreno Valley Utility</t>
        </is>
      </c>
      <c r="G39" s="1561" t="n"/>
      <c r="H39" s="1561" t="n"/>
      <c r="I39" s="1561" t="n"/>
      <c r="J39" s="1457" t="inlineStr">
        <is>
          <t>Moreno Valley Utility</t>
        </is>
      </c>
      <c r="K39" s="1457" t="inlineStr">
        <is>
          <t>POU</t>
        </is>
      </c>
      <c r="L39" s="1520" t="inlineStr">
        <is>
          <t>PARTIAL — post-2004 development only; SCE serves the rest</t>
        </is>
      </c>
      <c r="M39" s="1457" t="inlineStr">
        <is>
          <t>Not researched</t>
        </is>
      </c>
      <c r="N39" s="1457" t="inlineStr">
        <is>
          <t>California</t>
        </is>
      </c>
    </row>
    <row r="40" ht="15" customHeight="1" s="254">
      <c r="A40" s="1512" t="inlineStr">
        <is>
          <t>Gridley Electric Utility</t>
        </is>
      </c>
      <c r="B40" s="1513" t="inlineStr">
        <is>
          <t>POU</t>
        </is>
      </c>
      <c r="C40" s="1472" t="inlineStr">
        <is>
          <t>City of Gridley, Butte Co.</t>
        </is>
      </c>
      <c r="D40" s="1518" t="inlineStr">
        <is>
          <t>Not researched</t>
        </is>
      </c>
      <c r="E40" s="1561" t="n"/>
      <c r="F40" s="1457" t="inlineStr">
        <is>
          <t>Gridley Electric Utility</t>
        </is>
      </c>
      <c r="G40" s="1561" t="n"/>
      <c r="H40" s="1561" t="n"/>
      <c r="I40" s="1561" t="n"/>
      <c r="J40" s="1457" t="inlineStr">
        <is>
          <t>Gridley Electric Utility</t>
        </is>
      </c>
      <c r="K40" s="1457" t="inlineStr">
        <is>
          <t>POU</t>
        </is>
      </c>
      <c r="L40" s="1457" t="inlineStr">
        <is>
          <t>City of Gridley, Butte Co.</t>
        </is>
      </c>
      <c r="M40" s="1457" t="inlineStr">
        <is>
          <t>Not researched</t>
        </is>
      </c>
      <c r="N40" s="1457" t="inlineStr">
        <is>
          <t>California</t>
        </is>
      </c>
    </row>
    <row r="41" ht="15" customHeight="1" s="254">
      <c r="A41" s="1512" t="inlineStr">
        <is>
          <t>Needles Public Utility Authority</t>
        </is>
      </c>
      <c r="B41" s="1513" t="inlineStr">
        <is>
          <t>POU</t>
        </is>
      </c>
      <c r="C41" s="1472" t="inlineStr">
        <is>
          <t>City of Needles, San Bernardino Co.</t>
        </is>
      </c>
      <c r="D41" s="1518" t="inlineStr">
        <is>
          <t>Not researched</t>
        </is>
      </c>
      <c r="E41" s="1561" t="n"/>
      <c r="F41" s="1457" t="inlineStr">
        <is>
          <t>Needles Public Utility Authority</t>
        </is>
      </c>
      <c r="G41" s="1561" t="n"/>
      <c r="H41" s="1561" t="n"/>
      <c r="I41" s="1561" t="n"/>
      <c r="J41" s="1457" t="inlineStr">
        <is>
          <t>Needles Public Utility Authority</t>
        </is>
      </c>
      <c r="K41" s="1457" t="inlineStr">
        <is>
          <t>POU</t>
        </is>
      </c>
      <c r="L41" s="1457" t="inlineStr">
        <is>
          <t>City of Needles, San Bernardino Co.</t>
        </is>
      </c>
      <c r="M41" s="1457" t="inlineStr">
        <is>
          <t>Not researched</t>
        </is>
      </c>
      <c r="N41" s="1457" t="inlineStr">
        <is>
          <t>California</t>
        </is>
      </c>
    </row>
    <row r="42" ht="15" customHeight="1" s="254">
      <c r="A42" s="1512" t="inlineStr">
        <is>
          <t>Biggs Municipal Utilities</t>
        </is>
      </c>
      <c r="B42" s="1513" t="inlineStr">
        <is>
          <t>POU</t>
        </is>
      </c>
      <c r="C42" s="1472" t="inlineStr">
        <is>
          <t>City of Biggs, Butte Co.</t>
        </is>
      </c>
      <c r="D42" s="1518" t="inlineStr">
        <is>
          <t>Not researched</t>
        </is>
      </c>
      <c r="E42" s="1561" t="n"/>
      <c r="F42" s="1457" t="inlineStr">
        <is>
          <t>Biggs Municipal Utilities</t>
        </is>
      </c>
      <c r="G42" s="1561" t="n"/>
      <c r="H42" s="1561" t="n"/>
      <c r="I42" s="1561" t="n"/>
      <c r="J42" s="1457" t="inlineStr">
        <is>
          <t>Biggs Municipal Utilities</t>
        </is>
      </c>
      <c r="K42" s="1457" t="inlineStr">
        <is>
          <t>POU</t>
        </is>
      </c>
      <c r="L42" s="1457" t="inlineStr">
        <is>
          <t>City of Biggs, Butte Co.</t>
        </is>
      </c>
      <c r="M42" s="1457" t="inlineStr">
        <is>
          <t>Not researched</t>
        </is>
      </c>
      <c r="N42" s="1457" t="inlineStr">
        <is>
          <t>California</t>
        </is>
      </c>
    </row>
    <row r="43" ht="15" customHeight="1" s="254">
      <c r="A43" s="1512" t="inlineStr">
        <is>
          <t>Kirkwood Meadows PUD</t>
        </is>
      </c>
      <c r="B43" s="1513" t="inlineStr">
        <is>
          <t>POU</t>
        </is>
      </c>
      <c r="C43" s="1521" t="inlineStr">
        <is>
          <t>Kirkwood ski area, Alpine/Amador/El Dorado</t>
        </is>
      </c>
      <c r="D43" s="1518" t="inlineStr">
        <is>
          <t>Not researched</t>
        </is>
      </c>
      <c r="E43" s="1561" t="n"/>
      <c r="F43" s="1457" t="inlineStr">
        <is>
          <t>Kirkwood Meadows PUD</t>
        </is>
      </c>
      <c r="G43" s="1561" t="n"/>
      <c r="H43" s="1561" t="n"/>
      <c r="I43" s="1561" t="n"/>
      <c r="J43" s="1457" t="inlineStr">
        <is>
          <t>Kirkwood Meadows PUD</t>
        </is>
      </c>
      <c r="K43" s="1457" t="inlineStr">
        <is>
          <t>POU</t>
        </is>
      </c>
      <c r="L43" s="1457" t="inlineStr">
        <is>
          <t>Kirkwood ski area, Alpine/Amador/El Dorado</t>
        </is>
      </c>
      <c r="M43" s="1457" t="inlineStr">
        <is>
          <t>Not researched</t>
        </is>
      </c>
      <c r="N43" s="1457" t="inlineStr">
        <is>
          <t>California</t>
        </is>
      </c>
    </row>
    <row r="44" ht="15" customHeight="1" s="254">
      <c r="A44" s="1512" t="inlineStr">
        <is>
          <t>Shelter Cove Resort Improvement District</t>
        </is>
      </c>
      <c r="B44" s="1513" t="inlineStr">
        <is>
          <t>POU</t>
        </is>
      </c>
      <c r="C44" s="1472" t="inlineStr">
        <is>
          <t>Shelter Cove, Humboldt Co.</t>
        </is>
      </c>
      <c r="D44" s="1518" t="inlineStr">
        <is>
          <t>Not researched</t>
        </is>
      </c>
      <c r="E44" s="1561" t="n"/>
      <c r="F44" s="1457" t="inlineStr">
        <is>
          <t>Shelter Cove Resort Improvement District</t>
        </is>
      </c>
      <c r="G44" s="1561" t="n"/>
      <c r="H44" s="1561" t="n"/>
      <c r="I44" s="1561" t="n"/>
      <c r="J44" s="1457" t="inlineStr">
        <is>
          <t>Shelter Cove Resort Improvement District</t>
        </is>
      </c>
      <c r="K44" s="1457" t="inlineStr">
        <is>
          <t>POU</t>
        </is>
      </c>
      <c r="L44" s="1457" t="inlineStr">
        <is>
          <t>Shelter Cove, Humboldt Co.</t>
        </is>
      </c>
      <c r="M44" s="1457" t="inlineStr">
        <is>
          <t>Not researched</t>
        </is>
      </c>
      <c r="N44" s="1457" t="inlineStr">
        <is>
          <t>California</t>
        </is>
      </c>
    </row>
    <row r="45" ht="15" customHeight="1" s="254">
      <c r="A45" s="1512" t="inlineStr">
        <is>
          <t>Hetch Hetchy Power (SFPUC)</t>
        </is>
      </c>
      <c r="B45" s="1513" t="inlineStr">
        <is>
          <t>POU</t>
        </is>
      </c>
      <c r="C45" s="1472" t="inlineStr">
        <is>
          <t>SF municipal, SFO, Muni, new development</t>
        </is>
      </c>
      <c r="D45" s="1518" t="inlineStr">
        <is>
          <t>Not researched</t>
        </is>
      </c>
      <c r="E45" s="1561" t="n"/>
      <c r="F45" s="1457" t="inlineStr">
        <is>
          <t>Hetch Hetchy Power (SFPUC)</t>
        </is>
      </c>
      <c r="G45" s="1561" t="n"/>
      <c r="H45" s="1561" t="n"/>
      <c r="I45" s="1561" t="n"/>
      <c r="J45" s="1457" t="inlineStr">
        <is>
          <t>Hetch Hetchy Power (SFPUC)</t>
        </is>
      </c>
      <c r="K45" s="1457" t="inlineStr">
        <is>
          <t>POU</t>
        </is>
      </c>
      <c r="L45" s="1457" t="inlineStr">
        <is>
          <t>SF municipal, SFO, Muni, new development</t>
        </is>
      </c>
      <c r="M45" s="1457" t="inlineStr">
        <is>
          <t>Not researched</t>
        </is>
      </c>
      <c r="N45" s="1457" t="inlineStr">
        <is>
          <t>California</t>
        </is>
      </c>
    </row>
    <row r="46" ht="15" customHeight="1" s="254">
      <c r="A46" s="1512" t="inlineStr">
        <is>
          <t>City of Vernon (Vernon Public Utilities)</t>
        </is>
      </c>
      <c r="B46" s="1513" t="inlineStr">
        <is>
          <t>POU</t>
        </is>
      </c>
      <c r="C46" s="1472" t="inlineStr">
        <is>
          <t>Industrial city of Vernon, LA Co.</t>
        </is>
      </c>
      <c r="D46" s="1518" t="inlineStr">
        <is>
          <t>Not researched</t>
        </is>
      </c>
      <c r="E46" s="1561" t="n"/>
      <c r="F46" s="1457" t="inlineStr">
        <is>
          <t>City of Vernon (Vernon Public Utilities)</t>
        </is>
      </c>
      <c r="G46" s="1561" t="n"/>
      <c r="H46" s="1561" t="n"/>
      <c r="I46" s="1561" t="n"/>
      <c r="J46" s="1457" t="inlineStr">
        <is>
          <t>City of Vernon (Vernon Public Utilities)</t>
        </is>
      </c>
      <c r="K46" s="1457" t="inlineStr">
        <is>
          <t>POU</t>
        </is>
      </c>
      <c r="L46" s="1457" t="inlineStr">
        <is>
          <t>Industrial city of Vernon, LA Co.</t>
        </is>
      </c>
      <c r="M46" s="1457" t="inlineStr">
        <is>
          <t>Not researched</t>
        </is>
      </c>
      <c r="N46" s="1457" t="inlineStr">
        <is>
          <t>California</t>
        </is>
      </c>
    </row>
    <row r="47" ht="26" customHeight="1" s="254">
      <c r="A47" s="1512" t="inlineStr">
        <is>
          <t>Corona Department of Water &amp; Power</t>
        </is>
      </c>
      <c r="B47" s="1513" t="inlineStr">
        <is>
          <t>POU</t>
        </is>
      </c>
      <c r="C47" s="1519" t="inlineStr">
        <is>
          <t>PARTIAL — limited footprint; SCE serves most of Corona</t>
        </is>
      </c>
      <c r="D47" s="1518" t="inlineStr">
        <is>
          <t>Not researched</t>
        </is>
      </c>
      <c r="E47" s="1561" t="n"/>
      <c r="F47" s="1457" t="inlineStr">
        <is>
          <t>Corona Department of Water &amp; Power</t>
        </is>
      </c>
      <c r="G47" s="1561" t="n"/>
      <c r="H47" s="1561" t="n"/>
      <c r="I47" s="1561" t="n"/>
      <c r="J47" s="1457" t="inlineStr">
        <is>
          <t>Corona Department of Water &amp; Power</t>
        </is>
      </c>
      <c r="K47" s="1457" t="inlineStr">
        <is>
          <t>POU</t>
        </is>
      </c>
      <c r="L47" s="1520" t="inlineStr">
        <is>
          <t>PARTIAL — limited footprint; SCE serves most of Corona</t>
        </is>
      </c>
      <c r="M47" s="1457" t="inlineStr">
        <is>
          <t>Not researched</t>
        </is>
      </c>
      <c r="N47" s="1457" t="inlineStr">
        <is>
          <t>California</t>
        </is>
      </c>
    </row>
    <row r="48" ht="26" customHeight="1" s="254">
      <c r="A48" s="1512" t="inlineStr">
        <is>
          <t>Victorville Municipal Utilities Services</t>
        </is>
      </c>
      <c r="B48" s="1513" t="inlineStr">
        <is>
          <t>POU</t>
        </is>
      </c>
      <c r="C48" s="1519" t="inlineStr">
        <is>
          <t>SCLA &amp; industrial Victorville; SCE serves the rest</t>
        </is>
      </c>
      <c r="D48" s="1518" t="inlineStr">
        <is>
          <t>Not researched</t>
        </is>
      </c>
      <c r="E48" s="1561" t="n"/>
      <c r="F48" s="1457" t="inlineStr">
        <is>
          <t>Victorville Municipal Utilities Services</t>
        </is>
      </c>
      <c r="G48" s="1561" t="n"/>
      <c r="H48" s="1561" t="n"/>
      <c r="I48" s="1561" t="n"/>
      <c r="J48" s="1457" t="inlineStr">
        <is>
          <t>Victorville Municipal Utilities Services</t>
        </is>
      </c>
      <c r="K48" s="1457" t="inlineStr">
        <is>
          <t>POU</t>
        </is>
      </c>
      <c r="L48" s="1520" t="inlineStr">
        <is>
          <t>SCLA &amp; industrial Victorville; SCE serves the rest</t>
        </is>
      </c>
      <c r="M48" s="1457" t="inlineStr">
        <is>
          <t>Not researched</t>
        </is>
      </c>
      <c r="N48" s="1457" t="inlineStr">
        <is>
          <t>California</t>
        </is>
      </c>
    </row>
    <row r="49" ht="15" customHeight="1" s="254">
      <c r="A49" s="1512" t="inlineStr">
        <is>
          <t>Island Energy (Pittsburg Power Co.)</t>
        </is>
      </c>
      <c r="B49" s="1513" t="inlineStr">
        <is>
          <t>POU</t>
        </is>
      </c>
      <c r="C49" s="1472" t="inlineStr">
        <is>
          <t>Mare Island &amp; Pittsburg</t>
        </is>
      </c>
      <c r="D49" s="1518" t="inlineStr">
        <is>
          <t>Not researched</t>
        </is>
      </c>
      <c r="E49" s="1561" t="n"/>
      <c r="F49" s="1457" t="inlineStr">
        <is>
          <t>Island Energy (Pittsburg Power Co.)</t>
        </is>
      </c>
      <c r="G49" s="1561" t="n"/>
      <c r="H49" s="1561" t="n"/>
      <c r="I49" s="1561" t="n"/>
      <c r="J49" s="1457" t="inlineStr">
        <is>
          <t>Island Energy (Pittsburg Power Co.)</t>
        </is>
      </c>
      <c r="K49" s="1457" t="inlineStr">
        <is>
          <t>POU</t>
        </is>
      </c>
      <c r="L49" s="1457" t="inlineStr">
        <is>
          <t>Mare Island &amp; Pittsburg</t>
        </is>
      </c>
      <c r="M49" s="1457" t="inlineStr">
        <is>
          <t>Not researched</t>
        </is>
      </c>
      <c r="N49" s="1457" t="inlineStr">
        <is>
          <t>California</t>
        </is>
      </c>
    </row>
    <row r="50" ht="15" customHeight="1" s="254">
      <c r="A50" s="1512" t="inlineStr">
        <is>
          <t>Port of Oakland</t>
        </is>
      </c>
      <c r="B50" s="1513" t="inlineStr">
        <is>
          <t>POU</t>
        </is>
      </c>
      <c r="C50" s="1472" t="inlineStr">
        <is>
          <t>Port &amp; Oakland Airport tenants</t>
        </is>
      </c>
      <c r="D50" s="1518" t="inlineStr">
        <is>
          <t>Not researched</t>
        </is>
      </c>
      <c r="E50" s="1561" t="n"/>
      <c r="F50" s="1457" t="inlineStr">
        <is>
          <t>Port of Oakland</t>
        </is>
      </c>
      <c r="G50" s="1561" t="n"/>
      <c r="H50" s="1561" t="n"/>
      <c r="I50" s="1561" t="n"/>
      <c r="J50" s="1457" t="inlineStr">
        <is>
          <t>Port of Oakland</t>
        </is>
      </c>
      <c r="K50" s="1457" t="inlineStr">
        <is>
          <t>POU</t>
        </is>
      </c>
      <c r="L50" s="1457" t="inlineStr">
        <is>
          <t>Port &amp; Oakland Airport tenants</t>
        </is>
      </c>
      <c r="M50" s="1457" t="inlineStr">
        <is>
          <t>Not researched</t>
        </is>
      </c>
      <c r="N50" s="1457" t="inlineStr">
        <is>
          <t>California</t>
        </is>
      </c>
    </row>
    <row r="51" ht="15" customHeight="1" s="254">
      <c r="A51" s="1512" t="inlineStr">
        <is>
          <t>Port of Stockton</t>
        </is>
      </c>
      <c r="B51" s="1513" t="inlineStr">
        <is>
          <t>POU</t>
        </is>
      </c>
      <c r="C51" s="1472" t="inlineStr">
        <is>
          <t>Port tenants, San Joaquin Co.</t>
        </is>
      </c>
      <c r="D51" s="1518" t="inlineStr">
        <is>
          <t>Not researched</t>
        </is>
      </c>
      <c r="E51" s="1561" t="n"/>
      <c r="F51" s="1457" t="inlineStr">
        <is>
          <t>Port of Stockton</t>
        </is>
      </c>
      <c r="G51" s="1561" t="n"/>
      <c r="H51" s="1561" t="n"/>
      <c r="I51" s="1561" t="n"/>
      <c r="J51" s="1457" t="inlineStr">
        <is>
          <t>Port of Stockton</t>
        </is>
      </c>
      <c r="K51" s="1457" t="inlineStr">
        <is>
          <t>POU</t>
        </is>
      </c>
      <c r="L51" s="1457" t="inlineStr">
        <is>
          <t>Port tenants, San Joaquin Co.</t>
        </is>
      </c>
      <c r="M51" s="1457" t="inlineStr">
        <is>
          <t>Not researched</t>
        </is>
      </c>
      <c r="N51" s="1457" t="inlineStr">
        <is>
          <t>California</t>
        </is>
      </c>
    </row>
    <row r="52" ht="15" customHeight="1" s="254">
      <c r="A52" s="1512" t="inlineStr">
        <is>
          <t>City of Industry</t>
        </is>
      </c>
      <c r="B52" s="1513" t="inlineStr">
        <is>
          <t>POU</t>
        </is>
      </c>
      <c r="C52" s="1472" t="inlineStr">
        <is>
          <t>Industrial city, LA Co.</t>
        </is>
      </c>
      <c r="D52" s="1518" t="inlineStr">
        <is>
          <t>Not researched</t>
        </is>
      </c>
      <c r="E52" s="1561" t="n"/>
      <c r="F52" s="1457" t="inlineStr">
        <is>
          <t>City of Industry</t>
        </is>
      </c>
      <c r="G52" s="1561" t="n"/>
      <c r="H52" s="1561" t="n"/>
      <c r="I52" s="1561" t="n"/>
      <c r="J52" s="1457" t="inlineStr">
        <is>
          <t>City of Industry</t>
        </is>
      </c>
      <c r="K52" s="1457" t="inlineStr">
        <is>
          <t>POU</t>
        </is>
      </c>
      <c r="L52" s="1457" t="inlineStr">
        <is>
          <t>Industrial city, LA Co.</t>
        </is>
      </c>
      <c r="M52" s="1457" t="inlineStr">
        <is>
          <t>Not researched</t>
        </is>
      </c>
      <c r="N52" s="1457" t="inlineStr">
        <is>
          <t>California</t>
        </is>
      </c>
    </row>
    <row r="53" ht="26" customHeight="1" s="254">
      <c r="A53" s="1512" t="inlineStr">
        <is>
          <t>Cerritos Electric Utility</t>
        </is>
      </c>
      <c r="B53" s="1513" t="inlineStr">
        <is>
          <t>POU</t>
        </is>
      </c>
      <c r="C53" s="1521" t="inlineStr">
        <is>
          <t>Cerritos businesses — SCE still DELIVERS. Verify</t>
        </is>
      </c>
      <c r="D53" s="1518" t="inlineStr">
        <is>
          <t>Verify delivery tariff with SCE</t>
        </is>
      </c>
      <c r="E53" s="1561" t="n"/>
      <c r="F53" s="1457" t="inlineStr">
        <is>
          <t>Cerritos Electric Utility</t>
        </is>
      </c>
      <c r="G53" s="1561" t="n"/>
      <c r="H53" s="1561" t="n"/>
      <c r="I53" s="1561" t="n"/>
      <c r="J53" s="1457" t="inlineStr">
        <is>
          <t>Cerritos Electric Utility</t>
        </is>
      </c>
      <c r="K53" s="1457" t="inlineStr">
        <is>
          <t>POU</t>
        </is>
      </c>
      <c r="L53" s="1457" t="inlineStr">
        <is>
          <t>Cerritos businesses — SCE still DELIVERS. Verify</t>
        </is>
      </c>
      <c r="M53" s="1457" t="inlineStr">
        <is>
          <t>Verify delivery tariff with SCE</t>
        </is>
      </c>
      <c r="N53" s="1457" t="inlineStr">
        <is>
          <t>California</t>
        </is>
      </c>
    </row>
    <row r="54" ht="15" customHeight="1" s="254">
      <c r="A54" s="1512" t="inlineStr">
        <is>
          <t>Lathrop Irrigation District</t>
        </is>
      </c>
      <c r="B54" s="1513" t="inlineStr">
        <is>
          <t>POU</t>
        </is>
      </c>
      <c r="C54" s="1472" t="inlineStr">
        <is>
          <t>Parts of Lathrop, San Joaquin Co.</t>
        </is>
      </c>
      <c r="D54" s="1518" t="inlineStr">
        <is>
          <t>Not researched</t>
        </is>
      </c>
      <c r="E54" s="1561" t="n"/>
      <c r="F54" s="1457" t="inlineStr">
        <is>
          <t>Lathrop Irrigation District</t>
        </is>
      </c>
      <c r="G54" s="1561" t="n"/>
      <c r="H54" s="1561" t="n"/>
      <c r="I54" s="1561" t="n"/>
      <c r="J54" s="1457" t="inlineStr">
        <is>
          <t>Lathrop Irrigation District</t>
        </is>
      </c>
      <c r="K54" s="1457" t="inlineStr">
        <is>
          <t>POU</t>
        </is>
      </c>
      <c r="L54" s="1457" t="inlineStr">
        <is>
          <t>Parts of Lathrop, San Joaquin Co.</t>
        </is>
      </c>
      <c r="M54" s="1457" t="inlineStr">
        <is>
          <t>Not researched</t>
        </is>
      </c>
      <c r="N54" s="1457" t="inlineStr">
        <is>
          <t>California</t>
        </is>
      </c>
    </row>
    <row r="55" ht="15" customHeight="1" s="254">
      <c r="A55" s="1512" t="inlineStr">
        <is>
          <t>Aha Macav Power Service (Fort Mojave)</t>
        </is>
      </c>
      <c r="B55" s="1513" t="inlineStr">
        <is>
          <t>Tribal</t>
        </is>
      </c>
      <c r="C55" s="1472" t="inlineStr">
        <is>
          <t>Fort Mojave reservation near Needles</t>
        </is>
      </c>
      <c r="D55" s="1518" t="inlineStr">
        <is>
          <t>Not researched</t>
        </is>
      </c>
      <c r="E55" s="1561" t="n"/>
      <c r="F55" s="1457" t="inlineStr">
        <is>
          <t>Aha Macav Power Service (Fort Mojave)</t>
        </is>
      </c>
      <c r="G55" s="1561" t="n"/>
      <c r="H55" s="1561" t="n"/>
      <c r="I55" s="1561" t="n"/>
      <c r="J55" s="1457" t="inlineStr">
        <is>
          <t>Aha Macav Power Service (Fort Mojave)</t>
        </is>
      </c>
      <c r="K55" s="1457" t="inlineStr">
        <is>
          <t>Tribal</t>
        </is>
      </c>
      <c r="L55" s="1457" t="inlineStr">
        <is>
          <t>Fort Mojave reservation near Needles</t>
        </is>
      </c>
      <c r="M55" s="1457" t="inlineStr">
        <is>
          <t>Not researched</t>
        </is>
      </c>
      <c r="N55" s="1457" t="inlineStr">
        <is>
          <t>California</t>
        </is>
      </c>
    </row>
    <row r="56" ht="15" customHeight="1" s="254">
      <c r="A56" s="1512" t="inlineStr">
        <is>
          <t>Plumas-Sierra Rural Electric Cooperative</t>
        </is>
      </c>
      <c r="B56" s="1513" t="inlineStr">
        <is>
          <t>Co-op</t>
        </is>
      </c>
      <c r="C56" s="1472" t="inlineStr">
        <is>
          <t>Plumas, Lassen, Sierra counties</t>
        </is>
      </c>
      <c r="D56" s="1518" t="inlineStr">
        <is>
          <t>Not researched</t>
        </is>
      </c>
      <c r="E56" s="1561" t="n"/>
      <c r="F56" s="1457" t="inlineStr">
        <is>
          <t>Plumas-Sierra Rural Electric Cooperative</t>
        </is>
      </c>
      <c r="G56" s="1561" t="n"/>
      <c r="H56" s="1561" t="n"/>
      <c r="I56" s="1561" t="n"/>
      <c r="J56" s="1457" t="inlineStr">
        <is>
          <t>Plumas-Sierra Rural Electric Cooperative</t>
        </is>
      </c>
      <c r="K56" s="1457" t="inlineStr">
        <is>
          <t>Co-op</t>
        </is>
      </c>
      <c r="L56" s="1457" t="inlineStr">
        <is>
          <t>Plumas, Lassen, Sierra counties</t>
        </is>
      </c>
      <c r="M56" s="1457" t="inlineStr">
        <is>
          <t>Not researched</t>
        </is>
      </c>
      <c r="N56" s="1457" t="inlineStr">
        <is>
          <t>California</t>
        </is>
      </c>
    </row>
    <row r="57" ht="26" customHeight="1" s="254">
      <c r="A57" s="1512" t="inlineStr">
        <is>
          <t>Anza Electric Cooperative</t>
        </is>
      </c>
      <c r="B57" s="1513" t="inlineStr">
        <is>
          <t>Co-op</t>
        </is>
      </c>
      <c r="C57" s="1521" t="inlineStr">
        <is>
          <t>Anza, Aguanga, Garner Valley, Riverside Co.</t>
        </is>
      </c>
      <c r="D57" s="1518" t="inlineStr">
        <is>
          <t>Not researched</t>
        </is>
      </c>
      <c r="E57" s="1561" t="n"/>
      <c r="F57" s="1457" t="inlineStr">
        <is>
          <t>Anza Electric Cooperative</t>
        </is>
      </c>
      <c r="G57" s="1561" t="n"/>
      <c r="H57" s="1561" t="n"/>
      <c r="I57" s="1561" t="n"/>
      <c r="J57" s="1457" t="inlineStr">
        <is>
          <t>Anza Electric Cooperative</t>
        </is>
      </c>
      <c r="K57" s="1457" t="inlineStr">
        <is>
          <t>Co-op</t>
        </is>
      </c>
      <c r="L57" s="1457" t="inlineStr">
        <is>
          <t>Anza, Aguanga, Garner Valley, Riverside Co.</t>
        </is>
      </c>
      <c r="M57" s="1457" t="inlineStr">
        <is>
          <t>Not researched</t>
        </is>
      </c>
      <c r="N57" s="1457" t="inlineStr">
        <is>
          <t>California</t>
        </is>
      </c>
    </row>
    <row r="58" ht="15" customHeight="1" s="254">
      <c r="A58" s="1512" t="inlineStr">
        <is>
          <t>Surprise Valley Electrification Corp</t>
        </is>
      </c>
      <c r="B58" s="1513" t="inlineStr">
        <is>
          <t>Co-op</t>
        </is>
      </c>
      <c r="C58" s="1472" t="inlineStr">
        <is>
          <t>Modoc &amp; Lassen counties</t>
        </is>
      </c>
      <c r="D58" s="1518" t="inlineStr">
        <is>
          <t>Not researched</t>
        </is>
      </c>
      <c r="E58" s="1561" t="n"/>
      <c r="F58" s="1457" t="inlineStr">
        <is>
          <t>Surprise Valley Electrification Corp</t>
        </is>
      </c>
      <c r="G58" s="1561" t="n"/>
      <c r="H58" s="1561" t="n"/>
      <c r="I58" s="1561" t="n"/>
      <c r="J58" s="1457" t="inlineStr">
        <is>
          <t>Surprise Valley Electrification Corp</t>
        </is>
      </c>
      <c r="K58" s="1457" t="inlineStr">
        <is>
          <t>Co-op</t>
        </is>
      </c>
      <c r="L58" s="1457" t="inlineStr">
        <is>
          <t>Modoc &amp; Lassen counties</t>
        </is>
      </c>
      <c r="M58" s="1457" t="inlineStr">
        <is>
          <t>Not researched</t>
        </is>
      </c>
      <c r="N58" s="1457" t="inlineStr">
        <is>
          <t>California</t>
        </is>
      </c>
    </row>
    <row r="59" ht="15" customHeight="1" s="254">
      <c r="A59" s="1512" t="inlineStr">
        <is>
          <t>Valley Electric Association</t>
        </is>
      </c>
      <c r="B59" s="1513" t="inlineStr">
        <is>
          <t>Co-op</t>
        </is>
      </c>
      <c r="C59" s="1521" t="inlineStr">
        <is>
          <t>Sliver of eastern Inyo Co. (44 customers)</t>
        </is>
      </c>
      <c r="D59" s="1518" t="inlineStr">
        <is>
          <t>Not researched</t>
        </is>
      </c>
      <c r="E59" s="1561" t="n"/>
      <c r="F59" s="1457" t="inlineStr">
        <is>
          <t>Valley Electric Association</t>
        </is>
      </c>
      <c r="G59" s="1561" t="n"/>
      <c r="H59" s="1561" t="n"/>
      <c r="I59" s="1561" t="n"/>
      <c r="J59" s="1457" t="inlineStr">
        <is>
          <t>Valley Electric Association</t>
        </is>
      </c>
      <c r="K59" s="1457" t="inlineStr">
        <is>
          <t>Co-op</t>
        </is>
      </c>
      <c r="L59" s="1457" t="inlineStr">
        <is>
          <t>Sliver of eastern Inyo Co. (44 customers)</t>
        </is>
      </c>
      <c r="M59" s="1457" t="inlineStr">
        <is>
          <t>Not researched</t>
        </is>
      </c>
      <c r="N59" s="1457" t="inlineStr">
        <is>
          <t>California</t>
        </is>
      </c>
    </row>
    <row r="60" ht="26" customHeight="1" s="254">
      <c r="A60" s="1512" t="inlineStr">
        <is>
          <t>Other / not listed — enter manually</t>
        </is>
      </c>
      <c r="B60" s="1513" t="inlineStr">
        <is>
          <t>Other</t>
        </is>
      </c>
      <c r="C60" s="1472" t="n"/>
      <c r="D60" s="1212" t="inlineStr">
        <is>
          <t>Enter the tariff manually on 9_Overrides</t>
        </is>
      </c>
      <c r="E60" s="1561" t="n"/>
      <c r="F60" s="1457" t="inlineStr">
        <is>
          <t>DTE Electric Company</t>
        </is>
      </c>
      <c r="G60" s="1561" t="n"/>
      <c r="H60" s="1561" t="n"/>
      <c r="I60" s="1561" t="n"/>
      <c r="J60" s="1457" t="inlineStr">
        <is>
          <t>DTE Electric Company</t>
        </is>
      </c>
      <c r="K60" s="1457" t="inlineStr">
        <is>
          <t>IOU</t>
        </is>
      </c>
      <c r="L60" s="1520" t="inlineStr">
        <is>
          <t>Southeast Michigan — Detroit, Ann Arbor, Port Huron</t>
        </is>
      </c>
      <c r="M60" s="1457" t="inlineStr">
        <is>
          <t>Not researched here</t>
        </is>
      </c>
      <c r="N60" s="1457" t="inlineStr">
        <is>
          <t>Michigan</t>
        </is>
      </c>
    </row>
    <row r="61" ht="15" customHeight="1" s="254">
      <c r="A61" s="1561" t="n"/>
      <c r="B61" s="1561" t="n"/>
      <c r="C61" s="1561" t="n"/>
      <c r="D61" s="1561" t="n"/>
      <c r="E61" s="1561" t="n"/>
      <c r="F61" s="1457" t="inlineStr">
        <is>
          <t>Consumers Energy</t>
        </is>
      </c>
      <c r="G61" s="1561" t="n"/>
      <c r="H61" s="1561" t="n"/>
      <c r="I61" s="1561" t="n"/>
      <c r="J61" s="1457" t="inlineStr">
        <is>
          <t>Consumers Energy</t>
        </is>
      </c>
      <c r="K61" s="1457" t="inlineStr">
        <is>
          <t>IOU</t>
        </is>
      </c>
      <c r="L61" s="1457" t="inlineStr">
        <is>
          <t>Most of the Lower Peninsula outside DTE</t>
        </is>
      </c>
      <c r="M61" s="1457" t="inlineStr">
        <is>
          <t>Not researched here</t>
        </is>
      </c>
      <c r="N61" s="1457" t="inlineStr">
        <is>
          <t>Michigan</t>
        </is>
      </c>
    </row>
    <row r="62" ht="15" customHeight="1" s="254">
      <c r="A62" s="1561" t="n"/>
      <c r="B62" s="1561" t="n"/>
      <c r="C62" s="1561" t="n"/>
      <c r="D62" s="1561" t="n"/>
      <c r="E62" s="1561" t="n"/>
      <c r="F62" s="1457" t="inlineStr">
        <is>
          <t>Indiana Michigan Power (AEP)</t>
        </is>
      </c>
      <c r="G62" s="1561" t="n"/>
      <c r="H62" s="1561" t="n"/>
      <c r="I62" s="1561" t="n"/>
      <c r="J62" s="1457" t="inlineStr">
        <is>
          <t>Indiana Michigan Power (AEP)</t>
        </is>
      </c>
      <c r="K62" s="1457" t="inlineStr">
        <is>
          <t>IOU</t>
        </is>
      </c>
      <c r="L62" s="1457" t="inlineStr">
        <is>
          <t>Southwest MI — Berrien, Cass, St Joseph</t>
        </is>
      </c>
      <c r="M62" s="1457" t="inlineStr">
        <is>
          <t>Not researched here</t>
        </is>
      </c>
      <c r="N62" s="1457" t="inlineStr">
        <is>
          <t>Michigan</t>
        </is>
      </c>
    </row>
    <row r="63" ht="29" customHeight="1" s="254">
      <c r="A63" s="1470" t="inlineStr">
        <is>
          <t>COMMUNITY CHOICE AGGREGATORS — generation only</t>
        </is>
      </c>
      <c r="B63" s="1561" t="n"/>
      <c r="C63" s="1561" t="n"/>
      <c r="D63" s="1561" t="n"/>
      <c r="E63" s="1561" t="n"/>
      <c r="F63" s="1520" t="inlineStr">
        <is>
          <t>UMERC — Upper Michigan Energy Resources (We Energies)</t>
        </is>
      </c>
      <c r="I63" s="1561" t="n"/>
      <c r="J63" s="1520" t="inlineStr">
        <is>
          <t>UMERC — Upper Michigan Energy Resources (We Energies)</t>
        </is>
      </c>
      <c r="K63" s="1457" t="inlineStr">
        <is>
          <t>IOU</t>
        </is>
      </c>
      <c r="L63" s="1457" t="inlineStr">
        <is>
          <t>Upper Peninsula — Marquette, Menominee</t>
        </is>
      </c>
      <c r="M63" s="1457" t="inlineStr">
        <is>
          <t>Not researched here</t>
        </is>
      </c>
      <c r="N63" s="1457" t="inlineStr">
        <is>
          <t>Michigan</t>
        </is>
      </c>
    </row>
    <row r="64" ht="37.5" customHeight="1" s="254">
      <c r="A64" s="1522"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1457" t="inlineStr">
        <is>
          <t>UPPCO — Upper Peninsula Power Company</t>
        </is>
      </c>
      <c r="G64" s="1561" t="n"/>
      <c r="H64" s="1561" t="n"/>
      <c r="I64" s="1561" t="n"/>
      <c r="J64" s="1457" t="inlineStr">
        <is>
          <t>UPPCO — Upper Peninsula Power Company</t>
        </is>
      </c>
      <c r="K64" s="1457" t="inlineStr">
        <is>
          <t>IOU</t>
        </is>
      </c>
      <c r="L64" s="1457" t="inlineStr">
        <is>
          <t>Upper Peninsula</t>
        </is>
      </c>
      <c r="M64" s="1457" t="inlineStr">
        <is>
          <t>Not researched here</t>
        </is>
      </c>
      <c r="N64" s="1457" t="inlineStr">
        <is>
          <t>Michigan</t>
        </is>
      </c>
    </row>
    <row r="65" ht="15" customHeight="1" s="254">
      <c r="A65" s="1561" t="n"/>
      <c r="B65" s="1561" t="n"/>
      <c r="C65" s="1561" t="n"/>
      <c r="D65" s="1561" t="n"/>
      <c r="E65" s="1561" t="n"/>
      <c r="F65" s="1457" t="inlineStr">
        <is>
          <t>Northern States Power — Xcel</t>
        </is>
      </c>
      <c r="G65" s="1561" t="n"/>
      <c r="H65" s="1561" t="n"/>
      <c r="I65" s="1561" t="n"/>
      <c r="J65" s="1457" t="inlineStr">
        <is>
          <t>Northern States Power — Xcel</t>
        </is>
      </c>
      <c r="K65" s="1457" t="inlineStr">
        <is>
          <t>IOU</t>
        </is>
      </c>
      <c r="L65" s="1457" t="inlineStr">
        <is>
          <t>Western Upper Peninsula</t>
        </is>
      </c>
      <c r="M65" s="1457" t="inlineStr">
        <is>
          <t>Not researched here</t>
        </is>
      </c>
      <c r="N65" s="1457" t="inlineStr">
        <is>
          <t>Michigan</t>
        </is>
      </c>
    </row>
    <row r="66" ht="15" customHeight="1" s="254">
      <c r="A66" s="1510" t="inlineStr">
        <is>
          <t>Community choice aggregator</t>
        </is>
      </c>
      <c r="B66" s="1510" t="n"/>
      <c r="C66" s="1510" t="inlineStr">
        <is>
          <t>Delivery utility</t>
        </is>
      </c>
      <c r="D66" s="1510" t="n"/>
      <c r="E66" s="1561" t="n"/>
      <c r="F66" s="1457" t="inlineStr">
        <is>
          <t>Alpena Power Company</t>
        </is>
      </c>
      <c r="G66" s="1561" t="n"/>
      <c r="H66" s="1561" t="n"/>
      <c r="I66" s="1561" t="n"/>
      <c r="J66" s="1457" t="inlineStr">
        <is>
          <t>Alpena Power Company</t>
        </is>
      </c>
      <c r="K66" s="1457" t="inlineStr">
        <is>
          <t>IOU</t>
        </is>
      </c>
      <c r="L66" s="1457" t="inlineStr">
        <is>
          <t>Alpena and surrounding townships</t>
        </is>
      </c>
      <c r="M66" s="1457" t="inlineStr">
        <is>
          <t>Not researched here</t>
        </is>
      </c>
      <c r="N66" s="1457" t="inlineStr">
        <is>
          <t>Michigan</t>
        </is>
      </c>
    </row>
    <row r="67" ht="15" customHeight="1" s="254">
      <c r="A67" s="1513" t="inlineStr">
        <is>
          <t>None — bundled utility service</t>
        </is>
      </c>
      <c r="B67" s="1523" t="n"/>
      <c r="C67" s="1513" t="inlineStr">
        <is>
          <t>—</t>
        </is>
      </c>
      <c r="D67" s="1561" t="n"/>
      <c r="E67" s="1561" t="n"/>
      <c r="F67" s="1457" t="inlineStr">
        <is>
          <t>Lansing Board of Water &amp; Light</t>
        </is>
      </c>
      <c r="G67" s="1561" t="n"/>
      <c r="H67" s="1561" t="n"/>
      <c r="I67" s="1561" t="n"/>
      <c r="J67" s="1457" t="inlineStr">
        <is>
          <t>Lansing Board of Water &amp; Light</t>
        </is>
      </c>
      <c r="K67" s="1457" t="inlineStr">
        <is>
          <t>POU</t>
        </is>
      </c>
      <c r="L67" s="1457" t="inlineStr">
        <is>
          <t>Lansing and East Lansing</t>
        </is>
      </c>
      <c r="M67" s="1457" t="inlineStr">
        <is>
          <t>Not researched here</t>
        </is>
      </c>
      <c r="N67" s="1457" t="inlineStr">
        <is>
          <t>Michigan</t>
        </is>
      </c>
    </row>
    <row r="68" ht="15" customHeight="1" s="254">
      <c r="A68" s="1513" t="inlineStr">
        <is>
          <t>Ava Community Energy (fmr East Bay CE)</t>
        </is>
      </c>
      <c r="B68" s="1523" t="n"/>
      <c r="C68" s="1513" t="inlineStr">
        <is>
          <t>PG&amp;E</t>
        </is>
      </c>
      <c r="D68" s="1561" t="n"/>
      <c r="E68" s="1561" t="n"/>
      <c r="F68" s="1457" t="inlineStr">
        <is>
          <t>Holland Board of Public Works</t>
        </is>
      </c>
      <c r="G68" s="1561" t="n"/>
      <c r="H68" s="1561" t="n"/>
      <c r="I68" s="1561" t="n"/>
      <c r="J68" s="1457" t="inlineStr">
        <is>
          <t>Holland Board of Public Works</t>
        </is>
      </c>
      <c r="K68" s="1457" t="inlineStr">
        <is>
          <t>POU</t>
        </is>
      </c>
      <c r="L68" s="1457" t="inlineStr">
        <is>
          <t>City of Holland</t>
        </is>
      </c>
      <c r="M68" s="1457" t="inlineStr">
        <is>
          <t>Not researched here</t>
        </is>
      </c>
      <c r="N68" s="1457" t="inlineStr">
        <is>
          <t>Michigan</t>
        </is>
      </c>
    </row>
    <row r="69" ht="15" customHeight="1" s="254">
      <c r="A69" s="1513" t="inlineStr">
        <is>
          <t>Clean Power Alliance</t>
        </is>
      </c>
      <c r="B69" s="1523" t="n"/>
      <c r="C69" s="1513" t="inlineStr">
        <is>
          <t>SCE</t>
        </is>
      </c>
      <c r="D69" s="1561" t="n"/>
      <c r="E69" s="1561" t="n"/>
      <c r="F69" s="1457" t="inlineStr">
        <is>
          <t>Traverse City Light &amp; Power</t>
        </is>
      </c>
      <c r="G69" s="1561" t="n"/>
      <c r="H69" s="1561" t="n"/>
      <c r="I69" s="1561" t="n"/>
      <c r="J69" s="1457" t="inlineStr">
        <is>
          <t>Traverse City Light &amp; Power</t>
        </is>
      </c>
      <c r="K69" s="1457" t="inlineStr">
        <is>
          <t>POU</t>
        </is>
      </c>
      <c r="L69" s="1457" t="inlineStr">
        <is>
          <t>City of Traverse City</t>
        </is>
      </c>
      <c r="M69" s="1457" t="inlineStr">
        <is>
          <t>Not researched here</t>
        </is>
      </c>
      <c r="N69" s="1457" t="inlineStr">
        <is>
          <t>Michigan</t>
        </is>
      </c>
    </row>
    <row r="70" ht="15" customHeight="1" s="254">
      <c r="A70" s="1513" t="inlineStr">
        <is>
          <t>Central Coast Community Energy (3CE)</t>
        </is>
      </c>
      <c r="B70" s="1523" t="n"/>
      <c r="C70" s="1513" t="inlineStr">
        <is>
          <t>PG&amp;E and SCE — depends on address</t>
        </is>
      </c>
      <c r="D70" s="1561" t="n"/>
      <c r="E70" s="1561" t="n"/>
      <c r="F70" s="1457" t="inlineStr">
        <is>
          <t>Coldwater Board of Public Utilities</t>
        </is>
      </c>
      <c r="G70" s="1561" t="n"/>
      <c r="H70" s="1561" t="n"/>
      <c r="I70" s="1561" t="n"/>
      <c r="J70" s="1457" t="inlineStr">
        <is>
          <t>Coldwater Board of Public Utilities</t>
        </is>
      </c>
      <c r="K70" s="1457" t="inlineStr">
        <is>
          <t>POU</t>
        </is>
      </c>
      <c r="L70" s="1457" t="inlineStr">
        <is>
          <t>City of Coldwater</t>
        </is>
      </c>
      <c r="M70" s="1457" t="inlineStr">
        <is>
          <t>Not researched here</t>
        </is>
      </c>
      <c r="N70" s="1457" t="inlineStr">
        <is>
          <t>Michigan</t>
        </is>
      </c>
    </row>
    <row r="71" ht="15" customHeight="1" s="254">
      <c r="A71" s="1513" t="inlineStr">
        <is>
          <t>MCE</t>
        </is>
      </c>
      <c r="B71" s="1523" t="n"/>
      <c r="C71" s="1513" t="inlineStr">
        <is>
          <t>PG&amp;E</t>
        </is>
      </c>
      <c r="D71" s="1561" t="n"/>
      <c r="E71" s="1561" t="n"/>
      <c r="F71" s="1457" t="inlineStr">
        <is>
          <t>Wyandotte Municipal Services</t>
        </is>
      </c>
      <c r="G71" s="1561" t="n"/>
      <c r="H71" s="1561" t="n"/>
      <c r="I71" s="1561" t="n"/>
      <c r="J71" s="1457" t="inlineStr">
        <is>
          <t>Wyandotte Municipal Services</t>
        </is>
      </c>
      <c r="K71" s="1457" t="inlineStr">
        <is>
          <t>POU</t>
        </is>
      </c>
      <c r="L71" s="1457" t="inlineStr">
        <is>
          <t>City of Wyandotte</t>
        </is>
      </c>
      <c r="M71" s="1457" t="inlineStr">
        <is>
          <t>Not researched here</t>
        </is>
      </c>
      <c r="N71" s="1457" t="inlineStr">
        <is>
          <t>Michigan</t>
        </is>
      </c>
    </row>
    <row r="72" ht="15" customHeight="1" s="254">
      <c r="A72" s="1513" t="inlineStr">
        <is>
          <t>San Diego Community Power</t>
        </is>
      </c>
      <c r="B72" s="1523" t="n"/>
      <c r="C72" s="1513" t="inlineStr">
        <is>
          <t>SDG&amp;E</t>
        </is>
      </c>
      <c r="D72" s="1561" t="n"/>
      <c r="E72" s="1561" t="n"/>
      <c r="F72" s="1457" t="inlineStr">
        <is>
          <t>Cloverland Electric Cooperative</t>
        </is>
      </c>
      <c r="G72" s="1561" t="n"/>
      <c r="H72" s="1561" t="n"/>
      <c r="I72" s="1561" t="n"/>
      <c r="J72" s="1457" t="inlineStr">
        <is>
          <t>Cloverland Electric Cooperative</t>
        </is>
      </c>
      <c r="K72" s="1457" t="inlineStr">
        <is>
          <t>Co-op</t>
        </is>
      </c>
      <c r="L72" s="1457" t="inlineStr">
        <is>
          <t>Eastern Upper Peninsula</t>
        </is>
      </c>
      <c r="M72" s="1457" t="inlineStr">
        <is>
          <t>Not researched here</t>
        </is>
      </c>
      <c r="N72" s="1457" t="inlineStr">
        <is>
          <t>Michigan</t>
        </is>
      </c>
    </row>
    <row r="73" ht="15" customHeight="1" s="254">
      <c r="A73" s="1513" t="inlineStr">
        <is>
          <t>CleanPowerSF</t>
        </is>
      </c>
      <c r="B73" s="1523" t="n"/>
      <c r="C73" s="1513" t="inlineStr">
        <is>
          <t>PG&amp;E</t>
        </is>
      </c>
      <c r="D73" s="1561" t="n"/>
      <c r="E73" s="1561" t="n"/>
      <c r="F73" s="1457" t="inlineStr">
        <is>
          <t>Great Lakes Energy</t>
        </is>
      </c>
      <c r="G73" s="1561" t="n"/>
      <c r="H73" s="1561" t="n"/>
      <c r="I73" s="1561" t="n"/>
      <c r="J73" s="1457" t="inlineStr">
        <is>
          <t>Great Lakes Energy</t>
        </is>
      </c>
      <c r="K73" s="1457" t="inlineStr">
        <is>
          <t>Co-op</t>
        </is>
      </c>
      <c r="L73" s="1457" t="inlineStr">
        <is>
          <t>Northwest Lower Peninsula</t>
        </is>
      </c>
      <c r="M73" s="1457" t="inlineStr">
        <is>
          <t>Not researched here</t>
        </is>
      </c>
      <c r="N73" s="1457" t="inlineStr">
        <is>
          <t>Michigan</t>
        </is>
      </c>
    </row>
    <row r="74" ht="15" customHeight="1" s="254">
      <c r="A74" s="1513" t="inlineStr">
        <is>
          <t>WestLight Energy (fmr Peninsula Clean Energy)</t>
        </is>
      </c>
      <c r="B74" s="1523" t="n"/>
      <c r="C74" s="1513" t="inlineStr">
        <is>
          <t>PG&amp;E</t>
        </is>
      </c>
      <c r="D74" s="1561" t="n"/>
      <c r="E74" s="1561" t="n"/>
      <c r="F74" s="1457" t="inlineStr">
        <is>
          <t>Presque Isle Electric &amp; Gas Co-op</t>
        </is>
      </c>
      <c r="G74" s="1561" t="n"/>
      <c r="H74" s="1561" t="n"/>
      <c r="I74" s="1561" t="n"/>
      <c r="J74" s="1457" t="inlineStr">
        <is>
          <t>Presque Isle Electric &amp; Gas Co-op</t>
        </is>
      </c>
      <c r="K74" s="1457" t="inlineStr">
        <is>
          <t>Co-op</t>
        </is>
      </c>
      <c r="L74" s="1457" t="inlineStr">
        <is>
          <t>Northeast Lower Peninsula</t>
        </is>
      </c>
      <c r="M74" s="1457" t="inlineStr">
        <is>
          <t>Not researched here</t>
        </is>
      </c>
      <c r="N74" s="1457" t="inlineStr">
        <is>
          <t>Michigan</t>
        </is>
      </c>
    </row>
    <row r="75" ht="15" customHeight="1" s="254">
      <c r="A75" s="1513" t="inlineStr">
        <is>
          <t>San José Clean Energy</t>
        </is>
      </c>
      <c r="B75" s="1523" t="n"/>
      <c r="C75" s="1513" t="inlineStr">
        <is>
          <t>PG&amp;E</t>
        </is>
      </c>
      <c r="D75" s="1561" t="n"/>
      <c r="E75" s="1561" t="n"/>
      <c r="F75" s="1457" t="inlineStr">
        <is>
          <t>HomeWorks Tri-County Electric</t>
        </is>
      </c>
      <c r="G75" s="1561" t="n"/>
      <c r="H75" s="1561" t="n"/>
      <c r="I75" s="1561" t="n"/>
      <c r="J75" s="1457" t="inlineStr">
        <is>
          <t>HomeWorks Tri-County Electric</t>
        </is>
      </c>
      <c r="K75" s="1457" t="inlineStr">
        <is>
          <t>Co-op</t>
        </is>
      </c>
      <c r="L75" s="1457" t="inlineStr">
        <is>
          <t>Central Lower Peninsula</t>
        </is>
      </c>
      <c r="M75" s="1457" t="inlineStr">
        <is>
          <t>Not researched here</t>
        </is>
      </c>
      <c r="N75" s="1457" t="inlineStr">
        <is>
          <t>Michigan</t>
        </is>
      </c>
    </row>
    <row r="76" ht="15" customHeight="1" s="254">
      <c r="A76" s="1513" t="inlineStr">
        <is>
          <t>Silicon Valley Clean Energy</t>
        </is>
      </c>
      <c r="B76" s="1523" t="n"/>
      <c r="C76" s="1513" t="inlineStr">
        <is>
          <t>PG&amp;E</t>
        </is>
      </c>
      <c r="D76" s="1561" t="n"/>
      <c r="E76" s="1561" t="n"/>
      <c r="F76" s="1457" t="inlineStr">
        <is>
          <t>Midwest Energy &amp; Communications</t>
        </is>
      </c>
      <c r="G76" s="1561" t="n"/>
      <c r="H76" s="1561" t="n"/>
      <c r="I76" s="1561" t="n"/>
      <c r="J76" s="1457" t="inlineStr">
        <is>
          <t>Midwest Energy &amp; Communications</t>
        </is>
      </c>
      <c r="K76" s="1457" t="inlineStr">
        <is>
          <t>Co-op</t>
        </is>
      </c>
      <c r="L76" s="1457" t="inlineStr">
        <is>
          <t>Southwest Lower Peninsula</t>
        </is>
      </c>
      <c r="M76" s="1457" t="inlineStr">
        <is>
          <t>Not researched here</t>
        </is>
      </c>
      <c r="N76" s="1457" t="inlineStr">
        <is>
          <t>Michigan</t>
        </is>
      </c>
    </row>
    <row r="77" ht="15" customHeight="1" s="254">
      <c r="A77" s="1513" t="inlineStr">
        <is>
          <t>Clean Energy Alliance</t>
        </is>
      </c>
      <c r="B77" s="1523" t="n"/>
      <c r="C77" s="1513" t="inlineStr">
        <is>
          <t>SDG&amp;E</t>
        </is>
      </c>
      <c r="D77" s="1561" t="n"/>
      <c r="E77" s="1561" t="n"/>
      <c r="F77" s="1457" t="inlineStr">
        <is>
          <t>Thumb Electric Cooperative</t>
        </is>
      </c>
      <c r="G77" s="1561" t="n"/>
      <c r="H77" s="1561" t="n"/>
      <c r="I77" s="1561" t="n"/>
      <c r="J77" s="1457" t="inlineStr">
        <is>
          <t>Thumb Electric Cooperative</t>
        </is>
      </c>
      <c r="K77" s="1457" t="inlineStr">
        <is>
          <t>Co-op</t>
        </is>
      </c>
      <c r="L77" s="1457" t="inlineStr">
        <is>
          <t>The Thumb — Huron, Sanilac, Tuscola</t>
        </is>
      </c>
      <c r="M77" s="1457" t="inlineStr">
        <is>
          <t>Not researched here</t>
        </is>
      </c>
      <c r="N77" s="1457" t="inlineStr">
        <is>
          <t>Michigan</t>
        </is>
      </c>
    </row>
    <row r="78" ht="15" customHeight="1" s="254">
      <c r="A78" s="1513" t="inlineStr">
        <is>
          <t>Sonoma Clean Power</t>
        </is>
      </c>
      <c r="B78" s="1523" t="n"/>
      <c r="C78" s="1513" t="inlineStr">
        <is>
          <t>PG&amp;E</t>
        </is>
      </c>
      <c r="D78" s="1561" t="n"/>
      <c r="E78" s="1561" t="n"/>
      <c r="F78" s="1457" t="inlineStr">
        <is>
          <t>Other / not listed — enter manually</t>
        </is>
      </c>
      <c r="G78" s="1561" t="n"/>
      <c r="H78" s="1561" t="n"/>
      <c r="I78" s="1561" t="n"/>
      <c r="J78" s="1457" t="inlineStr">
        <is>
          <t>Other / not listed — enter manually</t>
        </is>
      </c>
      <c r="K78" s="1457" t="inlineStr">
        <is>
          <t>Other</t>
        </is>
      </c>
      <c r="L78" s="1457" t="n"/>
      <c r="M78" s="1457" t="inlineStr">
        <is>
          <t>Enter the tariff manually</t>
        </is>
      </c>
      <c r="N78" s="1457" t="n"/>
    </row>
    <row r="79" ht="15" customHeight="1" s="254">
      <c r="A79" s="1513" t="inlineStr">
        <is>
          <t>Orange County Power Authority</t>
        </is>
      </c>
      <c r="B79" s="1523" t="n"/>
      <c r="C79" s="1513" t="inlineStr">
        <is>
          <t>SCE</t>
        </is>
      </c>
      <c r="D79" s="1561" t="n"/>
      <c r="E79" s="1561" t="n"/>
      <c r="F79" s="1561" t="n"/>
      <c r="G79" s="1561" t="n"/>
      <c r="H79" s="1561" t="n"/>
      <c r="I79" s="1561" t="n"/>
      <c r="J79" s="1561" t="n"/>
      <c r="K79" s="1561" t="n"/>
      <c r="L79" s="1561" t="n"/>
      <c r="M79" s="1561" t="n"/>
      <c r="N79" s="1561" t="n"/>
    </row>
    <row r="80" ht="15" customHeight="1" s="254">
      <c r="A80" s="1513" t="inlineStr">
        <is>
          <t>Pioneer Community Energy</t>
        </is>
      </c>
      <c r="B80" s="1523" t="n"/>
      <c r="C80" s="1513" t="inlineStr">
        <is>
          <t>PG&amp;E</t>
        </is>
      </c>
      <c r="D80" s="1561" t="n"/>
      <c r="E80" s="1561" t="n"/>
      <c r="F80" s="1561" t="n"/>
      <c r="G80" s="1561" t="n"/>
      <c r="H80" s="1561" t="n"/>
      <c r="I80" s="1561" t="n"/>
      <c r="J80" s="1561" t="n"/>
      <c r="K80" s="1561" t="n"/>
      <c r="L80" s="1561" t="n"/>
      <c r="M80" s="1561" t="n"/>
      <c r="N80" s="1561" t="n"/>
    </row>
    <row r="81" ht="15" customHeight="1" s="254">
      <c r="A81" s="1513" t="inlineStr">
        <is>
          <t>Redwood Coast Energy Authority</t>
        </is>
      </c>
      <c r="B81" s="1523" t="n"/>
      <c r="C81" s="1513" t="inlineStr">
        <is>
          <t>PG&amp;E</t>
        </is>
      </c>
      <c r="D81" s="1561" t="n"/>
      <c r="E81" s="1561" t="n"/>
      <c r="F81" s="1561" t="n"/>
      <c r="G81" s="1561" t="n"/>
      <c r="H81" s="1561" t="n"/>
      <c r="I81" s="1561" t="n"/>
      <c r="J81" s="1561" t="n"/>
      <c r="K81" s="1561" t="n"/>
      <c r="L81" s="1561" t="n"/>
      <c r="M81" s="1561" t="n"/>
      <c r="N81" s="1561" t="n"/>
    </row>
    <row r="82" ht="15" customHeight="1" s="254">
      <c r="A82" s="1513" t="inlineStr">
        <is>
          <t>Valley Clean Energy</t>
        </is>
      </c>
      <c r="B82" s="1523" t="n"/>
      <c r="C82" s="1513" t="inlineStr">
        <is>
          <t>PG&amp;E</t>
        </is>
      </c>
      <c r="D82" s="1561" t="n"/>
      <c r="E82" s="1561" t="n"/>
      <c r="F82" s="1561" t="n"/>
      <c r="G82" s="1561" t="n"/>
      <c r="H82" s="1561" t="n"/>
      <c r="I82" s="1561" t="n"/>
      <c r="J82" s="1561" t="n"/>
      <c r="K82" s="1561" t="n"/>
      <c r="L82" s="1561" t="n"/>
      <c r="M82" s="1561" t="n"/>
      <c r="N82" s="1561" t="n"/>
    </row>
    <row r="83" ht="15" customHeight="1" s="254">
      <c r="A83" s="1513" t="inlineStr">
        <is>
          <t>Lancaster Energy</t>
        </is>
      </c>
      <c r="B83" s="1523" t="n"/>
      <c r="C83" s="1513" t="inlineStr">
        <is>
          <t>SCE</t>
        </is>
      </c>
      <c r="D83" s="1561" t="n"/>
      <c r="E83" s="1561" t="n"/>
      <c r="F83" s="1561" t="n"/>
      <c r="G83" s="1561" t="n"/>
      <c r="H83" s="1561" t="n"/>
      <c r="I83" s="1561" t="n"/>
      <c r="J83" s="1561" t="n"/>
      <c r="K83" s="1561" t="n"/>
      <c r="L83" s="1561" t="n"/>
      <c r="M83" s="1561" t="n"/>
      <c r="N83" s="1561" t="n"/>
    </row>
    <row r="84" ht="15" customHeight="1" s="254">
      <c r="A84" s="1513" t="inlineStr">
        <is>
          <t>Desert Community Energy</t>
        </is>
      </c>
      <c r="B84" s="1523" t="n"/>
      <c r="C84" s="1513" t="inlineStr">
        <is>
          <t>SCE</t>
        </is>
      </c>
      <c r="D84" s="1561" t="n"/>
      <c r="E84" s="1561" t="n"/>
      <c r="F84" s="1561" t="n"/>
      <c r="G84" s="1561" t="n"/>
      <c r="H84" s="1561" t="n"/>
      <c r="I84" s="1561" t="n"/>
      <c r="J84" s="1561" t="n"/>
      <c r="K84" s="1561" t="n"/>
      <c r="L84" s="1561" t="n"/>
      <c r="M84" s="1561" t="n"/>
      <c r="N84" s="1561" t="n"/>
    </row>
    <row r="85" ht="15" customHeight="1" s="254">
      <c r="A85" s="1513" t="inlineStr">
        <is>
          <t>Rancho Mirage Energy Authority</t>
        </is>
      </c>
      <c r="B85" s="1523" t="n"/>
      <c r="C85" s="1513" t="inlineStr">
        <is>
          <t>SCE</t>
        </is>
      </c>
      <c r="D85" s="1561" t="n"/>
      <c r="E85" s="1561" t="n"/>
      <c r="F85" s="1561" t="n"/>
      <c r="G85" s="1561" t="n"/>
      <c r="H85" s="1561" t="n"/>
      <c r="I85" s="1561" t="n"/>
      <c r="J85" s="1561" t="n"/>
      <c r="K85" s="1561" t="n"/>
      <c r="L85" s="1561" t="n"/>
      <c r="M85" s="1561" t="n"/>
      <c r="N85" s="1561" t="n"/>
    </row>
    <row r="86" ht="15" customHeight="1" s="254">
      <c r="A86" s="1513" t="inlineStr">
        <is>
          <t>Apple Valley Choice Energy</t>
        </is>
      </c>
      <c r="B86" s="1523" t="n"/>
      <c r="C86" s="1513" t="inlineStr">
        <is>
          <t>SCE</t>
        </is>
      </c>
      <c r="D86" s="1561" t="n"/>
      <c r="E86" s="1561" t="n"/>
      <c r="F86" s="1561" t="n"/>
      <c r="G86" s="1561" t="n"/>
      <c r="H86" s="1561" t="n"/>
      <c r="I86" s="1561" t="n"/>
      <c r="J86" s="1561" t="n"/>
      <c r="K86" s="1561" t="n"/>
      <c r="L86" s="1561" t="n"/>
      <c r="M86" s="1561" t="n"/>
      <c r="N86" s="1561" t="n"/>
    </row>
    <row r="87" ht="15" customHeight="1" s="254">
      <c r="A87" s="1513" t="inlineStr">
        <is>
          <t>Energy for Palmdale's Independent Choice</t>
        </is>
      </c>
      <c r="B87" s="1523" t="n"/>
      <c r="C87" s="1513" t="inlineStr">
        <is>
          <t>SCE</t>
        </is>
      </c>
      <c r="D87" s="1561" t="n"/>
      <c r="E87" s="1561" t="n"/>
      <c r="F87" s="1561" t="n"/>
      <c r="G87" s="1561" t="n"/>
      <c r="H87" s="1561" t="n"/>
      <c r="I87" s="1561" t="n"/>
      <c r="J87" s="1561" t="n"/>
      <c r="K87" s="1561" t="n"/>
      <c r="L87" s="1561" t="n"/>
      <c r="M87" s="1561" t="n"/>
      <c r="N87" s="1561" t="n"/>
    </row>
    <row r="88" ht="15" customHeight="1" s="254">
      <c r="A88" s="1513" t="inlineStr">
        <is>
          <t>King City Community Power</t>
        </is>
      </c>
      <c r="B88" s="1523" t="n"/>
      <c r="C88" s="1513" t="inlineStr">
        <is>
          <t>PG&amp;E</t>
        </is>
      </c>
      <c r="D88" s="1561" t="n"/>
      <c r="E88" s="1561" t="n"/>
      <c r="F88" s="1561" t="n"/>
      <c r="G88" s="1561" t="n"/>
      <c r="H88" s="1561" t="n"/>
      <c r="I88" s="1561" t="n"/>
      <c r="J88" s="1561" t="n"/>
      <c r="K88" s="1561" t="n"/>
      <c r="L88" s="1561" t="n"/>
      <c r="M88" s="1561" t="n"/>
      <c r="N88" s="1561" t="n"/>
    </row>
    <row r="89" ht="15" customHeight="1" s="254">
      <c r="A89" s="1513" t="inlineStr">
        <is>
          <t>Pico Rivera Innovative Municipal Energy</t>
        </is>
      </c>
      <c r="B89" s="1523" t="n"/>
      <c r="C89" s="1513" t="inlineStr">
        <is>
          <t>SCE</t>
        </is>
      </c>
      <c r="D89" s="1561" t="n"/>
      <c r="E89" s="1561" t="n"/>
      <c r="F89" s="1561" t="n"/>
      <c r="G89" s="1561" t="n"/>
      <c r="H89" s="1561" t="n"/>
      <c r="I89" s="1561" t="n"/>
      <c r="J89" s="1561" t="n"/>
      <c r="K89" s="1561" t="n"/>
      <c r="L89" s="1561" t="n"/>
      <c r="M89" s="1561" t="n"/>
      <c r="N89" s="1561" t="n"/>
    </row>
    <row r="90" ht="15" customHeight="1" s="254">
      <c r="A90" s="1513" t="inlineStr">
        <is>
          <t>Pomona Choice Energy</t>
        </is>
      </c>
      <c r="B90" s="1523" t="n"/>
      <c r="C90" s="1513" t="inlineStr">
        <is>
          <t>SCE</t>
        </is>
      </c>
      <c r="D90" s="1561" t="n"/>
      <c r="E90" s="1561" t="n"/>
      <c r="F90" s="1561" t="n"/>
      <c r="G90" s="1561" t="n"/>
      <c r="H90" s="1561" t="n"/>
      <c r="I90" s="1561" t="n"/>
      <c r="J90" s="1561" t="n"/>
      <c r="K90" s="1561" t="n"/>
      <c r="L90" s="1561" t="n"/>
      <c r="M90" s="1561" t="n"/>
      <c r="N90" s="1561" t="n"/>
    </row>
    <row r="91" ht="15" customHeight="1" s="254">
      <c r="A91" s="1513" t="inlineStr">
        <is>
          <t>San Jacinto Power</t>
        </is>
      </c>
      <c r="B91" s="1523" t="n"/>
      <c r="C91" s="1513" t="inlineStr">
        <is>
          <t>SCE</t>
        </is>
      </c>
      <c r="D91" s="1561" t="n"/>
      <c r="E91" s="1561" t="n"/>
      <c r="F91" s="1561" t="n"/>
      <c r="G91" s="1561" t="n"/>
      <c r="H91" s="1561" t="n"/>
      <c r="I91" s="1561" t="n"/>
      <c r="J91" s="1561" t="n"/>
      <c r="K91" s="1561" t="n"/>
      <c r="L91" s="1561" t="n"/>
      <c r="M91" s="1561" t="n"/>
      <c r="N91" s="1561" t="n"/>
    </row>
    <row r="92" ht="15" customHeight="1" s="254">
      <c r="A92" s="1513" t="inlineStr">
        <is>
          <t>Santa Barbara Clean Energy</t>
        </is>
      </c>
      <c r="B92" s="1523" t="n"/>
      <c r="C92" s="1513" t="inlineStr">
        <is>
          <t>SCE</t>
        </is>
      </c>
      <c r="D92" s="1561" t="n"/>
      <c r="E92" s="1561" t="n"/>
      <c r="F92" s="1561" t="n"/>
      <c r="G92" s="1561" t="n"/>
      <c r="H92" s="1561" t="n"/>
      <c r="I92" s="1561" t="n"/>
      <c r="J92" s="1561" t="n"/>
      <c r="K92" s="1561" t="n"/>
      <c r="L92" s="1561" t="n"/>
      <c r="M92" s="1561" t="n"/>
      <c r="N92" s="1561" t="n"/>
    </row>
    <row r="93" ht="27" customHeight="1" s="254">
      <c r="A93" s="1524" t="inlineStr">
        <is>
          <t>Direct Access ESP (Calpine, Constellation, Shell…)</t>
        </is>
      </c>
      <c r="B93" s="1523" t="n"/>
      <c r="C93" s="1513" t="inlineStr">
        <is>
          <t>Host IOU</t>
        </is>
      </c>
      <c r="D93" s="1561" t="n"/>
      <c r="E93" s="1561" t="n"/>
      <c r="F93" s="1561" t="n"/>
      <c r="G93" s="1561" t="n"/>
      <c r="H93" s="1561" t="n"/>
      <c r="I93" s="1561" t="n"/>
      <c r="J93" s="1561" t="n"/>
      <c r="K93" s="1561" t="n"/>
      <c r="L93" s="1561" t="n"/>
      <c r="M93" s="1561" t="n"/>
      <c r="N93" s="1561" t="n"/>
    </row>
    <row r="94" ht="15" customHeight="1" s="254">
      <c r="A94" s="1561" t="n"/>
      <c r="B94" s="1561" t="n"/>
      <c r="C94" s="1561" t="n"/>
      <c r="D94" s="1561" t="n"/>
      <c r="E94" s="1561" t="n"/>
      <c r="F94" s="1561" t="n"/>
      <c r="G94" s="1561" t="n"/>
      <c r="H94" s="1561" t="n"/>
      <c r="I94" s="1561" t="n"/>
      <c r="J94" s="1561" t="n"/>
      <c r="K94" s="1561" t="n"/>
      <c r="L94" s="1561" t="n"/>
      <c r="M94" s="1561" t="n"/>
      <c r="N94" s="1561" t="n"/>
    </row>
    <row r="95" ht="15" customHeight="1" s="254">
      <c r="A95" s="1561" t="n"/>
      <c r="B95" s="1561" t="n"/>
      <c r="C95" s="1561" t="n"/>
      <c r="D95" s="1561" t="n"/>
      <c r="E95" s="1561" t="n"/>
      <c r="F95" s="1561" t="n"/>
      <c r="G95" s="1561" t="n"/>
      <c r="H95" s="1561" t="n"/>
      <c r="I95" s="1561" t="n"/>
      <c r="J95" s="1561" t="n"/>
      <c r="K95" s="1561" t="n"/>
      <c r="L95" s="1561" t="n"/>
      <c r="M95" s="1561" t="n"/>
      <c r="N95" s="1561" t="n"/>
    </row>
    <row r="96" ht="32.5" customHeight="1" s="254">
      <c r="A96" s="1525" t="inlineStr">
        <is>
          <t>MICHIGAN ELECTRIC UTILITIES — DELIVERY</t>
        </is>
      </c>
      <c r="B96" s="1561" t="n"/>
      <c r="C96" s="1561" t="n"/>
      <c r="D96" s="1561" t="n"/>
      <c r="E96" s="1561" t="n"/>
      <c r="F96" s="1561" t="n"/>
      <c r="G96" s="1561" t="n"/>
      <c r="H96" s="1561" t="n"/>
      <c r="I96" s="1561" t="n"/>
      <c r="J96" s="1561" t="n"/>
      <c r="K96" s="1561" t="n"/>
      <c r="L96" s="1561" t="n"/>
      <c r="M96" s="1561" t="n"/>
      <c r="N96" s="1561" t="n"/>
    </row>
    <row r="97" ht="15" customHeight="1" s="254">
      <c r="A97" s="1526" t="inlineStr">
        <is>
          <t>Service territory in Michigan does not follow a mailing address in any obvious way. Confirm the serving utility against the site address before pricing anything that depends on it.</t>
        </is>
      </c>
      <c r="I97" s="1561" t="n"/>
      <c r="J97" s="1561" t="n"/>
      <c r="K97" s="1561" t="n"/>
      <c r="L97" s="1561" t="n"/>
      <c r="M97" s="1561" t="n"/>
      <c r="N97" s="1561" t="n"/>
    </row>
    <row r="98" ht="15" customHeight="1" s="254">
      <c r="A98" s="1561" t="n"/>
      <c r="B98" s="1561" t="n"/>
      <c r="C98" s="1561" t="n"/>
      <c r="D98" s="1561" t="n"/>
      <c r="E98" s="1561" t="n"/>
      <c r="F98" s="1561" t="n"/>
      <c r="G98" s="1561" t="n"/>
      <c r="H98" s="1561" t="n"/>
      <c r="I98" s="1561" t="n"/>
      <c r="J98" s="1561" t="n"/>
      <c r="K98" s="1561" t="n"/>
      <c r="L98" s="1561" t="n"/>
      <c r="M98" s="1561" t="n"/>
      <c r="N98" s="1561" t="n"/>
    </row>
    <row r="99" ht="15" customHeight="1" s="254">
      <c r="A99" s="1510" t="inlineStr">
        <is>
          <t>Utility</t>
        </is>
      </c>
      <c r="B99" s="1510" t="inlineStr">
        <is>
          <t>Type</t>
        </is>
      </c>
      <c r="C99" s="1510" t="inlineStr">
        <is>
          <t>Service territory</t>
        </is>
      </c>
      <c r="D99" s="1561" t="n"/>
      <c r="E99" s="1561" t="n"/>
      <c r="F99" s="1561" t="n"/>
      <c r="G99" s="1561" t="n"/>
      <c r="H99" s="1561" t="n"/>
      <c r="I99" s="1561" t="n"/>
      <c r="J99" s="1561" t="n"/>
      <c r="K99" s="1561" t="n"/>
      <c r="L99" s="1561" t="n"/>
      <c r="M99" s="1561" t="n"/>
      <c r="N99" s="1561" t="n"/>
    </row>
    <row r="100" ht="15" customHeight="1" s="254">
      <c r="A100" s="1512" t="inlineStr">
        <is>
          <t>DTE Electric Company</t>
        </is>
      </c>
      <c r="B100" s="1513" t="inlineStr">
        <is>
          <t>IOU</t>
        </is>
      </c>
      <c r="C100" s="1527" t="inlineStr">
        <is>
          <t>Southeast Michigan — Detroit, Ann Arbor, Port Huron</t>
        </is>
      </c>
      <c r="D100" s="299" t="n"/>
      <c r="E100" s="299" t="n"/>
      <c r="F100" s="299" t="n"/>
      <c r="G100" s="299" t="n"/>
      <c r="H100" s="299" t="n"/>
      <c r="I100" s="1561" t="n"/>
      <c r="J100" s="1561" t="n"/>
      <c r="K100" s="1561" t="n"/>
      <c r="L100" s="1561" t="n"/>
      <c r="M100" s="1561" t="n"/>
      <c r="N100" s="1561" t="n"/>
    </row>
    <row r="101" ht="15" customHeight="1" s="254">
      <c r="A101" s="1512" t="inlineStr">
        <is>
          <t>Consumers Energy</t>
        </is>
      </c>
      <c r="B101" s="1513" t="inlineStr">
        <is>
          <t>IOU</t>
        </is>
      </c>
      <c r="C101" s="1524" t="inlineStr">
        <is>
          <t>Most of the Lower Peninsula outside DTE</t>
        </is>
      </c>
      <c r="D101" s="1561" t="n"/>
      <c r="E101" s="1561" t="n"/>
      <c r="F101" s="1561" t="n"/>
      <c r="G101" s="1561" t="n"/>
      <c r="H101" s="1561" t="n"/>
      <c r="I101" s="1561" t="n"/>
      <c r="J101" s="1561" t="n"/>
      <c r="K101" s="1561" t="n"/>
      <c r="L101" s="1561" t="n"/>
      <c r="M101" s="1561" t="n"/>
      <c r="N101" s="1561" t="n"/>
    </row>
    <row r="102" ht="15" customHeight="1" s="254">
      <c r="A102" s="1512" t="inlineStr">
        <is>
          <t>Indiana Michigan Power (AEP)</t>
        </is>
      </c>
      <c r="B102" s="1513" t="inlineStr">
        <is>
          <t>IOU</t>
        </is>
      </c>
      <c r="C102" s="1524" t="inlineStr">
        <is>
          <t>Southwest MI — Berrien, Cass, St Joseph</t>
        </is>
      </c>
      <c r="D102" s="1561" t="n"/>
      <c r="E102" s="1561" t="n"/>
      <c r="F102" s="1561" t="n"/>
      <c r="G102" s="1561" t="n"/>
      <c r="H102" s="1561" t="n"/>
      <c r="I102" s="1561" t="n"/>
      <c r="J102" s="1561" t="n"/>
      <c r="K102" s="1561" t="n"/>
      <c r="L102" s="1561" t="n"/>
      <c r="M102" s="1561" t="n"/>
      <c r="N102" s="1561" t="n"/>
    </row>
    <row r="103" ht="27" customHeight="1" s="254">
      <c r="A103" s="1528" t="inlineStr">
        <is>
          <t>UMERC — Upper Michigan Energy Resources (We Energies)</t>
        </is>
      </c>
      <c r="B103" s="1513" t="inlineStr">
        <is>
          <t>IOU</t>
        </is>
      </c>
      <c r="C103" s="1524" t="inlineStr">
        <is>
          <t>Upper Peninsula — Marquette, Menominee</t>
        </is>
      </c>
      <c r="D103" s="1561" t="n"/>
      <c r="E103" s="1561" t="n"/>
      <c r="F103" s="1561" t="n"/>
      <c r="G103" s="1561" t="n"/>
      <c r="H103" s="1561" t="n"/>
      <c r="I103" s="1561" t="n"/>
      <c r="J103" s="1561" t="n"/>
      <c r="K103" s="1561" t="n"/>
      <c r="L103" s="1561" t="n"/>
      <c r="M103" s="1561" t="n"/>
      <c r="N103" s="1561" t="n"/>
    </row>
    <row r="104" ht="15" customHeight="1" s="254">
      <c r="A104" s="1512" t="inlineStr">
        <is>
          <t>UPPCO — Upper Peninsula Power Company</t>
        </is>
      </c>
      <c r="B104" s="1513" t="inlineStr">
        <is>
          <t>IOU</t>
        </is>
      </c>
      <c r="C104" s="1513" t="inlineStr">
        <is>
          <t>Upper Peninsula</t>
        </is>
      </c>
      <c r="D104" s="1561" t="n"/>
      <c r="E104" s="1561" t="n"/>
      <c r="F104" s="1561" t="n"/>
      <c r="G104" s="1561" t="n"/>
      <c r="H104" s="1561" t="n"/>
      <c r="I104" s="1561" t="n"/>
      <c r="J104" s="1561" t="n"/>
      <c r="K104" s="1561" t="n"/>
      <c r="L104" s="1561" t="n"/>
      <c r="M104" s="1561" t="n"/>
      <c r="N104" s="1561" t="n"/>
    </row>
    <row r="105" ht="15" customHeight="1" s="254">
      <c r="A105" s="1512" t="inlineStr">
        <is>
          <t>Northern States Power — Xcel</t>
        </is>
      </c>
      <c r="B105" s="1513" t="inlineStr">
        <is>
          <t>IOU</t>
        </is>
      </c>
      <c r="C105" s="1513" t="inlineStr">
        <is>
          <t>Western Upper Peninsula</t>
        </is>
      </c>
      <c r="D105" s="1561" t="n"/>
      <c r="E105" s="1561" t="n"/>
      <c r="F105" s="1561" t="n"/>
      <c r="G105" s="1561" t="n"/>
      <c r="H105" s="1561" t="n"/>
      <c r="I105" s="1561" t="n"/>
      <c r="J105" s="1561" t="n"/>
      <c r="K105" s="1561" t="n"/>
      <c r="L105" s="1561" t="n"/>
      <c r="M105" s="1561" t="n"/>
      <c r="N105" s="1561" t="n"/>
    </row>
    <row r="106" ht="15" customHeight="1" s="254">
      <c r="A106" s="1512" t="inlineStr">
        <is>
          <t>Alpena Power Company</t>
        </is>
      </c>
      <c r="B106" s="1513" t="inlineStr">
        <is>
          <t>IOU</t>
        </is>
      </c>
      <c r="C106" s="1513" t="inlineStr">
        <is>
          <t>Alpena and surrounding townships</t>
        </is>
      </c>
      <c r="D106" s="1561" t="n"/>
      <c r="E106" s="1561" t="n"/>
      <c r="F106" s="1561" t="n"/>
      <c r="G106" s="1561" t="n"/>
      <c r="H106" s="1561" t="n"/>
      <c r="I106" s="1561" t="n"/>
      <c r="J106" s="1561" t="n"/>
      <c r="K106" s="1561" t="n"/>
      <c r="L106" s="1561" t="n"/>
      <c r="M106" s="1561" t="n"/>
      <c r="N106" s="1561" t="n"/>
    </row>
    <row r="107" ht="15" customHeight="1" s="254">
      <c r="A107" s="1512" t="inlineStr">
        <is>
          <t>Lansing Board of Water &amp; Light</t>
        </is>
      </c>
      <c r="B107" s="1513" t="inlineStr">
        <is>
          <t>POU</t>
        </is>
      </c>
      <c r="C107" s="1513" t="inlineStr">
        <is>
          <t>Lansing and East Lansing</t>
        </is>
      </c>
      <c r="D107" s="1561" t="n"/>
      <c r="E107" s="1561" t="n"/>
      <c r="F107" s="1561" t="n"/>
      <c r="G107" s="1561" t="n"/>
      <c r="H107" s="1561" t="n"/>
      <c r="I107" s="1561" t="n"/>
      <c r="J107" s="1561" t="n"/>
      <c r="K107" s="1561" t="n"/>
      <c r="L107" s="1561" t="n"/>
      <c r="M107" s="1561" t="n"/>
      <c r="N107" s="1561" t="n"/>
    </row>
    <row r="108" ht="15" customHeight="1" s="254">
      <c r="A108" s="1512" t="inlineStr">
        <is>
          <t>Holland Board of Public Works</t>
        </is>
      </c>
      <c r="B108" s="1513" t="inlineStr">
        <is>
          <t>POU</t>
        </is>
      </c>
      <c r="C108" s="1513" t="inlineStr">
        <is>
          <t>City of Holland</t>
        </is>
      </c>
      <c r="D108" s="1561" t="n"/>
      <c r="E108" s="1561" t="n"/>
      <c r="F108" s="1561" t="n"/>
      <c r="G108" s="1561" t="n"/>
      <c r="H108" s="1561" t="n"/>
      <c r="I108" s="1561" t="n"/>
      <c r="J108" s="1561" t="n"/>
      <c r="K108" s="1561" t="n"/>
      <c r="L108" s="1561" t="n"/>
      <c r="M108" s="1561" t="n"/>
      <c r="N108" s="1561" t="n"/>
    </row>
    <row r="109" ht="15" customHeight="1" s="254">
      <c r="A109" s="1512" t="inlineStr">
        <is>
          <t>Traverse City Light &amp; Power</t>
        </is>
      </c>
      <c r="B109" s="1513" t="inlineStr">
        <is>
          <t>POU</t>
        </is>
      </c>
      <c r="C109" s="1513" t="inlineStr">
        <is>
          <t>City of Traverse City</t>
        </is>
      </c>
      <c r="D109" s="1561" t="n"/>
      <c r="E109" s="1561" t="n"/>
      <c r="F109" s="1561" t="n"/>
      <c r="G109" s="1561" t="n"/>
      <c r="H109" s="1561" t="n"/>
      <c r="I109" s="1561" t="n"/>
      <c r="J109" s="1561" t="n"/>
      <c r="K109" s="1561" t="n"/>
      <c r="L109" s="1561" t="n"/>
      <c r="M109" s="1561" t="n"/>
      <c r="N109" s="1561" t="n"/>
    </row>
    <row r="110" ht="15" customHeight="1" s="254">
      <c r="A110" s="1512" t="inlineStr">
        <is>
          <t>Coldwater Board of Public Utilities</t>
        </is>
      </c>
      <c r="B110" s="1513" t="inlineStr">
        <is>
          <t>POU</t>
        </is>
      </c>
      <c r="C110" s="1513" t="inlineStr">
        <is>
          <t>City of Coldwater</t>
        </is>
      </c>
      <c r="D110" s="1561" t="n"/>
      <c r="E110" s="1561" t="n"/>
      <c r="F110" s="1561" t="n"/>
      <c r="G110" s="1561" t="n"/>
      <c r="H110" s="1561" t="n"/>
      <c r="I110" s="1561" t="n"/>
      <c r="J110" s="1561" t="n"/>
      <c r="K110" s="1561" t="n"/>
      <c r="L110" s="1561" t="n"/>
      <c r="M110" s="1561" t="n"/>
      <c r="N110" s="1561" t="n"/>
    </row>
    <row r="111" ht="15" customHeight="1" s="254">
      <c r="A111" s="1512" t="inlineStr">
        <is>
          <t>Wyandotte Municipal Services</t>
        </is>
      </c>
      <c r="B111" s="1513" t="inlineStr">
        <is>
          <t>POU</t>
        </is>
      </c>
      <c r="C111" s="1513" t="inlineStr">
        <is>
          <t>City of Wyandotte</t>
        </is>
      </c>
      <c r="D111" s="1561" t="n"/>
      <c r="E111" s="1561" t="n"/>
      <c r="F111" s="1561" t="n"/>
      <c r="G111" s="1561" t="n"/>
      <c r="H111" s="1561" t="n"/>
      <c r="I111" s="1561" t="n"/>
      <c r="J111" s="1561" t="n"/>
      <c r="K111" s="1561" t="n"/>
      <c r="L111" s="1561" t="n"/>
      <c r="M111" s="1561" t="n"/>
      <c r="N111" s="1561" t="n"/>
    </row>
    <row r="112" ht="15" customHeight="1" s="254">
      <c r="A112" s="1512" t="inlineStr">
        <is>
          <t>Cloverland Electric Cooperative</t>
        </is>
      </c>
      <c r="B112" s="1513" t="inlineStr">
        <is>
          <t>Co-op</t>
        </is>
      </c>
      <c r="C112" s="1513" t="inlineStr">
        <is>
          <t>Eastern Upper Peninsula</t>
        </is>
      </c>
      <c r="D112" s="1561" t="n"/>
      <c r="E112" s="1561" t="n"/>
      <c r="F112" s="1561" t="n"/>
      <c r="G112" s="1561" t="n"/>
      <c r="H112" s="1561" t="n"/>
      <c r="I112" s="1561" t="n"/>
      <c r="J112" s="1561" t="n"/>
      <c r="K112" s="1561" t="n"/>
      <c r="L112" s="1561" t="n"/>
      <c r="M112" s="1561" t="n"/>
      <c r="N112" s="1561" t="n"/>
    </row>
    <row r="113" ht="15" customHeight="1" s="254">
      <c r="A113" s="1512" t="inlineStr">
        <is>
          <t>Great Lakes Energy</t>
        </is>
      </c>
      <c r="B113" s="1513" t="inlineStr">
        <is>
          <t>Co-op</t>
        </is>
      </c>
      <c r="C113" s="1513" t="inlineStr">
        <is>
          <t>Northwest Lower Peninsula</t>
        </is>
      </c>
      <c r="D113" s="1561" t="n"/>
      <c r="E113" s="1561" t="n"/>
      <c r="F113" s="1561" t="n"/>
      <c r="G113" s="1561" t="n"/>
      <c r="H113" s="1561" t="n"/>
      <c r="I113" s="1561" t="n"/>
      <c r="J113" s="1561" t="n"/>
      <c r="K113" s="1561" t="n"/>
      <c r="L113" s="1561" t="n"/>
      <c r="M113" s="1561" t="n"/>
      <c r="N113" s="1561" t="n"/>
    </row>
    <row r="114" ht="15" customHeight="1" s="254">
      <c r="A114" s="1512" t="inlineStr">
        <is>
          <t>Presque Isle Electric &amp; Gas Co-op</t>
        </is>
      </c>
      <c r="B114" s="1513" t="inlineStr">
        <is>
          <t>Co-op</t>
        </is>
      </c>
      <c r="C114" s="1513" t="inlineStr">
        <is>
          <t>Northeast Lower Peninsula</t>
        </is>
      </c>
      <c r="D114" s="1561" t="n"/>
      <c r="E114" s="1561" t="n"/>
      <c r="F114" s="1561" t="n"/>
      <c r="G114" s="1561" t="n"/>
      <c r="H114" s="1561" t="n"/>
      <c r="I114" s="1561" t="n"/>
      <c r="J114" s="1561" t="n"/>
      <c r="K114" s="1561" t="n"/>
      <c r="L114" s="1561" t="n"/>
      <c r="M114" s="1561" t="n"/>
      <c r="N114" s="1561" t="n"/>
    </row>
    <row r="115" ht="15" customHeight="1" s="254">
      <c r="A115" s="1512" t="inlineStr">
        <is>
          <t>HomeWorks Tri-County Electric</t>
        </is>
      </c>
      <c r="B115" s="1513" t="inlineStr">
        <is>
          <t>Co-op</t>
        </is>
      </c>
      <c r="C115" s="1513" t="inlineStr">
        <is>
          <t>Central Lower Peninsula</t>
        </is>
      </c>
      <c r="D115" s="1561" t="n"/>
      <c r="E115" s="1561" t="n"/>
      <c r="F115" s="1561" t="n"/>
      <c r="G115" s="1561" t="n"/>
      <c r="H115" s="1561" t="n"/>
      <c r="I115" s="1561" t="n"/>
      <c r="J115" s="1561" t="n"/>
      <c r="K115" s="1561" t="n"/>
      <c r="L115" s="1561" t="n"/>
      <c r="M115" s="1561" t="n"/>
      <c r="N115" s="1561" t="n"/>
    </row>
    <row r="116" ht="15" customHeight="1" s="254">
      <c r="A116" s="1512" t="inlineStr">
        <is>
          <t>Midwest Energy &amp; Communications</t>
        </is>
      </c>
      <c r="B116" s="1513" t="inlineStr">
        <is>
          <t>Co-op</t>
        </is>
      </c>
      <c r="C116" s="1513" t="inlineStr">
        <is>
          <t>Southwest Lower Peninsula</t>
        </is>
      </c>
      <c r="D116" s="1561" t="n"/>
      <c r="E116" s="1561" t="n"/>
      <c r="F116" s="1561" t="n"/>
      <c r="G116" s="1561" t="n"/>
      <c r="H116" s="1561" t="n"/>
      <c r="I116" s="1561" t="n"/>
      <c r="J116" s="1561" t="n"/>
      <c r="K116" s="1561" t="n"/>
      <c r="L116" s="1561" t="n"/>
      <c r="M116" s="1561" t="n"/>
      <c r="N116" s="1561" t="n"/>
    </row>
    <row r="117" ht="15" customHeight="1" s="254">
      <c r="A117" s="1512" t="inlineStr">
        <is>
          <t>Thumb Electric Cooperative</t>
        </is>
      </c>
      <c r="B117" s="1513" t="inlineStr">
        <is>
          <t>Co-op</t>
        </is>
      </c>
      <c r="C117" s="1513" t="inlineStr">
        <is>
          <t>The Thumb — Huron, Sanilac, Tuscola</t>
        </is>
      </c>
      <c r="D117" s="1561" t="n"/>
      <c r="E117" s="1561" t="n"/>
      <c r="F117" s="1561" t="n"/>
      <c r="G117" s="1561" t="n"/>
      <c r="H117" s="1561" t="n"/>
      <c r="I117" s="1561" t="n"/>
      <c r="J117" s="1561" t="n"/>
      <c r="K117" s="1561" t="n"/>
      <c r="L117" s="1561" t="n"/>
      <c r="M117" s="1561" t="n"/>
      <c r="N117" s="1561" t="n"/>
    </row>
  </sheetData>
  <sheetProtection selectLockedCells="0" selectUnlockedCells="0" sheet="1" objects="0" insertRows="1" insertHyperlinks="1" autoFilter="1" scenarios="0" formatColumns="0" deleteColumns="1" insertColumns="1" pivotTables="1" deleteRows="1" formatCells="0" formatRows="0" sort="1"/>
  <mergeCells count="6">
    <mergeCell ref="A2:E2"/>
    <mergeCell ref="A64:E64"/>
    <mergeCell ref="A1:E1"/>
    <mergeCell ref="C100:H100"/>
    <mergeCell ref="A97:H97"/>
    <mergeCell ref="F63:H63"/>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9.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bottomLeft" activeCell="A5" sqref="A5"/>
    </sheetView>
  </sheetViews>
  <sheetFormatPr baseColWidth="8" defaultColWidth="8.66796875" defaultRowHeight="14.25" zeroHeight="0" outlineLevelRow="0"/>
  <cols>
    <col width="44" customWidth="1" style="253" min="1" max="1"/>
    <col width="32" customWidth="1" style="253" min="2" max="2"/>
    <col width="54" customWidth="1" style="253" min="3" max="3"/>
    <col width="13" customWidth="1" style="254" min="4" max="4"/>
    <col width="9" customWidth="1" style="253" min="5" max="5"/>
    <col width="11" customWidth="1" style="253" min="6" max="6"/>
    <col width="13" customWidth="1" style="254" min="7" max="9"/>
    <col width="9" customWidth="1" style="253" min="10" max="10"/>
    <col width="11" customWidth="1" style="253" min="11" max="11"/>
    <col width="13" customWidth="1" style="254" min="12" max="13"/>
    <col width="34" customWidth="1" style="253" min="14" max="14"/>
    <col width="13" customWidth="1" style="254" min="15" max="16"/>
    <col width="11" customWidth="1" style="253" min="17" max="17"/>
    <col width="34" customWidth="1" style="253" min="18" max="18"/>
  </cols>
  <sheetData>
    <row r="1" ht="15" customHeight="1" s="254">
      <c r="A1" s="1543" t="inlineStr">
        <is>
          <t>CALIFORNIA EVSE RATE LIBRARY</t>
        </is>
      </c>
    </row>
    <row r="2" ht="26" customHeight="1" s="254">
      <c r="A2" s="1474"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 2026-09-25: the SCE TOU-EV-7/8/9 rows are now VERIFIED from the filed Oct 1, 2025 sheets; the three-column library holds the summer figures and the winter figures sit in the Time-of-use text — blend on the site load shape before typing the volumetric cost on the Revenue tab.</t>
        </is>
      </c>
    </row>
    <row r="3" ht="15" customHeight="1" s="254">
      <c r="A3" s="1561" t="n"/>
      <c r="B3" s="1561" t="n"/>
      <c r="C3" s="1561" t="n"/>
      <c r="D3" s="1561" t="n"/>
      <c r="E3" s="1561" t="n"/>
      <c r="F3" s="1561" t="n"/>
      <c r="G3" s="1561" t="n"/>
      <c r="H3" s="1561" t="n"/>
      <c r="I3" s="1561" t="n"/>
      <c r="J3" s="1561" t="n"/>
      <c r="K3" s="1561" t="n"/>
      <c r="L3" s="1561" t="n"/>
      <c r="M3" s="1561" t="n"/>
      <c r="N3" s="1561" t="n"/>
      <c r="O3" s="1561" t="n"/>
      <c r="P3" s="1561" t="n"/>
      <c r="Q3" s="1561" t="n"/>
      <c r="R3" s="1561" t="n"/>
    </row>
    <row r="4" ht="25.5" customHeight="1" s="254">
      <c r="A4" s="1477" t="inlineStr">
        <is>
          <t>Utility</t>
        </is>
      </c>
      <c r="B4" s="1478" t="inlineStr">
        <is>
          <t>Schedule</t>
        </is>
      </c>
      <c r="C4" s="1478" t="inlineStr">
        <is>
          <t>From kW</t>
        </is>
      </c>
      <c r="D4" s="1477" t="inlineStr">
        <is>
          <t>To kW</t>
        </is>
      </c>
      <c r="E4" s="1478" t="inlineStr">
        <is>
          <t>Voltage</t>
        </is>
      </c>
      <c r="F4" s="1478" t="inlineStr">
        <is>
          <t>Peak $/kWh</t>
        </is>
      </c>
      <c r="G4" s="1478" t="inlineStr">
        <is>
          <t>Off-peak $/kWh</t>
        </is>
      </c>
      <c r="H4" s="1478" t="inlineStr">
        <is>
          <t>Super off $/kWh</t>
        </is>
      </c>
      <c r="I4" s="1478" t="inlineStr">
        <is>
          <t>Demand $/kW-mo</t>
        </is>
      </c>
      <c r="J4" s="1478" t="inlineStr">
        <is>
          <t>Block kW</t>
        </is>
      </c>
      <c r="K4" s="1478" t="inlineStr">
        <is>
          <t>Block $/mo</t>
        </is>
      </c>
      <c r="L4" s="1478" t="inlineStr">
        <is>
          <t>Overage $/kW</t>
        </is>
      </c>
      <c r="M4" s="1478" t="inlineStr">
        <is>
          <t>Customer $/mo</t>
        </is>
      </c>
      <c r="N4" s="1478" t="inlineStr">
        <is>
          <t>Seasons</t>
        </is>
      </c>
      <c r="O4" s="1479" t="inlineStr">
        <is>
          <t>Time-of-use periods</t>
        </is>
      </c>
      <c r="P4" s="1478" t="inlineStr">
        <is>
          <t>STATUS</t>
        </is>
      </c>
      <c r="Q4" s="1478" t="inlineStr">
        <is>
          <t>Effective</t>
        </is>
      </c>
      <c r="R4" s="1478" t="inlineStr">
        <is>
          <t>Source</t>
        </is>
      </c>
    </row>
    <row r="5" ht="60" customHeight="1" s="254">
      <c r="A5" s="1529" t="inlineStr">
        <is>
          <t>PG&amp;E — Pacific Gas and Electric</t>
        </is>
      </c>
      <c r="B5" s="1472" t="inlineStr">
        <is>
          <t>BEV-1</t>
        </is>
      </c>
      <c r="C5" s="1492" t="n">
        <v>0</v>
      </c>
      <c r="D5" s="1492" t="n">
        <v>100</v>
      </c>
      <c r="E5" s="1472" t="inlineStr">
        <is>
          <t>Secondary</t>
        </is>
      </c>
      <c r="F5" s="1530" t="n">
        <v>0.35711</v>
      </c>
      <c r="G5" s="1530" t="n">
        <v>0.1651</v>
      </c>
      <c r="H5" s="1530" t="n">
        <v>0.13844</v>
      </c>
      <c r="I5" s="1531" t="n">
        <v>0</v>
      </c>
      <c r="J5" s="1492" t="n">
        <v>10</v>
      </c>
      <c r="K5" s="1531" t="n">
        <v>12.41</v>
      </c>
      <c r="L5" s="1531" t="n">
        <v>2.48</v>
      </c>
      <c r="M5" s="1531" t="n">
        <v>0</v>
      </c>
      <c r="N5" s="1472" t="inlineStr">
        <is>
          <t>None — no seasonal variation</t>
        </is>
      </c>
      <c r="O5" s="1519" t="inlineStr">
        <is>
          <t>Peak 4-9pm daily; Off 9pm-9am &amp; 2-4pm; Super off 9am-2pm — ALL YEAR</t>
        </is>
      </c>
      <c r="P5" s="1532" t="inlineStr">
        <is>
          <t>VERIFIED</t>
        </is>
      </c>
      <c r="Q5" s="1472" t="inlineStr">
        <is>
          <t>2026-03-01</t>
        </is>
      </c>
      <c r="R5" s="1228" t="inlineStr">
        <is>
          <t>https://www.pge.com/tariffs/assets/pdf/tariffbook/ELEC_SCHEDS_BEV.pdf</t>
        </is>
      </c>
    </row>
    <row r="6" ht="60" customHeight="1" s="254">
      <c r="A6" s="1529" t="inlineStr">
        <is>
          <t>PG&amp;E — Pacific Gas and Electric</t>
        </is>
      </c>
      <c r="B6" s="1472" t="inlineStr">
        <is>
          <t>BEV-2-S</t>
        </is>
      </c>
      <c r="C6" s="1492" t="n">
        <v>100</v>
      </c>
      <c r="D6" s="1492" t="n">
        <v>99999</v>
      </c>
      <c r="E6" s="1472" t="inlineStr">
        <is>
          <t>Secondary</t>
        </is>
      </c>
      <c r="F6" s="1530" t="n">
        <v>0.36977</v>
      </c>
      <c r="G6" s="1530" t="n">
        <v>0.15654</v>
      </c>
      <c r="H6" s="1530" t="n">
        <v>0.13327</v>
      </c>
      <c r="I6" s="1531" t="n">
        <v>0</v>
      </c>
      <c r="J6" s="1492" t="n">
        <v>50</v>
      </c>
      <c r="K6" s="1531" t="n">
        <v>95.56</v>
      </c>
      <c r="L6" s="1531" t="n">
        <v>3.82</v>
      </c>
      <c r="M6" s="1531" t="n">
        <v>0</v>
      </c>
      <c r="N6" s="1472" t="inlineStr">
        <is>
          <t>None — no seasonal variation</t>
        </is>
      </c>
      <c r="O6" s="1519" t="inlineStr">
        <is>
          <t>Peak 4-9pm daily; Off 9pm-9am &amp; 2-4pm; Super off 9am-2pm — ALL YEAR</t>
        </is>
      </c>
      <c r="P6" s="1532" t="inlineStr">
        <is>
          <t>VERIFIED</t>
        </is>
      </c>
      <c r="Q6" s="1472" t="inlineStr">
        <is>
          <t>2026-03-01</t>
        </is>
      </c>
      <c r="R6" s="1228" t="inlineStr">
        <is>
          <t>https://www.pge.com/tariffs/assets/pdf/tariffbook/ELEC_SCHEDS_BEV.pdf</t>
        </is>
      </c>
    </row>
    <row r="7" ht="60" customHeight="1" s="254">
      <c r="A7" s="1529" t="inlineStr">
        <is>
          <t>PG&amp;E — Pacific Gas and Electric</t>
        </is>
      </c>
      <c r="B7" s="1472" t="inlineStr">
        <is>
          <t>BEV-2-P</t>
        </is>
      </c>
      <c r="C7" s="1492" t="n">
        <v>100</v>
      </c>
      <c r="D7" s="1492" t="n">
        <v>99999</v>
      </c>
      <c r="E7" s="1472" t="inlineStr">
        <is>
          <t>Primary</t>
        </is>
      </c>
      <c r="F7" s="1530" t="n">
        <v>0.36003</v>
      </c>
      <c r="G7" s="1530" t="n">
        <v>0.15115</v>
      </c>
      <c r="H7" s="1530" t="n">
        <v>0.12849</v>
      </c>
      <c r="I7" s="1531" t="n">
        <v>0</v>
      </c>
      <c r="J7" s="1492" t="n">
        <v>50</v>
      </c>
      <c r="K7" s="1531" t="n">
        <v>85.98</v>
      </c>
      <c r="L7" s="1531" t="n">
        <v>3.44</v>
      </c>
      <c r="M7" s="1531" t="n">
        <v>0</v>
      </c>
      <c r="N7" s="1472" t="inlineStr">
        <is>
          <t>None — no seasonal variation</t>
        </is>
      </c>
      <c r="O7" s="1519" t="inlineStr">
        <is>
          <t>Peak 4-9pm daily; Off 9pm-9am &amp; 2-4pm; Super off 9am-2pm — ALL YEAR</t>
        </is>
      </c>
      <c r="P7" s="1532" t="inlineStr">
        <is>
          <t>VERIFIED</t>
        </is>
      </c>
      <c r="Q7" s="1472" t="inlineStr">
        <is>
          <t>2026-03-01</t>
        </is>
      </c>
      <c r="R7" s="1228" t="inlineStr">
        <is>
          <t>https://www.pge.com/tariffs/assets/pdf/tariffbook/ELEC_SCHEDS_BEV.pdf</t>
        </is>
      </c>
    </row>
    <row r="8" ht="37.5" customHeight="1" s="254">
      <c r="A8" s="1529" t="inlineStr">
        <is>
          <t>PG&amp;E — Pacific Gas and Electric</t>
        </is>
      </c>
      <c r="B8" s="1472" t="inlineStr">
        <is>
          <t>B-20 (non-EV alternative)</t>
        </is>
      </c>
      <c r="C8" s="1492" t="n">
        <v>1000</v>
      </c>
      <c r="D8" s="1492" t="n">
        <v>99999</v>
      </c>
      <c r="E8" s="1472" t="inlineStr">
        <is>
          <t>Secondary</t>
        </is>
      </c>
      <c r="F8" s="1530" t="n">
        <v>0.17702</v>
      </c>
      <c r="G8" s="1530" t="n">
        <v>0.11482</v>
      </c>
      <c r="H8" s="1530" t="n">
        <v>0.05872</v>
      </c>
      <c r="I8" s="1531" t="n">
        <v>80.43000000000001</v>
      </c>
      <c r="J8" s="1492" t="n">
        <v>0</v>
      </c>
      <c r="K8" s="1531" t="n">
        <v>0</v>
      </c>
      <c r="L8" s="1531" t="n">
        <v>0</v>
      </c>
      <c r="M8" s="1531" t="n">
        <v>3265</v>
      </c>
      <c r="N8" s="1472" t="inlineStr">
        <is>
          <t>Summer Jun-Sep / Winter Oct-May</t>
        </is>
      </c>
      <c r="O8" s="1521" t="inlineStr">
        <is>
          <t>Peak 4-9pm; Super off 9am-2pm MARCH-MAY ONLY</t>
        </is>
      </c>
      <c r="P8" s="1533" t="inlineStr">
        <is>
          <t>PARTIAL</t>
        </is>
      </c>
      <c r="Q8" s="1472" t="inlineStr">
        <is>
          <t>2026-03-01</t>
        </is>
      </c>
      <c r="R8" s="1228" t="inlineStr">
        <is>
          <t>https://www.pge.com/tariffs/assets/pdf/tariffbook/ELEC_SCHEDS_B-20.pdf</t>
        </is>
      </c>
    </row>
    <row r="9" ht="217.5" customHeight="1" s="254">
      <c r="A9" s="1529" t="inlineStr">
        <is>
          <t>SCE — Southern California Edison</t>
        </is>
      </c>
      <c r="B9" s="1472" t="inlineStr">
        <is>
          <t>TOU-EV-7</t>
        </is>
      </c>
      <c r="C9" s="1492" t="n">
        <v>0</v>
      </c>
      <c r="D9" s="1492" t="n">
        <v>20</v>
      </c>
      <c r="E9" s="1521" t="inlineStr">
        <is>
          <t>Below 2 kV (bundled)</t>
        </is>
      </c>
      <c r="F9" s="1530" t="n">
        <v>0.6664099999999999</v>
      </c>
      <c r="G9" s="1530" t="n">
        <v>0.27073</v>
      </c>
      <c r="H9" s="1530" t="n">
        <v>0.15576</v>
      </c>
      <c r="I9" s="1531" t="n">
        <v>0</v>
      </c>
      <c r="J9" s="1492" t="n">
        <v>0</v>
      </c>
      <c r="K9" s="1531" t="n">
        <v>0</v>
      </c>
      <c r="L9" s="1531" t="n">
        <v>0</v>
      </c>
      <c r="M9" s="1531" t="n">
        <v>9.970000000000001</v>
      </c>
      <c r="N9" s="1472" t="inlineStr">
        <is>
          <t>Summer Jun-Sep / Winter Oct-May</t>
        </is>
      </c>
      <c r="O9" s="1519" t="inlineStr">
        <is>
          <t>Option E (no demand charge). Summer on-peak $0.66641, mid-peak $0.43651, off-peak $0.27073; winter mid-peak $0.50201, super-off-peak $0.15576, off-peak $0.28909. Customer charge $0.328/meter/day (x30.4). Option D carries a $0.94/kW facilities demand charge. Daytime-retail blend $0.331.</t>
        </is>
      </c>
      <c r="P9" s="1534" t="inlineStr">
        <is>
          <t>VERIFIED — Cal. PUC Sheet Option E (Sheet 2) effective 2025-10-01. No demand charge and no subscription on this schedule (facilities demand charge $0.00/kW on every 2025 sheet; a phase-in would be a Special Condition — not yet verified). Sheet 1 TOU period definitions not yet verified.</t>
        </is>
      </c>
      <c r="Q9" s="1472" t="inlineStr">
        <is>
          <t>2025-10-01</t>
        </is>
      </c>
      <c r="R9" s="1228" t="inlineStr">
        <is>
          <t>SCE Cal. PUC Schedule TOU-EV-7/8/9 rate sheets, Advice 5643-E, Decision 25-09-030, effective Oct 1, 2025 (project store: Tariffs/SCE_TOU-EV-9_2025.md)</t>
        </is>
      </c>
    </row>
    <row r="10" ht="217.5" customHeight="1" s="254">
      <c r="A10" s="1529" t="inlineStr">
        <is>
          <t>SCE — Southern California Edison</t>
        </is>
      </c>
      <c r="B10" s="1472" t="inlineStr">
        <is>
          <t>TOU-EV-8</t>
        </is>
      </c>
      <c r="C10" s="1492" t="n">
        <v>20</v>
      </c>
      <c r="D10" s="1492" t="n">
        <v>500</v>
      </c>
      <c r="E10" s="1521" t="inlineStr">
        <is>
          <t>Below 2 kV (bundled)</t>
        </is>
      </c>
      <c r="F10" s="1530" t="n">
        <v>0.63495</v>
      </c>
      <c r="G10" s="1530" t="n">
        <v>0.23288</v>
      </c>
      <c r="H10" s="1530" t="n">
        <v>0.13123</v>
      </c>
      <c r="I10" s="1531" t="n">
        <v>0</v>
      </c>
      <c r="J10" s="1492" t="n">
        <v>0</v>
      </c>
      <c r="K10" s="1531" t="n">
        <v>0</v>
      </c>
      <c r="L10" s="1531" t="n">
        <v>0</v>
      </c>
      <c r="M10" s="1531" t="n">
        <v>234.67</v>
      </c>
      <c r="N10" s="1472" t="inlineStr">
        <is>
          <t>Summer Jun-Sep / Winter Oct-May</t>
        </is>
      </c>
      <c r="O10" s="1519" t="inlineStr">
        <is>
          <t>Summer on-peak 4-9pm wkdy $0.63495, mid-peak $0.39635, off-peak $0.23288; winter mid-peak $0.43808, super-off-peak $0.13123, off-peak $0.24571. Bundled &lt;2 kV. Daytime-retail blend $0.291. EV submeter credit not applied.</t>
        </is>
      </c>
      <c r="P10" s="1534" t="inlineStr">
        <is>
          <t>VERIFIED — Cal. PUC Sheet 90422-E (Sheet 2) effective 2025-10-01. No demand charge and no subscription on this schedule (facilities demand charge $0.00/kW on every 2025 sheet; a phase-in would be a Special Condition — not yet verified). Sheet 1 TOU period definitions not yet verified.</t>
        </is>
      </c>
      <c r="Q10" s="1472" t="inlineStr">
        <is>
          <t>2025-10-01</t>
        </is>
      </c>
      <c r="R10" s="1228" t="inlineStr">
        <is>
          <t>SCE Cal. PUC Schedule TOU-EV-7/8/9 rate sheets, Advice 5643-E, Decision 25-09-030, effective Oct 1, 2025 (project store: Tariffs/SCE_TOU-EV-9_2025.md)</t>
        </is>
      </c>
    </row>
    <row r="11" ht="240" customHeight="1" s="254">
      <c r="A11" s="1529" t="inlineStr">
        <is>
          <t>SCE — Southern California Edison</t>
        </is>
      </c>
      <c r="B11" s="1472" t="inlineStr">
        <is>
          <t>TOU-EV-9</t>
        </is>
      </c>
      <c r="C11" s="1492" t="n">
        <v>500</v>
      </c>
      <c r="D11" s="1492" t="n">
        <v>99999</v>
      </c>
      <c r="E11" s="1521" t="inlineStr">
        <is>
          <t>Below 2 kV (bundled)</t>
        </is>
      </c>
      <c r="F11" s="1530" t="n">
        <v>0.59009</v>
      </c>
      <c r="G11" s="1530" t="n">
        <v>0.21498</v>
      </c>
      <c r="H11" s="1530" t="n">
        <v>0.1299</v>
      </c>
      <c r="I11" s="1531" t="n">
        <v>0</v>
      </c>
      <c r="J11" s="1492" t="n">
        <v>0</v>
      </c>
      <c r="K11" s="1531" t="n">
        <v>0</v>
      </c>
      <c r="L11" s="1531" t="n">
        <v>0</v>
      </c>
      <c r="M11" s="1531" t="n">
        <v>511.9</v>
      </c>
      <c r="N11" s="1472" t="inlineStr">
        <is>
          <t>Summer Jun-Sep / Winter Oct-May</t>
        </is>
      </c>
      <c r="O11" s="1519" t="inlineStr">
        <is>
          <t>Summer (Jun-Sep): on-peak 4-9pm weekdays $0.59009, mid-peak 4-9pm weekends $0.38849, off-peak $0.21498. Winter (Oct-May): mid-peak 4-9pm $0.43558, super-off-peak 8am-4pm $0.12990, off-peak $0.22686. Bundled &lt;2 kV; 2-50 kV about 10% lower. Blend on the site load shape: daytime-retail (45/35/20) = $0.27962.</t>
        </is>
      </c>
      <c r="P11" s="1534" t="inlineStr">
        <is>
          <t>VERIFIED — Cal. PUC Sheet 90423-E effective 2025-10-01. No demand charge and no subscription on this schedule (facilities demand charge $0.00/kW on every 2025 sheet; a phase-in would be a Special Condition — not yet verified). Sheet 1 TOU period definitions not yet verified.</t>
        </is>
      </c>
      <c r="Q11" s="1472" t="inlineStr">
        <is>
          <t>2025-10-01</t>
        </is>
      </c>
      <c r="R11" s="1228" t="inlineStr">
        <is>
          <t>SCE Cal. PUC Schedule TOU-EV-7/8/9 rate sheets, Advice 5643-E, Decision 25-09-030, effective Oct 1, 2025 (project store: Tariffs/SCE_TOU-EV-9_2025.md)</t>
        </is>
      </c>
    </row>
    <row r="12" ht="37.5" customHeight="1" s="254">
      <c r="A12" s="1529" t="inlineStr">
        <is>
          <t>SDG&amp;E — San Diego Gas &amp; Electric</t>
        </is>
      </c>
      <c r="B12" s="1472" t="inlineStr">
        <is>
          <t>EV-HP (&lt;=150 kW)</t>
        </is>
      </c>
      <c r="C12" s="1492" t="n">
        <v>20</v>
      </c>
      <c r="D12" s="1492" t="n">
        <v>150</v>
      </c>
      <c r="E12" s="1472" t="inlineStr">
        <is>
          <t>Secondary</t>
        </is>
      </c>
      <c r="F12" s="1530" t="n">
        <v>0.32882</v>
      </c>
      <c r="G12" s="1530" t="n">
        <v>0.16295</v>
      </c>
      <c r="H12" s="1530" t="n">
        <v>0.15307</v>
      </c>
      <c r="I12" s="1531" t="n">
        <v>9.43</v>
      </c>
      <c r="J12" s="1492" t="n">
        <v>10</v>
      </c>
      <c r="K12" s="1531" t="n">
        <v>50.76</v>
      </c>
      <c r="L12" s="1531" t="n">
        <v>0</v>
      </c>
      <c r="M12" s="1531" t="n">
        <v>151.26</v>
      </c>
      <c r="N12" s="1521" t="inlineStr">
        <is>
          <t>Summer Jun 1-Oct 31 / Winter Nov 1-May 31</t>
        </is>
      </c>
      <c r="O12" s="1521" t="inlineStr">
        <is>
          <t>NOT PUBLISHED — obtain from the tariff sheet</t>
        </is>
      </c>
      <c r="P12" s="1533" t="inlineStr">
        <is>
          <t>PARTIAL</t>
        </is>
      </c>
      <c r="Q12" s="1472" t="inlineStr">
        <is>
          <t>2026-08-01</t>
        </is>
      </c>
      <c r="R12" s="1228" t="inlineStr">
        <is>
          <t>https://www.sdge.com/sites/default/files/regulatory/Summary%20Table%20for%20Medium%20Comm%208-1-26.pdf</t>
        </is>
      </c>
    </row>
    <row r="13" ht="37.5" customHeight="1" s="254">
      <c r="A13" s="1529" t="inlineStr">
        <is>
          <t>SDG&amp;E — San Diego Gas &amp; Electric</t>
        </is>
      </c>
      <c r="B13" s="1472" t="inlineStr">
        <is>
          <t>EV-HP (&gt;150 kW)</t>
        </is>
      </c>
      <c r="C13" s="1492" t="n">
        <v>150</v>
      </c>
      <c r="D13" s="1492" t="n">
        <v>99999</v>
      </c>
      <c r="E13" s="1472" t="inlineStr">
        <is>
          <t>Secondary</t>
        </is>
      </c>
      <c r="F13" s="1530" t="n">
        <v>0.32882</v>
      </c>
      <c r="G13" s="1530" t="n">
        <v>0.16295</v>
      </c>
      <c r="H13" s="1530" t="n">
        <v>0.15307</v>
      </c>
      <c r="I13" s="1531" t="n">
        <v>9.43</v>
      </c>
      <c r="J13" s="1492" t="n">
        <v>25</v>
      </c>
      <c r="K13" s="1531" t="n">
        <v>126.89</v>
      </c>
      <c r="L13" s="1531" t="n">
        <v>0</v>
      </c>
      <c r="M13" s="1531" t="n">
        <v>151.26</v>
      </c>
      <c r="N13" s="1521" t="inlineStr">
        <is>
          <t>Summer Jun 1-Oct 31 / Winter Nov 1-May 31</t>
        </is>
      </c>
      <c r="O13" s="1521" t="inlineStr">
        <is>
          <t>NOT PUBLISHED — obtain from the tariff sheet</t>
        </is>
      </c>
      <c r="P13" s="1533" t="inlineStr">
        <is>
          <t>PARTIAL</t>
        </is>
      </c>
      <c r="Q13" s="1472" t="inlineStr">
        <is>
          <t>2026-08-01</t>
        </is>
      </c>
      <c r="R13" s="1228" t="inlineStr">
        <is>
          <t>https://www.sdge.com/sites/default/files/regulatory/Summary%20Table%20for%20Medium%20Comm%208-1-26.pdf</t>
        </is>
      </c>
    </row>
    <row r="14" ht="37.5" customHeight="1" s="254">
      <c r="A14" s="1529" t="inlineStr">
        <is>
          <t>SDG&amp;E — San Diego Gas &amp; Electric</t>
        </is>
      </c>
      <c r="B14" s="1472" t="inlineStr">
        <is>
          <t>EV-HP Primary (&gt;150 kW)</t>
        </is>
      </c>
      <c r="C14" s="1492" t="n">
        <v>150</v>
      </c>
      <c r="D14" s="1492" t="n">
        <v>99999</v>
      </c>
      <c r="E14" s="1472" t="inlineStr">
        <is>
          <t>Primary</t>
        </is>
      </c>
      <c r="F14" s="1530" t="n">
        <v>0.3055</v>
      </c>
      <c r="G14" s="1530" t="n">
        <v>0.16257</v>
      </c>
      <c r="H14" s="1530" t="n">
        <v>0.15283</v>
      </c>
      <c r="I14" s="1531" t="n">
        <v>9.390000000000001</v>
      </c>
      <c r="J14" s="1492" t="n">
        <v>25</v>
      </c>
      <c r="K14" s="1531" t="n">
        <v>126.24</v>
      </c>
      <c r="L14" s="1531" t="n">
        <v>0</v>
      </c>
      <c r="M14" s="1531" t="n">
        <v>66.15000000000001</v>
      </c>
      <c r="N14" s="1521" t="inlineStr">
        <is>
          <t>Summer Jun 1-Oct 31 / Winter Nov 1-May 31</t>
        </is>
      </c>
      <c r="O14" s="1521" t="inlineStr">
        <is>
          <t>NOT PUBLISHED — obtain from the tariff sheet</t>
        </is>
      </c>
      <c r="P14" s="1533" t="inlineStr">
        <is>
          <t>PARTIAL</t>
        </is>
      </c>
      <c r="Q14" s="1472" t="inlineStr">
        <is>
          <t>2026-08-01</t>
        </is>
      </c>
      <c r="R14" s="1228" t="inlineStr">
        <is>
          <t>https://www.sdge.com/sites/default/files/regulatory/Summary%20Table%20for%20Large%20Comm%208-1-26.pdf</t>
        </is>
      </c>
    </row>
    <row r="15" ht="49" customHeight="1" s="254">
      <c r="A15" s="1529" t="inlineStr">
        <is>
          <t>Liberty Utilities (CalPeco Electric)</t>
        </is>
      </c>
      <c r="B15" s="1472" t="inlineStr">
        <is>
          <t>TOU A-3 EV</t>
        </is>
      </c>
      <c r="C15" s="1492" t="n">
        <v>200</v>
      </c>
      <c r="D15" s="1492" t="n">
        <v>99999</v>
      </c>
      <c r="E15" s="1472" t="inlineStr">
        <is>
          <t>All</t>
        </is>
      </c>
      <c r="F15" s="1530" t="n">
        <v>0.52239</v>
      </c>
      <c r="G15" s="1530" t="n">
        <v>0.30281</v>
      </c>
      <c r="H15" s="1530" t="n">
        <v>0</v>
      </c>
      <c r="I15" s="1531" t="n">
        <v>0</v>
      </c>
      <c r="J15" s="1492" t="n">
        <v>0</v>
      </c>
      <c r="K15" s="1531" t="n">
        <v>0</v>
      </c>
      <c r="L15" s="1531" t="n">
        <v>0</v>
      </c>
      <c r="M15" s="1531" t="n">
        <v>850.8099999999999</v>
      </c>
      <c r="N15" s="1521" t="inlineStr">
        <is>
          <t>Summer / Winter — months NOT PUBLISHED</t>
        </is>
      </c>
      <c r="O15" s="1519" t="inlineStr">
        <is>
          <t>NOT PUBLISHED — cross-referenced to Special Conditions</t>
        </is>
      </c>
      <c r="P15" s="1533" t="inlineStr">
        <is>
          <t>PARTIAL</t>
        </is>
      </c>
      <c r="Q15" s="1472" t="inlineStr">
        <is>
          <t>2026-06-01</t>
        </is>
      </c>
      <c r="R15" s="1228" t="inlineStr">
        <is>
          <t>https://california.libertyutilities.com/uploads/CalPeco%20Tariffs/Schedule%20No.%20A-3%20TOU%20EV%20Large%20General%20Service.pdf</t>
        </is>
      </c>
    </row>
    <row r="16" ht="34" customHeight="1" s="254">
      <c r="A16" s="1529" t="inlineStr">
        <is>
          <t>Liberty Utilities (CalPeco Electric)</t>
        </is>
      </c>
      <c r="B16" s="1472" t="inlineStr">
        <is>
          <t>TOU A-2 EV</t>
        </is>
      </c>
      <c r="C16" s="1492" t="n">
        <v>0</v>
      </c>
      <c r="D16" s="1492" t="n">
        <v>200</v>
      </c>
      <c r="E16" s="1472" t="inlineStr">
        <is>
          <t>All</t>
        </is>
      </c>
      <c r="F16" s="1530" t="n">
        <v>0</v>
      </c>
      <c r="G16" s="1530" t="n">
        <v>0</v>
      </c>
      <c r="H16" s="1530" t="n">
        <v>0</v>
      </c>
      <c r="I16" s="1531" t="n">
        <v>0</v>
      </c>
      <c r="J16" s="1492" t="n">
        <v>0</v>
      </c>
      <c r="K16" s="1531" t="n">
        <v>0</v>
      </c>
      <c r="L16" s="1531" t="n">
        <v>0</v>
      </c>
      <c r="M16" s="1531" t="n">
        <v>201.85</v>
      </c>
      <c r="N16" s="1521" t="inlineStr">
        <is>
          <t>Summer / Winter — months NOT PUBLISHED</t>
        </is>
      </c>
      <c r="O16" s="1472" t="inlineStr">
        <is>
          <t>NOT PUBLISHED</t>
        </is>
      </c>
      <c r="P16" s="1533" t="inlineStr">
        <is>
          <t>PARTIAL</t>
        </is>
      </c>
      <c r="Q16" s="1472" t="inlineStr">
        <is>
          <t>2026-06-01</t>
        </is>
      </c>
      <c r="R16" s="1228" t="inlineStr">
        <is>
          <t>https://california.libertyutilities.com/uploads/CalPeco%20Tariffs/Schedule%20No%20A-2%20TOU%20EV.pdf</t>
        </is>
      </c>
    </row>
    <row r="17" ht="49" customHeight="1" s="254">
      <c r="A17" s="1529" t="inlineStr">
        <is>
          <t>Pacific Power (PacifiCorp)</t>
        </is>
      </c>
      <c r="B17" s="1472" t="inlineStr">
        <is>
          <t>AT-48 Large General TOU</t>
        </is>
      </c>
      <c r="C17" s="1492" t="n">
        <v>500</v>
      </c>
      <c r="D17" s="1492" t="n">
        <v>99999</v>
      </c>
      <c r="E17" s="1472" t="inlineStr">
        <is>
          <t>Secondary</t>
        </is>
      </c>
      <c r="F17" s="1530" t="n">
        <v>0.14448</v>
      </c>
      <c r="G17" s="1530" t="n">
        <v>0.13419</v>
      </c>
      <c r="H17" s="1530" t="n">
        <v>0</v>
      </c>
      <c r="I17" s="1531" t="n">
        <v>13.45</v>
      </c>
      <c r="J17" s="1492" t="n">
        <v>0</v>
      </c>
      <c r="K17" s="1531" t="n">
        <v>0</v>
      </c>
      <c r="L17" s="1531" t="n">
        <v>0</v>
      </c>
      <c r="M17" s="1531" t="n">
        <v>842.62</v>
      </c>
      <c r="N17" s="1472" t="inlineStr">
        <is>
          <t>None</t>
        </is>
      </c>
      <c r="O17" s="1521" t="inlineStr">
        <is>
          <t>On-peak adder +0.858c; off-peak credit -0.171c</t>
        </is>
      </c>
      <c r="P17" s="1532" t="inlineStr">
        <is>
          <t>VERIFIED</t>
        </is>
      </c>
      <c r="Q17" s="1472" t="inlineStr">
        <is>
          <t>2026-07-10</t>
        </is>
      </c>
      <c r="R17" s="1228" t="inlineStr">
        <is>
          <t>https://www.pacificpower.net/content/dam/pcorp/documents/en/pacificpower/rates-regulation/california/CA_Price_Summary.pdf</t>
        </is>
      </c>
    </row>
    <row r="18" ht="37.5" customHeight="1" s="254">
      <c r="A18" s="1529" t="inlineStr">
        <is>
          <t>Pacific Power (PacifiCorp)</t>
        </is>
      </c>
      <c r="B18" s="1472" t="inlineStr">
        <is>
          <t>A-32 General Service</t>
        </is>
      </c>
      <c r="C18" s="1492" t="n">
        <v>20</v>
      </c>
      <c r="D18" s="1492" t="n">
        <v>500</v>
      </c>
      <c r="E18" s="1472" t="inlineStr">
        <is>
          <t>Secondary</t>
        </is>
      </c>
      <c r="F18" s="1530" t="n">
        <v>0.20212</v>
      </c>
      <c r="G18" s="1530" t="n">
        <v>0.20212</v>
      </c>
      <c r="H18" s="1530" t="n">
        <v>0.20212</v>
      </c>
      <c r="I18" s="1531" t="n">
        <v>8.5</v>
      </c>
      <c r="J18" s="1492" t="n">
        <v>0</v>
      </c>
      <c r="K18" s="1531" t="n">
        <v>0</v>
      </c>
      <c r="L18" s="1531" t="n">
        <v>0</v>
      </c>
      <c r="M18" s="1531" t="n">
        <v>30.54</v>
      </c>
      <c r="N18" s="1472" t="inlineStr">
        <is>
          <t>None</t>
        </is>
      </c>
      <c r="O18" s="1521" t="inlineStr">
        <is>
          <t>NO time-of-use differentiation at all</t>
        </is>
      </c>
      <c r="P18" s="1532" t="inlineStr">
        <is>
          <t>VERIFIED</t>
        </is>
      </c>
      <c r="Q18" s="1472" t="inlineStr">
        <is>
          <t>2026-06-08</t>
        </is>
      </c>
      <c r="R18" s="1228" t="inlineStr">
        <is>
          <t>https://www.pacificpower.net/content/dam/pcorp/documents/en/pacificpower/rates-regulation/california/CA_Price_Summary.pdf</t>
        </is>
      </c>
    </row>
    <row r="19" ht="24.5" customHeight="1" s="254">
      <c r="A19" s="1529" t="inlineStr">
        <is>
          <t>Bear Valley Electric Service (BVES)</t>
        </is>
      </c>
      <c r="B19" s="1472" t="inlineStr">
        <is>
          <t>TOU-EV-3</t>
        </is>
      </c>
      <c r="C19" s="1492" t="n">
        <v>20</v>
      </c>
      <c r="D19" s="1492" t="n">
        <v>500</v>
      </c>
      <c r="E19" s="1472" t="inlineStr">
        <is>
          <t>All</t>
        </is>
      </c>
      <c r="F19" s="1530" t="n">
        <v>0.46315</v>
      </c>
      <c r="G19" s="1530" t="n">
        <v>0.37417</v>
      </c>
      <c r="H19" s="1530" t="n">
        <v>0.26005</v>
      </c>
      <c r="I19" s="1531" t="n">
        <v>9.5</v>
      </c>
      <c r="J19" s="1492" t="n">
        <v>0</v>
      </c>
      <c r="K19" s="1531" t="n">
        <v>0</v>
      </c>
      <c r="L19" s="1531" t="n">
        <v>0</v>
      </c>
      <c r="M19" s="1531" t="n">
        <v>0</v>
      </c>
      <c r="N19" s="1521" t="inlineStr">
        <is>
          <t>Summer / Winter — months NOT PUBLISHED</t>
        </is>
      </c>
      <c r="O19" s="1472" t="inlineStr">
        <is>
          <t>NOT PUBLISHED</t>
        </is>
      </c>
      <c r="P19" s="1533" t="inlineStr">
        <is>
          <t>PARTIAL</t>
        </is>
      </c>
      <c r="Q19" s="1472" t="inlineStr">
        <is>
          <t>2026-09-01</t>
        </is>
      </c>
      <c r="R19" s="1228" t="inlineStr">
        <is>
          <t>https://www.bvesinc.com/assets/documents/rates/8-24-26-549-e/schedule-no-tou-ev-3.pdf</t>
        </is>
      </c>
    </row>
    <row r="20" ht="49" customHeight="1" s="254">
      <c r="A20" s="1529" t="inlineStr">
        <is>
          <t>SMUD — Sacramento Municipal Utility District</t>
        </is>
      </c>
      <c r="B20" s="1472" t="inlineStr">
        <is>
          <t>EV_SR tier EV3 (&gt;20% util)</t>
        </is>
      </c>
      <c r="C20" s="1492" t="n">
        <v>20</v>
      </c>
      <c r="D20" s="1492" t="n">
        <v>99999</v>
      </c>
      <c r="E20" s="1472" t="inlineStr">
        <is>
          <t>Secondary</t>
        </is>
      </c>
      <c r="F20" s="1530" t="n">
        <v>0.2151</v>
      </c>
      <c r="G20" s="1530" t="n">
        <v>0.089</v>
      </c>
      <c r="H20" s="1530" t="n">
        <v>0.0638</v>
      </c>
      <c r="I20" s="1531" t="n">
        <v>0</v>
      </c>
      <c r="J20" s="1492" t="n">
        <v>25</v>
      </c>
      <c r="K20" s="1531" t="n">
        <v>333</v>
      </c>
      <c r="L20" s="1531" t="n">
        <v>0</v>
      </c>
      <c r="M20" s="1531" t="n">
        <v>0</v>
      </c>
      <c r="N20" s="1521" t="inlineStr">
        <is>
          <t>Summer Jun 1-Sep 30 / Non-summer Oct 1-May 31</t>
        </is>
      </c>
      <c r="O20" s="1519" t="inlineStr">
        <is>
          <t>Peak 4-9pm weekdays; off-peak saver 9am-4pm non-summer</t>
        </is>
      </c>
      <c r="P20" s="1532" t="inlineStr">
        <is>
          <t>VERIFIED</t>
        </is>
      </c>
      <c r="Q20" s="1472" t="inlineStr">
        <is>
          <t>2026-01-01</t>
        </is>
      </c>
      <c r="R20" s="1228" t="inlineStr">
        <is>
          <t>https://www.smud.org/-/media/Documents/Rate-Information/Rates/EV-Pilot-Tariff.ashx</t>
        </is>
      </c>
    </row>
    <row r="21" ht="49" customHeight="1" s="254">
      <c r="A21" s="1529" t="inlineStr">
        <is>
          <t>SMUD — Sacramento Municipal Utility District</t>
        </is>
      </c>
      <c r="B21" s="1472" t="inlineStr">
        <is>
          <t>EV_SR tier EV2 (10-20% util)</t>
        </is>
      </c>
      <c r="C21" s="1492" t="n">
        <v>20</v>
      </c>
      <c r="D21" s="1492" t="n">
        <v>99999</v>
      </c>
      <c r="E21" s="1472" t="inlineStr">
        <is>
          <t>Secondary</t>
        </is>
      </c>
      <c r="F21" s="1530" t="n">
        <v>0.2669</v>
      </c>
      <c r="G21" s="1530" t="n">
        <v>0.1088</v>
      </c>
      <c r="H21" s="1530" t="n">
        <v>0.0658</v>
      </c>
      <c r="I21" s="1531" t="n">
        <v>0</v>
      </c>
      <c r="J21" s="1492" t="n">
        <v>25</v>
      </c>
      <c r="K21" s="1531" t="n">
        <v>264</v>
      </c>
      <c r="L21" s="1531" t="n">
        <v>0</v>
      </c>
      <c r="M21" s="1531" t="n">
        <v>0</v>
      </c>
      <c r="N21" s="1521" t="inlineStr">
        <is>
          <t>Summer Jun 1-Sep 30 / Non-summer Oct 1-May 31</t>
        </is>
      </c>
      <c r="O21" s="1519" t="inlineStr">
        <is>
          <t>Peak 4-9pm weekdays; off-peak saver 9am-4pm non-summer</t>
        </is>
      </c>
      <c r="P21" s="1532" t="inlineStr">
        <is>
          <t>VERIFIED</t>
        </is>
      </c>
      <c r="Q21" s="1472" t="inlineStr">
        <is>
          <t>2026-01-01</t>
        </is>
      </c>
      <c r="R21" s="1228" t="inlineStr">
        <is>
          <t>https://www.smud.org/-/media/Documents/Rate-Information/Rates/EV-Pilot-Tariff.ashx</t>
        </is>
      </c>
    </row>
    <row r="22" ht="49" customHeight="1" s="254">
      <c r="A22" s="1529" t="inlineStr">
        <is>
          <t>SMUD — Sacramento Municipal Utility District</t>
        </is>
      </c>
      <c r="B22" s="1472" t="inlineStr">
        <is>
          <t>EV_SR tier EV1 (&lt;10% util)</t>
        </is>
      </c>
      <c r="C22" s="1492" t="n">
        <v>20</v>
      </c>
      <c r="D22" s="1492" t="n">
        <v>99999</v>
      </c>
      <c r="E22" s="1472" t="inlineStr">
        <is>
          <t>Secondary</t>
        </is>
      </c>
      <c r="F22" s="1530" t="n">
        <v>0.5198</v>
      </c>
      <c r="G22" s="1530" t="n">
        <v>0.2051</v>
      </c>
      <c r="H22" s="1530" t="n">
        <v>0.115</v>
      </c>
      <c r="I22" s="1531" t="n">
        <v>0</v>
      </c>
      <c r="J22" s="1492" t="n">
        <v>25</v>
      </c>
      <c r="K22" s="1531" t="n">
        <v>120</v>
      </c>
      <c r="L22" s="1531" t="n">
        <v>0</v>
      </c>
      <c r="M22" s="1531" t="n">
        <v>0</v>
      </c>
      <c r="N22" s="1521" t="inlineStr">
        <is>
          <t>Summer Jun 1-Sep 30 / Non-summer Oct 1-May 31</t>
        </is>
      </c>
      <c r="O22" s="1519" t="inlineStr">
        <is>
          <t>Peak 4-9pm weekdays; off-peak saver 9am-4pm non-summer</t>
        </is>
      </c>
      <c r="P22" s="1532" t="inlineStr">
        <is>
          <t>VERIFIED</t>
        </is>
      </c>
      <c r="Q22" s="1472" t="inlineStr">
        <is>
          <t>2026-01-01</t>
        </is>
      </c>
      <c r="R22" s="1228" t="inlineStr">
        <is>
          <t>https://www.smud.org/-/media/Documents/Rate-Information/Rates/EV-Pilot-Tariff.ashx</t>
        </is>
      </c>
    </row>
    <row r="23" ht="26" customHeight="1" s="254">
      <c r="A23" s="1529" t="inlineStr">
        <is>
          <t>SMUD — Sacramento Municipal Utility District</t>
        </is>
      </c>
      <c r="B23" s="1472" t="inlineStr">
        <is>
          <t>CI-TOD4 (non-EV alternative)</t>
        </is>
      </c>
      <c r="C23" s="1492" t="n">
        <v>1000</v>
      </c>
      <c r="D23" s="1492" t="n">
        <v>99999</v>
      </c>
      <c r="E23" s="1472" t="inlineStr">
        <is>
          <t>Secondary</t>
        </is>
      </c>
      <c r="F23" s="1530" t="n">
        <v>0.2438</v>
      </c>
      <c r="G23" s="1530" t="n">
        <v>0.1186</v>
      </c>
      <c r="H23" s="1530" t="n">
        <v>0.0788</v>
      </c>
      <c r="I23" s="1531" t="n">
        <v>17.66</v>
      </c>
      <c r="J23" s="1492" t="n">
        <v>0</v>
      </c>
      <c r="K23" s="1531" t="n">
        <v>0</v>
      </c>
      <c r="L23" s="1531" t="n">
        <v>0</v>
      </c>
      <c r="M23" s="1531" t="n">
        <v>4014.3</v>
      </c>
      <c r="N23" s="1521" t="inlineStr">
        <is>
          <t>Summer Jun 1-Sep 30 / Non-summer Oct 1-May 31</t>
        </is>
      </c>
      <c r="O23" s="1521" t="inlineStr">
        <is>
          <t>Peak 4-9pm weekdays</t>
        </is>
      </c>
      <c r="P23" s="1532" t="inlineStr">
        <is>
          <t>VERIFIED</t>
        </is>
      </c>
      <c r="Q23" s="1472" t="inlineStr">
        <is>
          <t>2026-01-01</t>
        </is>
      </c>
      <c r="R23" s="1228" t="inlineStr">
        <is>
          <t>https://www.smud.org/-/media/Documents/Rate-Information/Rates/CI-TOD4.ashx</t>
        </is>
      </c>
    </row>
    <row r="24" ht="24.5" customHeight="1" s="254">
      <c r="A24" s="1529" t="inlineStr">
        <is>
          <t>LADWP — Los Angeles Dept of Water &amp; Power</t>
        </is>
      </c>
      <c r="B24" s="1472" t="inlineStr">
        <is>
          <t>A-2 (2009 base rates)</t>
        </is>
      </c>
      <c r="C24" s="1492" t="n">
        <v>30</v>
      </c>
      <c r="D24" s="1492" t="n">
        <v>99999</v>
      </c>
      <c r="E24" s="1472" t="inlineStr">
        <is>
          <t>4.8 kV</t>
        </is>
      </c>
      <c r="F24" s="1530" t="n">
        <v>0.04679</v>
      </c>
      <c r="G24" s="1530" t="n">
        <v>0.01879</v>
      </c>
      <c r="H24" s="1530" t="n">
        <v>0</v>
      </c>
      <c r="I24" s="1531" t="n">
        <v>14</v>
      </c>
      <c r="J24" s="1492" t="n">
        <v>0</v>
      </c>
      <c r="K24" s="1531" t="n">
        <v>0</v>
      </c>
      <c r="L24" s="1531" t="n">
        <v>0</v>
      </c>
      <c r="M24" s="1531" t="n">
        <v>25</v>
      </c>
      <c r="N24" s="1472" t="inlineStr">
        <is>
          <t>High Jun-Sep / Low Oct-May</t>
        </is>
      </c>
      <c r="O24" s="1472" t="inlineStr">
        <is>
          <t>NOT PUBLISHED</t>
        </is>
      </c>
      <c r="P24" s="1533" t="inlineStr">
        <is>
          <t>PARTIAL</t>
        </is>
      </c>
      <c r="Q24" s="1472" t="inlineStr">
        <is>
          <t>2009-07-01</t>
        </is>
      </c>
      <c r="R24" s="1228" t="inlineStr">
        <is>
          <t>https://www.ladwp.com/sites/default/files/documents/LADWP_Electric_Rates.pdf</t>
        </is>
      </c>
    </row>
    <row r="25" ht="49" customHeight="1" s="254">
      <c r="A25" s="1529" t="inlineStr">
        <is>
          <t>IID — Imperial Irrigation District</t>
        </is>
      </c>
      <c r="B25" s="1472" t="inlineStr">
        <is>
          <t>TOU-GL</t>
        </is>
      </c>
      <c r="C25" s="1492" t="n">
        <v>100</v>
      </c>
      <c r="D25" s="1492" t="n">
        <v>99999</v>
      </c>
      <c r="E25" s="1472" t="inlineStr">
        <is>
          <t>All</t>
        </is>
      </c>
      <c r="F25" s="1530" t="n">
        <v>0.2873</v>
      </c>
      <c r="G25" s="1530" t="n">
        <v>0.08210000000000001</v>
      </c>
      <c r="H25" s="1530" t="n">
        <v>0</v>
      </c>
      <c r="I25" s="1531" t="n">
        <v>13</v>
      </c>
      <c r="J25" s="1492" t="n">
        <v>0</v>
      </c>
      <c r="K25" s="1531" t="n">
        <v>0</v>
      </c>
      <c r="L25" s="1531" t="n">
        <v>0</v>
      </c>
      <c r="M25" s="1531" t="n">
        <v>140</v>
      </c>
      <c r="N25" s="1472" t="inlineStr">
        <is>
          <t>Summer May-Oct / Winter Nov-Apr</t>
        </is>
      </c>
      <c r="O25" s="1519" t="inlineStr">
        <is>
          <t>Summer on-peak 4-9pm M-F; winter 5-9am &amp; 5-9pm M-F</t>
        </is>
      </c>
      <c r="P25" s="1532" t="inlineStr">
        <is>
          <t>VERIFIED</t>
        </is>
      </c>
      <c r="Q25" s="1472" t="inlineStr">
        <is>
          <t>2026-01-01</t>
        </is>
      </c>
      <c r="R25" s="1228" t="inlineStr">
        <is>
          <t>https://www.iid.com/home/showpublisheddocument/22777/638738285500970000</t>
        </is>
      </c>
    </row>
    <row r="26" ht="37.5" customHeight="1" s="254">
      <c r="A26" s="1529" t="inlineStr">
        <is>
          <t>Silicon Valley Power (Santa Clara)</t>
        </is>
      </c>
      <c r="B26" s="1472" t="inlineStr">
        <is>
          <t>CB-1 TOU</t>
        </is>
      </c>
      <c r="C26" s="1492" t="n">
        <v>0</v>
      </c>
      <c r="D26" s="1492" t="n">
        <v>4000</v>
      </c>
      <c r="E26" s="1472" t="inlineStr">
        <is>
          <t>Secondary</t>
        </is>
      </c>
      <c r="F26" s="1530" t="n">
        <v>0.1849</v>
      </c>
      <c r="G26" s="1530" t="n">
        <v>0.14217</v>
      </c>
      <c r="H26" s="1530" t="n">
        <v>0</v>
      </c>
      <c r="I26" s="1531" t="n">
        <v>12.14</v>
      </c>
      <c r="J26" s="1492" t="n">
        <v>0</v>
      </c>
      <c r="K26" s="1531" t="n">
        <v>0</v>
      </c>
      <c r="L26" s="1531" t="n">
        <v>0</v>
      </c>
      <c r="M26" s="1531" t="n">
        <v>100.45</v>
      </c>
      <c r="N26" s="1472" t="inlineStr">
        <is>
          <t>None</t>
        </is>
      </c>
      <c r="O26" s="1521" t="inlineStr">
        <is>
          <t>Peak 6am-10pm Mon-Sat — 16-hour, 6-day window</t>
        </is>
      </c>
      <c r="P26" s="1532" t="inlineStr">
        <is>
          <t>VERIFIED</t>
        </is>
      </c>
      <c r="Q26" s="1472" t="inlineStr">
        <is>
          <t>2026-01-01</t>
        </is>
      </c>
      <c r="R26" s="1228" t="inlineStr">
        <is>
          <t>https://www.siliconvalleypower.com/home/showpublisheddocument/6251/639032065160570000</t>
        </is>
      </c>
    </row>
    <row r="27" ht="49" customHeight="1" s="254">
      <c r="A27" s="1529" t="inlineStr">
        <is>
          <t>Riverside Public Utilities</t>
        </is>
      </c>
      <c r="B27" s="1472" t="inlineStr">
        <is>
          <t>TOU Large General &amp; Industrial</t>
        </is>
      </c>
      <c r="C27" s="1492" t="n">
        <v>150</v>
      </c>
      <c r="D27" s="1492" t="n">
        <v>99999</v>
      </c>
      <c r="E27" s="1472" t="inlineStr">
        <is>
          <t>All</t>
        </is>
      </c>
      <c r="F27" s="1530" t="n">
        <v>0.1295</v>
      </c>
      <c r="G27" s="1530" t="n">
        <v>0.0907</v>
      </c>
      <c r="H27" s="1530" t="n">
        <v>0</v>
      </c>
      <c r="I27" s="1531" t="n">
        <v>14.12</v>
      </c>
      <c r="J27" s="1492" t="n">
        <v>0</v>
      </c>
      <c r="K27" s="1531" t="n">
        <v>0</v>
      </c>
      <c r="L27" s="1531" t="n">
        <v>0</v>
      </c>
      <c r="M27" s="1531" t="n">
        <v>742.28</v>
      </c>
      <c r="N27" s="1521" t="inlineStr">
        <is>
          <t>Summer Jun 1-Sep 30 / Winter Oct 1-May 31</t>
        </is>
      </c>
      <c r="O27" s="1519" t="inlineStr">
        <is>
          <t>Summer on-peak 12-6pm wkdy; winter on-peak 5-9pm wkdy</t>
        </is>
      </c>
      <c r="P27" s="1532" t="inlineStr">
        <is>
          <t>VERIFIED</t>
        </is>
      </c>
      <c r="Q27" s="1472" t="inlineStr">
        <is>
          <t>2026-01-01</t>
        </is>
      </c>
      <c r="R27" s="1228" t="inlineStr">
        <is>
          <t>https://www.riversideca.gov/utilities/sites/riversideca.gov.utilities/files/pdf/rates-electric/2024/Electric%20Schedule%20TOU%20-%20Effective%2001-1-24%20Final.pdf</t>
        </is>
      </c>
    </row>
    <row r="28" ht="52.5" customHeight="1" s="254">
      <c r="A28" s="1529" t="inlineStr">
        <is>
          <t>Anaheim Public Utilities</t>
        </is>
      </c>
      <c r="B28" s="1472" t="inlineStr">
        <is>
          <t>Anaheim Schedule TOU</t>
        </is>
      </c>
      <c r="C28" s="1492" t="n">
        <v>500</v>
      </c>
      <c r="D28" s="1492" t="n">
        <v>99999</v>
      </c>
      <c r="E28" s="1472" t="inlineStr">
        <is>
          <t>&lt;=50 kV</t>
        </is>
      </c>
      <c r="F28" s="1530" t="n">
        <v>0.148</v>
      </c>
      <c r="G28" s="1530" t="n">
        <v>0.07870000000000001</v>
      </c>
      <c r="H28" s="1530" t="n">
        <v>0</v>
      </c>
      <c r="I28" s="1531" t="n">
        <v>24.34</v>
      </c>
      <c r="J28" s="1492" t="n">
        <v>0</v>
      </c>
      <c r="K28" s="1531" t="n">
        <v>0</v>
      </c>
      <c r="L28" s="1531" t="n">
        <v>0</v>
      </c>
      <c r="M28" s="1531" t="n">
        <v>342.12</v>
      </c>
      <c r="N28" s="1521" t="inlineStr">
        <is>
          <t>Summer Jul 1-Nov 1 / Winter Nov 1-Jul 1</t>
        </is>
      </c>
      <c r="O28" s="1519" t="inlineStr">
        <is>
          <t>Summer on-peak 4-9pm wkdy; mid-peak 12-4pm &amp; 9-11pm</t>
        </is>
      </c>
      <c r="P28" s="1532" t="inlineStr">
        <is>
          <t>VERIFIED</t>
        </is>
      </c>
      <c r="Q28" s="1472" t="inlineStr">
        <is>
          <t>2023-04-03</t>
        </is>
      </c>
      <c r="R28" s="1228" t="inlineStr">
        <is>
          <t>https://local.anaheim.net/docs_agend/questys_pub/40932/40962/40963/41099/41102/2.%20Current%20Electric%20Rates,%20Rules%20and%20Regulations%20Rate%20Schedules%20and%20Rule%20Nos.%2026%20and%202941102.pdf</t>
        </is>
      </c>
    </row>
    <row r="29" ht="37.5" customHeight="1" s="254">
      <c r="A29" s="1529" t="inlineStr">
        <is>
          <t>Glendale Water and Power</t>
        </is>
      </c>
      <c r="B29" s="1472" t="inlineStr">
        <is>
          <t>PC-1-B TOU</t>
        </is>
      </c>
      <c r="C29" s="1492" t="n">
        <v>500</v>
      </c>
      <c r="D29" s="1492" t="n">
        <v>99999</v>
      </c>
      <c r="E29" s="1472" t="inlineStr">
        <is>
          <t>All</t>
        </is>
      </c>
      <c r="F29" s="1530" t="n">
        <v>0.3892</v>
      </c>
      <c r="G29" s="1530" t="n">
        <v>0.1384</v>
      </c>
      <c r="H29" s="1530" t="n">
        <v>0</v>
      </c>
      <c r="I29" s="1531" t="n">
        <v>28.3</v>
      </c>
      <c r="J29" s="1492" t="n">
        <v>0</v>
      </c>
      <c r="K29" s="1531" t="n">
        <v>0</v>
      </c>
      <c r="L29" s="1531" t="n">
        <v>0</v>
      </c>
      <c r="M29" s="1531" t="n">
        <v>0</v>
      </c>
      <c r="N29" s="1472" t="inlineStr">
        <is>
          <t>High Jul-Oct / Low Nov-Jun</t>
        </is>
      </c>
      <c r="O29" s="1521" t="inlineStr">
        <is>
          <t>NOT PUBLISHED — note charge is per kW per DAY</t>
        </is>
      </c>
      <c r="P29" s="1533" t="inlineStr">
        <is>
          <t>PARTIAL</t>
        </is>
      </c>
      <c r="Q29" s="1472" t="inlineStr">
        <is>
          <t>2024-01-01</t>
        </is>
      </c>
      <c r="R29" s="1228" t="inlineStr">
        <is>
          <t>https://www.glendaleca.gov/government/departments/glendale-water-and-power/rates/large-business-pc-1-electric-rates</t>
        </is>
      </c>
    </row>
    <row r="30" ht="37.5" customHeight="1" s="254">
      <c r="A30" s="1529" t="inlineStr">
        <is>
          <t>Burbank Water and Power</t>
        </is>
      </c>
      <c r="B30" s="1472" t="inlineStr">
        <is>
          <t>XL-TOU</t>
        </is>
      </c>
      <c r="C30" s="1492" t="n">
        <v>1000</v>
      </c>
      <c r="D30" s="1492" t="n">
        <v>99999</v>
      </c>
      <c r="E30" s="1472" t="inlineStr">
        <is>
          <t>All</t>
        </is>
      </c>
      <c r="F30" s="1530" t="n">
        <v>0.2131</v>
      </c>
      <c r="G30" s="1530" t="n">
        <v>0.0896</v>
      </c>
      <c r="H30" s="1530" t="n">
        <v>0</v>
      </c>
      <c r="I30" s="1531" t="n">
        <v>20</v>
      </c>
      <c r="J30" s="1492" t="n">
        <v>0</v>
      </c>
      <c r="K30" s="1531" t="n">
        <v>0</v>
      </c>
      <c r="L30" s="1531" t="n">
        <v>0</v>
      </c>
      <c r="M30" s="1531" t="n">
        <v>0</v>
      </c>
      <c r="N30" s="1472" t="inlineStr">
        <is>
          <t>Summer / Winter</t>
        </is>
      </c>
      <c r="O30" s="1521" t="inlineStr">
        <is>
          <t>NOT PUBLISHED — demand billed per kVA not kW</t>
        </is>
      </c>
      <c r="P30" s="1533" t="inlineStr">
        <is>
          <t>PARTIAL</t>
        </is>
      </c>
      <c r="Q30" s="1472" t="inlineStr">
        <is>
          <t>2026-01-01</t>
        </is>
      </c>
      <c r="R30" s="1228" t="inlineStr">
        <is>
          <t>https://www.burbankwaterandpower.com/documents/d/guest/Summary-of-Electric-Rates-by-Customer-Type_Commercial_all</t>
        </is>
      </c>
    </row>
    <row r="31" ht="24.5" customHeight="1" s="254">
      <c r="A31" s="1529" t="inlineStr">
        <is>
          <t>Pasadena Water and Power</t>
        </is>
      </c>
      <c r="B31" s="1472" t="inlineStr">
        <is>
          <t>L-1 Secondary</t>
        </is>
      </c>
      <c r="C31" s="1492" t="n">
        <v>0</v>
      </c>
      <c r="D31" s="1492" t="n">
        <v>99999</v>
      </c>
      <c r="E31" s="1472" t="inlineStr">
        <is>
          <t>Secondary</t>
        </is>
      </c>
      <c r="F31" s="1530" t="n">
        <v>0.13409</v>
      </c>
      <c r="G31" s="1530" t="n">
        <v>0.12489</v>
      </c>
      <c r="H31" s="1530" t="n">
        <v>0</v>
      </c>
      <c r="I31" s="1531" t="n">
        <v>18.76</v>
      </c>
      <c r="J31" s="1492" t="n">
        <v>0</v>
      </c>
      <c r="K31" s="1531" t="n">
        <v>0</v>
      </c>
      <c r="L31" s="1531" t="n">
        <v>0</v>
      </c>
      <c r="M31" s="1531" t="n">
        <v>1500</v>
      </c>
      <c r="N31" s="1472" t="inlineStr">
        <is>
          <t>Summer / Winter</t>
        </is>
      </c>
      <c r="O31" s="1472" t="inlineStr">
        <is>
          <t>NOT PUBLISHED</t>
        </is>
      </c>
      <c r="P31" s="1533" t="inlineStr">
        <is>
          <t>PARTIAL</t>
        </is>
      </c>
      <c r="Q31" s="1472" t="inlineStr">
        <is>
          <t>2025-10-01</t>
        </is>
      </c>
      <c r="R31" s="1228" t="inlineStr">
        <is>
          <t>https://pwp.cityofpasadena.net/wp-content/uploads/2025/09/Summary-Rates-2025_10.pdf</t>
        </is>
      </c>
    </row>
    <row r="32" ht="24.5" customHeight="1" s="254">
      <c r="A32" s="1529" t="inlineStr">
        <is>
          <t>Roseville Electric Utility</t>
        </is>
      </c>
      <c r="B32" s="1472" t="inlineStr">
        <is>
          <t>GS-4</t>
        </is>
      </c>
      <c r="C32" s="1492" t="n">
        <v>1000</v>
      </c>
      <c r="D32" s="1492" t="n">
        <v>99999</v>
      </c>
      <c r="E32" s="1472" t="inlineStr">
        <is>
          <t>All</t>
        </is>
      </c>
      <c r="F32" s="1530" t="n">
        <v>0.1969</v>
      </c>
      <c r="G32" s="1530" t="n">
        <v>0.095</v>
      </c>
      <c r="H32" s="1530" t="n">
        <v>0</v>
      </c>
      <c r="I32" s="1531" t="n">
        <v>11.51</v>
      </c>
      <c r="J32" s="1492" t="n">
        <v>0</v>
      </c>
      <c r="K32" s="1531" t="n">
        <v>0</v>
      </c>
      <c r="L32" s="1531" t="n">
        <v>0</v>
      </c>
      <c r="M32" s="1531" t="n">
        <v>0</v>
      </c>
      <c r="N32" s="1472" t="inlineStr">
        <is>
          <t>Summer / Winter</t>
        </is>
      </c>
      <c r="O32" s="1472" t="inlineStr">
        <is>
          <t>NOT PUBLISHED</t>
        </is>
      </c>
      <c r="P32" s="1533" t="inlineStr">
        <is>
          <t>PARTIAL</t>
        </is>
      </c>
      <c r="Q32" s="1472" t="inlineStr">
        <is>
          <t>2026-07-01</t>
        </is>
      </c>
      <c r="R32" s="1228" t="inlineStr">
        <is>
          <t>https://www.roseville.ca.gov/electric_utility/rates/index.php</t>
        </is>
      </c>
    </row>
    <row r="33" ht="60" customHeight="1" s="254">
      <c r="A33" s="1529" t="inlineStr">
        <is>
          <t>City of Palo Alto Utilities</t>
        </is>
      </c>
      <c r="B33" s="1472" t="inlineStr">
        <is>
          <t>E-4</t>
        </is>
      </c>
      <c r="C33" s="1492" t="n">
        <v>0</v>
      </c>
      <c r="D33" s="1492" t="n">
        <v>999</v>
      </c>
      <c r="E33" s="1472" t="inlineStr">
        <is>
          <t>Secondary</t>
        </is>
      </c>
      <c r="F33" s="1530" t="n">
        <v>0.14248</v>
      </c>
      <c r="G33" s="1530" t="n">
        <v>0.14248</v>
      </c>
      <c r="H33" s="1530" t="n">
        <v>0.14248</v>
      </c>
      <c r="I33" s="1531" t="n">
        <v>39.31</v>
      </c>
      <c r="J33" s="1492" t="n">
        <v>0</v>
      </c>
      <c r="K33" s="1531" t="n">
        <v>0</v>
      </c>
      <c r="L33" s="1531" t="n">
        <v>0</v>
      </c>
      <c r="M33" s="1531" t="n">
        <v>131.92</v>
      </c>
      <c r="N33" s="1519" t="inlineStr">
        <is>
          <t>Summer May 1–Oct 31 / winter Nov 1–Apr 30 — energy 0.16553 / 0.11942, demand 51.37 / 27.25; entered season-weighted (six months each)</t>
        </is>
      </c>
      <c r="O33" s="1519" t="inlineStr">
        <is>
          <t>None — flat within each season (E-4-TOU is the time-of-use option)</t>
        </is>
      </c>
      <c r="P33" s="1533" t="inlineStr">
        <is>
          <t>VERIFIED</t>
        </is>
      </c>
      <c r="Q33" s="1472" t="inlineStr">
        <is>
          <t>2026-07-01</t>
        </is>
      </c>
      <c r="R33" s="1228" t="inlineStr">
        <is>
          <t>https://www.paloalto.gov/files/assets/public/v/5/utilities/rates-schedules-for-utilities/commercial-utility-rates/e-4-effective-2025-07-01.pdf</t>
        </is>
      </c>
    </row>
    <row r="34" ht="26" customHeight="1" s="254">
      <c r="A34" s="1529" t="inlineStr">
        <is>
          <t>TID — Turlock Irrigation District</t>
        </is>
      </c>
      <c r="B34" s="1472" t="inlineStr">
        <is>
          <t>Schedule HT</t>
        </is>
      </c>
      <c r="C34" s="1492" t="n">
        <v>500</v>
      </c>
      <c r="D34" s="1492" t="n">
        <v>2999</v>
      </c>
      <c r="E34" s="1472" t="inlineStr">
        <is>
          <t>All</t>
        </is>
      </c>
      <c r="F34" s="1530" t="n">
        <v>0.1464</v>
      </c>
      <c r="G34" s="1530" t="n">
        <v>0.0892</v>
      </c>
      <c r="H34" s="1530" t="n">
        <v>0</v>
      </c>
      <c r="I34" s="1531" t="n">
        <v>16</v>
      </c>
      <c r="J34" s="1492" t="n">
        <v>0</v>
      </c>
      <c r="K34" s="1531" t="n">
        <v>0</v>
      </c>
      <c r="L34" s="1531" t="n">
        <v>0</v>
      </c>
      <c r="M34" s="1531" t="n">
        <v>300</v>
      </c>
      <c r="N34" s="1472" t="inlineStr">
        <is>
          <t>Summer / Winter</t>
        </is>
      </c>
      <c r="O34" s="1521" t="inlineStr">
        <is>
          <t>On-peak 12pm-9pm Mon-Fri</t>
        </is>
      </c>
      <c r="P34" s="1532" t="inlineStr">
        <is>
          <t>VERIFIED</t>
        </is>
      </c>
      <c r="Q34" s="1472" t="inlineStr">
        <is>
          <t>2026-01-01</t>
        </is>
      </c>
      <c r="R34" s="1228" t="inlineStr">
        <is>
          <t>https://www.tid.org/wp-content/uploads/2024/10/HT-Rate-Tariff-Effective-2025.pdf</t>
        </is>
      </c>
    </row>
    <row r="35" ht="24.5" customHeight="1" s="254">
      <c r="A35" s="1529" t="inlineStr">
        <is>
          <t>Alameda Municipal Power</t>
        </is>
      </c>
      <c r="B35" s="1472" t="inlineStr">
        <is>
          <t>Schedule A-3</t>
        </is>
      </c>
      <c r="C35" s="1492" t="n">
        <v>500</v>
      </c>
      <c r="D35" s="1492" t="n">
        <v>4000</v>
      </c>
      <c r="E35" s="1472" t="inlineStr">
        <is>
          <t>All</t>
        </is>
      </c>
      <c r="F35" s="1530" t="n">
        <v>0.14673</v>
      </c>
      <c r="G35" s="1530" t="n">
        <v>0.14673</v>
      </c>
      <c r="H35" s="1530" t="n">
        <v>0.14673</v>
      </c>
      <c r="I35" s="1531" t="n">
        <v>17.96</v>
      </c>
      <c r="J35" s="1492" t="n">
        <v>0</v>
      </c>
      <c r="K35" s="1531" t="n">
        <v>0</v>
      </c>
      <c r="L35" s="1531" t="n">
        <v>0</v>
      </c>
      <c r="M35" s="1531" t="n">
        <v>573.6</v>
      </c>
      <c r="N35" s="1472" t="inlineStr">
        <is>
          <t>None</t>
        </is>
      </c>
      <c r="O35" s="1472" t="inlineStr">
        <is>
          <t>Flat, non-TOU</t>
        </is>
      </c>
      <c r="P35" s="1532" t="inlineStr">
        <is>
          <t>VERIFIED</t>
        </is>
      </c>
      <c r="Q35" s="1472" t="inlineStr">
        <is>
          <t>2025-07-01</t>
        </is>
      </c>
      <c r="R35" s="1228" t="inlineStr">
        <is>
          <t>https://www.alamedamp.com/DocumentCenter/View/1477/A3-Rate-Schedule-Effective-2025-7-1</t>
        </is>
      </c>
    </row>
    <row r="36" ht="26" customHeight="1" s="254">
      <c r="A36" s="1529" t="inlineStr">
        <is>
          <t>Azusa Light &amp; Water</t>
        </is>
      </c>
      <c r="B36" s="1472" t="inlineStr">
        <is>
          <t>Azusa Schedule TOU</t>
        </is>
      </c>
      <c r="C36" s="1492" t="n">
        <v>200</v>
      </c>
      <c r="D36" s="1492" t="n">
        <v>99999</v>
      </c>
      <c r="E36" s="1472" t="inlineStr">
        <is>
          <t>All</t>
        </is>
      </c>
      <c r="F36" s="1530" t="n">
        <v>0.15455</v>
      </c>
      <c r="G36" s="1530" t="n">
        <v>0.07026</v>
      </c>
      <c r="H36" s="1530" t="n">
        <v>0</v>
      </c>
      <c r="I36" s="1531" t="n">
        <v>12.01</v>
      </c>
      <c r="J36" s="1492" t="n">
        <v>0</v>
      </c>
      <c r="K36" s="1531" t="n">
        <v>0</v>
      </c>
      <c r="L36" s="1531" t="n">
        <v>0</v>
      </c>
      <c r="M36" s="1531" t="n">
        <v>42.15</v>
      </c>
      <c r="N36" s="1472" t="inlineStr">
        <is>
          <t>Summer / Winter</t>
        </is>
      </c>
      <c r="O36" s="1521" t="inlineStr">
        <is>
          <t>Off-peak demand charge is ZERO</t>
        </is>
      </c>
      <c r="P36" s="1532" t="inlineStr">
        <is>
          <t>VERIFIED</t>
        </is>
      </c>
      <c r="Q36" s="1472" t="inlineStr">
        <is>
          <t>2026-06-01</t>
        </is>
      </c>
      <c r="R36" s="1228" t="inlineStr">
        <is>
          <t>https://azusaca.gov/DocumentCenter/View/50568/Rules-and-Regulations-6-1-2026</t>
        </is>
      </c>
    </row>
    <row r="37" ht="82.5" customHeight="1" s="254">
      <c r="A37" s="1529" t="inlineStr">
        <is>
          <t>SCE — Southern California Edison</t>
        </is>
      </c>
      <c r="B37" s="1472" t="inlineStr">
        <is>
          <t>TOU-EV-9 PLACEHOLDER &lt;2kV</t>
        </is>
      </c>
      <c r="C37" s="1492" t="n">
        <v>500</v>
      </c>
      <c r="D37" s="1492" t="n">
        <v>99999</v>
      </c>
      <c r="E37" s="1472" t="inlineStr">
        <is>
          <t>Below 2 kV</t>
        </is>
      </c>
      <c r="F37" s="1530" t="n">
        <v>0</v>
      </c>
      <c r="G37" s="1530" t="n">
        <v>0</v>
      </c>
      <c r="H37" s="1530" t="n">
        <v>0</v>
      </c>
      <c r="I37" s="1531" t="n">
        <v>0</v>
      </c>
      <c r="J37" s="1492" t="n">
        <v>0</v>
      </c>
      <c r="K37" s="1531" t="n">
        <v>0</v>
      </c>
      <c r="L37" s="1531" t="n">
        <v>0</v>
      </c>
      <c r="M37" s="1531" t="n">
        <v>0</v>
      </c>
      <c r="N37" s="1472" t="inlineStr">
        <is>
          <t>Summer Jun-Sep / Winter Oct-May</t>
        </is>
      </c>
      <c r="O37" s="1519" t="inlineStr">
        <is>
          <t>Summer on-peak 4-9pm wkdy. Winter period boundaries DISPUTED between sources</t>
        </is>
      </c>
      <c r="P37" s="1231" t="inlineStr">
        <is>
          <t>SUPERSEDED 2026-09-25 — 2021 vintage; use the VERIFIED TOU-EV row above. Zeroed so nothing reads it.</t>
        </is>
      </c>
      <c r="Q37" s="1472" t="inlineStr">
        <is>
          <t>2021-10-01</t>
        </is>
      </c>
      <c r="R37" s="1228" t="inlineStr">
        <is>
          <t>https://www.cpuc.ca.gov/-/media/cpuc-website/divisions/energy-division/documents/transportation-electrification/sce-ev-rates-updated-oct-2021.pdf</t>
        </is>
      </c>
    </row>
    <row r="38" ht="82.5" customHeight="1" s="254">
      <c r="A38" s="1529" t="inlineStr">
        <is>
          <t>SCE — Southern California Edison</t>
        </is>
      </c>
      <c r="B38" s="1472" t="inlineStr">
        <is>
          <t>TOU-EV-9 PLACEHOLDER 2-50kV</t>
        </is>
      </c>
      <c r="C38" s="1492" t="n">
        <v>500</v>
      </c>
      <c r="D38" s="1492" t="n">
        <v>99999</v>
      </c>
      <c r="E38" s="1472" t="inlineStr">
        <is>
          <t>2-50 kV</t>
        </is>
      </c>
      <c r="F38" s="1530" t="n">
        <v>0</v>
      </c>
      <c r="G38" s="1530" t="n">
        <v>0</v>
      </c>
      <c r="H38" s="1530" t="n">
        <v>0</v>
      </c>
      <c r="I38" s="1531" t="n">
        <v>0</v>
      </c>
      <c r="J38" s="1492" t="n">
        <v>0</v>
      </c>
      <c r="K38" s="1531" t="n">
        <v>0</v>
      </c>
      <c r="L38" s="1531" t="n">
        <v>0</v>
      </c>
      <c r="M38" s="1531" t="n">
        <v>0</v>
      </c>
      <c r="N38" s="1472" t="inlineStr">
        <is>
          <t>Summer Jun-Sep / Winter Oct-May</t>
        </is>
      </c>
      <c r="O38" s="1521" t="inlineStr">
        <is>
          <t>Summer on-peak 4-9pm wkdy</t>
        </is>
      </c>
      <c r="P38" s="1231" t="inlineStr">
        <is>
          <t>SUPERSEDED 2026-09-25 — 2021 vintage; use the VERIFIED TOU-EV row above. Zeroed so nothing reads it.</t>
        </is>
      </c>
      <c r="Q38" s="1472" t="inlineStr">
        <is>
          <t>2021-10-01</t>
        </is>
      </c>
      <c r="R38" s="1228" t="inlineStr">
        <is>
          <t>https://www.cpuc.ca.gov/-/media/cpuc-website/divisions/energy-division/documents/transportation-electrification/sce-ev-rates-updated-oct-2021.pdf</t>
        </is>
      </c>
    </row>
    <row r="39" ht="82.5" customHeight="1" s="254">
      <c r="A39" s="1529" t="inlineStr">
        <is>
          <t>SCE — Southern California Edison</t>
        </is>
      </c>
      <c r="B39" s="1472" t="inlineStr">
        <is>
          <t>TOU-EV-8 PLACEHOLDER</t>
        </is>
      </c>
      <c r="C39" s="1492" t="n">
        <v>20</v>
      </c>
      <c r="D39" s="1492" t="n">
        <v>500</v>
      </c>
      <c r="E39" s="1472" t="inlineStr">
        <is>
          <t>Secondary</t>
        </is>
      </c>
      <c r="F39" s="1530" t="n">
        <v>0</v>
      </c>
      <c r="G39" s="1530" t="n">
        <v>0</v>
      </c>
      <c r="H39" s="1530" t="n">
        <v>0</v>
      </c>
      <c r="I39" s="1531" t="n">
        <v>0</v>
      </c>
      <c r="J39" s="1492" t="n">
        <v>0</v>
      </c>
      <c r="K39" s="1531" t="n">
        <v>0</v>
      </c>
      <c r="L39" s="1531" t="n">
        <v>0</v>
      </c>
      <c r="M39" s="1531" t="n">
        <v>0</v>
      </c>
      <c r="N39" s="1472" t="inlineStr">
        <is>
          <t>Summer Jun-Sep / Winter Oct-May</t>
        </is>
      </c>
      <c r="O39" s="1521" t="inlineStr">
        <is>
          <t>Summer on-peak 4-9pm wkdy</t>
        </is>
      </c>
      <c r="P39" s="1231" t="inlineStr">
        <is>
          <t>SUPERSEDED 2026-09-25 — 2021 vintage; use the VERIFIED TOU-EV row above. Zeroed so nothing reads it.</t>
        </is>
      </c>
      <c r="Q39" s="1472" t="inlineStr">
        <is>
          <t>2021-10-01</t>
        </is>
      </c>
      <c r="R39" s="1228" t="inlineStr">
        <is>
          <t>https://www.cpuc.ca.gov/-/media/cpuc-website/divisions/energy-division/documents/transportation-electrification/sce-ev-rates-updated-oct-2021.pdf</t>
        </is>
      </c>
    </row>
    <row r="40" ht="71" customHeight="1" s="254">
      <c r="A40" s="1529" t="inlineStr">
        <is>
          <t>Redding Electric Utility</t>
        </is>
      </c>
      <c r="B40" s="1521" t="inlineStr">
        <is>
          <t>E2 — Small Commercial (no demand charge)</t>
        </is>
      </c>
      <c r="C40" s="1492" t="n">
        <v>0</v>
      </c>
      <c r="D40" s="1492" t="n">
        <v>75</v>
      </c>
      <c r="E40" s="1472" t="inlineStr">
        <is>
          <t>Secondary</t>
        </is>
      </c>
      <c r="F40" s="1530" t="n">
        <v>0.1649</v>
      </c>
      <c r="G40" s="1530" t="n">
        <v>0.1649</v>
      </c>
      <c r="H40" s="1530" t="n">
        <v>0.1649</v>
      </c>
      <c r="I40" s="1531" t="n">
        <v>0</v>
      </c>
      <c r="J40" s="1492" t="n">
        <v>0</v>
      </c>
      <c r="K40" s="1531" t="n">
        <v>0</v>
      </c>
      <c r="L40" s="1531" t="n">
        <v>0</v>
      </c>
      <c r="M40" s="1531" t="n">
        <v>70</v>
      </c>
      <c r="N40" s="1472" t="inlineStr">
        <is>
          <t>None — flat all year</t>
        </is>
      </c>
      <c r="O40" s="1519" t="inlineStr">
        <is>
          <t>None — REU publishes no commercial time-of-use rate</t>
        </is>
      </c>
      <c r="P40" s="1535" t="inlineStr">
        <is>
          <t>UNVERIFIED — third-party summary</t>
        </is>
      </c>
      <c r="Q40" s="1472" t="inlineStr">
        <is>
          <t>2025-01-01</t>
        </is>
      </c>
      <c r="R40" s="1228"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71" customHeight="1" s="254">
      <c r="A41" s="1529" t="inlineStr">
        <is>
          <t>Redding Electric Utility</t>
        </is>
      </c>
      <c r="B41" s="1472" t="inlineStr">
        <is>
          <t>E7/E8 — Large Commercial (demand)</t>
        </is>
      </c>
      <c r="C41" s="1492" t="n">
        <v>25</v>
      </c>
      <c r="D41" s="1492" t="n">
        <v>99999</v>
      </c>
      <c r="E41" s="1472" t="inlineStr">
        <is>
          <t>Secondary</t>
        </is>
      </c>
      <c r="F41" s="1530" t="n">
        <v>0.1086</v>
      </c>
      <c r="G41" s="1530" t="n">
        <v>0.1086</v>
      </c>
      <c r="H41" s="1530" t="n">
        <v>0.1086</v>
      </c>
      <c r="I41" s="1531" t="n">
        <v>21.5</v>
      </c>
      <c r="J41" s="1492" t="n">
        <v>0</v>
      </c>
      <c r="K41" s="1531" t="n">
        <v>0</v>
      </c>
      <c r="L41" s="1531" t="n">
        <v>0</v>
      </c>
      <c r="M41" s="1531" t="n">
        <v>95</v>
      </c>
      <c r="N41" s="1472" t="inlineStr">
        <is>
          <t>None — flat all year</t>
        </is>
      </c>
      <c r="O41" s="1519" t="inlineStr">
        <is>
          <t>None — no time-of-use. Demand is set by the highest 15-minute interval in the month</t>
        </is>
      </c>
      <c r="P41" s="1535" t="inlineStr">
        <is>
          <t>UNVERIFIED — third-party summary</t>
        </is>
      </c>
      <c r="Q41" s="1472" t="inlineStr">
        <is>
          <t>2025-01-01</t>
        </is>
      </c>
      <c r="R41" s="1228"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94" customHeight="1" s="254">
      <c r="A42" s="1529" t="inlineStr">
        <is>
          <t>City of Palo Alto Utilities</t>
        </is>
      </c>
      <c r="B42" s="1472" t="inlineStr">
        <is>
          <t>E-7</t>
        </is>
      </c>
      <c r="C42" s="1492" t="n">
        <v>1000</v>
      </c>
      <c r="D42" s="1492" t="n">
        <v>99999</v>
      </c>
      <c r="E42" s="1472" t="inlineStr">
        <is>
          <t>All</t>
        </is>
      </c>
      <c r="F42" s="1530" t="n">
        <v>0.11892</v>
      </c>
      <c r="G42" s="1530" t="n">
        <v>0.11892</v>
      </c>
      <c r="H42" s="1530" t="n">
        <v>0.11892</v>
      </c>
      <c r="I42" s="1531" t="n">
        <v>38.75</v>
      </c>
      <c r="J42" s="1492" t="n">
        <v>0</v>
      </c>
      <c r="K42" s="1531" t="n">
        <v>0</v>
      </c>
      <c r="L42" s="1531" t="n">
        <v>0</v>
      </c>
      <c r="M42" s="1531" t="n">
        <v>604.09</v>
      </c>
      <c r="N42" s="1519" t="inlineStr">
        <is>
          <t>Summer May 1–Oct 31 / winter Nov 1–Apr 30 — energy 0.14412 / 0.09372, demand 45.56 / 31.93; entered season-weighted</t>
        </is>
      </c>
      <c r="O42" s="1519" t="inlineStr">
        <is>
          <t>None — flat within each season (E-7-TOU is the time-of-use option); 1,000 kW sustained three months to qualify</t>
        </is>
      </c>
      <c r="P42" s="1533" t="inlineStr">
        <is>
          <t>VERIFIED</t>
        </is>
      </c>
      <c r="Q42" s="1472" t="inlineStr">
        <is>
          <t>2026-07-01</t>
        </is>
      </c>
      <c r="R42" s="1228" t="inlineStr">
        <is>
          <t>https://www.paloalto.gov/files/assets/public/v/7/utilities/rates-schedules-for-utilities/commercial-utility-rates/e-7_effective_2026-07-01.pdf</t>
        </is>
      </c>
    </row>
    <row r="43" ht="15" customHeight="1" s="254">
      <c r="A43" s="1536" t="n"/>
      <c r="B43" s="1561" t="n"/>
      <c r="C43" s="1561" t="n"/>
      <c r="D43" s="1561" t="n"/>
      <c r="E43" s="1561" t="n"/>
      <c r="F43" s="1561" t="n"/>
      <c r="G43" s="1561" t="n"/>
      <c r="H43" s="1561" t="n"/>
      <c r="I43" s="1561" t="n"/>
      <c r="J43" s="1561" t="n"/>
      <c r="K43" s="1561" t="n"/>
      <c r="L43" s="1561" t="n"/>
      <c r="M43" s="1561" t="n"/>
      <c r="N43" s="1561" t="n"/>
      <c r="O43" s="1561" t="n"/>
      <c r="P43" s="1561" t="n"/>
      <c r="Q43" s="1561" t="n"/>
      <c r="R43" s="1561" t="n"/>
    </row>
    <row r="44" ht="15" customHeight="1" s="254">
      <c r="A44" s="1510" t="n"/>
      <c r="B44" s="1510" t="n"/>
      <c r="C44" s="1510" t="n"/>
      <c r="D44" s="1510" t="n"/>
      <c r="E44" s="1561" t="n"/>
      <c r="F44" s="1561" t="n"/>
      <c r="G44" s="1561" t="n"/>
      <c r="H44" s="1561" t="n"/>
      <c r="I44" s="1561" t="n"/>
      <c r="J44" s="1561" t="n"/>
      <c r="K44" s="1561" t="n"/>
      <c r="L44" s="1561" t="n"/>
      <c r="M44" s="1561" t="n"/>
      <c r="N44" s="1561" t="n"/>
      <c r="O44" s="1561" t="n"/>
      <c r="P44" s="1561" t="n"/>
      <c r="Q44" s="1561" t="n"/>
      <c r="R44" s="1561" t="n"/>
    </row>
    <row r="45" ht="15" customHeight="1" s="254">
      <c r="A45" s="1472" t="n"/>
      <c r="B45" s="1472" t="n"/>
      <c r="C45" s="1537" t="n"/>
      <c r="D45" s="1472" t="n"/>
      <c r="E45" s="1561" t="n"/>
      <c r="F45" s="1561" t="n"/>
      <c r="G45" s="1561" t="n"/>
      <c r="H45" s="1561" t="n"/>
      <c r="I45" s="1561" t="n"/>
      <c r="J45" s="1561" t="n"/>
      <c r="K45" s="1561" t="n"/>
      <c r="L45" s="1561" t="n"/>
      <c r="M45" s="1561" t="n"/>
      <c r="N45" s="1561" t="n"/>
      <c r="O45" s="1561" t="n"/>
      <c r="P45" s="1561" t="n"/>
      <c r="Q45" s="1561" t="n"/>
      <c r="R45" s="1561" t="n"/>
    </row>
    <row r="46" ht="15" customHeight="1" s="254">
      <c r="A46" s="1472" t="n"/>
      <c r="B46" s="1472" t="n"/>
      <c r="C46" s="1538" t="n"/>
      <c r="D46" s="1472" t="n"/>
      <c r="E46" s="1561" t="n"/>
      <c r="F46" s="1561" t="n"/>
      <c r="G46" s="1561" t="n"/>
      <c r="H46" s="1561" t="n"/>
      <c r="I46" s="1561" t="n"/>
      <c r="J46" s="1561" t="n"/>
      <c r="K46" s="1561" t="n"/>
      <c r="L46" s="1561" t="n"/>
      <c r="M46" s="1561" t="n"/>
      <c r="N46" s="1561" t="n"/>
      <c r="O46" s="1561" t="n"/>
      <c r="P46" s="1561" t="n"/>
      <c r="Q46" s="1561" t="n"/>
      <c r="R46" s="1561" t="n"/>
    </row>
    <row r="47" ht="15" customHeight="1" s="254">
      <c r="A47" s="1472" t="n"/>
      <c r="B47" s="1472" t="n"/>
      <c r="C47" s="1538" t="n"/>
      <c r="D47" s="1472" t="n"/>
      <c r="E47" s="1561" t="n"/>
      <c r="F47" s="1561" t="n"/>
      <c r="G47" s="1561" t="n"/>
      <c r="H47" s="1561" t="n"/>
      <c r="I47" s="1561" t="n"/>
      <c r="J47" s="1561" t="n"/>
      <c r="K47" s="1561" t="n"/>
      <c r="L47" s="1561" t="n"/>
      <c r="M47" s="1561" t="n"/>
      <c r="N47" s="1561" t="n"/>
      <c r="O47" s="1561" t="n"/>
      <c r="P47" s="1561" t="n"/>
      <c r="Q47" s="1561" t="n"/>
      <c r="R47" s="1561" t="n"/>
    </row>
    <row r="48" ht="15" customHeight="1" s="254">
      <c r="A48" s="1472" t="n"/>
      <c r="B48" s="1472" t="n"/>
      <c r="C48" s="1538" t="n"/>
      <c r="D48" s="1472" t="n"/>
      <c r="E48" s="1561" t="n"/>
      <c r="F48" s="1561" t="n"/>
      <c r="G48" s="1561" t="n"/>
      <c r="H48" s="1561" t="n"/>
      <c r="I48" s="1561" t="n"/>
      <c r="J48" s="1561" t="n"/>
      <c r="K48" s="1561" t="n"/>
      <c r="L48" s="1561" t="n"/>
      <c r="M48" s="1561" t="n"/>
      <c r="N48" s="1561" t="n"/>
      <c r="O48" s="1561" t="n"/>
      <c r="P48" s="1561" t="n"/>
      <c r="Q48" s="1561" t="n"/>
      <c r="R48" s="1561" t="n"/>
    </row>
    <row r="49" ht="15" customHeight="1" s="254">
      <c r="A49" s="1472" t="n"/>
      <c r="B49" s="1472" t="n"/>
      <c r="C49" s="1539" t="n"/>
      <c r="D49" s="1472" t="n"/>
      <c r="E49" s="1561" t="n"/>
      <c r="F49" s="1561" t="n"/>
      <c r="G49" s="1561" t="n"/>
      <c r="H49" s="1561" t="n"/>
      <c r="I49" s="1561" t="n"/>
      <c r="J49" s="1561" t="n"/>
      <c r="K49" s="1561" t="n"/>
      <c r="L49" s="1561" t="n"/>
      <c r="M49" s="1561" t="n"/>
      <c r="N49" s="1561" t="n"/>
      <c r="O49" s="1561" t="n"/>
      <c r="P49" s="1561" t="n"/>
      <c r="Q49" s="1561" t="n"/>
      <c r="R49" s="1561" t="n"/>
    </row>
    <row r="50" ht="15" customHeight="1" s="254">
      <c r="A50" s="1472" t="n"/>
      <c r="B50" s="1472" t="n"/>
      <c r="C50" s="1539" t="n"/>
      <c r="D50" s="1472" t="n"/>
      <c r="E50" s="1561" t="n"/>
      <c r="F50" s="1561" t="n"/>
      <c r="G50" s="1561" t="n"/>
      <c r="H50" s="1561" t="n"/>
      <c r="I50" s="1561" t="n"/>
      <c r="J50" s="1561" t="n"/>
      <c r="K50" s="1561" t="n"/>
      <c r="L50" s="1561" t="n"/>
      <c r="M50" s="1561" t="n"/>
      <c r="N50" s="1561" t="n"/>
      <c r="O50" s="1561" t="n"/>
      <c r="P50" s="1561" t="n"/>
      <c r="Q50" s="1561" t="n"/>
      <c r="R50" s="1561" t="n"/>
    </row>
    <row r="51" ht="15" customHeight="1" s="254">
      <c r="A51" s="1472" t="n"/>
      <c r="B51" s="1472" t="n"/>
      <c r="C51" s="1538" t="n"/>
      <c r="D51" s="1472" t="n"/>
      <c r="E51" s="1561" t="n"/>
      <c r="F51" s="1561" t="n"/>
      <c r="G51" s="1561" t="n"/>
      <c r="H51" s="1561" t="n"/>
      <c r="I51" s="1561" t="n"/>
      <c r="J51" s="1561" t="n"/>
      <c r="K51" s="1561" t="n"/>
      <c r="L51" s="1561" t="n"/>
      <c r="M51" s="1561" t="n"/>
      <c r="N51" s="1561" t="n"/>
      <c r="O51" s="1561" t="n"/>
      <c r="P51" s="1561" t="n"/>
      <c r="Q51" s="1561" t="n"/>
      <c r="R51" s="1561" t="n"/>
    </row>
    <row r="52" ht="15" customHeight="1" s="254">
      <c r="A52" s="1472" t="n"/>
      <c r="B52" s="1472" t="n"/>
      <c r="C52" s="1537" t="n"/>
      <c r="D52" s="1472" t="n"/>
      <c r="E52" s="1561" t="n"/>
      <c r="F52" s="1561" t="n"/>
      <c r="G52" s="1561" t="n"/>
      <c r="H52" s="1561" t="n"/>
      <c r="I52" s="1561" t="n"/>
      <c r="J52" s="1561" t="n"/>
      <c r="K52" s="1561" t="n"/>
      <c r="L52" s="1561" t="n"/>
      <c r="M52" s="1561" t="n"/>
      <c r="N52" s="1561" t="n"/>
      <c r="O52" s="1561" t="n"/>
      <c r="P52" s="1561" t="n"/>
      <c r="Q52" s="1561" t="n"/>
      <c r="R52" s="1561" t="n"/>
    </row>
    <row r="53" ht="15" customHeight="1" s="254">
      <c r="A53" s="1472" t="n"/>
      <c r="B53" s="1472" t="n"/>
      <c r="C53" s="1537" t="n"/>
      <c r="D53" s="1472" t="n"/>
      <c r="E53" s="1561" t="n"/>
      <c r="F53" s="1561" t="n"/>
      <c r="G53" s="1561" t="n"/>
      <c r="H53" s="1561" t="n"/>
      <c r="I53" s="1561" t="n"/>
      <c r="J53" s="1561" t="n"/>
      <c r="K53" s="1561" t="n"/>
      <c r="L53" s="1561" t="n"/>
      <c r="M53" s="1561" t="n"/>
      <c r="N53" s="1561" t="n"/>
      <c r="O53" s="1561" t="n"/>
      <c r="P53" s="1561" t="n"/>
      <c r="Q53" s="1561" t="n"/>
      <c r="R53" s="1561" t="n"/>
    </row>
    <row r="54" ht="15" customHeight="1" s="254">
      <c r="A54" s="1472" t="n"/>
      <c r="B54" s="1472" t="n"/>
      <c r="C54" s="1539" t="n"/>
      <c r="D54" s="1472" t="n"/>
      <c r="E54" s="1561" t="n"/>
      <c r="F54" s="1561" t="n"/>
      <c r="G54" s="1561" t="n"/>
      <c r="H54" s="1561" t="n"/>
      <c r="I54" s="1561" t="n"/>
      <c r="J54" s="1561" t="n"/>
      <c r="K54" s="1561" t="n"/>
      <c r="L54" s="1561" t="n"/>
      <c r="M54" s="1561" t="n"/>
      <c r="N54" s="1561" t="n"/>
      <c r="O54" s="1561" t="n"/>
      <c r="P54" s="1561" t="n"/>
      <c r="Q54" s="1561" t="n"/>
      <c r="R54" s="1561" t="n"/>
    </row>
    <row r="55" ht="15" customHeight="1" s="254">
      <c r="A55" s="1472" t="n"/>
      <c r="B55" s="1472" t="n"/>
      <c r="C55" s="1537" t="n"/>
      <c r="D55" s="1472" t="n"/>
      <c r="E55" s="1561" t="n"/>
      <c r="F55" s="1561" t="n"/>
      <c r="G55" s="1561" t="n"/>
      <c r="H55" s="1561" t="n"/>
      <c r="I55" s="1561" t="n"/>
      <c r="J55" s="1561" t="n"/>
      <c r="K55" s="1561" t="n"/>
      <c r="L55" s="1561" t="n"/>
      <c r="M55" s="1561" t="n"/>
      <c r="N55" s="1561" t="n"/>
      <c r="O55" s="1561" t="n"/>
      <c r="P55" s="1561" t="n"/>
      <c r="Q55" s="1561" t="n"/>
      <c r="R55" s="1561" t="n"/>
    </row>
    <row r="56" ht="15" customHeight="1" s="254">
      <c r="A56" s="1561" t="n"/>
      <c r="B56" s="1561" t="n"/>
      <c r="C56" s="1561" t="n"/>
      <c r="D56" s="1561" t="n"/>
      <c r="E56" s="1561" t="n"/>
      <c r="F56" s="1561" t="n"/>
      <c r="G56" s="1561" t="n"/>
      <c r="H56" s="1561" t="n"/>
      <c r="I56" s="1561" t="n"/>
      <c r="J56" s="1561" t="n"/>
      <c r="K56" s="1561" t="n"/>
      <c r="L56" s="1561" t="n"/>
      <c r="M56" s="1561" t="n"/>
      <c r="N56" s="1561" t="n"/>
      <c r="O56" s="1561" t="n"/>
      <c r="P56" s="1561" t="n"/>
      <c r="Q56" s="1561" t="n"/>
      <c r="R56" s="1561" t="n"/>
    </row>
    <row r="57" ht="15" customHeight="1" s="254">
      <c r="A57" s="1561" t="n"/>
      <c r="B57" s="1561" t="n"/>
      <c r="C57" s="1561" t="n"/>
      <c r="D57" s="1561" t="n"/>
      <c r="E57" s="1561" t="n"/>
      <c r="F57" s="1561" t="n"/>
      <c r="G57" s="1561" t="n"/>
      <c r="H57" s="1561" t="n"/>
      <c r="I57" s="1561" t="n"/>
      <c r="J57" s="1561" t="n"/>
      <c r="K57" s="1561" t="n"/>
      <c r="L57" s="1561" t="n"/>
      <c r="M57" s="1561" t="n"/>
      <c r="N57" s="1561" t="n"/>
      <c r="O57" s="1561" t="n"/>
      <c r="P57" s="1561" t="n"/>
      <c r="Q57" s="1561" t="n"/>
      <c r="R57" s="1561" t="n"/>
    </row>
    <row r="58" ht="15" customHeight="1" s="254">
      <c r="A58" s="1561" t="n"/>
      <c r="B58" s="1561" t="n"/>
      <c r="C58" s="1561" t="n"/>
      <c r="D58" s="1561" t="n"/>
      <c r="E58" s="1561" t="n"/>
      <c r="F58" s="1561" t="n"/>
      <c r="G58" s="1561" t="n"/>
      <c r="H58" s="1561" t="n"/>
      <c r="I58" s="1561" t="n"/>
      <c r="J58" s="1561" t="n"/>
      <c r="K58" s="1561" t="n"/>
      <c r="L58" s="1561" t="n"/>
      <c r="M58" s="1561" t="n"/>
      <c r="N58" s="1561" t="n"/>
      <c r="O58" s="1561" t="n"/>
      <c r="P58" s="1561" t="n"/>
      <c r="Q58" s="1561" t="n"/>
      <c r="R58" s="1561" t="n"/>
    </row>
    <row r="59" ht="15" customHeight="1" s="254">
      <c r="A59" s="1561" t="n"/>
      <c r="B59" s="1561" t="n"/>
      <c r="C59" s="1561" t="n"/>
      <c r="D59" s="1561" t="n"/>
      <c r="E59" s="1561" t="n"/>
      <c r="F59" s="1561" t="n"/>
      <c r="G59" s="1561" t="n"/>
      <c r="H59" s="1561" t="n"/>
      <c r="I59" s="1561" t="n"/>
      <c r="J59" s="1561" t="n"/>
      <c r="K59" s="1561" t="n"/>
      <c r="L59" s="1561" t="n"/>
      <c r="M59" s="1561" t="n"/>
      <c r="N59" s="1561" t="n"/>
      <c r="O59" s="1561" t="n"/>
      <c r="P59" s="1561" t="n"/>
      <c r="Q59" s="1561" t="n"/>
      <c r="R59" s="1561" t="n"/>
    </row>
    <row r="60" ht="15" customHeight="1" s="254">
      <c r="A60" s="1540" t="inlineStr">
        <is>
          <t>UTILITY EV CHARGING REBATE AND MAKE-READY PROGRAMMES</t>
        </is>
      </c>
      <c r="I60" s="1561" t="n"/>
      <c r="J60" s="1561" t="n"/>
      <c r="K60" s="1561" t="n"/>
      <c r="L60" s="1561" t="n"/>
      <c r="M60" s="1561" t="n"/>
      <c r="N60" s="1561" t="n"/>
      <c r="O60" s="1561" t="n"/>
      <c r="P60" s="1561" t="n"/>
      <c r="Q60" s="1561" t="n"/>
      <c r="R60" s="1561" t="n"/>
    </row>
    <row r="61" ht="15" customHeight="1" s="254">
      <c r="A61" s="1474" t="inlineStr">
        <is>
          <t>Incentives are separate cash flows, not tariff changes. Never model one as a rate reduction, and never bank one that is closed or waitlisted.</t>
        </is>
      </c>
    </row>
    <row r="62" ht="15" customHeight="1" s="254">
      <c r="A62" s="1510" t="inlineStr">
        <is>
          <t>Utility</t>
        </is>
      </c>
      <c r="B62" s="1510" t="inlineStr">
        <is>
          <t>Programme</t>
        </is>
      </c>
      <c r="C62" s="1510" t="inlineStr">
        <is>
          <t>Status</t>
        </is>
      </c>
      <c r="D62" s="1510" t="inlineStr">
        <is>
          <t>Amounts</t>
        </is>
      </c>
      <c r="E62" s="1561" t="n"/>
      <c r="F62" s="1561" t="n"/>
      <c r="G62" s="1561" t="n"/>
      <c r="H62" s="1561" t="n"/>
      <c r="I62" s="1561" t="n"/>
      <c r="J62" s="1561" t="n"/>
      <c r="K62" s="1561" t="n"/>
      <c r="L62" s="1561" t="n"/>
      <c r="M62" s="1561" t="n"/>
      <c r="N62" s="1561" t="n"/>
      <c r="O62" s="1561" t="n"/>
      <c r="P62" s="1561" t="n"/>
      <c r="Q62" s="1561" t="n"/>
      <c r="R62" s="1561" t="n"/>
    </row>
    <row r="63" ht="15" customHeight="1" s="254">
      <c r="A63" s="1472" t="inlineStr">
        <is>
          <t>LADWP</t>
        </is>
      </c>
      <c r="B63" s="1472" t="inlineStr">
        <is>
          <t>Commercial EV Charger Rebate</t>
        </is>
      </c>
      <c r="C63" s="1537" t="inlineStr">
        <is>
          <t>CLOSED — reopening Oct 2026</t>
        </is>
      </c>
      <c r="D63" s="1519" t="inlineStr">
        <is>
          <t>DCFC $20k (50-149kW) / $55k (150-274kW) / $100k (275kW+); +25% in DACs; $2m cap per premises</t>
        </is>
      </c>
      <c r="E63" s="299" t="n"/>
      <c r="F63" s="299" t="n"/>
      <c r="G63" s="299" t="n"/>
      <c r="H63" s="299" t="n"/>
      <c r="I63" s="299" t="n"/>
      <c r="J63" s="299" t="n"/>
      <c r="K63" s="299" t="n"/>
      <c r="L63" s="299" t="n"/>
      <c r="M63" s="299" t="n"/>
      <c r="N63" s="299" t="n"/>
      <c r="O63" s="299" t="n"/>
      <c r="P63" s="299" t="n"/>
      <c r="Q63" s="299" t="n"/>
      <c r="R63" s="299" t="n"/>
    </row>
    <row r="64" ht="15" customHeight="1" s="254">
      <c r="A64" s="1472" t="inlineStr">
        <is>
          <t>SMUD</t>
        </is>
      </c>
      <c r="B64" s="1472" t="inlineStr">
        <is>
          <t>Commercial EV Program</t>
        </is>
      </c>
      <c r="C64" s="1538" t="inlineStr">
        <is>
          <t>OPEN — first come first served</t>
        </is>
      </c>
      <c r="D64" s="1519" t="inlineStr">
        <is>
          <t>DCFC $7.5k/handle &lt;50kW; $15k 50-149.9kW; $30k &gt;=150kW. Make-ready: panel $1k, transformer $5k, storage $100/kWh</t>
        </is>
      </c>
      <c r="E64" s="299" t="n"/>
      <c r="F64" s="299" t="n"/>
      <c r="G64" s="299" t="n"/>
      <c r="H64" s="299" t="n"/>
      <c r="I64" s="299" t="n"/>
      <c r="J64" s="299" t="n"/>
      <c r="K64" s="299" t="n"/>
      <c r="L64" s="299" t="n"/>
      <c r="M64" s="299" t="n"/>
      <c r="N64" s="299" t="n"/>
      <c r="O64" s="299" t="n"/>
      <c r="P64" s="299" t="n"/>
      <c r="Q64" s="299" t="n"/>
      <c r="R64" s="299" t="n"/>
    </row>
    <row r="65" ht="15" customHeight="1" s="254">
      <c r="A65" s="1472" t="inlineStr">
        <is>
          <t>Riverside Public Utilities</t>
        </is>
      </c>
      <c r="B65" s="1472" t="inlineStr">
        <is>
          <t>Electrify Riverside</t>
        </is>
      </c>
      <c r="C65" s="1538" t="inlineStr">
        <is>
          <t>OPEN — first come first served</t>
        </is>
      </c>
      <c r="D65" s="1519" t="inlineStr">
        <is>
          <t>Up to $10k per DC fast charger; infrastructure 50% of cost up to $50k</t>
        </is>
      </c>
      <c r="E65" s="299" t="n"/>
      <c r="F65" s="299" t="n"/>
      <c r="G65" s="299" t="n"/>
      <c r="H65" s="299" t="n"/>
      <c r="I65" s="299" t="n"/>
      <c r="J65" s="299" t="n"/>
      <c r="K65" s="299" t="n"/>
      <c r="L65" s="299" t="n"/>
      <c r="M65" s="299" t="n"/>
      <c r="N65" s="299" t="n"/>
      <c r="O65" s="299" t="n"/>
      <c r="P65" s="299" t="n"/>
      <c r="Q65" s="299" t="n"/>
      <c r="R65" s="299" t="n"/>
    </row>
    <row r="66" ht="15" customHeight="1" s="254">
      <c r="A66" s="1472" t="inlineStr">
        <is>
          <t>Glendale Water and Power</t>
        </is>
      </c>
      <c r="B66" s="1472" t="inlineStr">
        <is>
          <t>Commercial EV charger rebate</t>
        </is>
      </c>
      <c r="C66" s="1538" t="inlineStr">
        <is>
          <t>OPEN</t>
        </is>
      </c>
      <c r="D66" s="1519" t="inlineStr">
        <is>
          <t>Lesser of $50k or 50%; up to $75k/75% for DCFC &gt;=50kW, DACs, public access</t>
        </is>
      </c>
      <c r="E66" s="299" t="n"/>
      <c r="F66" s="299" t="n"/>
      <c r="G66" s="299" t="n"/>
      <c r="H66" s="299" t="n"/>
      <c r="I66" s="299" t="n"/>
      <c r="J66" s="299" t="n"/>
      <c r="K66" s="299" t="n"/>
      <c r="L66" s="299" t="n"/>
      <c r="M66" s="299" t="n"/>
      <c r="N66" s="299" t="n"/>
      <c r="O66" s="299" t="n"/>
      <c r="P66" s="299" t="n"/>
      <c r="Q66" s="299" t="n"/>
      <c r="R66" s="299" t="n"/>
    </row>
    <row r="67" ht="15" customHeight="1" s="254">
      <c r="A67" s="1472" t="inlineStr">
        <is>
          <t>Burbank Water and Power</t>
        </is>
      </c>
      <c r="B67" s="1472" t="inlineStr">
        <is>
          <t>Commercial EV charging rebate</t>
        </is>
      </c>
      <c r="C67" s="1541" t="inlineStr">
        <is>
          <t>Status not stated</t>
        </is>
      </c>
      <c r="D67" s="1519" t="inlineStr">
        <is>
          <t>DCFC $5k-$10k/port; $10k-$20k for DAC/public/MFH. Cap $200k or 40 ports</t>
        </is>
      </c>
      <c r="E67" s="299" t="n"/>
      <c r="F67" s="299" t="n"/>
      <c r="G67" s="299" t="n"/>
      <c r="H67" s="299" t="n"/>
      <c r="I67" s="299" t="n"/>
      <c r="J67" s="299" t="n"/>
      <c r="K67" s="299" t="n"/>
      <c r="L67" s="299" t="n"/>
      <c r="M67" s="299" t="n"/>
      <c r="N67" s="299" t="n"/>
      <c r="O67" s="299" t="n"/>
      <c r="P67" s="299" t="n"/>
      <c r="Q67" s="299" t="n"/>
      <c r="R67" s="299" t="n"/>
    </row>
    <row r="68" ht="15" customHeight="1" s="254">
      <c r="A68" s="1472" t="inlineStr">
        <is>
          <t>Pasadena Water and Power</t>
        </is>
      </c>
      <c r="B68" s="1472" t="inlineStr">
        <is>
          <t>Commercial charger rebate</t>
        </is>
      </c>
      <c r="C68" s="1541" t="inlineStr">
        <is>
          <t>'Limited time' — status not stated</t>
        </is>
      </c>
      <c r="D68" s="1519" t="inlineStr">
        <is>
          <t>$4,000 per L2; DCFC double, up to $8,000 per charger</t>
        </is>
      </c>
      <c r="E68" s="299" t="n"/>
      <c r="F68" s="299" t="n"/>
      <c r="G68" s="299" t="n"/>
      <c r="H68" s="299" t="n"/>
      <c r="I68" s="299" t="n"/>
      <c r="J68" s="299" t="n"/>
      <c r="K68" s="299" t="n"/>
      <c r="L68" s="299" t="n"/>
      <c r="M68" s="299" t="n"/>
      <c r="N68" s="299" t="n"/>
      <c r="O68" s="299" t="n"/>
      <c r="P68" s="299" t="n"/>
      <c r="Q68" s="299" t="n"/>
      <c r="R68" s="299" t="n"/>
    </row>
    <row r="69" ht="15" customHeight="1" s="254">
      <c r="A69" s="1472" t="inlineStr">
        <is>
          <t>Roseville Electric Utility</t>
        </is>
      </c>
      <c r="B69" s="1472" t="inlineStr">
        <is>
          <t>Charge Ahead</t>
        </is>
      </c>
      <c r="C69" s="1538" t="inlineStr">
        <is>
          <t>OPEN — but DCFC is non-profit &amp; multifamily ONLY</t>
        </is>
      </c>
      <c r="D69" s="1519" t="inlineStr">
        <is>
          <t>DCFC $20k/unit (not available to commercial); transformer $5k, panel $1k</t>
        </is>
      </c>
      <c r="E69" s="299" t="n"/>
      <c r="F69" s="299" t="n"/>
      <c r="G69" s="299" t="n"/>
      <c r="H69" s="299" t="n"/>
      <c r="I69" s="299" t="n"/>
      <c r="J69" s="299" t="n"/>
      <c r="K69" s="299" t="n"/>
      <c r="L69" s="299" t="n"/>
      <c r="M69" s="299" t="n"/>
      <c r="N69" s="299" t="n"/>
      <c r="O69" s="299" t="n"/>
      <c r="P69" s="299" t="n"/>
      <c r="Q69" s="299" t="n"/>
      <c r="R69" s="299" t="n"/>
    </row>
    <row r="70" ht="15" customHeight="1" s="254">
      <c r="A70" s="1472" t="inlineStr">
        <is>
          <t>Silicon Valley Power</t>
        </is>
      </c>
      <c r="B70" s="1472" t="inlineStr">
        <is>
          <t>MFH &amp; Commercial EV incentive</t>
        </is>
      </c>
      <c r="C70" s="1537" t="inlineStr">
        <is>
          <t>CLOSED — fully subscribed</t>
        </is>
      </c>
      <c r="D70" s="1519" t="inlineStr">
        <is>
          <t>Up to $150k/site but LEVEL 2 ONLY, no DCFC. Refers DCFC to CALeVIP</t>
        </is>
      </c>
      <c r="E70" s="299" t="n"/>
      <c r="F70" s="299" t="n"/>
      <c r="G70" s="299" t="n"/>
      <c r="H70" s="299" t="n"/>
      <c r="I70" s="299" t="n"/>
      <c r="J70" s="299" t="n"/>
      <c r="K70" s="299" t="n"/>
      <c r="L70" s="299" t="n"/>
      <c r="M70" s="299" t="n"/>
      <c r="N70" s="299" t="n"/>
      <c r="O70" s="299" t="n"/>
      <c r="P70" s="299" t="n"/>
      <c r="Q70" s="299" t="n"/>
      <c r="R70" s="299" t="n"/>
    </row>
    <row r="71" ht="15" customHeight="1" s="254">
      <c r="A71" s="1472" t="inlineStr">
        <is>
          <t>City of Palo Alto Utilities</t>
        </is>
      </c>
      <c r="B71" s="1472" t="inlineStr">
        <is>
          <t>EV charger programme</t>
        </is>
      </c>
      <c r="C71" s="1537" t="inlineStr">
        <is>
          <t>Non-residential reservations CLOSED</t>
        </is>
      </c>
      <c r="D71" s="1519" t="inlineStr">
        <is>
          <t>Level 2 only, no DCFC. MFH up to $8k/EVSE, $80k site cap</t>
        </is>
      </c>
      <c r="E71" s="299" t="n"/>
      <c r="F71" s="299" t="n"/>
      <c r="G71" s="299" t="n"/>
      <c r="H71" s="299" t="n"/>
      <c r="I71" s="299" t="n"/>
      <c r="J71" s="299" t="n"/>
      <c r="K71" s="299" t="n"/>
      <c r="L71" s="299" t="n"/>
      <c r="M71" s="299" t="n"/>
      <c r="N71" s="299" t="n"/>
      <c r="O71" s="299" t="n"/>
      <c r="P71" s="299" t="n"/>
      <c r="Q71" s="299" t="n"/>
      <c r="R71" s="299" t="n"/>
    </row>
    <row r="72" ht="15" customHeight="1" s="254">
      <c r="A72" s="1472" t="inlineStr">
        <is>
          <t>IID</t>
        </is>
      </c>
      <c r="B72" s="1472" t="inlineStr">
        <is>
          <t>(none found for commercial)</t>
        </is>
      </c>
      <c r="C72" s="1541" t="inlineStr">
        <is>
          <t>—</t>
        </is>
      </c>
      <c r="D72" s="1472" t="inlineStr">
        <is>
          <t>Residential Level 2 only, up to $500</t>
        </is>
      </c>
      <c r="E72" s="299" t="n"/>
      <c r="F72" s="299" t="n"/>
      <c r="G72" s="299" t="n"/>
      <c r="H72" s="299" t="n"/>
      <c r="I72" s="299" t="n"/>
      <c r="J72" s="299" t="n"/>
      <c r="K72" s="299" t="n"/>
      <c r="L72" s="299" t="n"/>
      <c r="M72" s="299" t="n"/>
      <c r="N72" s="299" t="n"/>
      <c r="O72" s="299" t="n"/>
      <c r="P72" s="299" t="n"/>
      <c r="Q72" s="299" t="n"/>
      <c r="R72" s="299" t="n"/>
    </row>
    <row r="73" ht="15" customHeight="1" s="254">
      <c r="A73" s="1472" t="inlineStr">
        <is>
          <t>SCE</t>
        </is>
      </c>
      <c r="B73" s="1472" t="inlineStr">
        <is>
          <t>Charge Ready</t>
        </is>
      </c>
      <c r="C73" s="1542" t="inlineStr">
        <is>
          <t>CLOSED — agreements had to be signed by 31 Dec 2026</t>
        </is>
      </c>
      <c r="D73" s="1472" t="inlineStr">
        <is>
          <t>Level 1 and 2 only; DCFC was never available</t>
        </is>
      </c>
      <c r="E73" s="299" t="n"/>
      <c r="F73" s="299" t="n"/>
      <c r="G73" s="299" t="n"/>
      <c r="H73" s="299" t="n"/>
      <c r="I73" s="299" t="n"/>
      <c r="J73" s="299" t="n"/>
      <c r="K73" s="299" t="n"/>
      <c r="L73" s="299" t="n"/>
      <c r="M73" s="299" t="n"/>
      <c r="N73" s="299" t="n"/>
      <c r="O73" s="299" t="n"/>
      <c r="P73" s="299" t="n"/>
      <c r="Q73" s="299" t="n"/>
      <c r="R73" s="299" t="n"/>
    </row>
    <row r="74" ht="15" customHeight="1" s="254">
      <c r="A74" s="1472" t="inlineStr">
        <is>
          <t>Redding Electric Utility</t>
        </is>
      </c>
      <c r="B74" s="1472" t="inlineStr">
        <is>
          <t>DC Fast Charger Rebate</t>
        </is>
      </c>
      <c r="C74" s="1537" t="inlineStr">
        <is>
          <t>OPEN — verify funding before relying on it</t>
        </is>
      </c>
      <c r="D74" s="1519" t="inlineStr">
        <is>
          <t>Up to $6,000 per DC fast charging station, maximum 4 stations per customer. Stations must be separately metered. THE CUSTOMER MUST ASSIGN LCFS CREDITS TO REU — which forecloses the FCI capacity credit on the Carbon tab. The two cannot both be taken.</t>
        </is>
      </c>
      <c r="E74" s="299" t="n"/>
      <c r="F74" s="299" t="n"/>
      <c r="G74" s="299" t="n"/>
      <c r="H74" s="299" t="n"/>
      <c r="I74" s="299" t="n"/>
      <c r="J74" s="299" t="n"/>
      <c r="K74" s="299" t="n"/>
      <c r="L74" s="299" t="n"/>
      <c r="M74" s="299" t="n"/>
      <c r="N74" s="299" t="n"/>
      <c r="O74" s="299" t="n"/>
      <c r="P74" s="299" t="n"/>
      <c r="Q74" s="299" t="n"/>
      <c r="R74" s="299" t="n"/>
    </row>
  </sheetData>
  <sheetProtection selectLockedCells="0" selectUnlockedCells="0" sheet="1" objects="0" insertRows="1" insertHyperlinks="1" autoFilter="1" scenarios="0" formatColumns="0" deleteColumns="1" insertColumns="1" pivotTables="1" deleteRows="1" formatCells="0" formatRows="0" sort="1"/>
  <mergeCells count="16">
    <mergeCell ref="D68:R68"/>
    <mergeCell ref="D69:R69"/>
    <mergeCell ref="D64:R64"/>
    <mergeCell ref="D63:R63"/>
    <mergeCell ref="D73:R73"/>
    <mergeCell ref="D72:R72"/>
    <mergeCell ref="A2:R2"/>
    <mergeCell ref="D67:R67"/>
    <mergeCell ref="A60:H60"/>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2026-08-26T15:16:12Z</dcterms:created>
  <dcterms:modified xsi:type="dcterms:W3CDTF">2026-09-28T22:23:46Z</dcterms:modified>
  <cp:revision>0</cp:revision>
</cp:coreProperties>
</file>